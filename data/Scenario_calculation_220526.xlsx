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
    </mc:Choice>
  </mc:AlternateContent>
  <xr:revisionPtr revIDLastSave="153" documentId="13_ncr:1_{8752B85A-EF41-4E9C-8797-DAB86465FD0C}" xr6:coauthVersionLast="47" xr6:coauthVersionMax="47" xr10:uidLastSave="{A8B17837-308C-4BA7-863E-FBEEC68F7089}"/>
  <bookViews>
    <workbookView xWindow="-110" yWindow="-110" windowWidth="19420" windowHeight="10300" xr2:uid="{00000000-000D-0000-FFFF-FFFF00000000}"/>
  </bookViews>
  <sheets>
    <sheet name="README" sheetId="7" r:id="rId1"/>
    <sheet name="Data_to_couple_w_LCI" sheetId="16" r:id="rId2"/>
    <sheet name="Result_notebook_retravaill" sheetId="15" r:id="rId3"/>
    <sheet name="Result_notebook" sheetId="11" r:id="rId4"/>
    <sheet name="SUPPLY" sheetId="3" r:id="rId5"/>
    <sheet name="DEMAND" sheetId="1" r:id="rId6"/>
    <sheet name="PRODUCTION" sheetId="2" r:id="rId7"/>
    <sheet name="Associated_LCIs" sheetId="8" r:id="rId8"/>
    <sheet name="EQ_LCA_results" sheetId="4" r:id="rId9"/>
    <sheet name="HH_LCA_results" sheetId="5" r:id="rId10"/>
    <sheet name="GWP_LCA_results" sheetId="6" r:id="rId11"/>
    <sheet name="National_production" sheetId="9" r:id="rId12"/>
    <sheet name="Production_yield" sheetId="12" r:id="rId13"/>
  </sheets>
  <definedNames>
    <definedName name="_xlnm._FilterDatabase" localSheetId="7" hidden="1">Associated_LCIs!$A$1:$J$49</definedName>
    <definedName name="_xlnm._FilterDatabase" localSheetId="1" hidden="1">Data_to_couple_w_LCI!$A$1:$N$1441</definedName>
    <definedName name="_xlnm._FilterDatabase" localSheetId="5" hidden="1">DEMAND!$A$1:$E$531</definedName>
    <definedName name="_xlnm._FilterDatabase" localSheetId="8" hidden="1">EQ_LCA_results!$A$1:$AC$136</definedName>
    <definedName name="_xlnm._FilterDatabase" localSheetId="11" hidden="1">National_production!$A$1:$H$1</definedName>
    <definedName name="_xlnm._FilterDatabase" localSheetId="6" hidden="1">PRODUCTION!$A$1:$H$553</definedName>
    <definedName name="_xlnm._FilterDatabase" localSheetId="3" hidden="1">Result_notebook!$A$1:$M$1441</definedName>
    <definedName name="_xlnm._FilterDatabase" localSheetId="2" hidden="1">Result_notebook_retravaill!$A$1:$Q$1441</definedName>
    <definedName name="_xlnm._FilterDatabase" localSheetId="4" hidden="1">SUPPLY!$A$1:$E$1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6" l="1"/>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L520" i="16"/>
  <c r="L521" i="16"/>
  <c r="L522" i="16"/>
  <c r="L523" i="16"/>
  <c r="L524" i="16"/>
  <c r="L525" i="16"/>
  <c r="L526" i="16"/>
  <c r="L527" i="16"/>
  <c r="L528" i="16"/>
  <c r="L529" i="16"/>
  <c r="L530" i="16"/>
  <c r="L531" i="16"/>
  <c r="L532" i="16"/>
  <c r="L533" i="16"/>
  <c r="L534" i="16"/>
  <c r="L535" i="16"/>
  <c r="L536" i="16"/>
  <c r="L537" i="16"/>
  <c r="L538" i="16"/>
  <c r="L539" i="16"/>
  <c r="L540" i="16"/>
  <c r="L541" i="16"/>
  <c r="L542" i="16"/>
  <c r="L543" i="16"/>
  <c r="L544" i="16"/>
  <c r="L545" i="16"/>
  <c r="L546" i="16"/>
  <c r="L547" i="16"/>
  <c r="L548" i="16"/>
  <c r="L549" i="16"/>
  <c r="L550" i="16"/>
  <c r="L551" i="16"/>
  <c r="L552" i="16"/>
  <c r="L553" i="16"/>
  <c r="L554" i="16"/>
  <c r="L555" i="16"/>
  <c r="L556" i="16"/>
  <c r="L557" i="16"/>
  <c r="L558" i="16"/>
  <c r="L559" i="16"/>
  <c r="L560" i="16"/>
  <c r="L561" i="16"/>
  <c r="L562" i="16"/>
  <c r="L563" i="16"/>
  <c r="L564" i="16"/>
  <c r="L565" i="16"/>
  <c r="L566" i="16"/>
  <c r="L567" i="16"/>
  <c r="L568" i="16"/>
  <c r="L569" i="16"/>
  <c r="L570" i="16"/>
  <c r="L571" i="16"/>
  <c r="L572" i="16"/>
  <c r="L573" i="16"/>
  <c r="L574" i="16"/>
  <c r="L575" i="16"/>
  <c r="L576" i="16"/>
  <c r="L577" i="16"/>
  <c r="L578" i="16"/>
  <c r="L579" i="16"/>
  <c r="L580" i="16"/>
  <c r="L581" i="16"/>
  <c r="L582" i="16"/>
  <c r="L583" i="16"/>
  <c r="L584" i="16"/>
  <c r="L585" i="16"/>
  <c r="L586" i="16"/>
  <c r="L587" i="16"/>
  <c r="L588" i="16"/>
  <c r="L589" i="16"/>
  <c r="L590" i="16"/>
  <c r="L591" i="16"/>
  <c r="L592" i="16"/>
  <c r="L593" i="16"/>
  <c r="L594" i="16"/>
  <c r="L595" i="16"/>
  <c r="L596" i="16"/>
  <c r="L597" i="16"/>
  <c r="L598" i="16"/>
  <c r="L599" i="16"/>
  <c r="L600" i="16"/>
  <c r="L601" i="16"/>
  <c r="L602" i="16"/>
  <c r="L603" i="16"/>
  <c r="L604" i="16"/>
  <c r="L605" i="16"/>
  <c r="L606" i="16"/>
  <c r="L607" i="16"/>
  <c r="L608" i="16"/>
  <c r="L609" i="16"/>
  <c r="L610" i="16"/>
  <c r="L611" i="16"/>
  <c r="L612" i="16"/>
  <c r="L613" i="16"/>
  <c r="L614" i="16"/>
  <c r="L615" i="16"/>
  <c r="L616" i="16"/>
  <c r="L617" i="16"/>
  <c r="L618" i="16"/>
  <c r="L619" i="16"/>
  <c r="L620" i="16"/>
  <c r="L621" i="16"/>
  <c r="L622" i="16"/>
  <c r="L623" i="16"/>
  <c r="L624" i="16"/>
  <c r="L625" i="16"/>
  <c r="L626" i="16"/>
  <c r="L627" i="16"/>
  <c r="L628" i="16"/>
  <c r="L629" i="16"/>
  <c r="L630" i="16"/>
  <c r="L631" i="16"/>
  <c r="L632" i="16"/>
  <c r="L633" i="16"/>
  <c r="L634" i="16"/>
  <c r="L635" i="16"/>
  <c r="L636" i="16"/>
  <c r="L637" i="16"/>
  <c r="L638" i="16"/>
  <c r="L639" i="16"/>
  <c r="L640" i="16"/>
  <c r="L641" i="16"/>
  <c r="L642" i="16"/>
  <c r="L643" i="16"/>
  <c r="L644" i="16"/>
  <c r="L645" i="16"/>
  <c r="L646" i="16"/>
  <c r="L647" i="16"/>
  <c r="L648" i="16"/>
  <c r="L649" i="16"/>
  <c r="L650" i="16"/>
  <c r="L651" i="16"/>
  <c r="L652" i="16"/>
  <c r="L653" i="16"/>
  <c r="L654" i="16"/>
  <c r="L655" i="16"/>
  <c r="L656" i="16"/>
  <c r="L657" i="16"/>
  <c r="L658" i="16"/>
  <c r="L659" i="16"/>
  <c r="L660" i="16"/>
  <c r="L661" i="16"/>
  <c r="L662" i="16"/>
  <c r="L663" i="16"/>
  <c r="L664" i="16"/>
  <c r="L665" i="16"/>
  <c r="L666" i="16"/>
  <c r="L667" i="16"/>
  <c r="L668" i="16"/>
  <c r="L669" i="16"/>
  <c r="L670" i="16"/>
  <c r="L671" i="16"/>
  <c r="L672" i="16"/>
  <c r="L673" i="16"/>
  <c r="L674" i="16"/>
  <c r="L675" i="16"/>
  <c r="L676" i="16"/>
  <c r="L677" i="16"/>
  <c r="L678" i="16"/>
  <c r="L679" i="16"/>
  <c r="L680" i="16"/>
  <c r="L681" i="16"/>
  <c r="L682" i="16"/>
  <c r="L683" i="16"/>
  <c r="L684" i="16"/>
  <c r="L685" i="16"/>
  <c r="L686" i="16"/>
  <c r="L687" i="16"/>
  <c r="L688" i="16"/>
  <c r="L689" i="16"/>
  <c r="L690" i="16"/>
  <c r="L691" i="16"/>
  <c r="L692" i="16"/>
  <c r="L693" i="16"/>
  <c r="L694" i="16"/>
  <c r="L695" i="16"/>
  <c r="L696" i="16"/>
  <c r="L697" i="16"/>
  <c r="L698" i="16"/>
  <c r="L699" i="16"/>
  <c r="L700" i="16"/>
  <c r="L701" i="16"/>
  <c r="L702" i="16"/>
  <c r="L703" i="16"/>
  <c r="L704" i="16"/>
  <c r="L705" i="16"/>
  <c r="L706" i="16"/>
  <c r="L707" i="16"/>
  <c r="L708" i="16"/>
  <c r="L709" i="16"/>
  <c r="L710" i="16"/>
  <c r="L711" i="16"/>
  <c r="L712" i="16"/>
  <c r="L713" i="16"/>
  <c r="L714" i="16"/>
  <c r="L715" i="16"/>
  <c r="L716" i="16"/>
  <c r="L717" i="16"/>
  <c r="L718" i="16"/>
  <c r="L719" i="16"/>
  <c r="L720" i="16"/>
  <c r="L721" i="16"/>
  <c r="L722" i="16"/>
  <c r="L723" i="16"/>
  <c r="L724" i="16"/>
  <c r="L725" i="16"/>
  <c r="L726" i="16"/>
  <c r="L727" i="16"/>
  <c r="L728" i="16"/>
  <c r="L729" i="16"/>
  <c r="L730" i="16"/>
  <c r="L731" i="16"/>
  <c r="L732" i="16"/>
  <c r="L733" i="16"/>
  <c r="L734" i="16"/>
  <c r="L735" i="16"/>
  <c r="L736" i="16"/>
  <c r="L737" i="16"/>
  <c r="L738" i="16"/>
  <c r="L739" i="16"/>
  <c r="L740" i="16"/>
  <c r="L741" i="16"/>
  <c r="L742" i="16"/>
  <c r="L743" i="16"/>
  <c r="L744" i="16"/>
  <c r="L745" i="16"/>
  <c r="L746" i="16"/>
  <c r="L747" i="16"/>
  <c r="L748" i="16"/>
  <c r="L749" i="16"/>
  <c r="L750" i="16"/>
  <c r="L751" i="16"/>
  <c r="L752" i="16"/>
  <c r="L753" i="16"/>
  <c r="L754" i="16"/>
  <c r="L755" i="16"/>
  <c r="L756" i="16"/>
  <c r="L757" i="16"/>
  <c r="L758" i="16"/>
  <c r="L759" i="16"/>
  <c r="L760" i="16"/>
  <c r="L761" i="16"/>
  <c r="L762" i="16"/>
  <c r="L763" i="16"/>
  <c r="L764" i="16"/>
  <c r="L765" i="16"/>
  <c r="L766" i="16"/>
  <c r="L767" i="16"/>
  <c r="L768" i="16"/>
  <c r="L769" i="16"/>
  <c r="L770" i="16"/>
  <c r="L771" i="16"/>
  <c r="L772" i="16"/>
  <c r="L773" i="16"/>
  <c r="L774" i="16"/>
  <c r="L775" i="16"/>
  <c r="L776" i="16"/>
  <c r="L777" i="16"/>
  <c r="L778" i="16"/>
  <c r="L779" i="16"/>
  <c r="L780" i="16"/>
  <c r="L781" i="16"/>
  <c r="L782" i="16"/>
  <c r="L783" i="16"/>
  <c r="L784" i="16"/>
  <c r="L785" i="16"/>
  <c r="L786" i="16"/>
  <c r="L787" i="16"/>
  <c r="L788" i="16"/>
  <c r="L789" i="16"/>
  <c r="L790" i="16"/>
  <c r="L791" i="16"/>
  <c r="L792" i="16"/>
  <c r="L793" i="16"/>
  <c r="L794" i="16"/>
  <c r="L795" i="16"/>
  <c r="L796" i="16"/>
  <c r="L797" i="16"/>
  <c r="L798" i="16"/>
  <c r="L799" i="16"/>
  <c r="L800" i="16"/>
  <c r="L801" i="16"/>
  <c r="L802" i="16"/>
  <c r="L803" i="16"/>
  <c r="L804" i="16"/>
  <c r="L805" i="16"/>
  <c r="L806" i="16"/>
  <c r="L807" i="16"/>
  <c r="L808" i="16"/>
  <c r="L809" i="16"/>
  <c r="L810" i="16"/>
  <c r="L811" i="16"/>
  <c r="L812" i="16"/>
  <c r="L813" i="16"/>
  <c r="L814" i="16"/>
  <c r="L815" i="16"/>
  <c r="L816" i="16"/>
  <c r="L817" i="16"/>
  <c r="L818" i="16"/>
  <c r="L819" i="16"/>
  <c r="L820" i="16"/>
  <c r="L821" i="16"/>
  <c r="L822" i="16"/>
  <c r="L823" i="16"/>
  <c r="L824" i="16"/>
  <c r="L825" i="16"/>
  <c r="L826" i="16"/>
  <c r="L827" i="16"/>
  <c r="L828" i="16"/>
  <c r="L829" i="16"/>
  <c r="L830" i="16"/>
  <c r="L831" i="16"/>
  <c r="L832" i="16"/>
  <c r="L833" i="16"/>
  <c r="L834" i="16"/>
  <c r="L835" i="16"/>
  <c r="L836" i="16"/>
  <c r="L837" i="16"/>
  <c r="L838" i="16"/>
  <c r="L839" i="16"/>
  <c r="L840" i="16"/>
  <c r="L841" i="16"/>
  <c r="L842" i="16"/>
  <c r="L843" i="16"/>
  <c r="L844" i="16"/>
  <c r="L845" i="16"/>
  <c r="L846" i="16"/>
  <c r="L847" i="16"/>
  <c r="L848" i="16"/>
  <c r="L849" i="16"/>
  <c r="L850" i="16"/>
  <c r="L851" i="16"/>
  <c r="L852" i="16"/>
  <c r="L853" i="16"/>
  <c r="L854" i="16"/>
  <c r="L855" i="16"/>
  <c r="L856" i="16"/>
  <c r="L857" i="16"/>
  <c r="L858" i="16"/>
  <c r="L859" i="16"/>
  <c r="L860" i="16"/>
  <c r="L861" i="16"/>
  <c r="L862" i="16"/>
  <c r="L863" i="16"/>
  <c r="L864" i="16"/>
  <c r="L865" i="16"/>
  <c r="L866" i="16"/>
  <c r="L867" i="16"/>
  <c r="L868" i="16"/>
  <c r="L869" i="16"/>
  <c r="L870" i="16"/>
  <c r="L871" i="16"/>
  <c r="L872" i="16"/>
  <c r="L873" i="16"/>
  <c r="L874" i="16"/>
  <c r="L875" i="16"/>
  <c r="L876" i="16"/>
  <c r="L877" i="16"/>
  <c r="L878" i="16"/>
  <c r="L879" i="16"/>
  <c r="L880" i="16"/>
  <c r="L881" i="16"/>
  <c r="L882" i="16"/>
  <c r="L883" i="16"/>
  <c r="L884" i="16"/>
  <c r="L885" i="16"/>
  <c r="L886" i="16"/>
  <c r="L887" i="16"/>
  <c r="L888" i="16"/>
  <c r="L889" i="16"/>
  <c r="L890" i="16"/>
  <c r="L891" i="16"/>
  <c r="L892" i="16"/>
  <c r="L893" i="16"/>
  <c r="L894" i="16"/>
  <c r="L895" i="16"/>
  <c r="L896" i="16"/>
  <c r="L897" i="16"/>
  <c r="L898" i="16"/>
  <c r="L899" i="16"/>
  <c r="L900" i="16"/>
  <c r="L901" i="16"/>
  <c r="L902" i="16"/>
  <c r="L903" i="16"/>
  <c r="L904" i="16"/>
  <c r="L905" i="16"/>
  <c r="L906" i="16"/>
  <c r="L907" i="16"/>
  <c r="L908" i="16"/>
  <c r="L909" i="16"/>
  <c r="L910" i="16"/>
  <c r="L911" i="16"/>
  <c r="L912" i="16"/>
  <c r="L913" i="16"/>
  <c r="L914" i="16"/>
  <c r="L915" i="16"/>
  <c r="L916" i="16"/>
  <c r="L917" i="16"/>
  <c r="L918" i="16"/>
  <c r="L919" i="16"/>
  <c r="L920" i="16"/>
  <c r="L921" i="16"/>
  <c r="L922" i="16"/>
  <c r="L923" i="16"/>
  <c r="L924" i="16"/>
  <c r="L925" i="16"/>
  <c r="L926" i="16"/>
  <c r="L927" i="16"/>
  <c r="L928" i="16"/>
  <c r="L929" i="16"/>
  <c r="L930" i="16"/>
  <c r="L931" i="16"/>
  <c r="L932" i="16"/>
  <c r="L933" i="16"/>
  <c r="L934" i="16"/>
  <c r="L935" i="16"/>
  <c r="L936" i="16"/>
  <c r="L937" i="16"/>
  <c r="L938" i="16"/>
  <c r="L939" i="16"/>
  <c r="L940" i="16"/>
  <c r="L941" i="16"/>
  <c r="L942" i="16"/>
  <c r="L943" i="16"/>
  <c r="L944" i="16"/>
  <c r="L945" i="16"/>
  <c r="L946" i="16"/>
  <c r="L947" i="16"/>
  <c r="L948" i="16"/>
  <c r="L949" i="16"/>
  <c r="L950" i="16"/>
  <c r="L951" i="16"/>
  <c r="L952" i="16"/>
  <c r="L953" i="16"/>
  <c r="L954" i="16"/>
  <c r="L955" i="16"/>
  <c r="L956" i="16"/>
  <c r="L957" i="16"/>
  <c r="L958" i="16"/>
  <c r="L959" i="16"/>
  <c r="L960" i="16"/>
  <c r="L961" i="16"/>
  <c r="L962" i="16"/>
  <c r="L963" i="16"/>
  <c r="L964" i="16"/>
  <c r="L965" i="16"/>
  <c r="L966" i="16"/>
  <c r="L967" i="16"/>
  <c r="L968" i="16"/>
  <c r="L969" i="16"/>
  <c r="L970" i="16"/>
  <c r="L971" i="16"/>
  <c r="L972" i="16"/>
  <c r="L973" i="16"/>
  <c r="L974" i="16"/>
  <c r="L975" i="16"/>
  <c r="L976" i="16"/>
  <c r="L977" i="16"/>
  <c r="L978" i="16"/>
  <c r="L979" i="16"/>
  <c r="L980" i="16"/>
  <c r="L981" i="16"/>
  <c r="L982" i="16"/>
  <c r="L983" i="16"/>
  <c r="L984" i="16"/>
  <c r="L985" i="16"/>
  <c r="L986" i="16"/>
  <c r="L987" i="16"/>
  <c r="L988" i="16"/>
  <c r="L989" i="16"/>
  <c r="L990" i="16"/>
  <c r="L991" i="16"/>
  <c r="L992" i="16"/>
  <c r="L993" i="16"/>
  <c r="L994" i="16"/>
  <c r="L995" i="16"/>
  <c r="L996" i="16"/>
  <c r="L997" i="16"/>
  <c r="L998" i="16"/>
  <c r="L999" i="16"/>
  <c r="L1000" i="16"/>
  <c r="L1001" i="16"/>
  <c r="L1002" i="16"/>
  <c r="L1003" i="16"/>
  <c r="L1004" i="16"/>
  <c r="L1005" i="16"/>
  <c r="L1006" i="16"/>
  <c r="L1007" i="16"/>
  <c r="L1008" i="16"/>
  <c r="L1009" i="16"/>
  <c r="L1010" i="16"/>
  <c r="L1011" i="16"/>
  <c r="L1012" i="16"/>
  <c r="L1013" i="16"/>
  <c r="L1014" i="16"/>
  <c r="L1015" i="16"/>
  <c r="L1016" i="16"/>
  <c r="L1017" i="16"/>
  <c r="L1018" i="16"/>
  <c r="L1019" i="16"/>
  <c r="L1020" i="16"/>
  <c r="L1021" i="16"/>
  <c r="L1022" i="16"/>
  <c r="L1023" i="16"/>
  <c r="L1024" i="16"/>
  <c r="L1025" i="16"/>
  <c r="L1026" i="16"/>
  <c r="L1027" i="16"/>
  <c r="L1028" i="16"/>
  <c r="L1029" i="16"/>
  <c r="L1030" i="16"/>
  <c r="L1031" i="16"/>
  <c r="L1032" i="16"/>
  <c r="L1033" i="16"/>
  <c r="L1034" i="16"/>
  <c r="L1035" i="16"/>
  <c r="L1036" i="16"/>
  <c r="L1037" i="16"/>
  <c r="L1038" i="16"/>
  <c r="L1039" i="16"/>
  <c r="L1040" i="16"/>
  <c r="L1041" i="16"/>
  <c r="L1042" i="16"/>
  <c r="L1043" i="16"/>
  <c r="L1044" i="16"/>
  <c r="L1045" i="16"/>
  <c r="L1046" i="16"/>
  <c r="L1047" i="16"/>
  <c r="L1048" i="16"/>
  <c r="L1049" i="16"/>
  <c r="L1050" i="16"/>
  <c r="L1051" i="16"/>
  <c r="L1052" i="16"/>
  <c r="L1053" i="16"/>
  <c r="L1054" i="16"/>
  <c r="L1055" i="16"/>
  <c r="L1056" i="16"/>
  <c r="L1057" i="16"/>
  <c r="L1058" i="16"/>
  <c r="L1059" i="16"/>
  <c r="L1060" i="16"/>
  <c r="L1061" i="16"/>
  <c r="L1062" i="16"/>
  <c r="L1063" i="16"/>
  <c r="L1064" i="16"/>
  <c r="L1065" i="16"/>
  <c r="L1066" i="16"/>
  <c r="L1067" i="16"/>
  <c r="L1068" i="16"/>
  <c r="L1069" i="16"/>
  <c r="L1070" i="16"/>
  <c r="L1071" i="16"/>
  <c r="L1072" i="16"/>
  <c r="L1073" i="16"/>
  <c r="L1074" i="16"/>
  <c r="L1075" i="16"/>
  <c r="L1076" i="16"/>
  <c r="L1077" i="16"/>
  <c r="L1078" i="16"/>
  <c r="L1079" i="16"/>
  <c r="L1080" i="16"/>
  <c r="L1081" i="16"/>
  <c r="L1082" i="16"/>
  <c r="L1083" i="16"/>
  <c r="L1084" i="16"/>
  <c r="L1085" i="16"/>
  <c r="L1086" i="16"/>
  <c r="L1087" i="16"/>
  <c r="L1088" i="16"/>
  <c r="L1089" i="16"/>
  <c r="L1090" i="16"/>
  <c r="L1091" i="16"/>
  <c r="L1092" i="16"/>
  <c r="L1093" i="16"/>
  <c r="L1094" i="16"/>
  <c r="L1095" i="16"/>
  <c r="L1096" i="16"/>
  <c r="L1097" i="16"/>
  <c r="L1098" i="16"/>
  <c r="L1099" i="16"/>
  <c r="L1100" i="16"/>
  <c r="L1101" i="16"/>
  <c r="L1102" i="16"/>
  <c r="L1103" i="16"/>
  <c r="L1104" i="16"/>
  <c r="L1105" i="16"/>
  <c r="L1106" i="16"/>
  <c r="L1107" i="16"/>
  <c r="L1108" i="16"/>
  <c r="L1109" i="16"/>
  <c r="L1110" i="16"/>
  <c r="L1111" i="16"/>
  <c r="L1112" i="16"/>
  <c r="L1113" i="16"/>
  <c r="L1114" i="16"/>
  <c r="L1115" i="16"/>
  <c r="L1116" i="16"/>
  <c r="L1117" i="16"/>
  <c r="L1118" i="16"/>
  <c r="L1119" i="16"/>
  <c r="L1120" i="16"/>
  <c r="L1121" i="16"/>
  <c r="L1122" i="16"/>
  <c r="L1123" i="16"/>
  <c r="L1124" i="16"/>
  <c r="L1125" i="16"/>
  <c r="L1126" i="16"/>
  <c r="L1127" i="16"/>
  <c r="L1128" i="16"/>
  <c r="L1129" i="16"/>
  <c r="L1130" i="16"/>
  <c r="L1131" i="16"/>
  <c r="L1132" i="16"/>
  <c r="L1133" i="16"/>
  <c r="L1134" i="16"/>
  <c r="L1135" i="16"/>
  <c r="L1136" i="16"/>
  <c r="L1137" i="16"/>
  <c r="L1138" i="16"/>
  <c r="L1139" i="16"/>
  <c r="L1140" i="16"/>
  <c r="L1141" i="16"/>
  <c r="L1142" i="16"/>
  <c r="L1143" i="16"/>
  <c r="L1144" i="16"/>
  <c r="L1145" i="16"/>
  <c r="L1146" i="16"/>
  <c r="L1147" i="16"/>
  <c r="L1148" i="16"/>
  <c r="L1149" i="16"/>
  <c r="L1150" i="16"/>
  <c r="L1151" i="16"/>
  <c r="L1152" i="16"/>
  <c r="L1153" i="16"/>
  <c r="L1154" i="16"/>
  <c r="L1155" i="16"/>
  <c r="L1156" i="16"/>
  <c r="L1157" i="16"/>
  <c r="L1158" i="16"/>
  <c r="L1159" i="16"/>
  <c r="L1160" i="16"/>
  <c r="L1161" i="16"/>
  <c r="L1162" i="16"/>
  <c r="L1163" i="16"/>
  <c r="L1164" i="16"/>
  <c r="L1165" i="16"/>
  <c r="L1166" i="16"/>
  <c r="L1167" i="16"/>
  <c r="L1168" i="16"/>
  <c r="L1169" i="16"/>
  <c r="L1170" i="16"/>
  <c r="L1171" i="16"/>
  <c r="L1172" i="16"/>
  <c r="L1173" i="16"/>
  <c r="L1174" i="16"/>
  <c r="L1175" i="16"/>
  <c r="L1176" i="16"/>
  <c r="L1177" i="16"/>
  <c r="L1178" i="16"/>
  <c r="L1179" i="16"/>
  <c r="L1180" i="16"/>
  <c r="L1181" i="16"/>
  <c r="L1182" i="16"/>
  <c r="L1183" i="16"/>
  <c r="L1184" i="16"/>
  <c r="L1185" i="16"/>
  <c r="L1186" i="16"/>
  <c r="L1187" i="16"/>
  <c r="L1188" i="16"/>
  <c r="L1189" i="16"/>
  <c r="L1190" i="16"/>
  <c r="L1191" i="16"/>
  <c r="L1192" i="16"/>
  <c r="L1193" i="16"/>
  <c r="L1194" i="16"/>
  <c r="L1195" i="16"/>
  <c r="L1196" i="16"/>
  <c r="L1197" i="16"/>
  <c r="L1198" i="16"/>
  <c r="L1199" i="16"/>
  <c r="L1200" i="16"/>
  <c r="L1201" i="16"/>
  <c r="L1202" i="16"/>
  <c r="L1203" i="16"/>
  <c r="L1204" i="16"/>
  <c r="L1205" i="16"/>
  <c r="L1206" i="16"/>
  <c r="L1207" i="16"/>
  <c r="L1208" i="16"/>
  <c r="L1209" i="16"/>
  <c r="L1210" i="16"/>
  <c r="L1211" i="16"/>
  <c r="L1212" i="16"/>
  <c r="L1213" i="16"/>
  <c r="L1214" i="16"/>
  <c r="L1215" i="16"/>
  <c r="L1216" i="16"/>
  <c r="L1217" i="16"/>
  <c r="L1218" i="16"/>
  <c r="L1219" i="16"/>
  <c r="L1220" i="16"/>
  <c r="L1221" i="16"/>
  <c r="L1222" i="16"/>
  <c r="L1223" i="16"/>
  <c r="L1224" i="16"/>
  <c r="L1225" i="16"/>
  <c r="L1226" i="16"/>
  <c r="L1227" i="16"/>
  <c r="L1228" i="16"/>
  <c r="L1229" i="16"/>
  <c r="L1230" i="16"/>
  <c r="L1231" i="16"/>
  <c r="L1232" i="16"/>
  <c r="L1233" i="16"/>
  <c r="L1234" i="16"/>
  <c r="L1235" i="16"/>
  <c r="L1236" i="16"/>
  <c r="L1237" i="16"/>
  <c r="L1238" i="16"/>
  <c r="L1239" i="16"/>
  <c r="L1240" i="16"/>
  <c r="L1241" i="16"/>
  <c r="L1242" i="16"/>
  <c r="L1243" i="16"/>
  <c r="L1244" i="16"/>
  <c r="L1245" i="16"/>
  <c r="L1246" i="16"/>
  <c r="L1247" i="16"/>
  <c r="L1248" i="16"/>
  <c r="L1249" i="16"/>
  <c r="L1250" i="16"/>
  <c r="L1251" i="16"/>
  <c r="L1252" i="16"/>
  <c r="L1253" i="16"/>
  <c r="L1254" i="16"/>
  <c r="L1255" i="16"/>
  <c r="L1256" i="16"/>
  <c r="L1257" i="16"/>
  <c r="L1258" i="16"/>
  <c r="L1259" i="16"/>
  <c r="L1260" i="16"/>
  <c r="L1261" i="16"/>
  <c r="L1262" i="16"/>
  <c r="L1263" i="16"/>
  <c r="L1264" i="16"/>
  <c r="L1265" i="16"/>
  <c r="L1266" i="16"/>
  <c r="L1267" i="16"/>
  <c r="L1268" i="16"/>
  <c r="L1269" i="16"/>
  <c r="L1270" i="16"/>
  <c r="L1271" i="16"/>
  <c r="L1272" i="16"/>
  <c r="L1273" i="16"/>
  <c r="L1274" i="16"/>
  <c r="L1275" i="16"/>
  <c r="L1276" i="16"/>
  <c r="L1277" i="16"/>
  <c r="L1278" i="16"/>
  <c r="L1279" i="16"/>
  <c r="L1280" i="16"/>
  <c r="L1281" i="16"/>
  <c r="L1282" i="16"/>
  <c r="L1283" i="16"/>
  <c r="L1284" i="16"/>
  <c r="L1285" i="16"/>
  <c r="L1286" i="16"/>
  <c r="L1287" i="16"/>
  <c r="L1288" i="16"/>
  <c r="L1289" i="16"/>
  <c r="L1290" i="16"/>
  <c r="L1291" i="16"/>
  <c r="L1292" i="16"/>
  <c r="L1293" i="16"/>
  <c r="L1294" i="16"/>
  <c r="L1295" i="16"/>
  <c r="L1296" i="16"/>
  <c r="L1297" i="16"/>
  <c r="L1298" i="16"/>
  <c r="L1299" i="16"/>
  <c r="L1300" i="16"/>
  <c r="L1301" i="16"/>
  <c r="L1302" i="16"/>
  <c r="L1303" i="16"/>
  <c r="L1304" i="16"/>
  <c r="L1305" i="16"/>
  <c r="L1306" i="16"/>
  <c r="L1307" i="16"/>
  <c r="L1308" i="16"/>
  <c r="L1309" i="16"/>
  <c r="L1310" i="16"/>
  <c r="L1311" i="16"/>
  <c r="L1312" i="16"/>
  <c r="L1313" i="16"/>
  <c r="L1314" i="16"/>
  <c r="L1315" i="16"/>
  <c r="L1316" i="16"/>
  <c r="L1317" i="16"/>
  <c r="L1318" i="16"/>
  <c r="L1319" i="16"/>
  <c r="L1320" i="16"/>
  <c r="L1321" i="16"/>
  <c r="L1322" i="16"/>
  <c r="L1323" i="16"/>
  <c r="L1324" i="16"/>
  <c r="L1325" i="16"/>
  <c r="L1326" i="16"/>
  <c r="L1327" i="16"/>
  <c r="L1328" i="16"/>
  <c r="L1329" i="16"/>
  <c r="L1330" i="16"/>
  <c r="L1331" i="16"/>
  <c r="L1332" i="16"/>
  <c r="L1333" i="16"/>
  <c r="L1334" i="16"/>
  <c r="L1335" i="16"/>
  <c r="L1336" i="16"/>
  <c r="L1337" i="16"/>
  <c r="L1338" i="16"/>
  <c r="L1339" i="16"/>
  <c r="L1340" i="16"/>
  <c r="L1341" i="16"/>
  <c r="L1342" i="16"/>
  <c r="L1343" i="16"/>
  <c r="L1344" i="16"/>
  <c r="L1345" i="16"/>
  <c r="L1346" i="16"/>
  <c r="L1347" i="16"/>
  <c r="L1348" i="16"/>
  <c r="L1349" i="16"/>
  <c r="L1350" i="16"/>
  <c r="L1351" i="16"/>
  <c r="L1352" i="16"/>
  <c r="L1353" i="16"/>
  <c r="L1354" i="16"/>
  <c r="L1355" i="16"/>
  <c r="L1356" i="16"/>
  <c r="L1357" i="16"/>
  <c r="L1358" i="16"/>
  <c r="L1359" i="16"/>
  <c r="L1360" i="16"/>
  <c r="L1361" i="16"/>
  <c r="L1362" i="16"/>
  <c r="L1363" i="16"/>
  <c r="L1364" i="16"/>
  <c r="L1365" i="16"/>
  <c r="L1366" i="16"/>
  <c r="L1367" i="16"/>
  <c r="L1368" i="16"/>
  <c r="L1369" i="16"/>
  <c r="L1370" i="16"/>
  <c r="L1371" i="16"/>
  <c r="L1372" i="16"/>
  <c r="L1373" i="16"/>
  <c r="L1374" i="16"/>
  <c r="L1375" i="16"/>
  <c r="L1376" i="16"/>
  <c r="L1377" i="16"/>
  <c r="L1378" i="16"/>
  <c r="L1379" i="16"/>
  <c r="L1380" i="16"/>
  <c r="L1381" i="16"/>
  <c r="L1382" i="16"/>
  <c r="L1383" i="16"/>
  <c r="L1384" i="16"/>
  <c r="L1385" i="16"/>
  <c r="L1386" i="16"/>
  <c r="L1387" i="16"/>
  <c r="L1388" i="16"/>
  <c r="L1389" i="16"/>
  <c r="L1390" i="16"/>
  <c r="L1391" i="16"/>
  <c r="L1392" i="16"/>
  <c r="L1393" i="16"/>
  <c r="L1394" i="16"/>
  <c r="L1395" i="16"/>
  <c r="L1396" i="16"/>
  <c r="L1397" i="16"/>
  <c r="L1398" i="16"/>
  <c r="L1399" i="16"/>
  <c r="L1400" i="16"/>
  <c r="L1401" i="16"/>
  <c r="L1402" i="16"/>
  <c r="L1403" i="16"/>
  <c r="L1404" i="16"/>
  <c r="L1405" i="16"/>
  <c r="L1406" i="16"/>
  <c r="L1407" i="16"/>
  <c r="L1408" i="16"/>
  <c r="L1409" i="16"/>
  <c r="L1410" i="16"/>
  <c r="L1411" i="16"/>
  <c r="L1412" i="16"/>
  <c r="L1413" i="16"/>
  <c r="L1414" i="16"/>
  <c r="L1415" i="16"/>
  <c r="L1416" i="16"/>
  <c r="L1417" i="16"/>
  <c r="L1418" i="16"/>
  <c r="L1419" i="16"/>
  <c r="L1420" i="16"/>
  <c r="L1421" i="16"/>
  <c r="L1422" i="16"/>
  <c r="L1423" i="16"/>
  <c r="L1424" i="16"/>
  <c r="L1425" i="16"/>
  <c r="L1426" i="16"/>
  <c r="L1427" i="16"/>
  <c r="L1428" i="16"/>
  <c r="L1429" i="16"/>
  <c r="L1430" i="16"/>
  <c r="L1431" i="16"/>
  <c r="L1432" i="16"/>
  <c r="L1433" i="16"/>
  <c r="L1434" i="16"/>
  <c r="L1435" i="16"/>
  <c r="L1436" i="16"/>
  <c r="L1437" i="16"/>
  <c r="L1438" i="16"/>
  <c r="L1439" i="16"/>
  <c r="L1440" i="16"/>
  <c r="L1441" i="16"/>
  <c r="L2" i="16"/>
  <c r="M2" i="16"/>
  <c r="N3" i="15"/>
  <c r="N4" i="15"/>
  <c r="N5" i="15"/>
  <c r="N6" i="15"/>
  <c r="N7" i="15"/>
  <c r="N8" i="15"/>
  <c r="N9" i="15"/>
  <c r="N10" i="15"/>
  <c r="N11" i="15"/>
  <c r="N12" i="15"/>
  <c r="N13" i="15"/>
  <c r="N14" i="15"/>
  <c r="J14" i="15" s="1"/>
  <c r="K14" i="16" s="1"/>
  <c r="N15" i="15"/>
  <c r="J15" i="15" s="1"/>
  <c r="K15" i="16" s="1"/>
  <c r="N16" i="15"/>
  <c r="J16" i="15" s="1"/>
  <c r="K16" i="16" s="1"/>
  <c r="N17" i="15"/>
  <c r="N18" i="15"/>
  <c r="N19" i="15"/>
  <c r="N20" i="15"/>
  <c r="N21" i="15"/>
  <c r="N22" i="15"/>
  <c r="N23" i="15"/>
  <c r="Q23" i="15" s="1"/>
  <c r="N24" i="15"/>
  <c r="N25" i="15"/>
  <c r="J25" i="15" s="1"/>
  <c r="K25" i="16" s="1"/>
  <c r="N26" i="15"/>
  <c r="J26" i="15" s="1"/>
  <c r="K26" i="16" s="1"/>
  <c r="N27" i="15"/>
  <c r="N28" i="15"/>
  <c r="N29" i="15"/>
  <c r="N30" i="15"/>
  <c r="Q30" i="15" s="1"/>
  <c r="N31" i="15"/>
  <c r="N32" i="15"/>
  <c r="N33" i="15"/>
  <c r="N34" i="15"/>
  <c r="J34" i="15" s="1"/>
  <c r="K34" i="16" s="1"/>
  <c r="N35" i="15"/>
  <c r="N36" i="15"/>
  <c r="N37" i="15"/>
  <c r="N38" i="15"/>
  <c r="Q38" i="15" s="1"/>
  <c r="N39" i="15"/>
  <c r="Q39" i="15" s="1"/>
  <c r="N40" i="15"/>
  <c r="N41" i="15"/>
  <c r="N42" i="15"/>
  <c r="N43" i="15"/>
  <c r="N44" i="15"/>
  <c r="N45" i="15"/>
  <c r="N46" i="15"/>
  <c r="N47" i="15"/>
  <c r="J47" i="15" s="1"/>
  <c r="K47" i="16" s="1"/>
  <c r="N48" i="15"/>
  <c r="J48" i="15" s="1"/>
  <c r="N49" i="15"/>
  <c r="N50" i="15"/>
  <c r="N51" i="15"/>
  <c r="N52" i="15"/>
  <c r="N53" i="15"/>
  <c r="N54" i="15"/>
  <c r="Q54" i="15" s="1"/>
  <c r="N55" i="15"/>
  <c r="N56" i="15"/>
  <c r="J56" i="15" s="1"/>
  <c r="N57" i="15"/>
  <c r="J57" i="15" s="1"/>
  <c r="K57" i="16" s="1"/>
  <c r="N58" i="15"/>
  <c r="N59" i="15"/>
  <c r="N60" i="15"/>
  <c r="N61" i="15"/>
  <c r="N62" i="15"/>
  <c r="Q62" i="15" s="1"/>
  <c r="N63" i="15"/>
  <c r="Q63" i="15" s="1"/>
  <c r="N64" i="15"/>
  <c r="J64" i="15" s="1"/>
  <c r="N65" i="15"/>
  <c r="J65" i="15" s="1"/>
  <c r="N66" i="15"/>
  <c r="Q66" i="15" s="1"/>
  <c r="N67" i="15"/>
  <c r="N68" i="15"/>
  <c r="N69" i="15"/>
  <c r="N70" i="15"/>
  <c r="N71" i="15"/>
  <c r="Q71" i="15" s="1"/>
  <c r="N72" i="15"/>
  <c r="J72" i="15" s="1"/>
  <c r="K72" i="16" s="1"/>
  <c r="N73" i="15"/>
  <c r="J73" i="15" s="1"/>
  <c r="K73" i="16" s="1"/>
  <c r="N74" i="15"/>
  <c r="Q74" i="15" s="1"/>
  <c r="N75" i="15"/>
  <c r="N76" i="15"/>
  <c r="N77" i="15"/>
  <c r="N78" i="15"/>
  <c r="Q78" i="15" s="1"/>
  <c r="N79" i="15"/>
  <c r="N80" i="15"/>
  <c r="N81" i="15"/>
  <c r="N82" i="15"/>
  <c r="J82" i="15" s="1"/>
  <c r="K82" i="16" s="1"/>
  <c r="N83" i="15"/>
  <c r="N84" i="15"/>
  <c r="N85" i="15"/>
  <c r="N86" i="15"/>
  <c r="N87" i="15"/>
  <c r="Q87" i="15" s="1"/>
  <c r="N88" i="15"/>
  <c r="N89" i="15"/>
  <c r="J89" i="15" s="1"/>
  <c r="N90" i="15"/>
  <c r="N91" i="15"/>
  <c r="N92" i="15"/>
  <c r="N93" i="15"/>
  <c r="N94" i="15"/>
  <c r="Q94" i="15" s="1"/>
  <c r="N95" i="15"/>
  <c r="N96" i="15"/>
  <c r="N97" i="15"/>
  <c r="N98" i="15"/>
  <c r="J98" i="15" s="1"/>
  <c r="K98" i="16" s="1"/>
  <c r="N99" i="15"/>
  <c r="N100" i="15"/>
  <c r="N101" i="15"/>
  <c r="N102" i="15"/>
  <c r="Q102" i="15" s="1"/>
  <c r="N103" i="15"/>
  <c r="J103" i="15" s="1"/>
  <c r="K103" i="16" s="1"/>
  <c r="N104" i="15"/>
  <c r="N105" i="15"/>
  <c r="N106" i="15"/>
  <c r="N107" i="15"/>
  <c r="N108" i="15"/>
  <c r="N109" i="15"/>
  <c r="N110" i="15"/>
  <c r="N111" i="15"/>
  <c r="J111" i="15" s="1"/>
  <c r="K111" i="16" s="1"/>
  <c r="N112" i="15"/>
  <c r="J112" i="15" s="1"/>
  <c r="K112" i="16" s="1"/>
  <c r="N113" i="15"/>
  <c r="N114" i="15"/>
  <c r="N115" i="15"/>
  <c r="N116" i="15"/>
  <c r="N117" i="15"/>
  <c r="N118" i="15"/>
  <c r="Q118" i="15" s="1"/>
  <c r="N119" i="15"/>
  <c r="Q119" i="15" s="1"/>
  <c r="N120" i="15"/>
  <c r="J120" i="15" s="1"/>
  <c r="K120" i="16" s="1"/>
  <c r="N121" i="15"/>
  <c r="J121" i="15" s="1"/>
  <c r="K121" i="16" s="1"/>
  <c r="N122" i="15"/>
  <c r="N123" i="15"/>
  <c r="N124" i="15"/>
  <c r="N125" i="15"/>
  <c r="N126" i="15"/>
  <c r="Q126" i="15" s="1"/>
  <c r="N127" i="15"/>
  <c r="N128" i="15"/>
  <c r="J128" i="15" s="1"/>
  <c r="K128" i="16" s="1"/>
  <c r="N129" i="15"/>
  <c r="J129" i="15" s="1"/>
  <c r="K129" i="16" s="1"/>
  <c r="N130" i="15"/>
  <c r="J130" i="15" s="1"/>
  <c r="K130" i="16" s="1"/>
  <c r="N131" i="15"/>
  <c r="N132" i="15"/>
  <c r="N133" i="15"/>
  <c r="N134" i="15"/>
  <c r="N135" i="15"/>
  <c r="J135" i="15" s="1"/>
  <c r="N136" i="15"/>
  <c r="J136" i="15" s="1"/>
  <c r="K136" i="16" s="1"/>
  <c r="N137" i="15"/>
  <c r="J137" i="15" s="1"/>
  <c r="K137" i="16" s="1"/>
  <c r="N138" i="15"/>
  <c r="N139" i="15"/>
  <c r="N140" i="15"/>
  <c r="N141" i="15"/>
  <c r="N142" i="15"/>
  <c r="Q142" i="15" s="1"/>
  <c r="N143" i="15"/>
  <c r="Q143" i="15" s="1"/>
  <c r="N144" i="15"/>
  <c r="J144" i="15" s="1"/>
  <c r="N145" i="15"/>
  <c r="N146" i="15"/>
  <c r="N147" i="15"/>
  <c r="N148" i="15"/>
  <c r="N149" i="15"/>
  <c r="N150" i="15"/>
  <c r="N151" i="15"/>
  <c r="J151" i="15" s="1"/>
  <c r="N152" i="15"/>
  <c r="N153" i="15"/>
  <c r="J153" i="15" s="1"/>
  <c r="N154" i="15"/>
  <c r="H154" i="16" s="1"/>
  <c r="N155" i="15"/>
  <c r="N156" i="15"/>
  <c r="N157" i="15"/>
  <c r="N158" i="15"/>
  <c r="N159" i="15"/>
  <c r="N160" i="15"/>
  <c r="N161" i="15"/>
  <c r="N162" i="15"/>
  <c r="J162" i="15" s="1"/>
  <c r="K162" i="16" s="1"/>
  <c r="N163" i="15"/>
  <c r="N164" i="15"/>
  <c r="N165" i="15"/>
  <c r="N166" i="15"/>
  <c r="N167" i="15"/>
  <c r="J167" i="15" s="1"/>
  <c r="K167" i="16" s="1"/>
  <c r="N168" i="15"/>
  <c r="N169" i="15"/>
  <c r="N170" i="15"/>
  <c r="N171" i="15"/>
  <c r="N172" i="15"/>
  <c r="N173" i="15"/>
  <c r="N174" i="15"/>
  <c r="Q174" i="15" s="1"/>
  <c r="N175" i="15"/>
  <c r="H175" i="16" s="1"/>
  <c r="N176" i="15"/>
  <c r="N177" i="15"/>
  <c r="N178" i="15"/>
  <c r="N179" i="15"/>
  <c r="N180" i="15"/>
  <c r="N181" i="15"/>
  <c r="N182" i="15"/>
  <c r="Q182" i="15" s="1"/>
  <c r="N183" i="15"/>
  <c r="N184" i="15"/>
  <c r="N185" i="15"/>
  <c r="N186" i="15"/>
  <c r="N187" i="15"/>
  <c r="N188" i="15"/>
  <c r="N189" i="15"/>
  <c r="N190" i="15"/>
  <c r="Q190" i="15" s="1"/>
  <c r="N191" i="15"/>
  <c r="Q191" i="15" s="1"/>
  <c r="N192" i="15"/>
  <c r="Q192" i="15" s="1"/>
  <c r="N193" i="15"/>
  <c r="Q193" i="15" s="1"/>
  <c r="N194" i="15"/>
  <c r="Q194" i="15" s="1"/>
  <c r="N195" i="15"/>
  <c r="N196" i="15"/>
  <c r="N197" i="15"/>
  <c r="N198" i="15"/>
  <c r="Q198" i="15" s="1"/>
  <c r="N199" i="15"/>
  <c r="Q199" i="15" s="1"/>
  <c r="N200" i="15"/>
  <c r="Q200" i="15" s="1"/>
  <c r="N201" i="15"/>
  <c r="Q201" i="15" s="1"/>
  <c r="N202" i="15"/>
  <c r="Q202" i="15" s="1"/>
  <c r="N203" i="15"/>
  <c r="N204" i="15"/>
  <c r="N205" i="15"/>
  <c r="N206" i="15"/>
  <c r="Q206" i="15" s="1"/>
  <c r="N207" i="15"/>
  <c r="Q207" i="15" s="1"/>
  <c r="N208" i="15"/>
  <c r="Q208" i="15" s="1"/>
  <c r="N209" i="15"/>
  <c r="Q209" i="15" s="1"/>
  <c r="N210" i="15"/>
  <c r="Q210" i="15" s="1"/>
  <c r="N211" i="15"/>
  <c r="N212" i="15"/>
  <c r="N213" i="15"/>
  <c r="N214" i="15"/>
  <c r="Q214" i="15" s="1"/>
  <c r="N215" i="15"/>
  <c r="Q215" i="15" s="1"/>
  <c r="N216" i="15"/>
  <c r="Q216" i="15" s="1"/>
  <c r="N217" i="15"/>
  <c r="N218" i="15"/>
  <c r="N219" i="15"/>
  <c r="N220" i="15"/>
  <c r="N221" i="15"/>
  <c r="N222" i="15"/>
  <c r="Q222" i="15" s="1"/>
  <c r="N223" i="15"/>
  <c r="Q223" i="15" s="1"/>
  <c r="N224" i="15"/>
  <c r="Q224" i="15" s="1"/>
  <c r="N225" i="15"/>
  <c r="Q225" i="15" s="1"/>
  <c r="N226" i="15"/>
  <c r="Q226" i="15" s="1"/>
  <c r="N227" i="15"/>
  <c r="N228" i="15"/>
  <c r="N229" i="15"/>
  <c r="N230" i="15"/>
  <c r="N231" i="15"/>
  <c r="N232" i="15"/>
  <c r="Q232" i="15" s="1"/>
  <c r="N233" i="15"/>
  <c r="Q233" i="15" s="1"/>
  <c r="N234" i="15"/>
  <c r="N235" i="15"/>
  <c r="N236" i="15"/>
  <c r="N237" i="15"/>
  <c r="N238" i="15"/>
  <c r="N239" i="15"/>
  <c r="H239" i="16" s="1"/>
  <c r="N240" i="15"/>
  <c r="Q240" i="15" s="1"/>
  <c r="N241" i="15"/>
  <c r="Q241" i="15" s="1"/>
  <c r="N242" i="15"/>
  <c r="Q242" i="15" s="1"/>
  <c r="N243" i="15"/>
  <c r="N244" i="15"/>
  <c r="N245" i="15"/>
  <c r="N246" i="15"/>
  <c r="N247" i="15"/>
  <c r="Q247" i="15" s="1"/>
  <c r="N248" i="15"/>
  <c r="Q248" i="15" s="1"/>
  <c r="N249" i="15"/>
  <c r="H249" i="16" s="1"/>
  <c r="N250" i="15"/>
  <c r="N251" i="15"/>
  <c r="N252" i="15"/>
  <c r="N253" i="15"/>
  <c r="N254" i="15"/>
  <c r="Q254" i="15" s="1"/>
  <c r="N255" i="15"/>
  <c r="H255" i="16" s="1"/>
  <c r="N256" i="15"/>
  <c r="H256" i="16" s="1"/>
  <c r="N257" i="15"/>
  <c r="Q257" i="15" s="1"/>
  <c r="N258" i="15"/>
  <c r="N259" i="15"/>
  <c r="N260" i="15"/>
  <c r="N261" i="15"/>
  <c r="N262" i="15"/>
  <c r="Q262" i="15" s="1"/>
  <c r="N263" i="15"/>
  <c r="N264" i="15"/>
  <c r="H264" i="16" s="1"/>
  <c r="N265" i="15"/>
  <c r="H265" i="16" s="1"/>
  <c r="N266" i="15"/>
  <c r="N267" i="15"/>
  <c r="N268" i="15"/>
  <c r="N269" i="15"/>
  <c r="N270" i="15"/>
  <c r="N271" i="15"/>
  <c r="N272" i="15"/>
  <c r="Q272" i="15" s="1"/>
  <c r="N273" i="15"/>
  <c r="Q273" i="15" s="1"/>
  <c r="N274" i="15"/>
  <c r="N275" i="15"/>
  <c r="N276" i="15"/>
  <c r="N277" i="15"/>
  <c r="N278" i="15"/>
  <c r="Q278" i="15" s="1"/>
  <c r="N279" i="15"/>
  <c r="Q279" i="15" s="1"/>
  <c r="N280" i="15"/>
  <c r="Q280" i="15" s="1"/>
  <c r="N281" i="15"/>
  <c r="Q281" i="15" s="1"/>
  <c r="N282" i="15"/>
  <c r="N283" i="15"/>
  <c r="N284" i="15"/>
  <c r="N285" i="15"/>
  <c r="N286" i="15"/>
  <c r="Q286" i="15" s="1"/>
  <c r="N287" i="15"/>
  <c r="Q287" i="15" s="1"/>
  <c r="N288" i="15"/>
  <c r="Q288" i="15" s="1"/>
  <c r="N289" i="15"/>
  <c r="Q289" i="15" s="1"/>
  <c r="N290" i="15"/>
  <c r="N291" i="15"/>
  <c r="N292" i="15"/>
  <c r="N293" i="15"/>
  <c r="N294" i="15"/>
  <c r="Q294" i="15" s="1"/>
  <c r="N295" i="15"/>
  <c r="Q295" i="15" s="1"/>
  <c r="N296" i="15"/>
  <c r="Q296" i="15" s="1"/>
  <c r="N297" i="15"/>
  <c r="Q297" i="15" s="1"/>
  <c r="N298" i="15"/>
  <c r="Q298" i="15" s="1"/>
  <c r="N299" i="15"/>
  <c r="N300" i="15"/>
  <c r="N301" i="15"/>
  <c r="N302" i="15"/>
  <c r="Q302" i="15" s="1"/>
  <c r="N303" i="15"/>
  <c r="N304" i="15"/>
  <c r="Q304" i="15" s="1"/>
  <c r="N305" i="15"/>
  <c r="Q305" i="15" s="1"/>
  <c r="N306" i="15"/>
  <c r="Q306" i="15" s="1"/>
  <c r="N307" i="15"/>
  <c r="N308" i="15"/>
  <c r="N309" i="15"/>
  <c r="N310" i="15"/>
  <c r="Q310" i="15" s="1"/>
  <c r="N311" i="15"/>
  <c r="N312" i="15"/>
  <c r="N313" i="15"/>
  <c r="N314" i="15"/>
  <c r="Q314" i="15" s="1"/>
  <c r="N315" i="15"/>
  <c r="N316" i="15"/>
  <c r="N317" i="15"/>
  <c r="N318" i="15"/>
  <c r="N319" i="15"/>
  <c r="H319" i="16" s="1"/>
  <c r="N320" i="15"/>
  <c r="Q320" i="15" s="1"/>
  <c r="N321" i="15"/>
  <c r="H321" i="16" s="1"/>
  <c r="N322" i="15"/>
  <c r="Q322" i="15" s="1"/>
  <c r="N323" i="15"/>
  <c r="N324" i="15"/>
  <c r="N325" i="15"/>
  <c r="N326" i="15"/>
  <c r="N327" i="15"/>
  <c r="Q327" i="15" s="1"/>
  <c r="N328" i="15"/>
  <c r="Q328" i="15" s="1"/>
  <c r="N329" i="15"/>
  <c r="Q329" i="15" s="1"/>
  <c r="N330" i="15"/>
  <c r="N331" i="15"/>
  <c r="N332" i="15"/>
  <c r="N333" i="15"/>
  <c r="N334" i="15"/>
  <c r="N335" i="15"/>
  <c r="N336" i="15"/>
  <c r="H336" i="16" s="1"/>
  <c r="N337" i="15"/>
  <c r="Q337" i="15" s="1"/>
  <c r="N338" i="15"/>
  <c r="Q338" i="15" s="1"/>
  <c r="N339" i="15"/>
  <c r="N340" i="15"/>
  <c r="N341" i="15"/>
  <c r="N342" i="15"/>
  <c r="Q342" i="15" s="1"/>
  <c r="N343" i="15"/>
  <c r="Q343" i="15" s="1"/>
  <c r="N344" i="15"/>
  <c r="N345" i="15"/>
  <c r="H345" i="16" s="1"/>
  <c r="N346" i="15"/>
  <c r="N347" i="15"/>
  <c r="N348" i="15"/>
  <c r="N349" i="15"/>
  <c r="N350" i="15"/>
  <c r="Q350" i="15" s="1"/>
  <c r="N351" i="15"/>
  <c r="N352" i="15"/>
  <c r="Q352" i="15" s="1"/>
  <c r="N353" i="15"/>
  <c r="N354" i="15"/>
  <c r="N355" i="15"/>
  <c r="N356" i="15"/>
  <c r="N357" i="15"/>
  <c r="N358" i="15"/>
  <c r="Q358" i="15" s="1"/>
  <c r="N359" i="15"/>
  <c r="N360" i="15"/>
  <c r="N361" i="15"/>
  <c r="N362" i="15"/>
  <c r="Q362" i="15" s="1"/>
  <c r="N363" i="15"/>
  <c r="N364" i="15"/>
  <c r="N365" i="15"/>
  <c r="N366" i="15"/>
  <c r="Q366" i="15" s="1"/>
  <c r="N367" i="15"/>
  <c r="Q367" i="15" s="1"/>
  <c r="N368" i="15"/>
  <c r="Q368" i="15" s="1"/>
  <c r="N369" i="15"/>
  <c r="Q369" i="15" s="1"/>
  <c r="N370" i="15"/>
  <c r="Q370" i="15" s="1"/>
  <c r="N371" i="15"/>
  <c r="N372" i="15"/>
  <c r="N373" i="15"/>
  <c r="N374" i="15"/>
  <c r="Q374" i="15" s="1"/>
  <c r="N375" i="15"/>
  <c r="Q375" i="15" s="1"/>
  <c r="N376" i="15"/>
  <c r="Q376" i="15" s="1"/>
  <c r="N377" i="15"/>
  <c r="Q377" i="15" s="1"/>
  <c r="N378" i="15"/>
  <c r="Q378" i="15" s="1"/>
  <c r="N379" i="15"/>
  <c r="N380" i="15"/>
  <c r="N381" i="15"/>
  <c r="N382" i="15"/>
  <c r="Q382" i="15" s="1"/>
  <c r="N383" i="15"/>
  <c r="N384" i="15"/>
  <c r="N385" i="15"/>
  <c r="Q385" i="15" s="1"/>
  <c r="N386" i="15"/>
  <c r="Q386" i="15" s="1"/>
  <c r="N387" i="15"/>
  <c r="N388" i="15"/>
  <c r="N389" i="15"/>
  <c r="N390" i="15"/>
  <c r="Q390" i="15" s="1"/>
  <c r="N391" i="15"/>
  <c r="N392" i="15"/>
  <c r="N393" i="15"/>
  <c r="N394" i="15"/>
  <c r="Q394" i="15" s="1"/>
  <c r="N395" i="15"/>
  <c r="N396" i="15"/>
  <c r="N397" i="15"/>
  <c r="N398" i="15"/>
  <c r="Q398" i="15" s="1"/>
  <c r="N399" i="15"/>
  <c r="Q399" i="15" s="1"/>
  <c r="N400" i="15"/>
  <c r="Q400" i="15" s="1"/>
  <c r="N401" i="15"/>
  <c r="Q401" i="15" s="1"/>
  <c r="N402" i="15"/>
  <c r="Q402" i="15" s="1"/>
  <c r="N403" i="15"/>
  <c r="N404" i="15"/>
  <c r="N405" i="15"/>
  <c r="N406" i="15"/>
  <c r="Q406" i="15" s="1"/>
  <c r="N407" i="15"/>
  <c r="Q407" i="15" s="1"/>
  <c r="N408" i="15"/>
  <c r="N409" i="15"/>
  <c r="H409" i="16" s="1"/>
  <c r="N410" i="15"/>
  <c r="N411" i="15"/>
  <c r="N412" i="15"/>
  <c r="N413" i="15"/>
  <c r="N414" i="15"/>
  <c r="N415" i="15"/>
  <c r="Q415" i="15" s="1"/>
  <c r="N416" i="15"/>
  <c r="Q416" i="15" s="1"/>
  <c r="N417" i="15"/>
  <c r="Q417" i="15" s="1"/>
  <c r="N418" i="15"/>
  <c r="N419" i="15"/>
  <c r="N420" i="15"/>
  <c r="N421" i="15"/>
  <c r="N422" i="15"/>
  <c r="Q422" i="15" s="1"/>
  <c r="N423" i="15"/>
  <c r="Q423" i="15" s="1"/>
  <c r="N424" i="15"/>
  <c r="Q424" i="15" s="1"/>
  <c r="N425" i="15"/>
  <c r="Q425" i="15" s="1"/>
  <c r="N426" i="15"/>
  <c r="N427" i="15"/>
  <c r="N428" i="15"/>
  <c r="N429" i="15"/>
  <c r="N430" i="15"/>
  <c r="N431" i="15"/>
  <c r="H431" i="16" s="1"/>
  <c r="N432" i="15"/>
  <c r="Q432" i="15" s="1"/>
  <c r="N433" i="15"/>
  <c r="Q433" i="15" s="1"/>
  <c r="N434" i="15"/>
  <c r="N435" i="15"/>
  <c r="N436" i="15"/>
  <c r="N437" i="15"/>
  <c r="N438" i="15"/>
  <c r="N439" i="15"/>
  <c r="H439" i="16" s="1"/>
  <c r="N440" i="15"/>
  <c r="N441" i="15"/>
  <c r="H441" i="16" s="1"/>
  <c r="N442" i="15"/>
  <c r="N443" i="15"/>
  <c r="N444" i="15"/>
  <c r="N445" i="15"/>
  <c r="N446" i="15"/>
  <c r="N447" i="15"/>
  <c r="Q447" i="15" s="1"/>
  <c r="N448" i="15"/>
  <c r="H448" i="16" s="1"/>
  <c r="N449" i="15"/>
  <c r="H449" i="16" s="1"/>
  <c r="N450" i="15"/>
  <c r="N451" i="15"/>
  <c r="N452" i="15"/>
  <c r="N453" i="15"/>
  <c r="N454" i="15"/>
  <c r="Q454" i="15" s="1"/>
  <c r="N455" i="15"/>
  <c r="Q455" i="15" s="1"/>
  <c r="N456" i="15"/>
  <c r="Q456" i="15" s="1"/>
  <c r="N457" i="15"/>
  <c r="Q457" i="15" s="1"/>
  <c r="N458" i="15"/>
  <c r="N459" i="15"/>
  <c r="N460" i="15"/>
  <c r="N461" i="15"/>
  <c r="N462" i="15"/>
  <c r="Q462" i="15" s="1"/>
  <c r="N463" i="15"/>
  <c r="Q463" i="15" s="1"/>
  <c r="N464" i="15"/>
  <c r="Q464" i="15" s="1"/>
  <c r="N465" i="15"/>
  <c r="Q465" i="15" s="1"/>
  <c r="N466" i="15"/>
  <c r="N467" i="15"/>
  <c r="N468" i="15"/>
  <c r="N469" i="15"/>
  <c r="N470" i="15"/>
  <c r="Q470" i="15" s="1"/>
  <c r="N471" i="15"/>
  <c r="Q471" i="15" s="1"/>
  <c r="N472" i="15"/>
  <c r="Q472" i="15" s="1"/>
  <c r="N473" i="15"/>
  <c r="N474" i="15"/>
  <c r="J474" i="15" s="1"/>
  <c r="K474" i="16" s="1"/>
  <c r="N475" i="15"/>
  <c r="N476" i="15"/>
  <c r="N477" i="15"/>
  <c r="N478" i="15"/>
  <c r="Q478" i="15" s="1"/>
  <c r="N479" i="15"/>
  <c r="Q479" i="15" s="1"/>
  <c r="N480" i="15"/>
  <c r="Q480" i="15" s="1"/>
  <c r="N481" i="15"/>
  <c r="Q481" i="15" s="1"/>
  <c r="N482" i="15"/>
  <c r="N483" i="15"/>
  <c r="N484" i="15"/>
  <c r="N485" i="15"/>
  <c r="N486" i="15"/>
  <c r="Q486" i="15" s="1"/>
  <c r="N487" i="15"/>
  <c r="N488" i="15"/>
  <c r="Q488" i="15" s="1"/>
  <c r="N489" i="15"/>
  <c r="Q489" i="15" s="1"/>
  <c r="N490" i="15"/>
  <c r="N491" i="15"/>
  <c r="N492" i="15"/>
  <c r="N493" i="15"/>
  <c r="N494" i="15"/>
  <c r="Q494" i="15" s="1"/>
  <c r="N495" i="15"/>
  <c r="Q495" i="15" s="1"/>
  <c r="N496" i="15"/>
  <c r="Q496" i="15" s="1"/>
  <c r="N497" i="15"/>
  <c r="Q497" i="15" s="1"/>
  <c r="N498" i="15"/>
  <c r="N499" i="15"/>
  <c r="N500" i="15"/>
  <c r="N501" i="15"/>
  <c r="N502" i="15"/>
  <c r="Q502" i="15" s="1"/>
  <c r="N503" i="15"/>
  <c r="Q503" i="15" s="1"/>
  <c r="N504" i="15"/>
  <c r="Q504" i="15" s="1"/>
  <c r="N505" i="15"/>
  <c r="H505" i="16" s="1"/>
  <c r="N506" i="15"/>
  <c r="N507" i="15"/>
  <c r="N508" i="15"/>
  <c r="N509" i="15"/>
  <c r="N510" i="15"/>
  <c r="Q510" i="15" s="1"/>
  <c r="N511" i="15"/>
  <c r="H511" i="16" s="1"/>
  <c r="N512" i="15"/>
  <c r="N513" i="15"/>
  <c r="Q513" i="15" s="1"/>
  <c r="N514" i="15"/>
  <c r="N515" i="15"/>
  <c r="N516" i="15"/>
  <c r="N517" i="15"/>
  <c r="N518" i="15"/>
  <c r="Q518" i="15" s="1"/>
  <c r="N519" i="15"/>
  <c r="N520" i="15"/>
  <c r="H520" i="16" s="1"/>
  <c r="N521" i="15"/>
  <c r="H521" i="16" s="1"/>
  <c r="N522" i="15"/>
  <c r="N523" i="15"/>
  <c r="N524" i="15"/>
  <c r="N525" i="15"/>
  <c r="N526" i="15"/>
  <c r="Q526" i="15" s="1"/>
  <c r="N527" i="15"/>
  <c r="Q527" i="15" s="1"/>
  <c r="N528" i="15"/>
  <c r="Q528" i="15" s="1"/>
  <c r="N529" i="15"/>
  <c r="H529" i="16" s="1"/>
  <c r="N530" i="15"/>
  <c r="N531" i="15"/>
  <c r="N532" i="15"/>
  <c r="N533" i="15"/>
  <c r="N534" i="15"/>
  <c r="N535" i="15"/>
  <c r="Q535" i="15" s="1"/>
  <c r="N536" i="15"/>
  <c r="Q536" i="15" s="1"/>
  <c r="N537" i="15"/>
  <c r="Q537" i="15" s="1"/>
  <c r="N538" i="15"/>
  <c r="N539" i="15"/>
  <c r="N540" i="15"/>
  <c r="N541" i="15"/>
  <c r="N542" i="15"/>
  <c r="Q542" i="15" s="1"/>
  <c r="N543" i="15"/>
  <c r="Q543" i="15" s="1"/>
  <c r="N544" i="15"/>
  <c r="Q544" i="15" s="1"/>
  <c r="N545" i="15"/>
  <c r="Q545" i="15" s="1"/>
  <c r="N546" i="15"/>
  <c r="N547" i="15"/>
  <c r="N548" i="15"/>
  <c r="N549" i="15"/>
  <c r="N550" i="15"/>
  <c r="Q550" i="15" s="1"/>
  <c r="N551" i="15"/>
  <c r="Q551" i="15" s="1"/>
  <c r="N552" i="15"/>
  <c r="Q552" i="15" s="1"/>
  <c r="N553" i="15"/>
  <c r="Q553" i="15" s="1"/>
  <c r="N554" i="15"/>
  <c r="N555" i="15"/>
  <c r="N556" i="15"/>
  <c r="N557" i="15"/>
  <c r="N558" i="15"/>
  <c r="Q558" i="15" s="1"/>
  <c r="N559" i="15"/>
  <c r="N560" i="15"/>
  <c r="Q560" i="15" s="1"/>
  <c r="N561" i="15"/>
  <c r="Q561" i="15" s="1"/>
  <c r="N562" i="15"/>
  <c r="N563" i="15"/>
  <c r="N564" i="15"/>
  <c r="N565" i="15"/>
  <c r="N566" i="15"/>
  <c r="Q566" i="15" s="1"/>
  <c r="N567" i="15"/>
  <c r="N568" i="15"/>
  <c r="N569" i="15"/>
  <c r="N570" i="15"/>
  <c r="N571" i="15"/>
  <c r="N572" i="15"/>
  <c r="N573" i="15"/>
  <c r="N574" i="15"/>
  <c r="Q574" i="15" s="1"/>
  <c r="N575" i="15"/>
  <c r="Q575" i="15" s="1"/>
  <c r="N576" i="15"/>
  <c r="Q576" i="15" s="1"/>
  <c r="N577" i="15"/>
  <c r="Q577" i="15" s="1"/>
  <c r="N578" i="15"/>
  <c r="N579" i="15"/>
  <c r="N580" i="15"/>
  <c r="N581" i="15"/>
  <c r="N582" i="15"/>
  <c r="Q582" i="15" s="1"/>
  <c r="N583" i="15"/>
  <c r="Q583" i="15" s="1"/>
  <c r="N584" i="15"/>
  <c r="Q584" i="15" s="1"/>
  <c r="N585" i="15"/>
  <c r="Q585" i="15" s="1"/>
  <c r="N586" i="15"/>
  <c r="N587" i="15"/>
  <c r="N588" i="15"/>
  <c r="N589" i="15"/>
  <c r="N590" i="15"/>
  <c r="N591" i="15"/>
  <c r="Q591" i="15" s="1"/>
  <c r="N592" i="15"/>
  <c r="Q592" i="15" s="1"/>
  <c r="N593" i="15"/>
  <c r="Q593" i="15" s="1"/>
  <c r="N594" i="15"/>
  <c r="N595" i="15"/>
  <c r="N596" i="15"/>
  <c r="N597" i="15"/>
  <c r="N598" i="15"/>
  <c r="Q598" i="15" s="1"/>
  <c r="N599" i="15"/>
  <c r="N600" i="15"/>
  <c r="Q600" i="15" s="1"/>
  <c r="N601" i="15"/>
  <c r="H601" i="16" s="1"/>
  <c r="N602" i="15"/>
  <c r="N603" i="15"/>
  <c r="N604" i="15"/>
  <c r="N605" i="15"/>
  <c r="N606" i="15"/>
  <c r="N607" i="15"/>
  <c r="Q607" i="15" s="1"/>
  <c r="N608" i="15"/>
  <c r="Q608" i="15" s="1"/>
  <c r="N609" i="15"/>
  <c r="Q609" i="15" s="1"/>
  <c r="N610" i="15"/>
  <c r="N611" i="15"/>
  <c r="N612" i="15"/>
  <c r="N613" i="15"/>
  <c r="N614" i="15"/>
  <c r="N615" i="15"/>
  <c r="H615" i="16" s="1"/>
  <c r="N616" i="15"/>
  <c r="N617" i="15"/>
  <c r="Q617" i="15" s="1"/>
  <c r="N618" i="15"/>
  <c r="N619" i="15"/>
  <c r="N620" i="15"/>
  <c r="N621" i="15"/>
  <c r="N622" i="15"/>
  <c r="Q622" i="15" s="1"/>
  <c r="N623" i="15"/>
  <c r="H623" i="16" s="1"/>
  <c r="N624" i="15"/>
  <c r="H624" i="16" s="1"/>
  <c r="N625" i="15"/>
  <c r="Q625" i="15" s="1"/>
  <c r="N626" i="15"/>
  <c r="N627" i="15"/>
  <c r="N628" i="15"/>
  <c r="N629" i="15"/>
  <c r="N630" i="15"/>
  <c r="Q630" i="15" s="1"/>
  <c r="N631" i="15"/>
  <c r="H631" i="16" s="1"/>
  <c r="N632" i="15"/>
  <c r="Q632" i="15" s="1"/>
  <c r="N633" i="15"/>
  <c r="Q633" i="15" s="1"/>
  <c r="N634" i="15"/>
  <c r="N635" i="15"/>
  <c r="N636" i="15"/>
  <c r="N637" i="15"/>
  <c r="N638" i="15"/>
  <c r="Q638" i="15" s="1"/>
  <c r="N639" i="15"/>
  <c r="N640" i="15"/>
  <c r="N641" i="15"/>
  <c r="Q641" i="15" s="1"/>
  <c r="N642" i="15"/>
  <c r="N643" i="15"/>
  <c r="N644" i="15"/>
  <c r="N645" i="15"/>
  <c r="N646" i="15"/>
  <c r="Q646" i="15" s="1"/>
  <c r="N647" i="15"/>
  <c r="N648" i="15"/>
  <c r="N649" i="15"/>
  <c r="N650" i="15"/>
  <c r="N651" i="15"/>
  <c r="N652" i="15"/>
  <c r="N653" i="15"/>
  <c r="N654" i="15"/>
  <c r="Q654" i="15" s="1"/>
  <c r="N655" i="15"/>
  <c r="Q655" i="15" s="1"/>
  <c r="N656" i="15"/>
  <c r="Q656" i="15" s="1"/>
  <c r="N657" i="15"/>
  <c r="Q657" i="15" s="1"/>
  <c r="N658" i="15"/>
  <c r="N659" i="15"/>
  <c r="N660" i="15"/>
  <c r="N661" i="15"/>
  <c r="N662" i="15"/>
  <c r="Q662" i="15" s="1"/>
  <c r="N663" i="15"/>
  <c r="Q663" i="15" s="1"/>
  <c r="N664" i="15"/>
  <c r="Q664" i="15" s="1"/>
  <c r="N665" i="15"/>
  <c r="Q665" i="15" s="1"/>
  <c r="N666" i="15"/>
  <c r="N667" i="15"/>
  <c r="N668" i="15"/>
  <c r="N669" i="15"/>
  <c r="N670" i="15"/>
  <c r="Q670" i="15" s="1"/>
  <c r="N671" i="15"/>
  <c r="Q671" i="15" s="1"/>
  <c r="N672" i="15"/>
  <c r="Q672" i="15" s="1"/>
  <c r="N673" i="15"/>
  <c r="Q673" i="15" s="1"/>
  <c r="N674" i="15"/>
  <c r="J674" i="15" s="1"/>
  <c r="K674" i="16" s="1"/>
  <c r="N675" i="15"/>
  <c r="N676" i="15"/>
  <c r="N677" i="15"/>
  <c r="N678" i="15"/>
  <c r="Q678" i="15" s="1"/>
  <c r="N679" i="15"/>
  <c r="H679" i="16" s="1"/>
  <c r="N680" i="15"/>
  <c r="N681" i="15"/>
  <c r="N682" i="15"/>
  <c r="N683" i="15"/>
  <c r="N684" i="15"/>
  <c r="N685" i="15"/>
  <c r="N686" i="15"/>
  <c r="Q686" i="15" s="1"/>
  <c r="N687" i="15"/>
  <c r="N688" i="15"/>
  <c r="Q688" i="15" s="1"/>
  <c r="N689" i="15"/>
  <c r="N690" i="15"/>
  <c r="N691" i="15"/>
  <c r="N692" i="15"/>
  <c r="N693" i="15"/>
  <c r="N694" i="15"/>
  <c r="Q694" i="15" s="1"/>
  <c r="N695" i="15"/>
  <c r="N696" i="15"/>
  <c r="H696" i="16" s="1"/>
  <c r="N697" i="15"/>
  <c r="N698" i="15"/>
  <c r="N699" i="15"/>
  <c r="N700" i="15"/>
  <c r="N701" i="15"/>
  <c r="N702" i="15"/>
  <c r="Q702" i="15" s="1"/>
  <c r="N703" i="15"/>
  <c r="Q703" i="15" s="1"/>
  <c r="N704" i="15"/>
  <c r="H704" i="16" s="1"/>
  <c r="N705" i="15"/>
  <c r="H705" i="16" s="1"/>
  <c r="N706" i="15"/>
  <c r="N707" i="15"/>
  <c r="N708" i="15"/>
  <c r="N709" i="15"/>
  <c r="N710" i="15"/>
  <c r="Q710" i="15" s="1"/>
  <c r="N711" i="15"/>
  <c r="H711" i="16" s="1"/>
  <c r="N712" i="15"/>
  <c r="Q712" i="15" s="1"/>
  <c r="N713" i="15"/>
  <c r="H713" i="16" s="1"/>
  <c r="N714" i="15"/>
  <c r="N715" i="15"/>
  <c r="N716" i="15"/>
  <c r="N717" i="15"/>
  <c r="N718" i="15"/>
  <c r="Q718" i="15" s="1"/>
  <c r="N719" i="15"/>
  <c r="Q719" i="15" s="1"/>
  <c r="N720" i="15"/>
  <c r="Q720" i="15" s="1"/>
  <c r="N721" i="15"/>
  <c r="H721" i="16" s="1"/>
  <c r="N722" i="15"/>
  <c r="N723" i="15"/>
  <c r="N724" i="15"/>
  <c r="N725" i="15"/>
  <c r="N726" i="15"/>
  <c r="Q726" i="15" s="1"/>
  <c r="N727" i="15"/>
  <c r="Q727" i="15" s="1"/>
  <c r="N728" i="15"/>
  <c r="Q728" i="15" s="1"/>
  <c r="N729" i="15"/>
  <c r="N730" i="15"/>
  <c r="N731" i="15"/>
  <c r="N732" i="15"/>
  <c r="N733" i="15"/>
  <c r="N734" i="15"/>
  <c r="Q734" i="15" s="1"/>
  <c r="N735" i="15"/>
  <c r="Q735" i="15" s="1"/>
  <c r="N736" i="15"/>
  <c r="Q736" i="15" s="1"/>
  <c r="N737" i="15"/>
  <c r="Q737" i="15" s="1"/>
  <c r="N738" i="15"/>
  <c r="N739" i="15"/>
  <c r="N740" i="15"/>
  <c r="N741" i="15"/>
  <c r="N742" i="15"/>
  <c r="Q742" i="15" s="1"/>
  <c r="N743" i="15"/>
  <c r="N744" i="15"/>
  <c r="Q744" i="15" s="1"/>
  <c r="N745" i="15"/>
  <c r="Q745" i="15" s="1"/>
  <c r="N746" i="15"/>
  <c r="N747" i="15"/>
  <c r="N748" i="15"/>
  <c r="N749" i="15"/>
  <c r="N750" i="15"/>
  <c r="Q750" i="15" s="1"/>
  <c r="N751" i="15"/>
  <c r="Q751" i="15" s="1"/>
  <c r="N752" i="15"/>
  <c r="Q752" i="15" s="1"/>
  <c r="N753" i="15"/>
  <c r="Q753" i="15" s="1"/>
  <c r="N754" i="15"/>
  <c r="N755" i="15"/>
  <c r="N756" i="15"/>
  <c r="N757" i="15"/>
  <c r="N758" i="15"/>
  <c r="Q758" i="15" s="1"/>
  <c r="N759" i="15"/>
  <c r="Q759" i="15" s="1"/>
  <c r="N760" i="15"/>
  <c r="Q760" i="15" s="1"/>
  <c r="N761" i="15"/>
  <c r="Q761" i="15" s="1"/>
  <c r="N762" i="15"/>
  <c r="N763" i="15"/>
  <c r="N764" i="15"/>
  <c r="N765" i="15"/>
  <c r="N766" i="15"/>
  <c r="Q766" i="15" s="1"/>
  <c r="N767" i="15"/>
  <c r="N768" i="15"/>
  <c r="N769" i="15"/>
  <c r="Q769" i="15" s="1"/>
  <c r="N770" i="15"/>
  <c r="N771" i="15"/>
  <c r="N772" i="15"/>
  <c r="N773" i="15"/>
  <c r="N774" i="15"/>
  <c r="Q774" i="15" s="1"/>
  <c r="N775" i="15"/>
  <c r="N776" i="15"/>
  <c r="N777" i="15"/>
  <c r="N778" i="15"/>
  <c r="N779" i="15"/>
  <c r="N780" i="15"/>
  <c r="N781" i="15"/>
  <c r="N782" i="15"/>
  <c r="Q782" i="15" s="1"/>
  <c r="N783" i="15"/>
  <c r="Q783" i="15" s="1"/>
  <c r="N784" i="15"/>
  <c r="Q784" i="15" s="1"/>
  <c r="N785" i="15"/>
  <c r="H785" i="16" s="1"/>
  <c r="N786" i="15"/>
  <c r="N787" i="15"/>
  <c r="N788" i="15"/>
  <c r="N789" i="15"/>
  <c r="N790" i="15"/>
  <c r="Q790" i="15" s="1"/>
  <c r="N791" i="15"/>
  <c r="Q791" i="15" s="1"/>
  <c r="N792" i="15"/>
  <c r="Q792" i="15" s="1"/>
  <c r="N793" i="15"/>
  <c r="Q793" i="15" s="1"/>
  <c r="N794" i="15"/>
  <c r="N795" i="15"/>
  <c r="N796" i="15"/>
  <c r="N797" i="15"/>
  <c r="N798" i="15"/>
  <c r="Q798" i="15" s="1"/>
  <c r="N799" i="15"/>
  <c r="Q799" i="15" s="1"/>
  <c r="N800" i="15"/>
  <c r="Q800" i="15" s="1"/>
  <c r="N801" i="15"/>
  <c r="Q801" i="15" s="1"/>
  <c r="N802" i="15"/>
  <c r="N803" i="15"/>
  <c r="N804" i="15"/>
  <c r="N805" i="15"/>
  <c r="N806" i="15"/>
  <c r="N807" i="15"/>
  <c r="Q807" i="15" s="1"/>
  <c r="N808" i="15"/>
  <c r="Q808" i="15" s="1"/>
  <c r="N809" i="15"/>
  <c r="Q809" i="15" s="1"/>
  <c r="N810" i="15"/>
  <c r="N811" i="15"/>
  <c r="N812" i="15"/>
  <c r="N813" i="15"/>
  <c r="N814" i="15"/>
  <c r="Q814" i="15" s="1"/>
  <c r="N815" i="15"/>
  <c r="N816" i="15"/>
  <c r="Q816" i="15" s="1"/>
  <c r="N817" i="15"/>
  <c r="Q817" i="15" s="1"/>
  <c r="N818" i="15"/>
  <c r="N819" i="15"/>
  <c r="N820" i="15"/>
  <c r="N821" i="15"/>
  <c r="N822" i="15"/>
  <c r="Q822" i="15" s="1"/>
  <c r="N823" i="15"/>
  <c r="N824" i="15"/>
  <c r="N825" i="15"/>
  <c r="N826" i="15"/>
  <c r="N827" i="15"/>
  <c r="N828" i="15"/>
  <c r="N829" i="15"/>
  <c r="N830" i="15"/>
  <c r="Q830" i="15" s="1"/>
  <c r="N831" i="15"/>
  <c r="Q831" i="15" s="1"/>
  <c r="N832" i="15"/>
  <c r="Q832" i="15" s="1"/>
  <c r="N833" i="15"/>
  <c r="Q833" i="15" s="1"/>
  <c r="N834" i="15"/>
  <c r="N835" i="15"/>
  <c r="N836" i="15"/>
  <c r="N837" i="15"/>
  <c r="N838" i="15"/>
  <c r="Q838" i="15" s="1"/>
  <c r="N839" i="15"/>
  <c r="Q839" i="15" s="1"/>
  <c r="N840" i="15"/>
  <c r="Q840" i="15" s="1"/>
  <c r="N841" i="15"/>
  <c r="Q841" i="15" s="1"/>
  <c r="N842" i="15"/>
  <c r="N843" i="15"/>
  <c r="N844" i="15"/>
  <c r="N845" i="15"/>
  <c r="N846" i="15"/>
  <c r="Q846" i="15" s="1"/>
  <c r="N847" i="15"/>
  <c r="Q847" i="15" s="1"/>
  <c r="N848" i="15"/>
  <c r="Q848" i="15" s="1"/>
  <c r="N849" i="15"/>
  <c r="Q849" i="15" s="1"/>
  <c r="N850" i="15"/>
  <c r="N851" i="15"/>
  <c r="N852" i="15"/>
  <c r="N853" i="15"/>
  <c r="N854" i="15"/>
  <c r="Q854" i="15" s="1"/>
  <c r="N855" i="15"/>
  <c r="Q855" i="15" s="1"/>
  <c r="N856" i="15"/>
  <c r="Q856" i="15" s="1"/>
  <c r="N857" i="15"/>
  <c r="N858" i="15"/>
  <c r="J858" i="15" s="1"/>
  <c r="K858" i="16" s="1"/>
  <c r="N859" i="15"/>
  <c r="N860" i="15"/>
  <c r="N861" i="15"/>
  <c r="N862" i="15"/>
  <c r="Q862" i="15" s="1"/>
  <c r="N863" i="15"/>
  <c r="N864" i="15"/>
  <c r="Q864" i="15" s="1"/>
  <c r="N865" i="15"/>
  <c r="Q865" i="15" s="1"/>
  <c r="N866" i="15"/>
  <c r="N867" i="15"/>
  <c r="N868" i="15"/>
  <c r="N869" i="15"/>
  <c r="N870" i="15"/>
  <c r="Q870" i="15" s="1"/>
  <c r="N871" i="15"/>
  <c r="H871" i="16" s="1"/>
  <c r="N872" i="15"/>
  <c r="Q872" i="15" s="1"/>
  <c r="N873" i="15"/>
  <c r="Q873" i="15" s="1"/>
  <c r="N874" i="15"/>
  <c r="N875" i="15"/>
  <c r="N876" i="15"/>
  <c r="N877" i="15"/>
  <c r="N878" i="15"/>
  <c r="Q878" i="15" s="1"/>
  <c r="N879" i="15"/>
  <c r="H879" i="16" s="1"/>
  <c r="N880" i="15"/>
  <c r="H880" i="16" s="1"/>
  <c r="N881" i="15"/>
  <c r="N882" i="15"/>
  <c r="N883" i="15"/>
  <c r="N884" i="15"/>
  <c r="N885" i="15"/>
  <c r="N886" i="15"/>
  <c r="Q886" i="15" s="1"/>
  <c r="N887" i="15"/>
  <c r="Q887" i="15" s="1"/>
  <c r="N888" i="15"/>
  <c r="Q888" i="15" s="1"/>
  <c r="N889" i="15"/>
  <c r="H889" i="16" s="1"/>
  <c r="N890" i="15"/>
  <c r="N891" i="15"/>
  <c r="N892" i="15"/>
  <c r="N893" i="15"/>
  <c r="N894" i="15"/>
  <c r="Q894" i="15" s="1"/>
  <c r="N895" i="15"/>
  <c r="H895" i="16" s="1"/>
  <c r="N896" i="15"/>
  <c r="H896" i="16" s="1"/>
  <c r="N897" i="15"/>
  <c r="Q897" i="15" s="1"/>
  <c r="N898" i="15"/>
  <c r="N899" i="15"/>
  <c r="N900" i="15"/>
  <c r="N901" i="15"/>
  <c r="N902" i="15"/>
  <c r="Q902" i="15" s="1"/>
  <c r="N903" i="15"/>
  <c r="N904" i="15"/>
  <c r="N905" i="15"/>
  <c r="N906" i="15"/>
  <c r="N907" i="15"/>
  <c r="N908" i="15"/>
  <c r="N909" i="15"/>
  <c r="N910" i="15"/>
  <c r="Q910" i="15" s="1"/>
  <c r="N911" i="15"/>
  <c r="Q911" i="15" s="1"/>
  <c r="N912" i="15"/>
  <c r="Q912" i="15" s="1"/>
  <c r="N913" i="15"/>
  <c r="Q913" i="15" s="1"/>
  <c r="N914" i="15"/>
  <c r="N915" i="15"/>
  <c r="N916" i="15"/>
  <c r="N917" i="15"/>
  <c r="N918" i="15"/>
  <c r="Q918" i="15" s="1"/>
  <c r="N919" i="15"/>
  <c r="Q919" i="15" s="1"/>
  <c r="N920" i="15"/>
  <c r="Q920" i="15" s="1"/>
  <c r="N921" i="15"/>
  <c r="Q921" i="15" s="1"/>
  <c r="N922" i="15"/>
  <c r="N923" i="15"/>
  <c r="N924" i="15"/>
  <c r="N925" i="15"/>
  <c r="N926" i="15"/>
  <c r="Q926" i="15" s="1"/>
  <c r="N927" i="15"/>
  <c r="Q927" i="15" s="1"/>
  <c r="N928" i="15"/>
  <c r="Q928" i="15" s="1"/>
  <c r="N929" i="15"/>
  <c r="Q929" i="15" s="1"/>
  <c r="N930" i="15"/>
  <c r="N931" i="15"/>
  <c r="N932" i="15"/>
  <c r="N933" i="15"/>
  <c r="N934" i="15"/>
  <c r="Q934" i="15" s="1"/>
  <c r="N935" i="15"/>
  <c r="Q935" i="15" s="1"/>
  <c r="N936" i="15"/>
  <c r="Q936" i="15" s="1"/>
  <c r="N937" i="15"/>
  <c r="Q937" i="15" s="1"/>
  <c r="N938" i="15"/>
  <c r="N939" i="15"/>
  <c r="N940" i="15"/>
  <c r="N941" i="15"/>
  <c r="N942" i="15"/>
  <c r="Q942" i="15" s="1"/>
  <c r="N943" i="15"/>
  <c r="N944" i="15"/>
  <c r="Q944" i="15" s="1"/>
  <c r="N945" i="15"/>
  <c r="Q945" i="15" s="1"/>
  <c r="N946" i="15"/>
  <c r="N947" i="15"/>
  <c r="N948" i="15"/>
  <c r="N949" i="15"/>
  <c r="N950" i="15"/>
  <c r="Q950" i="15" s="1"/>
  <c r="N951" i="15"/>
  <c r="H951" i="16" s="1"/>
  <c r="N952" i="15"/>
  <c r="N953" i="15"/>
  <c r="H953" i="16" s="1"/>
  <c r="N954" i="15"/>
  <c r="N955" i="15"/>
  <c r="N956" i="15"/>
  <c r="N957" i="15"/>
  <c r="N958" i="15"/>
  <c r="Q958" i="15" s="1"/>
  <c r="N959" i="15"/>
  <c r="Q959" i="15" s="1"/>
  <c r="N960" i="15"/>
  <c r="Q960" i="15" s="1"/>
  <c r="N961" i="15"/>
  <c r="H961" i="16" s="1"/>
  <c r="N962" i="15"/>
  <c r="N963" i="15"/>
  <c r="N964" i="15"/>
  <c r="N965" i="15"/>
  <c r="N966" i="15"/>
  <c r="Q966" i="15" s="1"/>
  <c r="N967" i="15"/>
  <c r="Q967" i="15" s="1"/>
  <c r="N968" i="15"/>
  <c r="Q968" i="15" s="1"/>
  <c r="N969" i="15"/>
  <c r="H969" i="16" s="1"/>
  <c r="N970" i="15"/>
  <c r="N971" i="15"/>
  <c r="N972" i="15"/>
  <c r="N973" i="15"/>
  <c r="N974" i="15"/>
  <c r="Q974" i="15" s="1"/>
  <c r="N975" i="15"/>
  <c r="Q975" i="15" s="1"/>
  <c r="N976" i="15"/>
  <c r="Q976" i="15" s="1"/>
  <c r="N977" i="15"/>
  <c r="Q977" i="15" s="1"/>
  <c r="N978" i="15"/>
  <c r="N979" i="15"/>
  <c r="N980" i="15"/>
  <c r="N981" i="15"/>
  <c r="N982" i="15"/>
  <c r="Q982" i="15" s="1"/>
  <c r="N983" i="15"/>
  <c r="Q983" i="15" s="1"/>
  <c r="N984" i="15"/>
  <c r="Q984" i="15" s="1"/>
  <c r="N985" i="15"/>
  <c r="H985" i="16" s="1"/>
  <c r="N986" i="15"/>
  <c r="N987" i="15"/>
  <c r="N988" i="15"/>
  <c r="N989" i="15"/>
  <c r="N990" i="15"/>
  <c r="Q990" i="15" s="1"/>
  <c r="N991" i="15"/>
  <c r="Q991" i="15" s="1"/>
  <c r="N992" i="15"/>
  <c r="Q992" i="15" s="1"/>
  <c r="N993" i="15"/>
  <c r="Q993" i="15" s="1"/>
  <c r="N994" i="15"/>
  <c r="N995" i="15"/>
  <c r="N996" i="15"/>
  <c r="N997" i="15"/>
  <c r="N998" i="15"/>
  <c r="Q998" i="15" s="1"/>
  <c r="N999" i="15"/>
  <c r="N1000" i="15"/>
  <c r="Q1000" i="15" s="1"/>
  <c r="N1001" i="15"/>
  <c r="Q1001" i="15" s="1"/>
  <c r="N1002" i="15"/>
  <c r="N1003" i="15"/>
  <c r="N1004" i="15"/>
  <c r="N1005" i="15"/>
  <c r="N1006" i="15"/>
  <c r="Q1006" i="15" s="1"/>
  <c r="N1007" i="15"/>
  <c r="Q1007" i="15" s="1"/>
  <c r="N1008" i="15"/>
  <c r="Q1008" i="15" s="1"/>
  <c r="N1009" i="15"/>
  <c r="Q1009" i="15" s="1"/>
  <c r="N1010" i="15"/>
  <c r="N1011" i="15"/>
  <c r="N1012" i="15"/>
  <c r="N1013" i="15"/>
  <c r="N1014" i="15"/>
  <c r="Q1014" i="15" s="1"/>
  <c r="N1015" i="15"/>
  <c r="Q1015" i="15" s="1"/>
  <c r="N1016" i="15"/>
  <c r="Q1016" i="15" s="1"/>
  <c r="N1017" i="15"/>
  <c r="Q1017" i="15" s="1"/>
  <c r="N1018" i="15"/>
  <c r="N1019" i="15"/>
  <c r="N1020" i="15"/>
  <c r="N1021" i="15"/>
  <c r="N1022" i="15"/>
  <c r="Q1022" i="15" s="1"/>
  <c r="N1023" i="15"/>
  <c r="N1024" i="15"/>
  <c r="N1025" i="15"/>
  <c r="Q1025" i="15" s="1"/>
  <c r="N1026" i="15"/>
  <c r="N1027" i="15"/>
  <c r="N1028" i="15"/>
  <c r="N1029" i="15"/>
  <c r="N1030" i="15"/>
  <c r="Q1030" i="15" s="1"/>
  <c r="N1031" i="15"/>
  <c r="N1032" i="15"/>
  <c r="N1033" i="15"/>
  <c r="N1034" i="15"/>
  <c r="N1035" i="15"/>
  <c r="N1036" i="15"/>
  <c r="N1037" i="15"/>
  <c r="N1038" i="15"/>
  <c r="Q1038" i="15" s="1"/>
  <c r="N1039" i="15"/>
  <c r="Q1039" i="15" s="1"/>
  <c r="N1040" i="15"/>
  <c r="Q1040" i="15" s="1"/>
  <c r="N1041" i="15"/>
  <c r="H1041" i="16" s="1"/>
  <c r="N1042" i="15"/>
  <c r="N1043" i="15"/>
  <c r="N1044" i="15"/>
  <c r="N1045" i="15"/>
  <c r="N1046" i="15"/>
  <c r="Q1046" i="15" s="1"/>
  <c r="N1047" i="15"/>
  <c r="Q1047" i="15" s="1"/>
  <c r="N1048" i="15"/>
  <c r="Q1048" i="15" s="1"/>
  <c r="N1049" i="15"/>
  <c r="Q1049" i="15" s="1"/>
  <c r="N1050" i="15"/>
  <c r="N1051" i="15"/>
  <c r="N1052" i="15"/>
  <c r="N1053" i="15"/>
  <c r="N1054" i="15"/>
  <c r="Q1054" i="15" s="1"/>
  <c r="N1055" i="15"/>
  <c r="Q1055" i="15" s="1"/>
  <c r="N1056" i="15"/>
  <c r="Q1056" i="15" s="1"/>
  <c r="N1057" i="15"/>
  <c r="Q1057" i="15" s="1"/>
  <c r="N1058" i="15"/>
  <c r="N1059" i="15"/>
  <c r="N1060" i="15"/>
  <c r="N1061" i="15"/>
  <c r="N1062" i="15"/>
  <c r="Q1062" i="15" s="1"/>
  <c r="N1063" i="15"/>
  <c r="Q1063" i="15" s="1"/>
  <c r="N1064" i="15"/>
  <c r="Q1064" i="15" s="1"/>
  <c r="N1065" i="15"/>
  <c r="Q1065" i="15" s="1"/>
  <c r="N1066" i="15"/>
  <c r="N1067" i="15"/>
  <c r="N1068" i="15"/>
  <c r="N1069" i="15"/>
  <c r="N1070" i="15"/>
  <c r="N1071" i="15"/>
  <c r="H1071" i="16" s="1"/>
  <c r="N1072" i="15"/>
  <c r="Q1072" i="15" s="1"/>
  <c r="N1073" i="15"/>
  <c r="Q1073" i="15" s="1"/>
  <c r="N1074" i="15"/>
  <c r="N1075" i="15"/>
  <c r="N1076" i="15"/>
  <c r="N1077" i="15"/>
  <c r="N1078" i="15"/>
  <c r="Q1078" i="15" s="1"/>
  <c r="N1079" i="15"/>
  <c r="H1079" i="16" s="1"/>
  <c r="N1080" i="15"/>
  <c r="N1081" i="15"/>
  <c r="H1081" i="16" s="1"/>
  <c r="N1082" i="15"/>
  <c r="N1083" i="15"/>
  <c r="N1084" i="15"/>
  <c r="N1085" i="15"/>
  <c r="N1086" i="15"/>
  <c r="Q1086" i="15" s="1"/>
  <c r="N1087" i="15"/>
  <c r="Q1087" i="15" s="1"/>
  <c r="N1088" i="15"/>
  <c r="Q1088" i="15" s="1"/>
  <c r="N1089" i="15"/>
  <c r="Q1089" i="15" s="1"/>
  <c r="N1090" i="15"/>
  <c r="N1091" i="15"/>
  <c r="N1092" i="15"/>
  <c r="N1093" i="15"/>
  <c r="N1094" i="15"/>
  <c r="Q1094" i="15" s="1"/>
  <c r="N1095" i="15"/>
  <c r="Q1095" i="15" s="1"/>
  <c r="N1096" i="15"/>
  <c r="Q1096" i="15" s="1"/>
  <c r="N1097" i="15"/>
  <c r="Q1097" i="15" s="1"/>
  <c r="N1098" i="15"/>
  <c r="N1099" i="15"/>
  <c r="N1100" i="15"/>
  <c r="N1101" i="15"/>
  <c r="N1102" i="15"/>
  <c r="Q1102" i="15" s="1"/>
  <c r="N1103" i="15"/>
  <c r="Q1103" i="15" s="1"/>
  <c r="N1104" i="15"/>
  <c r="Q1104" i="15" s="1"/>
  <c r="N1105" i="15"/>
  <c r="Q1105" i="15" s="1"/>
  <c r="N1106" i="15"/>
  <c r="N1107" i="15"/>
  <c r="N1108" i="15"/>
  <c r="N1109" i="15"/>
  <c r="N1110" i="15"/>
  <c r="N1111" i="15"/>
  <c r="Q1111" i="15" s="1"/>
  <c r="N1112" i="15"/>
  <c r="Q1112" i="15" s="1"/>
  <c r="N1113" i="15"/>
  <c r="Q1113" i="15" s="1"/>
  <c r="N1114" i="15"/>
  <c r="N1115" i="15"/>
  <c r="N1116" i="15"/>
  <c r="N1117" i="15"/>
  <c r="N1118" i="15"/>
  <c r="N1119" i="15"/>
  <c r="N1120" i="15"/>
  <c r="Q1120" i="15" s="1"/>
  <c r="N1121" i="15"/>
  <c r="Q1121" i="15" s="1"/>
  <c r="N1122" i="15"/>
  <c r="N1123" i="15"/>
  <c r="N1124" i="15"/>
  <c r="N1125" i="15"/>
  <c r="N1126" i="15"/>
  <c r="N1127" i="15"/>
  <c r="N1128" i="15"/>
  <c r="N1129" i="15"/>
  <c r="Q1129" i="15" s="1"/>
  <c r="N1130" i="15"/>
  <c r="N1131" i="15"/>
  <c r="N1132" i="15"/>
  <c r="N1133" i="15"/>
  <c r="N1134" i="15"/>
  <c r="H1134" i="16" s="1"/>
  <c r="N1135" i="15"/>
  <c r="H1135" i="16" s="1"/>
  <c r="N1136" i="15"/>
  <c r="N1137" i="15"/>
  <c r="N1138" i="15"/>
  <c r="N1139" i="15"/>
  <c r="N1140" i="15"/>
  <c r="N1141" i="15"/>
  <c r="N1142" i="15"/>
  <c r="N1143" i="15"/>
  <c r="N1144" i="15"/>
  <c r="N1145" i="15"/>
  <c r="N1146" i="15"/>
  <c r="N1147" i="15"/>
  <c r="N1148" i="15"/>
  <c r="N1149" i="15"/>
  <c r="N1150" i="15"/>
  <c r="H1150" i="16" s="1"/>
  <c r="N1151" i="15"/>
  <c r="H1151" i="16" s="1"/>
  <c r="N1152" i="15"/>
  <c r="Q1152" i="15" s="1"/>
  <c r="N1153" i="15"/>
  <c r="Q1153" i="15" s="1"/>
  <c r="N1154" i="15"/>
  <c r="N1155" i="15"/>
  <c r="N1156" i="15"/>
  <c r="N1157" i="15"/>
  <c r="N1158" i="15"/>
  <c r="Q1158" i="15" s="1"/>
  <c r="N1159" i="15"/>
  <c r="H1159" i="16" s="1"/>
  <c r="N1160" i="15"/>
  <c r="H1160" i="16" s="1"/>
  <c r="N1161" i="15"/>
  <c r="H1161" i="16" s="1"/>
  <c r="N1162" i="15"/>
  <c r="N1163" i="15"/>
  <c r="N1164" i="15"/>
  <c r="N1165" i="15"/>
  <c r="N1166" i="15"/>
  <c r="Q1166" i="15" s="1"/>
  <c r="N1167" i="15"/>
  <c r="Q1167" i="15" s="1"/>
  <c r="N1168" i="15"/>
  <c r="Q1168" i="15" s="1"/>
  <c r="N1169" i="15"/>
  <c r="H1169" i="16" s="1"/>
  <c r="N1170" i="15"/>
  <c r="N1171" i="15"/>
  <c r="N1172" i="15"/>
  <c r="N1173" i="15"/>
  <c r="N1174" i="15"/>
  <c r="N1175" i="15"/>
  <c r="Q1175" i="15" s="1"/>
  <c r="N1176" i="15"/>
  <c r="Q1176" i="15" s="1"/>
  <c r="N1177" i="15"/>
  <c r="Q1177" i="15" s="1"/>
  <c r="N1178" i="15"/>
  <c r="N1179" i="15"/>
  <c r="N1180" i="15"/>
  <c r="N1181" i="15"/>
  <c r="N1182" i="15"/>
  <c r="N1183" i="15"/>
  <c r="N1184" i="15"/>
  <c r="Q1184" i="15" s="1"/>
  <c r="N1185" i="15"/>
  <c r="Q1185" i="15" s="1"/>
  <c r="N1186" i="15"/>
  <c r="N1187" i="15"/>
  <c r="N1188" i="15"/>
  <c r="N1189" i="15"/>
  <c r="N1190" i="15"/>
  <c r="N1191" i="15"/>
  <c r="N1192" i="15"/>
  <c r="N1193" i="15"/>
  <c r="Q1193" i="15" s="1"/>
  <c r="N1194" i="15"/>
  <c r="N1195" i="15"/>
  <c r="N1196" i="15"/>
  <c r="N1197" i="15"/>
  <c r="N1198" i="15"/>
  <c r="N1199" i="15"/>
  <c r="N1200" i="15"/>
  <c r="N1201" i="15"/>
  <c r="N1202" i="15"/>
  <c r="N1203" i="15"/>
  <c r="N1204" i="15"/>
  <c r="N1205" i="15"/>
  <c r="N1206" i="15"/>
  <c r="N1207" i="15"/>
  <c r="N1208" i="15"/>
  <c r="N1209" i="15"/>
  <c r="N1210" i="15"/>
  <c r="N1211" i="15"/>
  <c r="N1212" i="15"/>
  <c r="N1213" i="15"/>
  <c r="N1214" i="15"/>
  <c r="Q1214" i="15" s="1"/>
  <c r="N1215" i="15"/>
  <c r="Q1215" i="15" s="1"/>
  <c r="N1216" i="15"/>
  <c r="Q1216" i="15" s="1"/>
  <c r="N1217" i="15"/>
  <c r="Q1217" i="15" s="1"/>
  <c r="N1218" i="15"/>
  <c r="N1219" i="15"/>
  <c r="N1220" i="15"/>
  <c r="N1221" i="15"/>
  <c r="N1222" i="15"/>
  <c r="Q1222" i="15" s="1"/>
  <c r="N1223" i="15"/>
  <c r="Q1223" i="15" s="1"/>
  <c r="N1224" i="15"/>
  <c r="H1224" i="16" s="1"/>
  <c r="N1225" i="15"/>
  <c r="H1225" i="16" s="1"/>
  <c r="N1226" i="15"/>
  <c r="N1227" i="15"/>
  <c r="N1228" i="15"/>
  <c r="N1229" i="15"/>
  <c r="N1230" i="15"/>
  <c r="Q1230" i="15" s="1"/>
  <c r="N1231" i="15"/>
  <c r="H1231" i="16" s="1"/>
  <c r="N1232" i="15"/>
  <c r="Q1232" i="15" s="1"/>
  <c r="N1233" i="15"/>
  <c r="Q1233" i="15" s="1"/>
  <c r="N1234" i="15"/>
  <c r="N1235" i="15"/>
  <c r="N1236" i="15"/>
  <c r="N1237" i="15"/>
  <c r="N1238" i="15"/>
  <c r="N1239" i="15"/>
  <c r="Q1239" i="15" s="1"/>
  <c r="N1240" i="15"/>
  <c r="H1240" i="16" s="1"/>
  <c r="N1241" i="15"/>
  <c r="H1241" i="16" s="1"/>
  <c r="N1242" i="15"/>
  <c r="N1243" i="15"/>
  <c r="N1244" i="15"/>
  <c r="N1245" i="15"/>
  <c r="N1246" i="15"/>
  <c r="N1247" i="15"/>
  <c r="N1248" i="15"/>
  <c r="Q1248" i="15" s="1"/>
  <c r="N1249" i="15"/>
  <c r="Q1249" i="15" s="1"/>
  <c r="N1250" i="15"/>
  <c r="N1251" i="15"/>
  <c r="N1252" i="15"/>
  <c r="N1253" i="15"/>
  <c r="N1254" i="15"/>
  <c r="N1255" i="15"/>
  <c r="N1256" i="15"/>
  <c r="N1257" i="15"/>
  <c r="Q1257" i="15" s="1"/>
  <c r="N1258" i="15"/>
  <c r="N1259" i="15"/>
  <c r="N1260" i="15"/>
  <c r="N1261" i="15"/>
  <c r="N1262" i="15"/>
  <c r="N1263" i="15"/>
  <c r="N1264" i="15"/>
  <c r="N1265" i="15"/>
  <c r="N1266" i="15"/>
  <c r="N1267" i="15"/>
  <c r="N1268" i="15"/>
  <c r="N1269" i="15"/>
  <c r="N1270" i="15"/>
  <c r="N1271" i="15"/>
  <c r="N1272" i="15"/>
  <c r="N1273" i="15"/>
  <c r="N1274" i="15"/>
  <c r="N1275" i="15"/>
  <c r="N1276" i="15"/>
  <c r="N1277" i="15"/>
  <c r="N1278" i="15"/>
  <c r="Q1278" i="15" s="1"/>
  <c r="N1279" i="15"/>
  <c r="Q1279" i="15" s="1"/>
  <c r="N1280" i="15"/>
  <c r="Q1280" i="15" s="1"/>
  <c r="N1281" i="15"/>
  <c r="Q1281" i="15" s="1"/>
  <c r="N1282" i="15"/>
  <c r="N1283" i="15"/>
  <c r="N1284" i="15"/>
  <c r="N1285" i="15"/>
  <c r="N1286" i="15"/>
  <c r="Q1286" i="15" s="1"/>
  <c r="N1287" i="15"/>
  <c r="Q1287" i="15" s="1"/>
  <c r="N1288" i="15"/>
  <c r="Q1288" i="15" s="1"/>
  <c r="N1289" i="15"/>
  <c r="Q1289" i="15" s="1"/>
  <c r="N1290" i="15"/>
  <c r="N1291" i="15"/>
  <c r="N1292" i="15"/>
  <c r="N1293" i="15"/>
  <c r="N1294" i="15"/>
  <c r="Q1294" i="15" s="1"/>
  <c r="N1295" i="15"/>
  <c r="Q1295" i="15" s="1"/>
  <c r="N1296" i="15"/>
  <c r="Q1296" i="15" s="1"/>
  <c r="N1297" i="15"/>
  <c r="Q1297" i="15" s="1"/>
  <c r="N1298" i="15"/>
  <c r="N1299" i="15"/>
  <c r="N1300" i="15"/>
  <c r="N1301" i="15"/>
  <c r="N1302" i="15"/>
  <c r="N1303" i="15"/>
  <c r="Q1303" i="15" s="1"/>
  <c r="N1304" i="15"/>
  <c r="Q1304" i="15" s="1"/>
  <c r="N1305" i="15"/>
  <c r="Q1305" i="15" s="1"/>
  <c r="N1306" i="15"/>
  <c r="N1307" i="15"/>
  <c r="N1308" i="15"/>
  <c r="N1309" i="15"/>
  <c r="N1310" i="15"/>
  <c r="N1311" i="15"/>
  <c r="N1312" i="15"/>
  <c r="Q1312" i="15" s="1"/>
  <c r="N1313" i="15"/>
  <c r="Q1313" i="15" s="1"/>
  <c r="N1314" i="15"/>
  <c r="N1315" i="15"/>
  <c r="N1316" i="15"/>
  <c r="N1317" i="15"/>
  <c r="N1318" i="15"/>
  <c r="N1319" i="15"/>
  <c r="N1320" i="15"/>
  <c r="N1321" i="15"/>
  <c r="Q1321" i="15" s="1"/>
  <c r="N1322" i="15"/>
  <c r="N1323" i="15"/>
  <c r="N1324" i="15"/>
  <c r="N1325" i="15"/>
  <c r="N1326" i="15"/>
  <c r="H1326" i="16" s="1"/>
  <c r="N1327" i="15"/>
  <c r="N1328" i="15"/>
  <c r="N1329" i="15"/>
  <c r="N1330" i="15"/>
  <c r="N1331" i="15"/>
  <c r="N1332" i="15"/>
  <c r="N1333" i="15"/>
  <c r="N1334" i="15"/>
  <c r="H1334" i="16" s="1"/>
  <c r="N1335" i="15"/>
  <c r="H1335" i="16" s="1"/>
  <c r="N1336" i="15"/>
  <c r="H1336" i="16" s="1"/>
  <c r="N1337" i="15"/>
  <c r="N1338" i="15"/>
  <c r="N1339" i="15"/>
  <c r="N1340" i="15"/>
  <c r="N1341" i="15"/>
  <c r="N1342" i="15"/>
  <c r="Q1342" i="15" s="1"/>
  <c r="N1343" i="15"/>
  <c r="Q1343" i="15" s="1"/>
  <c r="N1344" i="15"/>
  <c r="Q1344" i="15" s="1"/>
  <c r="N1345" i="15"/>
  <c r="H1345" i="16" s="1"/>
  <c r="N1346" i="15"/>
  <c r="N1347" i="15"/>
  <c r="N1348" i="15"/>
  <c r="N1349" i="15"/>
  <c r="N1350" i="15"/>
  <c r="H1350" i="16" s="1"/>
  <c r="N1351" i="15"/>
  <c r="H1351" i="16" s="1"/>
  <c r="N1352" i="15"/>
  <c r="Q1352" i="15" s="1"/>
  <c r="N1353" i="15"/>
  <c r="Q1353" i="15" s="1"/>
  <c r="N1354" i="15"/>
  <c r="N1355" i="15"/>
  <c r="N1356" i="15"/>
  <c r="N1357" i="15"/>
  <c r="N1358" i="15"/>
  <c r="Q1358" i="15" s="1"/>
  <c r="N1359" i="15"/>
  <c r="Q1359" i="15" s="1"/>
  <c r="N1360" i="15"/>
  <c r="Q1360" i="15" s="1"/>
  <c r="N1361" i="15"/>
  <c r="Q1361" i="15" s="1"/>
  <c r="N1362" i="15"/>
  <c r="N1363" i="15"/>
  <c r="N1364" i="15"/>
  <c r="N1365" i="15"/>
  <c r="N1366" i="15"/>
  <c r="N1367" i="15"/>
  <c r="Q1367" i="15" s="1"/>
  <c r="N1368" i="15"/>
  <c r="Q1368" i="15" s="1"/>
  <c r="N1369" i="15"/>
  <c r="Q1369" i="15" s="1"/>
  <c r="N1370" i="15"/>
  <c r="N1371" i="15"/>
  <c r="N1372" i="15"/>
  <c r="N1373" i="15"/>
  <c r="N1374" i="15"/>
  <c r="N1375" i="15"/>
  <c r="N1376" i="15"/>
  <c r="Q1376" i="15" s="1"/>
  <c r="N1377" i="15"/>
  <c r="Q1377" i="15" s="1"/>
  <c r="N1378" i="15"/>
  <c r="N1379" i="15"/>
  <c r="N1380" i="15"/>
  <c r="N1381" i="15"/>
  <c r="N1382" i="15"/>
  <c r="N1383" i="15"/>
  <c r="N1384" i="15"/>
  <c r="N1385" i="15"/>
  <c r="Q1385" i="15" s="1"/>
  <c r="N1386" i="15"/>
  <c r="N1387" i="15"/>
  <c r="N1388" i="15"/>
  <c r="N1389" i="15"/>
  <c r="N1390" i="15"/>
  <c r="N1391" i="15"/>
  <c r="N1392" i="15"/>
  <c r="N1393" i="15"/>
  <c r="N1394" i="15"/>
  <c r="N1395" i="15"/>
  <c r="N1396" i="15"/>
  <c r="N1397" i="15"/>
  <c r="N1398" i="15"/>
  <c r="N1399" i="15"/>
  <c r="N1400" i="15"/>
  <c r="N1401" i="15"/>
  <c r="H1401" i="16" s="1"/>
  <c r="N1402" i="15"/>
  <c r="N1403" i="15"/>
  <c r="N1404" i="15"/>
  <c r="N1405" i="15"/>
  <c r="N1406" i="15"/>
  <c r="H1406" i="16" s="1"/>
  <c r="N1407" i="15"/>
  <c r="Q1407" i="15" s="1"/>
  <c r="N1408" i="15"/>
  <c r="Q1408" i="15" s="1"/>
  <c r="N1409" i="15"/>
  <c r="Q1409" i="15" s="1"/>
  <c r="N1410" i="15"/>
  <c r="N1411" i="15"/>
  <c r="N1412" i="15"/>
  <c r="N1413" i="15"/>
  <c r="N1414" i="15"/>
  <c r="H1414" i="16" s="1"/>
  <c r="N1415" i="15"/>
  <c r="H1415" i="16" s="1"/>
  <c r="N1416" i="15"/>
  <c r="H1416" i="16" s="1"/>
  <c r="N1417" i="15"/>
  <c r="Q1417" i="15" s="1"/>
  <c r="N1418" i="15"/>
  <c r="N1419" i="15"/>
  <c r="N1420" i="15"/>
  <c r="N1421" i="15"/>
  <c r="N1422" i="15"/>
  <c r="Q1422" i="15" s="1"/>
  <c r="N1423" i="15"/>
  <c r="Q1423" i="15" s="1"/>
  <c r="N1424" i="15"/>
  <c r="H1424" i="16" s="1"/>
  <c r="N1425" i="15"/>
  <c r="Q1425" i="15" s="1"/>
  <c r="N1426" i="15"/>
  <c r="N1427" i="15"/>
  <c r="N1428" i="15"/>
  <c r="N1429" i="15"/>
  <c r="N1430" i="15"/>
  <c r="N1431" i="15"/>
  <c r="H1431" i="16" s="1"/>
  <c r="N1432" i="15"/>
  <c r="Q1432" i="15" s="1"/>
  <c r="N1433" i="15"/>
  <c r="Q1433" i="15" s="1"/>
  <c r="N1434" i="15"/>
  <c r="N1435" i="15"/>
  <c r="N1436" i="15"/>
  <c r="N1437" i="15"/>
  <c r="N1438" i="15"/>
  <c r="N1439" i="15"/>
  <c r="N1440" i="15"/>
  <c r="H1440" i="16" s="1"/>
  <c r="N1441" i="15"/>
  <c r="H1441" i="16" s="1"/>
  <c r="N2" i="15"/>
  <c r="K48" i="16"/>
  <c r="K49" i="16"/>
  <c r="K50" i="16"/>
  <c r="K51" i="16"/>
  <c r="K53" i="16"/>
  <c r="K54" i="16"/>
  <c r="K55" i="16"/>
  <c r="K56" i="16"/>
  <c r="K58" i="16"/>
  <c r="K59" i="16"/>
  <c r="K60" i="16"/>
  <c r="K61" i="16"/>
  <c r="K64" i="16"/>
  <c r="K65" i="16"/>
  <c r="K66" i="16"/>
  <c r="K69" i="16"/>
  <c r="K70" i="16"/>
  <c r="K71" i="16"/>
  <c r="K74" i="16"/>
  <c r="K75" i="16"/>
  <c r="K76" i="16"/>
  <c r="K78" i="16"/>
  <c r="K79" i="16"/>
  <c r="K80" i="16"/>
  <c r="K81" i="16"/>
  <c r="K83" i="16"/>
  <c r="K84" i="16"/>
  <c r="K85" i="16"/>
  <c r="K86" i="16"/>
  <c r="K88" i="16"/>
  <c r="K89" i="16"/>
  <c r="K90" i="16"/>
  <c r="K91" i="16"/>
  <c r="K135" i="16"/>
  <c r="K138" i="16"/>
  <c r="K139" i="16"/>
  <c r="K140" i="16"/>
  <c r="K141" i="16"/>
  <c r="K143" i="16"/>
  <c r="K144" i="16"/>
  <c r="K145" i="16"/>
  <c r="K146" i="16"/>
  <c r="K148" i="16"/>
  <c r="K149" i="16"/>
  <c r="K150" i="16"/>
  <c r="K151" i="16"/>
  <c r="K153" i="16"/>
  <c r="K154" i="16"/>
  <c r="K155" i="16"/>
  <c r="K156" i="16"/>
  <c r="K159" i="16"/>
  <c r="K160" i="16"/>
  <c r="K161" i="16"/>
  <c r="K164" i="16"/>
  <c r="K165" i="16"/>
  <c r="K166" i="16"/>
  <c r="K168" i="16"/>
  <c r="K169" i="16"/>
  <c r="K170" i="16"/>
  <c r="K171" i="16"/>
  <c r="K173" i="16"/>
  <c r="K174" i="16"/>
  <c r="K175" i="16"/>
  <c r="K176" i="16"/>
  <c r="K178" i="16"/>
  <c r="K179" i="16"/>
  <c r="K180" i="16"/>
  <c r="K181" i="16"/>
  <c r="K228" i="16"/>
  <c r="K229" i="16"/>
  <c r="K230" i="16"/>
  <c r="K231" i="16"/>
  <c r="K233" i="16"/>
  <c r="K234" i="16"/>
  <c r="K235" i="16"/>
  <c r="K236" i="16"/>
  <c r="K238" i="16"/>
  <c r="K239" i="16"/>
  <c r="K240" i="16"/>
  <c r="K241" i="16"/>
  <c r="K244" i="16"/>
  <c r="K245" i="16"/>
  <c r="K246" i="16"/>
  <c r="K249" i="16"/>
  <c r="K250" i="16"/>
  <c r="K251" i="16"/>
  <c r="K254" i="16"/>
  <c r="K255" i="16"/>
  <c r="K256" i="16"/>
  <c r="K258" i="16"/>
  <c r="K259" i="16"/>
  <c r="K260" i="16"/>
  <c r="K261" i="16"/>
  <c r="K263" i="16"/>
  <c r="K264" i="16"/>
  <c r="K265" i="16"/>
  <c r="K266" i="16"/>
  <c r="K268" i="16"/>
  <c r="K269" i="16"/>
  <c r="K270" i="16"/>
  <c r="K271" i="16"/>
  <c r="K312" i="16"/>
  <c r="K318" i="16"/>
  <c r="K319" i="16"/>
  <c r="K320" i="16"/>
  <c r="K321" i="16"/>
  <c r="K323" i="16"/>
  <c r="K324" i="16"/>
  <c r="K325" i="16"/>
  <c r="K326" i="16"/>
  <c r="K328" i="16"/>
  <c r="K329" i="16"/>
  <c r="K330" i="16"/>
  <c r="K331" i="16"/>
  <c r="K334" i="16"/>
  <c r="K335" i="16"/>
  <c r="K336" i="16"/>
  <c r="K339" i="16"/>
  <c r="K340" i="16"/>
  <c r="K341" i="16"/>
  <c r="K344" i="16"/>
  <c r="K345" i="16"/>
  <c r="K346" i="16"/>
  <c r="K348" i="16"/>
  <c r="K349" i="16"/>
  <c r="K350" i="16"/>
  <c r="K351" i="16"/>
  <c r="K353" i="16"/>
  <c r="K354" i="16"/>
  <c r="K355" i="16"/>
  <c r="K356" i="16"/>
  <c r="K358" i="16"/>
  <c r="K359" i="16"/>
  <c r="K360" i="16"/>
  <c r="K361" i="16"/>
  <c r="K408" i="16"/>
  <c r="K409" i="16"/>
  <c r="K410" i="16"/>
  <c r="K411" i="16"/>
  <c r="K413" i="16"/>
  <c r="K414" i="16"/>
  <c r="K415" i="16"/>
  <c r="K416" i="16"/>
  <c r="K418" i="16"/>
  <c r="K419" i="16"/>
  <c r="K420" i="16"/>
  <c r="K421" i="16"/>
  <c r="K424" i="16"/>
  <c r="K425" i="16"/>
  <c r="K426" i="16"/>
  <c r="K429" i="16"/>
  <c r="K430" i="16"/>
  <c r="K431" i="16"/>
  <c r="K434" i="16"/>
  <c r="K435" i="16"/>
  <c r="K436" i="16"/>
  <c r="K438" i="16"/>
  <c r="K439" i="16"/>
  <c r="K440" i="16"/>
  <c r="K441" i="16"/>
  <c r="K443" i="16"/>
  <c r="K444" i="16"/>
  <c r="K445" i="16"/>
  <c r="K446" i="16"/>
  <c r="K448" i="16"/>
  <c r="K449" i="16"/>
  <c r="K450" i="16"/>
  <c r="K451" i="16"/>
  <c r="K470" i="16"/>
  <c r="K498" i="16"/>
  <c r="K499" i="16"/>
  <c r="K500" i="16"/>
  <c r="K501" i="16"/>
  <c r="K503" i="16"/>
  <c r="K504" i="16"/>
  <c r="K505" i="16"/>
  <c r="K506" i="16"/>
  <c r="K508" i="16"/>
  <c r="K509" i="16"/>
  <c r="K510" i="16"/>
  <c r="K511" i="16"/>
  <c r="K514" i="16"/>
  <c r="K515" i="16"/>
  <c r="K516" i="16"/>
  <c r="K519" i="16"/>
  <c r="K520" i="16"/>
  <c r="K521" i="16"/>
  <c r="K524" i="16"/>
  <c r="K525" i="16"/>
  <c r="K526" i="16"/>
  <c r="K529" i="16"/>
  <c r="K530" i="16"/>
  <c r="K531" i="16"/>
  <c r="K533" i="16"/>
  <c r="K534" i="16"/>
  <c r="K535" i="16"/>
  <c r="K536" i="16"/>
  <c r="K539" i="16"/>
  <c r="K540" i="16"/>
  <c r="K541" i="16"/>
  <c r="K550" i="16"/>
  <c r="K589" i="16"/>
  <c r="K590" i="16"/>
  <c r="K591" i="16"/>
  <c r="K592" i="16"/>
  <c r="K593" i="16"/>
  <c r="K594" i="16"/>
  <c r="K595" i="16"/>
  <c r="K596" i="16"/>
  <c r="K599" i="16"/>
  <c r="K600" i="16"/>
  <c r="K601" i="16"/>
  <c r="K604" i="16"/>
  <c r="K605" i="16"/>
  <c r="K606" i="16"/>
  <c r="K609" i="16"/>
  <c r="K610" i="16"/>
  <c r="K611" i="16"/>
  <c r="K614" i="16"/>
  <c r="K615" i="16"/>
  <c r="K616" i="16"/>
  <c r="K619" i="16"/>
  <c r="K620" i="16"/>
  <c r="K621" i="16"/>
  <c r="K623" i="16"/>
  <c r="K624" i="16"/>
  <c r="K625" i="16"/>
  <c r="K626" i="16"/>
  <c r="K629" i="16"/>
  <c r="K630" i="16"/>
  <c r="K631" i="16"/>
  <c r="K679" i="16"/>
  <c r="K680" i="16"/>
  <c r="K681" i="16"/>
  <c r="K683" i="16"/>
  <c r="K684" i="16"/>
  <c r="K685" i="16"/>
  <c r="K686" i="16"/>
  <c r="K688" i="16"/>
  <c r="K689" i="16"/>
  <c r="K690" i="16"/>
  <c r="K691" i="16"/>
  <c r="K694" i="16"/>
  <c r="K695" i="16"/>
  <c r="K696" i="16"/>
  <c r="K699" i="16"/>
  <c r="K700" i="16"/>
  <c r="K701" i="16"/>
  <c r="K704" i="16"/>
  <c r="K705" i="16"/>
  <c r="K706" i="16"/>
  <c r="K709" i="16"/>
  <c r="K710" i="16"/>
  <c r="K711" i="16"/>
  <c r="K712" i="16"/>
  <c r="K713" i="16"/>
  <c r="K714" i="16"/>
  <c r="K715" i="16"/>
  <c r="K716" i="16"/>
  <c r="K719" i="16"/>
  <c r="K720" i="16"/>
  <c r="K721" i="16"/>
  <c r="K734" i="16"/>
  <c r="K771" i="16"/>
  <c r="K773" i="16"/>
  <c r="K774" i="16"/>
  <c r="K775" i="16"/>
  <c r="K776" i="16"/>
  <c r="K781" i="16"/>
  <c r="K784" i="16"/>
  <c r="K785" i="16"/>
  <c r="K786" i="16"/>
  <c r="K789" i="16"/>
  <c r="K790" i="16"/>
  <c r="K791" i="16"/>
  <c r="K794" i="16"/>
  <c r="K795" i="16"/>
  <c r="K796" i="16"/>
  <c r="K799" i="16"/>
  <c r="K800" i="16"/>
  <c r="K801" i="16"/>
  <c r="K803" i="16"/>
  <c r="K804" i="16"/>
  <c r="K805" i="16"/>
  <c r="K806" i="16"/>
  <c r="K809" i="16"/>
  <c r="K810" i="16"/>
  <c r="K811" i="16"/>
  <c r="K840" i="16"/>
  <c r="K841" i="16"/>
  <c r="K861" i="16"/>
  <c r="K863" i="16"/>
  <c r="K864" i="16"/>
  <c r="K865" i="16"/>
  <c r="K866" i="16"/>
  <c r="K871" i="16"/>
  <c r="K874" i="16"/>
  <c r="K875" i="16"/>
  <c r="K876" i="16"/>
  <c r="K879" i="16"/>
  <c r="K880" i="16"/>
  <c r="K881" i="16"/>
  <c r="K884" i="16"/>
  <c r="K885" i="16"/>
  <c r="K886" i="16"/>
  <c r="K889" i="16"/>
  <c r="K890" i="16"/>
  <c r="K891" i="16"/>
  <c r="K893" i="16"/>
  <c r="K894" i="16"/>
  <c r="K895" i="16"/>
  <c r="K896" i="16"/>
  <c r="K899" i="16"/>
  <c r="K900" i="16"/>
  <c r="K901" i="16"/>
  <c r="K934" i="16"/>
  <c r="K951" i="16"/>
  <c r="K953" i="16"/>
  <c r="K954" i="16"/>
  <c r="K955" i="16"/>
  <c r="K956" i="16"/>
  <c r="K961" i="16"/>
  <c r="K964" i="16"/>
  <c r="K965" i="16"/>
  <c r="K966" i="16"/>
  <c r="K969" i="16"/>
  <c r="K970" i="16"/>
  <c r="K971" i="16"/>
  <c r="K974" i="16"/>
  <c r="K975" i="16"/>
  <c r="K976" i="16"/>
  <c r="K979" i="16"/>
  <c r="K980" i="16"/>
  <c r="K981" i="16"/>
  <c r="K983" i="16"/>
  <c r="K984" i="16"/>
  <c r="K985" i="16"/>
  <c r="K986" i="16"/>
  <c r="K989" i="16"/>
  <c r="K990" i="16"/>
  <c r="K991" i="16"/>
  <c r="K1003" i="16"/>
  <c r="K1016" i="16"/>
  <c r="K1020" i="16"/>
  <c r="K1041" i="16"/>
  <c r="K1044" i="16"/>
  <c r="K1045" i="16"/>
  <c r="K1046" i="16"/>
  <c r="K1051" i="16"/>
  <c r="K1054" i="16"/>
  <c r="K1055" i="16"/>
  <c r="K1056" i="16"/>
  <c r="K1059" i="16"/>
  <c r="K1060" i="16"/>
  <c r="K1061" i="16"/>
  <c r="K1064" i="16"/>
  <c r="K1065" i="16"/>
  <c r="K1066" i="16"/>
  <c r="K1069" i="16"/>
  <c r="K1070" i="16"/>
  <c r="K1071" i="16"/>
  <c r="K1073" i="16"/>
  <c r="K1074" i="16"/>
  <c r="K1075" i="16"/>
  <c r="K1076" i="16"/>
  <c r="K1079" i="16"/>
  <c r="K1080" i="16"/>
  <c r="K1081" i="16"/>
  <c r="K1091" i="16"/>
  <c r="K1092" i="16"/>
  <c r="K1131" i="16"/>
  <c r="K1132" i="16"/>
  <c r="K1134" i="16"/>
  <c r="K1135" i="16"/>
  <c r="K1136" i="16"/>
  <c r="K1140" i="16"/>
  <c r="K1141" i="16"/>
  <c r="K1144" i="16"/>
  <c r="K1145" i="16"/>
  <c r="K1146" i="16"/>
  <c r="K1149" i="16"/>
  <c r="K1150" i="16"/>
  <c r="K1151" i="16"/>
  <c r="K1154" i="16"/>
  <c r="K1155" i="16"/>
  <c r="K1156" i="16"/>
  <c r="K1159" i="16"/>
  <c r="K1160" i="16"/>
  <c r="K1161" i="16"/>
  <c r="K1163" i="16"/>
  <c r="K1164" i="16"/>
  <c r="K1165" i="16"/>
  <c r="K1166" i="16"/>
  <c r="K1169" i="16"/>
  <c r="K1170" i="16"/>
  <c r="K1171" i="16"/>
  <c r="K1179" i="16"/>
  <c r="K1188" i="16"/>
  <c r="K1190" i="16"/>
  <c r="K1203" i="16"/>
  <c r="K1212" i="16"/>
  <c r="K1221" i="16"/>
  <c r="K1224" i="16"/>
  <c r="K1225" i="16"/>
  <c r="K1226" i="16"/>
  <c r="K1231" i="16"/>
  <c r="K1234" i="16"/>
  <c r="K1235" i="16"/>
  <c r="K1236" i="16"/>
  <c r="K1239" i="16"/>
  <c r="K1240" i="16"/>
  <c r="K1241" i="16"/>
  <c r="K1244" i="16"/>
  <c r="K1245" i="16"/>
  <c r="K1246" i="16"/>
  <c r="K1249" i="16"/>
  <c r="K1250" i="16"/>
  <c r="K1251" i="16"/>
  <c r="K1253" i="16"/>
  <c r="K1254" i="16"/>
  <c r="K1255" i="16"/>
  <c r="K1256" i="16"/>
  <c r="K1259" i="16"/>
  <c r="K1260" i="16"/>
  <c r="K1261" i="16"/>
  <c r="K1264" i="16"/>
  <c r="K1284" i="16"/>
  <c r="K1292" i="16"/>
  <c r="K1293" i="16"/>
  <c r="K1294" i="16"/>
  <c r="K1311" i="16"/>
  <c r="K1314" i="16"/>
  <c r="K1315" i="16"/>
  <c r="K1316" i="16"/>
  <c r="K1318" i="16"/>
  <c r="K1321" i="16"/>
  <c r="K1324" i="16"/>
  <c r="K1325" i="16"/>
  <c r="K1326" i="16"/>
  <c r="K1329" i="16"/>
  <c r="K1330" i="16"/>
  <c r="K1331" i="16"/>
  <c r="K1332" i="16"/>
  <c r="K1334" i="16"/>
  <c r="K1335" i="16"/>
  <c r="K1336" i="16"/>
  <c r="K1339" i="16"/>
  <c r="K1340" i="16"/>
  <c r="K1341" i="16"/>
  <c r="K1342" i="16"/>
  <c r="K1344" i="16"/>
  <c r="K1345" i="16"/>
  <c r="K1346" i="16"/>
  <c r="K1349" i="16"/>
  <c r="K1350" i="16"/>
  <c r="K1351" i="16"/>
  <c r="K1352" i="16"/>
  <c r="K1372" i="16"/>
  <c r="K1380" i="16"/>
  <c r="K1390" i="16"/>
  <c r="K1397" i="16"/>
  <c r="K1401" i="16"/>
  <c r="K1404" i="16"/>
  <c r="K1405" i="16"/>
  <c r="K1406" i="16"/>
  <c r="K1411" i="16"/>
  <c r="K1414" i="16"/>
  <c r="K1415" i="16"/>
  <c r="K1416" i="16"/>
  <c r="K1419" i="16"/>
  <c r="K1420" i="16"/>
  <c r="K1421" i="16"/>
  <c r="K1424" i="16"/>
  <c r="K1425" i="16"/>
  <c r="K1426" i="16"/>
  <c r="K1429" i="16"/>
  <c r="K1430" i="16"/>
  <c r="K1431" i="16"/>
  <c r="K1434" i="16"/>
  <c r="K1435" i="16"/>
  <c r="K1436" i="16"/>
  <c r="K1439" i="16"/>
  <c r="K1440" i="16"/>
  <c r="K1441" i="16"/>
  <c r="L78" i="2"/>
  <c r="J369" i="2"/>
  <c r="J368" i="2"/>
  <c r="J367" i="2"/>
  <c r="J366" i="2"/>
  <c r="J365" i="2"/>
  <c r="J364" i="2"/>
  <c r="J363" i="2"/>
  <c r="J362" i="2"/>
  <c r="J361" i="2"/>
  <c r="J360" i="2"/>
  <c r="J359" i="2"/>
  <c r="J358" i="2"/>
  <c r="J357" i="2"/>
  <c r="J356" i="2"/>
  <c r="J355" i="2"/>
  <c r="J354" i="2"/>
  <c r="J353" i="2"/>
  <c r="J352" i="2"/>
  <c r="J351" i="2"/>
  <c r="J350" i="2"/>
  <c r="J349" i="2"/>
  <c r="J348" i="2"/>
  <c r="J347" i="2"/>
  <c r="J93" i="2"/>
  <c r="J92" i="2"/>
  <c r="J91" i="2"/>
  <c r="J90" i="2"/>
  <c r="J89" i="2"/>
  <c r="J88" i="2"/>
  <c r="J87" i="2"/>
  <c r="J86" i="2"/>
  <c r="J85" i="2"/>
  <c r="J84" i="2"/>
  <c r="J83" i="2"/>
  <c r="J82" i="2"/>
  <c r="J81" i="2"/>
  <c r="J80" i="2"/>
  <c r="J79" i="2"/>
  <c r="J78" i="2"/>
  <c r="J77" i="2"/>
  <c r="J76" i="2"/>
  <c r="J75" i="2"/>
  <c r="J74" i="2"/>
  <c r="J73" i="2"/>
  <c r="J72" i="2"/>
  <c r="J71" i="2"/>
  <c r="Q21" i="15"/>
  <c r="Q3" i="15"/>
  <c r="Q4" i="15"/>
  <c r="Q5" i="15"/>
  <c r="Q11" i="15"/>
  <c r="Q12" i="15"/>
  <c r="Q13" i="15"/>
  <c r="Q14" i="15"/>
  <c r="Q15" i="15"/>
  <c r="Q16" i="15"/>
  <c r="Q19" i="15"/>
  <c r="Q20" i="15"/>
  <c r="Q27" i="15"/>
  <c r="Q28" i="15"/>
  <c r="Q29" i="15"/>
  <c r="Q34" i="15"/>
  <c r="Q35" i="15"/>
  <c r="Q36" i="15"/>
  <c r="Q37" i="15"/>
  <c r="Q43" i="15"/>
  <c r="Q44" i="15"/>
  <c r="Q45" i="15"/>
  <c r="Q47" i="15"/>
  <c r="Q51" i="15"/>
  <c r="Q52" i="15"/>
  <c r="Q53" i="15"/>
  <c r="Q55" i="15"/>
  <c r="Q56" i="15"/>
  <c r="Q57" i="15"/>
  <c r="Q59" i="15"/>
  <c r="Q60" i="15"/>
  <c r="Q61" i="15"/>
  <c r="Q67" i="15"/>
  <c r="Q68" i="15"/>
  <c r="Q69" i="15"/>
  <c r="Q75" i="15"/>
  <c r="Q76" i="15"/>
  <c r="Q77" i="15"/>
  <c r="Q83" i="15"/>
  <c r="Q84" i="15"/>
  <c r="Q85" i="15"/>
  <c r="Q89" i="15"/>
  <c r="Q90" i="15"/>
  <c r="Q91" i="15"/>
  <c r="Q92" i="15"/>
  <c r="Q93" i="15"/>
  <c r="Q99" i="15"/>
  <c r="Q100" i="15"/>
  <c r="Q101" i="15"/>
  <c r="Q103" i="15"/>
  <c r="Q107" i="15"/>
  <c r="Q108" i="15"/>
  <c r="Q109" i="15"/>
  <c r="Q115" i="15"/>
  <c r="Q116" i="15"/>
  <c r="Q117" i="15"/>
  <c r="Q123" i="15"/>
  <c r="Q124" i="15"/>
  <c r="Q125" i="15"/>
  <c r="Q127" i="15"/>
  <c r="Q128" i="15"/>
  <c r="Q131" i="15"/>
  <c r="Q132" i="15"/>
  <c r="Q133" i="15"/>
  <c r="Q135" i="15"/>
  <c r="Q136" i="15"/>
  <c r="Q137" i="15"/>
  <c r="Q139" i="15"/>
  <c r="Q140" i="15"/>
  <c r="Q141" i="15"/>
  <c r="Q147" i="15"/>
  <c r="Q148" i="15"/>
  <c r="Q149" i="15"/>
  <c r="Q155" i="15"/>
  <c r="Q156" i="15"/>
  <c r="Q157" i="15"/>
  <c r="Q162" i="15"/>
  <c r="Q163" i="15"/>
  <c r="Q164" i="15"/>
  <c r="Q165" i="15"/>
  <c r="Q171" i="15"/>
  <c r="Q172" i="15"/>
  <c r="Q173" i="15"/>
  <c r="Q175" i="15"/>
  <c r="Q179" i="15"/>
  <c r="Q180" i="15"/>
  <c r="Q181" i="15"/>
  <c r="Q183" i="15"/>
  <c r="Q184" i="15"/>
  <c r="Q185" i="15"/>
  <c r="Q187" i="15"/>
  <c r="Q188" i="15"/>
  <c r="Q189" i="15"/>
  <c r="Q195" i="15"/>
  <c r="Q196" i="15"/>
  <c r="Q197" i="15"/>
  <c r="Q203" i="15"/>
  <c r="Q204" i="15"/>
  <c r="Q205" i="15"/>
  <c r="Q211" i="15"/>
  <c r="Q212" i="15"/>
  <c r="Q213" i="15"/>
  <c r="Q217" i="15"/>
  <c r="Q218" i="15"/>
  <c r="Q219" i="15"/>
  <c r="Q220" i="15"/>
  <c r="Q221" i="15"/>
  <c r="Q227" i="15"/>
  <c r="Q228" i="15"/>
  <c r="Q229" i="15"/>
  <c r="Q231" i="15"/>
  <c r="Q235" i="15"/>
  <c r="Q236" i="15"/>
  <c r="Q237" i="15"/>
  <c r="Q243" i="15"/>
  <c r="Q244" i="15"/>
  <c r="Q245" i="15"/>
  <c r="Q251" i="15"/>
  <c r="Q252" i="15"/>
  <c r="Q253" i="15"/>
  <c r="Q255" i="15"/>
  <c r="Q256" i="15"/>
  <c r="Q259" i="15"/>
  <c r="Q260" i="15"/>
  <c r="Q261" i="15"/>
  <c r="Q263" i="15"/>
  <c r="Q264" i="15"/>
  <c r="Q265" i="15"/>
  <c r="Q267" i="15"/>
  <c r="Q268" i="15"/>
  <c r="Q269" i="15"/>
  <c r="Q275" i="15"/>
  <c r="Q276" i="15"/>
  <c r="Q277" i="15"/>
  <c r="Q283" i="15"/>
  <c r="Q284" i="15"/>
  <c r="Q285" i="15"/>
  <c r="Q291" i="15"/>
  <c r="Q292" i="15"/>
  <c r="Q293" i="15"/>
  <c r="Q299" i="15"/>
  <c r="Q300" i="15"/>
  <c r="Q301" i="15"/>
  <c r="Q303" i="15"/>
  <c r="Q307" i="15"/>
  <c r="Q308" i="15"/>
  <c r="Q309" i="15"/>
  <c r="Q311" i="15"/>
  <c r="Q312" i="15"/>
  <c r="Q313" i="15"/>
  <c r="Q315" i="15"/>
  <c r="Q316" i="15"/>
  <c r="Q317" i="15"/>
  <c r="Q323" i="15"/>
  <c r="Q324" i="15"/>
  <c r="Q325" i="15"/>
  <c r="Q331" i="15"/>
  <c r="Q332" i="15"/>
  <c r="Q333" i="15"/>
  <c r="Q339" i="15"/>
  <c r="Q340" i="15"/>
  <c r="Q341" i="15"/>
  <c r="Q345" i="15"/>
  <c r="Q347" i="15"/>
  <c r="Q348" i="15"/>
  <c r="Q349" i="15"/>
  <c r="Q355" i="15"/>
  <c r="Q356" i="15"/>
  <c r="Q357" i="15"/>
  <c r="Q359" i="15"/>
  <c r="Q363" i="15"/>
  <c r="Q364" i="15"/>
  <c r="Q365" i="15"/>
  <c r="Q371" i="15"/>
  <c r="Q372" i="15"/>
  <c r="Q373" i="15"/>
  <c r="Q379" i="15"/>
  <c r="Q380" i="15"/>
  <c r="Q381" i="15"/>
  <c r="Q383" i="15"/>
  <c r="Q384" i="15"/>
  <c r="Q387" i="15"/>
  <c r="Q388" i="15"/>
  <c r="Q389" i="15"/>
  <c r="Q391" i="15"/>
  <c r="Q392" i="15"/>
  <c r="Q393" i="15"/>
  <c r="Q395" i="15"/>
  <c r="Q396" i="15"/>
  <c r="Q397" i="15"/>
  <c r="Q403" i="15"/>
  <c r="Q404" i="15"/>
  <c r="Q405" i="15"/>
  <c r="Q411" i="15"/>
  <c r="Q412" i="15"/>
  <c r="Q413" i="15"/>
  <c r="Q419" i="15"/>
  <c r="Q420" i="15"/>
  <c r="Q421" i="15"/>
  <c r="Q427" i="15"/>
  <c r="Q428" i="15"/>
  <c r="Q429" i="15"/>
  <c r="Q431" i="15"/>
  <c r="Q435" i="15"/>
  <c r="Q436" i="15"/>
  <c r="Q437" i="15"/>
  <c r="Q439" i="15"/>
  <c r="Q441" i="15"/>
  <c r="Q443" i="15"/>
  <c r="Q444" i="15"/>
  <c r="Q445" i="15"/>
  <c r="Q451" i="15"/>
  <c r="Q452" i="15"/>
  <c r="Q453" i="15"/>
  <c r="Q459" i="15"/>
  <c r="Q460" i="15"/>
  <c r="Q461" i="15"/>
  <c r="Q467" i="15"/>
  <c r="Q468" i="15"/>
  <c r="Q469" i="15"/>
  <c r="Q473" i="15"/>
  <c r="Q475" i="15"/>
  <c r="Q476" i="15"/>
  <c r="Q477" i="15"/>
  <c r="Q483" i="15"/>
  <c r="Q484" i="15"/>
  <c r="Q485" i="15"/>
  <c r="Q487" i="15"/>
  <c r="Q491" i="15"/>
  <c r="Q492" i="15"/>
  <c r="Q493" i="15"/>
  <c r="Q499" i="15"/>
  <c r="Q500" i="15"/>
  <c r="Q501" i="15"/>
  <c r="Q507" i="15"/>
  <c r="Q508" i="15"/>
  <c r="Q509" i="15"/>
  <c r="Q511" i="15"/>
  <c r="Q512" i="15"/>
  <c r="Q515" i="15"/>
  <c r="Q516" i="15"/>
  <c r="Q517" i="15"/>
  <c r="Q519" i="15"/>
  <c r="Q520" i="15"/>
  <c r="Q521" i="15"/>
  <c r="Q523" i="15"/>
  <c r="Q524" i="15"/>
  <c r="Q525" i="15"/>
  <c r="Q531" i="15"/>
  <c r="Q532" i="15"/>
  <c r="Q533" i="15"/>
  <c r="Q539" i="15"/>
  <c r="Q540" i="15"/>
  <c r="Q541" i="15"/>
  <c r="Q547" i="15"/>
  <c r="Q548" i="15"/>
  <c r="Q549" i="15"/>
  <c r="Q555" i="15"/>
  <c r="Q556" i="15"/>
  <c r="Q557" i="15"/>
  <c r="Q559" i="15"/>
  <c r="Q563" i="15"/>
  <c r="Q564" i="15"/>
  <c r="Q565" i="15"/>
  <c r="Q567" i="15"/>
  <c r="Q568" i="15"/>
  <c r="Q569" i="15"/>
  <c r="Q571" i="15"/>
  <c r="Q572" i="15"/>
  <c r="Q573" i="15"/>
  <c r="Q579" i="15"/>
  <c r="Q580" i="15"/>
  <c r="Q581" i="15"/>
  <c r="Q587" i="15"/>
  <c r="Q588" i="15"/>
  <c r="Q589" i="15"/>
  <c r="Q595" i="15"/>
  <c r="Q596" i="15"/>
  <c r="Q597" i="15"/>
  <c r="Q601" i="15"/>
  <c r="Q603" i="15"/>
  <c r="Q604" i="15"/>
  <c r="Q605" i="15"/>
  <c r="Q611" i="15"/>
  <c r="Q612" i="15"/>
  <c r="Q613" i="15"/>
  <c r="Q615" i="15"/>
  <c r="Q619" i="15"/>
  <c r="Q620" i="15"/>
  <c r="Q621" i="15"/>
  <c r="Q627" i="15"/>
  <c r="Q628" i="15"/>
  <c r="Q629" i="15"/>
  <c r="Q635" i="15"/>
  <c r="Q636" i="15"/>
  <c r="Q637" i="15"/>
  <c r="Q639" i="15"/>
  <c r="Q640" i="15"/>
  <c r="Q643" i="15"/>
  <c r="Q644" i="15"/>
  <c r="Q645" i="15"/>
  <c r="Q647" i="15"/>
  <c r="Q648" i="15"/>
  <c r="Q649" i="15"/>
  <c r="Q651" i="15"/>
  <c r="Q652" i="15"/>
  <c r="Q653" i="15"/>
  <c r="Q659" i="15"/>
  <c r="Q660" i="15"/>
  <c r="Q661" i="15"/>
  <c r="Q667" i="15"/>
  <c r="Q668" i="15"/>
  <c r="Q669" i="15"/>
  <c r="Q674" i="15"/>
  <c r="Q675" i="15"/>
  <c r="Q676" i="15"/>
  <c r="Q677" i="15"/>
  <c r="Q683" i="15"/>
  <c r="Q684" i="15"/>
  <c r="Q685" i="15"/>
  <c r="Q687" i="15"/>
  <c r="Q691" i="15"/>
  <c r="Q692" i="15"/>
  <c r="Q693" i="15"/>
  <c r="Q695" i="15"/>
  <c r="Q696" i="15"/>
  <c r="Q697" i="15"/>
  <c r="Q699" i="15"/>
  <c r="Q700" i="15"/>
  <c r="Q701" i="15"/>
  <c r="Q707" i="15"/>
  <c r="Q708" i="15"/>
  <c r="Q709" i="15"/>
  <c r="Q715" i="15"/>
  <c r="Q716" i="15"/>
  <c r="Q717" i="15"/>
  <c r="Q723" i="15"/>
  <c r="Q724" i="15"/>
  <c r="Q725" i="15"/>
  <c r="Q729" i="15"/>
  <c r="Q731" i="15"/>
  <c r="Q732" i="15"/>
  <c r="Q733" i="15"/>
  <c r="Q739" i="15"/>
  <c r="Q740" i="15"/>
  <c r="Q741" i="15"/>
  <c r="Q743" i="15"/>
  <c r="Q747" i="15"/>
  <c r="Q748" i="15"/>
  <c r="Q749" i="15"/>
  <c r="Q755" i="15"/>
  <c r="Q756" i="15"/>
  <c r="Q757" i="15"/>
  <c r="Q763" i="15"/>
  <c r="Q764" i="15"/>
  <c r="Q765" i="15"/>
  <c r="Q767" i="15"/>
  <c r="Q768" i="15"/>
  <c r="Q771" i="15"/>
  <c r="Q772" i="15"/>
  <c r="Q773" i="15"/>
  <c r="Q775" i="15"/>
  <c r="Q776" i="15"/>
  <c r="Q777" i="15"/>
  <c r="Q779" i="15"/>
  <c r="Q780" i="15"/>
  <c r="Q781" i="15"/>
  <c r="Q787" i="15"/>
  <c r="Q788" i="15"/>
  <c r="Q789" i="15"/>
  <c r="Q795" i="15"/>
  <c r="Q796" i="15"/>
  <c r="Q797" i="15"/>
  <c r="Q803" i="15"/>
  <c r="Q804" i="15"/>
  <c r="Q805" i="15"/>
  <c r="Q811" i="15"/>
  <c r="Q812" i="15"/>
  <c r="Q813" i="15"/>
  <c r="Q815" i="15"/>
  <c r="Q819" i="15"/>
  <c r="Q820" i="15"/>
  <c r="Q821" i="15"/>
  <c r="Q823" i="15"/>
  <c r="Q824" i="15"/>
  <c r="Q825" i="15"/>
  <c r="Q827" i="15"/>
  <c r="Q828" i="15"/>
  <c r="Q829" i="15"/>
  <c r="Q835" i="15"/>
  <c r="Q836" i="15"/>
  <c r="Q837" i="15"/>
  <c r="Q843" i="15"/>
  <c r="Q844" i="15"/>
  <c r="Q845" i="15"/>
  <c r="Q851" i="15"/>
  <c r="Q852" i="15"/>
  <c r="Q853" i="15"/>
  <c r="Q857" i="15"/>
  <c r="Q859" i="15"/>
  <c r="Q860" i="15"/>
  <c r="Q861" i="15"/>
  <c r="Q867" i="15"/>
  <c r="Q868" i="15"/>
  <c r="Q869" i="15"/>
  <c r="Q871" i="15"/>
  <c r="Q875" i="15"/>
  <c r="Q876" i="15"/>
  <c r="Q877" i="15"/>
  <c r="Q883" i="15"/>
  <c r="Q884" i="15"/>
  <c r="Q885" i="15"/>
  <c r="Q891" i="15"/>
  <c r="Q892" i="15"/>
  <c r="Q893" i="15"/>
  <c r="Q895" i="15"/>
  <c r="Q896" i="15"/>
  <c r="Q899" i="15"/>
  <c r="Q900" i="15"/>
  <c r="Q901" i="15"/>
  <c r="Q903" i="15"/>
  <c r="Q904" i="15"/>
  <c r="Q905" i="15"/>
  <c r="Q907" i="15"/>
  <c r="Q908" i="15"/>
  <c r="Q909" i="15"/>
  <c r="Q915" i="15"/>
  <c r="Q916" i="15"/>
  <c r="Q917" i="15"/>
  <c r="Q923" i="15"/>
  <c r="Q924" i="15"/>
  <c r="Q925" i="15"/>
  <c r="Q931" i="15"/>
  <c r="Q932" i="15"/>
  <c r="Q933" i="15"/>
  <c r="Q939" i="15"/>
  <c r="Q940" i="15"/>
  <c r="Q941" i="15"/>
  <c r="Q943" i="15"/>
  <c r="Q947" i="15"/>
  <c r="Q948" i="15"/>
  <c r="Q949" i="15"/>
  <c r="Q951" i="15"/>
  <c r="Q952" i="15"/>
  <c r="Q953" i="15"/>
  <c r="Q955" i="15"/>
  <c r="Q956" i="15"/>
  <c r="Q957" i="15"/>
  <c r="Q963" i="15"/>
  <c r="Q964" i="15"/>
  <c r="Q965" i="15"/>
  <c r="Q971" i="15"/>
  <c r="Q972" i="15"/>
  <c r="Q973" i="15"/>
  <c r="Q979" i="15"/>
  <c r="Q980" i="15"/>
  <c r="Q981" i="15"/>
  <c r="Q985" i="15"/>
  <c r="Q987" i="15"/>
  <c r="Q988" i="15"/>
  <c r="Q989" i="15"/>
  <c r="Q995" i="15"/>
  <c r="Q996" i="15"/>
  <c r="Q997" i="15"/>
  <c r="Q999" i="15"/>
  <c r="Q1003" i="15"/>
  <c r="Q1004" i="15"/>
  <c r="Q1005" i="15"/>
  <c r="Q1011" i="15"/>
  <c r="Q1012" i="15"/>
  <c r="Q1013" i="15"/>
  <c r="Q1019" i="15"/>
  <c r="Q1020" i="15"/>
  <c r="Q1021" i="15"/>
  <c r="Q1023" i="15"/>
  <c r="Q1024" i="15"/>
  <c r="Q1027" i="15"/>
  <c r="Q1028" i="15"/>
  <c r="Q1029" i="15"/>
  <c r="Q1031" i="15"/>
  <c r="Q1032" i="15"/>
  <c r="Q1033" i="15"/>
  <c r="Q1035" i="15"/>
  <c r="Q1036" i="15"/>
  <c r="Q1037" i="15"/>
  <c r="Q1043" i="15"/>
  <c r="Q1044" i="15"/>
  <c r="Q1045" i="15"/>
  <c r="Q1051" i="15"/>
  <c r="Q1052" i="15"/>
  <c r="Q1053" i="15"/>
  <c r="Q1059" i="15"/>
  <c r="Q1060" i="15"/>
  <c r="Q1061" i="15"/>
  <c r="Q1067" i="15"/>
  <c r="Q1068" i="15"/>
  <c r="Q1069" i="15"/>
  <c r="Q1071" i="15"/>
  <c r="Q1075" i="15"/>
  <c r="Q1076" i="15"/>
  <c r="Q1077" i="15"/>
  <c r="Q1079" i="15"/>
  <c r="Q1080" i="15"/>
  <c r="Q1081" i="15"/>
  <c r="Q1083" i="15"/>
  <c r="Q1084" i="15"/>
  <c r="Q1085" i="15"/>
  <c r="Q1091" i="15"/>
  <c r="Q1092" i="15"/>
  <c r="Q1093" i="15"/>
  <c r="Q1099" i="15"/>
  <c r="Q1100" i="15"/>
  <c r="Q1101" i="15"/>
  <c r="Q1107" i="15"/>
  <c r="Q1108" i="15"/>
  <c r="Q1109" i="15"/>
  <c r="Q1110" i="15"/>
  <c r="Q1115" i="15"/>
  <c r="Q1116" i="15"/>
  <c r="Q1117" i="15"/>
  <c r="Q1118" i="15"/>
  <c r="Q1119" i="15"/>
  <c r="Q1123" i="15"/>
  <c r="Q1124" i="15"/>
  <c r="Q1125" i="15"/>
  <c r="Q1126" i="15"/>
  <c r="Q1127" i="15"/>
  <c r="Q1128" i="15"/>
  <c r="Q1131" i="15"/>
  <c r="Q1132" i="15"/>
  <c r="Q1133" i="15"/>
  <c r="Q1134" i="15"/>
  <c r="Q1135" i="15"/>
  <c r="Q1136" i="15"/>
  <c r="Q1137" i="15"/>
  <c r="Q1139" i="15"/>
  <c r="Q1140" i="15"/>
  <c r="Q1141" i="15"/>
  <c r="Q1142" i="15"/>
  <c r="Q1143" i="15"/>
  <c r="Q1144" i="15"/>
  <c r="Q1145" i="15"/>
  <c r="Q1147" i="15"/>
  <c r="Q1148" i="15"/>
  <c r="Q1149" i="15"/>
  <c r="Q1155" i="15"/>
  <c r="Q1156" i="15"/>
  <c r="Q1157" i="15"/>
  <c r="Q1163" i="15"/>
  <c r="Q1164" i="15"/>
  <c r="Q1165" i="15"/>
  <c r="Q1171" i="15"/>
  <c r="Q1172" i="15"/>
  <c r="Q1173" i="15"/>
  <c r="Q1174" i="15"/>
  <c r="Q1179" i="15"/>
  <c r="Q1180" i="15"/>
  <c r="Q1181" i="15"/>
  <c r="Q1182" i="15"/>
  <c r="Q1183" i="15"/>
  <c r="Q1187" i="15"/>
  <c r="Q1188" i="15"/>
  <c r="Q1189" i="15"/>
  <c r="Q1190" i="15"/>
  <c r="Q1191" i="15"/>
  <c r="Q1192" i="15"/>
  <c r="Q1195" i="15"/>
  <c r="Q1196" i="15"/>
  <c r="Q1197" i="15"/>
  <c r="Q1198" i="15"/>
  <c r="Q1199" i="15"/>
  <c r="Q1200" i="15"/>
  <c r="Q1201" i="15"/>
  <c r="Q1203" i="15"/>
  <c r="Q1204" i="15"/>
  <c r="Q1205" i="15"/>
  <c r="Q1206" i="15"/>
  <c r="Q1207" i="15"/>
  <c r="Q1208" i="15"/>
  <c r="Q1209" i="15"/>
  <c r="Q1211" i="15"/>
  <c r="Q1212" i="15"/>
  <c r="Q1213" i="15"/>
  <c r="Q1219" i="15"/>
  <c r="Q1220" i="15"/>
  <c r="Q1221" i="15"/>
  <c r="Q1227" i="15"/>
  <c r="Q1228" i="15"/>
  <c r="Q1229" i="15"/>
  <c r="Q1235" i="15"/>
  <c r="Q1236" i="15"/>
  <c r="Q1237" i="15"/>
  <c r="Q1238" i="15"/>
  <c r="Q1243" i="15"/>
  <c r="Q1244" i="15"/>
  <c r="Q1245" i="15"/>
  <c r="Q1246" i="15"/>
  <c r="Q1247" i="15"/>
  <c r="Q1251" i="15"/>
  <c r="Q1252" i="15"/>
  <c r="Q1253" i="15"/>
  <c r="Q1254" i="15"/>
  <c r="Q1255" i="15"/>
  <c r="Q1256" i="15"/>
  <c r="Q1259" i="15"/>
  <c r="Q1260" i="15"/>
  <c r="Q1261" i="15"/>
  <c r="Q1262" i="15"/>
  <c r="Q1263" i="15"/>
  <c r="Q1264" i="15"/>
  <c r="Q1265" i="15"/>
  <c r="Q1267" i="15"/>
  <c r="Q1268" i="15"/>
  <c r="Q1269" i="15"/>
  <c r="Q1270" i="15"/>
  <c r="Q1271" i="15"/>
  <c r="Q1272" i="15"/>
  <c r="Q1273" i="15"/>
  <c r="Q1275" i="15"/>
  <c r="Q1276" i="15"/>
  <c r="Q1277" i="15"/>
  <c r="Q1283" i="15"/>
  <c r="Q1284" i="15"/>
  <c r="Q1285" i="15"/>
  <c r="Q1291" i="15"/>
  <c r="Q1292" i="15"/>
  <c r="Q1293" i="15"/>
  <c r="Q1299" i="15"/>
  <c r="Q1300" i="15"/>
  <c r="Q1301" i="15"/>
  <c r="Q1302" i="15"/>
  <c r="Q1307" i="15"/>
  <c r="Q1308" i="15"/>
  <c r="Q1309" i="15"/>
  <c r="Q1310" i="15"/>
  <c r="Q1311" i="15"/>
  <c r="Q1315" i="15"/>
  <c r="Q1316" i="15"/>
  <c r="Q1317" i="15"/>
  <c r="Q1318" i="15"/>
  <c r="Q1319" i="15"/>
  <c r="Q1320" i="15"/>
  <c r="Q1323" i="15"/>
  <c r="Q1324" i="15"/>
  <c r="Q1325" i="15"/>
  <c r="Q1326" i="15"/>
  <c r="Q1327" i="15"/>
  <c r="Q1328" i="15"/>
  <c r="Q1329" i="15"/>
  <c r="Q1331" i="15"/>
  <c r="Q1332" i="15"/>
  <c r="Q1333" i="15"/>
  <c r="Q1334" i="15"/>
  <c r="Q1335" i="15"/>
  <c r="Q1336" i="15"/>
  <c r="Q1337" i="15"/>
  <c r="Q1339" i="15"/>
  <c r="Q1340" i="15"/>
  <c r="Q1341" i="15"/>
  <c r="Q1347" i="15"/>
  <c r="Q1348" i="15"/>
  <c r="Q1349" i="15"/>
  <c r="Q1355" i="15"/>
  <c r="Q1356" i="15"/>
  <c r="Q1357" i="15"/>
  <c r="Q1363" i="15"/>
  <c r="Q1364" i="15"/>
  <c r="Q1365" i="15"/>
  <c r="Q1366" i="15"/>
  <c r="Q1371" i="15"/>
  <c r="Q1372" i="15"/>
  <c r="Q1373" i="15"/>
  <c r="Q1374" i="15"/>
  <c r="Q1375" i="15"/>
  <c r="Q1379" i="15"/>
  <c r="Q1380" i="15"/>
  <c r="Q1381" i="15"/>
  <c r="Q1382" i="15"/>
  <c r="Q1383" i="15"/>
  <c r="Q1384" i="15"/>
  <c r="Q1387" i="15"/>
  <c r="Q1388" i="15"/>
  <c r="Q1389" i="15"/>
  <c r="Q1390" i="15"/>
  <c r="Q1391" i="15"/>
  <c r="Q1392" i="15"/>
  <c r="Q1393" i="15"/>
  <c r="Q1395" i="15"/>
  <c r="Q1396" i="15"/>
  <c r="Q1397" i="15"/>
  <c r="Q1398" i="15"/>
  <c r="Q1399" i="15"/>
  <c r="Q1400" i="15"/>
  <c r="Q1401" i="15"/>
  <c r="Q1403" i="15"/>
  <c r="Q1404" i="15"/>
  <c r="Q1405" i="15"/>
  <c r="Q1411" i="15"/>
  <c r="Q1412" i="15"/>
  <c r="Q1413" i="15"/>
  <c r="Q1419" i="15"/>
  <c r="Q1420" i="15"/>
  <c r="Q1421" i="15"/>
  <c r="Q1427" i="15"/>
  <c r="Q1428" i="15"/>
  <c r="Q1429" i="15"/>
  <c r="Q1430" i="15"/>
  <c r="Q1435" i="15"/>
  <c r="Q1436" i="15"/>
  <c r="Q1437" i="15"/>
  <c r="Q1438" i="15"/>
  <c r="Q1439" i="15"/>
  <c r="Q2" i="15"/>
  <c r="J21" i="15"/>
  <c r="K21" i="16" s="1"/>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51" i="16"/>
  <c r="H52" i="16"/>
  <c r="H53" i="16"/>
  <c r="H54" i="16"/>
  <c r="H55" i="16"/>
  <c r="H56" i="16"/>
  <c r="H57" i="16"/>
  <c r="H59" i="16"/>
  <c r="H60" i="16"/>
  <c r="H61" i="16"/>
  <c r="H62" i="16"/>
  <c r="H63" i="16"/>
  <c r="H64" i="16"/>
  <c r="H65" i="16"/>
  <c r="H67" i="16"/>
  <c r="H68" i="16"/>
  <c r="H69" i="16"/>
  <c r="H72" i="16"/>
  <c r="H73" i="16"/>
  <c r="H75" i="16"/>
  <c r="H76" i="16"/>
  <c r="H77" i="16"/>
  <c r="H82" i="16"/>
  <c r="H83" i="16"/>
  <c r="H84" i="16"/>
  <c r="H85" i="16"/>
  <c r="H86" i="16"/>
  <c r="H87" i="16"/>
  <c r="H89"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9" i="16"/>
  <c r="H140" i="16"/>
  <c r="H141" i="16"/>
  <c r="H142" i="16"/>
  <c r="H147" i="16"/>
  <c r="H148" i="16"/>
  <c r="H149" i="16"/>
  <c r="H152" i="16"/>
  <c r="H153" i="16"/>
  <c r="H155" i="16"/>
  <c r="H156" i="16"/>
  <c r="H157" i="16"/>
  <c r="H158" i="16"/>
  <c r="H162" i="16"/>
  <c r="H163" i="16"/>
  <c r="H164" i="16"/>
  <c r="H165" i="16"/>
  <c r="H167" i="16"/>
  <c r="H171" i="16"/>
  <c r="H172" i="16"/>
  <c r="H173" i="16"/>
  <c r="H174" i="16"/>
  <c r="H177"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1" i="16"/>
  <c r="H232" i="16"/>
  <c r="H233" i="16"/>
  <c r="H235" i="16"/>
  <c r="H236" i="16"/>
  <c r="H237" i="16"/>
  <c r="H242" i="16"/>
  <c r="H243" i="16"/>
  <c r="H244" i="16"/>
  <c r="H245" i="16"/>
  <c r="H247" i="16"/>
  <c r="H248" i="16"/>
  <c r="H251" i="16"/>
  <c r="H252" i="16"/>
  <c r="H253" i="16"/>
  <c r="H254" i="16"/>
  <c r="H257" i="16"/>
  <c r="H259" i="16"/>
  <c r="H260" i="16"/>
  <c r="H261" i="16"/>
  <c r="H262" i="16"/>
  <c r="H263" i="16"/>
  <c r="H267" i="16"/>
  <c r="H268" i="16"/>
  <c r="H269"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20" i="16"/>
  <c r="H322" i="16"/>
  <c r="H323" i="16"/>
  <c r="H324" i="16"/>
  <c r="H325" i="16"/>
  <c r="H327" i="16"/>
  <c r="H328" i="16"/>
  <c r="H329" i="16"/>
  <c r="H331" i="16"/>
  <c r="H332" i="16"/>
  <c r="H333" i="16"/>
  <c r="H337" i="16"/>
  <c r="H338" i="16"/>
  <c r="H339" i="16"/>
  <c r="H340" i="16"/>
  <c r="H341" i="16"/>
  <c r="H342" i="16"/>
  <c r="H343" i="16"/>
  <c r="H347" i="16"/>
  <c r="H348" i="16"/>
  <c r="H349" i="16"/>
  <c r="H350" i="16"/>
  <c r="H352" i="16"/>
  <c r="H355" i="16"/>
  <c r="H356" i="16"/>
  <c r="H357" i="16"/>
  <c r="H358" i="16"/>
  <c r="H359"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11" i="16"/>
  <c r="H412" i="16"/>
  <c r="H413" i="16"/>
  <c r="H415" i="16"/>
  <c r="H416" i="16"/>
  <c r="H417" i="16"/>
  <c r="H419" i="16"/>
  <c r="H420" i="16"/>
  <c r="H421" i="16"/>
  <c r="H422" i="16"/>
  <c r="H423" i="16"/>
  <c r="H424" i="16"/>
  <c r="H425" i="16"/>
  <c r="H427" i="16"/>
  <c r="H428" i="16"/>
  <c r="H429" i="16"/>
  <c r="H432" i="16"/>
  <c r="H433" i="16"/>
  <c r="H435" i="16"/>
  <c r="H436" i="16"/>
  <c r="H437" i="16"/>
  <c r="H442" i="16"/>
  <c r="H443" i="16"/>
  <c r="H444" i="16"/>
  <c r="H445" i="16"/>
  <c r="H447"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9" i="16"/>
  <c r="H500" i="16"/>
  <c r="H501" i="16"/>
  <c r="H502" i="16"/>
  <c r="H507" i="16"/>
  <c r="H508" i="16"/>
  <c r="H509" i="16"/>
  <c r="H510" i="16"/>
  <c r="H512" i="16"/>
  <c r="H513" i="16"/>
  <c r="H515" i="16"/>
  <c r="H516" i="16"/>
  <c r="H517" i="16"/>
  <c r="H518" i="16"/>
  <c r="H519" i="16"/>
  <c r="H522" i="16"/>
  <c r="H523" i="16"/>
  <c r="H524" i="16"/>
  <c r="H525" i="16"/>
  <c r="H526" i="16"/>
  <c r="H527" i="16"/>
  <c r="H528" i="16"/>
  <c r="H531" i="16"/>
  <c r="H532" i="16"/>
  <c r="H533"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1" i="16"/>
  <c r="H592" i="16"/>
  <c r="H593" i="16"/>
  <c r="H595" i="16"/>
  <c r="H596" i="16"/>
  <c r="H597" i="16"/>
  <c r="H598" i="16"/>
  <c r="H602" i="16"/>
  <c r="H603" i="16"/>
  <c r="H604" i="16"/>
  <c r="H605" i="16"/>
  <c r="H607" i="16"/>
  <c r="H608" i="16"/>
  <c r="H611" i="16"/>
  <c r="H612" i="16"/>
  <c r="H613" i="16"/>
  <c r="H617" i="16"/>
  <c r="H618" i="16"/>
  <c r="H619" i="16"/>
  <c r="H620" i="16"/>
  <c r="H621" i="16"/>
  <c r="H622" i="16"/>
  <c r="H627" i="16"/>
  <c r="H628" i="16"/>
  <c r="H629"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82" i="16"/>
  <c r="H683" i="16"/>
  <c r="H684" i="16"/>
  <c r="H685" i="16"/>
  <c r="H686" i="16"/>
  <c r="H687" i="16"/>
  <c r="H688" i="16"/>
  <c r="H691" i="16"/>
  <c r="H692" i="16"/>
  <c r="H693" i="16"/>
  <c r="H694" i="16"/>
  <c r="H695" i="16"/>
  <c r="H697" i="16"/>
  <c r="H698" i="16"/>
  <c r="H699" i="16"/>
  <c r="H700" i="16"/>
  <c r="H701" i="16"/>
  <c r="H702" i="16"/>
  <c r="H703" i="16"/>
  <c r="H707" i="16"/>
  <c r="H708" i="16"/>
  <c r="H709" i="16"/>
  <c r="H710" i="16"/>
  <c r="H712" i="16"/>
  <c r="H715" i="16"/>
  <c r="H716" i="16"/>
  <c r="H717" i="16"/>
  <c r="H718" i="16"/>
  <c r="H719" i="16"/>
  <c r="H720"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7" i="16"/>
  <c r="H788" i="16"/>
  <c r="H789" i="16"/>
  <c r="H790" i="16"/>
  <c r="H791" i="16"/>
  <c r="H792" i="16"/>
  <c r="H793" i="16"/>
  <c r="H795" i="16"/>
  <c r="H796" i="16"/>
  <c r="H797" i="16"/>
  <c r="H798" i="16"/>
  <c r="H799" i="16"/>
  <c r="H800" i="16"/>
  <c r="H801" i="16"/>
  <c r="H802" i="16"/>
  <c r="H803" i="16"/>
  <c r="H804" i="16"/>
  <c r="H805" i="16"/>
  <c r="H807" i="16"/>
  <c r="H808"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7" i="16"/>
  <c r="H868" i="16"/>
  <c r="H869" i="16"/>
  <c r="H870" i="16"/>
  <c r="H872" i="16"/>
  <c r="H873" i="16"/>
  <c r="H875" i="16"/>
  <c r="H876" i="16"/>
  <c r="H877" i="16"/>
  <c r="H878" i="16"/>
  <c r="H882" i="16"/>
  <c r="H883" i="16"/>
  <c r="H884" i="16"/>
  <c r="H885" i="16"/>
  <c r="H887" i="16"/>
  <c r="H888" i="16"/>
  <c r="H891" i="16"/>
  <c r="H892" i="16"/>
  <c r="H893"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2" i="16"/>
  <c r="H955" i="16"/>
  <c r="H956" i="16"/>
  <c r="H957" i="16"/>
  <c r="H958" i="16"/>
  <c r="H959" i="16"/>
  <c r="H960" i="16"/>
  <c r="H962" i="16"/>
  <c r="H963" i="16"/>
  <c r="H964" i="16"/>
  <c r="H965" i="16"/>
  <c r="H966" i="16"/>
  <c r="H967" i="16"/>
  <c r="H968" i="16"/>
  <c r="H971" i="16"/>
  <c r="H972" i="16"/>
  <c r="H973" i="16"/>
  <c r="H977" i="16"/>
  <c r="H978" i="16"/>
  <c r="H979" i="16"/>
  <c r="H980" i="16"/>
  <c r="H981" i="16"/>
  <c r="H982" i="16"/>
  <c r="H987" i="16"/>
  <c r="H988" i="16"/>
  <c r="H989"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2" i="16"/>
  <c r="H1043" i="16"/>
  <c r="H1044" i="16"/>
  <c r="H1045" i="16"/>
  <c r="H1047" i="16"/>
  <c r="H1048" i="16"/>
  <c r="H1049" i="16"/>
  <c r="H1050" i="16"/>
  <c r="H1051" i="16"/>
  <c r="H1052" i="16"/>
  <c r="H1053" i="16"/>
  <c r="H1057" i="16"/>
  <c r="H1058" i="16"/>
  <c r="H1059" i="16"/>
  <c r="H1060" i="16"/>
  <c r="H1061" i="16"/>
  <c r="H1062" i="16"/>
  <c r="H1063" i="16"/>
  <c r="H1067" i="16"/>
  <c r="H1068" i="16"/>
  <c r="H1069" i="16"/>
  <c r="H1072" i="16"/>
  <c r="H1075" i="16"/>
  <c r="H1076" i="16"/>
  <c r="H1077" i="16"/>
  <c r="H1078" i="16"/>
  <c r="H1080"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H1120" i="16"/>
  <c r="H1121" i="16"/>
  <c r="H1122" i="16"/>
  <c r="H1123" i="16"/>
  <c r="H1124" i="16"/>
  <c r="H1125" i="16"/>
  <c r="H1126" i="16"/>
  <c r="H1127" i="16"/>
  <c r="H1128" i="16"/>
  <c r="H1129" i="16"/>
  <c r="H1130" i="16"/>
  <c r="H1131" i="16"/>
  <c r="H1132" i="16"/>
  <c r="H1133" i="16"/>
  <c r="H1136" i="16"/>
  <c r="H1137" i="16"/>
  <c r="H1138" i="16"/>
  <c r="H1139" i="16"/>
  <c r="H1140" i="16"/>
  <c r="H1141" i="16"/>
  <c r="H1142" i="16"/>
  <c r="H1143" i="16"/>
  <c r="H1144" i="16"/>
  <c r="H1145" i="16"/>
  <c r="H1147" i="16"/>
  <c r="H1148" i="16"/>
  <c r="H1149" i="16"/>
  <c r="H1152" i="16"/>
  <c r="H1153" i="16"/>
  <c r="H1155" i="16"/>
  <c r="H1156" i="16"/>
  <c r="H1157" i="16"/>
  <c r="H1158" i="16"/>
  <c r="H1162" i="16"/>
  <c r="H1163" i="16"/>
  <c r="H1164" i="16"/>
  <c r="H1165" i="16"/>
  <c r="H1166" i="16"/>
  <c r="H1167" i="16"/>
  <c r="H1168"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H1207" i="16"/>
  <c r="H1208" i="16"/>
  <c r="H1209" i="16"/>
  <c r="H1210" i="16"/>
  <c r="H1211" i="16"/>
  <c r="H1212" i="16"/>
  <c r="H1213" i="16"/>
  <c r="H1214" i="16"/>
  <c r="H1215" i="16"/>
  <c r="H1216" i="16"/>
  <c r="H1217" i="16"/>
  <c r="H1218" i="16"/>
  <c r="H1219" i="16"/>
  <c r="H1220" i="16"/>
  <c r="H1221" i="16"/>
  <c r="H1222" i="16"/>
  <c r="H1223" i="16"/>
  <c r="H1227" i="16"/>
  <c r="H1228" i="16"/>
  <c r="H1229" i="16"/>
  <c r="H1230" i="16"/>
  <c r="H1232" i="16"/>
  <c r="H1233" i="16"/>
  <c r="H1235" i="16"/>
  <c r="H1236" i="16"/>
  <c r="H1237" i="16"/>
  <c r="H1238" i="16"/>
  <c r="H1239" i="16"/>
  <c r="H1242" i="16"/>
  <c r="H1243" i="16"/>
  <c r="H1244" i="16"/>
  <c r="H1245" i="16"/>
  <c r="H1246" i="16"/>
  <c r="H1247" i="16"/>
  <c r="H1248" i="16"/>
  <c r="H1251" i="16"/>
  <c r="H1252" i="16"/>
  <c r="H1253" i="16"/>
  <c r="H1254" i="16"/>
  <c r="H1255" i="16"/>
  <c r="H1256" i="16"/>
  <c r="H1257" i="16"/>
  <c r="H1258" i="16"/>
  <c r="H1259" i="16"/>
  <c r="H1260" i="16"/>
  <c r="H1261" i="16"/>
  <c r="H1262" i="16"/>
  <c r="H1263" i="16"/>
  <c r="H1264" i="16"/>
  <c r="H1265" i="16"/>
  <c r="H1266" i="16"/>
  <c r="H1267" i="16"/>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5" i="16"/>
  <c r="H1316" i="16"/>
  <c r="H1317" i="16"/>
  <c r="H1318" i="16"/>
  <c r="H1319" i="16"/>
  <c r="H1320" i="16"/>
  <c r="H1321" i="16"/>
  <c r="H1322" i="16"/>
  <c r="H1323" i="16"/>
  <c r="H1324" i="16"/>
  <c r="H1325" i="16"/>
  <c r="H1327" i="16"/>
  <c r="H1328" i="16"/>
  <c r="H1329" i="16"/>
  <c r="H1331" i="16"/>
  <c r="H1332" i="16"/>
  <c r="H1333" i="16"/>
  <c r="H1337" i="16"/>
  <c r="H1338" i="16"/>
  <c r="H1339" i="16"/>
  <c r="H1340" i="16"/>
  <c r="H1341" i="16"/>
  <c r="H1342" i="16"/>
  <c r="H1343" i="16"/>
  <c r="H1347" i="16"/>
  <c r="H1348" i="16"/>
  <c r="H1349" i="16"/>
  <c r="H1352" i="16"/>
  <c r="H1353" i="16"/>
  <c r="H1354" i="16"/>
  <c r="H1355" i="16"/>
  <c r="H1356" i="16"/>
  <c r="H1357" i="16"/>
  <c r="H1358" i="16"/>
  <c r="H1359" i="16"/>
  <c r="H1360" i="16"/>
  <c r="H1361" i="16"/>
  <c r="H1362" i="16"/>
  <c r="H1363" i="16"/>
  <c r="H1364" i="16"/>
  <c r="H1365" i="16"/>
  <c r="H1366" i="16"/>
  <c r="H1367" i="16"/>
  <c r="H1368" i="16"/>
  <c r="H1369" i="16"/>
  <c r="H1370" i="16"/>
  <c r="H1371" i="16"/>
  <c r="H1372" i="16"/>
  <c r="H1373" i="16"/>
  <c r="H1374"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2" i="16"/>
  <c r="H1403" i="16"/>
  <c r="H1404" i="16"/>
  <c r="H1405" i="16"/>
  <c r="H1407" i="16"/>
  <c r="H1408" i="16"/>
  <c r="H1409" i="16"/>
  <c r="H1410" i="16"/>
  <c r="H1411" i="16"/>
  <c r="H1412" i="16"/>
  <c r="H1413" i="16"/>
  <c r="H1417" i="16"/>
  <c r="H1418" i="16"/>
  <c r="H1419" i="16"/>
  <c r="H1420" i="16"/>
  <c r="H1421" i="16"/>
  <c r="H1422" i="16"/>
  <c r="H1423" i="16"/>
  <c r="H1427" i="16"/>
  <c r="H1428" i="16"/>
  <c r="H1429" i="16"/>
  <c r="H1430" i="16"/>
  <c r="H1432" i="16"/>
  <c r="H1433" i="16"/>
  <c r="H1435" i="16"/>
  <c r="H1436" i="16"/>
  <c r="H1437" i="16"/>
  <c r="H1438" i="16"/>
  <c r="H1439" i="16"/>
  <c r="H2" i="16"/>
  <c r="A1246" i="16"/>
  <c r="B1246" i="16"/>
  <c r="C1246" i="16"/>
  <c r="D1246" i="16"/>
  <c r="E1246" i="16"/>
  <c r="F1246" i="16"/>
  <c r="G1246" i="16"/>
  <c r="J1246" i="16" s="1"/>
  <c r="I1246" i="16"/>
  <c r="A1247" i="16"/>
  <c r="B1247" i="16"/>
  <c r="C1247" i="16"/>
  <c r="D1247" i="16"/>
  <c r="E1247" i="16"/>
  <c r="F1247" i="16"/>
  <c r="G1247" i="16"/>
  <c r="J1247" i="16" s="1"/>
  <c r="I1247" i="16"/>
  <c r="A1248" i="16"/>
  <c r="B1248" i="16"/>
  <c r="C1248" i="16"/>
  <c r="D1248" i="16"/>
  <c r="E1248" i="16"/>
  <c r="F1248" i="16"/>
  <c r="G1248" i="16"/>
  <c r="J1248" i="16" s="1"/>
  <c r="I1248" i="16"/>
  <c r="A1249" i="16"/>
  <c r="B1249" i="16"/>
  <c r="C1249" i="16"/>
  <c r="D1249" i="16"/>
  <c r="E1249" i="16"/>
  <c r="F1249" i="16"/>
  <c r="G1249" i="16"/>
  <c r="J1249" i="16" s="1"/>
  <c r="I1249" i="16"/>
  <c r="A1250" i="16"/>
  <c r="B1250" i="16"/>
  <c r="C1250" i="16"/>
  <c r="D1250" i="16"/>
  <c r="E1250" i="16"/>
  <c r="F1250" i="16"/>
  <c r="G1250" i="16"/>
  <c r="J1250" i="16" s="1"/>
  <c r="I1250" i="16"/>
  <c r="A1251" i="16"/>
  <c r="B1251" i="16"/>
  <c r="C1251" i="16"/>
  <c r="D1251" i="16"/>
  <c r="E1251" i="16"/>
  <c r="F1251" i="16"/>
  <c r="G1251" i="16"/>
  <c r="J1251" i="16" s="1"/>
  <c r="I1251" i="16"/>
  <c r="A1252" i="16"/>
  <c r="B1252" i="16"/>
  <c r="C1252" i="16"/>
  <c r="D1252" i="16"/>
  <c r="E1252" i="16"/>
  <c r="F1252" i="16"/>
  <c r="G1252" i="16"/>
  <c r="J1252" i="16" s="1"/>
  <c r="I1252" i="16"/>
  <c r="A1253" i="16"/>
  <c r="B1253" i="16"/>
  <c r="C1253" i="16"/>
  <c r="D1253" i="16"/>
  <c r="E1253" i="16"/>
  <c r="F1253" i="16"/>
  <c r="G1253" i="16"/>
  <c r="J1253" i="16" s="1"/>
  <c r="I1253" i="16"/>
  <c r="A1254" i="16"/>
  <c r="B1254" i="16"/>
  <c r="C1254" i="16"/>
  <c r="D1254" i="16"/>
  <c r="E1254" i="16"/>
  <c r="F1254" i="16"/>
  <c r="G1254" i="16"/>
  <c r="J1254" i="16" s="1"/>
  <c r="I1254" i="16"/>
  <c r="A1255" i="16"/>
  <c r="B1255" i="16"/>
  <c r="C1255" i="16"/>
  <c r="D1255" i="16"/>
  <c r="E1255" i="16"/>
  <c r="F1255" i="16"/>
  <c r="G1255" i="16"/>
  <c r="J1255" i="16" s="1"/>
  <c r="I1255" i="16"/>
  <c r="A1256" i="16"/>
  <c r="B1256" i="16"/>
  <c r="C1256" i="16"/>
  <c r="D1256" i="16"/>
  <c r="E1256" i="16"/>
  <c r="F1256" i="16"/>
  <c r="G1256" i="16"/>
  <c r="J1256" i="16" s="1"/>
  <c r="I1256" i="16"/>
  <c r="A1257" i="16"/>
  <c r="B1257" i="16"/>
  <c r="C1257" i="16"/>
  <c r="D1257" i="16"/>
  <c r="E1257" i="16"/>
  <c r="F1257" i="16"/>
  <c r="G1257" i="16"/>
  <c r="J1257" i="16" s="1"/>
  <c r="I1257" i="16"/>
  <c r="A1258" i="16"/>
  <c r="B1258" i="16"/>
  <c r="C1258" i="16"/>
  <c r="D1258" i="16"/>
  <c r="E1258" i="16"/>
  <c r="F1258" i="16"/>
  <c r="G1258" i="16"/>
  <c r="J1258" i="16" s="1"/>
  <c r="I1258" i="16"/>
  <c r="A1259" i="16"/>
  <c r="B1259" i="16"/>
  <c r="C1259" i="16"/>
  <c r="D1259" i="16"/>
  <c r="E1259" i="16"/>
  <c r="F1259" i="16"/>
  <c r="G1259" i="16"/>
  <c r="J1259" i="16" s="1"/>
  <c r="I1259" i="16"/>
  <c r="A1260" i="16"/>
  <c r="B1260" i="16"/>
  <c r="C1260" i="16"/>
  <c r="D1260" i="16"/>
  <c r="E1260" i="16"/>
  <c r="F1260" i="16"/>
  <c r="G1260" i="16"/>
  <c r="J1260" i="16" s="1"/>
  <c r="I1260" i="16"/>
  <c r="A1261" i="16"/>
  <c r="B1261" i="16"/>
  <c r="C1261" i="16"/>
  <c r="D1261" i="16"/>
  <c r="E1261" i="16"/>
  <c r="F1261" i="16"/>
  <c r="G1261" i="16"/>
  <c r="J1261" i="16" s="1"/>
  <c r="I1261" i="16"/>
  <c r="A1262" i="16"/>
  <c r="B1262" i="16"/>
  <c r="C1262" i="16"/>
  <c r="D1262" i="16"/>
  <c r="E1262" i="16"/>
  <c r="F1262" i="16"/>
  <c r="G1262" i="16"/>
  <c r="J1262" i="16" s="1"/>
  <c r="I1262" i="16"/>
  <c r="A1263" i="16"/>
  <c r="B1263" i="16"/>
  <c r="C1263" i="16"/>
  <c r="D1263" i="16"/>
  <c r="E1263" i="16"/>
  <c r="F1263" i="16"/>
  <c r="G1263" i="16"/>
  <c r="J1263" i="16" s="1"/>
  <c r="I1263" i="16"/>
  <c r="A1264" i="16"/>
  <c r="B1264" i="16"/>
  <c r="C1264" i="16"/>
  <c r="D1264" i="16"/>
  <c r="E1264" i="16"/>
  <c r="F1264" i="16"/>
  <c r="G1264" i="16"/>
  <c r="J1264" i="16" s="1"/>
  <c r="I1264" i="16"/>
  <c r="A1265" i="16"/>
  <c r="B1265" i="16"/>
  <c r="C1265" i="16"/>
  <c r="D1265" i="16"/>
  <c r="E1265" i="16"/>
  <c r="F1265" i="16"/>
  <c r="G1265" i="16"/>
  <c r="J1265" i="16" s="1"/>
  <c r="I1265" i="16"/>
  <c r="A1266" i="16"/>
  <c r="B1266" i="16"/>
  <c r="C1266" i="16"/>
  <c r="D1266" i="16"/>
  <c r="E1266" i="16"/>
  <c r="F1266" i="16"/>
  <c r="G1266" i="16"/>
  <c r="J1266" i="16" s="1"/>
  <c r="I1266" i="16"/>
  <c r="A1267" i="16"/>
  <c r="B1267" i="16"/>
  <c r="C1267" i="16"/>
  <c r="D1267" i="16"/>
  <c r="E1267" i="16"/>
  <c r="F1267" i="16"/>
  <c r="G1267" i="16"/>
  <c r="J1267" i="16" s="1"/>
  <c r="I1267" i="16"/>
  <c r="A1268" i="16"/>
  <c r="B1268" i="16"/>
  <c r="C1268" i="16"/>
  <c r="D1268" i="16"/>
  <c r="E1268" i="16"/>
  <c r="F1268" i="16"/>
  <c r="G1268" i="16"/>
  <c r="J1268" i="16" s="1"/>
  <c r="I1268" i="16"/>
  <c r="A1269" i="16"/>
  <c r="B1269" i="16"/>
  <c r="C1269" i="16"/>
  <c r="D1269" i="16"/>
  <c r="E1269" i="16"/>
  <c r="F1269" i="16"/>
  <c r="G1269" i="16"/>
  <c r="J1269" i="16" s="1"/>
  <c r="I1269" i="16"/>
  <c r="A1270" i="16"/>
  <c r="B1270" i="16"/>
  <c r="C1270" i="16"/>
  <c r="D1270" i="16"/>
  <c r="E1270" i="16"/>
  <c r="F1270" i="16"/>
  <c r="G1270" i="16"/>
  <c r="J1270" i="16" s="1"/>
  <c r="I1270" i="16"/>
  <c r="A1271" i="16"/>
  <c r="B1271" i="16"/>
  <c r="C1271" i="16"/>
  <c r="D1271" i="16"/>
  <c r="E1271" i="16"/>
  <c r="F1271" i="16"/>
  <c r="G1271" i="16"/>
  <c r="J1271" i="16" s="1"/>
  <c r="I1271" i="16"/>
  <c r="A1272" i="16"/>
  <c r="B1272" i="16"/>
  <c r="C1272" i="16"/>
  <c r="D1272" i="16"/>
  <c r="E1272" i="16"/>
  <c r="F1272" i="16"/>
  <c r="G1272" i="16"/>
  <c r="J1272" i="16" s="1"/>
  <c r="I1272" i="16"/>
  <c r="A1273" i="16"/>
  <c r="B1273" i="16"/>
  <c r="C1273" i="16"/>
  <c r="D1273" i="16"/>
  <c r="E1273" i="16"/>
  <c r="F1273" i="16"/>
  <c r="G1273" i="16"/>
  <c r="J1273" i="16" s="1"/>
  <c r="I1273" i="16"/>
  <c r="A1274" i="16"/>
  <c r="B1274" i="16"/>
  <c r="C1274" i="16"/>
  <c r="D1274" i="16"/>
  <c r="E1274" i="16"/>
  <c r="F1274" i="16"/>
  <c r="G1274" i="16"/>
  <c r="J1274" i="16" s="1"/>
  <c r="I1274" i="16"/>
  <c r="A1275" i="16"/>
  <c r="B1275" i="16"/>
  <c r="C1275" i="16"/>
  <c r="D1275" i="16"/>
  <c r="E1275" i="16"/>
  <c r="F1275" i="16"/>
  <c r="G1275" i="16"/>
  <c r="J1275" i="16" s="1"/>
  <c r="I1275" i="16"/>
  <c r="A1276" i="16"/>
  <c r="B1276" i="16"/>
  <c r="C1276" i="16"/>
  <c r="D1276" i="16"/>
  <c r="E1276" i="16"/>
  <c r="F1276" i="16"/>
  <c r="G1276" i="16"/>
  <c r="J1276" i="16" s="1"/>
  <c r="I1276" i="16"/>
  <c r="A1277" i="16"/>
  <c r="B1277" i="16"/>
  <c r="C1277" i="16"/>
  <c r="D1277" i="16"/>
  <c r="E1277" i="16"/>
  <c r="F1277" i="16"/>
  <c r="G1277" i="16"/>
  <c r="J1277" i="16" s="1"/>
  <c r="I1277" i="16"/>
  <c r="A1278" i="16"/>
  <c r="B1278" i="16"/>
  <c r="C1278" i="16"/>
  <c r="D1278" i="16"/>
  <c r="E1278" i="16"/>
  <c r="F1278" i="16"/>
  <c r="G1278" i="16"/>
  <c r="J1278" i="16" s="1"/>
  <c r="I1278" i="16"/>
  <c r="A1279" i="16"/>
  <c r="B1279" i="16"/>
  <c r="C1279" i="16"/>
  <c r="D1279" i="16"/>
  <c r="E1279" i="16"/>
  <c r="F1279" i="16"/>
  <c r="G1279" i="16"/>
  <c r="J1279" i="16" s="1"/>
  <c r="I1279" i="16"/>
  <c r="A1280" i="16"/>
  <c r="B1280" i="16"/>
  <c r="C1280" i="16"/>
  <c r="D1280" i="16"/>
  <c r="E1280" i="16"/>
  <c r="F1280" i="16"/>
  <c r="G1280" i="16"/>
  <c r="J1280" i="16" s="1"/>
  <c r="I1280" i="16"/>
  <c r="A1281" i="16"/>
  <c r="B1281" i="16"/>
  <c r="C1281" i="16"/>
  <c r="D1281" i="16"/>
  <c r="E1281" i="16"/>
  <c r="F1281" i="16"/>
  <c r="G1281" i="16"/>
  <c r="J1281" i="16" s="1"/>
  <c r="I1281" i="16"/>
  <c r="A1282" i="16"/>
  <c r="B1282" i="16"/>
  <c r="C1282" i="16"/>
  <c r="D1282" i="16"/>
  <c r="E1282" i="16"/>
  <c r="F1282" i="16"/>
  <c r="G1282" i="16"/>
  <c r="J1282" i="16" s="1"/>
  <c r="I1282" i="16"/>
  <c r="A1283" i="16"/>
  <c r="B1283" i="16"/>
  <c r="C1283" i="16"/>
  <c r="D1283" i="16"/>
  <c r="E1283" i="16"/>
  <c r="F1283" i="16"/>
  <c r="G1283" i="16"/>
  <c r="J1283" i="16" s="1"/>
  <c r="I1283" i="16"/>
  <c r="A1284" i="16"/>
  <c r="B1284" i="16"/>
  <c r="C1284" i="16"/>
  <c r="D1284" i="16"/>
  <c r="E1284" i="16"/>
  <c r="F1284" i="16"/>
  <c r="G1284" i="16"/>
  <c r="J1284" i="16" s="1"/>
  <c r="I1284" i="16"/>
  <c r="A1285" i="16"/>
  <c r="B1285" i="16"/>
  <c r="C1285" i="16"/>
  <c r="D1285" i="16"/>
  <c r="E1285" i="16"/>
  <c r="F1285" i="16"/>
  <c r="G1285" i="16"/>
  <c r="J1285" i="16" s="1"/>
  <c r="I1285" i="16"/>
  <c r="A1286" i="16"/>
  <c r="B1286" i="16"/>
  <c r="C1286" i="16"/>
  <c r="D1286" i="16"/>
  <c r="E1286" i="16"/>
  <c r="F1286" i="16"/>
  <c r="G1286" i="16"/>
  <c r="J1286" i="16" s="1"/>
  <c r="I1286" i="16"/>
  <c r="A1287" i="16"/>
  <c r="B1287" i="16"/>
  <c r="C1287" i="16"/>
  <c r="D1287" i="16"/>
  <c r="E1287" i="16"/>
  <c r="F1287" i="16"/>
  <c r="G1287" i="16"/>
  <c r="J1287" i="16" s="1"/>
  <c r="I1287" i="16"/>
  <c r="A1288" i="16"/>
  <c r="B1288" i="16"/>
  <c r="C1288" i="16"/>
  <c r="D1288" i="16"/>
  <c r="E1288" i="16"/>
  <c r="F1288" i="16"/>
  <c r="G1288" i="16"/>
  <c r="J1288" i="16" s="1"/>
  <c r="I1288" i="16"/>
  <c r="A1289" i="16"/>
  <c r="B1289" i="16"/>
  <c r="C1289" i="16"/>
  <c r="D1289" i="16"/>
  <c r="E1289" i="16"/>
  <c r="F1289" i="16"/>
  <c r="G1289" i="16"/>
  <c r="J1289" i="16" s="1"/>
  <c r="I1289" i="16"/>
  <c r="A1290" i="16"/>
  <c r="B1290" i="16"/>
  <c r="C1290" i="16"/>
  <c r="D1290" i="16"/>
  <c r="E1290" i="16"/>
  <c r="F1290" i="16"/>
  <c r="G1290" i="16"/>
  <c r="J1290" i="16" s="1"/>
  <c r="I1290" i="16"/>
  <c r="A1291" i="16"/>
  <c r="B1291" i="16"/>
  <c r="C1291" i="16"/>
  <c r="D1291" i="16"/>
  <c r="E1291" i="16"/>
  <c r="F1291" i="16"/>
  <c r="G1291" i="16"/>
  <c r="J1291" i="16" s="1"/>
  <c r="I1291" i="16"/>
  <c r="A1292" i="16"/>
  <c r="B1292" i="16"/>
  <c r="C1292" i="16"/>
  <c r="D1292" i="16"/>
  <c r="E1292" i="16"/>
  <c r="F1292" i="16"/>
  <c r="G1292" i="16"/>
  <c r="J1292" i="16" s="1"/>
  <c r="I1292" i="16"/>
  <c r="A1293" i="16"/>
  <c r="B1293" i="16"/>
  <c r="C1293" i="16"/>
  <c r="D1293" i="16"/>
  <c r="E1293" i="16"/>
  <c r="F1293" i="16"/>
  <c r="G1293" i="16"/>
  <c r="J1293" i="16" s="1"/>
  <c r="I1293" i="16"/>
  <c r="A1294" i="16"/>
  <c r="B1294" i="16"/>
  <c r="C1294" i="16"/>
  <c r="D1294" i="16"/>
  <c r="E1294" i="16"/>
  <c r="F1294" i="16"/>
  <c r="G1294" i="16"/>
  <c r="J1294" i="16" s="1"/>
  <c r="I1294" i="16"/>
  <c r="A1295" i="16"/>
  <c r="B1295" i="16"/>
  <c r="C1295" i="16"/>
  <c r="D1295" i="16"/>
  <c r="E1295" i="16"/>
  <c r="F1295" i="16"/>
  <c r="G1295" i="16"/>
  <c r="J1295" i="16" s="1"/>
  <c r="I1295" i="16"/>
  <c r="A1296" i="16"/>
  <c r="B1296" i="16"/>
  <c r="C1296" i="16"/>
  <c r="D1296" i="16"/>
  <c r="E1296" i="16"/>
  <c r="F1296" i="16"/>
  <c r="G1296" i="16"/>
  <c r="J1296" i="16" s="1"/>
  <c r="I1296" i="16"/>
  <c r="A1297" i="16"/>
  <c r="B1297" i="16"/>
  <c r="C1297" i="16"/>
  <c r="D1297" i="16"/>
  <c r="E1297" i="16"/>
  <c r="F1297" i="16"/>
  <c r="G1297" i="16"/>
  <c r="J1297" i="16" s="1"/>
  <c r="I1297" i="16"/>
  <c r="A1298" i="16"/>
  <c r="B1298" i="16"/>
  <c r="C1298" i="16"/>
  <c r="D1298" i="16"/>
  <c r="E1298" i="16"/>
  <c r="F1298" i="16"/>
  <c r="G1298" i="16"/>
  <c r="J1298" i="16" s="1"/>
  <c r="I1298" i="16"/>
  <c r="A1299" i="16"/>
  <c r="B1299" i="16"/>
  <c r="C1299" i="16"/>
  <c r="D1299" i="16"/>
  <c r="E1299" i="16"/>
  <c r="F1299" i="16"/>
  <c r="G1299" i="16"/>
  <c r="J1299" i="16" s="1"/>
  <c r="I1299" i="16"/>
  <c r="A1300" i="16"/>
  <c r="B1300" i="16"/>
  <c r="C1300" i="16"/>
  <c r="D1300" i="16"/>
  <c r="E1300" i="16"/>
  <c r="F1300" i="16"/>
  <c r="G1300" i="16"/>
  <c r="J1300" i="16" s="1"/>
  <c r="I1300" i="16"/>
  <c r="A1301" i="16"/>
  <c r="B1301" i="16"/>
  <c r="C1301" i="16"/>
  <c r="D1301" i="16"/>
  <c r="E1301" i="16"/>
  <c r="F1301" i="16"/>
  <c r="G1301" i="16"/>
  <c r="J1301" i="16" s="1"/>
  <c r="I1301" i="16"/>
  <c r="A1302" i="16"/>
  <c r="B1302" i="16"/>
  <c r="C1302" i="16"/>
  <c r="D1302" i="16"/>
  <c r="E1302" i="16"/>
  <c r="F1302" i="16"/>
  <c r="G1302" i="16"/>
  <c r="J1302" i="16" s="1"/>
  <c r="I1302" i="16"/>
  <c r="A1303" i="16"/>
  <c r="B1303" i="16"/>
  <c r="C1303" i="16"/>
  <c r="D1303" i="16"/>
  <c r="E1303" i="16"/>
  <c r="F1303" i="16"/>
  <c r="G1303" i="16"/>
  <c r="J1303" i="16" s="1"/>
  <c r="I1303" i="16"/>
  <c r="A1304" i="16"/>
  <c r="B1304" i="16"/>
  <c r="C1304" i="16"/>
  <c r="D1304" i="16"/>
  <c r="E1304" i="16"/>
  <c r="F1304" i="16"/>
  <c r="G1304" i="16"/>
  <c r="J1304" i="16" s="1"/>
  <c r="I1304" i="16"/>
  <c r="A1305" i="16"/>
  <c r="B1305" i="16"/>
  <c r="C1305" i="16"/>
  <c r="D1305" i="16"/>
  <c r="E1305" i="16"/>
  <c r="F1305" i="16"/>
  <c r="G1305" i="16"/>
  <c r="J1305" i="16" s="1"/>
  <c r="I1305" i="16"/>
  <c r="A1306" i="16"/>
  <c r="B1306" i="16"/>
  <c r="C1306" i="16"/>
  <c r="D1306" i="16"/>
  <c r="E1306" i="16"/>
  <c r="F1306" i="16"/>
  <c r="G1306" i="16"/>
  <c r="J1306" i="16" s="1"/>
  <c r="I1306" i="16"/>
  <c r="A1307" i="16"/>
  <c r="B1307" i="16"/>
  <c r="C1307" i="16"/>
  <c r="D1307" i="16"/>
  <c r="E1307" i="16"/>
  <c r="F1307" i="16"/>
  <c r="G1307" i="16"/>
  <c r="J1307" i="16" s="1"/>
  <c r="I1307" i="16"/>
  <c r="A1308" i="16"/>
  <c r="B1308" i="16"/>
  <c r="C1308" i="16"/>
  <c r="D1308" i="16"/>
  <c r="E1308" i="16"/>
  <c r="F1308" i="16"/>
  <c r="G1308" i="16"/>
  <c r="J1308" i="16" s="1"/>
  <c r="I1308" i="16"/>
  <c r="A1309" i="16"/>
  <c r="B1309" i="16"/>
  <c r="C1309" i="16"/>
  <c r="D1309" i="16"/>
  <c r="E1309" i="16"/>
  <c r="F1309" i="16"/>
  <c r="G1309" i="16"/>
  <c r="J1309" i="16" s="1"/>
  <c r="I1309" i="16"/>
  <c r="A1310" i="16"/>
  <c r="B1310" i="16"/>
  <c r="C1310" i="16"/>
  <c r="D1310" i="16"/>
  <c r="E1310" i="16"/>
  <c r="F1310" i="16"/>
  <c r="G1310" i="16"/>
  <c r="J1310" i="16" s="1"/>
  <c r="I1310" i="16"/>
  <c r="A1311" i="16"/>
  <c r="B1311" i="16"/>
  <c r="C1311" i="16"/>
  <c r="D1311" i="16"/>
  <c r="E1311" i="16"/>
  <c r="F1311" i="16"/>
  <c r="G1311" i="16"/>
  <c r="J1311" i="16" s="1"/>
  <c r="I1311" i="16"/>
  <c r="A1312" i="16"/>
  <c r="B1312" i="16"/>
  <c r="C1312" i="16"/>
  <c r="D1312" i="16"/>
  <c r="E1312" i="16"/>
  <c r="F1312" i="16"/>
  <c r="G1312" i="16"/>
  <c r="J1312" i="16" s="1"/>
  <c r="I1312" i="16"/>
  <c r="A1313" i="16"/>
  <c r="B1313" i="16"/>
  <c r="C1313" i="16"/>
  <c r="D1313" i="16"/>
  <c r="E1313" i="16"/>
  <c r="F1313" i="16"/>
  <c r="G1313" i="16"/>
  <c r="J1313" i="16" s="1"/>
  <c r="I1313" i="16"/>
  <c r="A1314" i="16"/>
  <c r="B1314" i="16"/>
  <c r="C1314" i="16"/>
  <c r="D1314" i="16"/>
  <c r="E1314" i="16"/>
  <c r="F1314" i="16"/>
  <c r="G1314" i="16"/>
  <c r="J1314" i="16" s="1"/>
  <c r="I1314" i="16"/>
  <c r="A1315" i="16"/>
  <c r="B1315" i="16"/>
  <c r="C1315" i="16"/>
  <c r="D1315" i="16"/>
  <c r="E1315" i="16"/>
  <c r="F1315" i="16"/>
  <c r="G1315" i="16"/>
  <c r="J1315" i="16" s="1"/>
  <c r="I1315" i="16"/>
  <c r="A1316" i="16"/>
  <c r="B1316" i="16"/>
  <c r="C1316" i="16"/>
  <c r="D1316" i="16"/>
  <c r="E1316" i="16"/>
  <c r="F1316" i="16"/>
  <c r="G1316" i="16"/>
  <c r="J1316" i="16" s="1"/>
  <c r="I1316" i="16"/>
  <c r="A1317" i="16"/>
  <c r="B1317" i="16"/>
  <c r="C1317" i="16"/>
  <c r="D1317" i="16"/>
  <c r="E1317" i="16"/>
  <c r="F1317" i="16"/>
  <c r="G1317" i="16"/>
  <c r="J1317" i="16" s="1"/>
  <c r="I1317" i="16"/>
  <c r="A1318" i="16"/>
  <c r="B1318" i="16"/>
  <c r="C1318" i="16"/>
  <c r="D1318" i="16"/>
  <c r="E1318" i="16"/>
  <c r="F1318" i="16"/>
  <c r="G1318" i="16"/>
  <c r="J1318" i="16" s="1"/>
  <c r="I1318" i="16"/>
  <c r="A1319" i="16"/>
  <c r="B1319" i="16"/>
  <c r="C1319" i="16"/>
  <c r="D1319" i="16"/>
  <c r="E1319" i="16"/>
  <c r="F1319" i="16"/>
  <c r="G1319" i="16"/>
  <c r="J1319" i="16" s="1"/>
  <c r="I1319" i="16"/>
  <c r="A1320" i="16"/>
  <c r="B1320" i="16"/>
  <c r="C1320" i="16"/>
  <c r="D1320" i="16"/>
  <c r="E1320" i="16"/>
  <c r="F1320" i="16"/>
  <c r="G1320" i="16"/>
  <c r="J1320" i="16" s="1"/>
  <c r="I1320" i="16"/>
  <c r="A1321" i="16"/>
  <c r="B1321" i="16"/>
  <c r="C1321" i="16"/>
  <c r="D1321" i="16"/>
  <c r="E1321" i="16"/>
  <c r="F1321" i="16"/>
  <c r="G1321" i="16"/>
  <c r="J1321" i="16" s="1"/>
  <c r="I1321" i="16"/>
  <c r="A1322" i="16"/>
  <c r="B1322" i="16"/>
  <c r="C1322" i="16"/>
  <c r="D1322" i="16"/>
  <c r="E1322" i="16"/>
  <c r="F1322" i="16"/>
  <c r="G1322" i="16"/>
  <c r="J1322" i="16" s="1"/>
  <c r="I1322" i="16"/>
  <c r="A1323" i="16"/>
  <c r="B1323" i="16"/>
  <c r="C1323" i="16"/>
  <c r="D1323" i="16"/>
  <c r="E1323" i="16"/>
  <c r="F1323" i="16"/>
  <c r="G1323" i="16"/>
  <c r="J1323" i="16" s="1"/>
  <c r="I1323" i="16"/>
  <c r="A1324" i="16"/>
  <c r="B1324" i="16"/>
  <c r="C1324" i="16"/>
  <c r="D1324" i="16"/>
  <c r="E1324" i="16"/>
  <c r="F1324" i="16"/>
  <c r="G1324" i="16"/>
  <c r="J1324" i="16" s="1"/>
  <c r="I1324" i="16"/>
  <c r="A1325" i="16"/>
  <c r="B1325" i="16"/>
  <c r="C1325" i="16"/>
  <c r="D1325" i="16"/>
  <c r="E1325" i="16"/>
  <c r="F1325" i="16"/>
  <c r="G1325" i="16"/>
  <c r="J1325" i="16" s="1"/>
  <c r="I1325" i="16"/>
  <c r="A1326" i="16"/>
  <c r="B1326" i="16"/>
  <c r="C1326" i="16"/>
  <c r="D1326" i="16"/>
  <c r="E1326" i="16"/>
  <c r="F1326" i="16"/>
  <c r="G1326" i="16"/>
  <c r="J1326" i="16" s="1"/>
  <c r="I1326" i="16"/>
  <c r="A1327" i="16"/>
  <c r="B1327" i="16"/>
  <c r="C1327" i="16"/>
  <c r="D1327" i="16"/>
  <c r="E1327" i="16"/>
  <c r="F1327" i="16"/>
  <c r="G1327" i="16"/>
  <c r="J1327" i="16" s="1"/>
  <c r="I1327" i="16"/>
  <c r="A1328" i="16"/>
  <c r="B1328" i="16"/>
  <c r="C1328" i="16"/>
  <c r="D1328" i="16"/>
  <c r="E1328" i="16"/>
  <c r="F1328" i="16"/>
  <c r="G1328" i="16"/>
  <c r="J1328" i="16" s="1"/>
  <c r="I1328" i="16"/>
  <c r="A1329" i="16"/>
  <c r="B1329" i="16"/>
  <c r="C1329" i="16"/>
  <c r="D1329" i="16"/>
  <c r="E1329" i="16"/>
  <c r="F1329" i="16"/>
  <c r="G1329" i="16"/>
  <c r="J1329" i="16" s="1"/>
  <c r="I1329" i="16"/>
  <c r="A1330" i="16"/>
  <c r="B1330" i="16"/>
  <c r="C1330" i="16"/>
  <c r="D1330" i="16"/>
  <c r="E1330" i="16"/>
  <c r="F1330" i="16"/>
  <c r="G1330" i="16"/>
  <c r="J1330" i="16" s="1"/>
  <c r="I1330" i="16"/>
  <c r="A1331" i="16"/>
  <c r="B1331" i="16"/>
  <c r="C1331" i="16"/>
  <c r="D1331" i="16"/>
  <c r="E1331" i="16"/>
  <c r="F1331" i="16"/>
  <c r="G1331" i="16"/>
  <c r="J1331" i="16" s="1"/>
  <c r="I1331" i="16"/>
  <c r="A1332" i="16"/>
  <c r="B1332" i="16"/>
  <c r="C1332" i="16"/>
  <c r="D1332" i="16"/>
  <c r="E1332" i="16"/>
  <c r="F1332" i="16"/>
  <c r="G1332" i="16"/>
  <c r="J1332" i="16" s="1"/>
  <c r="I1332" i="16"/>
  <c r="A1333" i="16"/>
  <c r="B1333" i="16"/>
  <c r="C1333" i="16"/>
  <c r="D1333" i="16"/>
  <c r="E1333" i="16"/>
  <c r="F1333" i="16"/>
  <c r="G1333" i="16"/>
  <c r="J1333" i="16" s="1"/>
  <c r="I1333" i="16"/>
  <c r="A1334" i="16"/>
  <c r="B1334" i="16"/>
  <c r="C1334" i="16"/>
  <c r="D1334" i="16"/>
  <c r="E1334" i="16"/>
  <c r="F1334" i="16"/>
  <c r="G1334" i="16"/>
  <c r="J1334" i="16" s="1"/>
  <c r="I1334" i="16"/>
  <c r="A1335" i="16"/>
  <c r="B1335" i="16"/>
  <c r="C1335" i="16"/>
  <c r="D1335" i="16"/>
  <c r="E1335" i="16"/>
  <c r="F1335" i="16"/>
  <c r="G1335" i="16"/>
  <c r="J1335" i="16" s="1"/>
  <c r="I1335" i="16"/>
  <c r="A1336" i="16"/>
  <c r="B1336" i="16"/>
  <c r="C1336" i="16"/>
  <c r="D1336" i="16"/>
  <c r="E1336" i="16"/>
  <c r="F1336" i="16"/>
  <c r="G1336" i="16"/>
  <c r="J1336" i="16" s="1"/>
  <c r="I1336" i="16"/>
  <c r="A1337" i="16"/>
  <c r="B1337" i="16"/>
  <c r="C1337" i="16"/>
  <c r="D1337" i="16"/>
  <c r="E1337" i="16"/>
  <c r="F1337" i="16"/>
  <c r="G1337" i="16"/>
  <c r="J1337" i="16" s="1"/>
  <c r="I1337" i="16"/>
  <c r="A1338" i="16"/>
  <c r="B1338" i="16"/>
  <c r="C1338" i="16"/>
  <c r="D1338" i="16"/>
  <c r="E1338" i="16"/>
  <c r="F1338" i="16"/>
  <c r="G1338" i="16"/>
  <c r="J1338" i="16" s="1"/>
  <c r="I1338" i="16"/>
  <c r="A1339" i="16"/>
  <c r="B1339" i="16"/>
  <c r="C1339" i="16"/>
  <c r="D1339" i="16"/>
  <c r="E1339" i="16"/>
  <c r="F1339" i="16"/>
  <c r="G1339" i="16"/>
  <c r="J1339" i="16" s="1"/>
  <c r="I1339" i="16"/>
  <c r="A1340" i="16"/>
  <c r="B1340" i="16"/>
  <c r="C1340" i="16"/>
  <c r="D1340" i="16"/>
  <c r="E1340" i="16"/>
  <c r="F1340" i="16"/>
  <c r="G1340" i="16"/>
  <c r="J1340" i="16" s="1"/>
  <c r="I1340" i="16"/>
  <c r="A1341" i="16"/>
  <c r="B1341" i="16"/>
  <c r="C1341" i="16"/>
  <c r="D1341" i="16"/>
  <c r="E1341" i="16"/>
  <c r="F1341" i="16"/>
  <c r="G1341" i="16"/>
  <c r="J1341" i="16" s="1"/>
  <c r="I1341" i="16"/>
  <c r="A1342" i="16"/>
  <c r="B1342" i="16"/>
  <c r="C1342" i="16"/>
  <c r="D1342" i="16"/>
  <c r="E1342" i="16"/>
  <c r="F1342" i="16"/>
  <c r="G1342" i="16"/>
  <c r="J1342" i="16" s="1"/>
  <c r="I1342" i="16"/>
  <c r="A1343" i="16"/>
  <c r="B1343" i="16"/>
  <c r="C1343" i="16"/>
  <c r="D1343" i="16"/>
  <c r="E1343" i="16"/>
  <c r="F1343" i="16"/>
  <c r="G1343" i="16"/>
  <c r="J1343" i="16" s="1"/>
  <c r="I1343" i="16"/>
  <c r="A1344" i="16"/>
  <c r="B1344" i="16"/>
  <c r="C1344" i="16"/>
  <c r="D1344" i="16"/>
  <c r="E1344" i="16"/>
  <c r="F1344" i="16"/>
  <c r="G1344" i="16"/>
  <c r="J1344" i="16" s="1"/>
  <c r="I1344" i="16"/>
  <c r="A1345" i="16"/>
  <c r="B1345" i="16"/>
  <c r="C1345" i="16"/>
  <c r="D1345" i="16"/>
  <c r="E1345" i="16"/>
  <c r="F1345" i="16"/>
  <c r="G1345" i="16"/>
  <c r="J1345" i="16" s="1"/>
  <c r="I1345" i="16"/>
  <c r="A1346" i="16"/>
  <c r="B1346" i="16"/>
  <c r="C1346" i="16"/>
  <c r="D1346" i="16"/>
  <c r="E1346" i="16"/>
  <c r="F1346" i="16"/>
  <c r="G1346" i="16"/>
  <c r="J1346" i="16" s="1"/>
  <c r="I1346" i="16"/>
  <c r="A1347" i="16"/>
  <c r="B1347" i="16"/>
  <c r="C1347" i="16"/>
  <c r="D1347" i="16"/>
  <c r="E1347" i="16"/>
  <c r="F1347" i="16"/>
  <c r="G1347" i="16"/>
  <c r="J1347" i="16" s="1"/>
  <c r="I1347" i="16"/>
  <c r="A1348" i="16"/>
  <c r="B1348" i="16"/>
  <c r="C1348" i="16"/>
  <c r="D1348" i="16"/>
  <c r="E1348" i="16"/>
  <c r="F1348" i="16"/>
  <c r="G1348" i="16"/>
  <c r="J1348" i="16" s="1"/>
  <c r="I1348" i="16"/>
  <c r="A1349" i="16"/>
  <c r="B1349" i="16"/>
  <c r="C1349" i="16"/>
  <c r="D1349" i="16"/>
  <c r="E1349" i="16"/>
  <c r="F1349" i="16"/>
  <c r="G1349" i="16"/>
  <c r="J1349" i="16" s="1"/>
  <c r="I1349" i="16"/>
  <c r="A1350" i="16"/>
  <c r="B1350" i="16"/>
  <c r="C1350" i="16"/>
  <c r="D1350" i="16"/>
  <c r="E1350" i="16"/>
  <c r="F1350" i="16"/>
  <c r="G1350" i="16"/>
  <c r="J1350" i="16" s="1"/>
  <c r="I1350" i="16"/>
  <c r="A1351" i="16"/>
  <c r="B1351" i="16"/>
  <c r="C1351" i="16"/>
  <c r="D1351" i="16"/>
  <c r="E1351" i="16"/>
  <c r="F1351" i="16"/>
  <c r="G1351" i="16"/>
  <c r="J1351" i="16" s="1"/>
  <c r="I1351" i="16"/>
  <c r="A1352" i="16"/>
  <c r="B1352" i="16"/>
  <c r="C1352" i="16"/>
  <c r="D1352" i="16"/>
  <c r="E1352" i="16"/>
  <c r="F1352" i="16"/>
  <c r="G1352" i="16"/>
  <c r="J1352" i="16" s="1"/>
  <c r="I1352" i="16"/>
  <c r="A1353" i="16"/>
  <c r="B1353" i="16"/>
  <c r="C1353" i="16"/>
  <c r="D1353" i="16"/>
  <c r="E1353" i="16"/>
  <c r="F1353" i="16"/>
  <c r="G1353" i="16"/>
  <c r="J1353" i="16" s="1"/>
  <c r="I1353" i="16"/>
  <c r="A1354" i="16"/>
  <c r="B1354" i="16"/>
  <c r="C1354" i="16"/>
  <c r="D1354" i="16"/>
  <c r="E1354" i="16"/>
  <c r="F1354" i="16"/>
  <c r="G1354" i="16"/>
  <c r="J1354" i="16" s="1"/>
  <c r="I1354" i="16"/>
  <c r="A1355" i="16"/>
  <c r="B1355" i="16"/>
  <c r="C1355" i="16"/>
  <c r="D1355" i="16"/>
  <c r="E1355" i="16"/>
  <c r="F1355" i="16"/>
  <c r="G1355" i="16"/>
  <c r="J1355" i="16" s="1"/>
  <c r="I1355" i="16"/>
  <c r="A1356" i="16"/>
  <c r="B1356" i="16"/>
  <c r="C1356" i="16"/>
  <c r="D1356" i="16"/>
  <c r="E1356" i="16"/>
  <c r="F1356" i="16"/>
  <c r="G1356" i="16"/>
  <c r="J1356" i="16" s="1"/>
  <c r="I1356" i="16"/>
  <c r="A1357" i="16"/>
  <c r="B1357" i="16"/>
  <c r="C1357" i="16"/>
  <c r="D1357" i="16"/>
  <c r="E1357" i="16"/>
  <c r="F1357" i="16"/>
  <c r="G1357" i="16"/>
  <c r="J1357" i="16" s="1"/>
  <c r="I1357" i="16"/>
  <c r="A1358" i="16"/>
  <c r="B1358" i="16"/>
  <c r="C1358" i="16"/>
  <c r="D1358" i="16"/>
  <c r="E1358" i="16"/>
  <c r="F1358" i="16"/>
  <c r="G1358" i="16"/>
  <c r="J1358" i="16" s="1"/>
  <c r="I1358" i="16"/>
  <c r="A1359" i="16"/>
  <c r="B1359" i="16"/>
  <c r="C1359" i="16"/>
  <c r="D1359" i="16"/>
  <c r="E1359" i="16"/>
  <c r="F1359" i="16"/>
  <c r="G1359" i="16"/>
  <c r="J1359" i="16" s="1"/>
  <c r="I1359" i="16"/>
  <c r="A1360" i="16"/>
  <c r="B1360" i="16"/>
  <c r="C1360" i="16"/>
  <c r="D1360" i="16"/>
  <c r="E1360" i="16"/>
  <c r="F1360" i="16"/>
  <c r="G1360" i="16"/>
  <c r="J1360" i="16" s="1"/>
  <c r="I1360" i="16"/>
  <c r="A1361" i="16"/>
  <c r="B1361" i="16"/>
  <c r="C1361" i="16"/>
  <c r="D1361" i="16"/>
  <c r="E1361" i="16"/>
  <c r="F1361" i="16"/>
  <c r="G1361" i="16"/>
  <c r="J1361" i="16" s="1"/>
  <c r="I1361" i="16"/>
  <c r="A1362" i="16"/>
  <c r="B1362" i="16"/>
  <c r="C1362" i="16"/>
  <c r="D1362" i="16"/>
  <c r="E1362" i="16"/>
  <c r="F1362" i="16"/>
  <c r="G1362" i="16"/>
  <c r="J1362" i="16" s="1"/>
  <c r="I1362" i="16"/>
  <c r="A1363" i="16"/>
  <c r="B1363" i="16"/>
  <c r="C1363" i="16"/>
  <c r="D1363" i="16"/>
  <c r="E1363" i="16"/>
  <c r="F1363" i="16"/>
  <c r="G1363" i="16"/>
  <c r="J1363" i="16" s="1"/>
  <c r="I1363" i="16"/>
  <c r="A1364" i="16"/>
  <c r="B1364" i="16"/>
  <c r="C1364" i="16"/>
  <c r="D1364" i="16"/>
  <c r="E1364" i="16"/>
  <c r="F1364" i="16"/>
  <c r="G1364" i="16"/>
  <c r="J1364" i="16" s="1"/>
  <c r="I1364" i="16"/>
  <c r="A1365" i="16"/>
  <c r="B1365" i="16"/>
  <c r="C1365" i="16"/>
  <c r="D1365" i="16"/>
  <c r="E1365" i="16"/>
  <c r="F1365" i="16"/>
  <c r="G1365" i="16"/>
  <c r="J1365" i="16" s="1"/>
  <c r="I1365" i="16"/>
  <c r="A1366" i="16"/>
  <c r="B1366" i="16"/>
  <c r="C1366" i="16"/>
  <c r="D1366" i="16"/>
  <c r="E1366" i="16"/>
  <c r="F1366" i="16"/>
  <c r="G1366" i="16"/>
  <c r="J1366" i="16" s="1"/>
  <c r="I1366" i="16"/>
  <c r="A1367" i="16"/>
  <c r="B1367" i="16"/>
  <c r="C1367" i="16"/>
  <c r="D1367" i="16"/>
  <c r="E1367" i="16"/>
  <c r="F1367" i="16"/>
  <c r="G1367" i="16"/>
  <c r="J1367" i="16" s="1"/>
  <c r="I1367" i="16"/>
  <c r="A1368" i="16"/>
  <c r="B1368" i="16"/>
  <c r="C1368" i="16"/>
  <c r="D1368" i="16"/>
  <c r="E1368" i="16"/>
  <c r="F1368" i="16"/>
  <c r="G1368" i="16"/>
  <c r="J1368" i="16" s="1"/>
  <c r="I1368" i="16"/>
  <c r="A1369" i="16"/>
  <c r="B1369" i="16"/>
  <c r="C1369" i="16"/>
  <c r="D1369" i="16"/>
  <c r="E1369" i="16"/>
  <c r="F1369" i="16"/>
  <c r="G1369" i="16"/>
  <c r="J1369" i="16" s="1"/>
  <c r="I1369" i="16"/>
  <c r="A1370" i="16"/>
  <c r="B1370" i="16"/>
  <c r="C1370" i="16"/>
  <c r="D1370" i="16"/>
  <c r="E1370" i="16"/>
  <c r="F1370" i="16"/>
  <c r="G1370" i="16"/>
  <c r="J1370" i="16" s="1"/>
  <c r="I1370" i="16"/>
  <c r="A1371" i="16"/>
  <c r="B1371" i="16"/>
  <c r="C1371" i="16"/>
  <c r="D1371" i="16"/>
  <c r="E1371" i="16"/>
  <c r="F1371" i="16"/>
  <c r="G1371" i="16"/>
  <c r="J1371" i="16" s="1"/>
  <c r="I1371" i="16"/>
  <c r="A1372" i="16"/>
  <c r="B1372" i="16"/>
  <c r="C1372" i="16"/>
  <c r="D1372" i="16"/>
  <c r="E1372" i="16"/>
  <c r="F1372" i="16"/>
  <c r="G1372" i="16"/>
  <c r="J1372" i="16" s="1"/>
  <c r="I1372" i="16"/>
  <c r="A1373" i="16"/>
  <c r="B1373" i="16"/>
  <c r="C1373" i="16"/>
  <c r="D1373" i="16"/>
  <c r="E1373" i="16"/>
  <c r="F1373" i="16"/>
  <c r="G1373" i="16"/>
  <c r="J1373" i="16" s="1"/>
  <c r="I1373" i="16"/>
  <c r="A1374" i="16"/>
  <c r="B1374" i="16"/>
  <c r="C1374" i="16"/>
  <c r="D1374" i="16"/>
  <c r="E1374" i="16"/>
  <c r="F1374" i="16"/>
  <c r="G1374" i="16"/>
  <c r="J1374" i="16" s="1"/>
  <c r="I1374" i="16"/>
  <c r="A1375" i="16"/>
  <c r="B1375" i="16"/>
  <c r="C1375" i="16"/>
  <c r="D1375" i="16"/>
  <c r="E1375" i="16"/>
  <c r="F1375" i="16"/>
  <c r="G1375" i="16"/>
  <c r="J1375" i="16" s="1"/>
  <c r="I1375" i="16"/>
  <c r="A1376" i="16"/>
  <c r="B1376" i="16"/>
  <c r="C1376" i="16"/>
  <c r="D1376" i="16"/>
  <c r="E1376" i="16"/>
  <c r="F1376" i="16"/>
  <c r="G1376" i="16"/>
  <c r="J1376" i="16" s="1"/>
  <c r="I1376" i="16"/>
  <c r="A1377" i="16"/>
  <c r="B1377" i="16"/>
  <c r="C1377" i="16"/>
  <c r="D1377" i="16"/>
  <c r="E1377" i="16"/>
  <c r="F1377" i="16"/>
  <c r="G1377" i="16"/>
  <c r="J1377" i="16" s="1"/>
  <c r="I1377" i="16"/>
  <c r="A1378" i="16"/>
  <c r="B1378" i="16"/>
  <c r="C1378" i="16"/>
  <c r="D1378" i="16"/>
  <c r="E1378" i="16"/>
  <c r="F1378" i="16"/>
  <c r="G1378" i="16"/>
  <c r="J1378" i="16" s="1"/>
  <c r="I1378" i="16"/>
  <c r="A1379" i="16"/>
  <c r="B1379" i="16"/>
  <c r="C1379" i="16"/>
  <c r="D1379" i="16"/>
  <c r="E1379" i="16"/>
  <c r="F1379" i="16"/>
  <c r="G1379" i="16"/>
  <c r="J1379" i="16" s="1"/>
  <c r="I1379" i="16"/>
  <c r="A1380" i="16"/>
  <c r="B1380" i="16"/>
  <c r="C1380" i="16"/>
  <c r="D1380" i="16"/>
  <c r="E1380" i="16"/>
  <c r="F1380" i="16"/>
  <c r="G1380" i="16"/>
  <c r="J1380" i="16" s="1"/>
  <c r="I1380" i="16"/>
  <c r="A1381" i="16"/>
  <c r="B1381" i="16"/>
  <c r="C1381" i="16"/>
  <c r="D1381" i="16"/>
  <c r="E1381" i="16"/>
  <c r="F1381" i="16"/>
  <c r="G1381" i="16"/>
  <c r="J1381" i="16" s="1"/>
  <c r="I1381" i="16"/>
  <c r="A1382" i="16"/>
  <c r="B1382" i="16"/>
  <c r="C1382" i="16"/>
  <c r="D1382" i="16"/>
  <c r="E1382" i="16"/>
  <c r="F1382" i="16"/>
  <c r="G1382" i="16"/>
  <c r="J1382" i="16" s="1"/>
  <c r="I1382" i="16"/>
  <c r="A1383" i="16"/>
  <c r="B1383" i="16"/>
  <c r="C1383" i="16"/>
  <c r="D1383" i="16"/>
  <c r="E1383" i="16"/>
  <c r="F1383" i="16"/>
  <c r="G1383" i="16"/>
  <c r="J1383" i="16" s="1"/>
  <c r="I1383" i="16"/>
  <c r="A1384" i="16"/>
  <c r="B1384" i="16"/>
  <c r="C1384" i="16"/>
  <c r="D1384" i="16"/>
  <c r="E1384" i="16"/>
  <c r="F1384" i="16"/>
  <c r="G1384" i="16"/>
  <c r="J1384" i="16" s="1"/>
  <c r="I1384" i="16"/>
  <c r="A1385" i="16"/>
  <c r="B1385" i="16"/>
  <c r="C1385" i="16"/>
  <c r="D1385" i="16"/>
  <c r="E1385" i="16"/>
  <c r="F1385" i="16"/>
  <c r="G1385" i="16"/>
  <c r="J1385" i="16" s="1"/>
  <c r="I1385" i="16"/>
  <c r="A1386" i="16"/>
  <c r="B1386" i="16"/>
  <c r="C1386" i="16"/>
  <c r="D1386" i="16"/>
  <c r="E1386" i="16"/>
  <c r="F1386" i="16"/>
  <c r="G1386" i="16"/>
  <c r="J1386" i="16" s="1"/>
  <c r="I1386" i="16"/>
  <c r="A1387" i="16"/>
  <c r="B1387" i="16"/>
  <c r="C1387" i="16"/>
  <c r="D1387" i="16"/>
  <c r="E1387" i="16"/>
  <c r="F1387" i="16"/>
  <c r="G1387" i="16"/>
  <c r="J1387" i="16" s="1"/>
  <c r="I1387" i="16"/>
  <c r="A1388" i="16"/>
  <c r="B1388" i="16"/>
  <c r="C1388" i="16"/>
  <c r="D1388" i="16"/>
  <c r="E1388" i="16"/>
  <c r="F1388" i="16"/>
  <c r="G1388" i="16"/>
  <c r="J1388" i="16" s="1"/>
  <c r="I1388" i="16"/>
  <c r="A1389" i="16"/>
  <c r="B1389" i="16"/>
  <c r="C1389" i="16"/>
  <c r="D1389" i="16"/>
  <c r="E1389" i="16"/>
  <c r="F1389" i="16"/>
  <c r="G1389" i="16"/>
  <c r="J1389" i="16" s="1"/>
  <c r="I1389" i="16"/>
  <c r="A1390" i="16"/>
  <c r="B1390" i="16"/>
  <c r="C1390" i="16"/>
  <c r="D1390" i="16"/>
  <c r="E1390" i="16"/>
  <c r="F1390" i="16"/>
  <c r="G1390" i="16"/>
  <c r="J1390" i="16" s="1"/>
  <c r="I1390" i="16"/>
  <c r="A1391" i="16"/>
  <c r="B1391" i="16"/>
  <c r="C1391" i="16"/>
  <c r="D1391" i="16"/>
  <c r="E1391" i="16"/>
  <c r="F1391" i="16"/>
  <c r="G1391" i="16"/>
  <c r="J1391" i="16" s="1"/>
  <c r="I1391" i="16"/>
  <c r="A1392" i="16"/>
  <c r="B1392" i="16"/>
  <c r="C1392" i="16"/>
  <c r="D1392" i="16"/>
  <c r="E1392" i="16"/>
  <c r="F1392" i="16"/>
  <c r="G1392" i="16"/>
  <c r="J1392" i="16" s="1"/>
  <c r="I1392" i="16"/>
  <c r="A1393" i="16"/>
  <c r="B1393" i="16"/>
  <c r="C1393" i="16"/>
  <c r="D1393" i="16"/>
  <c r="E1393" i="16"/>
  <c r="F1393" i="16"/>
  <c r="G1393" i="16"/>
  <c r="J1393" i="16" s="1"/>
  <c r="I1393" i="16"/>
  <c r="A1394" i="16"/>
  <c r="B1394" i="16"/>
  <c r="C1394" i="16"/>
  <c r="D1394" i="16"/>
  <c r="E1394" i="16"/>
  <c r="F1394" i="16"/>
  <c r="G1394" i="16"/>
  <c r="J1394" i="16" s="1"/>
  <c r="I1394" i="16"/>
  <c r="A1395" i="16"/>
  <c r="B1395" i="16"/>
  <c r="C1395" i="16"/>
  <c r="D1395" i="16"/>
  <c r="E1395" i="16"/>
  <c r="F1395" i="16"/>
  <c r="G1395" i="16"/>
  <c r="J1395" i="16" s="1"/>
  <c r="I1395" i="16"/>
  <c r="A1396" i="16"/>
  <c r="B1396" i="16"/>
  <c r="C1396" i="16"/>
  <c r="D1396" i="16"/>
  <c r="E1396" i="16"/>
  <c r="F1396" i="16"/>
  <c r="G1396" i="16"/>
  <c r="J1396" i="16" s="1"/>
  <c r="I1396" i="16"/>
  <c r="A1397" i="16"/>
  <c r="B1397" i="16"/>
  <c r="C1397" i="16"/>
  <c r="D1397" i="16"/>
  <c r="E1397" i="16"/>
  <c r="F1397" i="16"/>
  <c r="G1397" i="16"/>
  <c r="J1397" i="16" s="1"/>
  <c r="I1397" i="16"/>
  <c r="A1398" i="16"/>
  <c r="B1398" i="16"/>
  <c r="C1398" i="16"/>
  <c r="D1398" i="16"/>
  <c r="E1398" i="16"/>
  <c r="F1398" i="16"/>
  <c r="G1398" i="16"/>
  <c r="J1398" i="16" s="1"/>
  <c r="I1398" i="16"/>
  <c r="A1399" i="16"/>
  <c r="B1399" i="16"/>
  <c r="C1399" i="16"/>
  <c r="D1399" i="16"/>
  <c r="E1399" i="16"/>
  <c r="F1399" i="16"/>
  <c r="G1399" i="16"/>
  <c r="J1399" i="16" s="1"/>
  <c r="I1399" i="16"/>
  <c r="A1400" i="16"/>
  <c r="B1400" i="16"/>
  <c r="C1400" i="16"/>
  <c r="D1400" i="16"/>
  <c r="E1400" i="16"/>
  <c r="F1400" i="16"/>
  <c r="G1400" i="16"/>
  <c r="J1400" i="16" s="1"/>
  <c r="I1400" i="16"/>
  <c r="A1401" i="16"/>
  <c r="B1401" i="16"/>
  <c r="C1401" i="16"/>
  <c r="D1401" i="16"/>
  <c r="E1401" i="16"/>
  <c r="F1401" i="16"/>
  <c r="G1401" i="16"/>
  <c r="J1401" i="16" s="1"/>
  <c r="I1401" i="16"/>
  <c r="A1402" i="16"/>
  <c r="B1402" i="16"/>
  <c r="C1402" i="16"/>
  <c r="D1402" i="16"/>
  <c r="E1402" i="16"/>
  <c r="F1402" i="16"/>
  <c r="G1402" i="16"/>
  <c r="J1402" i="16" s="1"/>
  <c r="I1402" i="16"/>
  <c r="A1403" i="16"/>
  <c r="B1403" i="16"/>
  <c r="C1403" i="16"/>
  <c r="D1403" i="16"/>
  <c r="E1403" i="16"/>
  <c r="F1403" i="16"/>
  <c r="G1403" i="16"/>
  <c r="J1403" i="16" s="1"/>
  <c r="I1403" i="16"/>
  <c r="A1404" i="16"/>
  <c r="B1404" i="16"/>
  <c r="C1404" i="16"/>
  <c r="D1404" i="16"/>
  <c r="E1404" i="16"/>
  <c r="F1404" i="16"/>
  <c r="G1404" i="16"/>
  <c r="J1404" i="16" s="1"/>
  <c r="I1404" i="16"/>
  <c r="A1405" i="16"/>
  <c r="B1405" i="16"/>
  <c r="C1405" i="16"/>
  <c r="D1405" i="16"/>
  <c r="E1405" i="16"/>
  <c r="F1405" i="16"/>
  <c r="G1405" i="16"/>
  <c r="J1405" i="16" s="1"/>
  <c r="I1405" i="16"/>
  <c r="A1406" i="16"/>
  <c r="B1406" i="16"/>
  <c r="C1406" i="16"/>
  <c r="D1406" i="16"/>
  <c r="E1406" i="16"/>
  <c r="F1406" i="16"/>
  <c r="G1406" i="16"/>
  <c r="J1406" i="16" s="1"/>
  <c r="I1406" i="16"/>
  <c r="A1407" i="16"/>
  <c r="B1407" i="16"/>
  <c r="C1407" i="16"/>
  <c r="D1407" i="16"/>
  <c r="E1407" i="16"/>
  <c r="F1407" i="16"/>
  <c r="G1407" i="16"/>
  <c r="J1407" i="16" s="1"/>
  <c r="I1407" i="16"/>
  <c r="A1408" i="16"/>
  <c r="B1408" i="16"/>
  <c r="C1408" i="16"/>
  <c r="D1408" i="16"/>
  <c r="E1408" i="16"/>
  <c r="F1408" i="16"/>
  <c r="G1408" i="16"/>
  <c r="J1408" i="16" s="1"/>
  <c r="I1408" i="16"/>
  <c r="A1409" i="16"/>
  <c r="B1409" i="16"/>
  <c r="C1409" i="16"/>
  <c r="D1409" i="16"/>
  <c r="E1409" i="16"/>
  <c r="F1409" i="16"/>
  <c r="G1409" i="16"/>
  <c r="J1409" i="16" s="1"/>
  <c r="I1409" i="16"/>
  <c r="A1410" i="16"/>
  <c r="B1410" i="16"/>
  <c r="C1410" i="16"/>
  <c r="D1410" i="16"/>
  <c r="E1410" i="16"/>
  <c r="F1410" i="16"/>
  <c r="G1410" i="16"/>
  <c r="J1410" i="16" s="1"/>
  <c r="I1410" i="16"/>
  <c r="A1411" i="16"/>
  <c r="B1411" i="16"/>
  <c r="C1411" i="16"/>
  <c r="D1411" i="16"/>
  <c r="E1411" i="16"/>
  <c r="F1411" i="16"/>
  <c r="G1411" i="16"/>
  <c r="J1411" i="16" s="1"/>
  <c r="I1411" i="16"/>
  <c r="A1412" i="16"/>
  <c r="B1412" i="16"/>
  <c r="C1412" i="16"/>
  <c r="D1412" i="16"/>
  <c r="E1412" i="16"/>
  <c r="F1412" i="16"/>
  <c r="G1412" i="16"/>
  <c r="J1412" i="16" s="1"/>
  <c r="I1412" i="16"/>
  <c r="A1413" i="16"/>
  <c r="B1413" i="16"/>
  <c r="C1413" i="16"/>
  <c r="D1413" i="16"/>
  <c r="E1413" i="16"/>
  <c r="F1413" i="16"/>
  <c r="G1413" i="16"/>
  <c r="J1413" i="16" s="1"/>
  <c r="I1413" i="16"/>
  <c r="A1414" i="16"/>
  <c r="B1414" i="16"/>
  <c r="C1414" i="16"/>
  <c r="D1414" i="16"/>
  <c r="E1414" i="16"/>
  <c r="F1414" i="16"/>
  <c r="G1414" i="16"/>
  <c r="J1414" i="16" s="1"/>
  <c r="I1414" i="16"/>
  <c r="A1415" i="16"/>
  <c r="B1415" i="16"/>
  <c r="C1415" i="16"/>
  <c r="D1415" i="16"/>
  <c r="E1415" i="16"/>
  <c r="F1415" i="16"/>
  <c r="G1415" i="16"/>
  <c r="J1415" i="16" s="1"/>
  <c r="I1415" i="16"/>
  <c r="A1416" i="16"/>
  <c r="B1416" i="16"/>
  <c r="C1416" i="16"/>
  <c r="D1416" i="16"/>
  <c r="E1416" i="16"/>
  <c r="F1416" i="16"/>
  <c r="G1416" i="16"/>
  <c r="J1416" i="16" s="1"/>
  <c r="I1416" i="16"/>
  <c r="A1417" i="16"/>
  <c r="B1417" i="16"/>
  <c r="C1417" i="16"/>
  <c r="D1417" i="16"/>
  <c r="E1417" i="16"/>
  <c r="F1417" i="16"/>
  <c r="G1417" i="16"/>
  <c r="J1417" i="16" s="1"/>
  <c r="I1417" i="16"/>
  <c r="A1418" i="16"/>
  <c r="B1418" i="16"/>
  <c r="C1418" i="16"/>
  <c r="D1418" i="16"/>
  <c r="E1418" i="16"/>
  <c r="F1418" i="16"/>
  <c r="G1418" i="16"/>
  <c r="J1418" i="16" s="1"/>
  <c r="I1418" i="16"/>
  <c r="A1419" i="16"/>
  <c r="B1419" i="16"/>
  <c r="C1419" i="16"/>
  <c r="D1419" i="16"/>
  <c r="E1419" i="16"/>
  <c r="F1419" i="16"/>
  <c r="G1419" i="16"/>
  <c r="J1419" i="16" s="1"/>
  <c r="I1419" i="16"/>
  <c r="A1420" i="16"/>
  <c r="B1420" i="16"/>
  <c r="C1420" i="16"/>
  <c r="D1420" i="16"/>
  <c r="E1420" i="16"/>
  <c r="F1420" i="16"/>
  <c r="G1420" i="16"/>
  <c r="J1420" i="16" s="1"/>
  <c r="I1420" i="16"/>
  <c r="A1421" i="16"/>
  <c r="B1421" i="16"/>
  <c r="C1421" i="16"/>
  <c r="D1421" i="16"/>
  <c r="E1421" i="16"/>
  <c r="F1421" i="16"/>
  <c r="G1421" i="16"/>
  <c r="J1421" i="16" s="1"/>
  <c r="I1421" i="16"/>
  <c r="A1422" i="16"/>
  <c r="B1422" i="16"/>
  <c r="C1422" i="16"/>
  <c r="D1422" i="16"/>
  <c r="E1422" i="16"/>
  <c r="F1422" i="16"/>
  <c r="G1422" i="16"/>
  <c r="J1422" i="16" s="1"/>
  <c r="I1422" i="16"/>
  <c r="A1423" i="16"/>
  <c r="B1423" i="16"/>
  <c r="C1423" i="16"/>
  <c r="D1423" i="16"/>
  <c r="E1423" i="16"/>
  <c r="F1423" i="16"/>
  <c r="G1423" i="16"/>
  <c r="J1423" i="16" s="1"/>
  <c r="I1423" i="16"/>
  <c r="A1424" i="16"/>
  <c r="B1424" i="16"/>
  <c r="C1424" i="16"/>
  <c r="D1424" i="16"/>
  <c r="E1424" i="16"/>
  <c r="F1424" i="16"/>
  <c r="G1424" i="16"/>
  <c r="J1424" i="16" s="1"/>
  <c r="I1424" i="16"/>
  <c r="A1425" i="16"/>
  <c r="B1425" i="16"/>
  <c r="C1425" i="16"/>
  <c r="D1425" i="16"/>
  <c r="E1425" i="16"/>
  <c r="F1425" i="16"/>
  <c r="G1425" i="16"/>
  <c r="J1425" i="16" s="1"/>
  <c r="I1425" i="16"/>
  <c r="A1426" i="16"/>
  <c r="B1426" i="16"/>
  <c r="C1426" i="16"/>
  <c r="D1426" i="16"/>
  <c r="E1426" i="16"/>
  <c r="F1426" i="16"/>
  <c r="G1426" i="16"/>
  <c r="J1426" i="16" s="1"/>
  <c r="I1426" i="16"/>
  <c r="A1427" i="16"/>
  <c r="B1427" i="16"/>
  <c r="C1427" i="16"/>
  <c r="D1427" i="16"/>
  <c r="E1427" i="16"/>
  <c r="F1427" i="16"/>
  <c r="G1427" i="16"/>
  <c r="J1427" i="16" s="1"/>
  <c r="I1427" i="16"/>
  <c r="A1428" i="16"/>
  <c r="B1428" i="16"/>
  <c r="C1428" i="16"/>
  <c r="D1428" i="16"/>
  <c r="E1428" i="16"/>
  <c r="F1428" i="16"/>
  <c r="G1428" i="16"/>
  <c r="J1428" i="16" s="1"/>
  <c r="I1428" i="16"/>
  <c r="A1429" i="16"/>
  <c r="B1429" i="16"/>
  <c r="C1429" i="16"/>
  <c r="D1429" i="16"/>
  <c r="E1429" i="16"/>
  <c r="F1429" i="16"/>
  <c r="G1429" i="16"/>
  <c r="J1429" i="16" s="1"/>
  <c r="I1429" i="16"/>
  <c r="A1430" i="16"/>
  <c r="B1430" i="16"/>
  <c r="C1430" i="16"/>
  <c r="D1430" i="16"/>
  <c r="E1430" i="16"/>
  <c r="F1430" i="16"/>
  <c r="G1430" i="16"/>
  <c r="J1430" i="16" s="1"/>
  <c r="I1430" i="16"/>
  <c r="A1431" i="16"/>
  <c r="B1431" i="16"/>
  <c r="C1431" i="16"/>
  <c r="D1431" i="16"/>
  <c r="E1431" i="16"/>
  <c r="F1431" i="16"/>
  <c r="G1431" i="16"/>
  <c r="J1431" i="16" s="1"/>
  <c r="I1431" i="16"/>
  <c r="A1432" i="16"/>
  <c r="B1432" i="16"/>
  <c r="C1432" i="16"/>
  <c r="D1432" i="16"/>
  <c r="E1432" i="16"/>
  <c r="F1432" i="16"/>
  <c r="G1432" i="16"/>
  <c r="J1432" i="16" s="1"/>
  <c r="I1432" i="16"/>
  <c r="A1433" i="16"/>
  <c r="B1433" i="16"/>
  <c r="C1433" i="16"/>
  <c r="D1433" i="16"/>
  <c r="E1433" i="16"/>
  <c r="F1433" i="16"/>
  <c r="G1433" i="16"/>
  <c r="J1433" i="16" s="1"/>
  <c r="I1433" i="16"/>
  <c r="A1434" i="16"/>
  <c r="B1434" i="16"/>
  <c r="C1434" i="16"/>
  <c r="D1434" i="16"/>
  <c r="E1434" i="16"/>
  <c r="F1434" i="16"/>
  <c r="G1434" i="16"/>
  <c r="J1434" i="16" s="1"/>
  <c r="I1434" i="16"/>
  <c r="A1435" i="16"/>
  <c r="B1435" i="16"/>
  <c r="C1435" i="16"/>
  <c r="D1435" i="16"/>
  <c r="E1435" i="16"/>
  <c r="F1435" i="16"/>
  <c r="G1435" i="16"/>
  <c r="J1435" i="16" s="1"/>
  <c r="I1435" i="16"/>
  <c r="A1436" i="16"/>
  <c r="B1436" i="16"/>
  <c r="C1436" i="16"/>
  <c r="D1436" i="16"/>
  <c r="E1436" i="16"/>
  <c r="F1436" i="16"/>
  <c r="G1436" i="16"/>
  <c r="J1436" i="16" s="1"/>
  <c r="I1436" i="16"/>
  <c r="A1437" i="16"/>
  <c r="B1437" i="16"/>
  <c r="C1437" i="16"/>
  <c r="D1437" i="16"/>
  <c r="E1437" i="16"/>
  <c r="F1437" i="16"/>
  <c r="G1437" i="16"/>
  <c r="J1437" i="16" s="1"/>
  <c r="I1437" i="16"/>
  <c r="A1438" i="16"/>
  <c r="B1438" i="16"/>
  <c r="C1438" i="16"/>
  <c r="D1438" i="16"/>
  <c r="E1438" i="16"/>
  <c r="F1438" i="16"/>
  <c r="G1438" i="16"/>
  <c r="J1438" i="16" s="1"/>
  <c r="I1438" i="16"/>
  <c r="A1439" i="16"/>
  <c r="B1439" i="16"/>
  <c r="C1439" i="16"/>
  <c r="D1439" i="16"/>
  <c r="E1439" i="16"/>
  <c r="F1439" i="16"/>
  <c r="G1439" i="16"/>
  <c r="J1439" i="16" s="1"/>
  <c r="I1439" i="16"/>
  <c r="A1440" i="16"/>
  <c r="B1440" i="16"/>
  <c r="C1440" i="16"/>
  <c r="D1440" i="16"/>
  <c r="E1440" i="16"/>
  <c r="F1440" i="16"/>
  <c r="G1440" i="16"/>
  <c r="J1440" i="16" s="1"/>
  <c r="I1440" i="16"/>
  <c r="A1441" i="16"/>
  <c r="B1441" i="16"/>
  <c r="C1441" i="16"/>
  <c r="D1441" i="16"/>
  <c r="E1441" i="16"/>
  <c r="F1441" i="16"/>
  <c r="G1441" i="16"/>
  <c r="J1441" i="16" s="1"/>
  <c r="I1441" i="16"/>
  <c r="A3" i="16"/>
  <c r="B3" i="16"/>
  <c r="C3" i="16"/>
  <c r="D3" i="16"/>
  <c r="E3" i="16"/>
  <c r="F3" i="16"/>
  <c r="G3" i="16"/>
  <c r="J3" i="16" s="1"/>
  <c r="I3" i="16"/>
  <c r="A4" i="16"/>
  <c r="B4" i="16"/>
  <c r="C4" i="16"/>
  <c r="D4" i="16"/>
  <c r="E4" i="16"/>
  <c r="F4" i="16"/>
  <c r="G4" i="16"/>
  <c r="J4" i="16" s="1"/>
  <c r="I4" i="16"/>
  <c r="A5" i="16"/>
  <c r="B5" i="16"/>
  <c r="C5" i="16"/>
  <c r="D5" i="16"/>
  <c r="E5" i="16"/>
  <c r="F5" i="16"/>
  <c r="G5" i="16"/>
  <c r="J5" i="16" s="1"/>
  <c r="I5" i="16"/>
  <c r="A6" i="16"/>
  <c r="B6" i="16"/>
  <c r="C6" i="16"/>
  <c r="D6" i="16"/>
  <c r="E6" i="16"/>
  <c r="F6" i="16"/>
  <c r="G6" i="16"/>
  <c r="J6" i="16" s="1"/>
  <c r="I6" i="16"/>
  <c r="A7" i="16"/>
  <c r="B7" i="16"/>
  <c r="C7" i="16"/>
  <c r="D7" i="16"/>
  <c r="E7" i="16"/>
  <c r="F7" i="16"/>
  <c r="G7" i="16"/>
  <c r="J7" i="16" s="1"/>
  <c r="I7" i="16"/>
  <c r="A8" i="16"/>
  <c r="B8" i="16"/>
  <c r="C8" i="16"/>
  <c r="D8" i="16"/>
  <c r="E8" i="16"/>
  <c r="F8" i="16"/>
  <c r="G8" i="16"/>
  <c r="J8" i="16" s="1"/>
  <c r="I8" i="16"/>
  <c r="A9" i="16"/>
  <c r="B9" i="16"/>
  <c r="C9" i="16"/>
  <c r="D9" i="16"/>
  <c r="E9" i="16"/>
  <c r="F9" i="16"/>
  <c r="G9" i="16"/>
  <c r="J9" i="16" s="1"/>
  <c r="I9" i="16"/>
  <c r="A10" i="16"/>
  <c r="B10" i="16"/>
  <c r="C10" i="16"/>
  <c r="D10" i="16"/>
  <c r="E10" i="16"/>
  <c r="F10" i="16"/>
  <c r="G10" i="16"/>
  <c r="J10" i="16" s="1"/>
  <c r="I10" i="16"/>
  <c r="A11" i="16"/>
  <c r="B11" i="16"/>
  <c r="C11" i="16"/>
  <c r="D11" i="16"/>
  <c r="E11" i="16"/>
  <c r="F11" i="16"/>
  <c r="G11" i="16"/>
  <c r="J11" i="16" s="1"/>
  <c r="I11" i="16"/>
  <c r="A12" i="16"/>
  <c r="B12" i="16"/>
  <c r="C12" i="16"/>
  <c r="D12" i="16"/>
  <c r="E12" i="16"/>
  <c r="F12" i="16"/>
  <c r="G12" i="16"/>
  <c r="J12" i="16" s="1"/>
  <c r="I12" i="16"/>
  <c r="A13" i="16"/>
  <c r="B13" i="16"/>
  <c r="C13" i="16"/>
  <c r="D13" i="16"/>
  <c r="E13" i="16"/>
  <c r="F13" i="16"/>
  <c r="G13" i="16"/>
  <c r="J13" i="16" s="1"/>
  <c r="I13" i="16"/>
  <c r="A14" i="16"/>
  <c r="B14" i="16"/>
  <c r="C14" i="16"/>
  <c r="D14" i="16"/>
  <c r="E14" i="16"/>
  <c r="F14" i="16"/>
  <c r="G14" i="16"/>
  <c r="J14" i="16" s="1"/>
  <c r="I14" i="16"/>
  <c r="A15" i="16"/>
  <c r="B15" i="16"/>
  <c r="C15" i="16"/>
  <c r="D15" i="16"/>
  <c r="E15" i="16"/>
  <c r="F15" i="16"/>
  <c r="G15" i="16"/>
  <c r="J15" i="16" s="1"/>
  <c r="I15" i="16"/>
  <c r="A16" i="16"/>
  <c r="B16" i="16"/>
  <c r="C16" i="16"/>
  <c r="D16" i="16"/>
  <c r="E16" i="16"/>
  <c r="F16" i="16"/>
  <c r="G16" i="16"/>
  <c r="J16" i="16" s="1"/>
  <c r="I16" i="16"/>
  <c r="A17" i="16"/>
  <c r="B17" i="16"/>
  <c r="C17" i="16"/>
  <c r="D17" i="16"/>
  <c r="E17" i="16"/>
  <c r="F17" i="16"/>
  <c r="G17" i="16"/>
  <c r="J17" i="16" s="1"/>
  <c r="I17" i="16"/>
  <c r="A18" i="16"/>
  <c r="B18" i="16"/>
  <c r="C18" i="16"/>
  <c r="D18" i="16"/>
  <c r="E18" i="16"/>
  <c r="F18" i="16"/>
  <c r="G18" i="16"/>
  <c r="J18" i="16" s="1"/>
  <c r="I18" i="16"/>
  <c r="A19" i="16"/>
  <c r="B19" i="16"/>
  <c r="C19" i="16"/>
  <c r="D19" i="16"/>
  <c r="E19" i="16"/>
  <c r="F19" i="16"/>
  <c r="G19" i="16"/>
  <c r="J19" i="16" s="1"/>
  <c r="I19" i="16"/>
  <c r="A20" i="16"/>
  <c r="B20" i="16"/>
  <c r="C20" i="16"/>
  <c r="D20" i="16"/>
  <c r="E20" i="16"/>
  <c r="F20" i="16"/>
  <c r="G20" i="16"/>
  <c r="J20" i="16" s="1"/>
  <c r="I20" i="16"/>
  <c r="A21" i="16"/>
  <c r="B21" i="16"/>
  <c r="C21" i="16"/>
  <c r="D21" i="16"/>
  <c r="E21" i="16"/>
  <c r="F21" i="16"/>
  <c r="G21" i="16"/>
  <c r="J21" i="16" s="1"/>
  <c r="I21" i="16"/>
  <c r="A22" i="16"/>
  <c r="B22" i="16"/>
  <c r="C22" i="16"/>
  <c r="D22" i="16"/>
  <c r="E22" i="16"/>
  <c r="F22" i="16"/>
  <c r="G22" i="16"/>
  <c r="J22" i="16" s="1"/>
  <c r="I22" i="16"/>
  <c r="A23" i="16"/>
  <c r="B23" i="16"/>
  <c r="C23" i="16"/>
  <c r="D23" i="16"/>
  <c r="E23" i="16"/>
  <c r="F23" i="16"/>
  <c r="G23" i="16"/>
  <c r="J23" i="16" s="1"/>
  <c r="I23" i="16"/>
  <c r="A24" i="16"/>
  <c r="B24" i="16"/>
  <c r="C24" i="16"/>
  <c r="D24" i="16"/>
  <c r="E24" i="16"/>
  <c r="F24" i="16"/>
  <c r="G24" i="16"/>
  <c r="J24" i="16" s="1"/>
  <c r="I24" i="16"/>
  <c r="A25" i="16"/>
  <c r="B25" i="16"/>
  <c r="C25" i="16"/>
  <c r="D25" i="16"/>
  <c r="E25" i="16"/>
  <c r="F25" i="16"/>
  <c r="G25" i="16"/>
  <c r="J25" i="16" s="1"/>
  <c r="I25" i="16"/>
  <c r="A26" i="16"/>
  <c r="B26" i="16"/>
  <c r="C26" i="16"/>
  <c r="D26" i="16"/>
  <c r="E26" i="16"/>
  <c r="F26" i="16"/>
  <c r="G26" i="16"/>
  <c r="J26" i="16" s="1"/>
  <c r="I26" i="16"/>
  <c r="A27" i="16"/>
  <c r="B27" i="16"/>
  <c r="C27" i="16"/>
  <c r="D27" i="16"/>
  <c r="E27" i="16"/>
  <c r="F27" i="16"/>
  <c r="G27" i="16"/>
  <c r="J27" i="16" s="1"/>
  <c r="I27" i="16"/>
  <c r="A28" i="16"/>
  <c r="B28" i="16"/>
  <c r="C28" i="16"/>
  <c r="D28" i="16"/>
  <c r="E28" i="16"/>
  <c r="F28" i="16"/>
  <c r="G28" i="16"/>
  <c r="J28" i="16" s="1"/>
  <c r="I28" i="16"/>
  <c r="A29" i="16"/>
  <c r="B29" i="16"/>
  <c r="C29" i="16"/>
  <c r="D29" i="16"/>
  <c r="E29" i="16"/>
  <c r="F29" i="16"/>
  <c r="G29" i="16"/>
  <c r="J29" i="16" s="1"/>
  <c r="I29" i="16"/>
  <c r="A30" i="16"/>
  <c r="B30" i="16"/>
  <c r="C30" i="16"/>
  <c r="D30" i="16"/>
  <c r="E30" i="16"/>
  <c r="F30" i="16"/>
  <c r="G30" i="16"/>
  <c r="J30" i="16" s="1"/>
  <c r="I30" i="16"/>
  <c r="A31" i="16"/>
  <c r="B31" i="16"/>
  <c r="C31" i="16"/>
  <c r="D31" i="16"/>
  <c r="E31" i="16"/>
  <c r="F31" i="16"/>
  <c r="G31" i="16"/>
  <c r="J31" i="16" s="1"/>
  <c r="I31" i="16"/>
  <c r="A32" i="16"/>
  <c r="B32" i="16"/>
  <c r="C32" i="16"/>
  <c r="D32" i="16"/>
  <c r="E32" i="16"/>
  <c r="F32" i="16"/>
  <c r="G32" i="16"/>
  <c r="J32" i="16" s="1"/>
  <c r="I32" i="16"/>
  <c r="A33" i="16"/>
  <c r="B33" i="16"/>
  <c r="C33" i="16"/>
  <c r="D33" i="16"/>
  <c r="E33" i="16"/>
  <c r="F33" i="16"/>
  <c r="G33" i="16"/>
  <c r="J33" i="16" s="1"/>
  <c r="I33" i="16"/>
  <c r="A34" i="16"/>
  <c r="B34" i="16"/>
  <c r="C34" i="16"/>
  <c r="D34" i="16"/>
  <c r="E34" i="16"/>
  <c r="F34" i="16"/>
  <c r="G34" i="16"/>
  <c r="J34" i="16" s="1"/>
  <c r="I34" i="16"/>
  <c r="A35" i="16"/>
  <c r="B35" i="16"/>
  <c r="C35" i="16"/>
  <c r="D35" i="16"/>
  <c r="E35" i="16"/>
  <c r="F35" i="16"/>
  <c r="G35" i="16"/>
  <c r="J35" i="16" s="1"/>
  <c r="I35" i="16"/>
  <c r="A36" i="16"/>
  <c r="B36" i="16"/>
  <c r="C36" i="16"/>
  <c r="D36" i="16"/>
  <c r="E36" i="16"/>
  <c r="F36" i="16"/>
  <c r="G36" i="16"/>
  <c r="J36" i="16" s="1"/>
  <c r="I36" i="16"/>
  <c r="A37" i="16"/>
  <c r="B37" i="16"/>
  <c r="C37" i="16"/>
  <c r="D37" i="16"/>
  <c r="E37" i="16"/>
  <c r="F37" i="16"/>
  <c r="G37" i="16"/>
  <c r="J37" i="16" s="1"/>
  <c r="I37" i="16"/>
  <c r="A38" i="16"/>
  <c r="B38" i="16"/>
  <c r="C38" i="16"/>
  <c r="D38" i="16"/>
  <c r="E38" i="16"/>
  <c r="F38" i="16"/>
  <c r="G38" i="16"/>
  <c r="J38" i="16" s="1"/>
  <c r="I38" i="16"/>
  <c r="A39" i="16"/>
  <c r="B39" i="16"/>
  <c r="C39" i="16"/>
  <c r="D39" i="16"/>
  <c r="E39" i="16"/>
  <c r="F39" i="16"/>
  <c r="G39" i="16"/>
  <c r="J39" i="16" s="1"/>
  <c r="I39" i="16"/>
  <c r="A40" i="16"/>
  <c r="B40" i="16"/>
  <c r="C40" i="16"/>
  <c r="D40" i="16"/>
  <c r="E40" i="16"/>
  <c r="F40" i="16"/>
  <c r="G40" i="16"/>
  <c r="J40" i="16" s="1"/>
  <c r="I40" i="16"/>
  <c r="A41" i="16"/>
  <c r="B41" i="16"/>
  <c r="C41" i="16"/>
  <c r="D41" i="16"/>
  <c r="E41" i="16"/>
  <c r="F41" i="16"/>
  <c r="G41" i="16"/>
  <c r="J41" i="16" s="1"/>
  <c r="I41" i="16"/>
  <c r="A42" i="16"/>
  <c r="B42" i="16"/>
  <c r="C42" i="16"/>
  <c r="D42" i="16"/>
  <c r="E42" i="16"/>
  <c r="F42" i="16"/>
  <c r="G42" i="16"/>
  <c r="J42" i="16" s="1"/>
  <c r="I42" i="16"/>
  <c r="A43" i="16"/>
  <c r="B43" i="16"/>
  <c r="C43" i="16"/>
  <c r="D43" i="16"/>
  <c r="E43" i="16"/>
  <c r="F43" i="16"/>
  <c r="G43" i="16"/>
  <c r="J43" i="16" s="1"/>
  <c r="I43" i="16"/>
  <c r="A44" i="16"/>
  <c r="B44" i="16"/>
  <c r="C44" i="16"/>
  <c r="D44" i="16"/>
  <c r="E44" i="16"/>
  <c r="F44" i="16"/>
  <c r="G44" i="16"/>
  <c r="J44" i="16" s="1"/>
  <c r="I44" i="16"/>
  <c r="A45" i="16"/>
  <c r="B45" i="16"/>
  <c r="C45" i="16"/>
  <c r="D45" i="16"/>
  <c r="E45" i="16"/>
  <c r="F45" i="16"/>
  <c r="G45" i="16"/>
  <c r="J45" i="16" s="1"/>
  <c r="I45" i="16"/>
  <c r="A46" i="16"/>
  <c r="B46" i="16"/>
  <c r="C46" i="16"/>
  <c r="D46" i="16"/>
  <c r="E46" i="16"/>
  <c r="F46" i="16"/>
  <c r="G46" i="16"/>
  <c r="J46" i="16" s="1"/>
  <c r="I46" i="16"/>
  <c r="A47" i="16"/>
  <c r="B47" i="16"/>
  <c r="C47" i="16"/>
  <c r="D47" i="16"/>
  <c r="E47" i="16"/>
  <c r="F47" i="16"/>
  <c r="G47" i="16"/>
  <c r="J47" i="16" s="1"/>
  <c r="I47" i="16"/>
  <c r="A48" i="16"/>
  <c r="B48" i="16"/>
  <c r="C48" i="16"/>
  <c r="D48" i="16"/>
  <c r="E48" i="16"/>
  <c r="F48" i="16"/>
  <c r="G48" i="16"/>
  <c r="J48" i="16" s="1"/>
  <c r="I48" i="16"/>
  <c r="A49" i="16"/>
  <c r="B49" i="16"/>
  <c r="C49" i="16"/>
  <c r="D49" i="16"/>
  <c r="E49" i="16"/>
  <c r="F49" i="16"/>
  <c r="G49" i="16"/>
  <c r="J49" i="16" s="1"/>
  <c r="I49" i="16"/>
  <c r="A50" i="16"/>
  <c r="B50" i="16"/>
  <c r="C50" i="16"/>
  <c r="D50" i="16"/>
  <c r="E50" i="16"/>
  <c r="F50" i="16"/>
  <c r="G50" i="16"/>
  <c r="J50" i="16" s="1"/>
  <c r="I50" i="16"/>
  <c r="A51" i="16"/>
  <c r="B51" i="16"/>
  <c r="C51" i="16"/>
  <c r="D51" i="16"/>
  <c r="E51" i="16"/>
  <c r="F51" i="16"/>
  <c r="G51" i="16"/>
  <c r="J51" i="16" s="1"/>
  <c r="I51" i="16"/>
  <c r="A52" i="16"/>
  <c r="B52" i="16"/>
  <c r="C52" i="16"/>
  <c r="D52" i="16"/>
  <c r="E52" i="16"/>
  <c r="F52" i="16"/>
  <c r="G52" i="16"/>
  <c r="J52" i="16" s="1"/>
  <c r="I52" i="16"/>
  <c r="A53" i="16"/>
  <c r="B53" i="16"/>
  <c r="C53" i="16"/>
  <c r="D53" i="16"/>
  <c r="E53" i="16"/>
  <c r="F53" i="16"/>
  <c r="G53" i="16"/>
  <c r="J53" i="16" s="1"/>
  <c r="I53" i="16"/>
  <c r="A54" i="16"/>
  <c r="B54" i="16"/>
  <c r="C54" i="16"/>
  <c r="D54" i="16"/>
  <c r="E54" i="16"/>
  <c r="F54" i="16"/>
  <c r="G54" i="16"/>
  <c r="J54" i="16" s="1"/>
  <c r="I54" i="16"/>
  <c r="A55" i="16"/>
  <c r="B55" i="16"/>
  <c r="C55" i="16"/>
  <c r="D55" i="16"/>
  <c r="E55" i="16"/>
  <c r="F55" i="16"/>
  <c r="G55" i="16"/>
  <c r="J55" i="16" s="1"/>
  <c r="I55" i="16"/>
  <c r="A56" i="16"/>
  <c r="B56" i="16"/>
  <c r="C56" i="16"/>
  <c r="D56" i="16"/>
  <c r="E56" i="16"/>
  <c r="F56" i="16"/>
  <c r="G56" i="16"/>
  <c r="J56" i="16" s="1"/>
  <c r="I56" i="16"/>
  <c r="A57" i="16"/>
  <c r="B57" i="16"/>
  <c r="C57" i="16"/>
  <c r="D57" i="16"/>
  <c r="E57" i="16"/>
  <c r="F57" i="16"/>
  <c r="G57" i="16"/>
  <c r="J57" i="16" s="1"/>
  <c r="I57" i="16"/>
  <c r="A58" i="16"/>
  <c r="B58" i="16"/>
  <c r="C58" i="16"/>
  <c r="D58" i="16"/>
  <c r="E58" i="16"/>
  <c r="F58" i="16"/>
  <c r="G58" i="16"/>
  <c r="J58" i="16" s="1"/>
  <c r="I58" i="16"/>
  <c r="A59" i="16"/>
  <c r="B59" i="16"/>
  <c r="C59" i="16"/>
  <c r="D59" i="16"/>
  <c r="E59" i="16"/>
  <c r="F59" i="16"/>
  <c r="G59" i="16"/>
  <c r="J59" i="16" s="1"/>
  <c r="I59" i="16"/>
  <c r="A60" i="16"/>
  <c r="B60" i="16"/>
  <c r="C60" i="16"/>
  <c r="D60" i="16"/>
  <c r="E60" i="16"/>
  <c r="F60" i="16"/>
  <c r="G60" i="16"/>
  <c r="J60" i="16" s="1"/>
  <c r="I60" i="16"/>
  <c r="A61" i="16"/>
  <c r="B61" i="16"/>
  <c r="C61" i="16"/>
  <c r="D61" i="16"/>
  <c r="E61" i="16"/>
  <c r="F61" i="16"/>
  <c r="G61" i="16"/>
  <c r="J61" i="16" s="1"/>
  <c r="I61" i="16"/>
  <c r="A62" i="16"/>
  <c r="B62" i="16"/>
  <c r="C62" i="16"/>
  <c r="D62" i="16"/>
  <c r="E62" i="16"/>
  <c r="F62" i="16"/>
  <c r="G62" i="16"/>
  <c r="J62" i="16" s="1"/>
  <c r="I62" i="16"/>
  <c r="A63" i="16"/>
  <c r="B63" i="16"/>
  <c r="C63" i="16"/>
  <c r="D63" i="16"/>
  <c r="E63" i="16"/>
  <c r="F63" i="16"/>
  <c r="G63" i="16"/>
  <c r="J63" i="16" s="1"/>
  <c r="I63" i="16"/>
  <c r="A64" i="16"/>
  <c r="B64" i="16"/>
  <c r="C64" i="16"/>
  <c r="D64" i="16"/>
  <c r="E64" i="16"/>
  <c r="F64" i="16"/>
  <c r="G64" i="16"/>
  <c r="J64" i="16" s="1"/>
  <c r="I64" i="16"/>
  <c r="A65" i="16"/>
  <c r="B65" i="16"/>
  <c r="C65" i="16"/>
  <c r="D65" i="16"/>
  <c r="E65" i="16"/>
  <c r="F65" i="16"/>
  <c r="G65" i="16"/>
  <c r="J65" i="16" s="1"/>
  <c r="I65" i="16"/>
  <c r="A66" i="16"/>
  <c r="B66" i="16"/>
  <c r="C66" i="16"/>
  <c r="D66" i="16"/>
  <c r="E66" i="16"/>
  <c r="F66" i="16"/>
  <c r="G66" i="16"/>
  <c r="J66" i="16" s="1"/>
  <c r="I66" i="16"/>
  <c r="A67" i="16"/>
  <c r="B67" i="16"/>
  <c r="C67" i="16"/>
  <c r="D67" i="16"/>
  <c r="E67" i="16"/>
  <c r="F67" i="16"/>
  <c r="G67" i="16"/>
  <c r="J67" i="16" s="1"/>
  <c r="I67" i="16"/>
  <c r="A68" i="16"/>
  <c r="B68" i="16"/>
  <c r="C68" i="16"/>
  <c r="D68" i="16"/>
  <c r="E68" i="16"/>
  <c r="F68" i="16"/>
  <c r="G68" i="16"/>
  <c r="J68" i="16" s="1"/>
  <c r="I68" i="16"/>
  <c r="A69" i="16"/>
  <c r="B69" i="16"/>
  <c r="C69" i="16"/>
  <c r="D69" i="16"/>
  <c r="E69" i="16"/>
  <c r="F69" i="16"/>
  <c r="G69" i="16"/>
  <c r="J69" i="16" s="1"/>
  <c r="I69" i="16"/>
  <c r="A70" i="16"/>
  <c r="B70" i="16"/>
  <c r="C70" i="16"/>
  <c r="D70" i="16"/>
  <c r="E70" i="16"/>
  <c r="F70" i="16"/>
  <c r="G70" i="16"/>
  <c r="J70" i="16" s="1"/>
  <c r="I70" i="16"/>
  <c r="A71" i="16"/>
  <c r="B71" i="16"/>
  <c r="C71" i="16"/>
  <c r="D71" i="16"/>
  <c r="E71" i="16"/>
  <c r="F71" i="16"/>
  <c r="G71" i="16"/>
  <c r="J71" i="16" s="1"/>
  <c r="I71" i="16"/>
  <c r="A72" i="16"/>
  <c r="B72" i="16"/>
  <c r="C72" i="16"/>
  <c r="D72" i="16"/>
  <c r="E72" i="16"/>
  <c r="F72" i="16"/>
  <c r="G72" i="16"/>
  <c r="J72" i="16" s="1"/>
  <c r="I72" i="16"/>
  <c r="A73" i="16"/>
  <c r="B73" i="16"/>
  <c r="C73" i="16"/>
  <c r="D73" i="16"/>
  <c r="E73" i="16"/>
  <c r="F73" i="16"/>
  <c r="G73" i="16"/>
  <c r="J73" i="16" s="1"/>
  <c r="I73" i="16"/>
  <c r="A74" i="16"/>
  <c r="B74" i="16"/>
  <c r="C74" i="16"/>
  <c r="D74" i="16"/>
  <c r="E74" i="16"/>
  <c r="F74" i="16"/>
  <c r="G74" i="16"/>
  <c r="J74" i="16" s="1"/>
  <c r="I74" i="16"/>
  <c r="A75" i="16"/>
  <c r="B75" i="16"/>
  <c r="C75" i="16"/>
  <c r="D75" i="16"/>
  <c r="E75" i="16"/>
  <c r="F75" i="16"/>
  <c r="G75" i="16"/>
  <c r="J75" i="16" s="1"/>
  <c r="I75" i="16"/>
  <c r="A76" i="16"/>
  <c r="B76" i="16"/>
  <c r="C76" i="16"/>
  <c r="D76" i="16"/>
  <c r="E76" i="16"/>
  <c r="F76" i="16"/>
  <c r="G76" i="16"/>
  <c r="J76" i="16" s="1"/>
  <c r="I76" i="16"/>
  <c r="A77" i="16"/>
  <c r="B77" i="16"/>
  <c r="C77" i="16"/>
  <c r="D77" i="16"/>
  <c r="E77" i="16"/>
  <c r="F77" i="16"/>
  <c r="G77" i="16"/>
  <c r="J77" i="16" s="1"/>
  <c r="I77" i="16"/>
  <c r="A78" i="16"/>
  <c r="B78" i="16"/>
  <c r="C78" i="16"/>
  <c r="D78" i="16"/>
  <c r="E78" i="16"/>
  <c r="F78" i="16"/>
  <c r="G78" i="16"/>
  <c r="J78" i="16" s="1"/>
  <c r="I78" i="16"/>
  <c r="A79" i="16"/>
  <c r="B79" i="16"/>
  <c r="C79" i="16"/>
  <c r="D79" i="16"/>
  <c r="E79" i="16"/>
  <c r="F79" i="16"/>
  <c r="G79" i="16"/>
  <c r="J79" i="16" s="1"/>
  <c r="I79" i="16"/>
  <c r="A80" i="16"/>
  <c r="B80" i="16"/>
  <c r="C80" i="16"/>
  <c r="D80" i="16"/>
  <c r="E80" i="16"/>
  <c r="F80" i="16"/>
  <c r="G80" i="16"/>
  <c r="J80" i="16" s="1"/>
  <c r="I80" i="16"/>
  <c r="A81" i="16"/>
  <c r="B81" i="16"/>
  <c r="C81" i="16"/>
  <c r="D81" i="16"/>
  <c r="E81" i="16"/>
  <c r="F81" i="16"/>
  <c r="G81" i="16"/>
  <c r="J81" i="16" s="1"/>
  <c r="I81" i="16"/>
  <c r="A82" i="16"/>
  <c r="B82" i="16"/>
  <c r="C82" i="16"/>
  <c r="D82" i="16"/>
  <c r="E82" i="16"/>
  <c r="F82" i="16"/>
  <c r="G82" i="16"/>
  <c r="J82" i="16" s="1"/>
  <c r="I82" i="16"/>
  <c r="A83" i="16"/>
  <c r="B83" i="16"/>
  <c r="C83" i="16"/>
  <c r="D83" i="16"/>
  <c r="E83" i="16"/>
  <c r="F83" i="16"/>
  <c r="G83" i="16"/>
  <c r="J83" i="16" s="1"/>
  <c r="I83" i="16"/>
  <c r="A84" i="16"/>
  <c r="B84" i="16"/>
  <c r="C84" i="16"/>
  <c r="D84" i="16"/>
  <c r="E84" i="16"/>
  <c r="F84" i="16"/>
  <c r="G84" i="16"/>
  <c r="J84" i="16" s="1"/>
  <c r="I84" i="16"/>
  <c r="A85" i="16"/>
  <c r="B85" i="16"/>
  <c r="C85" i="16"/>
  <c r="D85" i="16"/>
  <c r="E85" i="16"/>
  <c r="F85" i="16"/>
  <c r="G85" i="16"/>
  <c r="J85" i="16" s="1"/>
  <c r="I85" i="16"/>
  <c r="A86" i="16"/>
  <c r="B86" i="16"/>
  <c r="C86" i="16"/>
  <c r="D86" i="16"/>
  <c r="E86" i="16"/>
  <c r="F86" i="16"/>
  <c r="G86" i="16"/>
  <c r="J86" i="16" s="1"/>
  <c r="I86" i="16"/>
  <c r="A87" i="16"/>
  <c r="B87" i="16"/>
  <c r="C87" i="16"/>
  <c r="D87" i="16"/>
  <c r="E87" i="16"/>
  <c r="F87" i="16"/>
  <c r="G87" i="16"/>
  <c r="J87" i="16" s="1"/>
  <c r="I87" i="16"/>
  <c r="A88" i="16"/>
  <c r="B88" i="16"/>
  <c r="C88" i="16"/>
  <c r="D88" i="16"/>
  <c r="E88" i="16"/>
  <c r="F88" i="16"/>
  <c r="G88" i="16"/>
  <c r="J88" i="16" s="1"/>
  <c r="I88" i="16"/>
  <c r="A89" i="16"/>
  <c r="B89" i="16"/>
  <c r="C89" i="16"/>
  <c r="D89" i="16"/>
  <c r="E89" i="16"/>
  <c r="F89" i="16"/>
  <c r="G89" i="16"/>
  <c r="J89" i="16" s="1"/>
  <c r="I89" i="16"/>
  <c r="A90" i="16"/>
  <c r="B90" i="16"/>
  <c r="C90" i="16"/>
  <c r="D90" i="16"/>
  <c r="E90" i="16"/>
  <c r="F90" i="16"/>
  <c r="G90" i="16"/>
  <c r="J90" i="16" s="1"/>
  <c r="I90" i="16"/>
  <c r="A91" i="16"/>
  <c r="B91" i="16"/>
  <c r="C91" i="16"/>
  <c r="D91" i="16"/>
  <c r="E91" i="16"/>
  <c r="F91" i="16"/>
  <c r="G91" i="16"/>
  <c r="J91" i="16" s="1"/>
  <c r="I91" i="16"/>
  <c r="A92" i="16"/>
  <c r="B92" i="16"/>
  <c r="C92" i="16"/>
  <c r="D92" i="16"/>
  <c r="E92" i="16"/>
  <c r="F92" i="16"/>
  <c r="G92" i="16"/>
  <c r="J92" i="16" s="1"/>
  <c r="I92" i="16"/>
  <c r="A93" i="16"/>
  <c r="B93" i="16"/>
  <c r="C93" i="16"/>
  <c r="D93" i="16"/>
  <c r="E93" i="16"/>
  <c r="F93" i="16"/>
  <c r="G93" i="16"/>
  <c r="J93" i="16" s="1"/>
  <c r="I93" i="16"/>
  <c r="A94" i="16"/>
  <c r="B94" i="16"/>
  <c r="C94" i="16"/>
  <c r="D94" i="16"/>
  <c r="E94" i="16"/>
  <c r="F94" i="16"/>
  <c r="G94" i="16"/>
  <c r="J94" i="16" s="1"/>
  <c r="I94" i="16"/>
  <c r="A95" i="16"/>
  <c r="B95" i="16"/>
  <c r="C95" i="16"/>
  <c r="D95" i="16"/>
  <c r="E95" i="16"/>
  <c r="F95" i="16"/>
  <c r="G95" i="16"/>
  <c r="J95" i="16" s="1"/>
  <c r="I95" i="16"/>
  <c r="A96" i="16"/>
  <c r="B96" i="16"/>
  <c r="C96" i="16"/>
  <c r="D96" i="16"/>
  <c r="E96" i="16"/>
  <c r="F96" i="16"/>
  <c r="G96" i="16"/>
  <c r="J96" i="16" s="1"/>
  <c r="I96" i="16"/>
  <c r="A97" i="16"/>
  <c r="B97" i="16"/>
  <c r="C97" i="16"/>
  <c r="D97" i="16"/>
  <c r="E97" i="16"/>
  <c r="F97" i="16"/>
  <c r="G97" i="16"/>
  <c r="J97" i="16" s="1"/>
  <c r="I97" i="16"/>
  <c r="A98" i="16"/>
  <c r="B98" i="16"/>
  <c r="C98" i="16"/>
  <c r="D98" i="16"/>
  <c r="E98" i="16"/>
  <c r="F98" i="16"/>
  <c r="G98" i="16"/>
  <c r="J98" i="16" s="1"/>
  <c r="I98" i="16"/>
  <c r="A99" i="16"/>
  <c r="B99" i="16"/>
  <c r="C99" i="16"/>
  <c r="D99" i="16"/>
  <c r="E99" i="16"/>
  <c r="F99" i="16"/>
  <c r="G99" i="16"/>
  <c r="J99" i="16" s="1"/>
  <c r="I99" i="16"/>
  <c r="A100" i="16"/>
  <c r="B100" i="16"/>
  <c r="C100" i="16"/>
  <c r="D100" i="16"/>
  <c r="E100" i="16"/>
  <c r="F100" i="16"/>
  <c r="G100" i="16"/>
  <c r="J100" i="16" s="1"/>
  <c r="I100" i="16"/>
  <c r="A101" i="16"/>
  <c r="B101" i="16"/>
  <c r="C101" i="16"/>
  <c r="D101" i="16"/>
  <c r="E101" i="16"/>
  <c r="F101" i="16"/>
  <c r="G101" i="16"/>
  <c r="J101" i="16" s="1"/>
  <c r="I101" i="16"/>
  <c r="A102" i="16"/>
  <c r="B102" i="16"/>
  <c r="C102" i="16"/>
  <c r="D102" i="16"/>
  <c r="E102" i="16"/>
  <c r="F102" i="16"/>
  <c r="G102" i="16"/>
  <c r="J102" i="16" s="1"/>
  <c r="I102" i="16"/>
  <c r="A103" i="16"/>
  <c r="B103" i="16"/>
  <c r="C103" i="16"/>
  <c r="D103" i="16"/>
  <c r="E103" i="16"/>
  <c r="F103" i="16"/>
  <c r="G103" i="16"/>
  <c r="J103" i="16" s="1"/>
  <c r="I103" i="16"/>
  <c r="A104" i="16"/>
  <c r="B104" i="16"/>
  <c r="C104" i="16"/>
  <c r="D104" i="16"/>
  <c r="E104" i="16"/>
  <c r="F104" i="16"/>
  <c r="G104" i="16"/>
  <c r="J104" i="16" s="1"/>
  <c r="I104" i="16"/>
  <c r="A105" i="16"/>
  <c r="B105" i="16"/>
  <c r="C105" i="16"/>
  <c r="D105" i="16"/>
  <c r="E105" i="16"/>
  <c r="F105" i="16"/>
  <c r="G105" i="16"/>
  <c r="J105" i="16" s="1"/>
  <c r="I105" i="16"/>
  <c r="A106" i="16"/>
  <c r="B106" i="16"/>
  <c r="C106" i="16"/>
  <c r="D106" i="16"/>
  <c r="E106" i="16"/>
  <c r="F106" i="16"/>
  <c r="G106" i="16"/>
  <c r="J106" i="16" s="1"/>
  <c r="I106" i="16"/>
  <c r="A107" i="16"/>
  <c r="B107" i="16"/>
  <c r="C107" i="16"/>
  <c r="D107" i="16"/>
  <c r="E107" i="16"/>
  <c r="F107" i="16"/>
  <c r="G107" i="16"/>
  <c r="J107" i="16" s="1"/>
  <c r="I107" i="16"/>
  <c r="A108" i="16"/>
  <c r="B108" i="16"/>
  <c r="C108" i="16"/>
  <c r="D108" i="16"/>
  <c r="E108" i="16"/>
  <c r="F108" i="16"/>
  <c r="G108" i="16"/>
  <c r="J108" i="16" s="1"/>
  <c r="I108" i="16"/>
  <c r="A109" i="16"/>
  <c r="B109" i="16"/>
  <c r="C109" i="16"/>
  <c r="D109" i="16"/>
  <c r="E109" i="16"/>
  <c r="F109" i="16"/>
  <c r="G109" i="16"/>
  <c r="J109" i="16" s="1"/>
  <c r="I109" i="16"/>
  <c r="A110" i="16"/>
  <c r="B110" i="16"/>
  <c r="C110" i="16"/>
  <c r="D110" i="16"/>
  <c r="E110" i="16"/>
  <c r="F110" i="16"/>
  <c r="G110" i="16"/>
  <c r="J110" i="16" s="1"/>
  <c r="I110" i="16"/>
  <c r="A111" i="16"/>
  <c r="B111" i="16"/>
  <c r="C111" i="16"/>
  <c r="D111" i="16"/>
  <c r="E111" i="16"/>
  <c r="F111" i="16"/>
  <c r="G111" i="16"/>
  <c r="J111" i="16" s="1"/>
  <c r="I111" i="16"/>
  <c r="A112" i="16"/>
  <c r="B112" i="16"/>
  <c r="C112" i="16"/>
  <c r="D112" i="16"/>
  <c r="E112" i="16"/>
  <c r="F112" i="16"/>
  <c r="G112" i="16"/>
  <c r="J112" i="16" s="1"/>
  <c r="I112" i="16"/>
  <c r="A113" i="16"/>
  <c r="B113" i="16"/>
  <c r="C113" i="16"/>
  <c r="D113" i="16"/>
  <c r="E113" i="16"/>
  <c r="F113" i="16"/>
  <c r="G113" i="16"/>
  <c r="J113" i="16" s="1"/>
  <c r="I113" i="16"/>
  <c r="A114" i="16"/>
  <c r="B114" i="16"/>
  <c r="C114" i="16"/>
  <c r="D114" i="16"/>
  <c r="E114" i="16"/>
  <c r="F114" i="16"/>
  <c r="G114" i="16"/>
  <c r="J114" i="16" s="1"/>
  <c r="I114" i="16"/>
  <c r="A115" i="16"/>
  <c r="B115" i="16"/>
  <c r="C115" i="16"/>
  <c r="D115" i="16"/>
  <c r="E115" i="16"/>
  <c r="F115" i="16"/>
  <c r="G115" i="16"/>
  <c r="J115" i="16" s="1"/>
  <c r="I115" i="16"/>
  <c r="A116" i="16"/>
  <c r="B116" i="16"/>
  <c r="C116" i="16"/>
  <c r="D116" i="16"/>
  <c r="E116" i="16"/>
  <c r="F116" i="16"/>
  <c r="G116" i="16"/>
  <c r="J116" i="16" s="1"/>
  <c r="I116" i="16"/>
  <c r="A117" i="16"/>
  <c r="B117" i="16"/>
  <c r="C117" i="16"/>
  <c r="D117" i="16"/>
  <c r="E117" i="16"/>
  <c r="F117" i="16"/>
  <c r="G117" i="16"/>
  <c r="J117" i="16" s="1"/>
  <c r="I117" i="16"/>
  <c r="A118" i="16"/>
  <c r="B118" i="16"/>
  <c r="C118" i="16"/>
  <c r="D118" i="16"/>
  <c r="E118" i="16"/>
  <c r="F118" i="16"/>
  <c r="G118" i="16"/>
  <c r="J118" i="16" s="1"/>
  <c r="I118" i="16"/>
  <c r="A119" i="16"/>
  <c r="B119" i="16"/>
  <c r="C119" i="16"/>
  <c r="D119" i="16"/>
  <c r="E119" i="16"/>
  <c r="F119" i="16"/>
  <c r="G119" i="16"/>
  <c r="J119" i="16" s="1"/>
  <c r="I119" i="16"/>
  <c r="A120" i="16"/>
  <c r="B120" i="16"/>
  <c r="C120" i="16"/>
  <c r="D120" i="16"/>
  <c r="E120" i="16"/>
  <c r="F120" i="16"/>
  <c r="G120" i="16"/>
  <c r="J120" i="16" s="1"/>
  <c r="I120" i="16"/>
  <c r="A121" i="16"/>
  <c r="B121" i="16"/>
  <c r="C121" i="16"/>
  <c r="D121" i="16"/>
  <c r="E121" i="16"/>
  <c r="F121" i="16"/>
  <c r="G121" i="16"/>
  <c r="J121" i="16" s="1"/>
  <c r="I121" i="16"/>
  <c r="A122" i="16"/>
  <c r="B122" i="16"/>
  <c r="C122" i="16"/>
  <c r="D122" i="16"/>
  <c r="E122" i="16"/>
  <c r="F122" i="16"/>
  <c r="G122" i="16"/>
  <c r="J122" i="16" s="1"/>
  <c r="I122" i="16"/>
  <c r="A123" i="16"/>
  <c r="B123" i="16"/>
  <c r="C123" i="16"/>
  <c r="D123" i="16"/>
  <c r="E123" i="16"/>
  <c r="F123" i="16"/>
  <c r="G123" i="16"/>
  <c r="J123" i="16" s="1"/>
  <c r="I123" i="16"/>
  <c r="A124" i="16"/>
  <c r="B124" i="16"/>
  <c r="C124" i="16"/>
  <c r="D124" i="16"/>
  <c r="E124" i="16"/>
  <c r="F124" i="16"/>
  <c r="G124" i="16"/>
  <c r="J124" i="16" s="1"/>
  <c r="I124" i="16"/>
  <c r="A125" i="16"/>
  <c r="B125" i="16"/>
  <c r="C125" i="16"/>
  <c r="D125" i="16"/>
  <c r="E125" i="16"/>
  <c r="F125" i="16"/>
  <c r="G125" i="16"/>
  <c r="J125" i="16" s="1"/>
  <c r="I125" i="16"/>
  <c r="A126" i="16"/>
  <c r="B126" i="16"/>
  <c r="C126" i="16"/>
  <c r="D126" i="16"/>
  <c r="E126" i="16"/>
  <c r="F126" i="16"/>
  <c r="G126" i="16"/>
  <c r="J126" i="16" s="1"/>
  <c r="I126" i="16"/>
  <c r="A127" i="16"/>
  <c r="B127" i="16"/>
  <c r="C127" i="16"/>
  <c r="D127" i="16"/>
  <c r="E127" i="16"/>
  <c r="F127" i="16"/>
  <c r="G127" i="16"/>
  <c r="J127" i="16" s="1"/>
  <c r="I127" i="16"/>
  <c r="A128" i="16"/>
  <c r="B128" i="16"/>
  <c r="C128" i="16"/>
  <c r="D128" i="16"/>
  <c r="E128" i="16"/>
  <c r="F128" i="16"/>
  <c r="G128" i="16"/>
  <c r="J128" i="16" s="1"/>
  <c r="I128" i="16"/>
  <c r="A129" i="16"/>
  <c r="B129" i="16"/>
  <c r="C129" i="16"/>
  <c r="D129" i="16"/>
  <c r="E129" i="16"/>
  <c r="F129" i="16"/>
  <c r="G129" i="16"/>
  <c r="J129" i="16" s="1"/>
  <c r="I129" i="16"/>
  <c r="A130" i="16"/>
  <c r="B130" i="16"/>
  <c r="C130" i="16"/>
  <c r="D130" i="16"/>
  <c r="E130" i="16"/>
  <c r="F130" i="16"/>
  <c r="G130" i="16"/>
  <c r="J130" i="16" s="1"/>
  <c r="I130" i="16"/>
  <c r="A131" i="16"/>
  <c r="B131" i="16"/>
  <c r="C131" i="16"/>
  <c r="D131" i="16"/>
  <c r="E131" i="16"/>
  <c r="F131" i="16"/>
  <c r="G131" i="16"/>
  <c r="J131" i="16" s="1"/>
  <c r="I131" i="16"/>
  <c r="A132" i="16"/>
  <c r="B132" i="16"/>
  <c r="C132" i="16"/>
  <c r="D132" i="16"/>
  <c r="E132" i="16"/>
  <c r="F132" i="16"/>
  <c r="G132" i="16"/>
  <c r="J132" i="16" s="1"/>
  <c r="I132" i="16"/>
  <c r="A133" i="16"/>
  <c r="B133" i="16"/>
  <c r="C133" i="16"/>
  <c r="D133" i="16"/>
  <c r="E133" i="16"/>
  <c r="F133" i="16"/>
  <c r="G133" i="16"/>
  <c r="J133" i="16" s="1"/>
  <c r="I133" i="16"/>
  <c r="A134" i="16"/>
  <c r="B134" i="16"/>
  <c r="C134" i="16"/>
  <c r="D134" i="16"/>
  <c r="E134" i="16"/>
  <c r="F134" i="16"/>
  <c r="G134" i="16"/>
  <c r="J134" i="16" s="1"/>
  <c r="I134" i="16"/>
  <c r="A135" i="16"/>
  <c r="B135" i="16"/>
  <c r="C135" i="16"/>
  <c r="D135" i="16"/>
  <c r="E135" i="16"/>
  <c r="F135" i="16"/>
  <c r="G135" i="16"/>
  <c r="J135" i="16" s="1"/>
  <c r="I135" i="16"/>
  <c r="A136" i="16"/>
  <c r="B136" i="16"/>
  <c r="C136" i="16"/>
  <c r="D136" i="16"/>
  <c r="E136" i="16"/>
  <c r="F136" i="16"/>
  <c r="G136" i="16"/>
  <c r="J136" i="16" s="1"/>
  <c r="I136" i="16"/>
  <c r="A137" i="16"/>
  <c r="B137" i="16"/>
  <c r="C137" i="16"/>
  <c r="D137" i="16"/>
  <c r="E137" i="16"/>
  <c r="F137" i="16"/>
  <c r="G137" i="16"/>
  <c r="J137" i="16" s="1"/>
  <c r="I137" i="16"/>
  <c r="A138" i="16"/>
  <c r="B138" i="16"/>
  <c r="C138" i="16"/>
  <c r="D138" i="16"/>
  <c r="E138" i="16"/>
  <c r="F138" i="16"/>
  <c r="G138" i="16"/>
  <c r="J138" i="16" s="1"/>
  <c r="I138" i="16"/>
  <c r="A139" i="16"/>
  <c r="B139" i="16"/>
  <c r="C139" i="16"/>
  <c r="D139" i="16"/>
  <c r="E139" i="16"/>
  <c r="F139" i="16"/>
  <c r="G139" i="16"/>
  <c r="J139" i="16" s="1"/>
  <c r="I139" i="16"/>
  <c r="A140" i="16"/>
  <c r="B140" i="16"/>
  <c r="C140" i="16"/>
  <c r="D140" i="16"/>
  <c r="E140" i="16"/>
  <c r="F140" i="16"/>
  <c r="G140" i="16"/>
  <c r="J140" i="16" s="1"/>
  <c r="I140" i="16"/>
  <c r="A141" i="16"/>
  <c r="B141" i="16"/>
  <c r="C141" i="16"/>
  <c r="D141" i="16"/>
  <c r="E141" i="16"/>
  <c r="F141" i="16"/>
  <c r="G141" i="16"/>
  <c r="J141" i="16" s="1"/>
  <c r="I141" i="16"/>
  <c r="A142" i="16"/>
  <c r="B142" i="16"/>
  <c r="C142" i="16"/>
  <c r="D142" i="16"/>
  <c r="E142" i="16"/>
  <c r="F142" i="16"/>
  <c r="G142" i="16"/>
  <c r="J142" i="16" s="1"/>
  <c r="I142" i="16"/>
  <c r="A143" i="16"/>
  <c r="B143" i="16"/>
  <c r="C143" i="16"/>
  <c r="D143" i="16"/>
  <c r="E143" i="16"/>
  <c r="F143" i="16"/>
  <c r="G143" i="16"/>
  <c r="J143" i="16" s="1"/>
  <c r="I143" i="16"/>
  <c r="A144" i="16"/>
  <c r="B144" i="16"/>
  <c r="C144" i="16"/>
  <c r="D144" i="16"/>
  <c r="E144" i="16"/>
  <c r="F144" i="16"/>
  <c r="G144" i="16"/>
  <c r="J144" i="16" s="1"/>
  <c r="I144" i="16"/>
  <c r="A145" i="16"/>
  <c r="B145" i="16"/>
  <c r="C145" i="16"/>
  <c r="D145" i="16"/>
  <c r="E145" i="16"/>
  <c r="F145" i="16"/>
  <c r="G145" i="16"/>
  <c r="J145" i="16" s="1"/>
  <c r="I145" i="16"/>
  <c r="A146" i="16"/>
  <c r="B146" i="16"/>
  <c r="C146" i="16"/>
  <c r="D146" i="16"/>
  <c r="E146" i="16"/>
  <c r="F146" i="16"/>
  <c r="G146" i="16"/>
  <c r="J146" i="16" s="1"/>
  <c r="I146" i="16"/>
  <c r="A147" i="16"/>
  <c r="B147" i="16"/>
  <c r="C147" i="16"/>
  <c r="D147" i="16"/>
  <c r="E147" i="16"/>
  <c r="F147" i="16"/>
  <c r="G147" i="16"/>
  <c r="J147" i="16" s="1"/>
  <c r="I147" i="16"/>
  <c r="A148" i="16"/>
  <c r="B148" i="16"/>
  <c r="C148" i="16"/>
  <c r="D148" i="16"/>
  <c r="E148" i="16"/>
  <c r="F148" i="16"/>
  <c r="G148" i="16"/>
  <c r="J148" i="16" s="1"/>
  <c r="I148" i="16"/>
  <c r="A149" i="16"/>
  <c r="B149" i="16"/>
  <c r="C149" i="16"/>
  <c r="D149" i="16"/>
  <c r="E149" i="16"/>
  <c r="F149" i="16"/>
  <c r="G149" i="16"/>
  <c r="J149" i="16" s="1"/>
  <c r="I149" i="16"/>
  <c r="A150" i="16"/>
  <c r="B150" i="16"/>
  <c r="C150" i="16"/>
  <c r="D150" i="16"/>
  <c r="E150" i="16"/>
  <c r="F150" i="16"/>
  <c r="G150" i="16"/>
  <c r="J150" i="16" s="1"/>
  <c r="I150" i="16"/>
  <c r="A151" i="16"/>
  <c r="B151" i="16"/>
  <c r="C151" i="16"/>
  <c r="D151" i="16"/>
  <c r="E151" i="16"/>
  <c r="F151" i="16"/>
  <c r="G151" i="16"/>
  <c r="J151" i="16" s="1"/>
  <c r="I151" i="16"/>
  <c r="A152" i="16"/>
  <c r="B152" i="16"/>
  <c r="C152" i="16"/>
  <c r="D152" i="16"/>
  <c r="E152" i="16"/>
  <c r="F152" i="16"/>
  <c r="G152" i="16"/>
  <c r="J152" i="16" s="1"/>
  <c r="I152" i="16"/>
  <c r="A153" i="16"/>
  <c r="B153" i="16"/>
  <c r="C153" i="16"/>
  <c r="D153" i="16"/>
  <c r="E153" i="16"/>
  <c r="F153" i="16"/>
  <c r="G153" i="16"/>
  <c r="J153" i="16" s="1"/>
  <c r="I153" i="16"/>
  <c r="A154" i="16"/>
  <c r="B154" i="16"/>
  <c r="C154" i="16"/>
  <c r="D154" i="16"/>
  <c r="E154" i="16"/>
  <c r="F154" i="16"/>
  <c r="G154" i="16"/>
  <c r="J154" i="16" s="1"/>
  <c r="I154" i="16"/>
  <c r="A155" i="16"/>
  <c r="B155" i="16"/>
  <c r="C155" i="16"/>
  <c r="D155" i="16"/>
  <c r="E155" i="16"/>
  <c r="F155" i="16"/>
  <c r="G155" i="16"/>
  <c r="J155" i="16" s="1"/>
  <c r="I155" i="16"/>
  <c r="A156" i="16"/>
  <c r="B156" i="16"/>
  <c r="C156" i="16"/>
  <c r="D156" i="16"/>
  <c r="E156" i="16"/>
  <c r="F156" i="16"/>
  <c r="G156" i="16"/>
  <c r="J156" i="16" s="1"/>
  <c r="I156" i="16"/>
  <c r="A157" i="16"/>
  <c r="B157" i="16"/>
  <c r="C157" i="16"/>
  <c r="D157" i="16"/>
  <c r="E157" i="16"/>
  <c r="F157" i="16"/>
  <c r="G157" i="16"/>
  <c r="J157" i="16" s="1"/>
  <c r="I157" i="16"/>
  <c r="A158" i="16"/>
  <c r="B158" i="16"/>
  <c r="C158" i="16"/>
  <c r="D158" i="16"/>
  <c r="E158" i="16"/>
  <c r="F158" i="16"/>
  <c r="G158" i="16"/>
  <c r="J158" i="16" s="1"/>
  <c r="I158" i="16"/>
  <c r="A159" i="16"/>
  <c r="B159" i="16"/>
  <c r="C159" i="16"/>
  <c r="D159" i="16"/>
  <c r="E159" i="16"/>
  <c r="F159" i="16"/>
  <c r="G159" i="16"/>
  <c r="J159" i="16" s="1"/>
  <c r="I159" i="16"/>
  <c r="A160" i="16"/>
  <c r="B160" i="16"/>
  <c r="C160" i="16"/>
  <c r="D160" i="16"/>
  <c r="E160" i="16"/>
  <c r="F160" i="16"/>
  <c r="G160" i="16"/>
  <c r="J160" i="16" s="1"/>
  <c r="I160" i="16"/>
  <c r="A161" i="16"/>
  <c r="B161" i="16"/>
  <c r="C161" i="16"/>
  <c r="D161" i="16"/>
  <c r="E161" i="16"/>
  <c r="F161" i="16"/>
  <c r="G161" i="16"/>
  <c r="J161" i="16" s="1"/>
  <c r="I161" i="16"/>
  <c r="A162" i="16"/>
  <c r="B162" i="16"/>
  <c r="C162" i="16"/>
  <c r="D162" i="16"/>
  <c r="E162" i="16"/>
  <c r="F162" i="16"/>
  <c r="G162" i="16"/>
  <c r="J162" i="16" s="1"/>
  <c r="I162" i="16"/>
  <c r="A163" i="16"/>
  <c r="B163" i="16"/>
  <c r="C163" i="16"/>
  <c r="D163" i="16"/>
  <c r="E163" i="16"/>
  <c r="F163" i="16"/>
  <c r="G163" i="16"/>
  <c r="J163" i="16" s="1"/>
  <c r="I163" i="16"/>
  <c r="A164" i="16"/>
  <c r="B164" i="16"/>
  <c r="C164" i="16"/>
  <c r="D164" i="16"/>
  <c r="E164" i="16"/>
  <c r="F164" i="16"/>
  <c r="G164" i="16"/>
  <c r="J164" i="16" s="1"/>
  <c r="I164" i="16"/>
  <c r="A165" i="16"/>
  <c r="B165" i="16"/>
  <c r="C165" i="16"/>
  <c r="D165" i="16"/>
  <c r="E165" i="16"/>
  <c r="F165" i="16"/>
  <c r="G165" i="16"/>
  <c r="J165" i="16" s="1"/>
  <c r="I165" i="16"/>
  <c r="A166" i="16"/>
  <c r="B166" i="16"/>
  <c r="C166" i="16"/>
  <c r="D166" i="16"/>
  <c r="E166" i="16"/>
  <c r="F166" i="16"/>
  <c r="G166" i="16"/>
  <c r="J166" i="16" s="1"/>
  <c r="I166" i="16"/>
  <c r="A167" i="16"/>
  <c r="B167" i="16"/>
  <c r="C167" i="16"/>
  <c r="D167" i="16"/>
  <c r="E167" i="16"/>
  <c r="F167" i="16"/>
  <c r="G167" i="16"/>
  <c r="J167" i="16" s="1"/>
  <c r="I167" i="16"/>
  <c r="A168" i="16"/>
  <c r="B168" i="16"/>
  <c r="C168" i="16"/>
  <c r="D168" i="16"/>
  <c r="E168" i="16"/>
  <c r="F168" i="16"/>
  <c r="G168" i="16"/>
  <c r="J168" i="16" s="1"/>
  <c r="I168" i="16"/>
  <c r="A169" i="16"/>
  <c r="B169" i="16"/>
  <c r="C169" i="16"/>
  <c r="D169" i="16"/>
  <c r="E169" i="16"/>
  <c r="F169" i="16"/>
  <c r="G169" i="16"/>
  <c r="J169" i="16" s="1"/>
  <c r="I169" i="16"/>
  <c r="A170" i="16"/>
  <c r="B170" i="16"/>
  <c r="C170" i="16"/>
  <c r="D170" i="16"/>
  <c r="E170" i="16"/>
  <c r="F170" i="16"/>
  <c r="G170" i="16"/>
  <c r="J170" i="16" s="1"/>
  <c r="I170" i="16"/>
  <c r="A171" i="16"/>
  <c r="B171" i="16"/>
  <c r="C171" i="16"/>
  <c r="D171" i="16"/>
  <c r="E171" i="16"/>
  <c r="F171" i="16"/>
  <c r="G171" i="16"/>
  <c r="J171" i="16" s="1"/>
  <c r="I171" i="16"/>
  <c r="A172" i="16"/>
  <c r="B172" i="16"/>
  <c r="C172" i="16"/>
  <c r="D172" i="16"/>
  <c r="E172" i="16"/>
  <c r="F172" i="16"/>
  <c r="G172" i="16"/>
  <c r="J172" i="16" s="1"/>
  <c r="I172" i="16"/>
  <c r="A173" i="16"/>
  <c r="B173" i="16"/>
  <c r="C173" i="16"/>
  <c r="D173" i="16"/>
  <c r="E173" i="16"/>
  <c r="F173" i="16"/>
  <c r="G173" i="16"/>
  <c r="J173" i="16" s="1"/>
  <c r="I173" i="16"/>
  <c r="A174" i="16"/>
  <c r="B174" i="16"/>
  <c r="C174" i="16"/>
  <c r="D174" i="16"/>
  <c r="E174" i="16"/>
  <c r="F174" i="16"/>
  <c r="G174" i="16"/>
  <c r="J174" i="16" s="1"/>
  <c r="I174" i="16"/>
  <c r="A175" i="16"/>
  <c r="B175" i="16"/>
  <c r="C175" i="16"/>
  <c r="D175" i="16"/>
  <c r="E175" i="16"/>
  <c r="F175" i="16"/>
  <c r="G175" i="16"/>
  <c r="J175" i="16" s="1"/>
  <c r="I175" i="16"/>
  <c r="A176" i="16"/>
  <c r="B176" i="16"/>
  <c r="C176" i="16"/>
  <c r="D176" i="16"/>
  <c r="E176" i="16"/>
  <c r="F176" i="16"/>
  <c r="G176" i="16"/>
  <c r="J176" i="16" s="1"/>
  <c r="I176" i="16"/>
  <c r="A177" i="16"/>
  <c r="B177" i="16"/>
  <c r="C177" i="16"/>
  <c r="D177" i="16"/>
  <c r="E177" i="16"/>
  <c r="F177" i="16"/>
  <c r="G177" i="16"/>
  <c r="J177" i="16" s="1"/>
  <c r="I177" i="16"/>
  <c r="A178" i="16"/>
  <c r="B178" i="16"/>
  <c r="C178" i="16"/>
  <c r="D178" i="16"/>
  <c r="E178" i="16"/>
  <c r="F178" i="16"/>
  <c r="G178" i="16"/>
  <c r="J178" i="16" s="1"/>
  <c r="I178" i="16"/>
  <c r="A179" i="16"/>
  <c r="B179" i="16"/>
  <c r="C179" i="16"/>
  <c r="D179" i="16"/>
  <c r="E179" i="16"/>
  <c r="F179" i="16"/>
  <c r="G179" i="16"/>
  <c r="J179" i="16" s="1"/>
  <c r="I179" i="16"/>
  <c r="A180" i="16"/>
  <c r="B180" i="16"/>
  <c r="C180" i="16"/>
  <c r="D180" i="16"/>
  <c r="E180" i="16"/>
  <c r="F180" i="16"/>
  <c r="G180" i="16"/>
  <c r="J180" i="16" s="1"/>
  <c r="I180" i="16"/>
  <c r="A181" i="16"/>
  <c r="B181" i="16"/>
  <c r="C181" i="16"/>
  <c r="D181" i="16"/>
  <c r="E181" i="16"/>
  <c r="F181" i="16"/>
  <c r="G181" i="16"/>
  <c r="J181" i="16" s="1"/>
  <c r="I181" i="16"/>
  <c r="A182" i="16"/>
  <c r="B182" i="16"/>
  <c r="C182" i="16"/>
  <c r="D182" i="16"/>
  <c r="E182" i="16"/>
  <c r="F182" i="16"/>
  <c r="G182" i="16"/>
  <c r="J182" i="16" s="1"/>
  <c r="I182" i="16"/>
  <c r="A183" i="16"/>
  <c r="B183" i="16"/>
  <c r="C183" i="16"/>
  <c r="D183" i="16"/>
  <c r="E183" i="16"/>
  <c r="F183" i="16"/>
  <c r="G183" i="16"/>
  <c r="J183" i="16" s="1"/>
  <c r="I183" i="16"/>
  <c r="A184" i="16"/>
  <c r="B184" i="16"/>
  <c r="C184" i="16"/>
  <c r="D184" i="16"/>
  <c r="E184" i="16"/>
  <c r="F184" i="16"/>
  <c r="G184" i="16"/>
  <c r="J184" i="16" s="1"/>
  <c r="I184" i="16"/>
  <c r="A185" i="16"/>
  <c r="B185" i="16"/>
  <c r="C185" i="16"/>
  <c r="D185" i="16"/>
  <c r="E185" i="16"/>
  <c r="F185" i="16"/>
  <c r="G185" i="16"/>
  <c r="J185" i="16" s="1"/>
  <c r="I185" i="16"/>
  <c r="A186" i="16"/>
  <c r="B186" i="16"/>
  <c r="C186" i="16"/>
  <c r="D186" i="16"/>
  <c r="E186" i="16"/>
  <c r="F186" i="16"/>
  <c r="G186" i="16"/>
  <c r="J186" i="16" s="1"/>
  <c r="I186" i="16"/>
  <c r="A187" i="16"/>
  <c r="B187" i="16"/>
  <c r="C187" i="16"/>
  <c r="D187" i="16"/>
  <c r="E187" i="16"/>
  <c r="F187" i="16"/>
  <c r="G187" i="16"/>
  <c r="J187" i="16" s="1"/>
  <c r="I187" i="16"/>
  <c r="A188" i="16"/>
  <c r="B188" i="16"/>
  <c r="C188" i="16"/>
  <c r="D188" i="16"/>
  <c r="E188" i="16"/>
  <c r="F188" i="16"/>
  <c r="G188" i="16"/>
  <c r="J188" i="16" s="1"/>
  <c r="I188" i="16"/>
  <c r="A189" i="16"/>
  <c r="B189" i="16"/>
  <c r="C189" i="16"/>
  <c r="D189" i="16"/>
  <c r="E189" i="16"/>
  <c r="F189" i="16"/>
  <c r="G189" i="16"/>
  <c r="J189" i="16" s="1"/>
  <c r="I189" i="16"/>
  <c r="A190" i="16"/>
  <c r="B190" i="16"/>
  <c r="C190" i="16"/>
  <c r="D190" i="16"/>
  <c r="E190" i="16"/>
  <c r="F190" i="16"/>
  <c r="G190" i="16"/>
  <c r="J190" i="16" s="1"/>
  <c r="I190" i="16"/>
  <c r="A191" i="16"/>
  <c r="B191" i="16"/>
  <c r="C191" i="16"/>
  <c r="D191" i="16"/>
  <c r="E191" i="16"/>
  <c r="F191" i="16"/>
  <c r="G191" i="16"/>
  <c r="J191" i="16" s="1"/>
  <c r="I191" i="16"/>
  <c r="A192" i="16"/>
  <c r="B192" i="16"/>
  <c r="C192" i="16"/>
  <c r="D192" i="16"/>
  <c r="E192" i="16"/>
  <c r="F192" i="16"/>
  <c r="G192" i="16"/>
  <c r="J192" i="16" s="1"/>
  <c r="I192" i="16"/>
  <c r="A193" i="16"/>
  <c r="B193" i="16"/>
  <c r="C193" i="16"/>
  <c r="D193" i="16"/>
  <c r="E193" i="16"/>
  <c r="F193" i="16"/>
  <c r="G193" i="16"/>
  <c r="J193" i="16" s="1"/>
  <c r="I193" i="16"/>
  <c r="A194" i="16"/>
  <c r="B194" i="16"/>
  <c r="C194" i="16"/>
  <c r="D194" i="16"/>
  <c r="E194" i="16"/>
  <c r="F194" i="16"/>
  <c r="G194" i="16"/>
  <c r="J194" i="16" s="1"/>
  <c r="I194" i="16"/>
  <c r="A195" i="16"/>
  <c r="B195" i="16"/>
  <c r="C195" i="16"/>
  <c r="D195" i="16"/>
  <c r="E195" i="16"/>
  <c r="F195" i="16"/>
  <c r="G195" i="16"/>
  <c r="J195" i="16" s="1"/>
  <c r="I195" i="16"/>
  <c r="A196" i="16"/>
  <c r="B196" i="16"/>
  <c r="C196" i="16"/>
  <c r="D196" i="16"/>
  <c r="E196" i="16"/>
  <c r="F196" i="16"/>
  <c r="G196" i="16"/>
  <c r="J196" i="16" s="1"/>
  <c r="I196" i="16"/>
  <c r="A197" i="16"/>
  <c r="B197" i="16"/>
  <c r="C197" i="16"/>
  <c r="D197" i="16"/>
  <c r="E197" i="16"/>
  <c r="F197" i="16"/>
  <c r="G197" i="16"/>
  <c r="J197" i="16" s="1"/>
  <c r="I197" i="16"/>
  <c r="A198" i="16"/>
  <c r="B198" i="16"/>
  <c r="C198" i="16"/>
  <c r="D198" i="16"/>
  <c r="E198" i="16"/>
  <c r="F198" i="16"/>
  <c r="G198" i="16"/>
  <c r="J198" i="16" s="1"/>
  <c r="I198" i="16"/>
  <c r="A199" i="16"/>
  <c r="B199" i="16"/>
  <c r="C199" i="16"/>
  <c r="D199" i="16"/>
  <c r="E199" i="16"/>
  <c r="F199" i="16"/>
  <c r="G199" i="16"/>
  <c r="J199" i="16" s="1"/>
  <c r="I199" i="16"/>
  <c r="A200" i="16"/>
  <c r="B200" i="16"/>
  <c r="C200" i="16"/>
  <c r="D200" i="16"/>
  <c r="E200" i="16"/>
  <c r="F200" i="16"/>
  <c r="G200" i="16"/>
  <c r="J200" i="16" s="1"/>
  <c r="I200" i="16"/>
  <c r="A201" i="16"/>
  <c r="B201" i="16"/>
  <c r="C201" i="16"/>
  <c r="D201" i="16"/>
  <c r="E201" i="16"/>
  <c r="F201" i="16"/>
  <c r="G201" i="16"/>
  <c r="J201" i="16" s="1"/>
  <c r="I201" i="16"/>
  <c r="A202" i="16"/>
  <c r="B202" i="16"/>
  <c r="C202" i="16"/>
  <c r="D202" i="16"/>
  <c r="E202" i="16"/>
  <c r="F202" i="16"/>
  <c r="G202" i="16"/>
  <c r="J202" i="16" s="1"/>
  <c r="I202" i="16"/>
  <c r="A203" i="16"/>
  <c r="B203" i="16"/>
  <c r="C203" i="16"/>
  <c r="D203" i="16"/>
  <c r="E203" i="16"/>
  <c r="F203" i="16"/>
  <c r="G203" i="16"/>
  <c r="J203" i="16" s="1"/>
  <c r="I203" i="16"/>
  <c r="A204" i="16"/>
  <c r="B204" i="16"/>
  <c r="C204" i="16"/>
  <c r="D204" i="16"/>
  <c r="E204" i="16"/>
  <c r="F204" i="16"/>
  <c r="G204" i="16"/>
  <c r="J204" i="16" s="1"/>
  <c r="I204" i="16"/>
  <c r="A205" i="16"/>
  <c r="B205" i="16"/>
  <c r="C205" i="16"/>
  <c r="D205" i="16"/>
  <c r="E205" i="16"/>
  <c r="F205" i="16"/>
  <c r="G205" i="16"/>
  <c r="J205" i="16" s="1"/>
  <c r="I205" i="16"/>
  <c r="A206" i="16"/>
  <c r="B206" i="16"/>
  <c r="C206" i="16"/>
  <c r="D206" i="16"/>
  <c r="E206" i="16"/>
  <c r="F206" i="16"/>
  <c r="G206" i="16"/>
  <c r="J206" i="16" s="1"/>
  <c r="I206" i="16"/>
  <c r="A207" i="16"/>
  <c r="B207" i="16"/>
  <c r="C207" i="16"/>
  <c r="D207" i="16"/>
  <c r="E207" i="16"/>
  <c r="F207" i="16"/>
  <c r="G207" i="16"/>
  <c r="J207" i="16" s="1"/>
  <c r="I207" i="16"/>
  <c r="A208" i="16"/>
  <c r="B208" i="16"/>
  <c r="C208" i="16"/>
  <c r="D208" i="16"/>
  <c r="E208" i="16"/>
  <c r="F208" i="16"/>
  <c r="G208" i="16"/>
  <c r="J208" i="16" s="1"/>
  <c r="I208" i="16"/>
  <c r="A209" i="16"/>
  <c r="B209" i="16"/>
  <c r="C209" i="16"/>
  <c r="D209" i="16"/>
  <c r="E209" i="16"/>
  <c r="F209" i="16"/>
  <c r="G209" i="16"/>
  <c r="J209" i="16" s="1"/>
  <c r="I209" i="16"/>
  <c r="A210" i="16"/>
  <c r="B210" i="16"/>
  <c r="C210" i="16"/>
  <c r="D210" i="16"/>
  <c r="E210" i="16"/>
  <c r="F210" i="16"/>
  <c r="G210" i="16"/>
  <c r="J210" i="16" s="1"/>
  <c r="I210" i="16"/>
  <c r="A211" i="16"/>
  <c r="B211" i="16"/>
  <c r="C211" i="16"/>
  <c r="D211" i="16"/>
  <c r="E211" i="16"/>
  <c r="F211" i="16"/>
  <c r="G211" i="16"/>
  <c r="J211" i="16" s="1"/>
  <c r="I211" i="16"/>
  <c r="A212" i="16"/>
  <c r="B212" i="16"/>
  <c r="C212" i="16"/>
  <c r="D212" i="16"/>
  <c r="E212" i="16"/>
  <c r="F212" i="16"/>
  <c r="G212" i="16"/>
  <c r="J212" i="16" s="1"/>
  <c r="I212" i="16"/>
  <c r="A213" i="16"/>
  <c r="B213" i="16"/>
  <c r="C213" i="16"/>
  <c r="D213" i="16"/>
  <c r="E213" i="16"/>
  <c r="F213" i="16"/>
  <c r="G213" i="16"/>
  <c r="J213" i="16" s="1"/>
  <c r="I213" i="16"/>
  <c r="A214" i="16"/>
  <c r="B214" i="16"/>
  <c r="C214" i="16"/>
  <c r="D214" i="16"/>
  <c r="E214" i="16"/>
  <c r="F214" i="16"/>
  <c r="G214" i="16"/>
  <c r="J214" i="16" s="1"/>
  <c r="I214" i="16"/>
  <c r="A215" i="16"/>
  <c r="B215" i="16"/>
  <c r="C215" i="16"/>
  <c r="D215" i="16"/>
  <c r="E215" i="16"/>
  <c r="F215" i="16"/>
  <c r="G215" i="16"/>
  <c r="J215" i="16" s="1"/>
  <c r="I215" i="16"/>
  <c r="A216" i="16"/>
  <c r="B216" i="16"/>
  <c r="C216" i="16"/>
  <c r="D216" i="16"/>
  <c r="E216" i="16"/>
  <c r="F216" i="16"/>
  <c r="G216" i="16"/>
  <c r="J216" i="16" s="1"/>
  <c r="I216" i="16"/>
  <c r="A217" i="16"/>
  <c r="B217" i="16"/>
  <c r="C217" i="16"/>
  <c r="D217" i="16"/>
  <c r="E217" i="16"/>
  <c r="F217" i="16"/>
  <c r="G217" i="16"/>
  <c r="J217" i="16" s="1"/>
  <c r="I217" i="16"/>
  <c r="A218" i="16"/>
  <c r="B218" i="16"/>
  <c r="C218" i="16"/>
  <c r="D218" i="16"/>
  <c r="E218" i="16"/>
  <c r="F218" i="16"/>
  <c r="G218" i="16"/>
  <c r="J218" i="16" s="1"/>
  <c r="I218" i="16"/>
  <c r="A219" i="16"/>
  <c r="B219" i="16"/>
  <c r="C219" i="16"/>
  <c r="D219" i="16"/>
  <c r="E219" i="16"/>
  <c r="F219" i="16"/>
  <c r="G219" i="16"/>
  <c r="J219" i="16" s="1"/>
  <c r="I219" i="16"/>
  <c r="A220" i="16"/>
  <c r="B220" i="16"/>
  <c r="C220" i="16"/>
  <c r="D220" i="16"/>
  <c r="E220" i="16"/>
  <c r="F220" i="16"/>
  <c r="G220" i="16"/>
  <c r="J220" i="16" s="1"/>
  <c r="I220" i="16"/>
  <c r="A221" i="16"/>
  <c r="B221" i="16"/>
  <c r="C221" i="16"/>
  <c r="D221" i="16"/>
  <c r="E221" i="16"/>
  <c r="F221" i="16"/>
  <c r="G221" i="16"/>
  <c r="J221" i="16" s="1"/>
  <c r="I221" i="16"/>
  <c r="A222" i="16"/>
  <c r="B222" i="16"/>
  <c r="C222" i="16"/>
  <c r="D222" i="16"/>
  <c r="E222" i="16"/>
  <c r="F222" i="16"/>
  <c r="G222" i="16"/>
  <c r="J222" i="16" s="1"/>
  <c r="I222" i="16"/>
  <c r="A223" i="16"/>
  <c r="B223" i="16"/>
  <c r="C223" i="16"/>
  <c r="D223" i="16"/>
  <c r="E223" i="16"/>
  <c r="F223" i="16"/>
  <c r="G223" i="16"/>
  <c r="J223" i="16" s="1"/>
  <c r="I223" i="16"/>
  <c r="A224" i="16"/>
  <c r="B224" i="16"/>
  <c r="C224" i="16"/>
  <c r="D224" i="16"/>
  <c r="E224" i="16"/>
  <c r="F224" i="16"/>
  <c r="G224" i="16"/>
  <c r="J224" i="16" s="1"/>
  <c r="I224" i="16"/>
  <c r="A225" i="16"/>
  <c r="B225" i="16"/>
  <c r="C225" i="16"/>
  <c r="D225" i="16"/>
  <c r="E225" i="16"/>
  <c r="F225" i="16"/>
  <c r="G225" i="16"/>
  <c r="J225" i="16" s="1"/>
  <c r="I225" i="16"/>
  <c r="A226" i="16"/>
  <c r="B226" i="16"/>
  <c r="C226" i="16"/>
  <c r="D226" i="16"/>
  <c r="E226" i="16"/>
  <c r="F226" i="16"/>
  <c r="G226" i="16"/>
  <c r="J226" i="16" s="1"/>
  <c r="I226" i="16"/>
  <c r="A227" i="16"/>
  <c r="B227" i="16"/>
  <c r="C227" i="16"/>
  <c r="D227" i="16"/>
  <c r="E227" i="16"/>
  <c r="F227" i="16"/>
  <c r="G227" i="16"/>
  <c r="J227" i="16" s="1"/>
  <c r="I227" i="16"/>
  <c r="A228" i="16"/>
  <c r="B228" i="16"/>
  <c r="C228" i="16"/>
  <c r="D228" i="16"/>
  <c r="E228" i="16"/>
  <c r="F228" i="16"/>
  <c r="G228" i="16"/>
  <c r="J228" i="16" s="1"/>
  <c r="I228" i="16"/>
  <c r="A229" i="16"/>
  <c r="B229" i="16"/>
  <c r="C229" i="16"/>
  <c r="D229" i="16"/>
  <c r="E229" i="16"/>
  <c r="F229" i="16"/>
  <c r="G229" i="16"/>
  <c r="J229" i="16" s="1"/>
  <c r="I229" i="16"/>
  <c r="A230" i="16"/>
  <c r="B230" i="16"/>
  <c r="C230" i="16"/>
  <c r="D230" i="16"/>
  <c r="E230" i="16"/>
  <c r="F230" i="16"/>
  <c r="G230" i="16"/>
  <c r="J230" i="16" s="1"/>
  <c r="I230" i="16"/>
  <c r="A231" i="16"/>
  <c r="B231" i="16"/>
  <c r="C231" i="16"/>
  <c r="D231" i="16"/>
  <c r="E231" i="16"/>
  <c r="F231" i="16"/>
  <c r="G231" i="16"/>
  <c r="J231" i="16" s="1"/>
  <c r="I231" i="16"/>
  <c r="A232" i="16"/>
  <c r="B232" i="16"/>
  <c r="C232" i="16"/>
  <c r="D232" i="16"/>
  <c r="E232" i="16"/>
  <c r="F232" i="16"/>
  <c r="G232" i="16"/>
  <c r="J232" i="16" s="1"/>
  <c r="I232" i="16"/>
  <c r="A233" i="16"/>
  <c r="B233" i="16"/>
  <c r="C233" i="16"/>
  <c r="D233" i="16"/>
  <c r="E233" i="16"/>
  <c r="F233" i="16"/>
  <c r="G233" i="16"/>
  <c r="J233" i="16" s="1"/>
  <c r="I233" i="16"/>
  <c r="A234" i="16"/>
  <c r="B234" i="16"/>
  <c r="C234" i="16"/>
  <c r="D234" i="16"/>
  <c r="E234" i="16"/>
  <c r="F234" i="16"/>
  <c r="G234" i="16"/>
  <c r="J234" i="16" s="1"/>
  <c r="I234" i="16"/>
  <c r="A235" i="16"/>
  <c r="B235" i="16"/>
  <c r="C235" i="16"/>
  <c r="D235" i="16"/>
  <c r="E235" i="16"/>
  <c r="F235" i="16"/>
  <c r="G235" i="16"/>
  <c r="J235" i="16" s="1"/>
  <c r="I235" i="16"/>
  <c r="A236" i="16"/>
  <c r="B236" i="16"/>
  <c r="C236" i="16"/>
  <c r="D236" i="16"/>
  <c r="E236" i="16"/>
  <c r="F236" i="16"/>
  <c r="G236" i="16"/>
  <c r="J236" i="16" s="1"/>
  <c r="I236" i="16"/>
  <c r="A237" i="16"/>
  <c r="B237" i="16"/>
  <c r="C237" i="16"/>
  <c r="D237" i="16"/>
  <c r="E237" i="16"/>
  <c r="F237" i="16"/>
  <c r="G237" i="16"/>
  <c r="J237" i="16" s="1"/>
  <c r="I237" i="16"/>
  <c r="A238" i="16"/>
  <c r="B238" i="16"/>
  <c r="C238" i="16"/>
  <c r="D238" i="16"/>
  <c r="E238" i="16"/>
  <c r="F238" i="16"/>
  <c r="G238" i="16"/>
  <c r="J238" i="16" s="1"/>
  <c r="I238" i="16"/>
  <c r="A239" i="16"/>
  <c r="B239" i="16"/>
  <c r="C239" i="16"/>
  <c r="D239" i="16"/>
  <c r="E239" i="16"/>
  <c r="F239" i="16"/>
  <c r="G239" i="16"/>
  <c r="J239" i="16" s="1"/>
  <c r="I239" i="16"/>
  <c r="A240" i="16"/>
  <c r="B240" i="16"/>
  <c r="C240" i="16"/>
  <c r="D240" i="16"/>
  <c r="E240" i="16"/>
  <c r="F240" i="16"/>
  <c r="G240" i="16"/>
  <c r="J240" i="16" s="1"/>
  <c r="I240" i="16"/>
  <c r="A241" i="16"/>
  <c r="B241" i="16"/>
  <c r="C241" i="16"/>
  <c r="D241" i="16"/>
  <c r="E241" i="16"/>
  <c r="F241" i="16"/>
  <c r="G241" i="16"/>
  <c r="J241" i="16" s="1"/>
  <c r="I241" i="16"/>
  <c r="A242" i="16"/>
  <c r="B242" i="16"/>
  <c r="C242" i="16"/>
  <c r="D242" i="16"/>
  <c r="E242" i="16"/>
  <c r="F242" i="16"/>
  <c r="G242" i="16"/>
  <c r="J242" i="16" s="1"/>
  <c r="I242" i="16"/>
  <c r="A243" i="16"/>
  <c r="B243" i="16"/>
  <c r="C243" i="16"/>
  <c r="D243" i="16"/>
  <c r="E243" i="16"/>
  <c r="F243" i="16"/>
  <c r="G243" i="16"/>
  <c r="J243" i="16" s="1"/>
  <c r="I243" i="16"/>
  <c r="A244" i="16"/>
  <c r="B244" i="16"/>
  <c r="C244" i="16"/>
  <c r="D244" i="16"/>
  <c r="E244" i="16"/>
  <c r="F244" i="16"/>
  <c r="G244" i="16"/>
  <c r="J244" i="16" s="1"/>
  <c r="I244" i="16"/>
  <c r="A245" i="16"/>
  <c r="B245" i="16"/>
  <c r="C245" i="16"/>
  <c r="D245" i="16"/>
  <c r="E245" i="16"/>
  <c r="F245" i="16"/>
  <c r="G245" i="16"/>
  <c r="J245" i="16" s="1"/>
  <c r="I245" i="16"/>
  <c r="A246" i="16"/>
  <c r="B246" i="16"/>
  <c r="C246" i="16"/>
  <c r="D246" i="16"/>
  <c r="E246" i="16"/>
  <c r="F246" i="16"/>
  <c r="G246" i="16"/>
  <c r="J246" i="16" s="1"/>
  <c r="I246" i="16"/>
  <c r="A247" i="16"/>
  <c r="B247" i="16"/>
  <c r="C247" i="16"/>
  <c r="D247" i="16"/>
  <c r="E247" i="16"/>
  <c r="F247" i="16"/>
  <c r="G247" i="16"/>
  <c r="J247" i="16" s="1"/>
  <c r="I247" i="16"/>
  <c r="A248" i="16"/>
  <c r="B248" i="16"/>
  <c r="C248" i="16"/>
  <c r="D248" i="16"/>
  <c r="E248" i="16"/>
  <c r="F248" i="16"/>
  <c r="G248" i="16"/>
  <c r="J248" i="16" s="1"/>
  <c r="I248" i="16"/>
  <c r="A249" i="16"/>
  <c r="B249" i="16"/>
  <c r="C249" i="16"/>
  <c r="D249" i="16"/>
  <c r="E249" i="16"/>
  <c r="F249" i="16"/>
  <c r="G249" i="16"/>
  <c r="J249" i="16" s="1"/>
  <c r="I249" i="16"/>
  <c r="A250" i="16"/>
  <c r="B250" i="16"/>
  <c r="C250" i="16"/>
  <c r="D250" i="16"/>
  <c r="E250" i="16"/>
  <c r="F250" i="16"/>
  <c r="G250" i="16"/>
  <c r="J250" i="16" s="1"/>
  <c r="I250" i="16"/>
  <c r="A251" i="16"/>
  <c r="B251" i="16"/>
  <c r="C251" i="16"/>
  <c r="D251" i="16"/>
  <c r="E251" i="16"/>
  <c r="F251" i="16"/>
  <c r="G251" i="16"/>
  <c r="J251" i="16" s="1"/>
  <c r="I251" i="16"/>
  <c r="A252" i="16"/>
  <c r="B252" i="16"/>
  <c r="C252" i="16"/>
  <c r="D252" i="16"/>
  <c r="E252" i="16"/>
  <c r="F252" i="16"/>
  <c r="G252" i="16"/>
  <c r="J252" i="16" s="1"/>
  <c r="I252" i="16"/>
  <c r="A253" i="16"/>
  <c r="B253" i="16"/>
  <c r="C253" i="16"/>
  <c r="D253" i="16"/>
  <c r="E253" i="16"/>
  <c r="F253" i="16"/>
  <c r="G253" i="16"/>
  <c r="J253" i="16" s="1"/>
  <c r="I253" i="16"/>
  <c r="A254" i="16"/>
  <c r="B254" i="16"/>
  <c r="C254" i="16"/>
  <c r="D254" i="16"/>
  <c r="E254" i="16"/>
  <c r="F254" i="16"/>
  <c r="G254" i="16"/>
  <c r="J254" i="16" s="1"/>
  <c r="I254" i="16"/>
  <c r="A255" i="16"/>
  <c r="B255" i="16"/>
  <c r="C255" i="16"/>
  <c r="D255" i="16"/>
  <c r="E255" i="16"/>
  <c r="F255" i="16"/>
  <c r="G255" i="16"/>
  <c r="J255" i="16" s="1"/>
  <c r="I255" i="16"/>
  <c r="A256" i="16"/>
  <c r="B256" i="16"/>
  <c r="C256" i="16"/>
  <c r="D256" i="16"/>
  <c r="E256" i="16"/>
  <c r="F256" i="16"/>
  <c r="G256" i="16"/>
  <c r="J256" i="16" s="1"/>
  <c r="I256" i="16"/>
  <c r="A257" i="16"/>
  <c r="B257" i="16"/>
  <c r="C257" i="16"/>
  <c r="D257" i="16"/>
  <c r="E257" i="16"/>
  <c r="F257" i="16"/>
  <c r="G257" i="16"/>
  <c r="J257" i="16" s="1"/>
  <c r="I257" i="16"/>
  <c r="A258" i="16"/>
  <c r="B258" i="16"/>
  <c r="C258" i="16"/>
  <c r="D258" i="16"/>
  <c r="E258" i="16"/>
  <c r="F258" i="16"/>
  <c r="G258" i="16"/>
  <c r="J258" i="16" s="1"/>
  <c r="I258" i="16"/>
  <c r="A259" i="16"/>
  <c r="B259" i="16"/>
  <c r="C259" i="16"/>
  <c r="D259" i="16"/>
  <c r="E259" i="16"/>
  <c r="F259" i="16"/>
  <c r="G259" i="16"/>
  <c r="J259" i="16" s="1"/>
  <c r="I259" i="16"/>
  <c r="A260" i="16"/>
  <c r="B260" i="16"/>
  <c r="C260" i="16"/>
  <c r="D260" i="16"/>
  <c r="E260" i="16"/>
  <c r="F260" i="16"/>
  <c r="G260" i="16"/>
  <c r="J260" i="16" s="1"/>
  <c r="I260" i="16"/>
  <c r="A261" i="16"/>
  <c r="B261" i="16"/>
  <c r="C261" i="16"/>
  <c r="D261" i="16"/>
  <c r="E261" i="16"/>
  <c r="F261" i="16"/>
  <c r="G261" i="16"/>
  <c r="J261" i="16" s="1"/>
  <c r="I261" i="16"/>
  <c r="A262" i="16"/>
  <c r="B262" i="16"/>
  <c r="C262" i="16"/>
  <c r="D262" i="16"/>
  <c r="E262" i="16"/>
  <c r="F262" i="16"/>
  <c r="G262" i="16"/>
  <c r="J262" i="16" s="1"/>
  <c r="I262" i="16"/>
  <c r="A263" i="16"/>
  <c r="B263" i="16"/>
  <c r="C263" i="16"/>
  <c r="D263" i="16"/>
  <c r="E263" i="16"/>
  <c r="F263" i="16"/>
  <c r="G263" i="16"/>
  <c r="J263" i="16" s="1"/>
  <c r="I263" i="16"/>
  <c r="A264" i="16"/>
  <c r="B264" i="16"/>
  <c r="C264" i="16"/>
  <c r="D264" i="16"/>
  <c r="E264" i="16"/>
  <c r="F264" i="16"/>
  <c r="G264" i="16"/>
  <c r="J264" i="16" s="1"/>
  <c r="I264" i="16"/>
  <c r="A265" i="16"/>
  <c r="B265" i="16"/>
  <c r="C265" i="16"/>
  <c r="D265" i="16"/>
  <c r="E265" i="16"/>
  <c r="F265" i="16"/>
  <c r="G265" i="16"/>
  <c r="J265" i="16" s="1"/>
  <c r="I265" i="16"/>
  <c r="A266" i="16"/>
  <c r="B266" i="16"/>
  <c r="C266" i="16"/>
  <c r="D266" i="16"/>
  <c r="E266" i="16"/>
  <c r="F266" i="16"/>
  <c r="G266" i="16"/>
  <c r="J266" i="16" s="1"/>
  <c r="I266" i="16"/>
  <c r="A267" i="16"/>
  <c r="B267" i="16"/>
  <c r="C267" i="16"/>
  <c r="D267" i="16"/>
  <c r="E267" i="16"/>
  <c r="F267" i="16"/>
  <c r="G267" i="16"/>
  <c r="J267" i="16" s="1"/>
  <c r="I267" i="16"/>
  <c r="A268" i="16"/>
  <c r="B268" i="16"/>
  <c r="C268" i="16"/>
  <c r="D268" i="16"/>
  <c r="E268" i="16"/>
  <c r="F268" i="16"/>
  <c r="G268" i="16"/>
  <c r="J268" i="16" s="1"/>
  <c r="I268" i="16"/>
  <c r="A269" i="16"/>
  <c r="B269" i="16"/>
  <c r="C269" i="16"/>
  <c r="D269" i="16"/>
  <c r="E269" i="16"/>
  <c r="F269" i="16"/>
  <c r="G269" i="16"/>
  <c r="J269" i="16" s="1"/>
  <c r="I269" i="16"/>
  <c r="A270" i="16"/>
  <c r="B270" i="16"/>
  <c r="C270" i="16"/>
  <c r="D270" i="16"/>
  <c r="E270" i="16"/>
  <c r="F270" i="16"/>
  <c r="G270" i="16"/>
  <c r="J270" i="16" s="1"/>
  <c r="I270" i="16"/>
  <c r="A271" i="16"/>
  <c r="B271" i="16"/>
  <c r="C271" i="16"/>
  <c r="D271" i="16"/>
  <c r="E271" i="16"/>
  <c r="F271" i="16"/>
  <c r="G271" i="16"/>
  <c r="J271" i="16" s="1"/>
  <c r="I271" i="16"/>
  <c r="A272" i="16"/>
  <c r="B272" i="16"/>
  <c r="C272" i="16"/>
  <c r="D272" i="16"/>
  <c r="E272" i="16"/>
  <c r="F272" i="16"/>
  <c r="G272" i="16"/>
  <c r="J272" i="16" s="1"/>
  <c r="I272" i="16"/>
  <c r="A273" i="16"/>
  <c r="B273" i="16"/>
  <c r="C273" i="16"/>
  <c r="D273" i="16"/>
  <c r="E273" i="16"/>
  <c r="F273" i="16"/>
  <c r="G273" i="16"/>
  <c r="J273" i="16" s="1"/>
  <c r="I273" i="16"/>
  <c r="A274" i="16"/>
  <c r="B274" i="16"/>
  <c r="C274" i="16"/>
  <c r="D274" i="16"/>
  <c r="E274" i="16"/>
  <c r="F274" i="16"/>
  <c r="G274" i="16"/>
  <c r="J274" i="16" s="1"/>
  <c r="I274" i="16"/>
  <c r="A275" i="16"/>
  <c r="B275" i="16"/>
  <c r="C275" i="16"/>
  <c r="D275" i="16"/>
  <c r="E275" i="16"/>
  <c r="F275" i="16"/>
  <c r="G275" i="16"/>
  <c r="J275" i="16" s="1"/>
  <c r="I275" i="16"/>
  <c r="A276" i="16"/>
  <c r="B276" i="16"/>
  <c r="C276" i="16"/>
  <c r="D276" i="16"/>
  <c r="E276" i="16"/>
  <c r="F276" i="16"/>
  <c r="G276" i="16"/>
  <c r="J276" i="16" s="1"/>
  <c r="I276" i="16"/>
  <c r="A277" i="16"/>
  <c r="B277" i="16"/>
  <c r="C277" i="16"/>
  <c r="D277" i="16"/>
  <c r="E277" i="16"/>
  <c r="F277" i="16"/>
  <c r="G277" i="16"/>
  <c r="J277" i="16" s="1"/>
  <c r="I277" i="16"/>
  <c r="A278" i="16"/>
  <c r="B278" i="16"/>
  <c r="C278" i="16"/>
  <c r="D278" i="16"/>
  <c r="E278" i="16"/>
  <c r="F278" i="16"/>
  <c r="G278" i="16"/>
  <c r="J278" i="16" s="1"/>
  <c r="I278" i="16"/>
  <c r="A279" i="16"/>
  <c r="B279" i="16"/>
  <c r="C279" i="16"/>
  <c r="D279" i="16"/>
  <c r="E279" i="16"/>
  <c r="F279" i="16"/>
  <c r="G279" i="16"/>
  <c r="J279" i="16" s="1"/>
  <c r="I279" i="16"/>
  <c r="A280" i="16"/>
  <c r="B280" i="16"/>
  <c r="C280" i="16"/>
  <c r="D280" i="16"/>
  <c r="E280" i="16"/>
  <c r="F280" i="16"/>
  <c r="G280" i="16"/>
  <c r="J280" i="16" s="1"/>
  <c r="I280" i="16"/>
  <c r="A281" i="16"/>
  <c r="B281" i="16"/>
  <c r="C281" i="16"/>
  <c r="D281" i="16"/>
  <c r="E281" i="16"/>
  <c r="F281" i="16"/>
  <c r="G281" i="16"/>
  <c r="J281" i="16" s="1"/>
  <c r="I281" i="16"/>
  <c r="A282" i="16"/>
  <c r="B282" i="16"/>
  <c r="C282" i="16"/>
  <c r="D282" i="16"/>
  <c r="E282" i="16"/>
  <c r="F282" i="16"/>
  <c r="G282" i="16"/>
  <c r="J282" i="16" s="1"/>
  <c r="I282" i="16"/>
  <c r="A283" i="16"/>
  <c r="B283" i="16"/>
  <c r="C283" i="16"/>
  <c r="D283" i="16"/>
  <c r="E283" i="16"/>
  <c r="F283" i="16"/>
  <c r="G283" i="16"/>
  <c r="J283" i="16" s="1"/>
  <c r="I283" i="16"/>
  <c r="A284" i="16"/>
  <c r="B284" i="16"/>
  <c r="C284" i="16"/>
  <c r="D284" i="16"/>
  <c r="E284" i="16"/>
  <c r="F284" i="16"/>
  <c r="G284" i="16"/>
  <c r="J284" i="16" s="1"/>
  <c r="I284" i="16"/>
  <c r="A285" i="16"/>
  <c r="B285" i="16"/>
  <c r="C285" i="16"/>
  <c r="D285" i="16"/>
  <c r="E285" i="16"/>
  <c r="F285" i="16"/>
  <c r="G285" i="16"/>
  <c r="J285" i="16" s="1"/>
  <c r="I285" i="16"/>
  <c r="A286" i="16"/>
  <c r="B286" i="16"/>
  <c r="C286" i="16"/>
  <c r="D286" i="16"/>
  <c r="E286" i="16"/>
  <c r="F286" i="16"/>
  <c r="G286" i="16"/>
  <c r="J286" i="16" s="1"/>
  <c r="I286" i="16"/>
  <c r="A287" i="16"/>
  <c r="B287" i="16"/>
  <c r="C287" i="16"/>
  <c r="D287" i="16"/>
  <c r="E287" i="16"/>
  <c r="F287" i="16"/>
  <c r="G287" i="16"/>
  <c r="J287" i="16" s="1"/>
  <c r="I287" i="16"/>
  <c r="A288" i="16"/>
  <c r="B288" i="16"/>
  <c r="C288" i="16"/>
  <c r="D288" i="16"/>
  <c r="E288" i="16"/>
  <c r="F288" i="16"/>
  <c r="G288" i="16"/>
  <c r="J288" i="16" s="1"/>
  <c r="I288" i="16"/>
  <c r="A289" i="16"/>
  <c r="B289" i="16"/>
  <c r="C289" i="16"/>
  <c r="D289" i="16"/>
  <c r="E289" i="16"/>
  <c r="F289" i="16"/>
  <c r="G289" i="16"/>
  <c r="J289" i="16" s="1"/>
  <c r="I289" i="16"/>
  <c r="A290" i="16"/>
  <c r="B290" i="16"/>
  <c r="C290" i="16"/>
  <c r="D290" i="16"/>
  <c r="E290" i="16"/>
  <c r="F290" i="16"/>
  <c r="G290" i="16"/>
  <c r="J290" i="16" s="1"/>
  <c r="I290" i="16"/>
  <c r="A291" i="16"/>
  <c r="B291" i="16"/>
  <c r="C291" i="16"/>
  <c r="D291" i="16"/>
  <c r="E291" i="16"/>
  <c r="F291" i="16"/>
  <c r="G291" i="16"/>
  <c r="J291" i="16" s="1"/>
  <c r="I291" i="16"/>
  <c r="A292" i="16"/>
  <c r="B292" i="16"/>
  <c r="C292" i="16"/>
  <c r="D292" i="16"/>
  <c r="E292" i="16"/>
  <c r="F292" i="16"/>
  <c r="G292" i="16"/>
  <c r="J292" i="16" s="1"/>
  <c r="I292" i="16"/>
  <c r="A293" i="16"/>
  <c r="B293" i="16"/>
  <c r="C293" i="16"/>
  <c r="D293" i="16"/>
  <c r="E293" i="16"/>
  <c r="F293" i="16"/>
  <c r="G293" i="16"/>
  <c r="J293" i="16" s="1"/>
  <c r="I293" i="16"/>
  <c r="A294" i="16"/>
  <c r="B294" i="16"/>
  <c r="C294" i="16"/>
  <c r="D294" i="16"/>
  <c r="E294" i="16"/>
  <c r="F294" i="16"/>
  <c r="G294" i="16"/>
  <c r="J294" i="16" s="1"/>
  <c r="I294" i="16"/>
  <c r="A295" i="16"/>
  <c r="B295" i="16"/>
  <c r="C295" i="16"/>
  <c r="D295" i="16"/>
  <c r="E295" i="16"/>
  <c r="F295" i="16"/>
  <c r="G295" i="16"/>
  <c r="J295" i="16" s="1"/>
  <c r="I295" i="16"/>
  <c r="A296" i="16"/>
  <c r="B296" i="16"/>
  <c r="C296" i="16"/>
  <c r="D296" i="16"/>
  <c r="E296" i="16"/>
  <c r="F296" i="16"/>
  <c r="G296" i="16"/>
  <c r="J296" i="16" s="1"/>
  <c r="I296" i="16"/>
  <c r="A297" i="16"/>
  <c r="B297" i="16"/>
  <c r="C297" i="16"/>
  <c r="D297" i="16"/>
  <c r="E297" i="16"/>
  <c r="F297" i="16"/>
  <c r="G297" i="16"/>
  <c r="J297" i="16" s="1"/>
  <c r="I297" i="16"/>
  <c r="A298" i="16"/>
  <c r="B298" i="16"/>
  <c r="C298" i="16"/>
  <c r="D298" i="16"/>
  <c r="E298" i="16"/>
  <c r="F298" i="16"/>
  <c r="G298" i="16"/>
  <c r="J298" i="16" s="1"/>
  <c r="I298" i="16"/>
  <c r="A299" i="16"/>
  <c r="B299" i="16"/>
  <c r="C299" i="16"/>
  <c r="D299" i="16"/>
  <c r="E299" i="16"/>
  <c r="F299" i="16"/>
  <c r="G299" i="16"/>
  <c r="J299" i="16" s="1"/>
  <c r="I299" i="16"/>
  <c r="A300" i="16"/>
  <c r="B300" i="16"/>
  <c r="C300" i="16"/>
  <c r="D300" i="16"/>
  <c r="E300" i="16"/>
  <c r="F300" i="16"/>
  <c r="G300" i="16"/>
  <c r="J300" i="16" s="1"/>
  <c r="I300" i="16"/>
  <c r="A301" i="16"/>
  <c r="B301" i="16"/>
  <c r="C301" i="16"/>
  <c r="D301" i="16"/>
  <c r="E301" i="16"/>
  <c r="F301" i="16"/>
  <c r="G301" i="16"/>
  <c r="J301" i="16" s="1"/>
  <c r="I301" i="16"/>
  <c r="A302" i="16"/>
  <c r="B302" i="16"/>
  <c r="C302" i="16"/>
  <c r="D302" i="16"/>
  <c r="E302" i="16"/>
  <c r="F302" i="16"/>
  <c r="G302" i="16"/>
  <c r="J302" i="16" s="1"/>
  <c r="I302" i="16"/>
  <c r="A303" i="16"/>
  <c r="B303" i="16"/>
  <c r="C303" i="16"/>
  <c r="D303" i="16"/>
  <c r="E303" i="16"/>
  <c r="F303" i="16"/>
  <c r="G303" i="16"/>
  <c r="J303" i="16" s="1"/>
  <c r="I303" i="16"/>
  <c r="A304" i="16"/>
  <c r="B304" i="16"/>
  <c r="C304" i="16"/>
  <c r="D304" i="16"/>
  <c r="E304" i="16"/>
  <c r="F304" i="16"/>
  <c r="G304" i="16"/>
  <c r="J304" i="16" s="1"/>
  <c r="I304" i="16"/>
  <c r="A305" i="16"/>
  <c r="B305" i="16"/>
  <c r="C305" i="16"/>
  <c r="D305" i="16"/>
  <c r="E305" i="16"/>
  <c r="F305" i="16"/>
  <c r="G305" i="16"/>
  <c r="J305" i="16" s="1"/>
  <c r="I305" i="16"/>
  <c r="A306" i="16"/>
  <c r="B306" i="16"/>
  <c r="C306" i="16"/>
  <c r="D306" i="16"/>
  <c r="E306" i="16"/>
  <c r="F306" i="16"/>
  <c r="G306" i="16"/>
  <c r="J306" i="16" s="1"/>
  <c r="I306" i="16"/>
  <c r="A307" i="16"/>
  <c r="B307" i="16"/>
  <c r="C307" i="16"/>
  <c r="D307" i="16"/>
  <c r="E307" i="16"/>
  <c r="F307" i="16"/>
  <c r="G307" i="16"/>
  <c r="J307" i="16" s="1"/>
  <c r="I307" i="16"/>
  <c r="A308" i="16"/>
  <c r="B308" i="16"/>
  <c r="C308" i="16"/>
  <c r="D308" i="16"/>
  <c r="E308" i="16"/>
  <c r="F308" i="16"/>
  <c r="G308" i="16"/>
  <c r="J308" i="16" s="1"/>
  <c r="I308" i="16"/>
  <c r="A309" i="16"/>
  <c r="B309" i="16"/>
  <c r="C309" i="16"/>
  <c r="D309" i="16"/>
  <c r="E309" i="16"/>
  <c r="F309" i="16"/>
  <c r="G309" i="16"/>
  <c r="J309" i="16" s="1"/>
  <c r="I309" i="16"/>
  <c r="A310" i="16"/>
  <c r="B310" i="16"/>
  <c r="C310" i="16"/>
  <c r="D310" i="16"/>
  <c r="E310" i="16"/>
  <c r="F310" i="16"/>
  <c r="G310" i="16"/>
  <c r="J310" i="16" s="1"/>
  <c r="I310" i="16"/>
  <c r="A311" i="16"/>
  <c r="B311" i="16"/>
  <c r="C311" i="16"/>
  <c r="D311" i="16"/>
  <c r="E311" i="16"/>
  <c r="F311" i="16"/>
  <c r="G311" i="16"/>
  <c r="J311" i="16" s="1"/>
  <c r="I311" i="16"/>
  <c r="A312" i="16"/>
  <c r="B312" i="16"/>
  <c r="C312" i="16"/>
  <c r="D312" i="16"/>
  <c r="E312" i="16"/>
  <c r="F312" i="16"/>
  <c r="G312" i="16"/>
  <c r="J312" i="16" s="1"/>
  <c r="I312" i="16"/>
  <c r="A313" i="16"/>
  <c r="B313" i="16"/>
  <c r="C313" i="16"/>
  <c r="D313" i="16"/>
  <c r="E313" i="16"/>
  <c r="F313" i="16"/>
  <c r="G313" i="16"/>
  <c r="J313" i="16" s="1"/>
  <c r="I313" i="16"/>
  <c r="A314" i="16"/>
  <c r="B314" i="16"/>
  <c r="C314" i="16"/>
  <c r="D314" i="16"/>
  <c r="E314" i="16"/>
  <c r="F314" i="16"/>
  <c r="G314" i="16"/>
  <c r="J314" i="16" s="1"/>
  <c r="I314" i="16"/>
  <c r="A315" i="16"/>
  <c r="B315" i="16"/>
  <c r="C315" i="16"/>
  <c r="D315" i="16"/>
  <c r="E315" i="16"/>
  <c r="F315" i="16"/>
  <c r="G315" i="16"/>
  <c r="J315" i="16" s="1"/>
  <c r="I315" i="16"/>
  <c r="A316" i="16"/>
  <c r="B316" i="16"/>
  <c r="C316" i="16"/>
  <c r="D316" i="16"/>
  <c r="E316" i="16"/>
  <c r="F316" i="16"/>
  <c r="G316" i="16"/>
  <c r="J316" i="16" s="1"/>
  <c r="I316" i="16"/>
  <c r="A317" i="16"/>
  <c r="B317" i="16"/>
  <c r="C317" i="16"/>
  <c r="D317" i="16"/>
  <c r="E317" i="16"/>
  <c r="F317" i="16"/>
  <c r="G317" i="16"/>
  <c r="J317" i="16" s="1"/>
  <c r="I317" i="16"/>
  <c r="A318" i="16"/>
  <c r="B318" i="16"/>
  <c r="C318" i="16"/>
  <c r="D318" i="16"/>
  <c r="E318" i="16"/>
  <c r="F318" i="16"/>
  <c r="G318" i="16"/>
  <c r="J318" i="16" s="1"/>
  <c r="I318" i="16"/>
  <c r="A319" i="16"/>
  <c r="B319" i="16"/>
  <c r="C319" i="16"/>
  <c r="D319" i="16"/>
  <c r="E319" i="16"/>
  <c r="F319" i="16"/>
  <c r="G319" i="16"/>
  <c r="J319" i="16" s="1"/>
  <c r="I319" i="16"/>
  <c r="A320" i="16"/>
  <c r="B320" i="16"/>
  <c r="C320" i="16"/>
  <c r="D320" i="16"/>
  <c r="E320" i="16"/>
  <c r="F320" i="16"/>
  <c r="G320" i="16"/>
  <c r="J320" i="16" s="1"/>
  <c r="I320" i="16"/>
  <c r="A321" i="16"/>
  <c r="B321" i="16"/>
  <c r="C321" i="16"/>
  <c r="D321" i="16"/>
  <c r="E321" i="16"/>
  <c r="F321" i="16"/>
  <c r="G321" i="16"/>
  <c r="J321" i="16" s="1"/>
  <c r="I321" i="16"/>
  <c r="A322" i="16"/>
  <c r="B322" i="16"/>
  <c r="C322" i="16"/>
  <c r="D322" i="16"/>
  <c r="E322" i="16"/>
  <c r="F322" i="16"/>
  <c r="G322" i="16"/>
  <c r="J322" i="16" s="1"/>
  <c r="I322" i="16"/>
  <c r="A323" i="16"/>
  <c r="B323" i="16"/>
  <c r="C323" i="16"/>
  <c r="D323" i="16"/>
  <c r="E323" i="16"/>
  <c r="F323" i="16"/>
  <c r="G323" i="16"/>
  <c r="J323" i="16" s="1"/>
  <c r="I323" i="16"/>
  <c r="A324" i="16"/>
  <c r="B324" i="16"/>
  <c r="C324" i="16"/>
  <c r="D324" i="16"/>
  <c r="E324" i="16"/>
  <c r="F324" i="16"/>
  <c r="G324" i="16"/>
  <c r="J324" i="16" s="1"/>
  <c r="I324" i="16"/>
  <c r="A325" i="16"/>
  <c r="B325" i="16"/>
  <c r="C325" i="16"/>
  <c r="D325" i="16"/>
  <c r="E325" i="16"/>
  <c r="F325" i="16"/>
  <c r="G325" i="16"/>
  <c r="J325" i="16" s="1"/>
  <c r="I325" i="16"/>
  <c r="A326" i="16"/>
  <c r="B326" i="16"/>
  <c r="C326" i="16"/>
  <c r="D326" i="16"/>
  <c r="E326" i="16"/>
  <c r="F326" i="16"/>
  <c r="G326" i="16"/>
  <c r="J326" i="16" s="1"/>
  <c r="I326" i="16"/>
  <c r="A327" i="16"/>
  <c r="B327" i="16"/>
  <c r="C327" i="16"/>
  <c r="D327" i="16"/>
  <c r="E327" i="16"/>
  <c r="F327" i="16"/>
  <c r="G327" i="16"/>
  <c r="J327" i="16" s="1"/>
  <c r="I327" i="16"/>
  <c r="A328" i="16"/>
  <c r="B328" i="16"/>
  <c r="C328" i="16"/>
  <c r="D328" i="16"/>
  <c r="E328" i="16"/>
  <c r="F328" i="16"/>
  <c r="G328" i="16"/>
  <c r="J328" i="16" s="1"/>
  <c r="I328" i="16"/>
  <c r="A329" i="16"/>
  <c r="B329" i="16"/>
  <c r="C329" i="16"/>
  <c r="D329" i="16"/>
  <c r="E329" i="16"/>
  <c r="F329" i="16"/>
  <c r="G329" i="16"/>
  <c r="J329" i="16" s="1"/>
  <c r="I329" i="16"/>
  <c r="A330" i="16"/>
  <c r="B330" i="16"/>
  <c r="C330" i="16"/>
  <c r="D330" i="16"/>
  <c r="E330" i="16"/>
  <c r="F330" i="16"/>
  <c r="G330" i="16"/>
  <c r="J330" i="16" s="1"/>
  <c r="I330" i="16"/>
  <c r="A331" i="16"/>
  <c r="B331" i="16"/>
  <c r="C331" i="16"/>
  <c r="D331" i="16"/>
  <c r="E331" i="16"/>
  <c r="F331" i="16"/>
  <c r="G331" i="16"/>
  <c r="J331" i="16" s="1"/>
  <c r="I331" i="16"/>
  <c r="A332" i="16"/>
  <c r="B332" i="16"/>
  <c r="C332" i="16"/>
  <c r="D332" i="16"/>
  <c r="E332" i="16"/>
  <c r="F332" i="16"/>
  <c r="G332" i="16"/>
  <c r="J332" i="16" s="1"/>
  <c r="I332" i="16"/>
  <c r="A333" i="16"/>
  <c r="B333" i="16"/>
  <c r="C333" i="16"/>
  <c r="D333" i="16"/>
  <c r="E333" i="16"/>
  <c r="F333" i="16"/>
  <c r="G333" i="16"/>
  <c r="J333" i="16" s="1"/>
  <c r="I333" i="16"/>
  <c r="A334" i="16"/>
  <c r="B334" i="16"/>
  <c r="C334" i="16"/>
  <c r="D334" i="16"/>
  <c r="E334" i="16"/>
  <c r="F334" i="16"/>
  <c r="G334" i="16"/>
  <c r="J334" i="16" s="1"/>
  <c r="I334" i="16"/>
  <c r="A335" i="16"/>
  <c r="B335" i="16"/>
  <c r="C335" i="16"/>
  <c r="D335" i="16"/>
  <c r="E335" i="16"/>
  <c r="F335" i="16"/>
  <c r="G335" i="16"/>
  <c r="J335" i="16" s="1"/>
  <c r="I335" i="16"/>
  <c r="A336" i="16"/>
  <c r="B336" i="16"/>
  <c r="C336" i="16"/>
  <c r="D336" i="16"/>
  <c r="E336" i="16"/>
  <c r="F336" i="16"/>
  <c r="G336" i="16"/>
  <c r="J336" i="16" s="1"/>
  <c r="I336" i="16"/>
  <c r="A337" i="16"/>
  <c r="B337" i="16"/>
  <c r="C337" i="16"/>
  <c r="D337" i="16"/>
  <c r="E337" i="16"/>
  <c r="F337" i="16"/>
  <c r="G337" i="16"/>
  <c r="J337" i="16" s="1"/>
  <c r="I337" i="16"/>
  <c r="A338" i="16"/>
  <c r="B338" i="16"/>
  <c r="C338" i="16"/>
  <c r="D338" i="16"/>
  <c r="E338" i="16"/>
  <c r="F338" i="16"/>
  <c r="G338" i="16"/>
  <c r="J338" i="16" s="1"/>
  <c r="I338" i="16"/>
  <c r="A339" i="16"/>
  <c r="B339" i="16"/>
  <c r="C339" i="16"/>
  <c r="D339" i="16"/>
  <c r="E339" i="16"/>
  <c r="F339" i="16"/>
  <c r="G339" i="16"/>
  <c r="J339" i="16" s="1"/>
  <c r="I339" i="16"/>
  <c r="A340" i="16"/>
  <c r="B340" i="16"/>
  <c r="C340" i="16"/>
  <c r="D340" i="16"/>
  <c r="E340" i="16"/>
  <c r="F340" i="16"/>
  <c r="G340" i="16"/>
  <c r="J340" i="16" s="1"/>
  <c r="I340" i="16"/>
  <c r="A341" i="16"/>
  <c r="B341" i="16"/>
  <c r="C341" i="16"/>
  <c r="D341" i="16"/>
  <c r="E341" i="16"/>
  <c r="F341" i="16"/>
  <c r="G341" i="16"/>
  <c r="J341" i="16" s="1"/>
  <c r="I341" i="16"/>
  <c r="A342" i="16"/>
  <c r="B342" i="16"/>
  <c r="C342" i="16"/>
  <c r="D342" i="16"/>
  <c r="E342" i="16"/>
  <c r="F342" i="16"/>
  <c r="G342" i="16"/>
  <c r="J342" i="16" s="1"/>
  <c r="I342" i="16"/>
  <c r="A343" i="16"/>
  <c r="B343" i="16"/>
  <c r="C343" i="16"/>
  <c r="D343" i="16"/>
  <c r="E343" i="16"/>
  <c r="F343" i="16"/>
  <c r="G343" i="16"/>
  <c r="J343" i="16" s="1"/>
  <c r="I343" i="16"/>
  <c r="A344" i="16"/>
  <c r="B344" i="16"/>
  <c r="C344" i="16"/>
  <c r="D344" i="16"/>
  <c r="E344" i="16"/>
  <c r="F344" i="16"/>
  <c r="G344" i="16"/>
  <c r="J344" i="16" s="1"/>
  <c r="I344" i="16"/>
  <c r="A345" i="16"/>
  <c r="B345" i="16"/>
  <c r="C345" i="16"/>
  <c r="D345" i="16"/>
  <c r="E345" i="16"/>
  <c r="F345" i="16"/>
  <c r="G345" i="16"/>
  <c r="J345" i="16" s="1"/>
  <c r="I345" i="16"/>
  <c r="A346" i="16"/>
  <c r="B346" i="16"/>
  <c r="C346" i="16"/>
  <c r="D346" i="16"/>
  <c r="E346" i="16"/>
  <c r="F346" i="16"/>
  <c r="G346" i="16"/>
  <c r="J346" i="16" s="1"/>
  <c r="I346" i="16"/>
  <c r="A347" i="16"/>
  <c r="B347" i="16"/>
  <c r="C347" i="16"/>
  <c r="D347" i="16"/>
  <c r="E347" i="16"/>
  <c r="F347" i="16"/>
  <c r="G347" i="16"/>
  <c r="J347" i="16" s="1"/>
  <c r="I347" i="16"/>
  <c r="A348" i="16"/>
  <c r="B348" i="16"/>
  <c r="C348" i="16"/>
  <c r="D348" i="16"/>
  <c r="E348" i="16"/>
  <c r="F348" i="16"/>
  <c r="G348" i="16"/>
  <c r="J348" i="16" s="1"/>
  <c r="I348" i="16"/>
  <c r="A349" i="16"/>
  <c r="B349" i="16"/>
  <c r="C349" i="16"/>
  <c r="D349" i="16"/>
  <c r="E349" i="16"/>
  <c r="F349" i="16"/>
  <c r="G349" i="16"/>
  <c r="J349" i="16" s="1"/>
  <c r="I349" i="16"/>
  <c r="A350" i="16"/>
  <c r="B350" i="16"/>
  <c r="C350" i="16"/>
  <c r="D350" i="16"/>
  <c r="E350" i="16"/>
  <c r="F350" i="16"/>
  <c r="G350" i="16"/>
  <c r="J350" i="16" s="1"/>
  <c r="I350" i="16"/>
  <c r="A351" i="16"/>
  <c r="B351" i="16"/>
  <c r="C351" i="16"/>
  <c r="D351" i="16"/>
  <c r="E351" i="16"/>
  <c r="F351" i="16"/>
  <c r="G351" i="16"/>
  <c r="J351" i="16" s="1"/>
  <c r="I351" i="16"/>
  <c r="A352" i="16"/>
  <c r="B352" i="16"/>
  <c r="C352" i="16"/>
  <c r="D352" i="16"/>
  <c r="E352" i="16"/>
  <c r="F352" i="16"/>
  <c r="G352" i="16"/>
  <c r="J352" i="16" s="1"/>
  <c r="I352" i="16"/>
  <c r="A353" i="16"/>
  <c r="B353" i="16"/>
  <c r="C353" i="16"/>
  <c r="D353" i="16"/>
  <c r="E353" i="16"/>
  <c r="F353" i="16"/>
  <c r="G353" i="16"/>
  <c r="J353" i="16" s="1"/>
  <c r="I353" i="16"/>
  <c r="A354" i="16"/>
  <c r="B354" i="16"/>
  <c r="C354" i="16"/>
  <c r="D354" i="16"/>
  <c r="E354" i="16"/>
  <c r="F354" i="16"/>
  <c r="G354" i="16"/>
  <c r="J354" i="16" s="1"/>
  <c r="I354" i="16"/>
  <c r="A355" i="16"/>
  <c r="B355" i="16"/>
  <c r="C355" i="16"/>
  <c r="D355" i="16"/>
  <c r="E355" i="16"/>
  <c r="F355" i="16"/>
  <c r="G355" i="16"/>
  <c r="J355" i="16" s="1"/>
  <c r="I355" i="16"/>
  <c r="A356" i="16"/>
  <c r="B356" i="16"/>
  <c r="C356" i="16"/>
  <c r="D356" i="16"/>
  <c r="E356" i="16"/>
  <c r="F356" i="16"/>
  <c r="G356" i="16"/>
  <c r="J356" i="16" s="1"/>
  <c r="I356" i="16"/>
  <c r="A357" i="16"/>
  <c r="B357" i="16"/>
  <c r="C357" i="16"/>
  <c r="D357" i="16"/>
  <c r="E357" i="16"/>
  <c r="F357" i="16"/>
  <c r="G357" i="16"/>
  <c r="J357" i="16" s="1"/>
  <c r="I357" i="16"/>
  <c r="A358" i="16"/>
  <c r="B358" i="16"/>
  <c r="C358" i="16"/>
  <c r="D358" i="16"/>
  <c r="E358" i="16"/>
  <c r="F358" i="16"/>
  <c r="G358" i="16"/>
  <c r="J358" i="16" s="1"/>
  <c r="I358" i="16"/>
  <c r="A359" i="16"/>
  <c r="B359" i="16"/>
  <c r="C359" i="16"/>
  <c r="D359" i="16"/>
  <c r="E359" i="16"/>
  <c r="F359" i="16"/>
  <c r="G359" i="16"/>
  <c r="J359" i="16" s="1"/>
  <c r="I359" i="16"/>
  <c r="A360" i="16"/>
  <c r="B360" i="16"/>
  <c r="C360" i="16"/>
  <c r="D360" i="16"/>
  <c r="E360" i="16"/>
  <c r="F360" i="16"/>
  <c r="G360" i="16"/>
  <c r="J360" i="16" s="1"/>
  <c r="I360" i="16"/>
  <c r="A361" i="16"/>
  <c r="B361" i="16"/>
  <c r="C361" i="16"/>
  <c r="D361" i="16"/>
  <c r="E361" i="16"/>
  <c r="F361" i="16"/>
  <c r="G361" i="16"/>
  <c r="J361" i="16" s="1"/>
  <c r="I361" i="16"/>
  <c r="A362" i="16"/>
  <c r="B362" i="16"/>
  <c r="C362" i="16"/>
  <c r="D362" i="16"/>
  <c r="E362" i="16"/>
  <c r="F362" i="16"/>
  <c r="G362" i="16"/>
  <c r="J362" i="16" s="1"/>
  <c r="I362" i="16"/>
  <c r="A363" i="16"/>
  <c r="B363" i="16"/>
  <c r="C363" i="16"/>
  <c r="D363" i="16"/>
  <c r="E363" i="16"/>
  <c r="F363" i="16"/>
  <c r="G363" i="16"/>
  <c r="J363" i="16" s="1"/>
  <c r="I363" i="16"/>
  <c r="A364" i="16"/>
  <c r="B364" i="16"/>
  <c r="C364" i="16"/>
  <c r="D364" i="16"/>
  <c r="E364" i="16"/>
  <c r="F364" i="16"/>
  <c r="G364" i="16"/>
  <c r="J364" i="16" s="1"/>
  <c r="I364" i="16"/>
  <c r="A365" i="16"/>
  <c r="B365" i="16"/>
  <c r="C365" i="16"/>
  <c r="D365" i="16"/>
  <c r="E365" i="16"/>
  <c r="F365" i="16"/>
  <c r="G365" i="16"/>
  <c r="J365" i="16" s="1"/>
  <c r="I365" i="16"/>
  <c r="A366" i="16"/>
  <c r="B366" i="16"/>
  <c r="C366" i="16"/>
  <c r="D366" i="16"/>
  <c r="E366" i="16"/>
  <c r="F366" i="16"/>
  <c r="G366" i="16"/>
  <c r="J366" i="16" s="1"/>
  <c r="I366" i="16"/>
  <c r="A367" i="16"/>
  <c r="B367" i="16"/>
  <c r="C367" i="16"/>
  <c r="D367" i="16"/>
  <c r="E367" i="16"/>
  <c r="F367" i="16"/>
  <c r="G367" i="16"/>
  <c r="J367" i="16" s="1"/>
  <c r="I367" i="16"/>
  <c r="A368" i="16"/>
  <c r="B368" i="16"/>
  <c r="C368" i="16"/>
  <c r="D368" i="16"/>
  <c r="E368" i="16"/>
  <c r="F368" i="16"/>
  <c r="G368" i="16"/>
  <c r="J368" i="16" s="1"/>
  <c r="I368" i="16"/>
  <c r="A369" i="16"/>
  <c r="B369" i="16"/>
  <c r="C369" i="16"/>
  <c r="D369" i="16"/>
  <c r="E369" i="16"/>
  <c r="F369" i="16"/>
  <c r="G369" i="16"/>
  <c r="J369" i="16" s="1"/>
  <c r="I369" i="16"/>
  <c r="A370" i="16"/>
  <c r="B370" i="16"/>
  <c r="C370" i="16"/>
  <c r="D370" i="16"/>
  <c r="E370" i="16"/>
  <c r="F370" i="16"/>
  <c r="G370" i="16"/>
  <c r="J370" i="16" s="1"/>
  <c r="I370" i="16"/>
  <c r="A371" i="16"/>
  <c r="B371" i="16"/>
  <c r="C371" i="16"/>
  <c r="D371" i="16"/>
  <c r="E371" i="16"/>
  <c r="F371" i="16"/>
  <c r="G371" i="16"/>
  <c r="J371" i="16" s="1"/>
  <c r="I371" i="16"/>
  <c r="A372" i="16"/>
  <c r="B372" i="16"/>
  <c r="C372" i="16"/>
  <c r="D372" i="16"/>
  <c r="E372" i="16"/>
  <c r="F372" i="16"/>
  <c r="G372" i="16"/>
  <c r="J372" i="16" s="1"/>
  <c r="I372" i="16"/>
  <c r="A373" i="16"/>
  <c r="B373" i="16"/>
  <c r="C373" i="16"/>
  <c r="D373" i="16"/>
  <c r="E373" i="16"/>
  <c r="F373" i="16"/>
  <c r="G373" i="16"/>
  <c r="J373" i="16" s="1"/>
  <c r="I373" i="16"/>
  <c r="A374" i="16"/>
  <c r="B374" i="16"/>
  <c r="C374" i="16"/>
  <c r="D374" i="16"/>
  <c r="E374" i="16"/>
  <c r="F374" i="16"/>
  <c r="G374" i="16"/>
  <c r="J374" i="16" s="1"/>
  <c r="I374" i="16"/>
  <c r="A375" i="16"/>
  <c r="B375" i="16"/>
  <c r="C375" i="16"/>
  <c r="D375" i="16"/>
  <c r="E375" i="16"/>
  <c r="F375" i="16"/>
  <c r="G375" i="16"/>
  <c r="J375" i="16" s="1"/>
  <c r="I375" i="16"/>
  <c r="A376" i="16"/>
  <c r="B376" i="16"/>
  <c r="C376" i="16"/>
  <c r="D376" i="16"/>
  <c r="E376" i="16"/>
  <c r="F376" i="16"/>
  <c r="G376" i="16"/>
  <c r="J376" i="16" s="1"/>
  <c r="I376" i="16"/>
  <c r="A377" i="16"/>
  <c r="B377" i="16"/>
  <c r="C377" i="16"/>
  <c r="D377" i="16"/>
  <c r="E377" i="16"/>
  <c r="F377" i="16"/>
  <c r="G377" i="16"/>
  <c r="J377" i="16" s="1"/>
  <c r="I377" i="16"/>
  <c r="A378" i="16"/>
  <c r="B378" i="16"/>
  <c r="C378" i="16"/>
  <c r="D378" i="16"/>
  <c r="E378" i="16"/>
  <c r="F378" i="16"/>
  <c r="G378" i="16"/>
  <c r="J378" i="16" s="1"/>
  <c r="I378" i="16"/>
  <c r="A379" i="16"/>
  <c r="B379" i="16"/>
  <c r="C379" i="16"/>
  <c r="D379" i="16"/>
  <c r="E379" i="16"/>
  <c r="F379" i="16"/>
  <c r="G379" i="16"/>
  <c r="J379" i="16" s="1"/>
  <c r="I379" i="16"/>
  <c r="A380" i="16"/>
  <c r="B380" i="16"/>
  <c r="C380" i="16"/>
  <c r="D380" i="16"/>
  <c r="E380" i="16"/>
  <c r="F380" i="16"/>
  <c r="G380" i="16"/>
  <c r="J380" i="16" s="1"/>
  <c r="I380" i="16"/>
  <c r="A381" i="16"/>
  <c r="B381" i="16"/>
  <c r="C381" i="16"/>
  <c r="D381" i="16"/>
  <c r="E381" i="16"/>
  <c r="F381" i="16"/>
  <c r="G381" i="16"/>
  <c r="J381" i="16" s="1"/>
  <c r="I381" i="16"/>
  <c r="A382" i="16"/>
  <c r="B382" i="16"/>
  <c r="C382" i="16"/>
  <c r="D382" i="16"/>
  <c r="E382" i="16"/>
  <c r="F382" i="16"/>
  <c r="G382" i="16"/>
  <c r="J382" i="16" s="1"/>
  <c r="I382" i="16"/>
  <c r="A383" i="16"/>
  <c r="B383" i="16"/>
  <c r="C383" i="16"/>
  <c r="D383" i="16"/>
  <c r="E383" i="16"/>
  <c r="F383" i="16"/>
  <c r="G383" i="16"/>
  <c r="J383" i="16" s="1"/>
  <c r="I383" i="16"/>
  <c r="A384" i="16"/>
  <c r="B384" i="16"/>
  <c r="C384" i="16"/>
  <c r="D384" i="16"/>
  <c r="E384" i="16"/>
  <c r="F384" i="16"/>
  <c r="G384" i="16"/>
  <c r="J384" i="16" s="1"/>
  <c r="I384" i="16"/>
  <c r="A385" i="16"/>
  <c r="B385" i="16"/>
  <c r="C385" i="16"/>
  <c r="D385" i="16"/>
  <c r="E385" i="16"/>
  <c r="F385" i="16"/>
  <c r="G385" i="16"/>
  <c r="J385" i="16" s="1"/>
  <c r="I385" i="16"/>
  <c r="A386" i="16"/>
  <c r="B386" i="16"/>
  <c r="C386" i="16"/>
  <c r="D386" i="16"/>
  <c r="E386" i="16"/>
  <c r="F386" i="16"/>
  <c r="G386" i="16"/>
  <c r="J386" i="16" s="1"/>
  <c r="I386" i="16"/>
  <c r="A387" i="16"/>
  <c r="B387" i="16"/>
  <c r="C387" i="16"/>
  <c r="D387" i="16"/>
  <c r="E387" i="16"/>
  <c r="F387" i="16"/>
  <c r="G387" i="16"/>
  <c r="J387" i="16" s="1"/>
  <c r="I387" i="16"/>
  <c r="A388" i="16"/>
  <c r="B388" i="16"/>
  <c r="C388" i="16"/>
  <c r="D388" i="16"/>
  <c r="E388" i="16"/>
  <c r="F388" i="16"/>
  <c r="G388" i="16"/>
  <c r="J388" i="16" s="1"/>
  <c r="I388" i="16"/>
  <c r="A389" i="16"/>
  <c r="B389" i="16"/>
  <c r="C389" i="16"/>
  <c r="D389" i="16"/>
  <c r="E389" i="16"/>
  <c r="F389" i="16"/>
  <c r="G389" i="16"/>
  <c r="J389" i="16" s="1"/>
  <c r="I389" i="16"/>
  <c r="A390" i="16"/>
  <c r="B390" i="16"/>
  <c r="C390" i="16"/>
  <c r="D390" i="16"/>
  <c r="E390" i="16"/>
  <c r="F390" i="16"/>
  <c r="G390" i="16"/>
  <c r="J390" i="16" s="1"/>
  <c r="I390" i="16"/>
  <c r="A391" i="16"/>
  <c r="B391" i="16"/>
  <c r="C391" i="16"/>
  <c r="D391" i="16"/>
  <c r="E391" i="16"/>
  <c r="F391" i="16"/>
  <c r="G391" i="16"/>
  <c r="J391" i="16" s="1"/>
  <c r="I391" i="16"/>
  <c r="A392" i="16"/>
  <c r="B392" i="16"/>
  <c r="C392" i="16"/>
  <c r="D392" i="16"/>
  <c r="E392" i="16"/>
  <c r="F392" i="16"/>
  <c r="G392" i="16"/>
  <c r="J392" i="16" s="1"/>
  <c r="I392" i="16"/>
  <c r="A393" i="16"/>
  <c r="B393" i="16"/>
  <c r="C393" i="16"/>
  <c r="D393" i="16"/>
  <c r="E393" i="16"/>
  <c r="F393" i="16"/>
  <c r="G393" i="16"/>
  <c r="J393" i="16" s="1"/>
  <c r="I393" i="16"/>
  <c r="A394" i="16"/>
  <c r="B394" i="16"/>
  <c r="C394" i="16"/>
  <c r="D394" i="16"/>
  <c r="E394" i="16"/>
  <c r="F394" i="16"/>
  <c r="G394" i="16"/>
  <c r="J394" i="16" s="1"/>
  <c r="I394" i="16"/>
  <c r="A395" i="16"/>
  <c r="B395" i="16"/>
  <c r="C395" i="16"/>
  <c r="D395" i="16"/>
  <c r="E395" i="16"/>
  <c r="F395" i="16"/>
  <c r="G395" i="16"/>
  <c r="J395" i="16" s="1"/>
  <c r="I395" i="16"/>
  <c r="A396" i="16"/>
  <c r="B396" i="16"/>
  <c r="C396" i="16"/>
  <c r="D396" i="16"/>
  <c r="E396" i="16"/>
  <c r="F396" i="16"/>
  <c r="G396" i="16"/>
  <c r="J396" i="16" s="1"/>
  <c r="I396" i="16"/>
  <c r="A397" i="16"/>
  <c r="B397" i="16"/>
  <c r="C397" i="16"/>
  <c r="D397" i="16"/>
  <c r="E397" i="16"/>
  <c r="F397" i="16"/>
  <c r="G397" i="16"/>
  <c r="J397" i="16" s="1"/>
  <c r="I397" i="16"/>
  <c r="A398" i="16"/>
  <c r="B398" i="16"/>
  <c r="C398" i="16"/>
  <c r="D398" i="16"/>
  <c r="E398" i="16"/>
  <c r="F398" i="16"/>
  <c r="G398" i="16"/>
  <c r="J398" i="16" s="1"/>
  <c r="I398" i="16"/>
  <c r="A399" i="16"/>
  <c r="B399" i="16"/>
  <c r="C399" i="16"/>
  <c r="D399" i="16"/>
  <c r="E399" i="16"/>
  <c r="F399" i="16"/>
  <c r="G399" i="16"/>
  <c r="J399" i="16" s="1"/>
  <c r="I399" i="16"/>
  <c r="A400" i="16"/>
  <c r="B400" i="16"/>
  <c r="C400" i="16"/>
  <c r="D400" i="16"/>
  <c r="E400" i="16"/>
  <c r="F400" i="16"/>
  <c r="G400" i="16"/>
  <c r="J400" i="16" s="1"/>
  <c r="I400" i="16"/>
  <c r="A401" i="16"/>
  <c r="B401" i="16"/>
  <c r="C401" i="16"/>
  <c r="D401" i="16"/>
  <c r="E401" i="16"/>
  <c r="F401" i="16"/>
  <c r="G401" i="16"/>
  <c r="J401" i="16" s="1"/>
  <c r="I401" i="16"/>
  <c r="A402" i="16"/>
  <c r="B402" i="16"/>
  <c r="C402" i="16"/>
  <c r="D402" i="16"/>
  <c r="E402" i="16"/>
  <c r="F402" i="16"/>
  <c r="G402" i="16"/>
  <c r="J402" i="16" s="1"/>
  <c r="I402" i="16"/>
  <c r="A403" i="16"/>
  <c r="B403" i="16"/>
  <c r="C403" i="16"/>
  <c r="D403" i="16"/>
  <c r="E403" i="16"/>
  <c r="F403" i="16"/>
  <c r="G403" i="16"/>
  <c r="J403" i="16" s="1"/>
  <c r="I403" i="16"/>
  <c r="A404" i="16"/>
  <c r="B404" i="16"/>
  <c r="C404" i="16"/>
  <c r="D404" i="16"/>
  <c r="E404" i="16"/>
  <c r="F404" i="16"/>
  <c r="G404" i="16"/>
  <c r="J404" i="16" s="1"/>
  <c r="I404" i="16"/>
  <c r="A405" i="16"/>
  <c r="B405" i="16"/>
  <c r="C405" i="16"/>
  <c r="D405" i="16"/>
  <c r="E405" i="16"/>
  <c r="F405" i="16"/>
  <c r="G405" i="16"/>
  <c r="J405" i="16" s="1"/>
  <c r="I405" i="16"/>
  <c r="A406" i="16"/>
  <c r="B406" i="16"/>
  <c r="C406" i="16"/>
  <c r="D406" i="16"/>
  <c r="E406" i="16"/>
  <c r="F406" i="16"/>
  <c r="G406" i="16"/>
  <c r="J406" i="16" s="1"/>
  <c r="I406" i="16"/>
  <c r="A407" i="16"/>
  <c r="B407" i="16"/>
  <c r="C407" i="16"/>
  <c r="D407" i="16"/>
  <c r="E407" i="16"/>
  <c r="F407" i="16"/>
  <c r="G407" i="16"/>
  <c r="J407" i="16" s="1"/>
  <c r="I407" i="16"/>
  <c r="A408" i="16"/>
  <c r="B408" i="16"/>
  <c r="C408" i="16"/>
  <c r="D408" i="16"/>
  <c r="E408" i="16"/>
  <c r="F408" i="16"/>
  <c r="G408" i="16"/>
  <c r="J408" i="16" s="1"/>
  <c r="I408" i="16"/>
  <c r="A409" i="16"/>
  <c r="B409" i="16"/>
  <c r="C409" i="16"/>
  <c r="D409" i="16"/>
  <c r="E409" i="16"/>
  <c r="F409" i="16"/>
  <c r="G409" i="16"/>
  <c r="J409" i="16" s="1"/>
  <c r="I409" i="16"/>
  <c r="A410" i="16"/>
  <c r="B410" i="16"/>
  <c r="C410" i="16"/>
  <c r="D410" i="16"/>
  <c r="E410" i="16"/>
  <c r="F410" i="16"/>
  <c r="G410" i="16"/>
  <c r="J410" i="16" s="1"/>
  <c r="I410" i="16"/>
  <c r="A411" i="16"/>
  <c r="B411" i="16"/>
  <c r="C411" i="16"/>
  <c r="D411" i="16"/>
  <c r="E411" i="16"/>
  <c r="F411" i="16"/>
  <c r="G411" i="16"/>
  <c r="J411" i="16" s="1"/>
  <c r="I411" i="16"/>
  <c r="A412" i="16"/>
  <c r="B412" i="16"/>
  <c r="C412" i="16"/>
  <c r="D412" i="16"/>
  <c r="E412" i="16"/>
  <c r="F412" i="16"/>
  <c r="G412" i="16"/>
  <c r="J412" i="16" s="1"/>
  <c r="I412" i="16"/>
  <c r="A413" i="16"/>
  <c r="B413" i="16"/>
  <c r="C413" i="16"/>
  <c r="D413" i="16"/>
  <c r="E413" i="16"/>
  <c r="F413" i="16"/>
  <c r="G413" i="16"/>
  <c r="J413" i="16" s="1"/>
  <c r="I413" i="16"/>
  <c r="A414" i="16"/>
  <c r="B414" i="16"/>
  <c r="C414" i="16"/>
  <c r="D414" i="16"/>
  <c r="E414" i="16"/>
  <c r="F414" i="16"/>
  <c r="G414" i="16"/>
  <c r="J414" i="16" s="1"/>
  <c r="I414" i="16"/>
  <c r="A415" i="16"/>
  <c r="B415" i="16"/>
  <c r="C415" i="16"/>
  <c r="D415" i="16"/>
  <c r="E415" i="16"/>
  <c r="F415" i="16"/>
  <c r="G415" i="16"/>
  <c r="J415" i="16" s="1"/>
  <c r="I415" i="16"/>
  <c r="A416" i="16"/>
  <c r="B416" i="16"/>
  <c r="C416" i="16"/>
  <c r="D416" i="16"/>
  <c r="E416" i="16"/>
  <c r="F416" i="16"/>
  <c r="G416" i="16"/>
  <c r="J416" i="16" s="1"/>
  <c r="I416" i="16"/>
  <c r="A417" i="16"/>
  <c r="B417" i="16"/>
  <c r="C417" i="16"/>
  <c r="D417" i="16"/>
  <c r="E417" i="16"/>
  <c r="F417" i="16"/>
  <c r="G417" i="16"/>
  <c r="J417" i="16" s="1"/>
  <c r="I417" i="16"/>
  <c r="A418" i="16"/>
  <c r="B418" i="16"/>
  <c r="C418" i="16"/>
  <c r="D418" i="16"/>
  <c r="E418" i="16"/>
  <c r="F418" i="16"/>
  <c r="G418" i="16"/>
  <c r="J418" i="16" s="1"/>
  <c r="I418" i="16"/>
  <c r="A419" i="16"/>
  <c r="B419" i="16"/>
  <c r="C419" i="16"/>
  <c r="D419" i="16"/>
  <c r="E419" i="16"/>
  <c r="F419" i="16"/>
  <c r="G419" i="16"/>
  <c r="J419" i="16" s="1"/>
  <c r="I419" i="16"/>
  <c r="A420" i="16"/>
  <c r="B420" i="16"/>
  <c r="C420" i="16"/>
  <c r="D420" i="16"/>
  <c r="E420" i="16"/>
  <c r="F420" i="16"/>
  <c r="G420" i="16"/>
  <c r="J420" i="16" s="1"/>
  <c r="I420" i="16"/>
  <c r="A421" i="16"/>
  <c r="B421" i="16"/>
  <c r="C421" i="16"/>
  <c r="D421" i="16"/>
  <c r="E421" i="16"/>
  <c r="F421" i="16"/>
  <c r="G421" i="16"/>
  <c r="J421" i="16" s="1"/>
  <c r="I421" i="16"/>
  <c r="A422" i="16"/>
  <c r="B422" i="16"/>
  <c r="C422" i="16"/>
  <c r="D422" i="16"/>
  <c r="E422" i="16"/>
  <c r="F422" i="16"/>
  <c r="G422" i="16"/>
  <c r="J422" i="16" s="1"/>
  <c r="I422" i="16"/>
  <c r="A423" i="16"/>
  <c r="B423" i="16"/>
  <c r="C423" i="16"/>
  <c r="D423" i="16"/>
  <c r="E423" i="16"/>
  <c r="F423" i="16"/>
  <c r="G423" i="16"/>
  <c r="J423" i="16" s="1"/>
  <c r="I423" i="16"/>
  <c r="A424" i="16"/>
  <c r="B424" i="16"/>
  <c r="C424" i="16"/>
  <c r="D424" i="16"/>
  <c r="E424" i="16"/>
  <c r="F424" i="16"/>
  <c r="G424" i="16"/>
  <c r="J424" i="16" s="1"/>
  <c r="I424" i="16"/>
  <c r="A425" i="16"/>
  <c r="B425" i="16"/>
  <c r="C425" i="16"/>
  <c r="D425" i="16"/>
  <c r="E425" i="16"/>
  <c r="F425" i="16"/>
  <c r="G425" i="16"/>
  <c r="J425" i="16" s="1"/>
  <c r="I425" i="16"/>
  <c r="A426" i="16"/>
  <c r="B426" i="16"/>
  <c r="C426" i="16"/>
  <c r="D426" i="16"/>
  <c r="E426" i="16"/>
  <c r="F426" i="16"/>
  <c r="G426" i="16"/>
  <c r="J426" i="16" s="1"/>
  <c r="I426" i="16"/>
  <c r="A427" i="16"/>
  <c r="B427" i="16"/>
  <c r="C427" i="16"/>
  <c r="D427" i="16"/>
  <c r="E427" i="16"/>
  <c r="F427" i="16"/>
  <c r="G427" i="16"/>
  <c r="J427" i="16" s="1"/>
  <c r="I427" i="16"/>
  <c r="A428" i="16"/>
  <c r="B428" i="16"/>
  <c r="C428" i="16"/>
  <c r="D428" i="16"/>
  <c r="E428" i="16"/>
  <c r="F428" i="16"/>
  <c r="G428" i="16"/>
  <c r="J428" i="16" s="1"/>
  <c r="I428" i="16"/>
  <c r="A429" i="16"/>
  <c r="B429" i="16"/>
  <c r="C429" i="16"/>
  <c r="D429" i="16"/>
  <c r="E429" i="16"/>
  <c r="F429" i="16"/>
  <c r="G429" i="16"/>
  <c r="J429" i="16" s="1"/>
  <c r="I429" i="16"/>
  <c r="A430" i="16"/>
  <c r="B430" i="16"/>
  <c r="C430" i="16"/>
  <c r="D430" i="16"/>
  <c r="E430" i="16"/>
  <c r="F430" i="16"/>
  <c r="G430" i="16"/>
  <c r="J430" i="16" s="1"/>
  <c r="I430" i="16"/>
  <c r="A431" i="16"/>
  <c r="B431" i="16"/>
  <c r="C431" i="16"/>
  <c r="D431" i="16"/>
  <c r="E431" i="16"/>
  <c r="F431" i="16"/>
  <c r="G431" i="16"/>
  <c r="J431" i="16" s="1"/>
  <c r="I431" i="16"/>
  <c r="A432" i="16"/>
  <c r="B432" i="16"/>
  <c r="C432" i="16"/>
  <c r="D432" i="16"/>
  <c r="E432" i="16"/>
  <c r="F432" i="16"/>
  <c r="G432" i="16"/>
  <c r="J432" i="16" s="1"/>
  <c r="I432" i="16"/>
  <c r="A433" i="16"/>
  <c r="B433" i="16"/>
  <c r="C433" i="16"/>
  <c r="D433" i="16"/>
  <c r="E433" i="16"/>
  <c r="F433" i="16"/>
  <c r="G433" i="16"/>
  <c r="J433" i="16" s="1"/>
  <c r="I433" i="16"/>
  <c r="A434" i="16"/>
  <c r="B434" i="16"/>
  <c r="C434" i="16"/>
  <c r="D434" i="16"/>
  <c r="E434" i="16"/>
  <c r="F434" i="16"/>
  <c r="G434" i="16"/>
  <c r="J434" i="16" s="1"/>
  <c r="I434" i="16"/>
  <c r="A435" i="16"/>
  <c r="B435" i="16"/>
  <c r="C435" i="16"/>
  <c r="D435" i="16"/>
  <c r="E435" i="16"/>
  <c r="F435" i="16"/>
  <c r="G435" i="16"/>
  <c r="J435" i="16" s="1"/>
  <c r="I435" i="16"/>
  <c r="A436" i="16"/>
  <c r="B436" i="16"/>
  <c r="C436" i="16"/>
  <c r="D436" i="16"/>
  <c r="E436" i="16"/>
  <c r="F436" i="16"/>
  <c r="G436" i="16"/>
  <c r="J436" i="16" s="1"/>
  <c r="I436" i="16"/>
  <c r="A437" i="16"/>
  <c r="B437" i="16"/>
  <c r="C437" i="16"/>
  <c r="D437" i="16"/>
  <c r="E437" i="16"/>
  <c r="F437" i="16"/>
  <c r="G437" i="16"/>
  <c r="J437" i="16" s="1"/>
  <c r="I437" i="16"/>
  <c r="A438" i="16"/>
  <c r="B438" i="16"/>
  <c r="C438" i="16"/>
  <c r="D438" i="16"/>
  <c r="E438" i="16"/>
  <c r="F438" i="16"/>
  <c r="G438" i="16"/>
  <c r="J438" i="16" s="1"/>
  <c r="I438" i="16"/>
  <c r="A439" i="16"/>
  <c r="B439" i="16"/>
  <c r="C439" i="16"/>
  <c r="D439" i="16"/>
  <c r="E439" i="16"/>
  <c r="F439" i="16"/>
  <c r="G439" i="16"/>
  <c r="J439" i="16" s="1"/>
  <c r="I439" i="16"/>
  <c r="A440" i="16"/>
  <c r="B440" i="16"/>
  <c r="C440" i="16"/>
  <c r="D440" i="16"/>
  <c r="E440" i="16"/>
  <c r="F440" i="16"/>
  <c r="G440" i="16"/>
  <c r="J440" i="16" s="1"/>
  <c r="I440" i="16"/>
  <c r="A441" i="16"/>
  <c r="B441" i="16"/>
  <c r="C441" i="16"/>
  <c r="D441" i="16"/>
  <c r="E441" i="16"/>
  <c r="F441" i="16"/>
  <c r="G441" i="16"/>
  <c r="J441" i="16" s="1"/>
  <c r="I441" i="16"/>
  <c r="A442" i="16"/>
  <c r="B442" i="16"/>
  <c r="C442" i="16"/>
  <c r="D442" i="16"/>
  <c r="E442" i="16"/>
  <c r="F442" i="16"/>
  <c r="G442" i="16"/>
  <c r="J442" i="16" s="1"/>
  <c r="I442" i="16"/>
  <c r="A443" i="16"/>
  <c r="B443" i="16"/>
  <c r="C443" i="16"/>
  <c r="D443" i="16"/>
  <c r="E443" i="16"/>
  <c r="F443" i="16"/>
  <c r="G443" i="16"/>
  <c r="J443" i="16" s="1"/>
  <c r="I443" i="16"/>
  <c r="A444" i="16"/>
  <c r="B444" i="16"/>
  <c r="C444" i="16"/>
  <c r="D444" i="16"/>
  <c r="E444" i="16"/>
  <c r="F444" i="16"/>
  <c r="G444" i="16"/>
  <c r="J444" i="16" s="1"/>
  <c r="I444" i="16"/>
  <c r="A445" i="16"/>
  <c r="B445" i="16"/>
  <c r="C445" i="16"/>
  <c r="D445" i="16"/>
  <c r="E445" i="16"/>
  <c r="F445" i="16"/>
  <c r="G445" i="16"/>
  <c r="J445" i="16" s="1"/>
  <c r="I445" i="16"/>
  <c r="A446" i="16"/>
  <c r="B446" i="16"/>
  <c r="C446" i="16"/>
  <c r="D446" i="16"/>
  <c r="E446" i="16"/>
  <c r="F446" i="16"/>
  <c r="G446" i="16"/>
  <c r="J446" i="16" s="1"/>
  <c r="I446" i="16"/>
  <c r="A447" i="16"/>
  <c r="B447" i="16"/>
  <c r="C447" i="16"/>
  <c r="D447" i="16"/>
  <c r="E447" i="16"/>
  <c r="F447" i="16"/>
  <c r="G447" i="16"/>
  <c r="J447" i="16" s="1"/>
  <c r="I447" i="16"/>
  <c r="A448" i="16"/>
  <c r="B448" i="16"/>
  <c r="C448" i="16"/>
  <c r="D448" i="16"/>
  <c r="E448" i="16"/>
  <c r="F448" i="16"/>
  <c r="G448" i="16"/>
  <c r="J448" i="16" s="1"/>
  <c r="I448" i="16"/>
  <c r="A449" i="16"/>
  <c r="B449" i="16"/>
  <c r="C449" i="16"/>
  <c r="D449" i="16"/>
  <c r="E449" i="16"/>
  <c r="F449" i="16"/>
  <c r="G449" i="16"/>
  <c r="J449" i="16" s="1"/>
  <c r="I449" i="16"/>
  <c r="A450" i="16"/>
  <c r="B450" i="16"/>
  <c r="C450" i="16"/>
  <c r="D450" i="16"/>
  <c r="E450" i="16"/>
  <c r="F450" i="16"/>
  <c r="G450" i="16"/>
  <c r="J450" i="16" s="1"/>
  <c r="I450" i="16"/>
  <c r="A451" i="16"/>
  <c r="B451" i="16"/>
  <c r="C451" i="16"/>
  <c r="D451" i="16"/>
  <c r="E451" i="16"/>
  <c r="F451" i="16"/>
  <c r="G451" i="16"/>
  <c r="J451" i="16" s="1"/>
  <c r="I451" i="16"/>
  <c r="A452" i="16"/>
  <c r="B452" i="16"/>
  <c r="C452" i="16"/>
  <c r="D452" i="16"/>
  <c r="E452" i="16"/>
  <c r="F452" i="16"/>
  <c r="G452" i="16"/>
  <c r="J452" i="16" s="1"/>
  <c r="I452" i="16"/>
  <c r="A453" i="16"/>
  <c r="B453" i="16"/>
  <c r="C453" i="16"/>
  <c r="D453" i="16"/>
  <c r="E453" i="16"/>
  <c r="F453" i="16"/>
  <c r="G453" i="16"/>
  <c r="J453" i="16" s="1"/>
  <c r="I453" i="16"/>
  <c r="A454" i="16"/>
  <c r="B454" i="16"/>
  <c r="C454" i="16"/>
  <c r="D454" i="16"/>
  <c r="E454" i="16"/>
  <c r="F454" i="16"/>
  <c r="G454" i="16"/>
  <c r="J454" i="16" s="1"/>
  <c r="I454" i="16"/>
  <c r="A455" i="16"/>
  <c r="B455" i="16"/>
  <c r="C455" i="16"/>
  <c r="D455" i="16"/>
  <c r="E455" i="16"/>
  <c r="F455" i="16"/>
  <c r="G455" i="16"/>
  <c r="J455" i="16" s="1"/>
  <c r="I455" i="16"/>
  <c r="A456" i="16"/>
  <c r="B456" i="16"/>
  <c r="C456" i="16"/>
  <c r="D456" i="16"/>
  <c r="E456" i="16"/>
  <c r="F456" i="16"/>
  <c r="G456" i="16"/>
  <c r="J456" i="16" s="1"/>
  <c r="I456" i="16"/>
  <c r="A457" i="16"/>
  <c r="B457" i="16"/>
  <c r="C457" i="16"/>
  <c r="D457" i="16"/>
  <c r="E457" i="16"/>
  <c r="F457" i="16"/>
  <c r="G457" i="16"/>
  <c r="J457" i="16" s="1"/>
  <c r="I457" i="16"/>
  <c r="A458" i="16"/>
  <c r="B458" i="16"/>
  <c r="C458" i="16"/>
  <c r="D458" i="16"/>
  <c r="E458" i="16"/>
  <c r="F458" i="16"/>
  <c r="G458" i="16"/>
  <c r="J458" i="16" s="1"/>
  <c r="I458" i="16"/>
  <c r="A459" i="16"/>
  <c r="B459" i="16"/>
  <c r="C459" i="16"/>
  <c r="D459" i="16"/>
  <c r="E459" i="16"/>
  <c r="F459" i="16"/>
  <c r="G459" i="16"/>
  <c r="J459" i="16" s="1"/>
  <c r="I459" i="16"/>
  <c r="A460" i="16"/>
  <c r="B460" i="16"/>
  <c r="C460" i="16"/>
  <c r="D460" i="16"/>
  <c r="E460" i="16"/>
  <c r="F460" i="16"/>
  <c r="G460" i="16"/>
  <c r="J460" i="16" s="1"/>
  <c r="I460" i="16"/>
  <c r="A461" i="16"/>
  <c r="B461" i="16"/>
  <c r="C461" i="16"/>
  <c r="D461" i="16"/>
  <c r="E461" i="16"/>
  <c r="F461" i="16"/>
  <c r="G461" i="16"/>
  <c r="J461" i="16" s="1"/>
  <c r="I461" i="16"/>
  <c r="A462" i="16"/>
  <c r="B462" i="16"/>
  <c r="C462" i="16"/>
  <c r="D462" i="16"/>
  <c r="E462" i="16"/>
  <c r="F462" i="16"/>
  <c r="G462" i="16"/>
  <c r="J462" i="16" s="1"/>
  <c r="I462" i="16"/>
  <c r="A463" i="16"/>
  <c r="B463" i="16"/>
  <c r="C463" i="16"/>
  <c r="D463" i="16"/>
  <c r="E463" i="16"/>
  <c r="F463" i="16"/>
  <c r="G463" i="16"/>
  <c r="J463" i="16" s="1"/>
  <c r="I463" i="16"/>
  <c r="A464" i="16"/>
  <c r="B464" i="16"/>
  <c r="C464" i="16"/>
  <c r="D464" i="16"/>
  <c r="E464" i="16"/>
  <c r="F464" i="16"/>
  <c r="G464" i="16"/>
  <c r="J464" i="16" s="1"/>
  <c r="I464" i="16"/>
  <c r="A465" i="16"/>
  <c r="B465" i="16"/>
  <c r="C465" i="16"/>
  <c r="D465" i="16"/>
  <c r="E465" i="16"/>
  <c r="F465" i="16"/>
  <c r="G465" i="16"/>
  <c r="J465" i="16" s="1"/>
  <c r="I465" i="16"/>
  <c r="A466" i="16"/>
  <c r="B466" i="16"/>
  <c r="C466" i="16"/>
  <c r="D466" i="16"/>
  <c r="E466" i="16"/>
  <c r="F466" i="16"/>
  <c r="G466" i="16"/>
  <c r="J466" i="16" s="1"/>
  <c r="I466" i="16"/>
  <c r="A467" i="16"/>
  <c r="B467" i="16"/>
  <c r="C467" i="16"/>
  <c r="D467" i="16"/>
  <c r="E467" i="16"/>
  <c r="F467" i="16"/>
  <c r="G467" i="16"/>
  <c r="J467" i="16" s="1"/>
  <c r="I467" i="16"/>
  <c r="A468" i="16"/>
  <c r="B468" i="16"/>
  <c r="C468" i="16"/>
  <c r="D468" i="16"/>
  <c r="E468" i="16"/>
  <c r="F468" i="16"/>
  <c r="G468" i="16"/>
  <c r="J468" i="16" s="1"/>
  <c r="I468" i="16"/>
  <c r="A469" i="16"/>
  <c r="B469" i="16"/>
  <c r="C469" i="16"/>
  <c r="D469" i="16"/>
  <c r="E469" i="16"/>
  <c r="F469" i="16"/>
  <c r="G469" i="16"/>
  <c r="J469" i="16" s="1"/>
  <c r="I469" i="16"/>
  <c r="A470" i="16"/>
  <c r="B470" i="16"/>
  <c r="C470" i="16"/>
  <c r="D470" i="16"/>
  <c r="E470" i="16"/>
  <c r="F470" i="16"/>
  <c r="G470" i="16"/>
  <c r="J470" i="16" s="1"/>
  <c r="I470" i="16"/>
  <c r="A471" i="16"/>
  <c r="B471" i="16"/>
  <c r="C471" i="16"/>
  <c r="D471" i="16"/>
  <c r="E471" i="16"/>
  <c r="F471" i="16"/>
  <c r="G471" i="16"/>
  <c r="J471" i="16" s="1"/>
  <c r="I471" i="16"/>
  <c r="A472" i="16"/>
  <c r="B472" i="16"/>
  <c r="C472" i="16"/>
  <c r="D472" i="16"/>
  <c r="E472" i="16"/>
  <c r="F472" i="16"/>
  <c r="G472" i="16"/>
  <c r="J472" i="16" s="1"/>
  <c r="I472" i="16"/>
  <c r="A473" i="16"/>
  <c r="B473" i="16"/>
  <c r="C473" i="16"/>
  <c r="D473" i="16"/>
  <c r="E473" i="16"/>
  <c r="F473" i="16"/>
  <c r="G473" i="16"/>
  <c r="J473" i="16" s="1"/>
  <c r="I473" i="16"/>
  <c r="A474" i="16"/>
  <c r="B474" i="16"/>
  <c r="C474" i="16"/>
  <c r="D474" i="16"/>
  <c r="E474" i="16"/>
  <c r="F474" i="16"/>
  <c r="G474" i="16"/>
  <c r="J474" i="16" s="1"/>
  <c r="I474" i="16"/>
  <c r="A475" i="16"/>
  <c r="B475" i="16"/>
  <c r="C475" i="16"/>
  <c r="D475" i="16"/>
  <c r="E475" i="16"/>
  <c r="F475" i="16"/>
  <c r="G475" i="16"/>
  <c r="J475" i="16" s="1"/>
  <c r="I475" i="16"/>
  <c r="A476" i="16"/>
  <c r="B476" i="16"/>
  <c r="C476" i="16"/>
  <c r="D476" i="16"/>
  <c r="E476" i="16"/>
  <c r="F476" i="16"/>
  <c r="G476" i="16"/>
  <c r="J476" i="16" s="1"/>
  <c r="I476" i="16"/>
  <c r="A477" i="16"/>
  <c r="B477" i="16"/>
  <c r="C477" i="16"/>
  <c r="D477" i="16"/>
  <c r="E477" i="16"/>
  <c r="F477" i="16"/>
  <c r="G477" i="16"/>
  <c r="J477" i="16" s="1"/>
  <c r="I477" i="16"/>
  <c r="A478" i="16"/>
  <c r="B478" i="16"/>
  <c r="C478" i="16"/>
  <c r="D478" i="16"/>
  <c r="E478" i="16"/>
  <c r="F478" i="16"/>
  <c r="G478" i="16"/>
  <c r="J478" i="16" s="1"/>
  <c r="I478" i="16"/>
  <c r="A479" i="16"/>
  <c r="B479" i="16"/>
  <c r="C479" i="16"/>
  <c r="D479" i="16"/>
  <c r="E479" i="16"/>
  <c r="F479" i="16"/>
  <c r="G479" i="16"/>
  <c r="J479" i="16" s="1"/>
  <c r="I479" i="16"/>
  <c r="A480" i="16"/>
  <c r="B480" i="16"/>
  <c r="C480" i="16"/>
  <c r="D480" i="16"/>
  <c r="E480" i="16"/>
  <c r="F480" i="16"/>
  <c r="G480" i="16"/>
  <c r="J480" i="16" s="1"/>
  <c r="I480" i="16"/>
  <c r="A481" i="16"/>
  <c r="B481" i="16"/>
  <c r="C481" i="16"/>
  <c r="D481" i="16"/>
  <c r="E481" i="16"/>
  <c r="F481" i="16"/>
  <c r="G481" i="16"/>
  <c r="J481" i="16" s="1"/>
  <c r="I481" i="16"/>
  <c r="A482" i="16"/>
  <c r="B482" i="16"/>
  <c r="C482" i="16"/>
  <c r="D482" i="16"/>
  <c r="E482" i="16"/>
  <c r="F482" i="16"/>
  <c r="G482" i="16"/>
  <c r="J482" i="16" s="1"/>
  <c r="I482" i="16"/>
  <c r="A483" i="16"/>
  <c r="B483" i="16"/>
  <c r="C483" i="16"/>
  <c r="D483" i="16"/>
  <c r="E483" i="16"/>
  <c r="F483" i="16"/>
  <c r="G483" i="16"/>
  <c r="J483" i="16" s="1"/>
  <c r="I483" i="16"/>
  <c r="A484" i="16"/>
  <c r="B484" i="16"/>
  <c r="C484" i="16"/>
  <c r="D484" i="16"/>
  <c r="E484" i="16"/>
  <c r="F484" i="16"/>
  <c r="G484" i="16"/>
  <c r="J484" i="16" s="1"/>
  <c r="I484" i="16"/>
  <c r="A485" i="16"/>
  <c r="B485" i="16"/>
  <c r="C485" i="16"/>
  <c r="D485" i="16"/>
  <c r="E485" i="16"/>
  <c r="F485" i="16"/>
  <c r="G485" i="16"/>
  <c r="J485" i="16" s="1"/>
  <c r="I485" i="16"/>
  <c r="A486" i="16"/>
  <c r="B486" i="16"/>
  <c r="C486" i="16"/>
  <c r="D486" i="16"/>
  <c r="E486" i="16"/>
  <c r="F486" i="16"/>
  <c r="G486" i="16"/>
  <c r="J486" i="16" s="1"/>
  <c r="I486" i="16"/>
  <c r="A487" i="16"/>
  <c r="B487" i="16"/>
  <c r="C487" i="16"/>
  <c r="D487" i="16"/>
  <c r="E487" i="16"/>
  <c r="F487" i="16"/>
  <c r="G487" i="16"/>
  <c r="J487" i="16" s="1"/>
  <c r="I487" i="16"/>
  <c r="A488" i="16"/>
  <c r="B488" i="16"/>
  <c r="C488" i="16"/>
  <c r="D488" i="16"/>
  <c r="E488" i="16"/>
  <c r="F488" i="16"/>
  <c r="G488" i="16"/>
  <c r="J488" i="16" s="1"/>
  <c r="I488" i="16"/>
  <c r="A489" i="16"/>
  <c r="B489" i="16"/>
  <c r="C489" i="16"/>
  <c r="D489" i="16"/>
  <c r="E489" i="16"/>
  <c r="F489" i="16"/>
  <c r="G489" i="16"/>
  <c r="J489" i="16" s="1"/>
  <c r="I489" i="16"/>
  <c r="A490" i="16"/>
  <c r="B490" i="16"/>
  <c r="C490" i="16"/>
  <c r="D490" i="16"/>
  <c r="E490" i="16"/>
  <c r="F490" i="16"/>
  <c r="G490" i="16"/>
  <c r="J490" i="16" s="1"/>
  <c r="I490" i="16"/>
  <c r="A491" i="16"/>
  <c r="B491" i="16"/>
  <c r="C491" i="16"/>
  <c r="D491" i="16"/>
  <c r="E491" i="16"/>
  <c r="F491" i="16"/>
  <c r="G491" i="16"/>
  <c r="J491" i="16" s="1"/>
  <c r="I491" i="16"/>
  <c r="A492" i="16"/>
  <c r="B492" i="16"/>
  <c r="C492" i="16"/>
  <c r="D492" i="16"/>
  <c r="E492" i="16"/>
  <c r="F492" i="16"/>
  <c r="G492" i="16"/>
  <c r="J492" i="16" s="1"/>
  <c r="I492" i="16"/>
  <c r="A493" i="16"/>
  <c r="B493" i="16"/>
  <c r="C493" i="16"/>
  <c r="D493" i="16"/>
  <c r="E493" i="16"/>
  <c r="F493" i="16"/>
  <c r="G493" i="16"/>
  <c r="J493" i="16" s="1"/>
  <c r="I493" i="16"/>
  <c r="A494" i="16"/>
  <c r="B494" i="16"/>
  <c r="C494" i="16"/>
  <c r="D494" i="16"/>
  <c r="E494" i="16"/>
  <c r="F494" i="16"/>
  <c r="G494" i="16"/>
  <c r="J494" i="16" s="1"/>
  <c r="I494" i="16"/>
  <c r="A495" i="16"/>
  <c r="B495" i="16"/>
  <c r="C495" i="16"/>
  <c r="D495" i="16"/>
  <c r="E495" i="16"/>
  <c r="F495" i="16"/>
  <c r="G495" i="16"/>
  <c r="J495" i="16" s="1"/>
  <c r="I495" i="16"/>
  <c r="A496" i="16"/>
  <c r="B496" i="16"/>
  <c r="C496" i="16"/>
  <c r="D496" i="16"/>
  <c r="E496" i="16"/>
  <c r="F496" i="16"/>
  <c r="G496" i="16"/>
  <c r="J496" i="16" s="1"/>
  <c r="I496" i="16"/>
  <c r="A497" i="16"/>
  <c r="B497" i="16"/>
  <c r="C497" i="16"/>
  <c r="D497" i="16"/>
  <c r="E497" i="16"/>
  <c r="F497" i="16"/>
  <c r="G497" i="16"/>
  <c r="J497" i="16" s="1"/>
  <c r="I497" i="16"/>
  <c r="A498" i="16"/>
  <c r="B498" i="16"/>
  <c r="C498" i="16"/>
  <c r="D498" i="16"/>
  <c r="E498" i="16"/>
  <c r="F498" i="16"/>
  <c r="G498" i="16"/>
  <c r="J498" i="16" s="1"/>
  <c r="I498" i="16"/>
  <c r="A499" i="16"/>
  <c r="B499" i="16"/>
  <c r="C499" i="16"/>
  <c r="D499" i="16"/>
  <c r="E499" i="16"/>
  <c r="F499" i="16"/>
  <c r="G499" i="16"/>
  <c r="J499" i="16" s="1"/>
  <c r="I499" i="16"/>
  <c r="A500" i="16"/>
  <c r="B500" i="16"/>
  <c r="C500" i="16"/>
  <c r="D500" i="16"/>
  <c r="E500" i="16"/>
  <c r="F500" i="16"/>
  <c r="G500" i="16"/>
  <c r="J500" i="16" s="1"/>
  <c r="I500" i="16"/>
  <c r="A501" i="16"/>
  <c r="B501" i="16"/>
  <c r="C501" i="16"/>
  <c r="D501" i="16"/>
  <c r="E501" i="16"/>
  <c r="F501" i="16"/>
  <c r="G501" i="16"/>
  <c r="J501" i="16" s="1"/>
  <c r="I501" i="16"/>
  <c r="A502" i="16"/>
  <c r="B502" i="16"/>
  <c r="C502" i="16"/>
  <c r="D502" i="16"/>
  <c r="E502" i="16"/>
  <c r="F502" i="16"/>
  <c r="G502" i="16"/>
  <c r="J502" i="16" s="1"/>
  <c r="I502" i="16"/>
  <c r="A503" i="16"/>
  <c r="B503" i="16"/>
  <c r="C503" i="16"/>
  <c r="D503" i="16"/>
  <c r="E503" i="16"/>
  <c r="F503" i="16"/>
  <c r="G503" i="16"/>
  <c r="J503" i="16" s="1"/>
  <c r="I503" i="16"/>
  <c r="A504" i="16"/>
  <c r="B504" i="16"/>
  <c r="C504" i="16"/>
  <c r="D504" i="16"/>
  <c r="E504" i="16"/>
  <c r="F504" i="16"/>
  <c r="G504" i="16"/>
  <c r="J504" i="16" s="1"/>
  <c r="I504" i="16"/>
  <c r="A505" i="16"/>
  <c r="B505" i="16"/>
  <c r="C505" i="16"/>
  <c r="D505" i="16"/>
  <c r="E505" i="16"/>
  <c r="F505" i="16"/>
  <c r="G505" i="16"/>
  <c r="J505" i="16" s="1"/>
  <c r="I505" i="16"/>
  <c r="A506" i="16"/>
  <c r="B506" i="16"/>
  <c r="C506" i="16"/>
  <c r="D506" i="16"/>
  <c r="E506" i="16"/>
  <c r="F506" i="16"/>
  <c r="G506" i="16"/>
  <c r="J506" i="16" s="1"/>
  <c r="I506" i="16"/>
  <c r="A507" i="16"/>
  <c r="B507" i="16"/>
  <c r="C507" i="16"/>
  <c r="D507" i="16"/>
  <c r="E507" i="16"/>
  <c r="F507" i="16"/>
  <c r="G507" i="16"/>
  <c r="J507" i="16" s="1"/>
  <c r="I507" i="16"/>
  <c r="A508" i="16"/>
  <c r="B508" i="16"/>
  <c r="C508" i="16"/>
  <c r="D508" i="16"/>
  <c r="E508" i="16"/>
  <c r="F508" i="16"/>
  <c r="G508" i="16"/>
  <c r="J508" i="16" s="1"/>
  <c r="I508" i="16"/>
  <c r="A509" i="16"/>
  <c r="B509" i="16"/>
  <c r="C509" i="16"/>
  <c r="D509" i="16"/>
  <c r="E509" i="16"/>
  <c r="F509" i="16"/>
  <c r="G509" i="16"/>
  <c r="J509" i="16" s="1"/>
  <c r="I509" i="16"/>
  <c r="A510" i="16"/>
  <c r="B510" i="16"/>
  <c r="C510" i="16"/>
  <c r="D510" i="16"/>
  <c r="E510" i="16"/>
  <c r="F510" i="16"/>
  <c r="G510" i="16"/>
  <c r="J510" i="16" s="1"/>
  <c r="I510" i="16"/>
  <c r="A511" i="16"/>
  <c r="B511" i="16"/>
  <c r="C511" i="16"/>
  <c r="D511" i="16"/>
  <c r="E511" i="16"/>
  <c r="F511" i="16"/>
  <c r="G511" i="16"/>
  <c r="J511" i="16" s="1"/>
  <c r="I511" i="16"/>
  <c r="A512" i="16"/>
  <c r="B512" i="16"/>
  <c r="C512" i="16"/>
  <c r="D512" i="16"/>
  <c r="E512" i="16"/>
  <c r="F512" i="16"/>
  <c r="G512" i="16"/>
  <c r="J512" i="16" s="1"/>
  <c r="I512" i="16"/>
  <c r="A513" i="16"/>
  <c r="B513" i="16"/>
  <c r="C513" i="16"/>
  <c r="D513" i="16"/>
  <c r="E513" i="16"/>
  <c r="F513" i="16"/>
  <c r="G513" i="16"/>
  <c r="J513" i="16" s="1"/>
  <c r="I513" i="16"/>
  <c r="A514" i="16"/>
  <c r="B514" i="16"/>
  <c r="C514" i="16"/>
  <c r="D514" i="16"/>
  <c r="E514" i="16"/>
  <c r="F514" i="16"/>
  <c r="G514" i="16"/>
  <c r="J514" i="16" s="1"/>
  <c r="I514" i="16"/>
  <c r="A515" i="16"/>
  <c r="B515" i="16"/>
  <c r="C515" i="16"/>
  <c r="D515" i="16"/>
  <c r="E515" i="16"/>
  <c r="F515" i="16"/>
  <c r="G515" i="16"/>
  <c r="J515" i="16" s="1"/>
  <c r="I515" i="16"/>
  <c r="A516" i="16"/>
  <c r="B516" i="16"/>
  <c r="C516" i="16"/>
  <c r="D516" i="16"/>
  <c r="E516" i="16"/>
  <c r="F516" i="16"/>
  <c r="G516" i="16"/>
  <c r="J516" i="16" s="1"/>
  <c r="I516" i="16"/>
  <c r="A517" i="16"/>
  <c r="B517" i="16"/>
  <c r="C517" i="16"/>
  <c r="D517" i="16"/>
  <c r="E517" i="16"/>
  <c r="F517" i="16"/>
  <c r="G517" i="16"/>
  <c r="J517" i="16" s="1"/>
  <c r="I517" i="16"/>
  <c r="A518" i="16"/>
  <c r="B518" i="16"/>
  <c r="C518" i="16"/>
  <c r="D518" i="16"/>
  <c r="E518" i="16"/>
  <c r="F518" i="16"/>
  <c r="G518" i="16"/>
  <c r="J518" i="16" s="1"/>
  <c r="I518" i="16"/>
  <c r="A519" i="16"/>
  <c r="B519" i="16"/>
  <c r="C519" i="16"/>
  <c r="D519" i="16"/>
  <c r="E519" i="16"/>
  <c r="F519" i="16"/>
  <c r="G519" i="16"/>
  <c r="J519" i="16" s="1"/>
  <c r="I519" i="16"/>
  <c r="A520" i="16"/>
  <c r="B520" i="16"/>
  <c r="C520" i="16"/>
  <c r="D520" i="16"/>
  <c r="E520" i="16"/>
  <c r="F520" i="16"/>
  <c r="G520" i="16"/>
  <c r="J520" i="16" s="1"/>
  <c r="I520" i="16"/>
  <c r="A521" i="16"/>
  <c r="B521" i="16"/>
  <c r="C521" i="16"/>
  <c r="D521" i="16"/>
  <c r="E521" i="16"/>
  <c r="F521" i="16"/>
  <c r="G521" i="16"/>
  <c r="J521" i="16" s="1"/>
  <c r="I521" i="16"/>
  <c r="A522" i="16"/>
  <c r="B522" i="16"/>
  <c r="C522" i="16"/>
  <c r="D522" i="16"/>
  <c r="E522" i="16"/>
  <c r="F522" i="16"/>
  <c r="G522" i="16"/>
  <c r="J522" i="16" s="1"/>
  <c r="I522" i="16"/>
  <c r="A523" i="16"/>
  <c r="B523" i="16"/>
  <c r="C523" i="16"/>
  <c r="D523" i="16"/>
  <c r="E523" i="16"/>
  <c r="F523" i="16"/>
  <c r="G523" i="16"/>
  <c r="J523" i="16" s="1"/>
  <c r="I523" i="16"/>
  <c r="A524" i="16"/>
  <c r="B524" i="16"/>
  <c r="C524" i="16"/>
  <c r="D524" i="16"/>
  <c r="E524" i="16"/>
  <c r="F524" i="16"/>
  <c r="G524" i="16"/>
  <c r="J524" i="16" s="1"/>
  <c r="I524" i="16"/>
  <c r="A525" i="16"/>
  <c r="B525" i="16"/>
  <c r="C525" i="16"/>
  <c r="D525" i="16"/>
  <c r="E525" i="16"/>
  <c r="F525" i="16"/>
  <c r="G525" i="16"/>
  <c r="J525" i="16" s="1"/>
  <c r="I525" i="16"/>
  <c r="A526" i="16"/>
  <c r="B526" i="16"/>
  <c r="C526" i="16"/>
  <c r="D526" i="16"/>
  <c r="E526" i="16"/>
  <c r="F526" i="16"/>
  <c r="G526" i="16"/>
  <c r="J526" i="16" s="1"/>
  <c r="I526" i="16"/>
  <c r="A527" i="16"/>
  <c r="B527" i="16"/>
  <c r="C527" i="16"/>
  <c r="D527" i="16"/>
  <c r="E527" i="16"/>
  <c r="F527" i="16"/>
  <c r="G527" i="16"/>
  <c r="J527" i="16" s="1"/>
  <c r="I527" i="16"/>
  <c r="A528" i="16"/>
  <c r="B528" i="16"/>
  <c r="C528" i="16"/>
  <c r="D528" i="16"/>
  <c r="E528" i="16"/>
  <c r="F528" i="16"/>
  <c r="G528" i="16"/>
  <c r="J528" i="16" s="1"/>
  <c r="I528" i="16"/>
  <c r="A529" i="16"/>
  <c r="B529" i="16"/>
  <c r="C529" i="16"/>
  <c r="D529" i="16"/>
  <c r="E529" i="16"/>
  <c r="F529" i="16"/>
  <c r="G529" i="16"/>
  <c r="J529" i="16" s="1"/>
  <c r="I529" i="16"/>
  <c r="A530" i="16"/>
  <c r="B530" i="16"/>
  <c r="C530" i="16"/>
  <c r="D530" i="16"/>
  <c r="E530" i="16"/>
  <c r="F530" i="16"/>
  <c r="G530" i="16"/>
  <c r="J530" i="16" s="1"/>
  <c r="I530" i="16"/>
  <c r="A531" i="16"/>
  <c r="B531" i="16"/>
  <c r="C531" i="16"/>
  <c r="D531" i="16"/>
  <c r="E531" i="16"/>
  <c r="F531" i="16"/>
  <c r="G531" i="16"/>
  <c r="J531" i="16" s="1"/>
  <c r="I531" i="16"/>
  <c r="A532" i="16"/>
  <c r="B532" i="16"/>
  <c r="C532" i="16"/>
  <c r="D532" i="16"/>
  <c r="E532" i="16"/>
  <c r="F532" i="16"/>
  <c r="G532" i="16"/>
  <c r="J532" i="16" s="1"/>
  <c r="I532" i="16"/>
  <c r="A533" i="16"/>
  <c r="B533" i="16"/>
  <c r="C533" i="16"/>
  <c r="D533" i="16"/>
  <c r="E533" i="16"/>
  <c r="F533" i="16"/>
  <c r="G533" i="16"/>
  <c r="J533" i="16" s="1"/>
  <c r="I533" i="16"/>
  <c r="A534" i="16"/>
  <c r="B534" i="16"/>
  <c r="C534" i="16"/>
  <c r="D534" i="16"/>
  <c r="E534" i="16"/>
  <c r="F534" i="16"/>
  <c r="G534" i="16"/>
  <c r="J534" i="16" s="1"/>
  <c r="I534" i="16"/>
  <c r="A535" i="16"/>
  <c r="B535" i="16"/>
  <c r="C535" i="16"/>
  <c r="D535" i="16"/>
  <c r="E535" i="16"/>
  <c r="F535" i="16"/>
  <c r="G535" i="16"/>
  <c r="J535" i="16" s="1"/>
  <c r="I535" i="16"/>
  <c r="A536" i="16"/>
  <c r="B536" i="16"/>
  <c r="C536" i="16"/>
  <c r="D536" i="16"/>
  <c r="E536" i="16"/>
  <c r="F536" i="16"/>
  <c r="G536" i="16"/>
  <c r="J536" i="16" s="1"/>
  <c r="I536" i="16"/>
  <c r="A537" i="16"/>
  <c r="B537" i="16"/>
  <c r="C537" i="16"/>
  <c r="D537" i="16"/>
  <c r="E537" i="16"/>
  <c r="F537" i="16"/>
  <c r="G537" i="16"/>
  <c r="J537" i="16" s="1"/>
  <c r="I537" i="16"/>
  <c r="A538" i="16"/>
  <c r="B538" i="16"/>
  <c r="C538" i="16"/>
  <c r="D538" i="16"/>
  <c r="E538" i="16"/>
  <c r="F538" i="16"/>
  <c r="G538" i="16"/>
  <c r="J538" i="16" s="1"/>
  <c r="I538" i="16"/>
  <c r="A539" i="16"/>
  <c r="B539" i="16"/>
  <c r="C539" i="16"/>
  <c r="D539" i="16"/>
  <c r="E539" i="16"/>
  <c r="F539" i="16"/>
  <c r="G539" i="16"/>
  <c r="J539" i="16" s="1"/>
  <c r="I539" i="16"/>
  <c r="A540" i="16"/>
  <c r="B540" i="16"/>
  <c r="C540" i="16"/>
  <c r="D540" i="16"/>
  <c r="E540" i="16"/>
  <c r="F540" i="16"/>
  <c r="G540" i="16"/>
  <c r="J540" i="16" s="1"/>
  <c r="I540" i="16"/>
  <c r="A541" i="16"/>
  <c r="B541" i="16"/>
  <c r="C541" i="16"/>
  <c r="D541" i="16"/>
  <c r="E541" i="16"/>
  <c r="F541" i="16"/>
  <c r="G541" i="16"/>
  <c r="J541" i="16" s="1"/>
  <c r="I541" i="16"/>
  <c r="A542" i="16"/>
  <c r="B542" i="16"/>
  <c r="C542" i="16"/>
  <c r="D542" i="16"/>
  <c r="E542" i="16"/>
  <c r="F542" i="16"/>
  <c r="G542" i="16"/>
  <c r="J542" i="16" s="1"/>
  <c r="I542" i="16"/>
  <c r="A543" i="16"/>
  <c r="B543" i="16"/>
  <c r="C543" i="16"/>
  <c r="D543" i="16"/>
  <c r="E543" i="16"/>
  <c r="F543" i="16"/>
  <c r="G543" i="16"/>
  <c r="J543" i="16" s="1"/>
  <c r="I543" i="16"/>
  <c r="A544" i="16"/>
  <c r="B544" i="16"/>
  <c r="C544" i="16"/>
  <c r="D544" i="16"/>
  <c r="E544" i="16"/>
  <c r="F544" i="16"/>
  <c r="G544" i="16"/>
  <c r="J544" i="16" s="1"/>
  <c r="I544" i="16"/>
  <c r="A545" i="16"/>
  <c r="B545" i="16"/>
  <c r="C545" i="16"/>
  <c r="D545" i="16"/>
  <c r="E545" i="16"/>
  <c r="F545" i="16"/>
  <c r="G545" i="16"/>
  <c r="J545" i="16" s="1"/>
  <c r="I545" i="16"/>
  <c r="A546" i="16"/>
  <c r="B546" i="16"/>
  <c r="C546" i="16"/>
  <c r="D546" i="16"/>
  <c r="E546" i="16"/>
  <c r="F546" i="16"/>
  <c r="G546" i="16"/>
  <c r="J546" i="16" s="1"/>
  <c r="I546" i="16"/>
  <c r="A547" i="16"/>
  <c r="B547" i="16"/>
  <c r="C547" i="16"/>
  <c r="D547" i="16"/>
  <c r="E547" i="16"/>
  <c r="F547" i="16"/>
  <c r="G547" i="16"/>
  <c r="J547" i="16" s="1"/>
  <c r="I547" i="16"/>
  <c r="A548" i="16"/>
  <c r="B548" i="16"/>
  <c r="C548" i="16"/>
  <c r="D548" i="16"/>
  <c r="E548" i="16"/>
  <c r="F548" i="16"/>
  <c r="G548" i="16"/>
  <c r="J548" i="16" s="1"/>
  <c r="I548" i="16"/>
  <c r="A549" i="16"/>
  <c r="B549" i="16"/>
  <c r="C549" i="16"/>
  <c r="D549" i="16"/>
  <c r="E549" i="16"/>
  <c r="F549" i="16"/>
  <c r="G549" i="16"/>
  <c r="J549" i="16" s="1"/>
  <c r="I549" i="16"/>
  <c r="A550" i="16"/>
  <c r="B550" i="16"/>
  <c r="C550" i="16"/>
  <c r="D550" i="16"/>
  <c r="E550" i="16"/>
  <c r="F550" i="16"/>
  <c r="G550" i="16"/>
  <c r="J550" i="16" s="1"/>
  <c r="I550" i="16"/>
  <c r="A551" i="16"/>
  <c r="B551" i="16"/>
  <c r="C551" i="16"/>
  <c r="D551" i="16"/>
  <c r="E551" i="16"/>
  <c r="F551" i="16"/>
  <c r="G551" i="16"/>
  <c r="J551" i="16" s="1"/>
  <c r="I551" i="16"/>
  <c r="A552" i="16"/>
  <c r="B552" i="16"/>
  <c r="C552" i="16"/>
  <c r="D552" i="16"/>
  <c r="E552" i="16"/>
  <c r="F552" i="16"/>
  <c r="G552" i="16"/>
  <c r="J552" i="16" s="1"/>
  <c r="I552" i="16"/>
  <c r="A553" i="16"/>
  <c r="B553" i="16"/>
  <c r="C553" i="16"/>
  <c r="D553" i="16"/>
  <c r="E553" i="16"/>
  <c r="F553" i="16"/>
  <c r="G553" i="16"/>
  <c r="J553" i="16" s="1"/>
  <c r="I553" i="16"/>
  <c r="A554" i="16"/>
  <c r="B554" i="16"/>
  <c r="C554" i="16"/>
  <c r="D554" i="16"/>
  <c r="E554" i="16"/>
  <c r="F554" i="16"/>
  <c r="G554" i="16"/>
  <c r="J554" i="16" s="1"/>
  <c r="I554" i="16"/>
  <c r="A555" i="16"/>
  <c r="B555" i="16"/>
  <c r="C555" i="16"/>
  <c r="D555" i="16"/>
  <c r="E555" i="16"/>
  <c r="F555" i="16"/>
  <c r="G555" i="16"/>
  <c r="J555" i="16" s="1"/>
  <c r="I555" i="16"/>
  <c r="A556" i="16"/>
  <c r="B556" i="16"/>
  <c r="C556" i="16"/>
  <c r="D556" i="16"/>
  <c r="E556" i="16"/>
  <c r="F556" i="16"/>
  <c r="G556" i="16"/>
  <c r="J556" i="16" s="1"/>
  <c r="I556" i="16"/>
  <c r="A557" i="16"/>
  <c r="B557" i="16"/>
  <c r="C557" i="16"/>
  <c r="D557" i="16"/>
  <c r="E557" i="16"/>
  <c r="F557" i="16"/>
  <c r="G557" i="16"/>
  <c r="J557" i="16" s="1"/>
  <c r="I557" i="16"/>
  <c r="A558" i="16"/>
  <c r="B558" i="16"/>
  <c r="C558" i="16"/>
  <c r="D558" i="16"/>
  <c r="E558" i="16"/>
  <c r="F558" i="16"/>
  <c r="G558" i="16"/>
  <c r="J558" i="16" s="1"/>
  <c r="I558" i="16"/>
  <c r="A559" i="16"/>
  <c r="B559" i="16"/>
  <c r="C559" i="16"/>
  <c r="D559" i="16"/>
  <c r="E559" i="16"/>
  <c r="F559" i="16"/>
  <c r="G559" i="16"/>
  <c r="J559" i="16" s="1"/>
  <c r="I559" i="16"/>
  <c r="A560" i="16"/>
  <c r="B560" i="16"/>
  <c r="C560" i="16"/>
  <c r="D560" i="16"/>
  <c r="E560" i="16"/>
  <c r="F560" i="16"/>
  <c r="G560" i="16"/>
  <c r="J560" i="16" s="1"/>
  <c r="I560" i="16"/>
  <c r="A561" i="16"/>
  <c r="B561" i="16"/>
  <c r="C561" i="16"/>
  <c r="D561" i="16"/>
  <c r="E561" i="16"/>
  <c r="F561" i="16"/>
  <c r="G561" i="16"/>
  <c r="J561" i="16" s="1"/>
  <c r="I561" i="16"/>
  <c r="A562" i="16"/>
  <c r="B562" i="16"/>
  <c r="C562" i="16"/>
  <c r="D562" i="16"/>
  <c r="E562" i="16"/>
  <c r="F562" i="16"/>
  <c r="G562" i="16"/>
  <c r="J562" i="16" s="1"/>
  <c r="I562" i="16"/>
  <c r="A563" i="16"/>
  <c r="B563" i="16"/>
  <c r="C563" i="16"/>
  <c r="D563" i="16"/>
  <c r="E563" i="16"/>
  <c r="F563" i="16"/>
  <c r="G563" i="16"/>
  <c r="J563" i="16" s="1"/>
  <c r="I563" i="16"/>
  <c r="A564" i="16"/>
  <c r="B564" i="16"/>
  <c r="C564" i="16"/>
  <c r="D564" i="16"/>
  <c r="E564" i="16"/>
  <c r="F564" i="16"/>
  <c r="G564" i="16"/>
  <c r="J564" i="16" s="1"/>
  <c r="I564" i="16"/>
  <c r="A565" i="16"/>
  <c r="B565" i="16"/>
  <c r="C565" i="16"/>
  <c r="D565" i="16"/>
  <c r="E565" i="16"/>
  <c r="F565" i="16"/>
  <c r="G565" i="16"/>
  <c r="J565" i="16" s="1"/>
  <c r="I565" i="16"/>
  <c r="A566" i="16"/>
  <c r="B566" i="16"/>
  <c r="C566" i="16"/>
  <c r="D566" i="16"/>
  <c r="E566" i="16"/>
  <c r="F566" i="16"/>
  <c r="G566" i="16"/>
  <c r="J566" i="16" s="1"/>
  <c r="I566" i="16"/>
  <c r="A567" i="16"/>
  <c r="B567" i="16"/>
  <c r="C567" i="16"/>
  <c r="D567" i="16"/>
  <c r="E567" i="16"/>
  <c r="F567" i="16"/>
  <c r="G567" i="16"/>
  <c r="J567" i="16" s="1"/>
  <c r="I567" i="16"/>
  <c r="A568" i="16"/>
  <c r="B568" i="16"/>
  <c r="C568" i="16"/>
  <c r="D568" i="16"/>
  <c r="E568" i="16"/>
  <c r="F568" i="16"/>
  <c r="G568" i="16"/>
  <c r="J568" i="16" s="1"/>
  <c r="I568" i="16"/>
  <c r="A569" i="16"/>
  <c r="B569" i="16"/>
  <c r="C569" i="16"/>
  <c r="D569" i="16"/>
  <c r="E569" i="16"/>
  <c r="F569" i="16"/>
  <c r="G569" i="16"/>
  <c r="J569" i="16" s="1"/>
  <c r="I569" i="16"/>
  <c r="A570" i="16"/>
  <c r="B570" i="16"/>
  <c r="C570" i="16"/>
  <c r="D570" i="16"/>
  <c r="E570" i="16"/>
  <c r="F570" i="16"/>
  <c r="G570" i="16"/>
  <c r="J570" i="16" s="1"/>
  <c r="I570" i="16"/>
  <c r="A571" i="16"/>
  <c r="B571" i="16"/>
  <c r="C571" i="16"/>
  <c r="D571" i="16"/>
  <c r="E571" i="16"/>
  <c r="F571" i="16"/>
  <c r="G571" i="16"/>
  <c r="J571" i="16" s="1"/>
  <c r="I571" i="16"/>
  <c r="A572" i="16"/>
  <c r="B572" i="16"/>
  <c r="C572" i="16"/>
  <c r="D572" i="16"/>
  <c r="E572" i="16"/>
  <c r="F572" i="16"/>
  <c r="G572" i="16"/>
  <c r="J572" i="16" s="1"/>
  <c r="I572" i="16"/>
  <c r="A573" i="16"/>
  <c r="B573" i="16"/>
  <c r="C573" i="16"/>
  <c r="D573" i="16"/>
  <c r="E573" i="16"/>
  <c r="F573" i="16"/>
  <c r="G573" i="16"/>
  <c r="J573" i="16" s="1"/>
  <c r="I573" i="16"/>
  <c r="A574" i="16"/>
  <c r="B574" i="16"/>
  <c r="C574" i="16"/>
  <c r="D574" i="16"/>
  <c r="E574" i="16"/>
  <c r="F574" i="16"/>
  <c r="G574" i="16"/>
  <c r="J574" i="16" s="1"/>
  <c r="I574" i="16"/>
  <c r="A575" i="16"/>
  <c r="B575" i="16"/>
  <c r="C575" i="16"/>
  <c r="D575" i="16"/>
  <c r="E575" i="16"/>
  <c r="F575" i="16"/>
  <c r="G575" i="16"/>
  <c r="J575" i="16" s="1"/>
  <c r="I575" i="16"/>
  <c r="A576" i="16"/>
  <c r="B576" i="16"/>
  <c r="C576" i="16"/>
  <c r="D576" i="16"/>
  <c r="E576" i="16"/>
  <c r="F576" i="16"/>
  <c r="G576" i="16"/>
  <c r="J576" i="16" s="1"/>
  <c r="I576" i="16"/>
  <c r="A577" i="16"/>
  <c r="B577" i="16"/>
  <c r="C577" i="16"/>
  <c r="D577" i="16"/>
  <c r="E577" i="16"/>
  <c r="F577" i="16"/>
  <c r="G577" i="16"/>
  <c r="J577" i="16" s="1"/>
  <c r="I577" i="16"/>
  <c r="A578" i="16"/>
  <c r="B578" i="16"/>
  <c r="C578" i="16"/>
  <c r="D578" i="16"/>
  <c r="E578" i="16"/>
  <c r="F578" i="16"/>
  <c r="G578" i="16"/>
  <c r="J578" i="16" s="1"/>
  <c r="I578" i="16"/>
  <c r="A579" i="16"/>
  <c r="B579" i="16"/>
  <c r="C579" i="16"/>
  <c r="D579" i="16"/>
  <c r="E579" i="16"/>
  <c r="F579" i="16"/>
  <c r="G579" i="16"/>
  <c r="J579" i="16" s="1"/>
  <c r="I579" i="16"/>
  <c r="A580" i="16"/>
  <c r="B580" i="16"/>
  <c r="C580" i="16"/>
  <c r="D580" i="16"/>
  <c r="E580" i="16"/>
  <c r="F580" i="16"/>
  <c r="G580" i="16"/>
  <c r="J580" i="16" s="1"/>
  <c r="I580" i="16"/>
  <c r="A581" i="16"/>
  <c r="B581" i="16"/>
  <c r="C581" i="16"/>
  <c r="D581" i="16"/>
  <c r="E581" i="16"/>
  <c r="F581" i="16"/>
  <c r="G581" i="16"/>
  <c r="J581" i="16" s="1"/>
  <c r="I581" i="16"/>
  <c r="A582" i="16"/>
  <c r="B582" i="16"/>
  <c r="C582" i="16"/>
  <c r="D582" i="16"/>
  <c r="E582" i="16"/>
  <c r="F582" i="16"/>
  <c r="G582" i="16"/>
  <c r="J582" i="16" s="1"/>
  <c r="I582" i="16"/>
  <c r="A583" i="16"/>
  <c r="B583" i="16"/>
  <c r="C583" i="16"/>
  <c r="D583" i="16"/>
  <c r="E583" i="16"/>
  <c r="F583" i="16"/>
  <c r="G583" i="16"/>
  <c r="J583" i="16" s="1"/>
  <c r="I583" i="16"/>
  <c r="A584" i="16"/>
  <c r="B584" i="16"/>
  <c r="C584" i="16"/>
  <c r="D584" i="16"/>
  <c r="E584" i="16"/>
  <c r="F584" i="16"/>
  <c r="G584" i="16"/>
  <c r="J584" i="16" s="1"/>
  <c r="I584" i="16"/>
  <c r="A585" i="16"/>
  <c r="B585" i="16"/>
  <c r="C585" i="16"/>
  <c r="D585" i="16"/>
  <c r="E585" i="16"/>
  <c r="F585" i="16"/>
  <c r="G585" i="16"/>
  <c r="J585" i="16" s="1"/>
  <c r="I585" i="16"/>
  <c r="A586" i="16"/>
  <c r="B586" i="16"/>
  <c r="C586" i="16"/>
  <c r="D586" i="16"/>
  <c r="E586" i="16"/>
  <c r="F586" i="16"/>
  <c r="G586" i="16"/>
  <c r="J586" i="16" s="1"/>
  <c r="I586" i="16"/>
  <c r="A587" i="16"/>
  <c r="B587" i="16"/>
  <c r="C587" i="16"/>
  <c r="D587" i="16"/>
  <c r="E587" i="16"/>
  <c r="F587" i="16"/>
  <c r="G587" i="16"/>
  <c r="J587" i="16" s="1"/>
  <c r="I587" i="16"/>
  <c r="A588" i="16"/>
  <c r="B588" i="16"/>
  <c r="C588" i="16"/>
  <c r="D588" i="16"/>
  <c r="E588" i="16"/>
  <c r="F588" i="16"/>
  <c r="G588" i="16"/>
  <c r="J588" i="16" s="1"/>
  <c r="I588" i="16"/>
  <c r="A589" i="16"/>
  <c r="B589" i="16"/>
  <c r="C589" i="16"/>
  <c r="D589" i="16"/>
  <c r="E589" i="16"/>
  <c r="F589" i="16"/>
  <c r="G589" i="16"/>
  <c r="J589" i="16" s="1"/>
  <c r="I589" i="16"/>
  <c r="A590" i="16"/>
  <c r="B590" i="16"/>
  <c r="C590" i="16"/>
  <c r="D590" i="16"/>
  <c r="E590" i="16"/>
  <c r="F590" i="16"/>
  <c r="G590" i="16"/>
  <c r="J590" i="16" s="1"/>
  <c r="I590" i="16"/>
  <c r="A591" i="16"/>
  <c r="B591" i="16"/>
  <c r="C591" i="16"/>
  <c r="D591" i="16"/>
  <c r="E591" i="16"/>
  <c r="F591" i="16"/>
  <c r="G591" i="16"/>
  <c r="J591" i="16" s="1"/>
  <c r="I591" i="16"/>
  <c r="A592" i="16"/>
  <c r="B592" i="16"/>
  <c r="C592" i="16"/>
  <c r="D592" i="16"/>
  <c r="E592" i="16"/>
  <c r="F592" i="16"/>
  <c r="G592" i="16"/>
  <c r="J592" i="16" s="1"/>
  <c r="I592" i="16"/>
  <c r="A593" i="16"/>
  <c r="B593" i="16"/>
  <c r="C593" i="16"/>
  <c r="D593" i="16"/>
  <c r="E593" i="16"/>
  <c r="F593" i="16"/>
  <c r="G593" i="16"/>
  <c r="J593" i="16" s="1"/>
  <c r="I593" i="16"/>
  <c r="A594" i="16"/>
  <c r="B594" i="16"/>
  <c r="C594" i="16"/>
  <c r="D594" i="16"/>
  <c r="E594" i="16"/>
  <c r="F594" i="16"/>
  <c r="G594" i="16"/>
  <c r="J594" i="16" s="1"/>
  <c r="I594" i="16"/>
  <c r="A595" i="16"/>
  <c r="B595" i="16"/>
  <c r="C595" i="16"/>
  <c r="D595" i="16"/>
  <c r="E595" i="16"/>
  <c r="F595" i="16"/>
  <c r="G595" i="16"/>
  <c r="J595" i="16" s="1"/>
  <c r="I595" i="16"/>
  <c r="A596" i="16"/>
  <c r="B596" i="16"/>
  <c r="C596" i="16"/>
  <c r="D596" i="16"/>
  <c r="E596" i="16"/>
  <c r="F596" i="16"/>
  <c r="G596" i="16"/>
  <c r="J596" i="16" s="1"/>
  <c r="I596" i="16"/>
  <c r="A597" i="16"/>
  <c r="B597" i="16"/>
  <c r="C597" i="16"/>
  <c r="D597" i="16"/>
  <c r="E597" i="16"/>
  <c r="F597" i="16"/>
  <c r="G597" i="16"/>
  <c r="J597" i="16" s="1"/>
  <c r="I597" i="16"/>
  <c r="A598" i="16"/>
  <c r="B598" i="16"/>
  <c r="C598" i="16"/>
  <c r="D598" i="16"/>
  <c r="E598" i="16"/>
  <c r="F598" i="16"/>
  <c r="G598" i="16"/>
  <c r="J598" i="16" s="1"/>
  <c r="I598" i="16"/>
  <c r="A599" i="16"/>
  <c r="B599" i="16"/>
  <c r="C599" i="16"/>
  <c r="D599" i="16"/>
  <c r="E599" i="16"/>
  <c r="F599" i="16"/>
  <c r="G599" i="16"/>
  <c r="J599" i="16" s="1"/>
  <c r="I599" i="16"/>
  <c r="A600" i="16"/>
  <c r="B600" i="16"/>
  <c r="C600" i="16"/>
  <c r="D600" i="16"/>
  <c r="E600" i="16"/>
  <c r="F600" i="16"/>
  <c r="G600" i="16"/>
  <c r="J600" i="16" s="1"/>
  <c r="I600" i="16"/>
  <c r="A601" i="16"/>
  <c r="B601" i="16"/>
  <c r="C601" i="16"/>
  <c r="D601" i="16"/>
  <c r="E601" i="16"/>
  <c r="F601" i="16"/>
  <c r="G601" i="16"/>
  <c r="J601" i="16" s="1"/>
  <c r="I601" i="16"/>
  <c r="A602" i="16"/>
  <c r="B602" i="16"/>
  <c r="C602" i="16"/>
  <c r="D602" i="16"/>
  <c r="E602" i="16"/>
  <c r="F602" i="16"/>
  <c r="G602" i="16"/>
  <c r="J602" i="16" s="1"/>
  <c r="I602" i="16"/>
  <c r="A603" i="16"/>
  <c r="B603" i="16"/>
  <c r="C603" i="16"/>
  <c r="D603" i="16"/>
  <c r="E603" i="16"/>
  <c r="F603" i="16"/>
  <c r="G603" i="16"/>
  <c r="J603" i="16" s="1"/>
  <c r="I603" i="16"/>
  <c r="A604" i="16"/>
  <c r="B604" i="16"/>
  <c r="C604" i="16"/>
  <c r="D604" i="16"/>
  <c r="E604" i="16"/>
  <c r="F604" i="16"/>
  <c r="G604" i="16"/>
  <c r="J604" i="16" s="1"/>
  <c r="I604" i="16"/>
  <c r="A605" i="16"/>
  <c r="B605" i="16"/>
  <c r="C605" i="16"/>
  <c r="D605" i="16"/>
  <c r="E605" i="16"/>
  <c r="F605" i="16"/>
  <c r="G605" i="16"/>
  <c r="J605" i="16" s="1"/>
  <c r="I605" i="16"/>
  <c r="A606" i="16"/>
  <c r="B606" i="16"/>
  <c r="C606" i="16"/>
  <c r="D606" i="16"/>
  <c r="E606" i="16"/>
  <c r="F606" i="16"/>
  <c r="G606" i="16"/>
  <c r="J606" i="16" s="1"/>
  <c r="I606" i="16"/>
  <c r="A607" i="16"/>
  <c r="B607" i="16"/>
  <c r="C607" i="16"/>
  <c r="D607" i="16"/>
  <c r="E607" i="16"/>
  <c r="F607" i="16"/>
  <c r="G607" i="16"/>
  <c r="J607" i="16" s="1"/>
  <c r="I607" i="16"/>
  <c r="A608" i="16"/>
  <c r="B608" i="16"/>
  <c r="C608" i="16"/>
  <c r="D608" i="16"/>
  <c r="E608" i="16"/>
  <c r="F608" i="16"/>
  <c r="G608" i="16"/>
  <c r="J608" i="16" s="1"/>
  <c r="I608" i="16"/>
  <c r="A609" i="16"/>
  <c r="B609" i="16"/>
  <c r="C609" i="16"/>
  <c r="D609" i="16"/>
  <c r="E609" i="16"/>
  <c r="F609" i="16"/>
  <c r="G609" i="16"/>
  <c r="J609" i="16" s="1"/>
  <c r="I609" i="16"/>
  <c r="A610" i="16"/>
  <c r="B610" i="16"/>
  <c r="C610" i="16"/>
  <c r="D610" i="16"/>
  <c r="E610" i="16"/>
  <c r="F610" i="16"/>
  <c r="G610" i="16"/>
  <c r="J610" i="16" s="1"/>
  <c r="I610" i="16"/>
  <c r="A611" i="16"/>
  <c r="B611" i="16"/>
  <c r="C611" i="16"/>
  <c r="D611" i="16"/>
  <c r="E611" i="16"/>
  <c r="F611" i="16"/>
  <c r="G611" i="16"/>
  <c r="J611" i="16" s="1"/>
  <c r="I611" i="16"/>
  <c r="A612" i="16"/>
  <c r="B612" i="16"/>
  <c r="C612" i="16"/>
  <c r="D612" i="16"/>
  <c r="E612" i="16"/>
  <c r="F612" i="16"/>
  <c r="G612" i="16"/>
  <c r="J612" i="16" s="1"/>
  <c r="I612" i="16"/>
  <c r="A613" i="16"/>
  <c r="B613" i="16"/>
  <c r="C613" i="16"/>
  <c r="D613" i="16"/>
  <c r="E613" i="16"/>
  <c r="F613" i="16"/>
  <c r="G613" i="16"/>
  <c r="J613" i="16" s="1"/>
  <c r="I613" i="16"/>
  <c r="A614" i="16"/>
  <c r="B614" i="16"/>
  <c r="C614" i="16"/>
  <c r="D614" i="16"/>
  <c r="E614" i="16"/>
  <c r="F614" i="16"/>
  <c r="G614" i="16"/>
  <c r="J614" i="16" s="1"/>
  <c r="I614" i="16"/>
  <c r="A615" i="16"/>
  <c r="B615" i="16"/>
  <c r="C615" i="16"/>
  <c r="D615" i="16"/>
  <c r="E615" i="16"/>
  <c r="F615" i="16"/>
  <c r="G615" i="16"/>
  <c r="J615" i="16" s="1"/>
  <c r="I615" i="16"/>
  <c r="A616" i="16"/>
  <c r="B616" i="16"/>
  <c r="C616" i="16"/>
  <c r="D616" i="16"/>
  <c r="E616" i="16"/>
  <c r="F616" i="16"/>
  <c r="G616" i="16"/>
  <c r="J616" i="16" s="1"/>
  <c r="I616" i="16"/>
  <c r="A617" i="16"/>
  <c r="B617" i="16"/>
  <c r="C617" i="16"/>
  <c r="D617" i="16"/>
  <c r="E617" i="16"/>
  <c r="F617" i="16"/>
  <c r="G617" i="16"/>
  <c r="J617" i="16" s="1"/>
  <c r="I617" i="16"/>
  <c r="A618" i="16"/>
  <c r="B618" i="16"/>
  <c r="C618" i="16"/>
  <c r="D618" i="16"/>
  <c r="E618" i="16"/>
  <c r="F618" i="16"/>
  <c r="G618" i="16"/>
  <c r="J618" i="16" s="1"/>
  <c r="I618" i="16"/>
  <c r="A619" i="16"/>
  <c r="B619" i="16"/>
  <c r="C619" i="16"/>
  <c r="D619" i="16"/>
  <c r="E619" i="16"/>
  <c r="F619" i="16"/>
  <c r="G619" i="16"/>
  <c r="J619" i="16" s="1"/>
  <c r="I619" i="16"/>
  <c r="A620" i="16"/>
  <c r="B620" i="16"/>
  <c r="C620" i="16"/>
  <c r="D620" i="16"/>
  <c r="E620" i="16"/>
  <c r="F620" i="16"/>
  <c r="G620" i="16"/>
  <c r="J620" i="16" s="1"/>
  <c r="I620" i="16"/>
  <c r="A621" i="16"/>
  <c r="B621" i="16"/>
  <c r="C621" i="16"/>
  <c r="D621" i="16"/>
  <c r="E621" i="16"/>
  <c r="F621" i="16"/>
  <c r="G621" i="16"/>
  <c r="J621" i="16" s="1"/>
  <c r="I621" i="16"/>
  <c r="A622" i="16"/>
  <c r="B622" i="16"/>
  <c r="C622" i="16"/>
  <c r="D622" i="16"/>
  <c r="E622" i="16"/>
  <c r="F622" i="16"/>
  <c r="G622" i="16"/>
  <c r="J622" i="16" s="1"/>
  <c r="I622" i="16"/>
  <c r="A623" i="16"/>
  <c r="B623" i="16"/>
  <c r="C623" i="16"/>
  <c r="D623" i="16"/>
  <c r="E623" i="16"/>
  <c r="F623" i="16"/>
  <c r="G623" i="16"/>
  <c r="J623" i="16" s="1"/>
  <c r="I623" i="16"/>
  <c r="A624" i="16"/>
  <c r="B624" i="16"/>
  <c r="C624" i="16"/>
  <c r="D624" i="16"/>
  <c r="E624" i="16"/>
  <c r="F624" i="16"/>
  <c r="G624" i="16"/>
  <c r="J624" i="16" s="1"/>
  <c r="I624" i="16"/>
  <c r="A625" i="16"/>
  <c r="B625" i="16"/>
  <c r="C625" i="16"/>
  <c r="D625" i="16"/>
  <c r="E625" i="16"/>
  <c r="F625" i="16"/>
  <c r="G625" i="16"/>
  <c r="J625" i="16" s="1"/>
  <c r="I625" i="16"/>
  <c r="A626" i="16"/>
  <c r="B626" i="16"/>
  <c r="C626" i="16"/>
  <c r="D626" i="16"/>
  <c r="E626" i="16"/>
  <c r="F626" i="16"/>
  <c r="G626" i="16"/>
  <c r="J626" i="16" s="1"/>
  <c r="I626" i="16"/>
  <c r="A627" i="16"/>
  <c r="B627" i="16"/>
  <c r="C627" i="16"/>
  <c r="D627" i="16"/>
  <c r="E627" i="16"/>
  <c r="F627" i="16"/>
  <c r="G627" i="16"/>
  <c r="J627" i="16" s="1"/>
  <c r="I627" i="16"/>
  <c r="A628" i="16"/>
  <c r="B628" i="16"/>
  <c r="C628" i="16"/>
  <c r="D628" i="16"/>
  <c r="E628" i="16"/>
  <c r="F628" i="16"/>
  <c r="G628" i="16"/>
  <c r="J628" i="16" s="1"/>
  <c r="I628" i="16"/>
  <c r="A629" i="16"/>
  <c r="B629" i="16"/>
  <c r="C629" i="16"/>
  <c r="D629" i="16"/>
  <c r="E629" i="16"/>
  <c r="F629" i="16"/>
  <c r="G629" i="16"/>
  <c r="J629" i="16" s="1"/>
  <c r="I629" i="16"/>
  <c r="A630" i="16"/>
  <c r="B630" i="16"/>
  <c r="C630" i="16"/>
  <c r="D630" i="16"/>
  <c r="E630" i="16"/>
  <c r="F630" i="16"/>
  <c r="G630" i="16"/>
  <c r="J630" i="16" s="1"/>
  <c r="I630" i="16"/>
  <c r="A631" i="16"/>
  <c r="B631" i="16"/>
  <c r="C631" i="16"/>
  <c r="D631" i="16"/>
  <c r="E631" i="16"/>
  <c r="F631" i="16"/>
  <c r="G631" i="16"/>
  <c r="J631" i="16" s="1"/>
  <c r="I631" i="16"/>
  <c r="A632" i="16"/>
  <c r="B632" i="16"/>
  <c r="C632" i="16"/>
  <c r="D632" i="16"/>
  <c r="E632" i="16"/>
  <c r="F632" i="16"/>
  <c r="G632" i="16"/>
  <c r="J632" i="16" s="1"/>
  <c r="I632" i="16"/>
  <c r="A633" i="16"/>
  <c r="B633" i="16"/>
  <c r="C633" i="16"/>
  <c r="D633" i="16"/>
  <c r="E633" i="16"/>
  <c r="F633" i="16"/>
  <c r="G633" i="16"/>
  <c r="J633" i="16" s="1"/>
  <c r="I633" i="16"/>
  <c r="A634" i="16"/>
  <c r="B634" i="16"/>
  <c r="C634" i="16"/>
  <c r="D634" i="16"/>
  <c r="E634" i="16"/>
  <c r="F634" i="16"/>
  <c r="G634" i="16"/>
  <c r="J634" i="16" s="1"/>
  <c r="I634" i="16"/>
  <c r="A635" i="16"/>
  <c r="B635" i="16"/>
  <c r="C635" i="16"/>
  <c r="D635" i="16"/>
  <c r="E635" i="16"/>
  <c r="F635" i="16"/>
  <c r="G635" i="16"/>
  <c r="J635" i="16" s="1"/>
  <c r="I635" i="16"/>
  <c r="A636" i="16"/>
  <c r="B636" i="16"/>
  <c r="C636" i="16"/>
  <c r="D636" i="16"/>
  <c r="E636" i="16"/>
  <c r="F636" i="16"/>
  <c r="G636" i="16"/>
  <c r="J636" i="16" s="1"/>
  <c r="I636" i="16"/>
  <c r="A637" i="16"/>
  <c r="B637" i="16"/>
  <c r="C637" i="16"/>
  <c r="D637" i="16"/>
  <c r="E637" i="16"/>
  <c r="F637" i="16"/>
  <c r="G637" i="16"/>
  <c r="J637" i="16" s="1"/>
  <c r="I637" i="16"/>
  <c r="A638" i="16"/>
  <c r="B638" i="16"/>
  <c r="C638" i="16"/>
  <c r="D638" i="16"/>
  <c r="E638" i="16"/>
  <c r="F638" i="16"/>
  <c r="G638" i="16"/>
  <c r="J638" i="16" s="1"/>
  <c r="I638" i="16"/>
  <c r="A639" i="16"/>
  <c r="B639" i="16"/>
  <c r="C639" i="16"/>
  <c r="D639" i="16"/>
  <c r="E639" i="16"/>
  <c r="F639" i="16"/>
  <c r="G639" i="16"/>
  <c r="J639" i="16" s="1"/>
  <c r="I639" i="16"/>
  <c r="A640" i="16"/>
  <c r="B640" i="16"/>
  <c r="C640" i="16"/>
  <c r="D640" i="16"/>
  <c r="E640" i="16"/>
  <c r="F640" i="16"/>
  <c r="G640" i="16"/>
  <c r="J640" i="16" s="1"/>
  <c r="I640" i="16"/>
  <c r="A641" i="16"/>
  <c r="B641" i="16"/>
  <c r="C641" i="16"/>
  <c r="D641" i="16"/>
  <c r="E641" i="16"/>
  <c r="F641" i="16"/>
  <c r="G641" i="16"/>
  <c r="J641" i="16" s="1"/>
  <c r="I641" i="16"/>
  <c r="A642" i="16"/>
  <c r="B642" i="16"/>
  <c r="C642" i="16"/>
  <c r="D642" i="16"/>
  <c r="E642" i="16"/>
  <c r="F642" i="16"/>
  <c r="G642" i="16"/>
  <c r="J642" i="16" s="1"/>
  <c r="I642" i="16"/>
  <c r="A643" i="16"/>
  <c r="B643" i="16"/>
  <c r="C643" i="16"/>
  <c r="D643" i="16"/>
  <c r="E643" i="16"/>
  <c r="F643" i="16"/>
  <c r="G643" i="16"/>
  <c r="J643" i="16" s="1"/>
  <c r="I643" i="16"/>
  <c r="A644" i="16"/>
  <c r="B644" i="16"/>
  <c r="C644" i="16"/>
  <c r="D644" i="16"/>
  <c r="E644" i="16"/>
  <c r="F644" i="16"/>
  <c r="G644" i="16"/>
  <c r="J644" i="16" s="1"/>
  <c r="I644" i="16"/>
  <c r="A645" i="16"/>
  <c r="B645" i="16"/>
  <c r="C645" i="16"/>
  <c r="D645" i="16"/>
  <c r="E645" i="16"/>
  <c r="F645" i="16"/>
  <c r="G645" i="16"/>
  <c r="J645" i="16" s="1"/>
  <c r="I645" i="16"/>
  <c r="A646" i="16"/>
  <c r="B646" i="16"/>
  <c r="C646" i="16"/>
  <c r="D646" i="16"/>
  <c r="E646" i="16"/>
  <c r="F646" i="16"/>
  <c r="G646" i="16"/>
  <c r="J646" i="16" s="1"/>
  <c r="I646" i="16"/>
  <c r="A647" i="16"/>
  <c r="B647" i="16"/>
  <c r="C647" i="16"/>
  <c r="D647" i="16"/>
  <c r="E647" i="16"/>
  <c r="F647" i="16"/>
  <c r="G647" i="16"/>
  <c r="J647" i="16" s="1"/>
  <c r="I647" i="16"/>
  <c r="A648" i="16"/>
  <c r="B648" i="16"/>
  <c r="C648" i="16"/>
  <c r="D648" i="16"/>
  <c r="E648" i="16"/>
  <c r="F648" i="16"/>
  <c r="G648" i="16"/>
  <c r="J648" i="16" s="1"/>
  <c r="I648" i="16"/>
  <c r="A649" i="16"/>
  <c r="B649" i="16"/>
  <c r="C649" i="16"/>
  <c r="D649" i="16"/>
  <c r="E649" i="16"/>
  <c r="F649" i="16"/>
  <c r="G649" i="16"/>
  <c r="J649" i="16" s="1"/>
  <c r="I649" i="16"/>
  <c r="A650" i="16"/>
  <c r="B650" i="16"/>
  <c r="C650" i="16"/>
  <c r="D650" i="16"/>
  <c r="E650" i="16"/>
  <c r="F650" i="16"/>
  <c r="G650" i="16"/>
  <c r="J650" i="16" s="1"/>
  <c r="I650" i="16"/>
  <c r="A651" i="16"/>
  <c r="B651" i="16"/>
  <c r="C651" i="16"/>
  <c r="D651" i="16"/>
  <c r="E651" i="16"/>
  <c r="F651" i="16"/>
  <c r="G651" i="16"/>
  <c r="J651" i="16" s="1"/>
  <c r="I651" i="16"/>
  <c r="A652" i="16"/>
  <c r="B652" i="16"/>
  <c r="C652" i="16"/>
  <c r="D652" i="16"/>
  <c r="E652" i="16"/>
  <c r="F652" i="16"/>
  <c r="G652" i="16"/>
  <c r="J652" i="16" s="1"/>
  <c r="I652" i="16"/>
  <c r="A653" i="16"/>
  <c r="B653" i="16"/>
  <c r="C653" i="16"/>
  <c r="D653" i="16"/>
  <c r="E653" i="16"/>
  <c r="F653" i="16"/>
  <c r="G653" i="16"/>
  <c r="J653" i="16" s="1"/>
  <c r="I653" i="16"/>
  <c r="A654" i="16"/>
  <c r="B654" i="16"/>
  <c r="C654" i="16"/>
  <c r="D654" i="16"/>
  <c r="E654" i="16"/>
  <c r="F654" i="16"/>
  <c r="G654" i="16"/>
  <c r="J654" i="16" s="1"/>
  <c r="I654" i="16"/>
  <c r="A655" i="16"/>
  <c r="B655" i="16"/>
  <c r="C655" i="16"/>
  <c r="D655" i="16"/>
  <c r="E655" i="16"/>
  <c r="F655" i="16"/>
  <c r="G655" i="16"/>
  <c r="J655" i="16" s="1"/>
  <c r="I655" i="16"/>
  <c r="A656" i="16"/>
  <c r="B656" i="16"/>
  <c r="C656" i="16"/>
  <c r="D656" i="16"/>
  <c r="E656" i="16"/>
  <c r="F656" i="16"/>
  <c r="G656" i="16"/>
  <c r="J656" i="16" s="1"/>
  <c r="I656" i="16"/>
  <c r="A657" i="16"/>
  <c r="B657" i="16"/>
  <c r="C657" i="16"/>
  <c r="D657" i="16"/>
  <c r="E657" i="16"/>
  <c r="F657" i="16"/>
  <c r="G657" i="16"/>
  <c r="J657" i="16" s="1"/>
  <c r="I657" i="16"/>
  <c r="A658" i="16"/>
  <c r="B658" i="16"/>
  <c r="C658" i="16"/>
  <c r="D658" i="16"/>
  <c r="E658" i="16"/>
  <c r="F658" i="16"/>
  <c r="G658" i="16"/>
  <c r="J658" i="16" s="1"/>
  <c r="I658" i="16"/>
  <c r="A659" i="16"/>
  <c r="B659" i="16"/>
  <c r="C659" i="16"/>
  <c r="D659" i="16"/>
  <c r="E659" i="16"/>
  <c r="F659" i="16"/>
  <c r="G659" i="16"/>
  <c r="J659" i="16" s="1"/>
  <c r="I659" i="16"/>
  <c r="A660" i="16"/>
  <c r="B660" i="16"/>
  <c r="C660" i="16"/>
  <c r="D660" i="16"/>
  <c r="E660" i="16"/>
  <c r="F660" i="16"/>
  <c r="G660" i="16"/>
  <c r="J660" i="16" s="1"/>
  <c r="I660" i="16"/>
  <c r="A661" i="16"/>
  <c r="B661" i="16"/>
  <c r="C661" i="16"/>
  <c r="D661" i="16"/>
  <c r="E661" i="16"/>
  <c r="F661" i="16"/>
  <c r="G661" i="16"/>
  <c r="J661" i="16" s="1"/>
  <c r="I661" i="16"/>
  <c r="A662" i="16"/>
  <c r="B662" i="16"/>
  <c r="C662" i="16"/>
  <c r="D662" i="16"/>
  <c r="E662" i="16"/>
  <c r="F662" i="16"/>
  <c r="G662" i="16"/>
  <c r="J662" i="16" s="1"/>
  <c r="I662" i="16"/>
  <c r="A663" i="16"/>
  <c r="B663" i="16"/>
  <c r="C663" i="16"/>
  <c r="D663" i="16"/>
  <c r="E663" i="16"/>
  <c r="F663" i="16"/>
  <c r="G663" i="16"/>
  <c r="J663" i="16" s="1"/>
  <c r="I663" i="16"/>
  <c r="A664" i="16"/>
  <c r="B664" i="16"/>
  <c r="C664" i="16"/>
  <c r="D664" i="16"/>
  <c r="E664" i="16"/>
  <c r="F664" i="16"/>
  <c r="G664" i="16"/>
  <c r="J664" i="16" s="1"/>
  <c r="I664" i="16"/>
  <c r="A665" i="16"/>
  <c r="B665" i="16"/>
  <c r="C665" i="16"/>
  <c r="D665" i="16"/>
  <c r="E665" i="16"/>
  <c r="F665" i="16"/>
  <c r="G665" i="16"/>
  <c r="J665" i="16" s="1"/>
  <c r="I665" i="16"/>
  <c r="A666" i="16"/>
  <c r="B666" i="16"/>
  <c r="C666" i="16"/>
  <c r="D666" i="16"/>
  <c r="E666" i="16"/>
  <c r="F666" i="16"/>
  <c r="G666" i="16"/>
  <c r="J666" i="16" s="1"/>
  <c r="I666" i="16"/>
  <c r="A667" i="16"/>
  <c r="B667" i="16"/>
  <c r="C667" i="16"/>
  <c r="D667" i="16"/>
  <c r="E667" i="16"/>
  <c r="F667" i="16"/>
  <c r="G667" i="16"/>
  <c r="J667" i="16" s="1"/>
  <c r="I667" i="16"/>
  <c r="A668" i="16"/>
  <c r="B668" i="16"/>
  <c r="C668" i="16"/>
  <c r="D668" i="16"/>
  <c r="E668" i="16"/>
  <c r="F668" i="16"/>
  <c r="G668" i="16"/>
  <c r="J668" i="16" s="1"/>
  <c r="I668" i="16"/>
  <c r="A669" i="16"/>
  <c r="B669" i="16"/>
  <c r="C669" i="16"/>
  <c r="D669" i="16"/>
  <c r="E669" i="16"/>
  <c r="F669" i="16"/>
  <c r="G669" i="16"/>
  <c r="J669" i="16" s="1"/>
  <c r="I669" i="16"/>
  <c r="A670" i="16"/>
  <c r="B670" i="16"/>
  <c r="C670" i="16"/>
  <c r="D670" i="16"/>
  <c r="E670" i="16"/>
  <c r="F670" i="16"/>
  <c r="G670" i="16"/>
  <c r="J670" i="16" s="1"/>
  <c r="I670" i="16"/>
  <c r="A671" i="16"/>
  <c r="B671" i="16"/>
  <c r="C671" i="16"/>
  <c r="D671" i="16"/>
  <c r="E671" i="16"/>
  <c r="F671" i="16"/>
  <c r="G671" i="16"/>
  <c r="J671" i="16" s="1"/>
  <c r="I671" i="16"/>
  <c r="A672" i="16"/>
  <c r="B672" i="16"/>
  <c r="C672" i="16"/>
  <c r="D672" i="16"/>
  <c r="E672" i="16"/>
  <c r="F672" i="16"/>
  <c r="G672" i="16"/>
  <c r="J672" i="16" s="1"/>
  <c r="I672" i="16"/>
  <c r="A673" i="16"/>
  <c r="B673" i="16"/>
  <c r="C673" i="16"/>
  <c r="D673" i="16"/>
  <c r="E673" i="16"/>
  <c r="F673" i="16"/>
  <c r="G673" i="16"/>
  <c r="J673" i="16" s="1"/>
  <c r="I673" i="16"/>
  <c r="A674" i="16"/>
  <c r="B674" i="16"/>
  <c r="C674" i="16"/>
  <c r="D674" i="16"/>
  <c r="E674" i="16"/>
  <c r="F674" i="16"/>
  <c r="G674" i="16"/>
  <c r="J674" i="16" s="1"/>
  <c r="I674" i="16"/>
  <c r="A675" i="16"/>
  <c r="B675" i="16"/>
  <c r="C675" i="16"/>
  <c r="D675" i="16"/>
  <c r="E675" i="16"/>
  <c r="F675" i="16"/>
  <c r="G675" i="16"/>
  <c r="J675" i="16" s="1"/>
  <c r="I675" i="16"/>
  <c r="A676" i="16"/>
  <c r="B676" i="16"/>
  <c r="C676" i="16"/>
  <c r="D676" i="16"/>
  <c r="E676" i="16"/>
  <c r="F676" i="16"/>
  <c r="G676" i="16"/>
  <c r="J676" i="16" s="1"/>
  <c r="I676" i="16"/>
  <c r="A677" i="16"/>
  <c r="B677" i="16"/>
  <c r="C677" i="16"/>
  <c r="D677" i="16"/>
  <c r="E677" i="16"/>
  <c r="F677" i="16"/>
  <c r="G677" i="16"/>
  <c r="J677" i="16" s="1"/>
  <c r="I677" i="16"/>
  <c r="A678" i="16"/>
  <c r="B678" i="16"/>
  <c r="C678" i="16"/>
  <c r="D678" i="16"/>
  <c r="E678" i="16"/>
  <c r="F678" i="16"/>
  <c r="G678" i="16"/>
  <c r="J678" i="16" s="1"/>
  <c r="I678" i="16"/>
  <c r="A679" i="16"/>
  <c r="B679" i="16"/>
  <c r="C679" i="16"/>
  <c r="D679" i="16"/>
  <c r="E679" i="16"/>
  <c r="F679" i="16"/>
  <c r="G679" i="16"/>
  <c r="J679" i="16" s="1"/>
  <c r="I679" i="16"/>
  <c r="A680" i="16"/>
  <c r="B680" i="16"/>
  <c r="C680" i="16"/>
  <c r="D680" i="16"/>
  <c r="E680" i="16"/>
  <c r="F680" i="16"/>
  <c r="G680" i="16"/>
  <c r="J680" i="16" s="1"/>
  <c r="I680" i="16"/>
  <c r="A681" i="16"/>
  <c r="B681" i="16"/>
  <c r="C681" i="16"/>
  <c r="D681" i="16"/>
  <c r="E681" i="16"/>
  <c r="F681" i="16"/>
  <c r="G681" i="16"/>
  <c r="J681" i="16" s="1"/>
  <c r="I681" i="16"/>
  <c r="A682" i="16"/>
  <c r="B682" i="16"/>
  <c r="C682" i="16"/>
  <c r="D682" i="16"/>
  <c r="E682" i="16"/>
  <c r="F682" i="16"/>
  <c r="G682" i="16"/>
  <c r="J682" i="16" s="1"/>
  <c r="I682" i="16"/>
  <c r="A683" i="16"/>
  <c r="B683" i="16"/>
  <c r="C683" i="16"/>
  <c r="D683" i="16"/>
  <c r="E683" i="16"/>
  <c r="F683" i="16"/>
  <c r="G683" i="16"/>
  <c r="J683" i="16" s="1"/>
  <c r="I683" i="16"/>
  <c r="A684" i="16"/>
  <c r="B684" i="16"/>
  <c r="C684" i="16"/>
  <c r="D684" i="16"/>
  <c r="E684" i="16"/>
  <c r="F684" i="16"/>
  <c r="G684" i="16"/>
  <c r="J684" i="16" s="1"/>
  <c r="I684" i="16"/>
  <c r="A685" i="16"/>
  <c r="B685" i="16"/>
  <c r="C685" i="16"/>
  <c r="D685" i="16"/>
  <c r="E685" i="16"/>
  <c r="F685" i="16"/>
  <c r="G685" i="16"/>
  <c r="J685" i="16" s="1"/>
  <c r="I685" i="16"/>
  <c r="A686" i="16"/>
  <c r="B686" i="16"/>
  <c r="C686" i="16"/>
  <c r="D686" i="16"/>
  <c r="E686" i="16"/>
  <c r="F686" i="16"/>
  <c r="G686" i="16"/>
  <c r="J686" i="16" s="1"/>
  <c r="I686" i="16"/>
  <c r="A687" i="16"/>
  <c r="B687" i="16"/>
  <c r="C687" i="16"/>
  <c r="D687" i="16"/>
  <c r="E687" i="16"/>
  <c r="F687" i="16"/>
  <c r="G687" i="16"/>
  <c r="J687" i="16" s="1"/>
  <c r="I687" i="16"/>
  <c r="A688" i="16"/>
  <c r="B688" i="16"/>
  <c r="C688" i="16"/>
  <c r="D688" i="16"/>
  <c r="E688" i="16"/>
  <c r="F688" i="16"/>
  <c r="G688" i="16"/>
  <c r="J688" i="16" s="1"/>
  <c r="I688" i="16"/>
  <c r="A689" i="16"/>
  <c r="B689" i="16"/>
  <c r="C689" i="16"/>
  <c r="D689" i="16"/>
  <c r="E689" i="16"/>
  <c r="F689" i="16"/>
  <c r="G689" i="16"/>
  <c r="J689" i="16" s="1"/>
  <c r="I689" i="16"/>
  <c r="A690" i="16"/>
  <c r="B690" i="16"/>
  <c r="C690" i="16"/>
  <c r="D690" i="16"/>
  <c r="E690" i="16"/>
  <c r="F690" i="16"/>
  <c r="G690" i="16"/>
  <c r="J690" i="16" s="1"/>
  <c r="I690" i="16"/>
  <c r="A691" i="16"/>
  <c r="B691" i="16"/>
  <c r="C691" i="16"/>
  <c r="D691" i="16"/>
  <c r="E691" i="16"/>
  <c r="F691" i="16"/>
  <c r="G691" i="16"/>
  <c r="J691" i="16" s="1"/>
  <c r="I691" i="16"/>
  <c r="A692" i="16"/>
  <c r="B692" i="16"/>
  <c r="C692" i="16"/>
  <c r="D692" i="16"/>
  <c r="E692" i="16"/>
  <c r="F692" i="16"/>
  <c r="G692" i="16"/>
  <c r="J692" i="16" s="1"/>
  <c r="I692" i="16"/>
  <c r="A693" i="16"/>
  <c r="B693" i="16"/>
  <c r="C693" i="16"/>
  <c r="D693" i="16"/>
  <c r="E693" i="16"/>
  <c r="F693" i="16"/>
  <c r="G693" i="16"/>
  <c r="J693" i="16" s="1"/>
  <c r="I693" i="16"/>
  <c r="A694" i="16"/>
  <c r="B694" i="16"/>
  <c r="C694" i="16"/>
  <c r="D694" i="16"/>
  <c r="E694" i="16"/>
  <c r="F694" i="16"/>
  <c r="G694" i="16"/>
  <c r="J694" i="16" s="1"/>
  <c r="I694" i="16"/>
  <c r="A695" i="16"/>
  <c r="B695" i="16"/>
  <c r="C695" i="16"/>
  <c r="D695" i="16"/>
  <c r="E695" i="16"/>
  <c r="F695" i="16"/>
  <c r="G695" i="16"/>
  <c r="J695" i="16" s="1"/>
  <c r="I695" i="16"/>
  <c r="A696" i="16"/>
  <c r="B696" i="16"/>
  <c r="C696" i="16"/>
  <c r="D696" i="16"/>
  <c r="E696" i="16"/>
  <c r="F696" i="16"/>
  <c r="G696" i="16"/>
  <c r="J696" i="16" s="1"/>
  <c r="I696" i="16"/>
  <c r="A697" i="16"/>
  <c r="B697" i="16"/>
  <c r="C697" i="16"/>
  <c r="D697" i="16"/>
  <c r="E697" i="16"/>
  <c r="F697" i="16"/>
  <c r="G697" i="16"/>
  <c r="J697" i="16" s="1"/>
  <c r="I697" i="16"/>
  <c r="A698" i="16"/>
  <c r="B698" i="16"/>
  <c r="C698" i="16"/>
  <c r="D698" i="16"/>
  <c r="E698" i="16"/>
  <c r="F698" i="16"/>
  <c r="G698" i="16"/>
  <c r="J698" i="16" s="1"/>
  <c r="I698" i="16"/>
  <c r="A699" i="16"/>
  <c r="B699" i="16"/>
  <c r="C699" i="16"/>
  <c r="D699" i="16"/>
  <c r="E699" i="16"/>
  <c r="F699" i="16"/>
  <c r="G699" i="16"/>
  <c r="J699" i="16" s="1"/>
  <c r="I699" i="16"/>
  <c r="A700" i="16"/>
  <c r="B700" i="16"/>
  <c r="C700" i="16"/>
  <c r="D700" i="16"/>
  <c r="E700" i="16"/>
  <c r="F700" i="16"/>
  <c r="G700" i="16"/>
  <c r="J700" i="16" s="1"/>
  <c r="I700" i="16"/>
  <c r="A701" i="16"/>
  <c r="B701" i="16"/>
  <c r="C701" i="16"/>
  <c r="D701" i="16"/>
  <c r="E701" i="16"/>
  <c r="F701" i="16"/>
  <c r="G701" i="16"/>
  <c r="J701" i="16" s="1"/>
  <c r="I701" i="16"/>
  <c r="A702" i="16"/>
  <c r="B702" i="16"/>
  <c r="C702" i="16"/>
  <c r="D702" i="16"/>
  <c r="E702" i="16"/>
  <c r="F702" i="16"/>
  <c r="G702" i="16"/>
  <c r="J702" i="16" s="1"/>
  <c r="I702" i="16"/>
  <c r="A703" i="16"/>
  <c r="B703" i="16"/>
  <c r="C703" i="16"/>
  <c r="D703" i="16"/>
  <c r="E703" i="16"/>
  <c r="F703" i="16"/>
  <c r="G703" i="16"/>
  <c r="J703" i="16" s="1"/>
  <c r="I703" i="16"/>
  <c r="A704" i="16"/>
  <c r="B704" i="16"/>
  <c r="C704" i="16"/>
  <c r="D704" i="16"/>
  <c r="E704" i="16"/>
  <c r="F704" i="16"/>
  <c r="G704" i="16"/>
  <c r="J704" i="16" s="1"/>
  <c r="I704" i="16"/>
  <c r="A705" i="16"/>
  <c r="B705" i="16"/>
  <c r="C705" i="16"/>
  <c r="D705" i="16"/>
  <c r="E705" i="16"/>
  <c r="F705" i="16"/>
  <c r="G705" i="16"/>
  <c r="J705" i="16" s="1"/>
  <c r="I705" i="16"/>
  <c r="A706" i="16"/>
  <c r="B706" i="16"/>
  <c r="C706" i="16"/>
  <c r="D706" i="16"/>
  <c r="E706" i="16"/>
  <c r="F706" i="16"/>
  <c r="G706" i="16"/>
  <c r="J706" i="16" s="1"/>
  <c r="I706" i="16"/>
  <c r="A707" i="16"/>
  <c r="B707" i="16"/>
  <c r="C707" i="16"/>
  <c r="D707" i="16"/>
  <c r="E707" i="16"/>
  <c r="F707" i="16"/>
  <c r="G707" i="16"/>
  <c r="J707" i="16" s="1"/>
  <c r="I707" i="16"/>
  <c r="A708" i="16"/>
  <c r="B708" i="16"/>
  <c r="C708" i="16"/>
  <c r="D708" i="16"/>
  <c r="E708" i="16"/>
  <c r="F708" i="16"/>
  <c r="G708" i="16"/>
  <c r="J708" i="16" s="1"/>
  <c r="I708" i="16"/>
  <c r="A709" i="16"/>
  <c r="B709" i="16"/>
  <c r="C709" i="16"/>
  <c r="D709" i="16"/>
  <c r="E709" i="16"/>
  <c r="F709" i="16"/>
  <c r="G709" i="16"/>
  <c r="J709" i="16" s="1"/>
  <c r="I709" i="16"/>
  <c r="A710" i="16"/>
  <c r="B710" i="16"/>
  <c r="C710" i="16"/>
  <c r="D710" i="16"/>
  <c r="E710" i="16"/>
  <c r="F710" i="16"/>
  <c r="G710" i="16"/>
  <c r="J710" i="16" s="1"/>
  <c r="I710" i="16"/>
  <c r="A711" i="16"/>
  <c r="B711" i="16"/>
  <c r="C711" i="16"/>
  <c r="D711" i="16"/>
  <c r="E711" i="16"/>
  <c r="F711" i="16"/>
  <c r="G711" i="16"/>
  <c r="J711" i="16" s="1"/>
  <c r="I711" i="16"/>
  <c r="A712" i="16"/>
  <c r="B712" i="16"/>
  <c r="C712" i="16"/>
  <c r="D712" i="16"/>
  <c r="E712" i="16"/>
  <c r="F712" i="16"/>
  <c r="G712" i="16"/>
  <c r="J712" i="16" s="1"/>
  <c r="I712" i="16"/>
  <c r="A713" i="16"/>
  <c r="B713" i="16"/>
  <c r="C713" i="16"/>
  <c r="D713" i="16"/>
  <c r="E713" i="16"/>
  <c r="F713" i="16"/>
  <c r="G713" i="16"/>
  <c r="J713" i="16" s="1"/>
  <c r="I713" i="16"/>
  <c r="A714" i="16"/>
  <c r="B714" i="16"/>
  <c r="C714" i="16"/>
  <c r="D714" i="16"/>
  <c r="E714" i="16"/>
  <c r="F714" i="16"/>
  <c r="G714" i="16"/>
  <c r="J714" i="16" s="1"/>
  <c r="I714" i="16"/>
  <c r="A715" i="16"/>
  <c r="B715" i="16"/>
  <c r="C715" i="16"/>
  <c r="D715" i="16"/>
  <c r="E715" i="16"/>
  <c r="F715" i="16"/>
  <c r="G715" i="16"/>
  <c r="J715" i="16" s="1"/>
  <c r="I715" i="16"/>
  <c r="A716" i="16"/>
  <c r="B716" i="16"/>
  <c r="C716" i="16"/>
  <c r="D716" i="16"/>
  <c r="E716" i="16"/>
  <c r="F716" i="16"/>
  <c r="G716" i="16"/>
  <c r="J716" i="16" s="1"/>
  <c r="I716" i="16"/>
  <c r="A717" i="16"/>
  <c r="B717" i="16"/>
  <c r="C717" i="16"/>
  <c r="D717" i="16"/>
  <c r="E717" i="16"/>
  <c r="F717" i="16"/>
  <c r="G717" i="16"/>
  <c r="J717" i="16" s="1"/>
  <c r="I717" i="16"/>
  <c r="A718" i="16"/>
  <c r="B718" i="16"/>
  <c r="C718" i="16"/>
  <c r="D718" i="16"/>
  <c r="E718" i="16"/>
  <c r="F718" i="16"/>
  <c r="G718" i="16"/>
  <c r="J718" i="16" s="1"/>
  <c r="I718" i="16"/>
  <c r="A719" i="16"/>
  <c r="B719" i="16"/>
  <c r="C719" i="16"/>
  <c r="D719" i="16"/>
  <c r="E719" i="16"/>
  <c r="F719" i="16"/>
  <c r="G719" i="16"/>
  <c r="J719" i="16" s="1"/>
  <c r="I719" i="16"/>
  <c r="A720" i="16"/>
  <c r="B720" i="16"/>
  <c r="C720" i="16"/>
  <c r="D720" i="16"/>
  <c r="E720" i="16"/>
  <c r="F720" i="16"/>
  <c r="G720" i="16"/>
  <c r="J720" i="16" s="1"/>
  <c r="I720" i="16"/>
  <c r="A721" i="16"/>
  <c r="B721" i="16"/>
  <c r="C721" i="16"/>
  <c r="D721" i="16"/>
  <c r="E721" i="16"/>
  <c r="F721" i="16"/>
  <c r="G721" i="16"/>
  <c r="J721" i="16" s="1"/>
  <c r="I721" i="16"/>
  <c r="A722" i="16"/>
  <c r="B722" i="16"/>
  <c r="C722" i="16"/>
  <c r="D722" i="16"/>
  <c r="E722" i="16"/>
  <c r="F722" i="16"/>
  <c r="G722" i="16"/>
  <c r="J722" i="16" s="1"/>
  <c r="I722" i="16"/>
  <c r="A723" i="16"/>
  <c r="B723" i="16"/>
  <c r="C723" i="16"/>
  <c r="D723" i="16"/>
  <c r="E723" i="16"/>
  <c r="F723" i="16"/>
  <c r="G723" i="16"/>
  <c r="J723" i="16" s="1"/>
  <c r="I723" i="16"/>
  <c r="A724" i="16"/>
  <c r="B724" i="16"/>
  <c r="C724" i="16"/>
  <c r="D724" i="16"/>
  <c r="E724" i="16"/>
  <c r="F724" i="16"/>
  <c r="G724" i="16"/>
  <c r="J724" i="16" s="1"/>
  <c r="I724" i="16"/>
  <c r="A725" i="16"/>
  <c r="B725" i="16"/>
  <c r="C725" i="16"/>
  <c r="D725" i="16"/>
  <c r="E725" i="16"/>
  <c r="F725" i="16"/>
  <c r="G725" i="16"/>
  <c r="J725" i="16" s="1"/>
  <c r="I725" i="16"/>
  <c r="A726" i="16"/>
  <c r="B726" i="16"/>
  <c r="C726" i="16"/>
  <c r="D726" i="16"/>
  <c r="E726" i="16"/>
  <c r="F726" i="16"/>
  <c r="G726" i="16"/>
  <c r="J726" i="16" s="1"/>
  <c r="I726" i="16"/>
  <c r="A727" i="16"/>
  <c r="B727" i="16"/>
  <c r="C727" i="16"/>
  <c r="D727" i="16"/>
  <c r="E727" i="16"/>
  <c r="F727" i="16"/>
  <c r="G727" i="16"/>
  <c r="J727" i="16" s="1"/>
  <c r="I727" i="16"/>
  <c r="A728" i="16"/>
  <c r="B728" i="16"/>
  <c r="C728" i="16"/>
  <c r="D728" i="16"/>
  <c r="E728" i="16"/>
  <c r="F728" i="16"/>
  <c r="G728" i="16"/>
  <c r="J728" i="16" s="1"/>
  <c r="I728" i="16"/>
  <c r="A729" i="16"/>
  <c r="B729" i="16"/>
  <c r="C729" i="16"/>
  <c r="D729" i="16"/>
  <c r="E729" i="16"/>
  <c r="F729" i="16"/>
  <c r="G729" i="16"/>
  <c r="J729" i="16" s="1"/>
  <c r="I729" i="16"/>
  <c r="A730" i="16"/>
  <c r="B730" i="16"/>
  <c r="C730" i="16"/>
  <c r="D730" i="16"/>
  <c r="E730" i="16"/>
  <c r="F730" i="16"/>
  <c r="G730" i="16"/>
  <c r="J730" i="16" s="1"/>
  <c r="I730" i="16"/>
  <c r="A731" i="16"/>
  <c r="B731" i="16"/>
  <c r="C731" i="16"/>
  <c r="D731" i="16"/>
  <c r="E731" i="16"/>
  <c r="F731" i="16"/>
  <c r="G731" i="16"/>
  <c r="J731" i="16" s="1"/>
  <c r="I731" i="16"/>
  <c r="A732" i="16"/>
  <c r="B732" i="16"/>
  <c r="C732" i="16"/>
  <c r="D732" i="16"/>
  <c r="E732" i="16"/>
  <c r="F732" i="16"/>
  <c r="G732" i="16"/>
  <c r="J732" i="16" s="1"/>
  <c r="I732" i="16"/>
  <c r="A733" i="16"/>
  <c r="B733" i="16"/>
  <c r="C733" i="16"/>
  <c r="D733" i="16"/>
  <c r="E733" i="16"/>
  <c r="F733" i="16"/>
  <c r="G733" i="16"/>
  <c r="J733" i="16" s="1"/>
  <c r="I733" i="16"/>
  <c r="A734" i="16"/>
  <c r="B734" i="16"/>
  <c r="C734" i="16"/>
  <c r="D734" i="16"/>
  <c r="E734" i="16"/>
  <c r="F734" i="16"/>
  <c r="G734" i="16"/>
  <c r="J734" i="16" s="1"/>
  <c r="I734" i="16"/>
  <c r="A735" i="16"/>
  <c r="B735" i="16"/>
  <c r="C735" i="16"/>
  <c r="D735" i="16"/>
  <c r="E735" i="16"/>
  <c r="F735" i="16"/>
  <c r="G735" i="16"/>
  <c r="J735" i="16" s="1"/>
  <c r="I735" i="16"/>
  <c r="A736" i="16"/>
  <c r="B736" i="16"/>
  <c r="C736" i="16"/>
  <c r="D736" i="16"/>
  <c r="E736" i="16"/>
  <c r="F736" i="16"/>
  <c r="G736" i="16"/>
  <c r="J736" i="16" s="1"/>
  <c r="I736" i="16"/>
  <c r="A737" i="16"/>
  <c r="B737" i="16"/>
  <c r="C737" i="16"/>
  <c r="D737" i="16"/>
  <c r="E737" i="16"/>
  <c r="F737" i="16"/>
  <c r="G737" i="16"/>
  <c r="J737" i="16" s="1"/>
  <c r="I737" i="16"/>
  <c r="A738" i="16"/>
  <c r="B738" i="16"/>
  <c r="C738" i="16"/>
  <c r="D738" i="16"/>
  <c r="E738" i="16"/>
  <c r="F738" i="16"/>
  <c r="G738" i="16"/>
  <c r="J738" i="16" s="1"/>
  <c r="I738" i="16"/>
  <c r="A739" i="16"/>
  <c r="B739" i="16"/>
  <c r="C739" i="16"/>
  <c r="D739" i="16"/>
  <c r="E739" i="16"/>
  <c r="F739" i="16"/>
  <c r="G739" i="16"/>
  <c r="J739" i="16" s="1"/>
  <c r="I739" i="16"/>
  <c r="A740" i="16"/>
  <c r="B740" i="16"/>
  <c r="C740" i="16"/>
  <c r="D740" i="16"/>
  <c r="E740" i="16"/>
  <c r="F740" i="16"/>
  <c r="G740" i="16"/>
  <c r="J740" i="16" s="1"/>
  <c r="I740" i="16"/>
  <c r="A741" i="16"/>
  <c r="B741" i="16"/>
  <c r="C741" i="16"/>
  <c r="D741" i="16"/>
  <c r="E741" i="16"/>
  <c r="F741" i="16"/>
  <c r="G741" i="16"/>
  <c r="J741" i="16" s="1"/>
  <c r="I741" i="16"/>
  <c r="A742" i="16"/>
  <c r="B742" i="16"/>
  <c r="C742" i="16"/>
  <c r="D742" i="16"/>
  <c r="E742" i="16"/>
  <c r="F742" i="16"/>
  <c r="G742" i="16"/>
  <c r="J742" i="16" s="1"/>
  <c r="I742" i="16"/>
  <c r="A743" i="16"/>
  <c r="B743" i="16"/>
  <c r="C743" i="16"/>
  <c r="D743" i="16"/>
  <c r="E743" i="16"/>
  <c r="F743" i="16"/>
  <c r="G743" i="16"/>
  <c r="J743" i="16" s="1"/>
  <c r="I743" i="16"/>
  <c r="A744" i="16"/>
  <c r="B744" i="16"/>
  <c r="C744" i="16"/>
  <c r="D744" i="16"/>
  <c r="E744" i="16"/>
  <c r="F744" i="16"/>
  <c r="G744" i="16"/>
  <c r="J744" i="16" s="1"/>
  <c r="I744" i="16"/>
  <c r="A745" i="16"/>
  <c r="B745" i="16"/>
  <c r="C745" i="16"/>
  <c r="D745" i="16"/>
  <c r="E745" i="16"/>
  <c r="F745" i="16"/>
  <c r="G745" i="16"/>
  <c r="J745" i="16" s="1"/>
  <c r="I745" i="16"/>
  <c r="A746" i="16"/>
  <c r="B746" i="16"/>
  <c r="C746" i="16"/>
  <c r="D746" i="16"/>
  <c r="E746" i="16"/>
  <c r="F746" i="16"/>
  <c r="G746" i="16"/>
  <c r="J746" i="16" s="1"/>
  <c r="I746" i="16"/>
  <c r="A747" i="16"/>
  <c r="B747" i="16"/>
  <c r="C747" i="16"/>
  <c r="D747" i="16"/>
  <c r="E747" i="16"/>
  <c r="F747" i="16"/>
  <c r="G747" i="16"/>
  <c r="J747" i="16" s="1"/>
  <c r="I747" i="16"/>
  <c r="A748" i="16"/>
  <c r="B748" i="16"/>
  <c r="C748" i="16"/>
  <c r="D748" i="16"/>
  <c r="E748" i="16"/>
  <c r="F748" i="16"/>
  <c r="G748" i="16"/>
  <c r="J748" i="16" s="1"/>
  <c r="I748" i="16"/>
  <c r="A749" i="16"/>
  <c r="B749" i="16"/>
  <c r="C749" i="16"/>
  <c r="D749" i="16"/>
  <c r="E749" i="16"/>
  <c r="F749" i="16"/>
  <c r="G749" i="16"/>
  <c r="J749" i="16" s="1"/>
  <c r="I749" i="16"/>
  <c r="A750" i="16"/>
  <c r="B750" i="16"/>
  <c r="C750" i="16"/>
  <c r="D750" i="16"/>
  <c r="E750" i="16"/>
  <c r="F750" i="16"/>
  <c r="G750" i="16"/>
  <c r="J750" i="16" s="1"/>
  <c r="I750" i="16"/>
  <c r="A751" i="16"/>
  <c r="B751" i="16"/>
  <c r="C751" i="16"/>
  <c r="D751" i="16"/>
  <c r="E751" i="16"/>
  <c r="F751" i="16"/>
  <c r="G751" i="16"/>
  <c r="J751" i="16" s="1"/>
  <c r="I751" i="16"/>
  <c r="A752" i="16"/>
  <c r="B752" i="16"/>
  <c r="C752" i="16"/>
  <c r="D752" i="16"/>
  <c r="E752" i="16"/>
  <c r="F752" i="16"/>
  <c r="G752" i="16"/>
  <c r="J752" i="16" s="1"/>
  <c r="I752" i="16"/>
  <c r="A753" i="16"/>
  <c r="B753" i="16"/>
  <c r="C753" i="16"/>
  <c r="D753" i="16"/>
  <c r="E753" i="16"/>
  <c r="F753" i="16"/>
  <c r="G753" i="16"/>
  <c r="J753" i="16" s="1"/>
  <c r="I753" i="16"/>
  <c r="A754" i="16"/>
  <c r="B754" i="16"/>
  <c r="C754" i="16"/>
  <c r="D754" i="16"/>
  <c r="E754" i="16"/>
  <c r="F754" i="16"/>
  <c r="G754" i="16"/>
  <c r="J754" i="16" s="1"/>
  <c r="I754" i="16"/>
  <c r="A755" i="16"/>
  <c r="B755" i="16"/>
  <c r="C755" i="16"/>
  <c r="D755" i="16"/>
  <c r="E755" i="16"/>
  <c r="F755" i="16"/>
  <c r="G755" i="16"/>
  <c r="J755" i="16" s="1"/>
  <c r="I755" i="16"/>
  <c r="A756" i="16"/>
  <c r="B756" i="16"/>
  <c r="C756" i="16"/>
  <c r="D756" i="16"/>
  <c r="E756" i="16"/>
  <c r="F756" i="16"/>
  <c r="G756" i="16"/>
  <c r="J756" i="16" s="1"/>
  <c r="I756" i="16"/>
  <c r="A757" i="16"/>
  <c r="B757" i="16"/>
  <c r="C757" i="16"/>
  <c r="D757" i="16"/>
  <c r="E757" i="16"/>
  <c r="F757" i="16"/>
  <c r="G757" i="16"/>
  <c r="J757" i="16" s="1"/>
  <c r="I757" i="16"/>
  <c r="A758" i="16"/>
  <c r="B758" i="16"/>
  <c r="C758" i="16"/>
  <c r="D758" i="16"/>
  <c r="E758" i="16"/>
  <c r="F758" i="16"/>
  <c r="G758" i="16"/>
  <c r="J758" i="16" s="1"/>
  <c r="I758" i="16"/>
  <c r="A759" i="16"/>
  <c r="B759" i="16"/>
  <c r="C759" i="16"/>
  <c r="D759" i="16"/>
  <c r="E759" i="16"/>
  <c r="F759" i="16"/>
  <c r="G759" i="16"/>
  <c r="J759" i="16" s="1"/>
  <c r="I759" i="16"/>
  <c r="A760" i="16"/>
  <c r="B760" i="16"/>
  <c r="C760" i="16"/>
  <c r="D760" i="16"/>
  <c r="E760" i="16"/>
  <c r="F760" i="16"/>
  <c r="G760" i="16"/>
  <c r="J760" i="16" s="1"/>
  <c r="I760" i="16"/>
  <c r="A761" i="16"/>
  <c r="B761" i="16"/>
  <c r="C761" i="16"/>
  <c r="D761" i="16"/>
  <c r="E761" i="16"/>
  <c r="F761" i="16"/>
  <c r="G761" i="16"/>
  <c r="J761" i="16" s="1"/>
  <c r="I761" i="16"/>
  <c r="A762" i="16"/>
  <c r="B762" i="16"/>
  <c r="C762" i="16"/>
  <c r="D762" i="16"/>
  <c r="E762" i="16"/>
  <c r="F762" i="16"/>
  <c r="G762" i="16"/>
  <c r="J762" i="16" s="1"/>
  <c r="I762" i="16"/>
  <c r="A763" i="16"/>
  <c r="B763" i="16"/>
  <c r="C763" i="16"/>
  <c r="D763" i="16"/>
  <c r="E763" i="16"/>
  <c r="F763" i="16"/>
  <c r="G763" i="16"/>
  <c r="J763" i="16" s="1"/>
  <c r="I763" i="16"/>
  <c r="A764" i="16"/>
  <c r="B764" i="16"/>
  <c r="C764" i="16"/>
  <c r="D764" i="16"/>
  <c r="E764" i="16"/>
  <c r="F764" i="16"/>
  <c r="G764" i="16"/>
  <c r="J764" i="16" s="1"/>
  <c r="I764" i="16"/>
  <c r="A765" i="16"/>
  <c r="B765" i="16"/>
  <c r="C765" i="16"/>
  <c r="D765" i="16"/>
  <c r="E765" i="16"/>
  <c r="F765" i="16"/>
  <c r="G765" i="16"/>
  <c r="J765" i="16" s="1"/>
  <c r="I765" i="16"/>
  <c r="A766" i="16"/>
  <c r="B766" i="16"/>
  <c r="C766" i="16"/>
  <c r="D766" i="16"/>
  <c r="E766" i="16"/>
  <c r="F766" i="16"/>
  <c r="G766" i="16"/>
  <c r="J766" i="16" s="1"/>
  <c r="I766" i="16"/>
  <c r="A767" i="16"/>
  <c r="B767" i="16"/>
  <c r="C767" i="16"/>
  <c r="D767" i="16"/>
  <c r="E767" i="16"/>
  <c r="F767" i="16"/>
  <c r="G767" i="16"/>
  <c r="J767" i="16" s="1"/>
  <c r="I767" i="16"/>
  <c r="A768" i="16"/>
  <c r="B768" i="16"/>
  <c r="C768" i="16"/>
  <c r="D768" i="16"/>
  <c r="E768" i="16"/>
  <c r="F768" i="16"/>
  <c r="G768" i="16"/>
  <c r="J768" i="16" s="1"/>
  <c r="I768" i="16"/>
  <c r="A769" i="16"/>
  <c r="B769" i="16"/>
  <c r="C769" i="16"/>
  <c r="D769" i="16"/>
  <c r="E769" i="16"/>
  <c r="F769" i="16"/>
  <c r="G769" i="16"/>
  <c r="J769" i="16" s="1"/>
  <c r="I769" i="16"/>
  <c r="A770" i="16"/>
  <c r="B770" i="16"/>
  <c r="C770" i="16"/>
  <c r="D770" i="16"/>
  <c r="E770" i="16"/>
  <c r="F770" i="16"/>
  <c r="G770" i="16"/>
  <c r="J770" i="16" s="1"/>
  <c r="I770" i="16"/>
  <c r="A771" i="16"/>
  <c r="B771" i="16"/>
  <c r="C771" i="16"/>
  <c r="D771" i="16"/>
  <c r="E771" i="16"/>
  <c r="F771" i="16"/>
  <c r="G771" i="16"/>
  <c r="J771" i="16" s="1"/>
  <c r="I771" i="16"/>
  <c r="A772" i="16"/>
  <c r="B772" i="16"/>
  <c r="C772" i="16"/>
  <c r="D772" i="16"/>
  <c r="E772" i="16"/>
  <c r="F772" i="16"/>
  <c r="G772" i="16"/>
  <c r="J772" i="16" s="1"/>
  <c r="I772" i="16"/>
  <c r="A773" i="16"/>
  <c r="B773" i="16"/>
  <c r="C773" i="16"/>
  <c r="D773" i="16"/>
  <c r="E773" i="16"/>
  <c r="F773" i="16"/>
  <c r="G773" i="16"/>
  <c r="J773" i="16" s="1"/>
  <c r="I773" i="16"/>
  <c r="A774" i="16"/>
  <c r="B774" i="16"/>
  <c r="C774" i="16"/>
  <c r="D774" i="16"/>
  <c r="E774" i="16"/>
  <c r="F774" i="16"/>
  <c r="G774" i="16"/>
  <c r="J774" i="16" s="1"/>
  <c r="I774" i="16"/>
  <c r="A775" i="16"/>
  <c r="B775" i="16"/>
  <c r="C775" i="16"/>
  <c r="D775" i="16"/>
  <c r="E775" i="16"/>
  <c r="F775" i="16"/>
  <c r="G775" i="16"/>
  <c r="J775" i="16" s="1"/>
  <c r="I775" i="16"/>
  <c r="A776" i="16"/>
  <c r="B776" i="16"/>
  <c r="C776" i="16"/>
  <c r="D776" i="16"/>
  <c r="E776" i="16"/>
  <c r="F776" i="16"/>
  <c r="G776" i="16"/>
  <c r="J776" i="16" s="1"/>
  <c r="I776" i="16"/>
  <c r="A777" i="16"/>
  <c r="B777" i="16"/>
  <c r="C777" i="16"/>
  <c r="D777" i="16"/>
  <c r="E777" i="16"/>
  <c r="F777" i="16"/>
  <c r="G777" i="16"/>
  <c r="J777" i="16" s="1"/>
  <c r="I777" i="16"/>
  <c r="A778" i="16"/>
  <c r="B778" i="16"/>
  <c r="C778" i="16"/>
  <c r="D778" i="16"/>
  <c r="E778" i="16"/>
  <c r="F778" i="16"/>
  <c r="G778" i="16"/>
  <c r="J778" i="16" s="1"/>
  <c r="I778" i="16"/>
  <c r="A779" i="16"/>
  <c r="B779" i="16"/>
  <c r="C779" i="16"/>
  <c r="D779" i="16"/>
  <c r="E779" i="16"/>
  <c r="F779" i="16"/>
  <c r="G779" i="16"/>
  <c r="J779" i="16" s="1"/>
  <c r="I779" i="16"/>
  <c r="A780" i="16"/>
  <c r="B780" i="16"/>
  <c r="C780" i="16"/>
  <c r="D780" i="16"/>
  <c r="E780" i="16"/>
  <c r="F780" i="16"/>
  <c r="G780" i="16"/>
  <c r="J780" i="16" s="1"/>
  <c r="I780" i="16"/>
  <c r="A781" i="16"/>
  <c r="B781" i="16"/>
  <c r="C781" i="16"/>
  <c r="D781" i="16"/>
  <c r="E781" i="16"/>
  <c r="F781" i="16"/>
  <c r="G781" i="16"/>
  <c r="J781" i="16" s="1"/>
  <c r="I781" i="16"/>
  <c r="A782" i="16"/>
  <c r="B782" i="16"/>
  <c r="C782" i="16"/>
  <c r="D782" i="16"/>
  <c r="E782" i="16"/>
  <c r="F782" i="16"/>
  <c r="G782" i="16"/>
  <c r="J782" i="16" s="1"/>
  <c r="I782" i="16"/>
  <c r="A783" i="16"/>
  <c r="B783" i="16"/>
  <c r="C783" i="16"/>
  <c r="D783" i="16"/>
  <c r="E783" i="16"/>
  <c r="F783" i="16"/>
  <c r="G783" i="16"/>
  <c r="J783" i="16" s="1"/>
  <c r="I783" i="16"/>
  <c r="A784" i="16"/>
  <c r="B784" i="16"/>
  <c r="C784" i="16"/>
  <c r="D784" i="16"/>
  <c r="E784" i="16"/>
  <c r="F784" i="16"/>
  <c r="G784" i="16"/>
  <c r="J784" i="16" s="1"/>
  <c r="I784" i="16"/>
  <c r="A785" i="16"/>
  <c r="B785" i="16"/>
  <c r="C785" i="16"/>
  <c r="D785" i="16"/>
  <c r="E785" i="16"/>
  <c r="F785" i="16"/>
  <c r="G785" i="16"/>
  <c r="J785" i="16" s="1"/>
  <c r="I785" i="16"/>
  <c r="A786" i="16"/>
  <c r="B786" i="16"/>
  <c r="C786" i="16"/>
  <c r="D786" i="16"/>
  <c r="E786" i="16"/>
  <c r="F786" i="16"/>
  <c r="G786" i="16"/>
  <c r="J786" i="16" s="1"/>
  <c r="I786" i="16"/>
  <c r="A787" i="16"/>
  <c r="B787" i="16"/>
  <c r="C787" i="16"/>
  <c r="D787" i="16"/>
  <c r="E787" i="16"/>
  <c r="F787" i="16"/>
  <c r="G787" i="16"/>
  <c r="J787" i="16" s="1"/>
  <c r="I787" i="16"/>
  <c r="A788" i="16"/>
  <c r="B788" i="16"/>
  <c r="C788" i="16"/>
  <c r="D788" i="16"/>
  <c r="E788" i="16"/>
  <c r="F788" i="16"/>
  <c r="G788" i="16"/>
  <c r="J788" i="16" s="1"/>
  <c r="I788" i="16"/>
  <c r="A789" i="16"/>
  <c r="B789" i="16"/>
  <c r="C789" i="16"/>
  <c r="D789" i="16"/>
  <c r="E789" i="16"/>
  <c r="F789" i="16"/>
  <c r="G789" i="16"/>
  <c r="J789" i="16" s="1"/>
  <c r="I789" i="16"/>
  <c r="A790" i="16"/>
  <c r="B790" i="16"/>
  <c r="C790" i="16"/>
  <c r="D790" i="16"/>
  <c r="E790" i="16"/>
  <c r="F790" i="16"/>
  <c r="G790" i="16"/>
  <c r="J790" i="16" s="1"/>
  <c r="I790" i="16"/>
  <c r="A791" i="16"/>
  <c r="B791" i="16"/>
  <c r="C791" i="16"/>
  <c r="D791" i="16"/>
  <c r="E791" i="16"/>
  <c r="F791" i="16"/>
  <c r="G791" i="16"/>
  <c r="J791" i="16" s="1"/>
  <c r="I791" i="16"/>
  <c r="A792" i="16"/>
  <c r="B792" i="16"/>
  <c r="C792" i="16"/>
  <c r="D792" i="16"/>
  <c r="E792" i="16"/>
  <c r="F792" i="16"/>
  <c r="G792" i="16"/>
  <c r="J792" i="16" s="1"/>
  <c r="I792" i="16"/>
  <c r="A793" i="16"/>
  <c r="B793" i="16"/>
  <c r="C793" i="16"/>
  <c r="D793" i="16"/>
  <c r="E793" i="16"/>
  <c r="F793" i="16"/>
  <c r="G793" i="16"/>
  <c r="J793" i="16" s="1"/>
  <c r="I793" i="16"/>
  <c r="A794" i="16"/>
  <c r="B794" i="16"/>
  <c r="C794" i="16"/>
  <c r="D794" i="16"/>
  <c r="E794" i="16"/>
  <c r="F794" i="16"/>
  <c r="G794" i="16"/>
  <c r="J794" i="16" s="1"/>
  <c r="I794" i="16"/>
  <c r="A795" i="16"/>
  <c r="B795" i="16"/>
  <c r="C795" i="16"/>
  <c r="D795" i="16"/>
  <c r="E795" i="16"/>
  <c r="F795" i="16"/>
  <c r="G795" i="16"/>
  <c r="J795" i="16" s="1"/>
  <c r="I795" i="16"/>
  <c r="A796" i="16"/>
  <c r="B796" i="16"/>
  <c r="C796" i="16"/>
  <c r="D796" i="16"/>
  <c r="E796" i="16"/>
  <c r="F796" i="16"/>
  <c r="G796" i="16"/>
  <c r="J796" i="16" s="1"/>
  <c r="I796" i="16"/>
  <c r="A797" i="16"/>
  <c r="B797" i="16"/>
  <c r="C797" i="16"/>
  <c r="D797" i="16"/>
  <c r="E797" i="16"/>
  <c r="F797" i="16"/>
  <c r="G797" i="16"/>
  <c r="J797" i="16" s="1"/>
  <c r="I797" i="16"/>
  <c r="A798" i="16"/>
  <c r="B798" i="16"/>
  <c r="C798" i="16"/>
  <c r="D798" i="16"/>
  <c r="E798" i="16"/>
  <c r="F798" i="16"/>
  <c r="G798" i="16"/>
  <c r="J798" i="16" s="1"/>
  <c r="I798" i="16"/>
  <c r="A799" i="16"/>
  <c r="B799" i="16"/>
  <c r="C799" i="16"/>
  <c r="D799" i="16"/>
  <c r="E799" i="16"/>
  <c r="F799" i="16"/>
  <c r="G799" i="16"/>
  <c r="J799" i="16" s="1"/>
  <c r="I799" i="16"/>
  <c r="A800" i="16"/>
  <c r="B800" i="16"/>
  <c r="C800" i="16"/>
  <c r="D800" i="16"/>
  <c r="E800" i="16"/>
  <c r="F800" i="16"/>
  <c r="G800" i="16"/>
  <c r="J800" i="16" s="1"/>
  <c r="I800" i="16"/>
  <c r="A801" i="16"/>
  <c r="B801" i="16"/>
  <c r="C801" i="16"/>
  <c r="D801" i="16"/>
  <c r="E801" i="16"/>
  <c r="F801" i="16"/>
  <c r="G801" i="16"/>
  <c r="J801" i="16" s="1"/>
  <c r="I801" i="16"/>
  <c r="A802" i="16"/>
  <c r="B802" i="16"/>
  <c r="C802" i="16"/>
  <c r="D802" i="16"/>
  <c r="E802" i="16"/>
  <c r="F802" i="16"/>
  <c r="G802" i="16"/>
  <c r="J802" i="16" s="1"/>
  <c r="I802" i="16"/>
  <c r="A803" i="16"/>
  <c r="B803" i="16"/>
  <c r="C803" i="16"/>
  <c r="D803" i="16"/>
  <c r="E803" i="16"/>
  <c r="F803" i="16"/>
  <c r="G803" i="16"/>
  <c r="J803" i="16" s="1"/>
  <c r="I803" i="16"/>
  <c r="A804" i="16"/>
  <c r="B804" i="16"/>
  <c r="C804" i="16"/>
  <c r="D804" i="16"/>
  <c r="E804" i="16"/>
  <c r="F804" i="16"/>
  <c r="G804" i="16"/>
  <c r="J804" i="16" s="1"/>
  <c r="I804" i="16"/>
  <c r="A805" i="16"/>
  <c r="B805" i="16"/>
  <c r="C805" i="16"/>
  <c r="D805" i="16"/>
  <c r="E805" i="16"/>
  <c r="F805" i="16"/>
  <c r="G805" i="16"/>
  <c r="J805" i="16" s="1"/>
  <c r="I805" i="16"/>
  <c r="A806" i="16"/>
  <c r="B806" i="16"/>
  <c r="C806" i="16"/>
  <c r="D806" i="16"/>
  <c r="E806" i="16"/>
  <c r="F806" i="16"/>
  <c r="G806" i="16"/>
  <c r="J806" i="16" s="1"/>
  <c r="I806" i="16"/>
  <c r="A807" i="16"/>
  <c r="B807" i="16"/>
  <c r="C807" i="16"/>
  <c r="D807" i="16"/>
  <c r="E807" i="16"/>
  <c r="F807" i="16"/>
  <c r="G807" i="16"/>
  <c r="J807" i="16" s="1"/>
  <c r="I807" i="16"/>
  <c r="A808" i="16"/>
  <c r="B808" i="16"/>
  <c r="C808" i="16"/>
  <c r="D808" i="16"/>
  <c r="E808" i="16"/>
  <c r="F808" i="16"/>
  <c r="G808" i="16"/>
  <c r="J808" i="16" s="1"/>
  <c r="I808" i="16"/>
  <c r="A809" i="16"/>
  <c r="B809" i="16"/>
  <c r="C809" i="16"/>
  <c r="D809" i="16"/>
  <c r="E809" i="16"/>
  <c r="F809" i="16"/>
  <c r="G809" i="16"/>
  <c r="J809" i="16" s="1"/>
  <c r="I809" i="16"/>
  <c r="A810" i="16"/>
  <c r="B810" i="16"/>
  <c r="C810" i="16"/>
  <c r="D810" i="16"/>
  <c r="E810" i="16"/>
  <c r="F810" i="16"/>
  <c r="G810" i="16"/>
  <c r="J810" i="16" s="1"/>
  <c r="I810" i="16"/>
  <c r="A811" i="16"/>
  <c r="B811" i="16"/>
  <c r="C811" i="16"/>
  <c r="D811" i="16"/>
  <c r="E811" i="16"/>
  <c r="F811" i="16"/>
  <c r="G811" i="16"/>
  <c r="J811" i="16" s="1"/>
  <c r="I811" i="16"/>
  <c r="A812" i="16"/>
  <c r="B812" i="16"/>
  <c r="C812" i="16"/>
  <c r="D812" i="16"/>
  <c r="E812" i="16"/>
  <c r="F812" i="16"/>
  <c r="G812" i="16"/>
  <c r="J812" i="16" s="1"/>
  <c r="I812" i="16"/>
  <c r="A813" i="16"/>
  <c r="B813" i="16"/>
  <c r="C813" i="16"/>
  <c r="D813" i="16"/>
  <c r="E813" i="16"/>
  <c r="F813" i="16"/>
  <c r="G813" i="16"/>
  <c r="J813" i="16" s="1"/>
  <c r="I813" i="16"/>
  <c r="A814" i="16"/>
  <c r="B814" i="16"/>
  <c r="C814" i="16"/>
  <c r="D814" i="16"/>
  <c r="E814" i="16"/>
  <c r="F814" i="16"/>
  <c r="G814" i="16"/>
  <c r="J814" i="16" s="1"/>
  <c r="I814" i="16"/>
  <c r="A815" i="16"/>
  <c r="B815" i="16"/>
  <c r="C815" i="16"/>
  <c r="D815" i="16"/>
  <c r="E815" i="16"/>
  <c r="F815" i="16"/>
  <c r="G815" i="16"/>
  <c r="J815" i="16" s="1"/>
  <c r="I815" i="16"/>
  <c r="A816" i="16"/>
  <c r="B816" i="16"/>
  <c r="C816" i="16"/>
  <c r="D816" i="16"/>
  <c r="E816" i="16"/>
  <c r="F816" i="16"/>
  <c r="G816" i="16"/>
  <c r="J816" i="16" s="1"/>
  <c r="I816" i="16"/>
  <c r="A817" i="16"/>
  <c r="B817" i="16"/>
  <c r="C817" i="16"/>
  <c r="D817" i="16"/>
  <c r="E817" i="16"/>
  <c r="F817" i="16"/>
  <c r="G817" i="16"/>
  <c r="J817" i="16" s="1"/>
  <c r="I817" i="16"/>
  <c r="A818" i="16"/>
  <c r="B818" i="16"/>
  <c r="C818" i="16"/>
  <c r="D818" i="16"/>
  <c r="E818" i="16"/>
  <c r="F818" i="16"/>
  <c r="G818" i="16"/>
  <c r="J818" i="16" s="1"/>
  <c r="I818" i="16"/>
  <c r="A819" i="16"/>
  <c r="B819" i="16"/>
  <c r="C819" i="16"/>
  <c r="D819" i="16"/>
  <c r="E819" i="16"/>
  <c r="F819" i="16"/>
  <c r="G819" i="16"/>
  <c r="J819" i="16" s="1"/>
  <c r="I819" i="16"/>
  <c r="A820" i="16"/>
  <c r="B820" i="16"/>
  <c r="C820" i="16"/>
  <c r="D820" i="16"/>
  <c r="E820" i="16"/>
  <c r="F820" i="16"/>
  <c r="G820" i="16"/>
  <c r="J820" i="16" s="1"/>
  <c r="I820" i="16"/>
  <c r="A821" i="16"/>
  <c r="B821" i="16"/>
  <c r="C821" i="16"/>
  <c r="D821" i="16"/>
  <c r="E821" i="16"/>
  <c r="F821" i="16"/>
  <c r="G821" i="16"/>
  <c r="J821" i="16" s="1"/>
  <c r="I821" i="16"/>
  <c r="A822" i="16"/>
  <c r="B822" i="16"/>
  <c r="C822" i="16"/>
  <c r="D822" i="16"/>
  <c r="E822" i="16"/>
  <c r="F822" i="16"/>
  <c r="G822" i="16"/>
  <c r="J822" i="16" s="1"/>
  <c r="I822" i="16"/>
  <c r="A823" i="16"/>
  <c r="B823" i="16"/>
  <c r="C823" i="16"/>
  <c r="D823" i="16"/>
  <c r="E823" i="16"/>
  <c r="F823" i="16"/>
  <c r="G823" i="16"/>
  <c r="J823" i="16" s="1"/>
  <c r="I823" i="16"/>
  <c r="A824" i="16"/>
  <c r="B824" i="16"/>
  <c r="C824" i="16"/>
  <c r="D824" i="16"/>
  <c r="E824" i="16"/>
  <c r="F824" i="16"/>
  <c r="G824" i="16"/>
  <c r="J824" i="16" s="1"/>
  <c r="I824" i="16"/>
  <c r="A825" i="16"/>
  <c r="B825" i="16"/>
  <c r="C825" i="16"/>
  <c r="D825" i="16"/>
  <c r="E825" i="16"/>
  <c r="F825" i="16"/>
  <c r="G825" i="16"/>
  <c r="J825" i="16" s="1"/>
  <c r="I825" i="16"/>
  <c r="A826" i="16"/>
  <c r="B826" i="16"/>
  <c r="C826" i="16"/>
  <c r="D826" i="16"/>
  <c r="E826" i="16"/>
  <c r="F826" i="16"/>
  <c r="G826" i="16"/>
  <c r="J826" i="16" s="1"/>
  <c r="I826" i="16"/>
  <c r="A827" i="16"/>
  <c r="B827" i="16"/>
  <c r="C827" i="16"/>
  <c r="D827" i="16"/>
  <c r="E827" i="16"/>
  <c r="F827" i="16"/>
  <c r="G827" i="16"/>
  <c r="J827" i="16" s="1"/>
  <c r="I827" i="16"/>
  <c r="A828" i="16"/>
  <c r="B828" i="16"/>
  <c r="C828" i="16"/>
  <c r="D828" i="16"/>
  <c r="E828" i="16"/>
  <c r="F828" i="16"/>
  <c r="G828" i="16"/>
  <c r="J828" i="16" s="1"/>
  <c r="I828" i="16"/>
  <c r="A829" i="16"/>
  <c r="B829" i="16"/>
  <c r="C829" i="16"/>
  <c r="D829" i="16"/>
  <c r="E829" i="16"/>
  <c r="F829" i="16"/>
  <c r="G829" i="16"/>
  <c r="J829" i="16" s="1"/>
  <c r="I829" i="16"/>
  <c r="A830" i="16"/>
  <c r="B830" i="16"/>
  <c r="C830" i="16"/>
  <c r="D830" i="16"/>
  <c r="E830" i="16"/>
  <c r="F830" i="16"/>
  <c r="G830" i="16"/>
  <c r="J830" i="16" s="1"/>
  <c r="I830" i="16"/>
  <c r="A831" i="16"/>
  <c r="B831" i="16"/>
  <c r="C831" i="16"/>
  <c r="D831" i="16"/>
  <c r="E831" i="16"/>
  <c r="F831" i="16"/>
  <c r="G831" i="16"/>
  <c r="J831" i="16" s="1"/>
  <c r="I831" i="16"/>
  <c r="A832" i="16"/>
  <c r="B832" i="16"/>
  <c r="C832" i="16"/>
  <c r="D832" i="16"/>
  <c r="E832" i="16"/>
  <c r="F832" i="16"/>
  <c r="G832" i="16"/>
  <c r="J832" i="16" s="1"/>
  <c r="I832" i="16"/>
  <c r="A833" i="16"/>
  <c r="B833" i="16"/>
  <c r="C833" i="16"/>
  <c r="D833" i="16"/>
  <c r="E833" i="16"/>
  <c r="F833" i="16"/>
  <c r="G833" i="16"/>
  <c r="J833" i="16" s="1"/>
  <c r="I833" i="16"/>
  <c r="A834" i="16"/>
  <c r="B834" i="16"/>
  <c r="C834" i="16"/>
  <c r="D834" i="16"/>
  <c r="E834" i="16"/>
  <c r="F834" i="16"/>
  <c r="G834" i="16"/>
  <c r="J834" i="16" s="1"/>
  <c r="I834" i="16"/>
  <c r="A835" i="16"/>
  <c r="B835" i="16"/>
  <c r="C835" i="16"/>
  <c r="D835" i="16"/>
  <c r="E835" i="16"/>
  <c r="F835" i="16"/>
  <c r="G835" i="16"/>
  <c r="J835" i="16" s="1"/>
  <c r="I835" i="16"/>
  <c r="A836" i="16"/>
  <c r="B836" i="16"/>
  <c r="C836" i="16"/>
  <c r="D836" i="16"/>
  <c r="E836" i="16"/>
  <c r="F836" i="16"/>
  <c r="G836" i="16"/>
  <c r="J836" i="16" s="1"/>
  <c r="I836" i="16"/>
  <c r="A837" i="16"/>
  <c r="B837" i="16"/>
  <c r="C837" i="16"/>
  <c r="D837" i="16"/>
  <c r="E837" i="16"/>
  <c r="F837" i="16"/>
  <c r="G837" i="16"/>
  <c r="J837" i="16" s="1"/>
  <c r="I837" i="16"/>
  <c r="A838" i="16"/>
  <c r="B838" i="16"/>
  <c r="C838" i="16"/>
  <c r="D838" i="16"/>
  <c r="E838" i="16"/>
  <c r="F838" i="16"/>
  <c r="G838" i="16"/>
  <c r="J838" i="16" s="1"/>
  <c r="I838" i="16"/>
  <c r="A839" i="16"/>
  <c r="B839" i="16"/>
  <c r="C839" i="16"/>
  <c r="D839" i="16"/>
  <c r="E839" i="16"/>
  <c r="F839" i="16"/>
  <c r="G839" i="16"/>
  <c r="J839" i="16" s="1"/>
  <c r="I839" i="16"/>
  <c r="A840" i="16"/>
  <c r="B840" i="16"/>
  <c r="C840" i="16"/>
  <c r="D840" i="16"/>
  <c r="E840" i="16"/>
  <c r="F840" i="16"/>
  <c r="G840" i="16"/>
  <c r="J840" i="16" s="1"/>
  <c r="I840" i="16"/>
  <c r="A841" i="16"/>
  <c r="B841" i="16"/>
  <c r="C841" i="16"/>
  <c r="D841" i="16"/>
  <c r="E841" i="16"/>
  <c r="F841" i="16"/>
  <c r="G841" i="16"/>
  <c r="J841" i="16" s="1"/>
  <c r="I841" i="16"/>
  <c r="A842" i="16"/>
  <c r="B842" i="16"/>
  <c r="C842" i="16"/>
  <c r="D842" i="16"/>
  <c r="E842" i="16"/>
  <c r="F842" i="16"/>
  <c r="G842" i="16"/>
  <c r="J842" i="16" s="1"/>
  <c r="I842" i="16"/>
  <c r="A843" i="16"/>
  <c r="B843" i="16"/>
  <c r="C843" i="16"/>
  <c r="D843" i="16"/>
  <c r="E843" i="16"/>
  <c r="F843" i="16"/>
  <c r="G843" i="16"/>
  <c r="J843" i="16" s="1"/>
  <c r="I843" i="16"/>
  <c r="A844" i="16"/>
  <c r="B844" i="16"/>
  <c r="C844" i="16"/>
  <c r="D844" i="16"/>
  <c r="E844" i="16"/>
  <c r="F844" i="16"/>
  <c r="G844" i="16"/>
  <c r="J844" i="16" s="1"/>
  <c r="I844" i="16"/>
  <c r="A845" i="16"/>
  <c r="B845" i="16"/>
  <c r="C845" i="16"/>
  <c r="D845" i="16"/>
  <c r="E845" i="16"/>
  <c r="F845" i="16"/>
  <c r="G845" i="16"/>
  <c r="J845" i="16" s="1"/>
  <c r="I845" i="16"/>
  <c r="A846" i="16"/>
  <c r="B846" i="16"/>
  <c r="C846" i="16"/>
  <c r="D846" i="16"/>
  <c r="E846" i="16"/>
  <c r="F846" i="16"/>
  <c r="G846" i="16"/>
  <c r="J846" i="16" s="1"/>
  <c r="I846" i="16"/>
  <c r="A847" i="16"/>
  <c r="B847" i="16"/>
  <c r="C847" i="16"/>
  <c r="D847" i="16"/>
  <c r="E847" i="16"/>
  <c r="F847" i="16"/>
  <c r="G847" i="16"/>
  <c r="J847" i="16" s="1"/>
  <c r="I847" i="16"/>
  <c r="A848" i="16"/>
  <c r="B848" i="16"/>
  <c r="C848" i="16"/>
  <c r="D848" i="16"/>
  <c r="E848" i="16"/>
  <c r="F848" i="16"/>
  <c r="G848" i="16"/>
  <c r="J848" i="16" s="1"/>
  <c r="I848" i="16"/>
  <c r="A849" i="16"/>
  <c r="B849" i="16"/>
  <c r="C849" i="16"/>
  <c r="D849" i="16"/>
  <c r="E849" i="16"/>
  <c r="F849" i="16"/>
  <c r="G849" i="16"/>
  <c r="J849" i="16" s="1"/>
  <c r="I849" i="16"/>
  <c r="A850" i="16"/>
  <c r="B850" i="16"/>
  <c r="C850" i="16"/>
  <c r="D850" i="16"/>
  <c r="E850" i="16"/>
  <c r="F850" i="16"/>
  <c r="G850" i="16"/>
  <c r="J850" i="16" s="1"/>
  <c r="I850" i="16"/>
  <c r="A851" i="16"/>
  <c r="B851" i="16"/>
  <c r="C851" i="16"/>
  <c r="D851" i="16"/>
  <c r="E851" i="16"/>
  <c r="F851" i="16"/>
  <c r="G851" i="16"/>
  <c r="J851" i="16" s="1"/>
  <c r="I851" i="16"/>
  <c r="A852" i="16"/>
  <c r="B852" i="16"/>
  <c r="C852" i="16"/>
  <c r="D852" i="16"/>
  <c r="E852" i="16"/>
  <c r="F852" i="16"/>
  <c r="G852" i="16"/>
  <c r="J852" i="16" s="1"/>
  <c r="I852" i="16"/>
  <c r="A853" i="16"/>
  <c r="B853" i="16"/>
  <c r="C853" i="16"/>
  <c r="D853" i="16"/>
  <c r="E853" i="16"/>
  <c r="F853" i="16"/>
  <c r="G853" i="16"/>
  <c r="J853" i="16" s="1"/>
  <c r="I853" i="16"/>
  <c r="A854" i="16"/>
  <c r="B854" i="16"/>
  <c r="C854" i="16"/>
  <c r="D854" i="16"/>
  <c r="E854" i="16"/>
  <c r="F854" i="16"/>
  <c r="G854" i="16"/>
  <c r="J854" i="16" s="1"/>
  <c r="I854" i="16"/>
  <c r="A855" i="16"/>
  <c r="B855" i="16"/>
  <c r="C855" i="16"/>
  <c r="D855" i="16"/>
  <c r="E855" i="16"/>
  <c r="F855" i="16"/>
  <c r="G855" i="16"/>
  <c r="J855" i="16" s="1"/>
  <c r="I855" i="16"/>
  <c r="A856" i="16"/>
  <c r="B856" i="16"/>
  <c r="C856" i="16"/>
  <c r="D856" i="16"/>
  <c r="E856" i="16"/>
  <c r="F856" i="16"/>
  <c r="G856" i="16"/>
  <c r="J856" i="16" s="1"/>
  <c r="I856" i="16"/>
  <c r="A857" i="16"/>
  <c r="B857" i="16"/>
  <c r="C857" i="16"/>
  <c r="D857" i="16"/>
  <c r="E857" i="16"/>
  <c r="F857" i="16"/>
  <c r="G857" i="16"/>
  <c r="J857" i="16" s="1"/>
  <c r="I857" i="16"/>
  <c r="A858" i="16"/>
  <c r="B858" i="16"/>
  <c r="C858" i="16"/>
  <c r="D858" i="16"/>
  <c r="E858" i="16"/>
  <c r="F858" i="16"/>
  <c r="G858" i="16"/>
  <c r="J858" i="16" s="1"/>
  <c r="I858" i="16"/>
  <c r="A859" i="16"/>
  <c r="B859" i="16"/>
  <c r="C859" i="16"/>
  <c r="D859" i="16"/>
  <c r="E859" i="16"/>
  <c r="F859" i="16"/>
  <c r="G859" i="16"/>
  <c r="J859" i="16" s="1"/>
  <c r="I859" i="16"/>
  <c r="A860" i="16"/>
  <c r="B860" i="16"/>
  <c r="C860" i="16"/>
  <c r="D860" i="16"/>
  <c r="E860" i="16"/>
  <c r="F860" i="16"/>
  <c r="G860" i="16"/>
  <c r="J860" i="16" s="1"/>
  <c r="I860" i="16"/>
  <c r="A861" i="16"/>
  <c r="B861" i="16"/>
  <c r="C861" i="16"/>
  <c r="D861" i="16"/>
  <c r="E861" i="16"/>
  <c r="F861" i="16"/>
  <c r="G861" i="16"/>
  <c r="J861" i="16" s="1"/>
  <c r="I861" i="16"/>
  <c r="A862" i="16"/>
  <c r="B862" i="16"/>
  <c r="C862" i="16"/>
  <c r="D862" i="16"/>
  <c r="E862" i="16"/>
  <c r="F862" i="16"/>
  <c r="G862" i="16"/>
  <c r="J862" i="16" s="1"/>
  <c r="I862" i="16"/>
  <c r="A863" i="16"/>
  <c r="B863" i="16"/>
  <c r="C863" i="16"/>
  <c r="D863" i="16"/>
  <c r="E863" i="16"/>
  <c r="F863" i="16"/>
  <c r="G863" i="16"/>
  <c r="J863" i="16" s="1"/>
  <c r="I863" i="16"/>
  <c r="A864" i="16"/>
  <c r="B864" i="16"/>
  <c r="C864" i="16"/>
  <c r="D864" i="16"/>
  <c r="E864" i="16"/>
  <c r="F864" i="16"/>
  <c r="G864" i="16"/>
  <c r="J864" i="16" s="1"/>
  <c r="I864" i="16"/>
  <c r="A865" i="16"/>
  <c r="B865" i="16"/>
  <c r="C865" i="16"/>
  <c r="D865" i="16"/>
  <c r="E865" i="16"/>
  <c r="F865" i="16"/>
  <c r="G865" i="16"/>
  <c r="J865" i="16" s="1"/>
  <c r="I865" i="16"/>
  <c r="A866" i="16"/>
  <c r="B866" i="16"/>
  <c r="C866" i="16"/>
  <c r="D866" i="16"/>
  <c r="E866" i="16"/>
  <c r="F866" i="16"/>
  <c r="G866" i="16"/>
  <c r="J866" i="16" s="1"/>
  <c r="I866" i="16"/>
  <c r="A867" i="16"/>
  <c r="B867" i="16"/>
  <c r="C867" i="16"/>
  <c r="D867" i="16"/>
  <c r="E867" i="16"/>
  <c r="F867" i="16"/>
  <c r="G867" i="16"/>
  <c r="J867" i="16" s="1"/>
  <c r="I867" i="16"/>
  <c r="A868" i="16"/>
  <c r="B868" i="16"/>
  <c r="C868" i="16"/>
  <c r="D868" i="16"/>
  <c r="E868" i="16"/>
  <c r="F868" i="16"/>
  <c r="G868" i="16"/>
  <c r="J868" i="16" s="1"/>
  <c r="I868" i="16"/>
  <c r="A869" i="16"/>
  <c r="B869" i="16"/>
  <c r="C869" i="16"/>
  <c r="D869" i="16"/>
  <c r="E869" i="16"/>
  <c r="F869" i="16"/>
  <c r="G869" i="16"/>
  <c r="J869" i="16" s="1"/>
  <c r="I869" i="16"/>
  <c r="A870" i="16"/>
  <c r="B870" i="16"/>
  <c r="C870" i="16"/>
  <c r="D870" i="16"/>
  <c r="E870" i="16"/>
  <c r="F870" i="16"/>
  <c r="G870" i="16"/>
  <c r="J870" i="16" s="1"/>
  <c r="I870" i="16"/>
  <c r="A871" i="16"/>
  <c r="B871" i="16"/>
  <c r="C871" i="16"/>
  <c r="D871" i="16"/>
  <c r="E871" i="16"/>
  <c r="F871" i="16"/>
  <c r="G871" i="16"/>
  <c r="J871" i="16" s="1"/>
  <c r="I871" i="16"/>
  <c r="A872" i="16"/>
  <c r="B872" i="16"/>
  <c r="C872" i="16"/>
  <c r="D872" i="16"/>
  <c r="E872" i="16"/>
  <c r="F872" i="16"/>
  <c r="G872" i="16"/>
  <c r="J872" i="16" s="1"/>
  <c r="I872" i="16"/>
  <c r="A873" i="16"/>
  <c r="B873" i="16"/>
  <c r="C873" i="16"/>
  <c r="D873" i="16"/>
  <c r="E873" i="16"/>
  <c r="F873" i="16"/>
  <c r="G873" i="16"/>
  <c r="J873" i="16" s="1"/>
  <c r="I873" i="16"/>
  <c r="A874" i="16"/>
  <c r="B874" i="16"/>
  <c r="C874" i="16"/>
  <c r="D874" i="16"/>
  <c r="E874" i="16"/>
  <c r="F874" i="16"/>
  <c r="G874" i="16"/>
  <c r="J874" i="16" s="1"/>
  <c r="I874" i="16"/>
  <c r="A875" i="16"/>
  <c r="B875" i="16"/>
  <c r="C875" i="16"/>
  <c r="D875" i="16"/>
  <c r="E875" i="16"/>
  <c r="F875" i="16"/>
  <c r="G875" i="16"/>
  <c r="J875" i="16" s="1"/>
  <c r="I875" i="16"/>
  <c r="A876" i="16"/>
  <c r="B876" i="16"/>
  <c r="C876" i="16"/>
  <c r="D876" i="16"/>
  <c r="E876" i="16"/>
  <c r="F876" i="16"/>
  <c r="G876" i="16"/>
  <c r="J876" i="16" s="1"/>
  <c r="I876" i="16"/>
  <c r="A877" i="16"/>
  <c r="B877" i="16"/>
  <c r="C877" i="16"/>
  <c r="D877" i="16"/>
  <c r="E877" i="16"/>
  <c r="F877" i="16"/>
  <c r="G877" i="16"/>
  <c r="J877" i="16" s="1"/>
  <c r="I877" i="16"/>
  <c r="A878" i="16"/>
  <c r="B878" i="16"/>
  <c r="C878" i="16"/>
  <c r="D878" i="16"/>
  <c r="E878" i="16"/>
  <c r="F878" i="16"/>
  <c r="G878" i="16"/>
  <c r="J878" i="16" s="1"/>
  <c r="I878" i="16"/>
  <c r="A879" i="16"/>
  <c r="B879" i="16"/>
  <c r="C879" i="16"/>
  <c r="D879" i="16"/>
  <c r="E879" i="16"/>
  <c r="F879" i="16"/>
  <c r="G879" i="16"/>
  <c r="J879" i="16" s="1"/>
  <c r="I879" i="16"/>
  <c r="A880" i="16"/>
  <c r="B880" i="16"/>
  <c r="C880" i="16"/>
  <c r="D880" i="16"/>
  <c r="E880" i="16"/>
  <c r="F880" i="16"/>
  <c r="G880" i="16"/>
  <c r="J880" i="16" s="1"/>
  <c r="I880" i="16"/>
  <c r="A881" i="16"/>
  <c r="B881" i="16"/>
  <c r="C881" i="16"/>
  <c r="D881" i="16"/>
  <c r="E881" i="16"/>
  <c r="F881" i="16"/>
  <c r="G881" i="16"/>
  <c r="J881" i="16" s="1"/>
  <c r="I881" i="16"/>
  <c r="A882" i="16"/>
  <c r="B882" i="16"/>
  <c r="C882" i="16"/>
  <c r="D882" i="16"/>
  <c r="E882" i="16"/>
  <c r="F882" i="16"/>
  <c r="G882" i="16"/>
  <c r="J882" i="16" s="1"/>
  <c r="I882" i="16"/>
  <c r="A883" i="16"/>
  <c r="B883" i="16"/>
  <c r="C883" i="16"/>
  <c r="D883" i="16"/>
  <c r="E883" i="16"/>
  <c r="F883" i="16"/>
  <c r="G883" i="16"/>
  <c r="J883" i="16" s="1"/>
  <c r="I883" i="16"/>
  <c r="A884" i="16"/>
  <c r="B884" i="16"/>
  <c r="C884" i="16"/>
  <c r="D884" i="16"/>
  <c r="E884" i="16"/>
  <c r="F884" i="16"/>
  <c r="G884" i="16"/>
  <c r="J884" i="16" s="1"/>
  <c r="I884" i="16"/>
  <c r="A885" i="16"/>
  <c r="B885" i="16"/>
  <c r="C885" i="16"/>
  <c r="D885" i="16"/>
  <c r="E885" i="16"/>
  <c r="F885" i="16"/>
  <c r="G885" i="16"/>
  <c r="J885" i="16" s="1"/>
  <c r="I885" i="16"/>
  <c r="A886" i="16"/>
  <c r="B886" i="16"/>
  <c r="C886" i="16"/>
  <c r="D886" i="16"/>
  <c r="E886" i="16"/>
  <c r="F886" i="16"/>
  <c r="G886" i="16"/>
  <c r="J886" i="16" s="1"/>
  <c r="I886" i="16"/>
  <c r="A887" i="16"/>
  <c r="B887" i="16"/>
  <c r="C887" i="16"/>
  <c r="D887" i="16"/>
  <c r="E887" i="16"/>
  <c r="F887" i="16"/>
  <c r="G887" i="16"/>
  <c r="J887" i="16" s="1"/>
  <c r="I887" i="16"/>
  <c r="A888" i="16"/>
  <c r="B888" i="16"/>
  <c r="C888" i="16"/>
  <c r="D888" i="16"/>
  <c r="E888" i="16"/>
  <c r="F888" i="16"/>
  <c r="G888" i="16"/>
  <c r="J888" i="16" s="1"/>
  <c r="I888" i="16"/>
  <c r="A889" i="16"/>
  <c r="B889" i="16"/>
  <c r="C889" i="16"/>
  <c r="D889" i="16"/>
  <c r="E889" i="16"/>
  <c r="F889" i="16"/>
  <c r="G889" i="16"/>
  <c r="J889" i="16" s="1"/>
  <c r="I889" i="16"/>
  <c r="A890" i="16"/>
  <c r="B890" i="16"/>
  <c r="C890" i="16"/>
  <c r="D890" i="16"/>
  <c r="E890" i="16"/>
  <c r="F890" i="16"/>
  <c r="G890" i="16"/>
  <c r="J890" i="16" s="1"/>
  <c r="I890" i="16"/>
  <c r="A891" i="16"/>
  <c r="B891" i="16"/>
  <c r="C891" i="16"/>
  <c r="D891" i="16"/>
  <c r="E891" i="16"/>
  <c r="F891" i="16"/>
  <c r="G891" i="16"/>
  <c r="J891" i="16" s="1"/>
  <c r="I891" i="16"/>
  <c r="A892" i="16"/>
  <c r="B892" i="16"/>
  <c r="C892" i="16"/>
  <c r="D892" i="16"/>
  <c r="E892" i="16"/>
  <c r="F892" i="16"/>
  <c r="G892" i="16"/>
  <c r="J892" i="16" s="1"/>
  <c r="I892" i="16"/>
  <c r="A893" i="16"/>
  <c r="B893" i="16"/>
  <c r="C893" i="16"/>
  <c r="D893" i="16"/>
  <c r="E893" i="16"/>
  <c r="F893" i="16"/>
  <c r="G893" i="16"/>
  <c r="J893" i="16" s="1"/>
  <c r="I893" i="16"/>
  <c r="A894" i="16"/>
  <c r="B894" i="16"/>
  <c r="C894" i="16"/>
  <c r="D894" i="16"/>
  <c r="E894" i="16"/>
  <c r="F894" i="16"/>
  <c r="G894" i="16"/>
  <c r="J894" i="16" s="1"/>
  <c r="I894" i="16"/>
  <c r="A895" i="16"/>
  <c r="B895" i="16"/>
  <c r="C895" i="16"/>
  <c r="D895" i="16"/>
  <c r="E895" i="16"/>
  <c r="F895" i="16"/>
  <c r="G895" i="16"/>
  <c r="J895" i="16" s="1"/>
  <c r="I895" i="16"/>
  <c r="A896" i="16"/>
  <c r="B896" i="16"/>
  <c r="C896" i="16"/>
  <c r="D896" i="16"/>
  <c r="E896" i="16"/>
  <c r="F896" i="16"/>
  <c r="G896" i="16"/>
  <c r="J896" i="16" s="1"/>
  <c r="I896" i="16"/>
  <c r="A897" i="16"/>
  <c r="B897" i="16"/>
  <c r="C897" i="16"/>
  <c r="D897" i="16"/>
  <c r="E897" i="16"/>
  <c r="F897" i="16"/>
  <c r="G897" i="16"/>
  <c r="J897" i="16" s="1"/>
  <c r="I897" i="16"/>
  <c r="A898" i="16"/>
  <c r="B898" i="16"/>
  <c r="C898" i="16"/>
  <c r="D898" i="16"/>
  <c r="E898" i="16"/>
  <c r="F898" i="16"/>
  <c r="G898" i="16"/>
  <c r="J898" i="16" s="1"/>
  <c r="I898" i="16"/>
  <c r="A899" i="16"/>
  <c r="B899" i="16"/>
  <c r="C899" i="16"/>
  <c r="D899" i="16"/>
  <c r="E899" i="16"/>
  <c r="F899" i="16"/>
  <c r="G899" i="16"/>
  <c r="J899" i="16" s="1"/>
  <c r="I899" i="16"/>
  <c r="A900" i="16"/>
  <c r="B900" i="16"/>
  <c r="C900" i="16"/>
  <c r="D900" i="16"/>
  <c r="E900" i="16"/>
  <c r="F900" i="16"/>
  <c r="G900" i="16"/>
  <c r="J900" i="16" s="1"/>
  <c r="I900" i="16"/>
  <c r="A901" i="16"/>
  <c r="B901" i="16"/>
  <c r="C901" i="16"/>
  <c r="D901" i="16"/>
  <c r="E901" i="16"/>
  <c r="F901" i="16"/>
  <c r="G901" i="16"/>
  <c r="J901" i="16" s="1"/>
  <c r="I901" i="16"/>
  <c r="A902" i="16"/>
  <c r="B902" i="16"/>
  <c r="C902" i="16"/>
  <c r="D902" i="16"/>
  <c r="E902" i="16"/>
  <c r="F902" i="16"/>
  <c r="G902" i="16"/>
  <c r="J902" i="16" s="1"/>
  <c r="I902" i="16"/>
  <c r="A903" i="16"/>
  <c r="B903" i="16"/>
  <c r="C903" i="16"/>
  <c r="D903" i="16"/>
  <c r="E903" i="16"/>
  <c r="F903" i="16"/>
  <c r="G903" i="16"/>
  <c r="J903" i="16" s="1"/>
  <c r="I903" i="16"/>
  <c r="A904" i="16"/>
  <c r="B904" i="16"/>
  <c r="C904" i="16"/>
  <c r="D904" i="16"/>
  <c r="E904" i="16"/>
  <c r="F904" i="16"/>
  <c r="G904" i="16"/>
  <c r="J904" i="16" s="1"/>
  <c r="I904" i="16"/>
  <c r="A905" i="16"/>
  <c r="B905" i="16"/>
  <c r="C905" i="16"/>
  <c r="D905" i="16"/>
  <c r="E905" i="16"/>
  <c r="F905" i="16"/>
  <c r="G905" i="16"/>
  <c r="J905" i="16" s="1"/>
  <c r="I905" i="16"/>
  <c r="A906" i="16"/>
  <c r="B906" i="16"/>
  <c r="C906" i="16"/>
  <c r="D906" i="16"/>
  <c r="E906" i="16"/>
  <c r="F906" i="16"/>
  <c r="G906" i="16"/>
  <c r="J906" i="16" s="1"/>
  <c r="I906" i="16"/>
  <c r="A907" i="16"/>
  <c r="B907" i="16"/>
  <c r="C907" i="16"/>
  <c r="D907" i="16"/>
  <c r="E907" i="16"/>
  <c r="F907" i="16"/>
  <c r="G907" i="16"/>
  <c r="J907" i="16" s="1"/>
  <c r="I907" i="16"/>
  <c r="A908" i="16"/>
  <c r="B908" i="16"/>
  <c r="C908" i="16"/>
  <c r="D908" i="16"/>
  <c r="E908" i="16"/>
  <c r="F908" i="16"/>
  <c r="G908" i="16"/>
  <c r="J908" i="16" s="1"/>
  <c r="I908" i="16"/>
  <c r="A909" i="16"/>
  <c r="B909" i="16"/>
  <c r="C909" i="16"/>
  <c r="D909" i="16"/>
  <c r="E909" i="16"/>
  <c r="F909" i="16"/>
  <c r="G909" i="16"/>
  <c r="J909" i="16" s="1"/>
  <c r="I909" i="16"/>
  <c r="A910" i="16"/>
  <c r="B910" i="16"/>
  <c r="C910" i="16"/>
  <c r="D910" i="16"/>
  <c r="E910" i="16"/>
  <c r="F910" i="16"/>
  <c r="G910" i="16"/>
  <c r="J910" i="16" s="1"/>
  <c r="I910" i="16"/>
  <c r="A911" i="16"/>
  <c r="B911" i="16"/>
  <c r="C911" i="16"/>
  <c r="D911" i="16"/>
  <c r="E911" i="16"/>
  <c r="F911" i="16"/>
  <c r="G911" i="16"/>
  <c r="J911" i="16" s="1"/>
  <c r="I911" i="16"/>
  <c r="A912" i="16"/>
  <c r="B912" i="16"/>
  <c r="C912" i="16"/>
  <c r="D912" i="16"/>
  <c r="E912" i="16"/>
  <c r="F912" i="16"/>
  <c r="G912" i="16"/>
  <c r="J912" i="16" s="1"/>
  <c r="I912" i="16"/>
  <c r="A913" i="16"/>
  <c r="B913" i="16"/>
  <c r="C913" i="16"/>
  <c r="D913" i="16"/>
  <c r="E913" i="16"/>
  <c r="F913" i="16"/>
  <c r="G913" i="16"/>
  <c r="J913" i="16" s="1"/>
  <c r="I913" i="16"/>
  <c r="A914" i="16"/>
  <c r="B914" i="16"/>
  <c r="C914" i="16"/>
  <c r="D914" i="16"/>
  <c r="E914" i="16"/>
  <c r="F914" i="16"/>
  <c r="G914" i="16"/>
  <c r="J914" i="16" s="1"/>
  <c r="I914" i="16"/>
  <c r="A915" i="16"/>
  <c r="B915" i="16"/>
  <c r="C915" i="16"/>
  <c r="D915" i="16"/>
  <c r="E915" i="16"/>
  <c r="F915" i="16"/>
  <c r="G915" i="16"/>
  <c r="J915" i="16" s="1"/>
  <c r="I915" i="16"/>
  <c r="A916" i="16"/>
  <c r="B916" i="16"/>
  <c r="C916" i="16"/>
  <c r="D916" i="16"/>
  <c r="E916" i="16"/>
  <c r="F916" i="16"/>
  <c r="G916" i="16"/>
  <c r="J916" i="16" s="1"/>
  <c r="I916" i="16"/>
  <c r="A917" i="16"/>
  <c r="B917" i="16"/>
  <c r="C917" i="16"/>
  <c r="D917" i="16"/>
  <c r="E917" i="16"/>
  <c r="F917" i="16"/>
  <c r="G917" i="16"/>
  <c r="J917" i="16" s="1"/>
  <c r="I917" i="16"/>
  <c r="A918" i="16"/>
  <c r="B918" i="16"/>
  <c r="C918" i="16"/>
  <c r="D918" i="16"/>
  <c r="E918" i="16"/>
  <c r="F918" i="16"/>
  <c r="G918" i="16"/>
  <c r="J918" i="16" s="1"/>
  <c r="I918" i="16"/>
  <c r="A919" i="16"/>
  <c r="B919" i="16"/>
  <c r="C919" i="16"/>
  <c r="D919" i="16"/>
  <c r="E919" i="16"/>
  <c r="F919" i="16"/>
  <c r="G919" i="16"/>
  <c r="J919" i="16" s="1"/>
  <c r="I919" i="16"/>
  <c r="A920" i="16"/>
  <c r="B920" i="16"/>
  <c r="C920" i="16"/>
  <c r="D920" i="16"/>
  <c r="E920" i="16"/>
  <c r="F920" i="16"/>
  <c r="G920" i="16"/>
  <c r="J920" i="16" s="1"/>
  <c r="I920" i="16"/>
  <c r="A921" i="16"/>
  <c r="B921" i="16"/>
  <c r="C921" i="16"/>
  <c r="D921" i="16"/>
  <c r="E921" i="16"/>
  <c r="F921" i="16"/>
  <c r="G921" i="16"/>
  <c r="J921" i="16" s="1"/>
  <c r="I921" i="16"/>
  <c r="A922" i="16"/>
  <c r="B922" i="16"/>
  <c r="C922" i="16"/>
  <c r="D922" i="16"/>
  <c r="E922" i="16"/>
  <c r="F922" i="16"/>
  <c r="G922" i="16"/>
  <c r="J922" i="16" s="1"/>
  <c r="I922" i="16"/>
  <c r="A923" i="16"/>
  <c r="B923" i="16"/>
  <c r="C923" i="16"/>
  <c r="D923" i="16"/>
  <c r="E923" i="16"/>
  <c r="F923" i="16"/>
  <c r="G923" i="16"/>
  <c r="J923" i="16" s="1"/>
  <c r="I923" i="16"/>
  <c r="A924" i="16"/>
  <c r="B924" i="16"/>
  <c r="C924" i="16"/>
  <c r="D924" i="16"/>
  <c r="E924" i="16"/>
  <c r="F924" i="16"/>
  <c r="G924" i="16"/>
  <c r="J924" i="16" s="1"/>
  <c r="I924" i="16"/>
  <c r="A925" i="16"/>
  <c r="B925" i="16"/>
  <c r="C925" i="16"/>
  <c r="D925" i="16"/>
  <c r="E925" i="16"/>
  <c r="F925" i="16"/>
  <c r="G925" i="16"/>
  <c r="J925" i="16" s="1"/>
  <c r="I925" i="16"/>
  <c r="A926" i="16"/>
  <c r="B926" i="16"/>
  <c r="C926" i="16"/>
  <c r="D926" i="16"/>
  <c r="E926" i="16"/>
  <c r="F926" i="16"/>
  <c r="G926" i="16"/>
  <c r="J926" i="16" s="1"/>
  <c r="I926" i="16"/>
  <c r="A927" i="16"/>
  <c r="B927" i="16"/>
  <c r="C927" i="16"/>
  <c r="D927" i="16"/>
  <c r="E927" i="16"/>
  <c r="F927" i="16"/>
  <c r="G927" i="16"/>
  <c r="J927" i="16" s="1"/>
  <c r="I927" i="16"/>
  <c r="A928" i="16"/>
  <c r="B928" i="16"/>
  <c r="C928" i="16"/>
  <c r="D928" i="16"/>
  <c r="E928" i="16"/>
  <c r="F928" i="16"/>
  <c r="G928" i="16"/>
  <c r="J928" i="16" s="1"/>
  <c r="I928" i="16"/>
  <c r="A929" i="16"/>
  <c r="B929" i="16"/>
  <c r="C929" i="16"/>
  <c r="D929" i="16"/>
  <c r="E929" i="16"/>
  <c r="F929" i="16"/>
  <c r="G929" i="16"/>
  <c r="J929" i="16" s="1"/>
  <c r="I929" i="16"/>
  <c r="A930" i="16"/>
  <c r="B930" i="16"/>
  <c r="C930" i="16"/>
  <c r="D930" i="16"/>
  <c r="E930" i="16"/>
  <c r="F930" i="16"/>
  <c r="G930" i="16"/>
  <c r="J930" i="16" s="1"/>
  <c r="I930" i="16"/>
  <c r="A931" i="16"/>
  <c r="B931" i="16"/>
  <c r="C931" i="16"/>
  <c r="D931" i="16"/>
  <c r="E931" i="16"/>
  <c r="F931" i="16"/>
  <c r="G931" i="16"/>
  <c r="J931" i="16" s="1"/>
  <c r="I931" i="16"/>
  <c r="A932" i="16"/>
  <c r="B932" i="16"/>
  <c r="C932" i="16"/>
  <c r="D932" i="16"/>
  <c r="E932" i="16"/>
  <c r="F932" i="16"/>
  <c r="G932" i="16"/>
  <c r="J932" i="16" s="1"/>
  <c r="I932" i="16"/>
  <c r="A933" i="16"/>
  <c r="B933" i="16"/>
  <c r="C933" i="16"/>
  <c r="D933" i="16"/>
  <c r="E933" i="16"/>
  <c r="F933" i="16"/>
  <c r="G933" i="16"/>
  <c r="J933" i="16" s="1"/>
  <c r="I933" i="16"/>
  <c r="A934" i="16"/>
  <c r="B934" i="16"/>
  <c r="C934" i="16"/>
  <c r="D934" i="16"/>
  <c r="E934" i="16"/>
  <c r="F934" i="16"/>
  <c r="G934" i="16"/>
  <c r="J934" i="16" s="1"/>
  <c r="I934" i="16"/>
  <c r="A935" i="16"/>
  <c r="B935" i="16"/>
  <c r="C935" i="16"/>
  <c r="D935" i="16"/>
  <c r="E935" i="16"/>
  <c r="F935" i="16"/>
  <c r="G935" i="16"/>
  <c r="J935" i="16" s="1"/>
  <c r="I935" i="16"/>
  <c r="A936" i="16"/>
  <c r="B936" i="16"/>
  <c r="C936" i="16"/>
  <c r="D936" i="16"/>
  <c r="E936" i="16"/>
  <c r="F936" i="16"/>
  <c r="G936" i="16"/>
  <c r="J936" i="16" s="1"/>
  <c r="I936" i="16"/>
  <c r="A937" i="16"/>
  <c r="B937" i="16"/>
  <c r="C937" i="16"/>
  <c r="D937" i="16"/>
  <c r="E937" i="16"/>
  <c r="F937" i="16"/>
  <c r="G937" i="16"/>
  <c r="J937" i="16" s="1"/>
  <c r="I937" i="16"/>
  <c r="A938" i="16"/>
  <c r="B938" i="16"/>
  <c r="C938" i="16"/>
  <c r="D938" i="16"/>
  <c r="E938" i="16"/>
  <c r="F938" i="16"/>
  <c r="G938" i="16"/>
  <c r="J938" i="16" s="1"/>
  <c r="I938" i="16"/>
  <c r="A939" i="16"/>
  <c r="B939" i="16"/>
  <c r="C939" i="16"/>
  <c r="D939" i="16"/>
  <c r="E939" i="16"/>
  <c r="F939" i="16"/>
  <c r="G939" i="16"/>
  <c r="J939" i="16" s="1"/>
  <c r="I939" i="16"/>
  <c r="A940" i="16"/>
  <c r="B940" i="16"/>
  <c r="C940" i="16"/>
  <c r="D940" i="16"/>
  <c r="E940" i="16"/>
  <c r="F940" i="16"/>
  <c r="G940" i="16"/>
  <c r="J940" i="16" s="1"/>
  <c r="I940" i="16"/>
  <c r="A941" i="16"/>
  <c r="B941" i="16"/>
  <c r="C941" i="16"/>
  <c r="D941" i="16"/>
  <c r="E941" i="16"/>
  <c r="F941" i="16"/>
  <c r="G941" i="16"/>
  <c r="J941" i="16" s="1"/>
  <c r="I941" i="16"/>
  <c r="A942" i="16"/>
  <c r="B942" i="16"/>
  <c r="C942" i="16"/>
  <c r="D942" i="16"/>
  <c r="E942" i="16"/>
  <c r="F942" i="16"/>
  <c r="G942" i="16"/>
  <c r="J942" i="16" s="1"/>
  <c r="I942" i="16"/>
  <c r="A943" i="16"/>
  <c r="B943" i="16"/>
  <c r="C943" i="16"/>
  <c r="D943" i="16"/>
  <c r="E943" i="16"/>
  <c r="F943" i="16"/>
  <c r="G943" i="16"/>
  <c r="J943" i="16" s="1"/>
  <c r="I943" i="16"/>
  <c r="A944" i="16"/>
  <c r="B944" i="16"/>
  <c r="C944" i="16"/>
  <c r="D944" i="16"/>
  <c r="E944" i="16"/>
  <c r="F944" i="16"/>
  <c r="G944" i="16"/>
  <c r="J944" i="16" s="1"/>
  <c r="I944" i="16"/>
  <c r="A945" i="16"/>
  <c r="B945" i="16"/>
  <c r="C945" i="16"/>
  <c r="D945" i="16"/>
  <c r="E945" i="16"/>
  <c r="F945" i="16"/>
  <c r="G945" i="16"/>
  <c r="J945" i="16" s="1"/>
  <c r="I945" i="16"/>
  <c r="A946" i="16"/>
  <c r="B946" i="16"/>
  <c r="C946" i="16"/>
  <c r="D946" i="16"/>
  <c r="E946" i="16"/>
  <c r="F946" i="16"/>
  <c r="G946" i="16"/>
  <c r="J946" i="16" s="1"/>
  <c r="I946" i="16"/>
  <c r="A947" i="16"/>
  <c r="B947" i="16"/>
  <c r="C947" i="16"/>
  <c r="D947" i="16"/>
  <c r="E947" i="16"/>
  <c r="F947" i="16"/>
  <c r="G947" i="16"/>
  <c r="J947" i="16" s="1"/>
  <c r="I947" i="16"/>
  <c r="A948" i="16"/>
  <c r="B948" i="16"/>
  <c r="C948" i="16"/>
  <c r="D948" i="16"/>
  <c r="E948" i="16"/>
  <c r="F948" i="16"/>
  <c r="G948" i="16"/>
  <c r="J948" i="16" s="1"/>
  <c r="I948" i="16"/>
  <c r="A949" i="16"/>
  <c r="B949" i="16"/>
  <c r="C949" i="16"/>
  <c r="D949" i="16"/>
  <c r="E949" i="16"/>
  <c r="F949" i="16"/>
  <c r="G949" i="16"/>
  <c r="J949" i="16" s="1"/>
  <c r="I949" i="16"/>
  <c r="A950" i="16"/>
  <c r="B950" i="16"/>
  <c r="C950" i="16"/>
  <c r="D950" i="16"/>
  <c r="E950" i="16"/>
  <c r="F950" i="16"/>
  <c r="G950" i="16"/>
  <c r="J950" i="16" s="1"/>
  <c r="I950" i="16"/>
  <c r="A951" i="16"/>
  <c r="B951" i="16"/>
  <c r="C951" i="16"/>
  <c r="D951" i="16"/>
  <c r="E951" i="16"/>
  <c r="F951" i="16"/>
  <c r="G951" i="16"/>
  <c r="J951" i="16" s="1"/>
  <c r="I951" i="16"/>
  <c r="A952" i="16"/>
  <c r="B952" i="16"/>
  <c r="C952" i="16"/>
  <c r="D952" i="16"/>
  <c r="E952" i="16"/>
  <c r="F952" i="16"/>
  <c r="G952" i="16"/>
  <c r="J952" i="16" s="1"/>
  <c r="I952" i="16"/>
  <c r="A953" i="16"/>
  <c r="B953" i="16"/>
  <c r="C953" i="16"/>
  <c r="D953" i="16"/>
  <c r="E953" i="16"/>
  <c r="F953" i="16"/>
  <c r="G953" i="16"/>
  <c r="J953" i="16" s="1"/>
  <c r="I953" i="16"/>
  <c r="A954" i="16"/>
  <c r="B954" i="16"/>
  <c r="C954" i="16"/>
  <c r="D954" i="16"/>
  <c r="E954" i="16"/>
  <c r="F954" i="16"/>
  <c r="G954" i="16"/>
  <c r="J954" i="16" s="1"/>
  <c r="I954" i="16"/>
  <c r="A955" i="16"/>
  <c r="B955" i="16"/>
  <c r="C955" i="16"/>
  <c r="D955" i="16"/>
  <c r="E955" i="16"/>
  <c r="F955" i="16"/>
  <c r="G955" i="16"/>
  <c r="J955" i="16" s="1"/>
  <c r="I955" i="16"/>
  <c r="A956" i="16"/>
  <c r="B956" i="16"/>
  <c r="C956" i="16"/>
  <c r="D956" i="16"/>
  <c r="E956" i="16"/>
  <c r="F956" i="16"/>
  <c r="G956" i="16"/>
  <c r="J956" i="16" s="1"/>
  <c r="I956" i="16"/>
  <c r="A957" i="16"/>
  <c r="B957" i="16"/>
  <c r="C957" i="16"/>
  <c r="D957" i="16"/>
  <c r="E957" i="16"/>
  <c r="F957" i="16"/>
  <c r="G957" i="16"/>
  <c r="J957" i="16" s="1"/>
  <c r="I957" i="16"/>
  <c r="A958" i="16"/>
  <c r="B958" i="16"/>
  <c r="C958" i="16"/>
  <c r="D958" i="16"/>
  <c r="E958" i="16"/>
  <c r="F958" i="16"/>
  <c r="G958" i="16"/>
  <c r="J958" i="16" s="1"/>
  <c r="I958" i="16"/>
  <c r="A959" i="16"/>
  <c r="B959" i="16"/>
  <c r="C959" i="16"/>
  <c r="D959" i="16"/>
  <c r="E959" i="16"/>
  <c r="F959" i="16"/>
  <c r="G959" i="16"/>
  <c r="J959" i="16" s="1"/>
  <c r="I959" i="16"/>
  <c r="A960" i="16"/>
  <c r="B960" i="16"/>
  <c r="C960" i="16"/>
  <c r="D960" i="16"/>
  <c r="E960" i="16"/>
  <c r="F960" i="16"/>
  <c r="G960" i="16"/>
  <c r="J960" i="16" s="1"/>
  <c r="I960" i="16"/>
  <c r="A961" i="16"/>
  <c r="B961" i="16"/>
  <c r="C961" i="16"/>
  <c r="D961" i="16"/>
  <c r="E961" i="16"/>
  <c r="F961" i="16"/>
  <c r="G961" i="16"/>
  <c r="J961" i="16" s="1"/>
  <c r="I961" i="16"/>
  <c r="A962" i="16"/>
  <c r="B962" i="16"/>
  <c r="C962" i="16"/>
  <c r="D962" i="16"/>
  <c r="E962" i="16"/>
  <c r="F962" i="16"/>
  <c r="G962" i="16"/>
  <c r="J962" i="16" s="1"/>
  <c r="I962" i="16"/>
  <c r="A963" i="16"/>
  <c r="B963" i="16"/>
  <c r="C963" i="16"/>
  <c r="D963" i="16"/>
  <c r="E963" i="16"/>
  <c r="F963" i="16"/>
  <c r="G963" i="16"/>
  <c r="J963" i="16" s="1"/>
  <c r="I963" i="16"/>
  <c r="A964" i="16"/>
  <c r="B964" i="16"/>
  <c r="C964" i="16"/>
  <c r="D964" i="16"/>
  <c r="E964" i="16"/>
  <c r="F964" i="16"/>
  <c r="G964" i="16"/>
  <c r="J964" i="16" s="1"/>
  <c r="I964" i="16"/>
  <c r="A965" i="16"/>
  <c r="B965" i="16"/>
  <c r="C965" i="16"/>
  <c r="D965" i="16"/>
  <c r="E965" i="16"/>
  <c r="F965" i="16"/>
  <c r="G965" i="16"/>
  <c r="J965" i="16" s="1"/>
  <c r="I965" i="16"/>
  <c r="A966" i="16"/>
  <c r="B966" i="16"/>
  <c r="C966" i="16"/>
  <c r="D966" i="16"/>
  <c r="E966" i="16"/>
  <c r="F966" i="16"/>
  <c r="G966" i="16"/>
  <c r="J966" i="16" s="1"/>
  <c r="I966" i="16"/>
  <c r="A967" i="16"/>
  <c r="B967" i="16"/>
  <c r="C967" i="16"/>
  <c r="D967" i="16"/>
  <c r="E967" i="16"/>
  <c r="F967" i="16"/>
  <c r="G967" i="16"/>
  <c r="J967" i="16" s="1"/>
  <c r="I967" i="16"/>
  <c r="A968" i="16"/>
  <c r="B968" i="16"/>
  <c r="C968" i="16"/>
  <c r="D968" i="16"/>
  <c r="E968" i="16"/>
  <c r="F968" i="16"/>
  <c r="G968" i="16"/>
  <c r="J968" i="16" s="1"/>
  <c r="I968" i="16"/>
  <c r="A969" i="16"/>
  <c r="B969" i="16"/>
  <c r="C969" i="16"/>
  <c r="D969" i="16"/>
  <c r="E969" i="16"/>
  <c r="F969" i="16"/>
  <c r="G969" i="16"/>
  <c r="J969" i="16" s="1"/>
  <c r="I969" i="16"/>
  <c r="A970" i="16"/>
  <c r="B970" i="16"/>
  <c r="C970" i="16"/>
  <c r="D970" i="16"/>
  <c r="E970" i="16"/>
  <c r="F970" i="16"/>
  <c r="G970" i="16"/>
  <c r="J970" i="16" s="1"/>
  <c r="I970" i="16"/>
  <c r="A971" i="16"/>
  <c r="B971" i="16"/>
  <c r="C971" i="16"/>
  <c r="D971" i="16"/>
  <c r="E971" i="16"/>
  <c r="F971" i="16"/>
  <c r="G971" i="16"/>
  <c r="J971" i="16" s="1"/>
  <c r="I971" i="16"/>
  <c r="A972" i="16"/>
  <c r="B972" i="16"/>
  <c r="C972" i="16"/>
  <c r="D972" i="16"/>
  <c r="E972" i="16"/>
  <c r="F972" i="16"/>
  <c r="G972" i="16"/>
  <c r="J972" i="16" s="1"/>
  <c r="I972" i="16"/>
  <c r="A973" i="16"/>
  <c r="B973" i="16"/>
  <c r="C973" i="16"/>
  <c r="D973" i="16"/>
  <c r="E973" i="16"/>
  <c r="F973" i="16"/>
  <c r="G973" i="16"/>
  <c r="J973" i="16" s="1"/>
  <c r="I973" i="16"/>
  <c r="A974" i="16"/>
  <c r="B974" i="16"/>
  <c r="C974" i="16"/>
  <c r="D974" i="16"/>
  <c r="E974" i="16"/>
  <c r="F974" i="16"/>
  <c r="G974" i="16"/>
  <c r="J974" i="16" s="1"/>
  <c r="I974" i="16"/>
  <c r="A975" i="16"/>
  <c r="B975" i="16"/>
  <c r="C975" i="16"/>
  <c r="D975" i="16"/>
  <c r="E975" i="16"/>
  <c r="F975" i="16"/>
  <c r="G975" i="16"/>
  <c r="J975" i="16" s="1"/>
  <c r="I975" i="16"/>
  <c r="A976" i="16"/>
  <c r="B976" i="16"/>
  <c r="C976" i="16"/>
  <c r="D976" i="16"/>
  <c r="E976" i="16"/>
  <c r="F976" i="16"/>
  <c r="G976" i="16"/>
  <c r="J976" i="16" s="1"/>
  <c r="I976" i="16"/>
  <c r="A977" i="16"/>
  <c r="B977" i="16"/>
  <c r="C977" i="16"/>
  <c r="D977" i="16"/>
  <c r="E977" i="16"/>
  <c r="F977" i="16"/>
  <c r="G977" i="16"/>
  <c r="J977" i="16" s="1"/>
  <c r="I977" i="16"/>
  <c r="A978" i="16"/>
  <c r="B978" i="16"/>
  <c r="C978" i="16"/>
  <c r="D978" i="16"/>
  <c r="E978" i="16"/>
  <c r="F978" i="16"/>
  <c r="G978" i="16"/>
  <c r="J978" i="16" s="1"/>
  <c r="I978" i="16"/>
  <c r="A979" i="16"/>
  <c r="B979" i="16"/>
  <c r="C979" i="16"/>
  <c r="D979" i="16"/>
  <c r="E979" i="16"/>
  <c r="F979" i="16"/>
  <c r="G979" i="16"/>
  <c r="J979" i="16" s="1"/>
  <c r="I979" i="16"/>
  <c r="A980" i="16"/>
  <c r="B980" i="16"/>
  <c r="C980" i="16"/>
  <c r="D980" i="16"/>
  <c r="E980" i="16"/>
  <c r="F980" i="16"/>
  <c r="G980" i="16"/>
  <c r="J980" i="16" s="1"/>
  <c r="I980" i="16"/>
  <c r="A981" i="16"/>
  <c r="B981" i="16"/>
  <c r="C981" i="16"/>
  <c r="D981" i="16"/>
  <c r="E981" i="16"/>
  <c r="F981" i="16"/>
  <c r="G981" i="16"/>
  <c r="J981" i="16" s="1"/>
  <c r="I981" i="16"/>
  <c r="A982" i="16"/>
  <c r="B982" i="16"/>
  <c r="C982" i="16"/>
  <c r="D982" i="16"/>
  <c r="E982" i="16"/>
  <c r="F982" i="16"/>
  <c r="G982" i="16"/>
  <c r="J982" i="16" s="1"/>
  <c r="I982" i="16"/>
  <c r="A983" i="16"/>
  <c r="B983" i="16"/>
  <c r="C983" i="16"/>
  <c r="D983" i="16"/>
  <c r="E983" i="16"/>
  <c r="F983" i="16"/>
  <c r="G983" i="16"/>
  <c r="J983" i="16" s="1"/>
  <c r="I983" i="16"/>
  <c r="A984" i="16"/>
  <c r="B984" i="16"/>
  <c r="C984" i="16"/>
  <c r="D984" i="16"/>
  <c r="E984" i="16"/>
  <c r="F984" i="16"/>
  <c r="G984" i="16"/>
  <c r="J984" i="16" s="1"/>
  <c r="I984" i="16"/>
  <c r="A985" i="16"/>
  <c r="B985" i="16"/>
  <c r="C985" i="16"/>
  <c r="D985" i="16"/>
  <c r="E985" i="16"/>
  <c r="F985" i="16"/>
  <c r="G985" i="16"/>
  <c r="J985" i="16" s="1"/>
  <c r="I985" i="16"/>
  <c r="A986" i="16"/>
  <c r="B986" i="16"/>
  <c r="C986" i="16"/>
  <c r="D986" i="16"/>
  <c r="E986" i="16"/>
  <c r="F986" i="16"/>
  <c r="G986" i="16"/>
  <c r="J986" i="16" s="1"/>
  <c r="I986" i="16"/>
  <c r="A987" i="16"/>
  <c r="B987" i="16"/>
  <c r="C987" i="16"/>
  <c r="D987" i="16"/>
  <c r="E987" i="16"/>
  <c r="F987" i="16"/>
  <c r="G987" i="16"/>
  <c r="J987" i="16" s="1"/>
  <c r="I987" i="16"/>
  <c r="A988" i="16"/>
  <c r="B988" i="16"/>
  <c r="C988" i="16"/>
  <c r="D988" i="16"/>
  <c r="E988" i="16"/>
  <c r="F988" i="16"/>
  <c r="G988" i="16"/>
  <c r="J988" i="16" s="1"/>
  <c r="I988" i="16"/>
  <c r="A989" i="16"/>
  <c r="B989" i="16"/>
  <c r="C989" i="16"/>
  <c r="D989" i="16"/>
  <c r="E989" i="16"/>
  <c r="F989" i="16"/>
  <c r="G989" i="16"/>
  <c r="J989" i="16" s="1"/>
  <c r="I989" i="16"/>
  <c r="A990" i="16"/>
  <c r="B990" i="16"/>
  <c r="C990" i="16"/>
  <c r="D990" i="16"/>
  <c r="E990" i="16"/>
  <c r="F990" i="16"/>
  <c r="G990" i="16"/>
  <c r="J990" i="16" s="1"/>
  <c r="I990" i="16"/>
  <c r="A991" i="16"/>
  <c r="B991" i="16"/>
  <c r="C991" i="16"/>
  <c r="D991" i="16"/>
  <c r="E991" i="16"/>
  <c r="F991" i="16"/>
  <c r="G991" i="16"/>
  <c r="J991" i="16" s="1"/>
  <c r="I991" i="16"/>
  <c r="A992" i="16"/>
  <c r="B992" i="16"/>
  <c r="C992" i="16"/>
  <c r="D992" i="16"/>
  <c r="E992" i="16"/>
  <c r="F992" i="16"/>
  <c r="G992" i="16"/>
  <c r="J992" i="16" s="1"/>
  <c r="I992" i="16"/>
  <c r="A993" i="16"/>
  <c r="B993" i="16"/>
  <c r="C993" i="16"/>
  <c r="D993" i="16"/>
  <c r="E993" i="16"/>
  <c r="F993" i="16"/>
  <c r="G993" i="16"/>
  <c r="J993" i="16" s="1"/>
  <c r="I993" i="16"/>
  <c r="A994" i="16"/>
  <c r="B994" i="16"/>
  <c r="C994" i="16"/>
  <c r="D994" i="16"/>
  <c r="E994" i="16"/>
  <c r="F994" i="16"/>
  <c r="G994" i="16"/>
  <c r="J994" i="16" s="1"/>
  <c r="I994" i="16"/>
  <c r="A995" i="16"/>
  <c r="B995" i="16"/>
  <c r="C995" i="16"/>
  <c r="D995" i="16"/>
  <c r="E995" i="16"/>
  <c r="F995" i="16"/>
  <c r="G995" i="16"/>
  <c r="J995" i="16" s="1"/>
  <c r="I995" i="16"/>
  <c r="A996" i="16"/>
  <c r="B996" i="16"/>
  <c r="C996" i="16"/>
  <c r="D996" i="16"/>
  <c r="E996" i="16"/>
  <c r="F996" i="16"/>
  <c r="G996" i="16"/>
  <c r="J996" i="16" s="1"/>
  <c r="I996" i="16"/>
  <c r="A997" i="16"/>
  <c r="B997" i="16"/>
  <c r="C997" i="16"/>
  <c r="D997" i="16"/>
  <c r="E997" i="16"/>
  <c r="F997" i="16"/>
  <c r="G997" i="16"/>
  <c r="J997" i="16" s="1"/>
  <c r="I997" i="16"/>
  <c r="A998" i="16"/>
  <c r="B998" i="16"/>
  <c r="C998" i="16"/>
  <c r="D998" i="16"/>
  <c r="E998" i="16"/>
  <c r="F998" i="16"/>
  <c r="G998" i="16"/>
  <c r="J998" i="16" s="1"/>
  <c r="I998" i="16"/>
  <c r="A999" i="16"/>
  <c r="B999" i="16"/>
  <c r="C999" i="16"/>
  <c r="D999" i="16"/>
  <c r="E999" i="16"/>
  <c r="F999" i="16"/>
  <c r="G999" i="16"/>
  <c r="J999" i="16" s="1"/>
  <c r="I999" i="16"/>
  <c r="A1000" i="16"/>
  <c r="B1000" i="16"/>
  <c r="C1000" i="16"/>
  <c r="D1000" i="16"/>
  <c r="E1000" i="16"/>
  <c r="F1000" i="16"/>
  <c r="G1000" i="16"/>
  <c r="J1000" i="16" s="1"/>
  <c r="I1000" i="16"/>
  <c r="A1001" i="16"/>
  <c r="B1001" i="16"/>
  <c r="C1001" i="16"/>
  <c r="D1001" i="16"/>
  <c r="E1001" i="16"/>
  <c r="F1001" i="16"/>
  <c r="G1001" i="16"/>
  <c r="J1001" i="16" s="1"/>
  <c r="I1001" i="16"/>
  <c r="A1002" i="16"/>
  <c r="B1002" i="16"/>
  <c r="C1002" i="16"/>
  <c r="D1002" i="16"/>
  <c r="E1002" i="16"/>
  <c r="F1002" i="16"/>
  <c r="G1002" i="16"/>
  <c r="J1002" i="16" s="1"/>
  <c r="I1002" i="16"/>
  <c r="A1003" i="16"/>
  <c r="B1003" i="16"/>
  <c r="C1003" i="16"/>
  <c r="D1003" i="16"/>
  <c r="E1003" i="16"/>
  <c r="F1003" i="16"/>
  <c r="G1003" i="16"/>
  <c r="J1003" i="16" s="1"/>
  <c r="I1003" i="16"/>
  <c r="A1004" i="16"/>
  <c r="B1004" i="16"/>
  <c r="C1004" i="16"/>
  <c r="D1004" i="16"/>
  <c r="E1004" i="16"/>
  <c r="F1004" i="16"/>
  <c r="G1004" i="16"/>
  <c r="J1004" i="16" s="1"/>
  <c r="I1004" i="16"/>
  <c r="A1005" i="16"/>
  <c r="B1005" i="16"/>
  <c r="C1005" i="16"/>
  <c r="D1005" i="16"/>
  <c r="E1005" i="16"/>
  <c r="F1005" i="16"/>
  <c r="G1005" i="16"/>
  <c r="J1005" i="16" s="1"/>
  <c r="I1005" i="16"/>
  <c r="A1006" i="16"/>
  <c r="B1006" i="16"/>
  <c r="C1006" i="16"/>
  <c r="D1006" i="16"/>
  <c r="E1006" i="16"/>
  <c r="F1006" i="16"/>
  <c r="G1006" i="16"/>
  <c r="J1006" i="16" s="1"/>
  <c r="I1006" i="16"/>
  <c r="A1007" i="16"/>
  <c r="B1007" i="16"/>
  <c r="C1007" i="16"/>
  <c r="D1007" i="16"/>
  <c r="E1007" i="16"/>
  <c r="F1007" i="16"/>
  <c r="G1007" i="16"/>
  <c r="J1007" i="16" s="1"/>
  <c r="I1007" i="16"/>
  <c r="A1008" i="16"/>
  <c r="B1008" i="16"/>
  <c r="C1008" i="16"/>
  <c r="D1008" i="16"/>
  <c r="E1008" i="16"/>
  <c r="F1008" i="16"/>
  <c r="G1008" i="16"/>
  <c r="J1008" i="16" s="1"/>
  <c r="I1008" i="16"/>
  <c r="A1009" i="16"/>
  <c r="B1009" i="16"/>
  <c r="C1009" i="16"/>
  <c r="D1009" i="16"/>
  <c r="E1009" i="16"/>
  <c r="F1009" i="16"/>
  <c r="G1009" i="16"/>
  <c r="J1009" i="16" s="1"/>
  <c r="I1009" i="16"/>
  <c r="A1010" i="16"/>
  <c r="B1010" i="16"/>
  <c r="C1010" i="16"/>
  <c r="D1010" i="16"/>
  <c r="E1010" i="16"/>
  <c r="F1010" i="16"/>
  <c r="G1010" i="16"/>
  <c r="J1010" i="16" s="1"/>
  <c r="I1010" i="16"/>
  <c r="A1011" i="16"/>
  <c r="B1011" i="16"/>
  <c r="C1011" i="16"/>
  <c r="D1011" i="16"/>
  <c r="E1011" i="16"/>
  <c r="F1011" i="16"/>
  <c r="G1011" i="16"/>
  <c r="J1011" i="16" s="1"/>
  <c r="I1011" i="16"/>
  <c r="A1012" i="16"/>
  <c r="B1012" i="16"/>
  <c r="C1012" i="16"/>
  <c r="D1012" i="16"/>
  <c r="E1012" i="16"/>
  <c r="F1012" i="16"/>
  <c r="G1012" i="16"/>
  <c r="J1012" i="16" s="1"/>
  <c r="I1012" i="16"/>
  <c r="A1013" i="16"/>
  <c r="B1013" i="16"/>
  <c r="C1013" i="16"/>
  <c r="D1013" i="16"/>
  <c r="E1013" i="16"/>
  <c r="F1013" i="16"/>
  <c r="G1013" i="16"/>
  <c r="J1013" i="16" s="1"/>
  <c r="I1013" i="16"/>
  <c r="A1014" i="16"/>
  <c r="B1014" i="16"/>
  <c r="C1014" i="16"/>
  <c r="D1014" i="16"/>
  <c r="E1014" i="16"/>
  <c r="F1014" i="16"/>
  <c r="G1014" i="16"/>
  <c r="J1014" i="16" s="1"/>
  <c r="I1014" i="16"/>
  <c r="A1015" i="16"/>
  <c r="B1015" i="16"/>
  <c r="C1015" i="16"/>
  <c r="D1015" i="16"/>
  <c r="E1015" i="16"/>
  <c r="F1015" i="16"/>
  <c r="G1015" i="16"/>
  <c r="J1015" i="16" s="1"/>
  <c r="I1015" i="16"/>
  <c r="A1016" i="16"/>
  <c r="B1016" i="16"/>
  <c r="C1016" i="16"/>
  <c r="D1016" i="16"/>
  <c r="E1016" i="16"/>
  <c r="F1016" i="16"/>
  <c r="G1016" i="16"/>
  <c r="J1016" i="16" s="1"/>
  <c r="I1016" i="16"/>
  <c r="A1017" i="16"/>
  <c r="B1017" i="16"/>
  <c r="C1017" i="16"/>
  <c r="D1017" i="16"/>
  <c r="E1017" i="16"/>
  <c r="F1017" i="16"/>
  <c r="G1017" i="16"/>
  <c r="J1017" i="16" s="1"/>
  <c r="I1017" i="16"/>
  <c r="A1018" i="16"/>
  <c r="B1018" i="16"/>
  <c r="C1018" i="16"/>
  <c r="D1018" i="16"/>
  <c r="E1018" i="16"/>
  <c r="F1018" i="16"/>
  <c r="G1018" i="16"/>
  <c r="J1018" i="16" s="1"/>
  <c r="I1018" i="16"/>
  <c r="A1019" i="16"/>
  <c r="B1019" i="16"/>
  <c r="C1019" i="16"/>
  <c r="D1019" i="16"/>
  <c r="E1019" i="16"/>
  <c r="F1019" i="16"/>
  <c r="G1019" i="16"/>
  <c r="J1019" i="16" s="1"/>
  <c r="I1019" i="16"/>
  <c r="A1020" i="16"/>
  <c r="B1020" i="16"/>
  <c r="C1020" i="16"/>
  <c r="D1020" i="16"/>
  <c r="E1020" i="16"/>
  <c r="F1020" i="16"/>
  <c r="G1020" i="16"/>
  <c r="J1020" i="16" s="1"/>
  <c r="I1020" i="16"/>
  <c r="A1021" i="16"/>
  <c r="B1021" i="16"/>
  <c r="C1021" i="16"/>
  <c r="D1021" i="16"/>
  <c r="E1021" i="16"/>
  <c r="F1021" i="16"/>
  <c r="G1021" i="16"/>
  <c r="J1021" i="16" s="1"/>
  <c r="I1021" i="16"/>
  <c r="A1022" i="16"/>
  <c r="B1022" i="16"/>
  <c r="C1022" i="16"/>
  <c r="D1022" i="16"/>
  <c r="E1022" i="16"/>
  <c r="F1022" i="16"/>
  <c r="G1022" i="16"/>
  <c r="J1022" i="16" s="1"/>
  <c r="I1022" i="16"/>
  <c r="A1023" i="16"/>
  <c r="B1023" i="16"/>
  <c r="C1023" i="16"/>
  <c r="D1023" i="16"/>
  <c r="E1023" i="16"/>
  <c r="F1023" i="16"/>
  <c r="G1023" i="16"/>
  <c r="J1023" i="16" s="1"/>
  <c r="I1023" i="16"/>
  <c r="A1024" i="16"/>
  <c r="B1024" i="16"/>
  <c r="C1024" i="16"/>
  <c r="D1024" i="16"/>
  <c r="E1024" i="16"/>
  <c r="F1024" i="16"/>
  <c r="G1024" i="16"/>
  <c r="J1024" i="16" s="1"/>
  <c r="I1024" i="16"/>
  <c r="A1025" i="16"/>
  <c r="B1025" i="16"/>
  <c r="C1025" i="16"/>
  <c r="D1025" i="16"/>
  <c r="E1025" i="16"/>
  <c r="F1025" i="16"/>
  <c r="G1025" i="16"/>
  <c r="J1025" i="16" s="1"/>
  <c r="I1025" i="16"/>
  <c r="A1026" i="16"/>
  <c r="B1026" i="16"/>
  <c r="C1026" i="16"/>
  <c r="D1026" i="16"/>
  <c r="E1026" i="16"/>
  <c r="F1026" i="16"/>
  <c r="G1026" i="16"/>
  <c r="J1026" i="16" s="1"/>
  <c r="I1026" i="16"/>
  <c r="A1027" i="16"/>
  <c r="B1027" i="16"/>
  <c r="C1027" i="16"/>
  <c r="D1027" i="16"/>
  <c r="E1027" i="16"/>
  <c r="F1027" i="16"/>
  <c r="G1027" i="16"/>
  <c r="J1027" i="16" s="1"/>
  <c r="I1027" i="16"/>
  <c r="A1028" i="16"/>
  <c r="B1028" i="16"/>
  <c r="C1028" i="16"/>
  <c r="D1028" i="16"/>
  <c r="E1028" i="16"/>
  <c r="F1028" i="16"/>
  <c r="G1028" i="16"/>
  <c r="J1028" i="16" s="1"/>
  <c r="I1028" i="16"/>
  <c r="A1029" i="16"/>
  <c r="B1029" i="16"/>
  <c r="C1029" i="16"/>
  <c r="D1029" i="16"/>
  <c r="E1029" i="16"/>
  <c r="F1029" i="16"/>
  <c r="G1029" i="16"/>
  <c r="J1029" i="16" s="1"/>
  <c r="I1029" i="16"/>
  <c r="A1030" i="16"/>
  <c r="B1030" i="16"/>
  <c r="C1030" i="16"/>
  <c r="D1030" i="16"/>
  <c r="E1030" i="16"/>
  <c r="F1030" i="16"/>
  <c r="G1030" i="16"/>
  <c r="J1030" i="16" s="1"/>
  <c r="I1030" i="16"/>
  <c r="A1031" i="16"/>
  <c r="B1031" i="16"/>
  <c r="C1031" i="16"/>
  <c r="D1031" i="16"/>
  <c r="E1031" i="16"/>
  <c r="F1031" i="16"/>
  <c r="G1031" i="16"/>
  <c r="J1031" i="16" s="1"/>
  <c r="I1031" i="16"/>
  <c r="A1032" i="16"/>
  <c r="B1032" i="16"/>
  <c r="C1032" i="16"/>
  <c r="D1032" i="16"/>
  <c r="E1032" i="16"/>
  <c r="F1032" i="16"/>
  <c r="G1032" i="16"/>
  <c r="J1032" i="16" s="1"/>
  <c r="I1032" i="16"/>
  <c r="A1033" i="16"/>
  <c r="B1033" i="16"/>
  <c r="C1033" i="16"/>
  <c r="D1033" i="16"/>
  <c r="E1033" i="16"/>
  <c r="F1033" i="16"/>
  <c r="G1033" i="16"/>
  <c r="J1033" i="16" s="1"/>
  <c r="I1033" i="16"/>
  <c r="A1034" i="16"/>
  <c r="B1034" i="16"/>
  <c r="C1034" i="16"/>
  <c r="D1034" i="16"/>
  <c r="E1034" i="16"/>
  <c r="F1034" i="16"/>
  <c r="G1034" i="16"/>
  <c r="J1034" i="16" s="1"/>
  <c r="I1034" i="16"/>
  <c r="A1035" i="16"/>
  <c r="B1035" i="16"/>
  <c r="C1035" i="16"/>
  <c r="D1035" i="16"/>
  <c r="E1035" i="16"/>
  <c r="F1035" i="16"/>
  <c r="G1035" i="16"/>
  <c r="J1035" i="16" s="1"/>
  <c r="I1035" i="16"/>
  <c r="A1036" i="16"/>
  <c r="B1036" i="16"/>
  <c r="C1036" i="16"/>
  <c r="D1036" i="16"/>
  <c r="E1036" i="16"/>
  <c r="F1036" i="16"/>
  <c r="G1036" i="16"/>
  <c r="J1036" i="16" s="1"/>
  <c r="I1036" i="16"/>
  <c r="A1037" i="16"/>
  <c r="B1037" i="16"/>
  <c r="C1037" i="16"/>
  <c r="D1037" i="16"/>
  <c r="E1037" i="16"/>
  <c r="F1037" i="16"/>
  <c r="G1037" i="16"/>
  <c r="J1037" i="16" s="1"/>
  <c r="I1037" i="16"/>
  <c r="A1038" i="16"/>
  <c r="B1038" i="16"/>
  <c r="C1038" i="16"/>
  <c r="D1038" i="16"/>
  <c r="E1038" i="16"/>
  <c r="F1038" i="16"/>
  <c r="G1038" i="16"/>
  <c r="J1038" i="16" s="1"/>
  <c r="I1038" i="16"/>
  <c r="A1039" i="16"/>
  <c r="B1039" i="16"/>
  <c r="C1039" i="16"/>
  <c r="D1039" i="16"/>
  <c r="E1039" i="16"/>
  <c r="F1039" i="16"/>
  <c r="G1039" i="16"/>
  <c r="J1039" i="16" s="1"/>
  <c r="I1039" i="16"/>
  <c r="A1040" i="16"/>
  <c r="B1040" i="16"/>
  <c r="C1040" i="16"/>
  <c r="D1040" i="16"/>
  <c r="E1040" i="16"/>
  <c r="F1040" i="16"/>
  <c r="G1040" i="16"/>
  <c r="J1040" i="16" s="1"/>
  <c r="I1040" i="16"/>
  <c r="A1041" i="16"/>
  <c r="B1041" i="16"/>
  <c r="C1041" i="16"/>
  <c r="D1041" i="16"/>
  <c r="E1041" i="16"/>
  <c r="F1041" i="16"/>
  <c r="G1041" i="16"/>
  <c r="J1041" i="16" s="1"/>
  <c r="I1041" i="16"/>
  <c r="A1042" i="16"/>
  <c r="B1042" i="16"/>
  <c r="C1042" i="16"/>
  <c r="D1042" i="16"/>
  <c r="E1042" i="16"/>
  <c r="F1042" i="16"/>
  <c r="G1042" i="16"/>
  <c r="J1042" i="16" s="1"/>
  <c r="I1042" i="16"/>
  <c r="A1043" i="16"/>
  <c r="B1043" i="16"/>
  <c r="C1043" i="16"/>
  <c r="D1043" i="16"/>
  <c r="E1043" i="16"/>
  <c r="F1043" i="16"/>
  <c r="G1043" i="16"/>
  <c r="J1043" i="16" s="1"/>
  <c r="I1043" i="16"/>
  <c r="A1044" i="16"/>
  <c r="B1044" i="16"/>
  <c r="C1044" i="16"/>
  <c r="D1044" i="16"/>
  <c r="E1044" i="16"/>
  <c r="F1044" i="16"/>
  <c r="G1044" i="16"/>
  <c r="J1044" i="16" s="1"/>
  <c r="I1044" i="16"/>
  <c r="A1045" i="16"/>
  <c r="B1045" i="16"/>
  <c r="C1045" i="16"/>
  <c r="D1045" i="16"/>
  <c r="E1045" i="16"/>
  <c r="F1045" i="16"/>
  <c r="G1045" i="16"/>
  <c r="J1045" i="16" s="1"/>
  <c r="I1045" i="16"/>
  <c r="A1046" i="16"/>
  <c r="B1046" i="16"/>
  <c r="C1046" i="16"/>
  <c r="D1046" i="16"/>
  <c r="E1046" i="16"/>
  <c r="F1046" i="16"/>
  <c r="G1046" i="16"/>
  <c r="J1046" i="16" s="1"/>
  <c r="I1046" i="16"/>
  <c r="A1047" i="16"/>
  <c r="B1047" i="16"/>
  <c r="C1047" i="16"/>
  <c r="D1047" i="16"/>
  <c r="E1047" i="16"/>
  <c r="F1047" i="16"/>
  <c r="G1047" i="16"/>
  <c r="J1047" i="16" s="1"/>
  <c r="I1047" i="16"/>
  <c r="A1048" i="16"/>
  <c r="B1048" i="16"/>
  <c r="C1048" i="16"/>
  <c r="D1048" i="16"/>
  <c r="E1048" i="16"/>
  <c r="F1048" i="16"/>
  <c r="G1048" i="16"/>
  <c r="J1048" i="16" s="1"/>
  <c r="I1048" i="16"/>
  <c r="A1049" i="16"/>
  <c r="B1049" i="16"/>
  <c r="C1049" i="16"/>
  <c r="D1049" i="16"/>
  <c r="E1049" i="16"/>
  <c r="F1049" i="16"/>
  <c r="G1049" i="16"/>
  <c r="J1049" i="16" s="1"/>
  <c r="I1049" i="16"/>
  <c r="A1050" i="16"/>
  <c r="B1050" i="16"/>
  <c r="C1050" i="16"/>
  <c r="D1050" i="16"/>
  <c r="E1050" i="16"/>
  <c r="F1050" i="16"/>
  <c r="G1050" i="16"/>
  <c r="J1050" i="16" s="1"/>
  <c r="I1050" i="16"/>
  <c r="A1051" i="16"/>
  <c r="B1051" i="16"/>
  <c r="C1051" i="16"/>
  <c r="D1051" i="16"/>
  <c r="E1051" i="16"/>
  <c r="F1051" i="16"/>
  <c r="G1051" i="16"/>
  <c r="J1051" i="16" s="1"/>
  <c r="I1051" i="16"/>
  <c r="A1052" i="16"/>
  <c r="B1052" i="16"/>
  <c r="C1052" i="16"/>
  <c r="D1052" i="16"/>
  <c r="E1052" i="16"/>
  <c r="F1052" i="16"/>
  <c r="G1052" i="16"/>
  <c r="J1052" i="16" s="1"/>
  <c r="I1052" i="16"/>
  <c r="A1053" i="16"/>
  <c r="B1053" i="16"/>
  <c r="C1053" i="16"/>
  <c r="D1053" i="16"/>
  <c r="E1053" i="16"/>
  <c r="F1053" i="16"/>
  <c r="G1053" i="16"/>
  <c r="J1053" i="16" s="1"/>
  <c r="I1053" i="16"/>
  <c r="A1054" i="16"/>
  <c r="B1054" i="16"/>
  <c r="C1054" i="16"/>
  <c r="D1054" i="16"/>
  <c r="E1054" i="16"/>
  <c r="F1054" i="16"/>
  <c r="G1054" i="16"/>
  <c r="J1054" i="16" s="1"/>
  <c r="I1054" i="16"/>
  <c r="A1055" i="16"/>
  <c r="B1055" i="16"/>
  <c r="C1055" i="16"/>
  <c r="D1055" i="16"/>
  <c r="E1055" i="16"/>
  <c r="F1055" i="16"/>
  <c r="G1055" i="16"/>
  <c r="J1055" i="16" s="1"/>
  <c r="I1055" i="16"/>
  <c r="A1056" i="16"/>
  <c r="B1056" i="16"/>
  <c r="C1056" i="16"/>
  <c r="D1056" i="16"/>
  <c r="E1056" i="16"/>
  <c r="F1056" i="16"/>
  <c r="G1056" i="16"/>
  <c r="J1056" i="16" s="1"/>
  <c r="I1056" i="16"/>
  <c r="A1057" i="16"/>
  <c r="B1057" i="16"/>
  <c r="C1057" i="16"/>
  <c r="D1057" i="16"/>
  <c r="E1057" i="16"/>
  <c r="F1057" i="16"/>
  <c r="G1057" i="16"/>
  <c r="J1057" i="16" s="1"/>
  <c r="I1057" i="16"/>
  <c r="A1058" i="16"/>
  <c r="B1058" i="16"/>
  <c r="C1058" i="16"/>
  <c r="D1058" i="16"/>
  <c r="E1058" i="16"/>
  <c r="F1058" i="16"/>
  <c r="G1058" i="16"/>
  <c r="J1058" i="16" s="1"/>
  <c r="I1058" i="16"/>
  <c r="A1059" i="16"/>
  <c r="B1059" i="16"/>
  <c r="C1059" i="16"/>
  <c r="D1059" i="16"/>
  <c r="E1059" i="16"/>
  <c r="F1059" i="16"/>
  <c r="G1059" i="16"/>
  <c r="J1059" i="16" s="1"/>
  <c r="I1059" i="16"/>
  <c r="A1060" i="16"/>
  <c r="B1060" i="16"/>
  <c r="C1060" i="16"/>
  <c r="D1060" i="16"/>
  <c r="E1060" i="16"/>
  <c r="F1060" i="16"/>
  <c r="G1060" i="16"/>
  <c r="J1060" i="16" s="1"/>
  <c r="I1060" i="16"/>
  <c r="A1061" i="16"/>
  <c r="B1061" i="16"/>
  <c r="C1061" i="16"/>
  <c r="D1061" i="16"/>
  <c r="E1061" i="16"/>
  <c r="F1061" i="16"/>
  <c r="G1061" i="16"/>
  <c r="J1061" i="16" s="1"/>
  <c r="I1061" i="16"/>
  <c r="A1062" i="16"/>
  <c r="B1062" i="16"/>
  <c r="C1062" i="16"/>
  <c r="D1062" i="16"/>
  <c r="E1062" i="16"/>
  <c r="F1062" i="16"/>
  <c r="G1062" i="16"/>
  <c r="J1062" i="16" s="1"/>
  <c r="I1062" i="16"/>
  <c r="A1063" i="16"/>
  <c r="B1063" i="16"/>
  <c r="C1063" i="16"/>
  <c r="D1063" i="16"/>
  <c r="E1063" i="16"/>
  <c r="F1063" i="16"/>
  <c r="G1063" i="16"/>
  <c r="J1063" i="16" s="1"/>
  <c r="I1063" i="16"/>
  <c r="A1064" i="16"/>
  <c r="B1064" i="16"/>
  <c r="C1064" i="16"/>
  <c r="D1064" i="16"/>
  <c r="E1064" i="16"/>
  <c r="F1064" i="16"/>
  <c r="G1064" i="16"/>
  <c r="J1064" i="16" s="1"/>
  <c r="I1064" i="16"/>
  <c r="A1065" i="16"/>
  <c r="B1065" i="16"/>
  <c r="C1065" i="16"/>
  <c r="D1065" i="16"/>
  <c r="E1065" i="16"/>
  <c r="F1065" i="16"/>
  <c r="G1065" i="16"/>
  <c r="J1065" i="16" s="1"/>
  <c r="I1065" i="16"/>
  <c r="A1066" i="16"/>
  <c r="B1066" i="16"/>
  <c r="C1066" i="16"/>
  <c r="D1066" i="16"/>
  <c r="E1066" i="16"/>
  <c r="F1066" i="16"/>
  <c r="G1066" i="16"/>
  <c r="J1066" i="16" s="1"/>
  <c r="I1066" i="16"/>
  <c r="A1067" i="16"/>
  <c r="B1067" i="16"/>
  <c r="C1067" i="16"/>
  <c r="D1067" i="16"/>
  <c r="E1067" i="16"/>
  <c r="F1067" i="16"/>
  <c r="G1067" i="16"/>
  <c r="J1067" i="16" s="1"/>
  <c r="I1067" i="16"/>
  <c r="A1068" i="16"/>
  <c r="B1068" i="16"/>
  <c r="C1068" i="16"/>
  <c r="D1068" i="16"/>
  <c r="E1068" i="16"/>
  <c r="F1068" i="16"/>
  <c r="G1068" i="16"/>
  <c r="J1068" i="16" s="1"/>
  <c r="I1068" i="16"/>
  <c r="A1069" i="16"/>
  <c r="B1069" i="16"/>
  <c r="C1069" i="16"/>
  <c r="D1069" i="16"/>
  <c r="E1069" i="16"/>
  <c r="F1069" i="16"/>
  <c r="G1069" i="16"/>
  <c r="J1069" i="16" s="1"/>
  <c r="I1069" i="16"/>
  <c r="A1070" i="16"/>
  <c r="B1070" i="16"/>
  <c r="C1070" i="16"/>
  <c r="D1070" i="16"/>
  <c r="E1070" i="16"/>
  <c r="F1070" i="16"/>
  <c r="G1070" i="16"/>
  <c r="J1070" i="16" s="1"/>
  <c r="I1070" i="16"/>
  <c r="A1071" i="16"/>
  <c r="B1071" i="16"/>
  <c r="C1071" i="16"/>
  <c r="D1071" i="16"/>
  <c r="E1071" i="16"/>
  <c r="F1071" i="16"/>
  <c r="G1071" i="16"/>
  <c r="J1071" i="16" s="1"/>
  <c r="I1071" i="16"/>
  <c r="A1072" i="16"/>
  <c r="B1072" i="16"/>
  <c r="C1072" i="16"/>
  <c r="D1072" i="16"/>
  <c r="E1072" i="16"/>
  <c r="F1072" i="16"/>
  <c r="G1072" i="16"/>
  <c r="J1072" i="16" s="1"/>
  <c r="I1072" i="16"/>
  <c r="A1073" i="16"/>
  <c r="B1073" i="16"/>
  <c r="C1073" i="16"/>
  <c r="D1073" i="16"/>
  <c r="E1073" i="16"/>
  <c r="F1073" i="16"/>
  <c r="G1073" i="16"/>
  <c r="J1073" i="16" s="1"/>
  <c r="I1073" i="16"/>
  <c r="A1074" i="16"/>
  <c r="B1074" i="16"/>
  <c r="C1074" i="16"/>
  <c r="D1074" i="16"/>
  <c r="E1074" i="16"/>
  <c r="F1074" i="16"/>
  <c r="G1074" i="16"/>
  <c r="J1074" i="16" s="1"/>
  <c r="I1074" i="16"/>
  <c r="A1075" i="16"/>
  <c r="B1075" i="16"/>
  <c r="C1075" i="16"/>
  <c r="D1075" i="16"/>
  <c r="E1075" i="16"/>
  <c r="F1075" i="16"/>
  <c r="G1075" i="16"/>
  <c r="J1075" i="16" s="1"/>
  <c r="I1075" i="16"/>
  <c r="A1076" i="16"/>
  <c r="B1076" i="16"/>
  <c r="C1076" i="16"/>
  <c r="D1076" i="16"/>
  <c r="E1076" i="16"/>
  <c r="F1076" i="16"/>
  <c r="G1076" i="16"/>
  <c r="J1076" i="16" s="1"/>
  <c r="I1076" i="16"/>
  <c r="A1077" i="16"/>
  <c r="B1077" i="16"/>
  <c r="C1077" i="16"/>
  <c r="D1077" i="16"/>
  <c r="E1077" i="16"/>
  <c r="F1077" i="16"/>
  <c r="G1077" i="16"/>
  <c r="J1077" i="16" s="1"/>
  <c r="I1077" i="16"/>
  <c r="A1078" i="16"/>
  <c r="B1078" i="16"/>
  <c r="C1078" i="16"/>
  <c r="D1078" i="16"/>
  <c r="E1078" i="16"/>
  <c r="F1078" i="16"/>
  <c r="G1078" i="16"/>
  <c r="J1078" i="16" s="1"/>
  <c r="I1078" i="16"/>
  <c r="A1079" i="16"/>
  <c r="B1079" i="16"/>
  <c r="C1079" i="16"/>
  <c r="D1079" i="16"/>
  <c r="E1079" i="16"/>
  <c r="F1079" i="16"/>
  <c r="G1079" i="16"/>
  <c r="J1079" i="16" s="1"/>
  <c r="I1079" i="16"/>
  <c r="A1080" i="16"/>
  <c r="B1080" i="16"/>
  <c r="C1080" i="16"/>
  <c r="D1080" i="16"/>
  <c r="E1080" i="16"/>
  <c r="F1080" i="16"/>
  <c r="G1080" i="16"/>
  <c r="J1080" i="16" s="1"/>
  <c r="I1080" i="16"/>
  <c r="A1081" i="16"/>
  <c r="B1081" i="16"/>
  <c r="C1081" i="16"/>
  <c r="D1081" i="16"/>
  <c r="E1081" i="16"/>
  <c r="F1081" i="16"/>
  <c r="G1081" i="16"/>
  <c r="J1081" i="16" s="1"/>
  <c r="I1081" i="16"/>
  <c r="A1082" i="16"/>
  <c r="B1082" i="16"/>
  <c r="C1082" i="16"/>
  <c r="D1082" i="16"/>
  <c r="E1082" i="16"/>
  <c r="F1082" i="16"/>
  <c r="G1082" i="16"/>
  <c r="J1082" i="16" s="1"/>
  <c r="I1082" i="16"/>
  <c r="A1083" i="16"/>
  <c r="B1083" i="16"/>
  <c r="C1083" i="16"/>
  <c r="D1083" i="16"/>
  <c r="E1083" i="16"/>
  <c r="F1083" i="16"/>
  <c r="G1083" i="16"/>
  <c r="J1083" i="16" s="1"/>
  <c r="I1083" i="16"/>
  <c r="A1084" i="16"/>
  <c r="B1084" i="16"/>
  <c r="C1084" i="16"/>
  <c r="D1084" i="16"/>
  <c r="E1084" i="16"/>
  <c r="F1084" i="16"/>
  <c r="G1084" i="16"/>
  <c r="J1084" i="16" s="1"/>
  <c r="I1084" i="16"/>
  <c r="A1085" i="16"/>
  <c r="B1085" i="16"/>
  <c r="C1085" i="16"/>
  <c r="D1085" i="16"/>
  <c r="E1085" i="16"/>
  <c r="F1085" i="16"/>
  <c r="G1085" i="16"/>
  <c r="J1085" i="16" s="1"/>
  <c r="I1085" i="16"/>
  <c r="A1086" i="16"/>
  <c r="B1086" i="16"/>
  <c r="C1086" i="16"/>
  <c r="D1086" i="16"/>
  <c r="E1086" i="16"/>
  <c r="F1086" i="16"/>
  <c r="G1086" i="16"/>
  <c r="J1086" i="16" s="1"/>
  <c r="I1086" i="16"/>
  <c r="A1087" i="16"/>
  <c r="B1087" i="16"/>
  <c r="C1087" i="16"/>
  <c r="D1087" i="16"/>
  <c r="E1087" i="16"/>
  <c r="F1087" i="16"/>
  <c r="G1087" i="16"/>
  <c r="J1087" i="16" s="1"/>
  <c r="I1087" i="16"/>
  <c r="A1088" i="16"/>
  <c r="B1088" i="16"/>
  <c r="C1088" i="16"/>
  <c r="D1088" i="16"/>
  <c r="E1088" i="16"/>
  <c r="F1088" i="16"/>
  <c r="G1088" i="16"/>
  <c r="J1088" i="16" s="1"/>
  <c r="I1088" i="16"/>
  <c r="A1089" i="16"/>
  <c r="B1089" i="16"/>
  <c r="C1089" i="16"/>
  <c r="D1089" i="16"/>
  <c r="E1089" i="16"/>
  <c r="F1089" i="16"/>
  <c r="G1089" i="16"/>
  <c r="J1089" i="16" s="1"/>
  <c r="I1089" i="16"/>
  <c r="A1090" i="16"/>
  <c r="B1090" i="16"/>
  <c r="C1090" i="16"/>
  <c r="D1090" i="16"/>
  <c r="E1090" i="16"/>
  <c r="F1090" i="16"/>
  <c r="G1090" i="16"/>
  <c r="J1090" i="16" s="1"/>
  <c r="I1090" i="16"/>
  <c r="A1091" i="16"/>
  <c r="B1091" i="16"/>
  <c r="C1091" i="16"/>
  <c r="D1091" i="16"/>
  <c r="E1091" i="16"/>
  <c r="F1091" i="16"/>
  <c r="G1091" i="16"/>
  <c r="J1091" i="16" s="1"/>
  <c r="I1091" i="16"/>
  <c r="A1092" i="16"/>
  <c r="B1092" i="16"/>
  <c r="C1092" i="16"/>
  <c r="D1092" i="16"/>
  <c r="E1092" i="16"/>
  <c r="F1092" i="16"/>
  <c r="G1092" i="16"/>
  <c r="J1092" i="16" s="1"/>
  <c r="I1092" i="16"/>
  <c r="A1093" i="16"/>
  <c r="B1093" i="16"/>
  <c r="C1093" i="16"/>
  <c r="D1093" i="16"/>
  <c r="E1093" i="16"/>
  <c r="F1093" i="16"/>
  <c r="G1093" i="16"/>
  <c r="J1093" i="16" s="1"/>
  <c r="I1093" i="16"/>
  <c r="A1094" i="16"/>
  <c r="B1094" i="16"/>
  <c r="C1094" i="16"/>
  <c r="D1094" i="16"/>
  <c r="E1094" i="16"/>
  <c r="F1094" i="16"/>
  <c r="G1094" i="16"/>
  <c r="J1094" i="16" s="1"/>
  <c r="I1094" i="16"/>
  <c r="A1095" i="16"/>
  <c r="B1095" i="16"/>
  <c r="C1095" i="16"/>
  <c r="D1095" i="16"/>
  <c r="E1095" i="16"/>
  <c r="F1095" i="16"/>
  <c r="G1095" i="16"/>
  <c r="J1095" i="16" s="1"/>
  <c r="I1095" i="16"/>
  <c r="A1096" i="16"/>
  <c r="B1096" i="16"/>
  <c r="C1096" i="16"/>
  <c r="D1096" i="16"/>
  <c r="E1096" i="16"/>
  <c r="F1096" i="16"/>
  <c r="G1096" i="16"/>
  <c r="J1096" i="16" s="1"/>
  <c r="I1096" i="16"/>
  <c r="A1097" i="16"/>
  <c r="B1097" i="16"/>
  <c r="C1097" i="16"/>
  <c r="D1097" i="16"/>
  <c r="E1097" i="16"/>
  <c r="F1097" i="16"/>
  <c r="G1097" i="16"/>
  <c r="J1097" i="16" s="1"/>
  <c r="I1097" i="16"/>
  <c r="A1098" i="16"/>
  <c r="B1098" i="16"/>
  <c r="C1098" i="16"/>
  <c r="D1098" i="16"/>
  <c r="E1098" i="16"/>
  <c r="F1098" i="16"/>
  <c r="G1098" i="16"/>
  <c r="J1098" i="16" s="1"/>
  <c r="I1098" i="16"/>
  <c r="A1099" i="16"/>
  <c r="B1099" i="16"/>
  <c r="C1099" i="16"/>
  <c r="D1099" i="16"/>
  <c r="E1099" i="16"/>
  <c r="F1099" i="16"/>
  <c r="G1099" i="16"/>
  <c r="J1099" i="16" s="1"/>
  <c r="I1099" i="16"/>
  <c r="A1100" i="16"/>
  <c r="B1100" i="16"/>
  <c r="C1100" i="16"/>
  <c r="D1100" i="16"/>
  <c r="E1100" i="16"/>
  <c r="F1100" i="16"/>
  <c r="G1100" i="16"/>
  <c r="J1100" i="16" s="1"/>
  <c r="I1100" i="16"/>
  <c r="A1101" i="16"/>
  <c r="B1101" i="16"/>
  <c r="C1101" i="16"/>
  <c r="D1101" i="16"/>
  <c r="E1101" i="16"/>
  <c r="F1101" i="16"/>
  <c r="G1101" i="16"/>
  <c r="J1101" i="16" s="1"/>
  <c r="I1101" i="16"/>
  <c r="A1102" i="16"/>
  <c r="B1102" i="16"/>
  <c r="C1102" i="16"/>
  <c r="D1102" i="16"/>
  <c r="E1102" i="16"/>
  <c r="F1102" i="16"/>
  <c r="G1102" i="16"/>
  <c r="J1102" i="16" s="1"/>
  <c r="I1102" i="16"/>
  <c r="A1103" i="16"/>
  <c r="B1103" i="16"/>
  <c r="C1103" i="16"/>
  <c r="D1103" i="16"/>
  <c r="E1103" i="16"/>
  <c r="F1103" i="16"/>
  <c r="G1103" i="16"/>
  <c r="J1103" i="16" s="1"/>
  <c r="I1103" i="16"/>
  <c r="A1104" i="16"/>
  <c r="B1104" i="16"/>
  <c r="C1104" i="16"/>
  <c r="D1104" i="16"/>
  <c r="E1104" i="16"/>
  <c r="F1104" i="16"/>
  <c r="G1104" i="16"/>
  <c r="J1104" i="16" s="1"/>
  <c r="I1104" i="16"/>
  <c r="A1105" i="16"/>
  <c r="B1105" i="16"/>
  <c r="C1105" i="16"/>
  <c r="D1105" i="16"/>
  <c r="E1105" i="16"/>
  <c r="F1105" i="16"/>
  <c r="G1105" i="16"/>
  <c r="J1105" i="16" s="1"/>
  <c r="I1105" i="16"/>
  <c r="A1106" i="16"/>
  <c r="B1106" i="16"/>
  <c r="C1106" i="16"/>
  <c r="D1106" i="16"/>
  <c r="E1106" i="16"/>
  <c r="F1106" i="16"/>
  <c r="G1106" i="16"/>
  <c r="J1106" i="16" s="1"/>
  <c r="I1106" i="16"/>
  <c r="A1107" i="16"/>
  <c r="B1107" i="16"/>
  <c r="C1107" i="16"/>
  <c r="D1107" i="16"/>
  <c r="E1107" i="16"/>
  <c r="F1107" i="16"/>
  <c r="G1107" i="16"/>
  <c r="J1107" i="16" s="1"/>
  <c r="I1107" i="16"/>
  <c r="A1108" i="16"/>
  <c r="B1108" i="16"/>
  <c r="C1108" i="16"/>
  <c r="D1108" i="16"/>
  <c r="E1108" i="16"/>
  <c r="F1108" i="16"/>
  <c r="G1108" i="16"/>
  <c r="J1108" i="16" s="1"/>
  <c r="I1108" i="16"/>
  <c r="A1109" i="16"/>
  <c r="B1109" i="16"/>
  <c r="C1109" i="16"/>
  <c r="D1109" i="16"/>
  <c r="E1109" i="16"/>
  <c r="F1109" i="16"/>
  <c r="G1109" i="16"/>
  <c r="J1109" i="16" s="1"/>
  <c r="I1109" i="16"/>
  <c r="A1110" i="16"/>
  <c r="B1110" i="16"/>
  <c r="C1110" i="16"/>
  <c r="D1110" i="16"/>
  <c r="E1110" i="16"/>
  <c r="F1110" i="16"/>
  <c r="G1110" i="16"/>
  <c r="J1110" i="16" s="1"/>
  <c r="I1110" i="16"/>
  <c r="A1111" i="16"/>
  <c r="B1111" i="16"/>
  <c r="C1111" i="16"/>
  <c r="D1111" i="16"/>
  <c r="E1111" i="16"/>
  <c r="F1111" i="16"/>
  <c r="G1111" i="16"/>
  <c r="J1111" i="16" s="1"/>
  <c r="I1111" i="16"/>
  <c r="A1112" i="16"/>
  <c r="B1112" i="16"/>
  <c r="C1112" i="16"/>
  <c r="D1112" i="16"/>
  <c r="E1112" i="16"/>
  <c r="F1112" i="16"/>
  <c r="G1112" i="16"/>
  <c r="J1112" i="16" s="1"/>
  <c r="I1112" i="16"/>
  <c r="A1113" i="16"/>
  <c r="B1113" i="16"/>
  <c r="C1113" i="16"/>
  <c r="D1113" i="16"/>
  <c r="E1113" i="16"/>
  <c r="F1113" i="16"/>
  <c r="G1113" i="16"/>
  <c r="J1113" i="16" s="1"/>
  <c r="I1113" i="16"/>
  <c r="A1114" i="16"/>
  <c r="B1114" i="16"/>
  <c r="C1114" i="16"/>
  <c r="D1114" i="16"/>
  <c r="E1114" i="16"/>
  <c r="F1114" i="16"/>
  <c r="G1114" i="16"/>
  <c r="J1114" i="16" s="1"/>
  <c r="I1114" i="16"/>
  <c r="A1115" i="16"/>
  <c r="B1115" i="16"/>
  <c r="C1115" i="16"/>
  <c r="D1115" i="16"/>
  <c r="E1115" i="16"/>
  <c r="F1115" i="16"/>
  <c r="G1115" i="16"/>
  <c r="J1115" i="16" s="1"/>
  <c r="I1115" i="16"/>
  <c r="A1116" i="16"/>
  <c r="B1116" i="16"/>
  <c r="C1116" i="16"/>
  <c r="D1116" i="16"/>
  <c r="E1116" i="16"/>
  <c r="F1116" i="16"/>
  <c r="G1116" i="16"/>
  <c r="J1116" i="16" s="1"/>
  <c r="I1116" i="16"/>
  <c r="A1117" i="16"/>
  <c r="B1117" i="16"/>
  <c r="C1117" i="16"/>
  <c r="D1117" i="16"/>
  <c r="E1117" i="16"/>
  <c r="F1117" i="16"/>
  <c r="G1117" i="16"/>
  <c r="J1117" i="16" s="1"/>
  <c r="I1117" i="16"/>
  <c r="A1118" i="16"/>
  <c r="B1118" i="16"/>
  <c r="C1118" i="16"/>
  <c r="D1118" i="16"/>
  <c r="E1118" i="16"/>
  <c r="F1118" i="16"/>
  <c r="G1118" i="16"/>
  <c r="J1118" i="16" s="1"/>
  <c r="I1118" i="16"/>
  <c r="A1119" i="16"/>
  <c r="B1119" i="16"/>
  <c r="C1119" i="16"/>
  <c r="D1119" i="16"/>
  <c r="E1119" i="16"/>
  <c r="F1119" i="16"/>
  <c r="G1119" i="16"/>
  <c r="J1119" i="16" s="1"/>
  <c r="I1119" i="16"/>
  <c r="A1120" i="16"/>
  <c r="B1120" i="16"/>
  <c r="C1120" i="16"/>
  <c r="D1120" i="16"/>
  <c r="E1120" i="16"/>
  <c r="F1120" i="16"/>
  <c r="G1120" i="16"/>
  <c r="J1120" i="16" s="1"/>
  <c r="I1120" i="16"/>
  <c r="A1121" i="16"/>
  <c r="B1121" i="16"/>
  <c r="C1121" i="16"/>
  <c r="D1121" i="16"/>
  <c r="E1121" i="16"/>
  <c r="F1121" i="16"/>
  <c r="G1121" i="16"/>
  <c r="J1121" i="16" s="1"/>
  <c r="I1121" i="16"/>
  <c r="A1122" i="16"/>
  <c r="B1122" i="16"/>
  <c r="C1122" i="16"/>
  <c r="D1122" i="16"/>
  <c r="E1122" i="16"/>
  <c r="F1122" i="16"/>
  <c r="G1122" i="16"/>
  <c r="J1122" i="16" s="1"/>
  <c r="I1122" i="16"/>
  <c r="A1123" i="16"/>
  <c r="B1123" i="16"/>
  <c r="C1123" i="16"/>
  <c r="D1123" i="16"/>
  <c r="E1123" i="16"/>
  <c r="F1123" i="16"/>
  <c r="G1123" i="16"/>
  <c r="J1123" i="16" s="1"/>
  <c r="I1123" i="16"/>
  <c r="A1124" i="16"/>
  <c r="B1124" i="16"/>
  <c r="C1124" i="16"/>
  <c r="D1124" i="16"/>
  <c r="E1124" i="16"/>
  <c r="F1124" i="16"/>
  <c r="G1124" i="16"/>
  <c r="J1124" i="16" s="1"/>
  <c r="I1124" i="16"/>
  <c r="A1125" i="16"/>
  <c r="B1125" i="16"/>
  <c r="C1125" i="16"/>
  <c r="D1125" i="16"/>
  <c r="E1125" i="16"/>
  <c r="F1125" i="16"/>
  <c r="G1125" i="16"/>
  <c r="J1125" i="16" s="1"/>
  <c r="I1125" i="16"/>
  <c r="A1126" i="16"/>
  <c r="B1126" i="16"/>
  <c r="C1126" i="16"/>
  <c r="D1126" i="16"/>
  <c r="E1126" i="16"/>
  <c r="F1126" i="16"/>
  <c r="G1126" i="16"/>
  <c r="J1126" i="16" s="1"/>
  <c r="I1126" i="16"/>
  <c r="A1127" i="16"/>
  <c r="B1127" i="16"/>
  <c r="C1127" i="16"/>
  <c r="D1127" i="16"/>
  <c r="E1127" i="16"/>
  <c r="F1127" i="16"/>
  <c r="G1127" i="16"/>
  <c r="J1127" i="16" s="1"/>
  <c r="I1127" i="16"/>
  <c r="A1128" i="16"/>
  <c r="B1128" i="16"/>
  <c r="C1128" i="16"/>
  <c r="D1128" i="16"/>
  <c r="E1128" i="16"/>
  <c r="F1128" i="16"/>
  <c r="G1128" i="16"/>
  <c r="J1128" i="16" s="1"/>
  <c r="I1128" i="16"/>
  <c r="A1129" i="16"/>
  <c r="B1129" i="16"/>
  <c r="C1129" i="16"/>
  <c r="D1129" i="16"/>
  <c r="E1129" i="16"/>
  <c r="F1129" i="16"/>
  <c r="G1129" i="16"/>
  <c r="J1129" i="16" s="1"/>
  <c r="I1129" i="16"/>
  <c r="A1130" i="16"/>
  <c r="B1130" i="16"/>
  <c r="C1130" i="16"/>
  <c r="D1130" i="16"/>
  <c r="E1130" i="16"/>
  <c r="F1130" i="16"/>
  <c r="G1130" i="16"/>
  <c r="J1130" i="16" s="1"/>
  <c r="I1130" i="16"/>
  <c r="A1131" i="16"/>
  <c r="B1131" i="16"/>
  <c r="C1131" i="16"/>
  <c r="D1131" i="16"/>
  <c r="E1131" i="16"/>
  <c r="F1131" i="16"/>
  <c r="G1131" i="16"/>
  <c r="J1131" i="16" s="1"/>
  <c r="I1131" i="16"/>
  <c r="A1132" i="16"/>
  <c r="B1132" i="16"/>
  <c r="C1132" i="16"/>
  <c r="D1132" i="16"/>
  <c r="E1132" i="16"/>
  <c r="F1132" i="16"/>
  <c r="G1132" i="16"/>
  <c r="J1132" i="16" s="1"/>
  <c r="I1132" i="16"/>
  <c r="A1133" i="16"/>
  <c r="B1133" i="16"/>
  <c r="C1133" i="16"/>
  <c r="D1133" i="16"/>
  <c r="E1133" i="16"/>
  <c r="F1133" i="16"/>
  <c r="G1133" i="16"/>
  <c r="J1133" i="16" s="1"/>
  <c r="I1133" i="16"/>
  <c r="A1134" i="16"/>
  <c r="B1134" i="16"/>
  <c r="C1134" i="16"/>
  <c r="D1134" i="16"/>
  <c r="E1134" i="16"/>
  <c r="F1134" i="16"/>
  <c r="G1134" i="16"/>
  <c r="J1134" i="16" s="1"/>
  <c r="I1134" i="16"/>
  <c r="A1135" i="16"/>
  <c r="B1135" i="16"/>
  <c r="C1135" i="16"/>
  <c r="D1135" i="16"/>
  <c r="E1135" i="16"/>
  <c r="F1135" i="16"/>
  <c r="G1135" i="16"/>
  <c r="J1135" i="16" s="1"/>
  <c r="I1135" i="16"/>
  <c r="A1136" i="16"/>
  <c r="B1136" i="16"/>
  <c r="C1136" i="16"/>
  <c r="D1136" i="16"/>
  <c r="E1136" i="16"/>
  <c r="F1136" i="16"/>
  <c r="G1136" i="16"/>
  <c r="J1136" i="16" s="1"/>
  <c r="I1136" i="16"/>
  <c r="A1137" i="16"/>
  <c r="B1137" i="16"/>
  <c r="C1137" i="16"/>
  <c r="D1137" i="16"/>
  <c r="E1137" i="16"/>
  <c r="F1137" i="16"/>
  <c r="G1137" i="16"/>
  <c r="J1137" i="16" s="1"/>
  <c r="I1137" i="16"/>
  <c r="A1138" i="16"/>
  <c r="B1138" i="16"/>
  <c r="C1138" i="16"/>
  <c r="D1138" i="16"/>
  <c r="E1138" i="16"/>
  <c r="F1138" i="16"/>
  <c r="G1138" i="16"/>
  <c r="J1138" i="16" s="1"/>
  <c r="I1138" i="16"/>
  <c r="A1139" i="16"/>
  <c r="B1139" i="16"/>
  <c r="C1139" i="16"/>
  <c r="D1139" i="16"/>
  <c r="E1139" i="16"/>
  <c r="F1139" i="16"/>
  <c r="G1139" i="16"/>
  <c r="J1139" i="16" s="1"/>
  <c r="I1139" i="16"/>
  <c r="A1140" i="16"/>
  <c r="B1140" i="16"/>
  <c r="C1140" i="16"/>
  <c r="D1140" i="16"/>
  <c r="E1140" i="16"/>
  <c r="F1140" i="16"/>
  <c r="G1140" i="16"/>
  <c r="J1140" i="16" s="1"/>
  <c r="I1140" i="16"/>
  <c r="A1141" i="16"/>
  <c r="B1141" i="16"/>
  <c r="C1141" i="16"/>
  <c r="D1141" i="16"/>
  <c r="E1141" i="16"/>
  <c r="F1141" i="16"/>
  <c r="G1141" i="16"/>
  <c r="J1141" i="16" s="1"/>
  <c r="I1141" i="16"/>
  <c r="A1142" i="16"/>
  <c r="B1142" i="16"/>
  <c r="C1142" i="16"/>
  <c r="D1142" i="16"/>
  <c r="E1142" i="16"/>
  <c r="F1142" i="16"/>
  <c r="G1142" i="16"/>
  <c r="J1142" i="16" s="1"/>
  <c r="I1142" i="16"/>
  <c r="A1143" i="16"/>
  <c r="B1143" i="16"/>
  <c r="C1143" i="16"/>
  <c r="D1143" i="16"/>
  <c r="E1143" i="16"/>
  <c r="F1143" i="16"/>
  <c r="G1143" i="16"/>
  <c r="J1143" i="16" s="1"/>
  <c r="I1143" i="16"/>
  <c r="A1144" i="16"/>
  <c r="B1144" i="16"/>
  <c r="C1144" i="16"/>
  <c r="D1144" i="16"/>
  <c r="E1144" i="16"/>
  <c r="F1144" i="16"/>
  <c r="G1144" i="16"/>
  <c r="J1144" i="16" s="1"/>
  <c r="I1144" i="16"/>
  <c r="A1145" i="16"/>
  <c r="B1145" i="16"/>
  <c r="C1145" i="16"/>
  <c r="D1145" i="16"/>
  <c r="E1145" i="16"/>
  <c r="F1145" i="16"/>
  <c r="G1145" i="16"/>
  <c r="J1145" i="16" s="1"/>
  <c r="I1145" i="16"/>
  <c r="A1146" i="16"/>
  <c r="B1146" i="16"/>
  <c r="C1146" i="16"/>
  <c r="D1146" i="16"/>
  <c r="E1146" i="16"/>
  <c r="F1146" i="16"/>
  <c r="G1146" i="16"/>
  <c r="J1146" i="16" s="1"/>
  <c r="I1146" i="16"/>
  <c r="A1147" i="16"/>
  <c r="B1147" i="16"/>
  <c r="C1147" i="16"/>
  <c r="D1147" i="16"/>
  <c r="E1147" i="16"/>
  <c r="F1147" i="16"/>
  <c r="G1147" i="16"/>
  <c r="J1147" i="16" s="1"/>
  <c r="I1147" i="16"/>
  <c r="A1148" i="16"/>
  <c r="B1148" i="16"/>
  <c r="C1148" i="16"/>
  <c r="D1148" i="16"/>
  <c r="E1148" i="16"/>
  <c r="F1148" i="16"/>
  <c r="G1148" i="16"/>
  <c r="J1148" i="16" s="1"/>
  <c r="I1148" i="16"/>
  <c r="A1149" i="16"/>
  <c r="B1149" i="16"/>
  <c r="C1149" i="16"/>
  <c r="D1149" i="16"/>
  <c r="E1149" i="16"/>
  <c r="F1149" i="16"/>
  <c r="G1149" i="16"/>
  <c r="J1149" i="16" s="1"/>
  <c r="I1149" i="16"/>
  <c r="A1150" i="16"/>
  <c r="B1150" i="16"/>
  <c r="C1150" i="16"/>
  <c r="D1150" i="16"/>
  <c r="E1150" i="16"/>
  <c r="F1150" i="16"/>
  <c r="G1150" i="16"/>
  <c r="J1150" i="16" s="1"/>
  <c r="I1150" i="16"/>
  <c r="A1151" i="16"/>
  <c r="B1151" i="16"/>
  <c r="C1151" i="16"/>
  <c r="D1151" i="16"/>
  <c r="E1151" i="16"/>
  <c r="F1151" i="16"/>
  <c r="G1151" i="16"/>
  <c r="J1151" i="16" s="1"/>
  <c r="I1151" i="16"/>
  <c r="A1152" i="16"/>
  <c r="B1152" i="16"/>
  <c r="C1152" i="16"/>
  <c r="D1152" i="16"/>
  <c r="E1152" i="16"/>
  <c r="F1152" i="16"/>
  <c r="G1152" i="16"/>
  <c r="J1152" i="16" s="1"/>
  <c r="I1152" i="16"/>
  <c r="A1153" i="16"/>
  <c r="B1153" i="16"/>
  <c r="C1153" i="16"/>
  <c r="D1153" i="16"/>
  <c r="E1153" i="16"/>
  <c r="F1153" i="16"/>
  <c r="G1153" i="16"/>
  <c r="J1153" i="16" s="1"/>
  <c r="I1153" i="16"/>
  <c r="A1154" i="16"/>
  <c r="B1154" i="16"/>
  <c r="C1154" i="16"/>
  <c r="D1154" i="16"/>
  <c r="E1154" i="16"/>
  <c r="F1154" i="16"/>
  <c r="G1154" i="16"/>
  <c r="J1154" i="16" s="1"/>
  <c r="I1154" i="16"/>
  <c r="A1155" i="16"/>
  <c r="B1155" i="16"/>
  <c r="C1155" i="16"/>
  <c r="D1155" i="16"/>
  <c r="E1155" i="16"/>
  <c r="F1155" i="16"/>
  <c r="G1155" i="16"/>
  <c r="J1155" i="16" s="1"/>
  <c r="I1155" i="16"/>
  <c r="A1156" i="16"/>
  <c r="B1156" i="16"/>
  <c r="C1156" i="16"/>
  <c r="D1156" i="16"/>
  <c r="E1156" i="16"/>
  <c r="F1156" i="16"/>
  <c r="G1156" i="16"/>
  <c r="J1156" i="16" s="1"/>
  <c r="I1156" i="16"/>
  <c r="A1157" i="16"/>
  <c r="B1157" i="16"/>
  <c r="C1157" i="16"/>
  <c r="D1157" i="16"/>
  <c r="E1157" i="16"/>
  <c r="F1157" i="16"/>
  <c r="G1157" i="16"/>
  <c r="J1157" i="16" s="1"/>
  <c r="I1157" i="16"/>
  <c r="A1158" i="16"/>
  <c r="B1158" i="16"/>
  <c r="C1158" i="16"/>
  <c r="D1158" i="16"/>
  <c r="E1158" i="16"/>
  <c r="F1158" i="16"/>
  <c r="G1158" i="16"/>
  <c r="J1158" i="16" s="1"/>
  <c r="I1158" i="16"/>
  <c r="A1159" i="16"/>
  <c r="B1159" i="16"/>
  <c r="C1159" i="16"/>
  <c r="D1159" i="16"/>
  <c r="E1159" i="16"/>
  <c r="F1159" i="16"/>
  <c r="G1159" i="16"/>
  <c r="J1159" i="16" s="1"/>
  <c r="I1159" i="16"/>
  <c r="A1160" i="16"/>
  <c r="B1160" i="16"/>
  <c r="C1160" i="16"/>
  <c r="D1160" i="16"/>
  <c r="E1160" i="16"/>
  <c r="F1160" i="16"/>
  <c r="G1160" i="16"/>
  <c r="J1160" i="16" s="1"/>
  <c r="I1160" i="16"/>
  <c r="A1161" i="16"/>
  <c r="B1161" i="16"/>
  <c r="C1161" i="16"/>
  <c r="D1161" i="16"/>
  <c r="E1161" i="16"/>
  <c r="F1161" i="16"/>
  <c r="G1161" i="16"/>
  <c r="J1161" i="16" s="1"/>
  <c r="I1161" i="16"/>
  <c r="A1162" i="16"/>
  <c r="B1162" i="16"/>
  <c r="C1162" i="16"/>
  <c r="D1162" i="16"/>
  <c r="E1162" i="16"/>
  <c r="F1162" i="16"/>
  <c r="G1162" i="16"/>
  <c r="J1162" i="16" s="1"/>
  <c r="I1162" i="16"/>
  <c r="A1163" i="16"/>
  <c r="B1163" i="16"/>
  <c r="C1163" i="16"/>
  <c r="D1163" i="16"/>
  <c r="E1163" i="16"/>
  <c r="F1163" i="16"/>
  <c r="G1163" i="16"/>
  <c r="J1163" i="16" s="1"/>
  <c r="I1163" i="16"/>
  <c r="A1164" i="16"/>
  <c r="B1164" i="16"/>
  <c r="C1164" i="16"/>
  <c r="D1164" i="16"/>
  <c r="E1164" i="16"/>
  <c r="F1164" i="16"/>
  <c r="G1164" i="16"/>
  <c r="J1164" i="16" s="1"/>
  <c r="I1164" i="16"/>
  <c r="A1165" i="16"/>
  <c r="B1165" i="16"/>
  <c r="C1165" i="16"/>
  <c r="D1165" i="16"/>
  <c r="E1165" i="16"/>
  <c r="F1165" i="16"/>
  <c r="G1165" i="16"/>
  <c r="J1165" i="16" s="1"/>
  <c r="I1165" i="16"/>
  <c r="A1166" i="16"/>
  <c r="B1166" i="16"/>
  <c r="C1166" i="16"/>
  <c r="D1166" i="16"/>
  <c r="E1166" i="16"/>
  <c r="F1166" i="16"/>
  <c r="G1166" i="16"/>
  <c r="J1166" i="16" s="1"/>
  <c r="I1166" i="16"/>
  <c r="A1167" i="16"/>
  <c r="B1167" i="16"/>
  <c r="C1167" i="16"/>
  <c r="D1167" i="16"/>
  <c r="E1167" i="16"/>
  <c r="F1167" i="16"/>
  <c r="G1167" i="16"/>
  <c r="J1167" i="16" s="1"/>
  <c r="I1167" i="16"/>
  <c r="A1168" i="16"/>
  <c r="B1168" i="16"/>
  <c r="C1168" i="16"/>
  <c r="D1168" i="16"/>
  <c r="E1168" i="16"/>
  <c r="F1168" i="16"/>
  <c r="G1168" i="16"/>
  <c r="J1168" i="16" s="1"/>
  <c r="I1168" i="16"/>
  <c r="A1169" i="16"/>
  <c r="B1169" i="16"/>
  <c r="C1169" i="16"/>
  <c r="D1169" i="16"/>
  <c r="E1169" i="16"/>
  <c r="F1169" i="16"/>
  <c r="G1169" i="16"/>
  <c r="J1169" i="16" s="1"/>
  <c r="I1169" i="16"/>
  <c r="A1170" i="16"/>
  <c r="B1170" i="16"/>
  <c r="C1170" i="16"/>
  <c r="D1170" i="16"/>
  <c r="E1170" i="16"/>
  <c r="F1170" i="16"/>
  <c r="G1170" i="16"/>
  <c r="J1170" i="16" s="1"/>
  <c r="I1170" i="16"/>
  <c r="A1171" i="16"/>
  <c r="B1171" i="16"/>
  <c r="C1171" i="16"/>
  <c r="D1171" i="16"/>
  <c r="E1171" i="16"/>
  <c r="F1171" i="16"/>
  <c r="G1171" i="16"/>
  <c r="J1171" i="16" s="1"/>
  <c r="I1171" i="16"/>
  <c r="A1172" i="16"/>
  <c r="B1172" i="16"/>
  <c r="C1172" i="16"/>
  <c r="D1172" i="16"/>
  <c r="E1172" i="16"/>
  <c r="F1172" i="16"/>
  <c r="G1172" i="16"/>
  <c r="J1172" i="16" s="1"/>
  <c r="I1172" i="16"/>
  <c r="A1173" i="16"/>
  <c r="B1173" i="16"/>
  <c r="C1173" i="16"/>
  <c r="D1173" i="16"/>
  <c r="E1173" i="16"/>
  <c r="F1173" i="16"/>
  <c r="G1173" i="16"/>
  <c r="J1173" i="16" s="1"/>
  <c r="I1173" i="16"/>
  <c r="A1174" i="16"/>
  <c r="B1174" i="16"/>
  <c r="C1174" i="16"/>
  <c r="D1174" i="16"/>
  <c r="E1174" i="16"/>
  <c r="F1174" i="16"/>
  <c r="G1174" i="16"/>
  <c r="J1174" i="16" s="1"/>
  <c r="I1174" i="16"/>
  <c r="A1175" i="16"/>
  <c r="B1175" i="16"/>
  <c r="C1175" i="16"/>
  <c r="D1175" i="16"/>
  <c r="E1175" i="16"/>
  <c r="F1175" i="16"/>
  <c r="G1175" i="16"/>
  <c r="J1175" i="16" s="1"/>
  <c r="I1175" i="16"/>
  <c r="A1176" i="16"/>
  <c r="B1176" i="16"/>
  <c r="C1176" i="16"/>
  <c r="D1176" i="16"/>
  <c r="E1176" i="16"/>
  <c r="F1176" i="16"/>
  <c r="G1176" i="16"/>
  <c r="J1176" i="16" s="1"/>
  <c r="I1176" i="16"/>
  <c r="A1177" i="16"/>
  <c r="B1177" i="16"/>
  <c r="C1177" i="16"/>
  <c r="D1177" i="16"/>
  <c r="E1177" i="16"/>
  <c r="F1177" i="16"/>
  <c r="G1177" i="16"/>
  <c r="J1177" i="16" s="1"/>
  <c r="I1177" i="16"/>
  <c r="A1178" i="16"/>
  <c r="B1178" i="16"/>
  <c r="C1178" i="16"/>
  <c r="D1178" i="16"/>
  <c r="E1178" i="16"/>
  <c r="F1178" i="16"/>
  <c r="G1178" i="16"/>
  <c r="J1178" i="16" s="1"/>
  <c r="I1178" i="16"/>
  <c r="A1179" i="16"/>
  <c r="B1179" i="16"/>
  <c r="C1179" i="16"/>
  <c r="D1179" i="16"/>
  <c r="E1179" i="16"/>
  <c r="F1179" i="16"/>
  <c r="G1179" i="16"/>
  <c r="J1179" i="16" s="1"/>
  <c r="I1179" i="16"/>
  <c r="A1180" i="16"/>
  <c r="B1180" i="16"/>
  <c r="C1180" i="16"/>
  <c r="D1180" i="16"/>
  <c r="E1180" i="16"/>
  <c r="F1180" i="16"/>
  <c r="G1180" i="16"/>
  <c r="J1180" i="16" s="1"/>
  <c r="I1180" i="16"/>
  <c r="A1181" i="16"/>
  <c r="B1181" i="16"/>
  <c r="C1181" i="16"/>
  <c r="D1181" i="16"/>
  <c r="E1181" i="16"/>
  <c r="F1181" i="16"/>
  <c r="G1181" i="16"/>
  <c r="J1181" i="16" s="1"/>
  <c r="I1181" i="16"/>
  <c r="A1182" i="16"/>
  <c r="B1182" i="16"/>
  <c r="C1182" i="16"/>
  <c r="D1182" i="16"/>
  <c r="E1182" i="16"/>
  <c r="F1182" i="16"/>
  <c r="G1182" i="16"/>
  <c r="J1182" i="16" s="1"/>
  <c r="I1182" i="16"/>
  <c r="A1183" i="16"/>
  <c r="B1183" i="16"/>
  <c r="C1183" i="16"/>
  <c r="D1183" i="16"/>
  <c r="E1183" i="16"/>
  <c r="F1183" i="16"/>
  <c r="G1183" i="16"/>
  <c r="J1183" i="16" s="1"/>
  <c r="I1183" i="16"/>
  <c r="A1184" i="16"/>
  <c r="B1184" i="16"/>
  <c r="C1184" i="16"/>
  <c r="D1184" i="16"/>
  <c r="E1184" i="16"/>
  <c r="F1184" i="16"/>
  <c r="G1184" i="16"/>
  <c r="J1184" i="16" s="1"/>
  <c r="I1184" i="16"/>
  <c r="A1185" i="16"/>
  <c r="B1185" i="16"/>
  <c r="C1185" i="16"/>
  <c r="D1185" i="16"/>
  <c r="E1185" i="16"/>
  <c r="F1185" i="16"/>
  <c r="G1185" i="16"/>
  <c r="J1185" i="16" s="1"/>
  <c r="I1185" i="16"/>
  <c r="A1186" i="16"/>
  <c r="B1186" i="16"/>
  <c r="C1186" i="16"/>
  <c r="D1186" i="16"/>
  <c r="E1186" i="16"/>
  <c r="F1186" i="16"/>
  <c r="G1186" i="16"/>
  <c r="J1186" i="16" s="1"/>
  <c r="I1186" i="16"/>
  <c r="A1187" i="16"/>
  <c r="B1187" i="16"/>
  <c r="C1187" i="16"/>
  <c r="D1187" i="16"/>
  <c r="E1187" i="16"/>
  <c r="F1187" i="16"/>
  <c r="G1187" i="16"/>
  <c r="J1187" i="16" s="1"/>
  <c r="I1187" i="16"/>
  <c r="A1188" i="16"/>
  <c r="B1188" i="16"/>
  <c r="C1188" i="16"/>
  <c r="D1188" i="16"/>
  <c r="E1188" i="16"/>
  <c r="F1188" i="16"/>
  <c r="G1188" i="16"/>
  <c r="J1188" i="16" s="1"/>
  <c r="I1188" i="16"/>
  <c r="A1189" i="16"/>
  <c r="B1189" i="16"/>
  <c r="C1189" i="16"/>
  <c r="D1189" i="16"/>
  <c r="E1189" i="16"/>
  <c r="F1189" i="16"/>
  <c r="G1189" i="16"/>
  <c r="J1189" i="16" s="1"/>
  <c r="I1189" i="16"/>
  <c r="A1190" i="16"/>
  <c r="B1190" i="16"/>
  <c r="C1190" i="16"/>
  <c r="D1190" i="16"/>
  <c r="E1190" i="16"/>
  <c r="F1190" i="16"/>
  <c r="G1190" i="16"/>
  <c r="J1190" i="16" s="1"/>
  <c r="I1190" i="16"/>
  <c r="A1191" i="16"/>
  <c r="B1191" i="16"/>
  <c r="C1191" i="16"/>
  <c r="D1191" i="16"/>
  <c r="E1191" i="16"/>
  <c r="F1191" i="16"/>
  <c r="G1191" i="16"/>
  <c r="J1191" i="16" s="1"/>
  <c r="I1191" i="16"/>
  <c r="A1192" i="16"/>
  <c r="B1192" i="16"/>
  <c r="C1192" i="16"/>
  <c r="D1192" i="16"/>
  <c r="E1192" i="16"/>
  <c r="F1192" i="16"/>
  <c r="G1192" i="16"/>
  <c r="J1192" i="16" s="1"/>
  <c r="I1192" i="16"/>
  <c r="A1193" i="16"/>
  <c r="B1193" i="16"/>
  <c r="C1193" i="16"/>
  <c r="D1193" i="16"/>
  <c r="E1193" i="16"/>
  <c r="F1193" i="16"/>
  <c r="G1193" i="16"/>
  <c r="J1193" i="16" s="1"/>
  <c r="I1193" i="16"/>
  <c r="A1194" i="16"/>
  <c r="B1194" i="16"/>
  <c r="C1194" i="16"/>
  <c r="D1194" i="16"/>
  <c r="E1194" i="16"/>
  <c r="F1194" i="16"/>
  <c r="G1194" i="16"/>
  <c r="J1194" i="16" s="1"/>
  <c r="I1194" i="16"/>
  <c r="A1195" i="16"/>
  <c r="B1195" i="16"/>
  <c r="C1195" i="16"/>
  <c r="D1195" i="16"/>
  <c r="E1195" i="16"/>
  <c r="F1195" i="16"/>
  <c r="G1195" i="16"/>
  <c r="J1195" i="16" s="1"/>
  <c r="I1195" i="16"/>
  <c r="A1196" i="16"/>
  <c r="B1196" i="16"/>
  <c r="C1196" i="16"/>
  <c r="D1196" i="16"/>
  <c r="E1196" i="16"/>
  <c r="F1196" i="16"/>
  <c r="G1196" i="16"/>
  <c r="J1196" i="16" s="1"/>
  <c r="I1196" i="16"/>
  <c r="A1197" i="16"/>
  <c r="B1197" i="16"/>
  <c r="C1197" i="16"/>
  <c r="D1197" i="16"/>
  <c r="E1197" i="16"/>
  <c r="F1197" i="16"/>
  <c r="G1197" i="16"/>
  <c r="J1197" i="16" s="1"/>
  <c r="I1197" i="16"/>
  <c r="A1198" i="16"/>
  <c r="B1198" i="16"/>
  <c r="C1198" i="16"/>
  <c r="D1198" i="16"/>
  <c r="E1198" i="16"/>
  <c r="F1198" i="16"/>
  <c r="G1198" i="16"/>
  <c r="J1198" i="16" s="1"/>
  <c r="I1198" i="16"/>
  <c r="A1199" i="16"/>
  <c r="B1199" i="16"/>
  <c r="C1199" i="16"/>
  <c r="D1199" i="16"/>
  <c r="E1199" i="16"/>
  <c r="F1199" i="16"/>
  <c r="G1199" i="16"/>
  <c r="J1199" i="16" s="1"/>
  <c r="I1199" i="16"/>
  <c r="A1200" i="16"/>
  <c r="B1200" i="16"/>
  <c r="C1200" i="16"/>
  <c r="D1200" i="16"/>
  <c r="E1200" i="16"/>
  <c r="F1200" i="16"/>
  <c r="G1200" i="16"/>
  <c r="J1200" i="16" s="1"/>
  <c r="I1200" i="16"/>
  <c r="A1201" i="16"/>
  <c r="B1201" i="16"/>
  <c r="C1201" i="16"/>
  <c r="D1201" i="16"/>
  <c r="E1201" i="16"/>
  <c r="F1201" i="16"/>
  <c r="G1201" i="16"/>
  <c r="J1201" i="16" s="1"/>
  <c r="I1201" i="16"/>
  <c r="A1202" i="16"/>
  <c r="B1202" i="16"/>
  <c r="C1202" i="16"/>
  <c r="D1202" i="16"/>
  <c r="E1202" i="16"/>
  <c r="F1202" i="16"/>
  <c r="G1202" i="16"/>
  <c r="J1202" i="16" s="1"/>
  <c r="I1202" i="16"/>
  <c r="A1203" i="16"/>
  <c r="B1203" i="16"/>
  <c r="C1203" i="16"/>
  <c r="D1203" i="16"/>
  <c r="E1203" i="16"/>
  <c r="F1203" i="16"/>
  <c r="G1203" i="16"/>
  <c r="J1203" i="16" s="1"/>
  <c r="I1203" i="16"/>
  <c r="A1204" i="16"/>
  <c r="B1204" i="16"/>
  <c r="C1204" i="16"/>
  <c r="D1204" i="16"/>
  <c r="E1204" i="16"/>
  <c r="F1204" i="16"/>
  <c r="G1204" i="16"/>
  <c r="J1204" i="16" s="1"/>
  <c r="I1204" i="16"/>
  <c r="A1205" i="16"/>
  <c r="B1205" i="16"/>
  <c r="C1205" i="16"/>
  <c r="D1205" i="16"/>
  <c r="E1205" i="16"/>
  <c r="F1205" i="16"/>
  <c r="G1205" i="16"/>
  <c r="J1205" i="16" s="1"/>
  <c r="I1205" i="16"/>
  <c r="A1206" i="16"/>
  <c r="B1206" i="16"/>
  <c r="C1206" i="16"/>
  <c r="D1206" i="16"/>
  <c r="E1206" i="16"/>
  <c r="F1206" i="16"/>
  <c r="G1206" i="16"/>
  <c r="J1206" i="16" s="1"/>
  <c r="I1206" i="16"/>
  <c r="A1207" i="16"/>
  <c r="B1207" i="16"/>
  <c r="C1207" i="16"/>
  <c r="D1207" i="16"/>
  <c r="E1207" i="16"/>
  <c r="F1207" i="16"/>
  <c r="G1207" i="16"/>
  <c r="J1207" i="16" s="1"/>
  <c r="I1207" i="16"/>
  <c r="A1208" i="16"/>
  <c r="B1208" i="16"/>
  <c r="C1208" i="16"/>
  <c r="D1208" i="16"/>
  <c r="E1208" i="16"/>
  <c r="F1208" i="16"/>
  <c r="G1208" i="16"/>
  <c r="J1208" i="16" s="1"/>
  <c r="I1208" i="16"/>
  <c r="A1209" i="16"/>
  <c r="B1209" i="16"/>
  <c r="C1209" i="16"/>
  <c r="D1209" i="16"/>
  <c r="E1209" i="16"/>
  <c r="F1209" i="16"/>
  <c r="G1209" i="16"/>
  <c r="J1209" i="16" s="1"/>
  <c r="I1209" i="16"/>
  <c r="A1210" i="16"/>
  <c r="B1210" i="16"/>
  <c r="C1210" i="16"/>
  <c r="D1210" i="16"/>
  <c r="E1210" i="16"/>
  <c r="F1210" i="16"/>
  <c r="G1210" i="16"/>
  <c r="J1210" i="16" s="1"/>
  <c r="I1210" i="16"/>
  <c r="A1211" i="16"/>
  <c r="B1211" i="16"/>
  <c r="C1211" i="16"/>
  <c r="D1211" i="16"/>
  <c r="E1211" i="16"/>
  <c r="F1211" i="16"/>
  <c r="G1211" i="16"/>
  <c r="J1211" i="16" s="1"/>
  <c r="I1211" i="16"/>
  <c r="A1212" i="16"/>
  <c r="B1212" i="16"/>
  <c r="C1212" i="16"/>
  <c r="D1212" i="16"/>
  <c r="E1212" i="16"/>
  <c r="F1212" i="16"/>
  <c r="G1212" i="16"/>
  <c r="J1212" i="16" s="1"/>
  <c r="I1212" i="16"/>
  <c r="A1213" i="16"/>
  <c r="B1213" i="16"/>
  <c r="C1213" i="16"/>
  <c r="D1213" i="16"/>
  <c r="E1213" i="16"/>
  <c r="F1213" i="16"/>
  <c r="G1213" i="16"/>
  <c r="J1213" i="16" s="1"/>
  <c r="I1213" i="16"/>
  <c r="A1214" i="16"/>
  <c r="B1214" i="16"/>
  <c r="C1214" i="16"/>
  <c r="D1214" i="16"/>
  <c r="E1214" i="16"/>
  <c r="F1214" i="16"/>
  <c r="G1214" i="16"/>
  <c r="J1214" i="16" s="1"/>
  <c r="I1214" i="16"/>
  <c r="A1215" i="16"/>
  <c r="B1215" i="16"/>
  <c r="C1215" i="16"/>
  <c r="D1215" i="16"/>
  <c r="E1215" i="16"/>
  <c r="F1215" i="16"/>
  <c r="G1215" i="16"/>
  <c r="J1215" i="16" s="1"/>
  <c r="I1215" i="16"/>
  <c r="A1216" i="16"/>
  <c r="B1216" i="16"/>
  <c r="C1216" i="16"/>
  <c r="D1216" i="16"/>
  <c r="E1216" i="16"/>
  <c r="F1216" i="16"/>
  <c r="G1216" i="16"/>
  <c r="J1216" i="16" s="1"/>
  <c r="I1216" i="16"/>
  <c r="A1217" i="16"/>
  <c r="B1217" i="16"/>
  <c r="C1217" i="16"/>
  <c r="D1217" i="16"/>
  <c r="E1217" i="16"/>
  <c r="F1217" i="16"/>
  <c r="G1217" i="16"/>
  <c r="J1217" i="16" s="1"/>
  <c r="I1217" i="16"/>
  <c r="A1218" i="16"/>
  <c r="B1218" i="16"/>
  <c r="C1218" i="16"/>
  <c r="D1218" i="16"/>
  <c r="E1218" i="16"/>
  <c r="F1218" i="16"/>
  <c r="G1218" i="16"/>
  <c r="J1218" i="16" s="1"/>
  <c r="I1218" i="16"/>
  <c r="A1219" i="16"/>
  <c r="B1219" i="16"/>
  <c r="C1219" i="16"/>
  <c r="D1219" i="16"/>
  <c r="E1219" i="16"/>
  <c r="F1219" i="16"/>
  <c r="G1219" i="16"/>
  <c r="J1219" i="16" s="1"/>
  <c r="I1219" i="16"/>
  <c r="A1220" i="16"/>
  <c r="B1220" i="16"/>
  <c r="C1220" i="16"/>
  <c r="D1220" i="16"/>
  <c r="E1220" i="16"/>
  <c r="F1220" i="16"/>
  <c r="G1220" i="16"/>
  <c r="J1220" i="16" s="1"/>
  <c r="I1220" i="16"/>
  <c r="A1221" i="16"/>
  <c r="B1221" i="16"/>
  <c r="C1221" i="16"/>
  <c r="D1221" i="16"/>
  <c r="E1221" i="16"/>
  <c r="F1221" i="16"/>
  <c r="G1221" i="16"/>
  <c r="J1221" i="16" s="1"/>
  <c r="I1221" i="16"/>
  <c r="A1222" i="16"/>
  <c r="B1222" i="16"/>
  <c r="C1222" i="16"/>
  <c r="D1222" i="16"/>
  <c r="E1222" i="16"/>
  <c r="F1222" i="16"/>
  <c r="G1222" i="16"/>
  <c r="J1222" i="16" s="1"/>
  <c r="I1222" i="16"/>
  <c r="A1223" i="16"/>
  <c r="B1223" i="16"/>
  <c r="C1223" i="16"/>
  <c r="D1223" i="16"/>
  <c r="E1223" i="16"/>
  <c r="F1223" i="16"/>
  <c r="G1223" i="16"/>
  <c r="J1223" i="16" s="1"/>
  <c r="I1223" i="16"/>
  <c r="A1224" i="16"/>
  <c r="B1224" i="16"/>
  <c r="C1224" i="16"/>
  <c r="D1224" i="16"/>
  <c r="E1224" i="16"/>
  <c r="F1224" i="16"/>
  <c r="G1224" i="16"/>
  <c r="J1224" i="16" s="1"/>
  <c r="I1224" i="16"/>
  <c r="A1225" i="16"/>
  <c r="B1225" i="16"/>
  <c r="C1225" i="16"/>
  <c r="D1225" i="16"/>
  <c r="E1225" i="16"/>
  <c r="F1225" i="16"/>
  <c r="G1225" i="16"/>
  <c r="J1225" i="16" s="1"/>
  <c r="I1225" i="16"/>
  <c r="A1226" i="16"/>
  <c r="B1226" i="16"/>
  <c r="C1226" i="16"/>
  <c r="D1226" i="16"/>
  <c r="E1226" i="16"/>
  <c r="F1226" i="16"/>
  <c r="G1226" i="16"/>
  <c r="J1226" i="16" s="1"/>
  <c r="I1226" i="16"/>
  <c r="A1227" i="16"/>
  <c r="B1227" i="16"/>
  <c r="C1227" i="16"/>
  <c r="D1227" i="16"/>
  <c r="E1227" i="16"/>
  <c r="F1227" i="16"/>
  <c r="G1227" i="16"/>
  <c r="J1227" i="16" s="1"/>
  <c r="I1227" i="16"/>
  <c r="A1228" i="16"/>
  <c r="B1228" i="16"/>
  <c r="C1228" i="16"/>
  <c r="D1228" i="16"/>
  <c r="E1228" i="16"/>
  <c r="F1228" i="16"/>
  <c r="G1228" i="16"/>
  <c r="J1228" i="16" s="1"/>
  <c r="I1228" i="16"/>
  <c r="A1229" i="16"/>
  <c r="B1229" i="16"/>
  <c r="C1229" i="16"/>
  <c r="D1229" i="16"/>
  <c r="E1229" i="16"/>
  <c r="F1229" i="16"/>
  <c r="G1229" i="16"/>
  <c r="J1229" i="16" s="1"/>
  <c r="I1229" i="16"/>
  <c r="A1230" i="16"/>
  <c r="B1230" i="16"/>
  <c r="C1230" i="16"/>
  <c r="D1230" i="16"/>
  <c r="E1230" i="16"/>
  <c r="F1230" i="16"/>
  <c r="G1230" i="16"/>
  <c r="J1230" i="16" s="1"/>
  <c r="I1230" i="16"/>
  <c r="A1231" i="16"/>
  <c r="B1231" i="16"/>
  <c r="C1231" i="16"/>
  <c r="D1231" i="16"/>
  <c r="E1231" i="16"/>
  <c r="F1231" i="16"/>
  <c r="G1231" i="16"/>
  <c r="J1231" i="16" s="1"/>
  <c r="I1231" i="16"/>
  <c r="A1232" i="16"/>
  <c r="B1232" i="16"/>
  <c r="C1232" i="16"/>
  <c r="D1232" i="16"/>
  <c r="E1232" i="16"/>
  <c r="F1232" i="16"/>
  <c r="G1232" i="16"/>
  <c r="J1232" i="16" s="1"/>
  <c r="I1232" i="16"/>
  <c r="A1233" i="16"/>
  <c r="B1233" i="16"/>
  <c r="C1233" i="16"/>
  <c r="D1233" i="16"/>
  <c r="E1233" i="16"/>
  <c r="F1233" i="16"/>
  <c r="G1233" i="16"/>
  <c r="J1233" i="16" s="1"/>
  <c r="I1233" i="16"/>
  <c r="A1234" i="16"/>
  <c r="B1234" i="16"/>
  <c r="C1234" i="16"/>
  <c r="D1234" i="16"/>
  <c r="E1234" i="16"/>
  <c r="F1234" i="16"/>
  <c r="G1234" i="16"/>
  <c r="J1234" i="16" s="1"/>
  <c r="I1234" i="16"/>
  <c r="A1235" i="16"/>
  <c r="B1235" i="16"/>
  <c r="C1235" i="16"/>
  <c r="D1235" i="16"/>
  <c r="E1235" i="16"/>
  <c r="F1235" i="16"/>
  <c r="G1235" i="16"/>
  <c r="J1235" i="16" s="1"/>
  <c r="I1235" i="16"/>
  <c r="A1236" i="16"/>
  <c r="B1236" i="16"/>
  <c r="C1236" i="16"/>
  <c r="D1236" i="16"/>
  <c r="E1236" i="16"/>
  <c r="F1236" i="16"/>
  <c r="G1236" i="16"/>
  <c r="J1236" i="16" s="1"/>
  <c r="I1236" i="16"/>
  <c r="A1237" i="16"/>
  <c r="B1237" i="16"/>
  <c r="C1237" i="16"/>
  <c r="D1237" i="16"/>
  <c r="E1237" i="16"/>
  <c r="F1237" i="16"/>
  <c r="G1237" i="16"/>
  <c r="J1237" i="16" s="1"/>
  <c r="I1237" i="16"/>
  <c r="A1238" i="16"/>
  <c r="B1238" i="16"/>
  <c r="C1238" i="16"/>
  <c r="D1238" i="16"/>
  <c r="E1238" i="16"/>
  <c r="F1238" i="16"/>
  <c r="G1238" i="16"/>
  <c r="J1238" i="16" s="1"/>
  <c r="I1238" i="16"/>
  <c r="A1239" i="16"/>
  <c r="B1239" i="16"/>
  <c r="C1239" i="16"/>
  <c r="D1239" i="16"/>
  <c r="E1239" i="16"/>
  <c r="F1239" i="16"/>
  <c r="G1239" i="16"/>
  <c r="J1239" i="16" s="1"/>
  <c r="I1239" i="16"/>
  <c r="A1240" i="16"/>
  <c r="B1240" i="16"/>
  <c r="C1240" i="16"/>
  <c r="D1240" i="16"/>
  <c r="E1240" i="16"/>
  <c r="F1240" i="16"/>
  <c r="G1240" i="16"/>
  <c r="J1240" i="16" s="1"/>
  <c r="I1240" i="16"/>
  <c r="A1241" i="16"/>
  <c r="B1241" i="16"/>
  <c r="C1241" i="16"/>
  <c r="D1241" i="16"/>
  <c r="E1241" i="16"/>
  <c r="F1241" i="16"/>
  <c r="G1241" i="16"/>
  <c r="J1241" i="16" s="1"/>
  <c r="I1241" i="16"/>
  <c r="A1242" i="16"/>
  <c r="B1242" i="16"/>
  <c r="C1242" i="16"/>
  <c r="D1242" i="16"/>
  <c r="E1242" i="16"/>
  <c r="F1242" i="16"/>
  <c r="G1242" i="16"/>
  <c r="J1242" i="16" s="1"/>
  <c r="I1242" i="16"/>
  <c r="A1243" i="16"/>
  <c r="B1243" i="16"/>
  <c r="C1243" i="16"/>
  <c r="D1243" i="16"/>
  <c r="E1243" i="16"/>
  <c r="F1243" i="16"/>
  <c r="G1243" i="16"/>
  <c r="J1243" i="16" s="1"/>
  <c r="I1243" i="16"/>
  <c r="A1244" i="16"/>
  <c r="B1244" i="16"/>
  <c r="C1244" i="16"/>
  <c r="D1244" i="16"/>
  <c r="E1244" i="16"/>
  <c r="F1244" i="16"/>
  <c r="G1244" i="16"/>
  <c r="J1244" i="16" s="1"/>
  <c r="I1244" i="16"/>
  <c r="A1245" i="16"/>
  <c r="B1245" i="16"/>
  <c r="C1245" i="16"/>
  <c r="D1245" i="16"/>
  <c r="E1245" i="16"/>
  <c r="F1245" i="16"/>
  <c r="G1245" i="16"/>
  <c r="J1245" i="16" s="1"/>
  <c r="I1245" i="16"/>
  <c r="I2" i="16"/>
  <c r="B2" i="16"/>
  <c r="C2" i="16"/>
  <c r="D2" i="16"/>
  <c r="E2" i="16"/>
  <c r="F2" i="16"/>
  <c r="G2" i="16"/>
  <c r="J2" i="16" s="1"/>
  <c r="A2" i="16"/>
  <c r="H12" i="8"/>
  <c r="G12" i="8"/>
  <c r="AC82" i="4"/>
  <c r="P1441" i="15"/>
  <c r="P1440" i="15"/>
  <c r="P1439" i="15"/>
  <c r="P1436" i="15"/>
  <c r="P1435" i="15"/>
  <c r="P1434" i="15"/>
  <c r="P1431" i="15"/>
  <c r="P1430" i="15"/>
  <c r="P1429" i="15"/>
  <c r="P1426" i="15"/>
  <c r="P1425" i="15"/>
  <c r="P1424" i="15"/>
  <c r="P1421" i="15"/>
  <c r="P1420" i="15"/>
  <c r="P1419" i="15"/>
  <c r="P1416" i="15"/>
  <c r="P1415" i="15"/>
  <c r="P1414" i="15"/>
  <c r="P1411" i="15"/>
  <c r="P1406" i="15"/>
  <c r="P1405" i="15"/>
  <c r="P1404" i="15"/>
  <c r="P1401" i="15"/>
  <c r="P1351" i="15"/>
  <c r="P1350" i="15"/>
  <c r="P1349" i="15"/>
  <c r="P1346" i="15"/>
  <c r="P1345" i="15"/>
  <c r="P1344" i="15"/>
  <c r="P1341" i="15"/>
  <c r="P1340" i="15"/>
  <c r="P1339" i="15"/>
  <c r="P1336" i="15"/>
  <c r="P1335" i="15"/>
  <c r="P1334" i="15"/>
  <c r="P1331" i="15"/>
  <c r="P1330" i="15"/>
  <c r="P1329" i="15"/>
  <c r="P1326" i="15"/>
  <c r="P1325" i="15"/>
  <c r="P1324" i="15"/>
  <c r="P1321" i="15"/>
  <c r="P1316" i="15"/>
  <c r="P1315" i="15"/>
  <c r="P1314" i="15"/>
  <c r="P1311" i="15"/>
  <c r="P1261" i="15"/>
  <c r="P1260" i="15"/>
  <c r="P1259" i="15"/>
  <c r="P1256" i="15"/>
  <c r="P1255" i="15"/>
  <c r="P1254" i="15"/>
  <c r="P1253" i="15"/>
  <c r="P1251" i="15"/>
  <c r="P1250" i="15"/>
  <c r="P1249" i="15"/>
  <c r="P1246" i="15"/>
  <c r="P1245" i="15"/>
  <c r="P1244" i="15"/>
  <c r="P1241" i="15"/>
  <c r="P1240" i="15"/>
  <c r="P1239" i="15"/>
  <c r="P1236" i="15"/>
  <c r="P1235" i="15"/>
  <c r="P1234" i="15"/>
  <c r="P1231" i="15"/>
  <c r="P1226" i="15"/>
  <c r="P1225" i="15"/>
  <c r="P1224" i="15"/>
  <c r="P1221" i="15"/>
  <c r="P1171" i="15"/>
  <c r="P1170" i="15"/>
  <c r="P1169" i="15"/>
  <c r="P1166" i="15"/>
  <c r="P1165" i="15"/>
  <c r="P1164" i="15"/>
  <c r="P1163" i="15"/>
  <c r="P1161" i="15"/>
  <c r="P1160" i="15"/>
  <c r="P1159" i="15"/>
  <c r="P1156" i="15"/>
  <c r="P1155" i="15"/>
  <c r="P1154" i="15"/>
  <c r="P1151" i="15"/>
  <c r="P1150" i="15"/>
  <c r="P1149" i="15"/>
  <c r="P1146" i="15"/>
  <c r="P1145" i="15"/>
  <c r="P1144" i="15"/>
  <c r="P1141" i="15"/>
  <c r="P1136" i="15"/>
  <c r="P1135" i="15"/>
  <c r="P1134" i="15"/>
  <c r="P1131" i="15"/>
  <c r="P1081" i="15"/>
  <c r="P1080" i="15"/>
  <c r="P1079" i="15"/>
  <c r="P1076" i="15"/>
  <c r="P1075" i="15"/>
  <c r="P1074" i="15"/>
  <c r="P1073" i="15"/>
  <c r="P1071" i="15"/>
  <c r="P1070" i="15"/>
  <c r="P1069" i="15"/>
  <c r="P1066" i="15"/>
  <c r="P1065" i="15"/>
  <c r="P1064" i="15"/>
  <c r="P1061" i="15"/>
  <c r="P1060" i="15"/>
  <c r="P1059" i="15"/>
  <c r="P1056" i="15"/>
  <c r="P1055" i="15"/>
  <c r="P1054" i="15"/>
  <c r="P1051" i="15"/>
  <c r="P1046" i="15"/>
  <c r="P1045" i="15"/>
  <c r="P1044" i="15"/>
  <c r="P1041" i="15"/>
  <c r="P991" i="15"/>
  <c r="P990" i="15"/>
  <c r="P989" i="15"/>
  <c r="P986" i="15"/>
  <c r="P985" i="15"/>
  <c r="P984" i="15"/>
  <c r="P983" i="15"/>
  <c r="P981" i="15"/>
  <c r="P980" i="15"/>
  <c r="P979" i="15"/>
  <c r="P976" i="15"/>
  <c r="P975" i="15"/>
  <c r="P974" i="15"/>
  <c r="P971" i="15"/>
  <c r="P970" i="15"/>
  <c r="P969" i="15"/>
  <c r="P966" i="15"/>
  <c r="P965" i="15"/>
  <c r="P964" i="15"/>
  <c r="P961" i="15"/>
  <c r="P956" i="15"/>
  <c r="P955" i="15"/>
  <c r="P954" i="15"/>
  <c r="P953" i="15"/>
  <c r="P951" i="15"/>
  <c r="P901" i="15"/>
  <c r="P900" i="15"/>
  <c r="P899" i="15"/>
  <c r="P896" i="15"/>
  <c r="P895" i="15"/>
  <c r="P894" i="15"/>
  <c r="P893" i="15"/>
  <c r="P891" i="15"/>
  <c r="P890" i="15"/>
  <c r="P889" i="15"/>
  <c r="P886" i="15"/>
  <c r="P885" i="15"/>
  <c r="P884" i="15"/>
  <c r="P881" i="15"/>
  <c r="P880" i="15"/>
  <c r="P879" i="15"/>
  <c r="P876" i="15"/>
  <c r="P875" i="15"/>
  <c r="P874" i="15"/>
  <c r="P871" i="15"/>
  <c r="P866" i="15"/>
  <c r="P865" i="15"/>
  <c r="P864" i="15"/>
  <c r="P863" i="15"/>
  <c r="P861" i="15"/>
  <c r="P811" i="15"/>
  <c r="P810" i="15"/>
  <c r="P809" i="15"/>
  <c r="P806" i="15"/>
  <c r="P805" i="15"/>
  <c r="P804" i="15"/>
  <c r="P803" i="15"/>
  <c r="P801" i="15"/>
  <c r="P800" i="15"/>
  <c r="P799" i="15"/>
  <c r="P796" i="15"/>
  <c r="P795" i="15"/>
  <c r="P794" i="15"/>
  <c r="P791" i="15"/>
  <c r="P790" i="15"/>
  <c r="P789" i="15"/>
  <c r="P786" i="15"/>
  <c r="P785" i="15"/>
  <c r="P784" i="15"/>
  <c r="P781" i="15"/>
  <c r="P776" i="15"/>
  <c r="P775" i="15"/>
  <c r="P774" i="15"/>
  <c r="P773" i="15"/>
  <c r="P771" i="15"/>
  <c r="P721" i="15"/>
  <c r="P720" i="15"/>
  <c r="P719" i="15"/>
  <c r="P716" i="15"/>
  <c r="P715" i="15"/>
  <c r="P714" i="15"/>
  <c r="P713" i="15"/>
  <c r="P711" i="15"/>
  <c r="P710" i="15"/>
  <c r="P709" i="15"/>
  <c r="P706" i="15"/>
  <c r="P705" i="15"/>
  <c r="P704" i="15"/>
  <c r="P701" i="15"/>
  <c r="P700" i="15"/>
  <c r="P699" i="15"/>
  <c r="P696" i="15"/>
  <c r="P695" i="15"/>
  <c r="P694" i="15"/>
  <c r="P691" i="15"/>
  <c r="P690" i="15"/>
  <c r="P689" i="15"/>
  <c r="P686" i="15"/>
  <c r="P685" i="15"/>
  <c r="P684" i="15"/>
  <c r="P683" i="15"/>
  <c r="P681" i="15"/>
  <c r="P680" i="15"/>
  <c r="P679" i="15"/>
  <c r="P631" i="15"/>
  <c r="P630" i="15"/>
  <c r="P629" i="15"/>
  <c r="P626" i="15"/>
  <c r="P625" i="15"/>
  <c r="P624" i="15"/>
  <c r="P623" i="15"/>
  <c r="P621" i="15"/>
  <c r="P620" i="15"/>
  <c r="P619" i="15"/>
  <c r="P616" i="15"/>
  <c r="P615" i="15"/>
  <c r="P614" i="15"/>
  <c r="P611" i="15"/>
  <c r="P610" i="15"/>
  <c r="P609" i="15"/>
  <c r="P606" i="15"/>
  <c r="P605" i="15"/>
  <c r="P604" i="15"/>
  <c r="P601" i="15"/>
  <c r="P600" i="15"/>
  <c r="P599" i="15"/>
  <c r="P596" i="15"/>
  <c r="P595" i="15"/>
  <c r="P594" i="15"/>
  <c r="P593" i="15"/>
  <c r="P591" i="15"/>
  <c r="P590" i="15"/>
  <c r="P589" i="15"/>
  <c r="P541" i="15"/>
  <c r="P540" i="15"/>
  <c r="P539" i="15"/>
  <c r="P536" i="15"/>
  <c r="P535" i="15"/>
  <c r="P534" i="15"/>
  <c r="P533" i="15"/>
  <c r="P531" i="15"/>
  <c r="P530" i="15"/>
  <c r="P529" i="15"/>
  <c r="P526" i="15"/>
  <c r="P525" i="15"/>
  <c r="P524" i="15"/>
  <c r="P521" i="15"/>
  <c r="P520" i="15"/>
  <c r="P519" i="15"/>
  <c r="P516" i="15"/>
  <c r="P515" i="15"/>
  <c r="P514" i="15"/>
  <c r="P511" i="15"/>
  <c r="P510" i="15"/>
  <c r="P509" i="15"/>
  <c r="P508" i="15"/>
  <c r="P506" i="15"/>
  <c r="P505" i="15"/>
  <c r="P504" i="15"/>
  <c r="P503" i="15"/>
  <c r="P501" i="15"/>
  <c r="P500" i="15"/>
  <c r="P499" i="15"/>
  <c r="P498" i="15"/>
  <c r="P451" i="15"/>
  <c r="P450" i="15"/>
  <c r="P449" i="15"/>
  <c r="P448" i="15"/>
  <c r="P446" i="15"/>
  <c r="P445" i="15"/>
  <c r="P444" i="15"/>
  <c r="P443" i="15"/>
  <c r="P441" i="15"/>
  <c r="P440" i="15"/>
  <c r="P439" i="15"/>
  <c r="P438" i="15"/>
  <c r="P436" i="15"/>
  <c r="P435" i="15"/>
  <c r="P434" i="15"/>
  <c r="P431" i="15"/>
  <c r="P430" i="15"/>
  <c r="P429" i="15"/>
  <c r="P426" i="15"/>
  <c r="P425" i="15"/>
  <c r="P424" i="15"/>
  <c r="P421" i="15"/>
  <c r="P420" i="15"/>
  <c r="P419" i="15"/>
  <c r="P418" i="15"/>
  <c r="P416" i="15"/>
  <c r="P415" i="15"/>
  <c r="P414" i="15"/>
  <c r="P413" i="15"/>
  <c r="P411" i="15"/>
  <c r="P410" i="15"/>
  <c r="P409" i="15"/>
  <c r="P408" i="15"/>
  <c r="P361" i="15"/>
  <c r="P360" i="15"/>
  <c r="P359" i="15"/>
  <c r="P358" i="15"/>
  <c r="P356" i="15"/>
  <c r="P355" i="15"/>
  <c r="P354" i="15"/>
  <c r="P353" i="15"/>
  <c r="P351" i="15"/>
  <c r="P350" i="15"/>
  <c r="P349" i="15"/>
  <c r="P348" i="15"/>
  <c r="P346" i="15"/>
  <c r="P345" i="15"/>
  <c r="P344" i="15"/>
  <c r="P341" i="15"/>
  <c r="P340" i="15"/>
  <c r="P339" i="15"/>
  <c r="P336" i="15"/>
  <c r="P335" i="15"/>
  <c r="P334" i="15"/>
  <c r="P331" i="15"/>
  <c r="P330" i="15"/>
  <c r="P329" i="15"/>
  <c r="P328" i="15"/>
  <c r="P326" i="15"/>
  <c r="P325" i="15"/>
  <c r="P324" i="15"/>
  <c r="P323" i="15"/>
  <c r="P321" i="15"/>
  <c r="P320" i="15"/>
  <c r="P319" i="15"/>
  <c r="P318" i="15"/>
  <c r="P271" i="15"/>
  <c r="P270" i="15"/>
  <c r="P269" i="15"/>
  <c r="P268" i="15"/>
  <c r="P266" i="15"/>
  <c r="P265" i="15"/>
  <c r="P264" i="15"/>
  <c r="P263" i="15"/>
  <c r="P261" i="15"/>
  <c r="P260" i="15"/>
  <c r="P259" i="15"/>
  <c r="P258" i="15"/>
  <c r="P256" i="15"/>
  <c r="P255" i="15"/>
  <c r="P254" i="15"/>
  <c r="P251" i="15"/>
  <c r="P250" i="15"/>
  <c r="P249" i="15"/>
  <c r="P246" i="15"/>
  <c r="P245" i="15"/>
  <c r="P244" i="15"/>
  <c r="P241" i="15"/>
  <c r="P240" i="15"/>
  <c r="P239" i="15"/>
  <c r="P238" i="15"/>
  <c r="P236" i="15"/>
  <c r="P235" i="15"/>
  <c r="P234" i="15"/>
  <c r="P233" i="15"/>
  <c r="P231" i="15"/>
  <c r="P230" i="15"/>
  <c r="P229" i="15"/>
  <c r="P228" i="15"/>
  <c r="P181" i="15"/>
  <c r="P180" i="15"/>
  <c r="P179" i="15"/>
  <c r="P178" i="15"/>
  <c r="P176" i="15"/>
  <c r="P175" i="15"/>
  <c r="P174" i="15"/>
  <c r="P173" i="15"/>
  <c r="P171" i="15"/>
  <c r="P170" i="15"/>
  <c r="P169" i="15"/>
  <c r="P168" i="15"/>
  <c r="P166" i="15"/>
  <c r="P165" i="15"/>
  <c r="P164" i="15"/>
  <c r="P161" i="15"/>
  <c r="P160" i="15"/>
  <c r="P159" i="15"/>
  <c r="P156" i="15"/>
  <c r="P155" i="15"/>
  <c r="P154" i="15"/>
  <c r="P151" i="15"/>
  <c r="P150" i="15"/>
  <c r="P149" i="15"/>
  <c r="P148" i="15"/>
  <c r="P146" i="15"/>
  <c r="P145" i="15"/>
  <c r="P144" i="15"/>
  <c r="P143" i="15"/>
  <c r="P141" i="15"/>
  <c r="P140" i="15"/>
  <c r="P139" i="15"/>
  <c r="P138" i="15"/>
  <c r="P91" i="15"/>
  <c r="P90" i="15"/>
  <c r="P89" i="15"/>
  <c r="P88" i="15"/>
  <c r="P86" i="15"/>
  <c r="P85" i="15"/>
  <c r="P84" i="15"/>
  <c r="P83" i="15"/>
  <c r="P81" i="15"/>
  <c r="P80" i="15"/>
  <c r="P79" i="15"/>
  <c r="P78" i="15"/>
  <c r="P76" i="15"/>
  <c r="P75" i="15"/>
  <c r="P74" i="15"/>
  <c r="P71" i="15"/>
  <c r="P70" i="15"/>
  <c r="P69" i="15"/>
  <c r="P66" i="15"/>
  <c r="P65" i="15"/>
  <c r="P64" i="15"/>
  <c r="P61" i="15"/>
  <c r="P60" i="15"/>
  <c r="P59" i="15"/>
  <c r="P58" i="15"/>
  <c r="P56" i="15"/>
  <c r="P55" i="15"/>
  <c r="P54" i="15"/>
  <c r="P53" i="15"/>
  <c r="P51" i="15"/>
  <c r="P50" i="15"/>
  <c r="P49" i="15"/>
  <c r="P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52" i="15"/>
  <c r="P57" i="15"/>
  <c r="P62" i="15"/>
  <c r="P63" i="15"/>
  <c r="P67" i="15"/>
  <c r="P68" i="15"/>
  <c r="P72" i="15"/>
  <c r="P73" i="15"/>
  <c r="P77" i="15"/>
  <c r="P82" i="15"/>
  <c r="P87"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42" i="15"/>
  <c r="P147" i="15"/>
  <c r="P152" i="15"/>
  <c r="P153" i="15"/>
  <c r="P157" i="15"/>
  <c r="P158" i="15"/>
  <c r="P162" i="15"/>
  <c r="P163" i="15"/>
  <c r="P167" i="15"/>
  <c r="P172" i="15"/>
  <c r="P177"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32" i="15"/>
  <c r="P237" i="15"/>
  <c r="P242" i="15"/>
  <c r="P243" i="15"/>
  <c r="P247" i="15"/>
  <c r="P248" i="15"/>
  <c r="P252" i="15"/>
  <c r="P253" i="15"/>
  <c r="P257" i="15"/>
  <c r="P262" i="15"/>
  <c r="P267"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22" i="15"/>
  <c r="P327" i="15"/>
  <c r="P332" i="15"/>
  <c r="P333" i="15"/>
  <c r="P337" i="15"/>
  <c r="P338" i="15"/>
  <c r="P342" i="15"/>
  <c r="P343" i="15"/>
  <c r="P347" i="15"/>
  <c r="P352" i="15"/>
  <c r="P357"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12" i="15"/>
  <c r="P417" i="15"/>
  <c r="P422" i="15"/>
  <c r="P423" i="15"/>
  <c r="P427" i="15"/>
  <c r="P428" i="15"/>
  <c r="P432" i="15"/>
  <c r="P433" i="15"/>
  <c r="P437" i="15"/>
  <c r="P442" i="15"/>
  <c r="P447"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502" i="15"/>
  <c r="P507" i="15"/>
  <c r="P512" i="15"/>
  <c r="P513" i="15"/>
  <c r="P517" i="15"/>
  <c r="P518" i="15"/>
  <c r="P522" i="15"/>
  <c r="P523" i="15"/>
  <c r="P527" i="15"/>
  <c r="P528" i="15"/>
  <c r="P532" i="15"/>
  <c r="P537" i="15"/>
  <c r="P538" i="15"/>
  <c r="P542" i="15"/>
  <c r="P543" i="15"/>
  <c r="P544" i="15"/>
  <c r="P545" i="15"/>
  <c r="P546" i="15"/>
  <c r="P547" i="15"/>
  <c r="P548" i="15"/>
  <c r="P549" i="15"/>
  <c r="P550" i="15"/>
  <c r="P551" i="15"/>
  <c r="P552" i="15"/>
  <c r="P553" i="15"/>
  <c r="P554" i="15"/>
  <c r="P555" i="15"/>
  <c r="P556" i="15"/>
  <c r="P557" i="15"/>
  <c r="P558" i="15"/>
  <c r="P559" i="15"/>
  <c r="P560" i="15"/>
  <c r="P561" i="15"/>
  <c r="P562" i="15"/>
  <c r="P563" i="15"/>
  <c r="P564" i="15"/>
  <c r="P565" i="15"/>
  <c r="P566" i="15"/>
  <c r="P567" i="15"/>
  <c r="P568" i="15"/>
  <c r="P569" i="15"/>
  <c r="P570" i="15"/>
  <c r="P571" i="15"/>
  <c r="P572" i="15"/>
  <c r="P573" i="15"/>
  <c r="P574" i="15"/>
  <c r="P575" i="15"/>
  <c r="P576" i="15"/>
  <c r="P577" i="15"/>
  <c r="P578" i="15"/>
  <c r="P579" i="15"/>
  <c r="P580" i="15"/>
  <c r="P581" i="15"/>
  <c r="P582" i="15"/>
  <c r="P583" i="15"/>
  <c r="P584" i="15"/>
  <c r="P585" i="15"/>
  <c r="P586" i="15"/>
  <c r="P587" i="15"/>
  <c r="P588" i="15"/>
  <c r="P592" i="15"/>
  <c r="P597" i="15"/>
  <c r="P598" i="15"/>
  <c r="P602" i="15"/>
  <c r="P603" i="15"/>
  <c r="P607" i="15"/>
  <c r="P608" i="15"/>
  <c r="P612" i="15"/>
  <c r="P613" i="15"/>
  <c r="P617" i="15"/>
  <c r="P618" i="15"/>
  <c r="P622" i="15"/>
  <c r="P627" i="15"/>
  <c r="P628" i="15"/>
  <c r="P632" i="15"/>
  <c r="P633" i="15"/>
  <c r="P634" i="15"/>
  <c r="P635" i="15"/>
  <c r="P636" i="15"/>
  <c r="P637" i="15"/>
  <c r="P638" i="15"/>
  <c r="P639" i="15"/>
  <c r="P640" i="15"/>
  <c r="P641" i="15"/>
  <c r="P642" i="15"/>
  <c r="P643" i="15"/>
  <c r="P644" i="15"/>
  <c r="P645" i="15"/>
  <c r="P646" i="15"/>
  <c r="P647" i="15"/>
  <c r="P648" i="15"/>
  <c r="P649" i="15"/>
  <c r="P650" i="15"/>
  <c r="P651" i="15"/>
  <c r="P652" i="15"/>
  <c r="P653" i="15"/>
  <c r="P654" i="15"/>
  <c r="P655" i="15"/>
  <c r="P656" i="15"/>
  <c r="P657" i="15"/>
  <c r="P658" i="15"/>
  <c r="P659" i="15"/>
  <c r="P660" i="15"/>
  <c r="P661" i="15"/>
  <c r="P662" i="15"/>
  <c r="P663" i="15"/>
  <c r="P664" i="15"/>
  <c r="P665" i="15"/>
  <c r="P666" i="15"/>
  <c r="P667" i="15"/>
  <c r="P668" i="15"/>
  <c r="P669" i="15"/>
  <c r="P670" i="15"/>
  <c r="P671" i="15"/>
  <c r="P672" i="15"/>
  <c r="P673" i="15"/>
  <c r="P674" i="15"/>
  <c r="P675" i="15"/>
  <c r="P676" i="15"/>
  <c r="P677" i="15"/>
  <c r="P678" i="15"/>
  <c r="P682" i="15"/>
  <c r="P687" i="15"/>
  <c r="P688" i="15"/>
  <c r="P692" i="15"/>
  <c r="P693" i="15"/>
  <c r="P697" i="15"/>
  <c r="P698" i="15"/>
  <c r="P702" i="15"/>
  <c r="P703" i="15"/>
  <c r="P707" i="15"/>
  <c r="P708" i="15"/>
  <c r="P712" i="15"/>
  <c r="P717" i="15"/>
  <c r="P718" i="15"/>
  <c r="P722" i="15"/>
  <c r="P723" i="15"/>
  <c r="P724" i="15"/>
  <c r="P725" i="15"/>
  <c r="P726" i="15"/>
  <c r="P727" i="15"/>
  <c r="P728" i="15"/>
  <c r="P729" i="15"/>
  <c r="P730" i="15"/>
  <c r="P731" i="15"/>
  <c r="P732" i="15"/>
  <c r="P733" i="15"/>
  <c r="P734" i="15"/>
  <c r="P735" i="15"/>
  <c r="P736" i="15"/>
  <c r="P737" i="15"/>
  <c r="P738" i="15"/>
  <c r="P739" i="15"/>
  <c r="P740" i="15"/>
  <c r="P741" i="15"/>
  <c r="P742" i="15"/>
  <c r="P743" i="15"/>
  <c r="P744" i="15"/>
  <c r="P745" i="15"/>
  <c r="P746" i="15"/>
  <c r="P747" i="15"/>
  <c r="P748" i="15"/>
  <c r="P749" i="15"/>
  <c r="P750" i="15"/>
  <c r="P751" i="15"/>
  <c r="P752" i="15"/>
  <c r="P753" i="15"/>
  <c r="P754" i="15"/>
  <c r="P755" i="15"/>
  <c r="P756" i="15"/>
  <c r="P757" i="15"/>
  <c r="P758" i="15"/>
  <c r="P759" i="15"/>
  <c r="P760" i="15"/>
  <c r="P761" i="15"/>
  <c r="P762" i="15"/>
  <c r="P763" i="15"/>
  <c r="P764" i="15"/>
  <c r="P765" i="15"/>
  <c r="P766" i="15"/>
  <c r="P767" i="15"/>
  <c r="P768" i="15"/>
  <c r="P769" i="15"/>
  <c r="P770" i="15"/>
  <c r="P772" i="15"/>
  <c r="P777" i="15"/>
  <c r="P778" i="15"/>
  <c r="P779" i="15"/>
  <c r="P780" i="15"/>
  <c r="P782" i="15"/>
  <c r="P783" i="15"/>
  <c r="P787" i="15"/>
  <c r="P788" i="15"/>
  <c r="P792" i="15"/>
  <c r="P793" i="15"/>
  <c r="P797" i="15"/>
  <c r="P798" i="15"/>
  <c r="P802" i="15"/>
  <c r="P807" i="15"/>
  <c r="P808" i="15"/>
  <c r="P812" i="15"/>
  <c r="P813" i="15"/>
  <c r="P814" i="15"/>
  <c r="P815" i="15"/>
  <c r="P816" i="15"/>
  <c r="P817" i="15"/>
  <c r="P818" i="15"/>
  <c r="P819" i="15"/>
  <c r="P820" i="15"/>
  <c r="P821" i="15"/>
  <c r="P822" i="15"/>
  <c r="P823" i="15"/>
  <c r="P824" i="15"/>
  <c r="P825" i="15"/>
  <c r="P826" i="15"/>
  <c r="P827" i="15"/>
  <c r="P828" i="15"/>
  <c r="P829" i="15"/>
  <c r="P830" i="15"/>
  <c r="P831" i="15"/>
  <c r="P832" i="15"/>
  <c r="P833" i="15"/>
  <c r="P834" i="15"/>
  <c r="P835" i="15"/>
  <c r="P836" i="15"/>
  <c r="P837" i="15"/>
  <c r="P838" i="15"/>
  <c r="P839" i="15"/>
  <c r="P840" i="15"/>
  <c r="P841" i="15"/>
  <c r="P842" i="15"/>
  <c r="P843" i="15"/>
  <c r="P844" i="15"/>
  <c r="P845" i="15"/>
  <c r="P846" i="15"/>
  <c r="P847" i="15"/>
  <c r="P848" i="15"/>
  <c r="P849" i="15"/>
  <c r="P850" i="15"/>
  <c r="P851" i="15"/>
  <c r="P852" i="15"/>
  <c r="P853" i="15"/>
  <c r="P854" i="15"/>
  <c r="P855" i="15"/>
  <c r="P856" i="15"/>
  <c r="P857" i="15"/>
  <c r="P858" i="15"/>
  <c r="P859" i="15"/>
  <c r="P860" i="15"/>
  <c r="P862" i="15"/>
  <c r="P867" i="15"/>
  <c r="P868" i="15"/>
  <c r="P869" i="15"/>
  <c r="P870" i="15"/>
  <c r="P872" i="15"/>
  <c r="P873" i="15"/>
  <c r="P877" i="15"/>
  <c r="P878" i="15"/>
  <c r="P882" i="15"/>
  <c r="P883" i="15"/>
  <c r="P887" i="15"/>
  <c r="P888" i="15"/>
  <c r="P892" i="15"/>
  <c r="P897" i="15"/>
  <c r="P898" i="15"/>
  <c r="P902" i="15"/>
  <c r="P903" i="15"/>
  <c r="P904" i="15"/>
  <c r="P905" i="15"/>
  <c r="P906" i="15"/>
  <c r="P907" i="15"/>
  <c r="P908" i="15"/>
  <c r="P909" i="15"/>
  <c r="P910" i="15"/>
  <c r="P911" i="15"/>
  <c r="P912" i="15"/>
  <c r="P913" i="15"/>
  <c r="P914" i="15"/>
  <c r="P915" i="15"/>
  <c r="P916" i="15"/>
  <c r="P917" i="15"/>
  <c r="P918" i="15"/>
  <c r="P919" i="15"/>
  <c r="P920" i="15"/>
  <c r="P921" i="15"/>
  <c r="P922" i="15"/>
  <c r="P923" i="15"/>
  <c r="P924" i="15"/>
  <c r="P925" i="15"/>
  <c r="P926" i="15"/>
  <c r="P927" i="15"/>
  <c r="P928" i="15"/>
  <c r="P929" i="15"/>
  <c r="P930" i="15"/>
  <c r="P931" i="15"/>
  <c r="P932" i="15"/>
  <c r="P933" i="15"/>
  <c r="P934" i="15"/>
  <c r="P935" i="15"/>
  <c r="P936" i="15"/>
  <c r="P937" i="15"/>
  <c r="P938" i="15"/>
  <c r="P939" i="15"/>
  <c r="P940" i="15"/>
  <c r="P941" i="15"/>
  <c r="P942" i="15"/>
  <c r="P943" i="15"/>
  <c r="P944" i="15"/>
  <c r="P945" i="15"/>
  <c r="P946" i="15"/>
  <c r="P947" i="15"/>
  <c r="P948" i="15"/>
  <c r="P949" i="15"/>
  <c r="P950" i="15"/>
  <c r="P952" i="15"/>
  <c r="P957" i="15"/>
  <c r="P958" i="15"/>
  <c r="P959" i="15"/>
  <c r="P960" i="15"/>
  <c r="P962" i="15"/>
  <c r="P963" i="15"/>
  <c r="P967" i="15"/>
  <c r="P968" i="15"/>
  <c r="P972" i="15"/>
  <c r="P973" i="15"/>
  <c r="P977" i="15"/>
  <c r="P978" i="15"/>
  <c r="P982" i="15"/>
  <c r="P987" i="15"/>
  <c r="P988" i="15"/>
  <c r="P992" i="15"/>
  <c r="P993" i="15"/>
  <c r="P994" i="15"/>
  <c r="P995" i="15"/>
  <c r="P996" i="15"/>
  <c r="P997" i="15"/>
  <c r="P998" i="15"/>
  <c r="P999" i="15"/>
  <c r="P1000" i="15"/>
  <c r="P1001" i="15"/>
  <c r="P1002" i="15"/>
  <c r="P1003" i="15"/>
  <c r="P1004" i="15"/>
  <c r="P1005" i="15"/>
  <c r="P1006" i="15"/>
  <c r="P1007" i="15"/>
  <c r="P1008" i="15"/>
  <c r="P1009" i="15"/>
  <c r="P1010" i="15"/>
  <c r="P1011" i="15"/>
  <c r="P1012" i="15"/>
  <c r="P1013" i="15"/>
  <c r="P1014" i="15"/>
  <c r="P1015" i="15"/>
  <c r="P1016" i="15"/>
  <c r="P1017" i="15"/>
  <c r="P1018" i="15"/>
  <c r="P1019" i="15"/>
  <c r="P1020" i="15"/>
  <c r="P1021" i="15"/>
  <c r="P1022" i="15"/>
  <c r="P1023" i="15"/>
  <c r="P1024" i="15"/>
  <c r="P1025" i="15"/>
  <c r="P1026" i="15"/>
  <c r="P1027" i="15"/>
  <c r="P1028" i="15"/>
  <c r="P1029" i="15"/>
  <c r="P1030" i="15"/>
  <c r="P1031" i="15"/>
  <c r="P1032" i="15"/>
  <c r="P1033" i="15"/>
  <c r="P1034" i="15"/>
  <c r="P1035" i="15"/>
  <c r="P1036" i="15"/>
  <c r="P1037" i="15"/>
  <c r="P1038" i="15"/>
  <c r="P1039" i="15"/>
  <c r="P1040" i="15"/>
  <c r="P1042" i="15"/>
  <c r="P1043" i="15"/>
  <c r="P1047" i="15"/>
  <c r="P1048" i="15"/>
  <c r="P1049" i="15"/>
  <c r="P1050" i="15"/>
  <c r="P1052" i="15"/>
  <c r="P1053" i="15"/>
  <c r="P1057" i="15"/>
  <c r="P1058" i="15"/>
  <c r="P1062" i="15"/>
  <c r="P1063" i="15"/>
  <c r="P1067" i="15"/>
  <c r="P1068" i="15"/>
  <c r="P1072" i="15"/>
  <c r="P1077" i="15"/>
  <c r="P1078" i="15"/>
  <c r="P1082" i="15"/>
  <c r="P1083" i="15"/>
  <c r="P1084" i="15"/>
  <c r="P1085" i="15"/>
  <c r="P1086" i="15"/>
  <c r="P1087" i="15"/>
  <c r="P1088" i="15"/>
  <c r="P1089" i="15"/>
  <c r="P1090" i="15"/>
  <c r="P1091" i="15"/>
  <c r="P1092" i="15"/>
  <c r="P1093" i="15"/>
  <c r="P1094" i="15"/>
  <c r="P1095" i="15"/>
  <c r="P1096" i="15"/>
  <c r="P1097" i="15"/>
  <c r="P1098" i="15"/>
  <c r="P1099" i="15"/>
  <c r="P1100" i="15"/>
  <c r="P1101" i="15"/>
  <c r="P1102" i="15"/>
  <c r="P1103" i="15"/>
  <c r="P1104" i="15"/>
  <c r="P1105" i="15"/>
  <c r="P1106" i="15"/>
  <c r="P1107" i="15"/>
  <c r="P1108" i="15"/>
  <c r="P1109" i="15"/>
  <c r="P1110" i="15"/>
  <c r="P1111" i="15"/>
  <c r="P1112" i="15"/>
  <c r="P1113" i="15"/>
  <c r="P1114" i="15"/>
  <c r="P1115" i="15"/>
  <c r="P1116" i="15"/>
  <c r="P1117" i="15"/>
  <c r="P1118" i="15"/>
  <c r="P1119" i="15"/>
  <c r="P1120" i="15"/>
  <c r="P1121" i="15"/>
  <c r="P1122" i="15"/>
  <c r="P1123" i="15"/>
  <c r="P1124" i="15"/>
  <c r="P1125" i="15"/>
  <c r="P1126" i="15"/>
  <c r="P1127" i="15"/>
  <c r="P1128" i="15"/>
  <c r="P1129" i="15"/>
  <c r="P1130" i="15"/>
  <c r="P1132" i="15"/>
  <c r="P1133" i="15"/>
  <c r="P1137" i="15"/>
  <c r="P1138" i="15"/>
  <c r="P1139" i="15"/>
  <c r="P1140" i="15"/>
  <c r="P1142" i="15"/>
  <c r="P1143" i="15"/>
  <c r="P1147" i="15"/>
  <c r="P1148" i="15"/>
  <c r="P1152" i="15"/>
  <c r="P1153" i="15"/>
  <c r="P1157" i="15"/>
  <c r="P1158" i="15"/>
  <c r="P1162" i="15"/>
  <c r="P1167" i="15"/>
  <c r="P1168" i="15"/>
  <c r="P1172" i="15"/>
  <c r="P1173" i="15"/>
  <c r="P1174" i="15"/>
  <c r="P1175" i="15"/>
  <c r="P1176" i="15"/>
  <c r="P1177" i="15"/>
  <c r="P1178" i="15"/>
  <c r="P1179" i="15"/>
  <c r="P1180" i="15"/>
  <c r="P1181" i="15"/>
  <c r="P1182" i="15"/>
  <c r="P1183" i="15"/>
  <c r="P1184" i="15"/>
  <c r="P1185" i="15"/>
  <c r="P1186" i="15"/>
  <c r="P1187" i="15"/>
  <c r="P1188" i="15"/>
  <c r="P1189" i="15"/>
  <c r="P1190" i="15"/>
  <c r="P1191" i="15"/>
  <c r="P1192" i="15"/>
  <c r="P1193" i="15"/>
  <c r="P1194" i="15"/>
  <c r="P1195" i="15"/>
  <c r="P1196" i="15"/>
  <c r="P1197" i="15"/>
  <c r="P1198" i="15"/>
  <c r="P1199" i="15"/>
  <c r="P1200" i="15"/>
  <c r="P1201" i="15"/>
  <c r="P1202" i="15"/>
  <c r="P1203" i="15"/>
  <c r="P1204" i="15"/>
  <c r="P1205" i="15"/>
  <c r="P1206" i="15"/>
  <c r="P1207" i="15"/>
  <c r="P1208" i="15"/>
  <c r="P1209" i="15"/>
  <c r="P1210" i="15"/>
  <c r="P1211" i="15"/>
  <c r="P1212" i="15"/>
  <c r="P1213" i="15"/>
  <c r="P1214" i="15"/>
  <c r="P1215" i="15"/>
  <c r="P1216" i="15"/>
  <c r="P1217" i="15"/>
  <c r="P1218" i="15"/>
  <c r="P1219" i="15"/>
  <c r="P1220" i="15"/>
  <c r="P1222" i="15"/>
  <c r="P1223" i="15"/>
  <c r="P1227" i="15"/>
  <c r="P1228" i="15"/>
  <c r="P1229" i="15"/>
  <c r="P1230" i="15"/>
  <c r="P1232" i="15"/>
  <c r="P1233" i="15"/>
  <c r="P1237" i="15"/>
  <c r="P1238" i="15"/>
  <c r="P1242" i="15"/>
  <c r="P1243" i="15"/>
  <c r="P1247" i="15"/>
  <c r="P1248" i="15"/>
  <c r="P1252" i="15"/>
  <c r="P1257" i="15"/>
  <c r="P1258" i="15"/>
  <c r="P1262" i="15"/>
  <c r="P1263" i="15"/>
  <c r="P1264" i="15"/>
  <c r="P1265" i="15"/>
  <c r="P1266" i="15"/>
  <c r="P1267" i="15"/>
  <c r="P1268" i="15"/>
  <c r="P1269" i="15"/>
  <c r="P1270" i="15"/>
  <c r="P1271" i="15"/>
  <c r="P1272" i="15"/>
  <c r="P1273" i="15"/>
  <c r="P1274" i="15"/>
  <c r="P1275" i="15"/>
  <c r="P1276" i="15"/>
  <c r="P1277" i="15"/>
  <c r="P1278" i="15"/>
  <c r="P1279" i="15"/>
  <c r="P1280" i="15"/>
  <c r="P1281" i="15"/>
  <c r="P1282" i="15"/>
  <c r="P1283" i="15"/>
  <c r="P1284" i="15"/>
  <c r="P1285" i="15"/>
  <c r="P1286" i="15"/>
  <c r="P1287" i="15"/>
  <c r="P1288" i="15"/>
  <c r="P1289" i="15"/>
  <c r="P1290" i="15"/>
  <c r="P1291" i="15"/>
  <c r="P1292" i="15"/>
  <c r="P1293" i="15"/>
  <c r="P1294" i="15"/>
  <c r="P1295" i="15"/>
  <c r="P1296" i="15"/>
  <c r="P1297" i="15"/>
  <c r="P1298" i="15"/>
  <c r="P1299" i="15"/>
  <c r="P1300" i="15"/>
  <c r="P1301" i="15"/>
  <c r="P1302" i="15"/>
  <c r="P1303" i="15"/>
  <c r="P1304" i="15"/>
  <c r="P1305" i="15"/>
  <c r="P1306" i="15"/>
  <c r="P1307" i="15"/>
  <c r="P1308" i="15"/>
  <c r="P1309" i="15"/>
  <c r="P1310" i="15"/>
  <c r="P1312" i="15"/>
  <c r="P1313" i="15"/>
  <c r="P1317" i="15"/>
  <c r="P1318" i="15"/>
  <c r="P1319" i="15"/>
  <c r="P1320" i="15"/>
  <c r="P1322" i="15"/>
  <c r="P1323" i="15"/>
  <c r="P1327" i="15"/>
  <c r="P1328" i="15"/>
  <c r="P1332" i="15"/>
  <c r="P1333" i="15"/>
  <c r="P1337" i="15"/>
  <c r="P1338" i="15"/>
  <c r="P1342" i="15"/>
  <c r="P1343" i="15"/>
  <c r="P1347" i="15"/>
  <c r="P1348" i="15"/>
  <c r="P1352" i="15"/>
  <c r="P1353" i="15"/>
  <c r="P1354" i="15"/>
  <c r="P1355" i="15"/>
  <c r="P1356" i="15"/>
  <c r="P1357" i="15"/>
  <c r="P1358" i="15"/>
  <c r="P1359" i="15"/>
  <c r="P1360" i="15"/>
  <c r="P1361" i="15"/>
  <c r="P1362" i="15"/>
  <c r="P1363" i="15"/>
  <c r="P1364" i="15"/>
  <c r="P1365" i="15"/>
  <c r="P1366" i="15"/>
  <c r="P1367" i="15"/>
  <c r="P1368" i="15"/>
  <c r="P1369" i="15"/>
  <c r="P1370" i="15"/>
  <c r="P1371" i="15"/>
  <c r="P1372" i="15"/>
  <c r="P1373" i="15"/>
  <c r="P1374" i="15"/>
  <c r="P1375" i="15"/>
  <c r="P1376" i="15"/>
  <c r="P1377" i="15"/>
  <c r="P1378" i="15"/>
  <c r="P1379" i="15"/>
  <c r="P1380" i="15"/>
  <c r="P1381" i="15"/>
  <c r="P1382" i="15"/>
  <c r="P1383" i="15"/>
  <c r="P1384" i="15"/>
  <c r="P1385" i="15"/>
  <c r="P1386" i="15"/>
  <c r="P1387" i="15"/>
  <c r="P1388" i="15"/>
  <c r="P1389" i="15"/>
  <c r="P1390" i="15"/>
  <c r="P1391" i="15"/>
  <c r="P1392" i="15"/>
  <c r="P1393" i="15"/>
  <c r="P1394" i="15"/>
  <c r="P1395" i="15"/>
  <c r="P1396" i="15"/>
  <c r="P1397" i="15"/>
  <c r="P1398" i="15"/>
  <c r="P1399" i="15"/>
  <c r="P1400" i="15"/>
  <c r="P1402" i="15"/>
  <c r="P1403" i="15"/>
  <c r="P1407" i="15"/>
  <c r="P1408" i="15"/>
  <c r="P1409" i="15"/>
  <c r="P1410" i="15"/>
  <c r="P1412" i="15"/>
  <c r="P1413" i="15"/>
  <c r="P1417" i="15"/>
  <c r="P1418" i="15"/>
  <c r="P1422" i="15"/>
  <c r="P1423" i="15"/>
  <c r="P1427" i="15"/>
  <c r="P1428" i="15"/>
  <c r="P1432" i="15"/>
  <c r="P1433" i="15"/>
  <c r="P1437" i="15"/>
  <c r="P1438" i="15"/>
  <c r="P2" i="15"/>
  <c r="J3" i="15"/>
  <c r="K3" i="16" s="1"/>
  <c r="J4" i="15"/>
  <c r="K4" i="16" s="1"/>
  <c r="J5" i="15"/>
  <c r="K5" i="16" s="1"/>
  <c r="J11" i="15"/>
  <c r="K11" i="16" s="1"/>
  <c r="J12" i="15"/>
  <c r="K12" i="16" s="1"/>
  <c r="J13" i="15"/>
  <c r="K13" i="16" s="1"/>
  <c r="J19" i="15"/>
  <c r="K19" i="16" s="1"/>
  <c r="J20" i="15"/>
  <c r="K20" i="16" s="1"/>
  <c r="J23" i="15"/>
  <c r="K23" i="16" s="1"/>
  <c r="J27" i="15"/>
  <c r="K27" i="16" s="1"/>
  <c r="J28" i="15"/>
  <c r="K28" i="16" s="1"/>
  <c r="J29" i="15"/>
  <c r="K29" i="16" s="1"/>
  <c r="J35" i="15"/>
  <c r="K35" i="16" s="1"/>
  <c r="J36" i="15"/>
  <c r="K36" i="16" s="1"/>
  <c r="J37" i="15"/>
  <c r="K37" i="16" s="1"/>
  <c r="J38" i="15"/>
  <c r="K38" i="16" s="1"/>
  <c r="J39" i="15"/>
  <c r="K39" i="16" s="1"/>
  <c r="J43" i="15"/>
  <c r="K43" i="16" s="1"/>
  <c r="J44" i="15"/>
  <c r="K44" i="16" s="1"/>
  <c r="J45" i="15"/>
  <c r="K45" i="16" s="1"/>
  <c r="J51" i="15"/>
  <c r="J52" i="15"/>
  <c r="K52" i="16" s="1"/>
  <c r="J53" i="15"/>
  <c r="J54" i="15"/>
  <c r="J55" i="15"/>
  <c r="J59" i="15"/>
  <c r="J60" i="15"/>
  <c r="J61" i="15"/>
  <c r="J67" i="15"/>
  <c r="K67" i="16" s="1"/>
  <c r="J68" i="15"/>
  <c r="K68" i="16" s="1"/>
  <c r="J69" i="15"/>
  <c r="J75" i="15"/>
  <c r="J76" i="15"/>
  <c r="J77" i="15"/>
  <c r="K77" i="16" s="1"/>
  <c r="J83" i="15"/>
  <c r="J84" i="15"/>
  <c r="J85" i="15"/>
  <c r="J87" i="15"/>
  <c r="K87" i="16" s="1"/>
  <c r="J91" i="15"/>
  <c r="J92" i="15"/>
  <c r="K92" i="16" s="1"/>
  <c r="J93" i="15"/>
  <c r="K93" i="16" s="1"/>
  <c r="J94" i="15"/>
  <c r="K94" i="16" s="1"/>
  <c r="J99" i="15"/>
  <c r="K99" i="16" s="1"/>
  <c r="J100" i="15"/>
  <c r="K100" i="16" s="1"/>
  <c r="J101" i="15"/>
  <c r="K101" i="16" s="1"/>
  <c r="J102" i="15"/>
  <c r="K102" i="16" s="1"/>
  <c r="J107" i="15"/>
  <c r="K107" i="16" s="1"/>
  <c r="J108" i="15"/>
  <c r="K108" i="16" s="1"/>
  <c r="J109" i="15"/>
  <c r="K109" i="16" s="1"/>
  <c r="J115" i="15"/>
  <c r="K115" i="16" s="1"/>
  <c r="J116" i="15"/>
  <c r="K116" i="16" s="1"/>
  <c r="J117" i="15"/>
  <c r="K117" i="16" s="1"/>
  <c r="J118" i="15"/>
  <c r="K118" i="16" s="1"/>
  <c r="J123" i="15"/>
  <c r="K123" i="16" s="1"/>
  <c r="J124" i="15"/>
  <c r="K124" i="16" s="1"/>
  <c r="J125" i="15"/>
  <c r="K125" i="16" s="1"/>
  <c r="J126" i="15"/>
  <c r="K126" i="16" s="1"/>
  <c r="J127" i="15"/>
  <c r="K127" i="16" s="1"/>
  <c r="J131" i="15"/>
  <c r="K131" i="16" s="1"/>
  <c r="J132" i="15"/>
  <c r="K132" i="16" s="1"/>
  <c r="J133" i="15"/>
  <c r="K133" i="16" s="1"/>
  <c r="J139" i="15"/>
  <c r="J140" i="15"/>
  <c r="J141" i="15"/>
  <c r="J142" i="15"/>
  <c r="K142" i="16" s="1"/>
  <c r="J143" i="15"/>
  <c r="J147" i="15"/>
  <c r="K147" i="16" s="1"/>
  <c r="J148" i="15"/>
  <c r="J149" i="15"/>
  <c r="J155" i="15"/>
  <c r="J156" i="15"/>
  <c r="J157" i="15"/>
  <c r="K157" i="16" s="1"/>
  <c r="J159" i="15"/>
  <c r="J163" i="15"/>
  <c r="K163" i="16" s="1"/>
  <c r="J164" i="15"/>
  <c r="J165" i="15"/>
  <c r="J171" i="15"/>
  <c r="J172" i="15"/>
  <c r="K172" i="16" s="1"/>
  <c r="J173" i="15"/>
  <c r="J174" i="15"/>
  <c r="J179" i="15"/>
  <c r="J180" i="15"/>
  <c r="J181" i="15"/>
  <c r="J182" i="15"/>
  <c r="K182" i="16" s="1"/>
  <c r="J183" i="15"/>
  <c r="K183" i="16" s="1"/>
  <c r="J184" i="15"/>
  <c r="K184" i="16" s="1"/>
  <c r="J185" i="15"/>
  <c r="K185" i="16" s="1"/>
  <c r="J187" i="15"/>
  <c r="K187" i="16" s="1"/>
  <c r="J188" i="15"/>
  <c r="K188" i="16" s="1"/>
  <c r="J189" i="15"/>
  <c r="K189" i="16" s="1"/>
  <c r="J190" i="15"/>
  <c r="K190" i="16" s="1"/>
  <c r="J191" i="15"/>
  <c r="K191" i="16" s="1"/>
  <c r="J192" i="15"/>
  <c r="K192" i="16" s="1"/>
  <c r="J193" i="15"/>
  <c r="K193" i="16" s="1"/>
  <c r="J194" i="15"/>
  <c r="K194" i="16" s="1"/>
  <c r="J195" i="15"/>
  <c r="K195" i="16" s="1"/>
  <c r="J196" i="15"/>
  <c r="K196" i="16" s="1"/>
  <c r="J197" i="15"/>
  <c r="K197" i="16" s="1"/>
  <c r="J198" i="15"/>
  <c r="K198" i="16" s="1"/>
  <c r="J199" i="15"/>
  <c r="K199" i="16" s="1"/>
  <c r="J200" i="15"/>
  <c r="K200" i="16" s="1"/>
  <c r="J201" i="15"/>
  <c r="K201" i="16" s="1"/>
  <c r="J202" i="15"/>
  <c r="K202" i="16" s="1"/>
  <c r="J203" i="15"/>
  <c r="K203" i="16" s="1"/>
  <c r="J204" i="15"/>
  <c r="K204" i="16" s="1"/>
  <c r="J205" i="15"/>
  <c r="K205" i="16" s="1"/>
  <c r="J206" i="15"/>
  <c r="K206" i="16" s="1"/>
  <c r="J207" i="15"/>
  <c r="K207" i="16" s="1"/>
  <c r="J208" i="15"/>
  <c r="K208" i="16" s="1"/>
  <c r="J209" i="15"/>
  <c r="K209" i="16" s="1"/>
  <c r="J210" i="15"/>
  <c r="K210" i="16" s="1"/>
  <c r="J211" i="15"/>
  <c r="K211" i="16" s="1"/>
  <c r="J212" i="15"/>
  <c r="K212" i="16" s="1"/>
  <c r="J213" i="15"/>
  <c r="K213" i="16" s="1"/>
  <c r="J214" i="15"/>
  <c r="K214" i="16" s="1"/>
  <c r="J215" i="15"/>
  <c r="K215" i="16" s="1"/>
  <c r="J216" i="15"/>
  <c r="K216" i="16" s="1"/>
  <c r="J217" i="15"/>
  <c r="K217" i="16" s="1"/>
  <c r="J218" i="15"/>
  <c r="K218" i="16" s="1"/>
  <c r="J219" i="15"/>
  <c r="K219" i="16" s="1"/>
  <c r="J220" i="15"/>
  <c r="K220" i="16" s="1"/>
  <c r="J221" i="15"/>
  <c r="K221" i="16" s="1"/>
  <c r="J222" i="15"/>
  <c r="K222" i="16" s="1"/>
  <c r="J223" i="15"/>
  <c r="K223" i="16" s="1"/>
  <c r="J224" i="15"/>
  <c r="K224" i="16" s="1"/>
  <c r="J225" i="15"/>
  <c r="K225" i="16" s="1"/>
  <c r="J226" i="15"/>
  <c r="K226" i="16" s="1"/>
  <c r="J227" i="15"/>
  <c r="K227" i="16" s="1"/>
  <c r="J228" i="15"/>
  <c r="J229" i="15"/>
  <c r="J230" i="15"/>
  <c r="J231" i="15"/>
  <c r="J232" i="15"/>
  <c r="K232" i="16" s="1"/>
  <c r="J233" i="15"/>
  <c r="J234" i="15"/>
  <c r="J235" i="15"/>
  <c r="J236" i="15"/>
  <c r="J237" i="15"/>
  <c r="K237" i="16" s="1"/>
  <c r="J238" i="15"/>
  <c r="J239" i="15"/>
  <c r="J240" i="15"/>
  <c r="J241" i="15"/>
  <c r="J242" i="15"/>
  <c r="K242" i="16" s="1"/>
  <c r="J243" i="15"/>
  <c r="K243" i="16" s="1"/>
  <c r="J244" i="15"/>
  <c r="J245" i="15"/>
  <c r="J246" i="15"/>
  <c r="J247" i="15"/>
  <c r="K247" i="16" s="1"/>
  <c r="J248" i="15"/>
  <c r="K248" i="16" s="1"/>
  <c r="J249" i="15"/>
  <c r="J250" i="15"/>
  <c r="J251" i="15"/>
  <c r="J252" i="15"/>
  <c r="K252" i="16" s="1"/>
  <c r="J253" i="15"/>
  <c r="K253" i="16" s="1"/>
  <c r="J254" i="15"/>
  <c r="J255" i="15"/>
  <c r="J256" i="15"/>
  <c r="J257" i="15"/>
  <c r="K257" i="16" s="1"/>
  <c r="J259" i="15"/>
  <c r="J260" i="15"/>
  <c r="J261" i="15"/>
  <c r="J262" i="15"/>
  <c r="K262" i="16" s="1"/>
  <c r="J263" i="15"/>
  <c r="J264" i="15"/>
  <c r="J265" i="15"/>
  <c r="J267" i="15"/>
  <c r="K267" i="16" s="1"/>
  <c r="J268" i="15"/>
  <c r="J269" i="15"/>
  <c r="J270" i="15"/>
  <c r="J271" i="15"/>
  <c r="J272" i="15"/>
  <c r="K272" i="16" s="1"/>
  <c r="J273" i="15"/>
  <c r="K273" i="16" s="1"/>
  <c r="J275" i="15"/>
  <c r="K275" i="16" s="1"/>
  <c r="J276" i="15"/>
  <c r="K276" i="16" s="1"/>
  <c r="J277" i="15"/>
  <c r="K277" i="16" s="1"/>
  <c r="J278" i="15"/>
  <c r="K278" i="16" s="1"/>
  <c r="J279" i="15"/>
  <c r="K279" i="16" s="1"/>
  <c r="J280" i="15"/>
  <c r="K280" i="16" s="1"/>
  <c r="J281" i="15"/>
  <c r="K281" i="16" s="1"/>
  <c r="J283" i="15"/>
  <c r="K283" i="16" s="1"/>
  <c r="J284" i="15"/>
  <c r="K284" i="16" s="1"/>
  <c r="J285" i="15"/>
  <c r="K285" i="16" s="1"/>
  <c r="J286" i="15"/>
  <c r="K286" i="16" s="1"/>
  <c r="J287" i="15"/>
  <c r="K287" i="16" s="1"/>
  <c r="J288" i="15"/>
  <c r="K288" i="16" s="1"/>
  <c r="J289" i="15"/>
  <c r="K289" i="16" s="1"/>
  <c r="J291" i="15"/>
  <c r="K291" i="16" s="1"/>
  <c r="J292" i="15"/>
  <c r="K292" i="16" s="1"/>
  <c r="J293" i="15"/>
  <c r="K293" i="16" s="1"/>
  <c r="J294" i="15"/>
  <c r="K294" i="16" s="1"/>
  <c r="J295" i="15"/>
  <c r="K295" i="16" s="1"/>
  <c r="J296" i="15"/>
  <c r="K296" i="16" s="1"/>
  <c r="J297" i="15"/>
  <c r="K297" i="16" s="1"/>
  <c r="J299" i="15"/>
  <c r="K299" i="16" s="1"/>
  <c r="J300" i="15"/>
  <c r="K300" i="16" s="1"/>
  <c r="J301" i="15"/>
  <c r="K301" i="16" s="1"/>
  <c r="J302" i="15"/>
  <c r="K302" i="16" s="1"/>
  <c r="J303" i="15"/>
  <c r="K303" i="16" s="1"/>
  <c r="J304" i="15"/>
  <c r="K304" i="16" s="1"/>
  <c r="J305" i="15"/>
  <c r="K305" i="16" s="1"/>
  <c r="J307" i="15"/>
  <c r="K307" i="16" s="1"/>
  <c r="J308" i="15"/>
  <c r="K308" i="16" s="1"/>
  <c r="J309" i="15"/>
  <c r="K309" i="16" s="1"/>
  <c r="J310" i="15"/>
  <c r="K310" i="16" s="1"/>
  <c r="J311" i="15"/>
  <c r="K311" i="16" s="1"/>
  <c r="J312" i="15"/>
  <c r="J313" i="15"/>
  <c r="K313" i="16" s="1"/>
  <c r="J315" i="15"/>
  <c r="K315" i="16" s="1"/>
  <c r="J316" i="15"/>
  <c r="K316" i="16" s="1"/>
  <c r="J317" i="15"/>
  <c r="K317" i="16" s="1"/>
  <c r="J318" i="15"/>
  <c r="J319" i="15"/>
  <c r="J320" i="15"/>
  <c r="J321" i="15"/>
  <c r="J323" i="15"/>
  <c r="J324" i="15"/>
  <c r="J325" i="15"/>
  <c r="J326" i="15"/>
  <c r="J327" i="15"/>
  <c r="K327" i="16" s="1"/>
  <c r="J328" i="15"/>
  <c r="J329" i="15"/>
  <c r="J331" i="15"/>
  <c r="J332" i="15"/>
  <c r="K332" i="16" s="1"/>
  <c r="J333" i="15"/>
  <c r="K333" i="16" s="1"/>
  <c r="J334" i="15"/>
  <c r="J335" i="15"/>
  <c r="J336" i="15"/>
  <c r="J337" i="15"/>
  <c r="K337" i="16" s="1"/>
  <c r="J339" i="15"/>
  <c r="J340" i="15"/>
  <c r="J341" i="15"/>
  <c r="J342" i="15"/>
  <c r="K342" i="16" s="1"/>
  <c r="J343" i="15"/>
  <c r="K343" i="16" s="1"/>
  <c r="J344" i="15"/>
  <c r="J345" i="15"/>
  <c r="J347" i="15"/>
  <c r="K347" i="16" s="1"/>
  <c r="J348" i="15"/>
  <c r="J349" i="15"/>
  <c r="J350" i="15"/>
  <c r="J351" i="15"/>
  <c r="J352" i="15"/>
  <c r="K352" i="16" s="1"/>
  <c r="J353" i="15"/>
  <c r="J355" i="15"/>
  <c r="J356" i="15"/>
  <c r="J357" i="15"/>
  <c r="K357" i="16" s="1"/>
  <c r="J358" i="15"/>
  <c r="J359" i="15"/>
  <c r="J360" i="15"/>
  <c r="J361" i="15"/>
  <c r="J363" i="15"/>
  <c r="K363" i="16" s="1"/>
  <c r="J364" i="15"/>
  <c r="K364" i="16" s="1"/>
  <c r="J365" i="15"/>
  <c r="K365" i="16" s="1"/>
  <c r="J366" i="15"/>
  <c r="K366" i="16" s="1"/>
  <c r="J367" i="15"/>
  <c r="K367" i="16" s="1"/>
  <c r="J368" i="15"/>
  <c r="K368" i="16" s="1"/>
  <c r="J369" i="15"/>
  <c r="K369" i="16" s="1"/>
  <c r="J371" i="15"/>
  <c r="K371" i="16" s="1"/>
  <c r="J372" i="15"/>
  <c r="K372" i="16" s="1"/>
  <c r="J373" i="15"/>
  <c r="K373" i="16" s="1"/>
  <c r="J374" i="15"/>
  <c r="K374" i="16" s="1"/>
  <c r="J375" i="15"/>
  <c r="K375" i="16" s="1"/>
  <c r="J376" i="15"/>
  <c r="K376" i="16" s="1"/>
  <c r="J377" i="15"/>
  <c r="K377" i="16" s="1"/>
  <c r="J379" i="15"/>
  <c r="K379" i="16" s="1"/>
  <c r="J380" i="15"/>
  <c r="K380" i="16" s="1"/>
  <c r="J381" i="15"/>
  <c r="K381" i="16" s="1"/>
  <c r="J382" i="15"/>
  <c r="K382" i="16" s="1"/>
  <c r="J383" i="15"/>
  <c r="K383" i="16" s="1"/>
  <c r="J384" i="15"/>
  <c r="K384" i="16" s="1"/>
  <c r="J385" i="15"/>
  <c r="K385" i="16" s="1"/>
  <c r="J387" i="15"/>
  <c r="K387" i="16" s="1"/>
  <c r="J388" i="15"/>
  <c r="K388" i="16" s="1"/>
  <c r="J389" i="15"/>
  <c r="K389" i="16" s="1"/>
  <c r="J390" i="15"/>
  <c r="K390" i="16" s="1"/>
  <c r="J391" i="15"/>
  <c r="K391" i="16" s="1"/>
  <c r="J392" i="15"/>
  <c r="K392" i="16" s="1"/>
  <c r="J393" i="15"/>
  <c r="K393" i="16" s="1"/>
  <c r="J395" i="15"/>
  <c r="K395" i="16" s="1"/>
  <c r="J396" i="15"/>
  <c r="K396" i="16" s="1"/>
  <c r="J397" i="15"/>
  <c r="K397" i="16" s="1"/>
  <c r="J398" i="15"/>
  <c r="K398" i="16" s="1"/>
  <c r="J399" i="15"/>
  <c r="K399" i="16" s="1"/>
  <c r="J400" i="15"/>
  <c r="K400" i="16" s="1"/>
  <c r="J401" i="15"/>
  <c r="K401" i="16" s="1"/>
  <c r="J403" i="15"/>
  <c r="K403" i="16" s="1"/>
  <c r="J404" i="15"/>
  <c r="K404" i="16" s="1"/>
  <c r="J405" i="15"/>
  <c r="K405" i="16" s="1"/>
  <c r="J406" i="15"/>
  <c r="K406" i="16" s="1"/>
  <c r="J407" i="15"/>
  <c r="K407" i="16" s="1"/>
  <c r="J408" i="15"/>
  <c r="J409" i="15"/>
  <c r="J411" i="15"/>
  <c r="J412" i="15"/>
  <c r="K412" i="16" s="1"/>
  <c r="J413" i="15"/>
  <c r="J414" i="15"/>
  <c r="J415" i="15"/>
  <c r="J416" i="15"/>
  <c r="J417" i="15"/>
  <c r="K417" i="16" s="1"/>
  <c r="J419" i="15"/>
  <c r="J420" i="15"/>
  <c r="J421" i="15"/>
  <c r="J422" i="15"/>
  <c r="K422" i="16" s="1"/>
  <c r="J423" i="15"/>
  <c r="K423" i="16" s="1"/>
  <c r="J424" i="15"/>
  <c r="J425" i="15"/>
  <c r="J427" i="15"/>
  <c r="K427" i="16" s="1"/>
  <c r="J428" i="15"/>
  <c r="K428" i="16" s="1"/>
  <c r="J429" i="15"/>
  <c r="J430" i="15"/>
  <c r="J431" i="15"/>
  <c r="J432" i="15"/>
  <c r="K432" i="16" s="1"/>
  <c r="J433" i="15"/>
  <c r="K433" i="16" s="1"/>
  <c r="J435" i="15"/>
  <c r="J436" i="15"/>
  <c r="J437" i="15"/>
  <c r="K437" i="16" s="1"/>
  <c r="J438" i="15"/>
  <c r="J439" i="15"/>
  <c r="J441" i="15"/>
  <c r="J443" i="15"/>
  <c r="J444" i="15"/>
  <c r="J445" i="15"/>
  <c r="J446" i="15"/>
  <c r="J447" i="15"/>
  <c r="K447" i="16" s="1"/>
  <c r="J448" i="15"/>
  <c r="J449" i="15"/>
  <c r="J451" i="15"/>
  <c r="J452" i="15"/>
  <c r="K452" i="16" s="1"/>
  <c r="J453" i="15"/>
  <c r="K453" i="16" s="1"/>
  <c r="J454" i="15"/>
  <c r="K454" i="16" s="1"/>
  <c r="J455" i="15"/>
  <c r="K455" i="16" s="1"/>
  <c r="J456" i="15"/>
  <c r="K456" i="16" s="1"/>
  <c r="J457" i="15"/>
  <c r="K457" i="16" s="1"/>
  <c r="J459" i="15"/>
  <c r="K459" i="16" s="1"/>
  <c r="J460" i="15"/>
  <c r="K460" i="16" s="1"/>
  <c r="J461" i="15"/>
  <c r="K461" i="16" s="1"/>
  <c r="J462" i="15"/>
  <c r="K462" i="16" s="1"/>
  <c r="J463" i="15"/>
  <c r="K463" i="16" s="1"/>
  <c r="J464" i="15"/>
  <c r="K464" i="16" s="1"/>
  <c r="J465" i="15"/>
  <c r="K465" i="16" s="1"/>
  <c r="J467" i="15"/>
  <c r="K467" i="16" s="1"/>
  <c r="J468" i="15"/>
  <c r="K468" i="16" s="1"/>
  <c r="J469" i="15"/>
  <c r="K469" i="16" s="1"/>
  <c r="J470" i="15"/>
  <c r="J471" i="15"/>
  <c r="K471" i="16" s="1"/>
  <c r="J472" i="15"/>
  <c r="K472" i="16" s="1"/>
  <c r="J473" i="15"/>
  <c r="K473" i="16" s="1"/>
  <c r="J475" i="15"/>
  <c r="K475" i="16" s="1"/>
  <c r="J476" i="15"/>
  <c r="K476" i="16" s="1"/>
  <c r="J477" i="15"/>
  <c r="K477" i="16" s="1"/>
  <c r="J478" i="15"/>
  <c r="K478" i="16" s="1"/>
  <c r="J479" i="15"/>
  <c r="K479" i="16" s="1"/>
  <c r="J480" i="15"/>
  <c r="K480" i="16" s="1"/>
  <c r="J481" i="15"/>
  <c r="K481" i="16" s="1"/>
  <c r="J483" i="15"/>
  <c r="K483" i="16" s="1"/>
  <c r="J484" i="15"/>
  <c r="K484" i="16" s="1"/>
  <c r="J485" i="15"/>
  <c r="K485" i="16" s="1"/>
  <c r="J486" i="15"/>
  <c r="K486" i="16" s="1"/>
  <c r="J487" i="15"/>
  <c r="K487" i="16" s="1"/>
  <c r="J488" i="15"/>
  <c r="K488" i="16" s="1"/>
  <c r="J489" i="15"/>
  <c r="K489" i="16" s="1"/>
  <c r="J491" i="15"/>
  <c r="K491" i="16" s="1"/>
  <c r="J492" i="15"/>
  <c r="K492" i="16" s="1"/>
  <c r="J493" i="15"/>
  <c r="K493" i="16" s="1"/>
  <c r="J494" i="15"/>
  <c r="K494" i="16" s="1"/>
  <c r="J495" i="15"/>
  <c r="K495" i="16" s="1"/>
  <c r="J496" i="15"/>
  <c r="K496" i="16" s="1"/>
  <c r="J497" i="15"/>
  <c r="K497" i="16" s="1"/>
  <c r="J499" i="15"/>
  <c r="J500" i="15"/>
  <c r="J501" i="15"/>
  <c r="J502" i="15"/>
  <c r="K502" i="16" s="1"/>
  <c r="J503" i="15"/>
  <c r="J504" i="15"/>
  <c r="J505" i="15"/>
  <c r="J507" i="15"/>
  <c r="K507" i="16" s="1"/>
  <c r="J508" i="15"/>
  <c r="J509" i="15"/>
  <c r="J510" i="15"/>
  <c r="J511" i="15"/>
  <c r="J512" i="15"/>
  <c r="K512" i="16" s="1"/>
  <c r="J513" i="15"/>
  <c r="K513" i="16" s="1"/>
  <c r="J515" i="15"/>
  <c r="J516" i="15"/>
  <c r="J517" i="15"/>
  <c r="K517" i="16" s="1"/>
  <c r="J518" i="15"/>
  <c r="K518" i="16" s="1"/>
  <c r="J519" i="15"/>
  <c r="J520" i="15"/>
  <c r="J521" i="15"/>
  <c r="J523" i="15"/>
  <c r="K523" i="16" s="1"/>
  <c r="J524" i="15"/>
  <c r="J525" i="15"/>
  <c r="J526" i="15"/>
  <c r="J527" i="15"/>
  <c r="K527" i="16" s="1"/>
  <c r="J528" i="15"/>
  <c r="K528" i="16" s="1"/>
  <c r="J529" i="15"/>
  <c r="J531" i="15"/>
  <c r="J532" i="15"/>
  <c r="K532" i="16" s="1"/>
  <c r="J533" i="15"/>
  <c r="J534" i="15"/>
  <c r="J535" i="15"/>
  <c r="J536" i="15"/>
  <c r="J537" i="15"/>
  <c r="K537" i="16" s="1"/>
  <c r="J539" i="15"/>
  <c r="J540" i="15"/>
  <c r="J541" i="15"/>
  <c r="J542" i="15"/>
  <c r="K542" i="16" s="1"/>
  <c r="J543" i="15"/>
  <c r="K543" i="16" s="1"/>
  <c r="J544" i="15"/>
  <c r="K544" i="16" s="1"/>
  <c r="J545" i="15"/>
  <c r="K545" i="16" s="1"/>
  <c r="J547" i="15"/>
  <c r="K547" i="16" s="1"/>
  <c r="J548" i="15"/>
  <c r="K548" i="16" s="1"/>
  <c r="J549" i="15"/>
  <c r="K549" i="16" s="1"/>
  <c r="J550" i="15"/>
  <c r="J551" i="15"/>
  <c r="K551" i="16" s="1"/>
  <c r="J552" i="15"/>
  <c r="K552" i="16" s="1"/>
  <c r="J553" i="15"/>
  <c r="K553" i="16" s="1"/>
  <c r="J555" i="15"/>
  <c r="K555" i="16" s="1"/>
  <c r="J556" i="15"/>
  <c r="K556" i="16" s="1"/>
  <c r="J557" i="15"/>
  <c r="K557" i="16" s="1"/>
  <c r="J558" i="15"/>
  <c r="K558" i="16" s="1"/>
  <c r="J559" i="15"/>
  <c r="K559" i="16" s="1"/>
  <c r="J560" i="15"/>
  <c r="K560" i="16" s="1"/>
  <c r="J561" i="15"/>
  <c r="K561" i="16" s="1"/>
  <c r="J563" i="15"/>
  <c r="K563" i="16" s="1"/>
  <c r="J564" i="15"/>
  <c r="K564" i="16" s="1"/>
  <c r="J565" i="15"/>
  <c r="K565" i="16" s="1"/>
  <c r="J566" i="15"/>
  <c r="K566" i="16" s="1"/>
  <c r="J567" i="15"/>
  <c r="K567" i="16" s="1"/>
  <c r="J568" i="15"/>
  <c r="K568" i="16" s="1"/>
  <c r="J569" i="15"/>
  <c r="K569" i="16" s="1"/>
  <c r="J571" i="15"/>
  <c r="K571" i="16" s="1"/>
  <c r="J572" i="15"/>
  <c r="K572" i="16" s="1"/>
  <c r="J573" i="15"/>
  <c r="K573" i="16" s="1"/>
  <c r="J574" i="15"/>
  <c r="K574" i="16" s="1"/>
  <c r="J575" i="15"/>
  <c r="K575" i="16" s="1"/>
  <c r="J576" i="15"/>
  <c r="K576" i="16" s="1"/>
  <c r="J577" i="15"/>
  <c r="K577" i="16" s="1"/>
  <c r="J579" i="15"/>
  <c r="K579" i="16" s="1"/>
  <c r="J580" i="15"/>
  <c r="K580" i="16" s="1"/>
  <c r="J581" i="15"/>
  <c r="K581" i="16" s="1"/>
  <c r="J582" i="15"/>
  <c r="K582" i="16" s="1"/>
  <c r="J583" i="15"/>
  <c r="K583" i="16" s="1"/>
  <c r="J584" i="15"/>
  <c r="K584" i="16" s="1"/>
  <c r="J585" i="15"/>
  <c r="K585" i="16" s="1"/>
  <c r="J587" i="15"/>
  <c r="K587" i="16" s="1"/>
  <c r="J588" i="15"/>
  <c r="K588" i="16" s="1"/>
  <c r="J589" i="15"/>
  <c r="J590" i="15"/>
  <c r="J591" i="15"/>
  <c r="J592" i="15"/>
  <c r="J593" i="15"/>
  <c r="J595" i="15"/>
  <c r="J596" i="15"/>
  <c r="J597" i="15"/>
  <c r="K597" i="16" s="1"/>
  <c r="J598" i="15"/>
  <c r="K598" i="16" s="1"/>
  <c r="J599" i="15"/>
  <c r="J600" i="15"/>
  <c r="J601" i="15"/>
  <c r="J603" i="15"/>
  <c r="K603" i="16" s="1"/>
  <c r="J604" i="15"/>
  <c r="J605" i="15"/>
  <c r="J606" i="15"/>
  <c r="J607" i="15"/>
  <c r="K607" i="16" s="1"/>
  <c r="J608" i="15"/>
  <c r="K608" i="16" s="1"/>
  <c r="J609" i="15"/>
  <c r="J611" i="15"/>
  <c r="J612" i="15"/>
  <c r="K612" i="16" s="1"/>
  <c r="J613" i="15"/>
  <c r="K613" i="16" s="1"/>
  <c r="J614" i="15"/>
  <c r="J615" i="15"/>
  <c r="J616" i="15"/>
  <c r="J617" i="15"/>
  <c r="K617" i="16" s="1"/>
  <c r="J619" i="15"/>
  <c r="J620" i="15"/>
  <c r="J621" i="15"/>
  <c r="J622" i="15"/>
  <c r="K622" i="16" s="1"/>
  <c r="J623" i="15"/>
  <c r="J624" i="15"/>
  <c r="J625" i="15"/>
  <c r="J627" i="15"/>
  <c r="K627" i="16" s="1"/>
  <c r="J628" i="15"/>
  <c r="K628" i="16" s="1"/>
  <c r="J629" i="15"/>
  <c r="J630" i="15"/>
  <c r="J631" i="15"/>
  <c r="J632" i="15"/>
  <c r="K632" i="16" s="1"/>
  <c r="J633" i="15"/>
  <c r="K633" i="16" s="1"/>
  <c r="J635" i="15"/>
  <c r="K635" i="16" s="1"/>
  <c r="J636" i="15"/>
  <c r="K636" i="16" s="1"/>
  <c r="J637" i="15"/>
  <c r="K637" i="16" s="1"/>
  <c r="J638" i="15"/>
  <c r="K638" i="16" s="1"/>
  <c r="J639" i="15"/>
  <c r="K639" i="16" s="1"/>
  <c r="J640" i="15"/>
  <c r="K640" i="16" s="1"/>
  <c r="J641" i="15"/>
  <c r="K641" i="16" s="1"/>
  <c r="J643" i="15"/>
  <c r="K643" i="16" s="1"/>
  <c r="J644" i="15"/>
  <c r="K644" i="16" s="1"/>
  <c r="J645" i="15"/>
  <c r="K645" i="16" s="1"/>
  <c r="J646" i="15"/>
  <c r="K646" i="16" s="1"/>
  <c r="J647" i="15"/>
  <c r="K647" i="16" s="1"/>
  <c r="J648" i="15"/>
  <c r="K648" i="16" s="1"/>
  <c r="J649" i="15"/>
  <c r="K649" i="16" s="1"/>
  <c r="J651" i="15"/>
  <c r="K651" i="16" s="1"/>
  <c r="J652" i="15"/>
  <c r="K652" i="16" s="1"/>
  <c r="J653" i="15"/>
  <c r="K653" i="16" s="1"/>
  <c r="J654" i="15"/>
  <c r="K654" i="16" s="1"/>
  <c r="J655" i="15"/>
  <c r="K655" i="16" s="1"/>
  <c r="J656" i="15"/>
  <c r="K656" i="16" s="1"/>
  <c r="J657" i="15"/>
  <c r="K657" i="16" s="1"/>
  <c r="J659" i="15"/>
  <c r="K659" i="16" s="1"/>
  <c r="J660" i="15"/>
  <c r="K660" i="16" s="1"/>
  <c r="J661" i="15"/>
  <c r="K661" i="16" s="1"/>
  <c r="J662" i="15"/>
  <c r="K662" i="16" s="1"/>
  <c r="J663" i="15"/>
  <c r="K663" i="16" s="1"/>
  <c r="J664" i="15"/>
  <c r="K664" i="16" s="1"/>
  <c r="J665" i="15"/>
  <c r="K665" i="16" s="1"/>
  <c r="J667" i="15"/>
  <c r="K667" i="16" s="1"/>
  <c r="J668" i="15"/>
  <c r="K668" i="16" s="1"/>
  <c r="J669" i="15"/>
  <c r="K669" i="16" s="1"/>
  <c r="J670" i="15"/>
  <c r="K670" i="16" s="1"/>
  <c r="J671" i="15"/>
  <c r="K671" i="16" s="1"/>
  <c r="J672" i="15"/>
  <c r="K672" i="16" s="1"/>
  <c r="J673" i="15"/>
  <c r="K673" i="16" s="1"/>
  <c r="J675" i="15"/>
  <c r="K675" i="16" s="1"/>
  <c r="J676" i="15"/>
  <c r="K676" i="16" s="1"/>
  <c r="J677" i="15"/>
  <c r="K677" i="16" s="1"/>
  <c r="J678" i="15"/>
  <c r="K678" i="16" s="1"/>
  <c r="J679" i="15"/>
  <c r="J680" i="15"/>
  <c r="J681" i="15"/>
  <c r="J683" i="15"/>
  <c r="J684" i="15"/>
  <c r="J685" i="15"/>
  <c r="J686" i="15"/>
  <c r="J687" i="15"/>
  <c r="K687" i="16" s="1"/>
  <c r="J688" i="15"/>
  <c r="J689" i="15"/>
  <c r="J691" i="15"/>
  <c r="J692" i="15"/>
  <c r="K692" i="16" s="1"/>
  <c r="J693" i="15"/>
  <c r="K693" i="16" s="1"/>
  <c r="J694" i="15"/>
  <c r="J695" i="15"/>
  <c r="J696" i="15"/>
  <c r="J697" i="15"/>
  <c r="K697" i="16" s="1"/>
  <c r="J699" i="15"/>
  <c r="J700" i="15"/>
  <c r="J701" i="15"/>
  <c r="J702" i="15"/>
  <c r="K702" i="16" s="1"/>
  <c r="J703" i="15"/>
  <c r="K703" i="16" s="1"/>
  <c r="J704" i="15"/>
  <c r="J705" i="15"/>
  <c r="J707" i="15"/>
  <c r="K707" i="16" s="1"/>
  <c r="J708" i="15"/>
  <c r="K708" i="16" s="1"/>
  <c r="J709" i="15"/>
  <c r="J710" i="15"/>
  <c r="J711" i="15"/>
  <c r="J712" i="15"/>
  <c r="J713" i="15"/>
  <c r="J715" i="15"/>
  <c r="J716" i="15"/>
  <c r="J717" i="15"/>
  <c r="K717" i="16" s="1"/>
  <c r="J718" i="15"/>
  <c r="K718" i="16" s="1"/>
  <c r="J719" i="15"/>
  <c r="J720" i="15"/>
  <c r="J721" i="15"/>
  <c r="J723" i="15"/>
  <c r="K723" i="16" s="1"/>
  <c r="J724" i="15"/>
  <c r="K724" i="16" s="1"/>
  <c r="J725" i="15"/>
  <c r="K725" i="16" s="1"/>
  <c r="J726" i="15"/>
  <c r="K726" i="16" s="1"/>
  <c r="J727" i="15"/>
  <c r="K727" i="16" s="1"/>
  <c r="J728" i="15"/>
  <c r="K728" i="16" s="1"/>
  <c r="J729" i="15"/>
  <c r="K729" i="16" s="1"/>
  <c r="J731" i="15"/>
  <c r="K731" i="16" s="1"/>
  <c r="J732" i="15"/>
  <c r="K732" i="16" s="1"/>
  <c r="J733" i="15"/>
  <c r="K733" i="16" s="1"/>
  <c r="J734" i="15"/>
  <c r="J735" i="15"/>
  <c r="K735" i="16" s="1"/>
  <c r="J736" i="15"/>
  <c r="K736" i="16" s="1"/>
  <c r="J737" i="15"/>
  <c r="K737" i="16" s="1"/>
  <c r="J739" i="15"/>
  <c r="K739" i="16" s="1"/>
  <c r="J740" i="15"/>
  <c r="K740" i="16" s="1"/>
  <c r="J741" i="15"/>
  <c r="K741" i="16" s="1"/>
  <c r="J742" i="15"/>
  <c r="K742" i="16" s="1"/>
  <c r="J743" i="15"/>
  <c r="K743" i="16" s="1"/>
  <c r="J744" i="15"/>
  <c r="K744" i="16" s="1"/>
  <c r="J745" i="15"/>
  <c r="K745" i="16" s="1"/>
  <c r="J747" i="15"/>
  <c r="K747" i="16" s="1"/>
  <c r="J748" i="15"/>
  <c r="K748" i="16" s="1"/>
  <c r="J749" i="15"/>
  <c r="K749" i="16" s="1"/>
  <c r="J750" i="15"/>
  <c r="K750" i="16" s="1"/>
  <c r="J751" i="15"/>
  <c r="K751" i="16" s="1"/>
  <c r="J752" i="15"/>
  <c r="K752" i="16" s="1"/>
  <c r="J753" i="15"/>
  <c r="K753" i="16" s="1"/>
  <c r="J755" i="15"/>
  <c r="K755" i="16" s="1"/>
  <c r="J756" i="15"/>
  <c r="K756" i="16" s="1"/>
  <c r="J757" i="15"/>
  <c r="K757" i="16" s="1"/>
  <c r="J758" i="15"/>
  <c r="K758" i="16" s="1"/>
  <c r="J759" i="15"/>
  <c r="K759" i="16" s="1"/>
  <c r="J760" i="15"/>
  <c r="K760" i="16" s="1"/>
  <c r="J761" i="15"/>
  <c r="K761" i="16" s="1"/>
  <c r="J763" i="15"/>
  <c r="K763" i="16" s="1"/>
  <c r="J764" i="15"/>
  <c r="K764" i="16" s="1"/>
  <c r="J765" i="15"/>
  <c r="K765" i="16" s="1"/>
  <c r="J766" i="15"/>
  <c r="K766" i="16" s="1"/>
  <c r="J767" i="15"/>
  <c r="K767" i="16" s="1"/>
  <c r="J768" i="15"/>
  <c r="K768" i="16" s="1"/>
  <c r="J769" i="15"/>
  <c r="K769" i="16" s="1"/>
  <c r="J771" i="15"/>
  <c r="J772" i="15"/>
  <c r="K772" i="16" s="1"/>
  <c r="J773" i="15"/>
  <c r="J774" i="15"/>
  <c r="J775" i="15"/>
  <c r="J776" i="15"/>
  <c r="J777" i="15"/>
  <c r="K777" i="16" s="1"/>
  <c r="J779" i="15"/>
  <c r="K779" i="16" s="1"/>
  <c r="J780" i="15"/>
  <c r="K780" i="16" s="1"/>
  <c r="J781" i="15"/>
  <c r="J782" i="15"/>
  <c r="K782" i="16" s="1"/>
  <c r="J783" i="15"/>
  <c r="K783" i="16" s="1"/>
  <c r="J784" i="15"/>
  <c r="J785" i="15"/>
  <c r="J787" i="15"/>
  <c r="K787" i="16" s="1"/>
  <c r="J788" i="15"/>
  <c r="K788" i="16" s="1"/>
  <c r="J789" i="15"/>
  <c r="J790" i="15"/>
  <c r="J791" i="15"/>
  <c r="J792" i="15"/>
  <c r="K792" i="16" s="1"/>
  <c r="J793" i="15"/>
  <c r="K793" i="16" s="1"/>
  <c r="J795" i="15"/>
  <c r="J796" i="15"/>
  <c r="J797" i="15"/>
  <c r="K797" i="16" s="1"/>
  <c r="J798" i="15"/>
  <c r="K798" i="16" s="1"/>
  <c r="J799" i="15"/>
  <c r="J800" i="15"/>
  <c r="J801" i="15"/>
  <c r="J803" i="15"/>
  <c r="J804" i="15"/>
  <c r="J805" i="15"/>
  <c r="J806" i="15"/>
  <c r="J807" i="15"/>
  <c r="K807" i="16" s="1"/>
  <c r="J808" i="15"/>
  <c r="K808" i="16" s="1"/>
  <c r="J809" i="15"/>
  <c r="J811" i="15"/>
  <c r="J812" i="15"/>
  <c r="K812" i="16" s="1"/>
  <c r="J813" i="15"/>
  <c r="K813" i="16" s="1"/>
  <c r="J814" i="15"/>
  <c r="K814" i="16" s="1"/>
  <c r="J815" i="15"/>
  <c r="K815" i="16" s="1"/>
  <c r="J816" i="15"/>
  <c r="K816" i="16" s="1"/>
  <c r="J817" i="15"/>
  <c r="K817" i="16" s="1"/>
  <c r="J819" i="15"/>
  <c r="K819" i="16" s="1"/>
  <c r="J820" i="15"/>
  <c r="K820" i="16" s="1"/>
  <c r="J821" i="15"/>
  <c r="K821" i="16" s="1"/>
  <c r="J822" i="15"/>
  <c r="K822" i="16" s="1"/>
  <c r="J823" i="15"/>
  <c r="K823" i="16" s="1"/>
  <c r="J824" i="15"/>
  <c r="K824" i="16" s="1"/>
  <c r="J825" i="15"/>
  <c r="K825" i="16" s="1"/>
  <c r="J827" i="15"/>
  <c r="K827" i="16" s="1"/>
  <c r="J828" i="15"/>
  <c r="K828" i="16" s="1"/>
  <c r="J829" i="15"/>
  <c r="K829" i="16" s="1"/>
  <c r="J830" i="15"/>
  <c r="K830" i="16" s="1"/>
  <c r="J831" i="15"/>
  <c r="K831" i="16" s="1"/>
  <c r="J832" i="15"/>
  <c r="K832" i="16" s="1"/>
  <c r="J833" i="15"/>
  <c r="K833" i="16" s="1"/>
  <c r="J835" i="15"/>
  <c r="K835" i="16" s="1"/>
  <c r="J836" i="15"/>
  <c r="K836" i="16" s="1"/>
  <c r="J837" i="15"/>
  <c r="K837" i="16" s="1"/>
  <c r="J838" i="15"/>
  <c r="K838" i="16" s="1"/>
  <c r="J839" i="15"/>
  <c r="K839" i="16" s="1"/>
  <c r="J840" i="15"/>
  <c r="J841" i="15"/>
  <c r="J843" i="15"/>
  <c r="K843" i="16" s="1"/>
  <c r="J844" i="15"/>
  <c r="K844" i="16" s="1"/>
  <c r="J845" i="15"/>
  <c r="K845" i="16" s="1"/>
  <c r="J846" i="15"/>
  <c r="K846" i="16" s="1"/>
  <c r="J847" i="15"/>
  <c r="K847" i="16" s="1"/>
  <c r="J848" i="15"/>
  <c r="K848" i="16" s="1"/>
  <c r="J849" i="15"/>
  <c r="K849" i="16" s="1"/>
  <c r="J851" i="15"/>
  <c r="K851" i="16" s="1"/>
  <c r="J852" i="15"/>
  <c r="K852" i="16" s="1"/>
  <c r="J853" i="15"/>
  <c r="K853" i="16" s="1"/>
  <c r="J854" i="15"/>
  <c r="K854" i="16" s="1"/>
  <c r="J855" i="15"/>
  <c r="K855" i="16" s="1"/>
  <c r="J856" i="15"/>
  <c r="K856" i="16" s="1"/>
  <c r="J857" i="15"/>
  <c r="K857" i="16" s="1"/>
  <c r="J859" i="15"/>
  <c r="K859" i="16" s="1"/>
  <c r="J860" i="15"/>
  <c r="K860" i="16" s="1"/>
  <c r="J861" i="15"/>
  <c r="J862" i="15"/>
  <c r="K862" i="16" s="1"/>
  <c r="J863" i="15"/>
  <c r="J864" i="15"/>
  <c r="J865" i="15"/>
  <c r="J867" i="15"/>
  <c r="K867" i="16" s="1"/>
  <c r="J868" i="15"/>
  <c r="K868" i="16" s="1"/>
  <c r="J869" i="15"/>
  <c r="K869" i="16" s="1"/>
  <c r="J870" i="15"/>
  <c r="K870" i="16" s="1"/>
  <c r="J871" i="15"/>
  <c r="J872" i="15"/>
  <c r="K872" i="16" s="1"/>
  <c r="J873" i="15"/>
  <c r="K873" i="16" s="1"/>
  <c r="J875" i="15"/>
  <c r="J876" i="15"/>
  <c r="J877" i="15"/>
  <c r="K877" i="16" s="1"/>
  <c r="J878" i="15"/>
  <c r="K878" i="16" s="1"/>
  <c r="J879" i="15"/>
  <c r="J880" i="15"/>
  <c r="J881" i="15"/>
  <c r="J883" i="15"/>
  <c r="K883" i="16" s="1"/>
  <c r="J884" i="15"/>
  <c r="J885" i="15"/>
  <c r="J886" i="15"/>
  <c r="J887" i="15"/>
  <c r="K887" i="16" s="1"/>
  <c r="J888" i="15"/>
  <c r="K888" i="16" s="1"/>
  <c r="J889" i="15"/>
  <c r="J891" i="15"/>
  <c r="J892" i="15"/>
  <c r="K892" i="16" s="1"/>
  <c r="J893" i="15"/>
  <c r="J894" i="15"/>
  <c r="J895" i="15"/>
  <c r="J896" i="15"/>
  <c r="J897" i="15"/>
  <c r="K897" i="16" s="1"/>
  <c r="J899" i="15"/>
  <c r="J900" i="15"/>
  <c r="J901" i="15"/>
  <c r="J902" i="15"/>
  <c r="K902" i="16" s="1"/>
  <c r="J903" i="15"/>
  <c r="K903" i="16" s="1"/>
  <c r="J904" i="15"/>
  <c r="K904" i="16" s="1"/>
  <c r="J905" i="15"/>
  <c r="K905" i="16" s="1"/>
  <c r="J907" i="15"/>
  <c r="K907" i="16" s="1"/>
  <c r="J908" i="15"/>
  <c r="K908" i="16" s="1"/>
  <c r="J909" i="15"/>
  <c r="K909" i="16" s="1"/>
  <c r="J910" i="15"/>
  <c r="J911" i="15"/>
  <c r="K911" i="16" s="1"/>
  <c r="J912" i="15"/>
  <c r="K912" i="16" s="1"/>
  <c r="J913" i="15"/>
  <c r="K913" i="16" s="1"/>
  <c r="J915" i="15"/>
  <c r="K915" i="16" s="1"/>
  <c r="J916" i="15"/>
  <c r="K916" i="16" s="1"/>
  <c r="J917" i="15"/>
  <c r="K917" i="16" s="1"/>
  <c r="J918" i="15"/>
  <c r="K918" i="16" s="1"/>
  <c r="J919" i="15"/>
  <c r="K919" i="16" s="1"/>
  <c r="J920" i="15"/>
  <c r="K920" i="16" s="1"/>
  <c r="J921" i="15"/>
  <c r="K921" i="16" s="1"/>
  <c r="J923" i="15"/>
  <c r="K923" i="16" s="1"/>
  <c r="J924" i="15"/>
  <c r="K924" i="16" s="1"/>
  <c r="J925" i="15"/>
  <c r="K925" i="16" s="1"/>
  <c r="J926" i="15"/>
  <c r="K926" i="16" s="1"/>
  <c r="J927" i="15"/>
  <c r="K927" i="16" s="1"/>
  <c r="J928" i="15"/>
  <c r="K928" i="16" s="1"/>
  <c r="J929" i="15"/>
  <c r="K929" i="16" s="1"/>
  <c r="J931" i="15"/>
  <c r="K931" i="16" s="1"/>
  <c r="J932" i="15"/>
  <c r="K932" i="16" s="1"/>
  <c r="J933" i="15"/>
  <c r="K933" i="16" s="1"/>
  <c r="J934" i="15"/>
  <c r="J935" i="15"/>
  <c r="K935" i="16" s="1"/>
  <c r="J936" i="15"/>
  <c r="K936" i="16" s="1"/>
  <c r="J937" i="15"/>
  <c r="K937" i="16" s="1"/>
  <c r="J939" i="15"/>
  <c r="K939" i="16" s="1"/>
  <c r="J940" i="15"/>
  <c r="K940" i="16" s="1"/>
  <c r="J941" i="15"/>
  <c r="K941" i="16" s="1"/>
  <c r="J942" i="15"/>
  <c r="K942" i="16" s="1"/>
  <c r="J943" i="15"/>
  <c r="K943" i="16" s="1"/>
  <c r="J944" i="15"/>
  <c r="K944" i="16" s="1"/>
  <c r="J945" i="15"/>
  <c r="K945" i="16" s="1"/>
  <c r="J947" i="15"/>
  <c r="K947" i="16" s="1"/>
  <c r="J948" i="15"/>
  <c r="K948" i="16" s="1"/>
  <c r="J949" i="15"/>
  <c r="K949" i="16" s="1"/>
  <c r="J950" i="15"/>
  <c r="K950" i="16" s="1"/>
  <c r="J951" i="15"/>
  <c r="J952" i="15"/>
  <c r="K952" i="16" s="1"/>
  <c r="J953" i="15"/>
  <c r="J955" i="15"/>
  <c r="J956" i="15"/>
  <c r="J957" i="15"/>
  <c r="K957" i="16" s="1"/>
  <c r="J958" i="15"/>
  <c r="J959" i="15"/>
  <c r="K959" i="16" s="1"/>
  <c r="J960" i="15"/>
  <c r="K960" i="16" s="1"/>
  <c r="J961" i="15"/>
  <c r="J963" i="15"/>
  <c r="K963" i="16" s="1"/>
  <c r="J964" i="15"/>
  <c r="J965" i="15"/>
  <c r="J966" i="15"/>
  <c r="J967" i="15"/>
  <c r="K967" i="16" s="1"/>
  <c r="J968" i="15"/>
  <c r="K968" i="16" s="1"/>
  <c r="J969" i="15"/>
  <c r="J971" i="15"/>
  <c r="J972" i="15"/>
  <c r="K972" i="16" s="1"/>
  <c r="J973" i="15"/>
  <c r="K973" i="16" s="1"/>
  <c r="J974" i="15"/>
  <c r="J975" i="15"/>
  <c r="J976" i="15"/>
  <c r="J977" i="15"/>
  <c r="K977" i="16" s="1"/>
  <c r="J979" i="15"/>
  <c r="J980" i="15"/>
  <c r="J981" i="15"/>
  <c r="J982" i="15"/>
  <c r="K982" i="16" s="1"/>
  <c r="J983" i="15"/>
  <c r="J984" i="15"/>
  <c r="J985" i="15"/>
  <c r="J987" i="15"/>
  <c r="K987" i="16" s="1"/>
  <c r="J988" i="15"/>
  <c r="K988" i="16" s="1"/>
  <c r="J989" i="15"/>
  <c r="J990" i="15"/>
  <c r="M990" i="15" s="1"/>
  <c r="J991" i="15"/>
  <c r="J992" i="15"/>
  <c r="K992" i="16" s="1"/>
  <c r="J993" i="15"/>
  <c r="K993" i="16" s="1"/>
  <c r="J995" i="15"/>
  <c r="K995" i="16" s="1"/>
  <c r="J996" i="15"/>
  <c r="K996" i="16" s="1"/>
  <c r="J997" i="15"/>
  <c r="K997" i="16" s="1"/>
  <c r="J998" i="15"/>
  <c r="K998" i="16" s="1"/>
  <c r="J999" i="15"/>
  <c r="K999" i="16" s="1"/>
  <c r="J1000" i="15"/>
  <c r="K1000" i="16" s="1"/>
  <c r="J1001" i="15"/>
  <c r="K1001" i="16" s="1"/>
  <c r="J1003" i="15"/>
  <c r="J1004" i="15"/>
  <c r="K1004" i="16" s="1"/>
  <c r="J1005" i="15"/>
  <c r="K1005" i="16" s="1"/>
  <c r="J1006" i="15"/>
  <c r="J1007" i="15"/>
  <c r="K1007" i="16" s="1"/>
  <c r="J1008" i="15"/>
  <c r="K1008" i="16" s="1"/>
  <c r="J1009" i="15"/>
  <c r="K1009" i="16" s="1"/>
  <c r="J1011" i="15"/>
  <c r="K1011" i="16" s="1"/>
  <c r="J1012" i="15"/>
  <c r="K1012" i="16" s="1"/>
  <c r="J1013" i="15"/>
  <c r="K1013" i="16" s="1"/>
  <c r="J1014" i="15"/>
  <c r="K1014" i="16" s="1"/>
  <c r="J1015" i="15"/>
  <c r="K1015" i="16" s="1"/>
  <c r="J1016" i="15"/>
  <c r="J1017" i="15"/>
  <c r="K1017" i="16" s="1"/>
  <c r="J1019" i="15"/>
  <c r="K1019" i="16" s="1"/>
  <c r="J1020" i="15"/>
  <c r="J1021" i="15"/>
  <c r="K1021" i="16" s="1"/>
  <c r="J1022" i="15"/>
  <c r="K1022" i="16" s="1"/>
  <c r="J1023" i="15"/>
  <c r="K1023" i="16" s="1"/>
  <c r="J1024" i="15"/>
  <c r="K1024" i="16" s="1"/>
  <c r="J1025" i="15"/>
  <c r="K1025" i="16" s="1"/>
  <c r="J1027" i="15"/>
  <c r="K1027" i="16" s="1"/>
  <c r="J1028" i="15"/>
  <c r="K1028" i="16" s="1"/>
  <c r="J1029" i="15"/>
  <c r="K1029" i="16" s="1"/>
  <c r="J1030" i="15"/>
  <c r="K1030" i="16" s="1"/>
  <c r="J1031" i="15"/>
  <c r="K1031" i="16" s="1"/>
  <c r="J1032" i="15"/>
  <c r="K1032" i="16" s="1"/>
  <c r="J1033" i="15"/>
  <c r="K1033" i="16" s="1"/>
  <c r="J1035" i="15"/>
  <c r="J1036" i="15"/>
  <c r="K1036" i="16" s="1"/>
  <c r="J1037" i="15"/>
  <c r="K1037" i="16" s="1"/>
  <c r="J1038" i="15"/>
  <c r="K1038" i="16" s="1"/>
  <c r="J1039" i="15"/>
  <c r="K1039" i="16" s="1"/>
  <c r="J1040" i="15"/>
  <c r="J1041" i="15"/>
  <c r="M1041" i="15" s="1"/>
  <c r="J1043" i="15"/>
  <c r="K1043" i="16" s="1"/>
  <c r="J1044" i="15"/>
  <c r="J1045" i="15"/>
  <c r="J1046" i="15"/>
  <c r="J1047" i="15"/>
  <c r="K1047" i="16" s="1"/>
  <c r="J1048" i="15"/>
  <c r="K1048" i="16" s="1"/>
  <c r="J1049" i="15"/>
  <c r="K1049" i="16" s="1"/>
  <c r="J1051" i="15"/>
  <c r="M1051" i="15" s="1"/>
  <c r="J1052" i="15"/>
  <c r="K1052" i="16" s="1"/>
  <c r="J1053" i="15"/>
  <c r="K1053" i="16" s="1"/>
  <c r="J1054" i="15"/>
  <c r="J1055" i="15"/>
  <c r="J1056" i="15"/>
  <c r="J1057" i="15"/>
  <c r="K1057" i="16" s="1"/>
  <c r="J1059" i="15"/>
  <c r="J1060" i="15"/>
  <c r="J1061" i="15"/>
  <c r="J1062" i="15"/>
  <c r="K1062" i="16" s="1"/>
  <c r="J1063" i="15"/>
  <c r="K1063" i="16" s="1"/>
  <c r="J1064" i="15"/>
  <c r="J1065" i="15"/>
  <c r="J1067" i="15"/>
  <c r="K1067" i="16" s="1"/>
  <c r="J1068" i="15"/>
  <c r="K1068" i="16" s="1"/>
  <c r="J1069" i="15"/>
  <c r="J1070" i="15"/>
  <c r="J1071" i="15"/>
  <c r="J1072" i="15"/>
  <c r="K1072" i="16" s="1"/>
  <c r="J1073" i="15"/>
  <c r="J1075" i="15"/>
  <c r="J1076" i="15"/>
  <c r="J1077" i="15"/>
  <c r="K1077" i="16" s="1"/>
  <c r="J1078" i="15"/>
  <c r="K1078" i="16" s="1"/>
  <c r="J1079" i="15"/>
  <c r="J1080" i="15"/>
  <c r="J1081" i="15"/>
  <c r="J1083" i="15"/>
  <c r="K1083" i="16" s="1"/>
  <c r="J1084" i="15"/>
  <c r="K1084" i="16" s="1"/>
  <c r="J1085" i="15"/>
  <c r="K1085" i="16" s="1"/>
  <c r="J1086" i="15"/>
  <c r="K1086" i="16" s="1"/>
  <c r="J1087" i="15"/>
  <c r="K1087" i="16" s="1"/>
  <c r="J1088" i="15"/>
  <c r="K1088" i="16" s="1"/>
  <c r="J1089" i="15"/>
  <c r="K1089" i="16" s="1"/>
  <c r="J1091" i="15"/>
  <c r="J1092" i="15"/>
  <c r="J1093" i="15"/>
  <c r="K1093" i="16" s="1"/>
  <c r="J1094" i="15"/>
  <c r="K1094" i="16" s="1"/>
  <c r="J1095" i="15"/>
  <c r="K1095" i="16" s="1"/>
  <c r="J1096" i="15"/>
  <c r="K1096" i="16" s="1"/>
  <c r="J1097" i="15"/>
  <c r="K1097" i="16" s="1"/>
  <c r="J1099" i="15"/>
  <c r="J1100" i="15"/>
  <c r="K1100" i="16" s="1"/>
  <c r="J1101" i="15"/>
  <c r="K1101" i="16" s="1"/>
  <c r="J1102" i="15"/>
  <c r="K1102" i="16" s="1"/>
  <c r="J1103" i="15"/>
  <c r="K1103" i="16" s="1"/>
  <c r="J1104" i="15"/>
  <c r="K1104" i="16" s="1"/>
  <c r="J1105" i="15"/>
  <c r="K1105" i="16" s="1"/>
  <c r="J1107" i="15"/>
  <c r="K1107" i="16" s="1"/>
  <c r="J1108" i="15"/>
  <c r="K1108" i="16" s="1"/>
  <c r="J1109" i="15"/>
  <c r="K1109" i="16" s="1"/>
  <c r="J1110" i="15"/>
  <c r="K1110" i="16" s="1"/>
  <c r="J1111" i="15"/>
  <c r="K1111" i="16" s="1"/>
  <c r="J1112" i="15"/>
  <c r="K1112" i="16" s="1"/>
  <c r="J1113" i="15"/>
  <c r="K1113" i="16" s="1"/>
  <c r="J1115" i="15"/>
  <c r="K1115" i="16" s="1"/>
  <c r="J1116" i="15"/>
  <c r="K1116" i="16" s="1"/>
  <c r="J1117" i="15"/>
  <c r="K1117" i="16" s="1"/>
  <c r="J1118" i="15"/>
  <c r="K1118" i="16" s="1"/>
  <c r="J1119" i="15"/>
  <c r="K1119" i="16" s="1"/>
  <c r="J1120" i="15"/>
  <c r="J1121" i="15"/>
  <c r="J1123" i="15"/>
  <c r="K1123" i="16" s="1"/>
  <c r="J1124" i="15"/>
  <c r="K1124" i="16" s="1"/>
  <c r="J1125" i="15"/>
  <c r="K1125" i="16" s="1"/>
  <c r="J1126" i="15"/>
  <c r="K1126" i="16" s="1"/>
  <c r="J1127" i="15"/>
  <c r="K1127" i="16" s="1"/>
  <c r="J1128" i="15"/>
  <c r="K1128" i="16" s="1"/>
  <c r="J1129" i="15"/>
  <c r="K1129" i="16" s="1"/>
  <c r="J1131" i="15"/>
  <c r="M1131" i="15" s="1"/>
  <c r="J1132" i="15"/>
  <c r="J1133" i="15"/>
  <c r="K1133" i="16" s="1"/>
  <c r="J1134" i="15"/>
  <c r="J1135" i="15"/>
  <c r="J1136" i="15"/>
  <c r="J1137" i="15"/>
  <c r="K1137" i="16" s="1"/>
  <c r="J1139" i="15"/>
  <c r="K1139" i="16" s="1"/>
  <c r="J1140" i="15"/>
  <c r="J1141" i="15"/>
  <c r="J1142" i="15"/>
  <c r="K1142" i="16" s="1"/>
  <c r="J1143" i="15"/>
  <c r="K1143" i="16" s="1"/>
  <c r="J1144" i="15"/>
  <c r="J1145" i="15"/>
  <c r="J1147" i="15"/>
  <c r="K1147" i="16" s="1"/>
  <c r="J1148" i="15"/>
  <c r="K1148" i="16" s="1"/>
  <c r="J1149" i="15"/>
  <c r="M1149" i="15" s="1"/>
  <c r="J1150" i="15"/>
  <c r="J1151" i="15"/>
  <c r="J1152" i="15"/>
  <c r="K1152" i="16" s="1"/>
  <c r="J1153" i="15"/>
  <c r="J1155" i="15"/>
  <c r="J1156" i="15"/>
  <c r="J1157" i="15"/>
  <c r="K1157" i="16" s="1"/>
  <c r="J1158" i="15"/>
  <c r="K1158" i="16" s="1"/>
  <c r="J1159" i="15"/>
  <c r="J1160" i="15"/>
  <c r="M1160" i="15" s="1"/>
  <c r="J1161" i="15"/>
  <c r="J1163" i="15"/>
  <c r="J1164" i="15"/>
  <c r="J1165" i="15"/>
  <c r="J1166" i="15"/>
  <c r="J1167" i="15"/>
  <c r="K1167" i="16" s="1"/>
  <c r="J1168" i="15"/>
  <c r="K1168" i="16" s="1"/>
  <c r="J1169" i="15"/>
  <c r="J1171" i="15"/>
  <c r="J1172" i="15"/>
  <c r="K1172" i="16" s="1"/>
  <c r="J1173" i="15"/>
  <c r="K1173" i="16" s="1"/>
  <c r="J1174" i="15"/>
  <c r="K1174" i="16" s="1"/>
  <c r="J1175" i="15"/>
  <c r="K1175" i="16" s="1"/>
  <c r="J1176" i="15"/>
  <c r="K1176" i="16" s="1"/>
  <c r="J1177" i="15"/>
  <c r="K1177" i="16" s="1"/>
  <c r="J1179" i="15"/>
  <c r="J1180" i="15"/>
  <c r="K1180" i="16" s="1"/>
  <c r="J1181" i="15"/>
  <c r="K1181" i="16" s="1"/>
  <c r="J1182" i="15"/>
  <c r="K1182" i="16" s="1"/>
  <c r="J1183" i="15"/>
  <c r="K1183" i="16" s="1"/>
  <c r="J1184" i="15"/>
  <c r="K1184" i="16" s="1"/>
  <c r="J1185" i="15"/>
  <c r="J1187" i="15"/>
  <c r="K1187" i="16" s="1"/>
  <c r="J1188" i="15"/>
  <c r="J1189" i="15"/>
  <c r="K1189" i="16" s="1"/>
  <c r="J1190" i="15"/>
  <c r="J1191" i="15"/>
  <c r="K1191" i="16" s="1"/>
  <c r="J1192" i="15"/>
  <c r="J1193" i="15"/>
  <c r="K1193" i="16" s="1"/>
  <c r="J1195" i="15"/>
  <c r="J1196" i="15"/>
  <c r="K1196" i="16" s="1"/>
  <c r="J1197" i="15"/>
  <c r="K1197" i="16" s="1"/>
  <c r="J1198" i="15"/>
  <c r="K1198" i="16" s="1"/>
  <c r="J1199" i="15"/>
  <c r="K1199" i="16" s="1"/>
  <c r="J1200" i="15"/>
  <c r="K1200" i="16" s="1"/>
  <c r="J1201" i="15"/>
  <c r="K1201" i="16" s="1"/>
  <c r="J1203" i="15"/>
  <c r="J1204" i="15"/>
  <c r="K1204" i="16" s="1"/>
  <c r="J1205" i="15"/>
  <c r="K1205" i="16" s="1"/>
  <c r="J1206" i="15"/>
  <c r="K1206" i="16" s="1"/>
  <c r="J1207" i="15"/>
  <c r="K1207" i="16" s="1"/>
  <c r="J1208" i="15"/>
  <c r="K1208" i="16" s="1"/>
  <c r="J1209" i="15"/>
  <c r="K1209" i="16" s="1"/>
  <c r="J1211" i="15"/>
  <c r="K1211" i="16" s="1"/>
  <c r="J1212" i="15"/>
  <c r="J1213" i="15"/>
  <c r="J1214" i="15"/>
  <c r="K1214" i="16" s="1"/>
  <c r="J1215" i="15"/>
  <c r="K1215" i="16" s="1"/>
  <c r="J1216" i="15"/>
  <c r="J1217" i="15"/>
  <c r="J1219" i="15"/>
  <c r="K1219" i="16" s="1"/>
  <c r="J1220" i="15"/>
  <c r="K1220" i="16" s="1"/>
  <c r="J1221" i="15"/>
  <c r="J1222" i="15"/>
  <c r="K1222" i="16" s="1"/>
  <c r="J1223" i="15"/>
  <c r="K1223" i="16" s="1"/>
  <c r="J1224" i="15"/>
  <c r="J1225" i="15"/>
  <c r="J1227" i="15"/>
  <c r="J1228" i="15"/>
  <c r="K1228" i="16" s="1"/>
  <c r="J1229" i="15"/>
  <c r="K1229" i="16" s="1"/>
  <c r="J1230" i="15"/>
  <c r="K1230" i="16" s="1"/>
  <c r="J1231" i="15"/>
  <c r="J1232" i="15"/>
  <c r="K1232" i="16" s="1"/>
  <c r="J1233" i="15"/>
  <c r="K1233" i="16" s="1"/>
  <c r="J1235" i="15"/>
  <c r="J1236" i="15"/>
  <c r="J1237" i="15"/>
  <c r="J1238" i="15"/>
  <c r="K1238" i="16" s="1"/>
  <c r="J1239" i="15"/>
  <c r="J1240" i="15"/>
  <c r="J1241" i="15"/>
  <c r="J1243" i="15"/>
  <c r="K1243" i="16" s="1"/>
  <c r="J1244" i="15"/>
  <c r="J1245" i="15"/>
  <c r="J1246" i="15"/>
  <c r="J1247" i="15"/>
  <c r="K1247" i="16" s="1"/>
  <c r="J1248" i="15"/>
  <c r="K1248" i="16" s="1"/>
  <c r="J1249" i="15"/>
  <c r="J1251" i="15"/>
  <c r="J1252" i="15"/>
  <c r="K1252" i="16" s="1"/>
  <c r="J1253" i="15"/>
  <c r="J1254" i="15"/>
  <c r="J1255" i="15"/>
  <c r="J1256" i="15"/>
  <c r="J1257" i="15"/>
  <c r="K1257" i="16" s="1"/>
  <c r="J1259" i="15"/>
  <c r="J1260" i="15"/>
  <c r="J1261" i="15"/>
  <c r="J1262" i="15"/>
  <c r="K1262" i="16" s="1"/>
  <c r="J1263" i="15"/>
  <c r="K1263" i="16" s="1"/>
  <c r="J1264" i="15"/>
  <c r="J1265" i="15"/>
  <c r="K1265" i="16" s="1"/>
  <c r="J1267" i="15"/>
  <c r="K1267" i="16" s="1"/>
  <c r="J1268" i="15"/>
  <c r="K1268" i="16" s="1"/>
  <c r="J1269" i="15"/>
  <c r="K1269" i="16" s="1"/>
  <c r="J1270" i="15"/>
  <c r="K1270" i="16" s="1"/>
  <c r="J1271" i="15"/>
  <c r="K1271" i="16" s="1"/>
  <c r="J1272" i="15"/>
  <c r="K1272" i="16" s="1"/>
  <c r="J1273" i="15"/>
  <c r="K1273" i="16" s="1"/>
  <c r="J1275" i="15"/>
  <c r="K1275" i="16" s="1"/>
  <c r="J1276" i="15"/>
  <c r="K1276" i="16" s="1"/>
  <c r="J1277" i="15"/>
  <c r="K1277" i="16" s="1"/>
  <c r="J1278" i="15"/>
  <c r="K1278" i="16" s="1"/>
  <c r="J1279" i="15"/>
  <c r="K1279" i="16" s="1"/>
  <c r="J1280" i="15"/>
  <c r="K1280" i="16" s="1"/>
  <c r="J1281" i="15"/>
  <c r="K1281" i="16" s="1"/>
  <c r="J1283" i="15"/>
  <c r="K1283" i="16" s="1"/>
  <c r="J1284" i="15"/>
  <c r="J1285" i="15"/>
  <c r="K1285" i="16" s="1"/>
  <c r="J1286" i="15"/>
  <c r="K1286" i="16" s="1"/>
  <c r="J1287" i="15"/>
  <c r="K1287" i="16" s="1"/>
  <c r="J1288" i="15"/>
  <c r="K1288" i="16" s="1"/>
  <c r="J1289" i="15"/>
  <c r="K1289" i="16" s="1"/>
  <c r="J1291" i="15"/>
  <c r="K1291" i="16" s="1"/>
  <c r="J1292" i="15"/>
  <c r="J1293" i="15"/>
  <c r="J1294" i="15"/>
  <c r="J1295" i="15"/>
  <c r="K1295" i="16" s="1"/>
  <c r="J1296" i="15"/>
  <c r="K1296" i="16" s="1"/>
  <c r="J1297" i="15"/>
  <c r="K1297" i="16" s="1"/>
  <c r="J1299" i="15"/>
  <c r="K1299" i="16" s="1"/>
  <c r="J1300" i="15"/>
  <c r="K1300" i="16" s="1"/>
  <c r="J1301" i="15"/>
  <c r="K1301" i="16" s="1"/>
  <c r="J1302" i="15"/>
  <c r="K1302" i="16" s="1"/>
  <c r="J1303" i="15"/>
  <c r="K1303" i="16" s="1"/>
  <c r="J1304" i="15"/>
  <c r="K1304" i="16" s="1"/>
  <c r="J1305" i="15"/>
  <c r="K1305" i="16" s="1"/>
  <c r="J1307" i="15"/>
  <c r="K1307" i="16" s="1"/>
  <c r="J1308" i="15"/>
  <c r="K1308" i="16" s="1"/>
  <c r="J1309" i="15"/>
  <c r="K1309" i="16" s="1"/>
  <c r="J1310" i="15"/>
  <c r="K1310" i="16" s="1"/>
  <c r="J1311" i="15"/>
  <c r="J1312" i="15"/>
  <c r="K1312" i="16" s="1"/>
  <c r="J1313" i="15"/>
  <c r="K1313" i="16" s="1"/>
  <c r="J1315" i="15"/>
  <c r="J1316" i="15"/>
  <c r="J1317" i="15"/>
  <c r="K1317" i="16" s="1"/>
  <c r="J1318" i="15"/>
  <c r="J1319" i="15"/>
  <c r="K1319" i="16" s="1"/>
  <c r="J1320" i="15"/>
  <c r="K1320" i="16" s="1"/>
  <c r="J1321" i="15"/>
  <c r="J1323" i="15"/>
  <c r="K1323" i="16" s="1"/>
  <c r="J1324" i="15"/>
  <c r="J1325" i="15"/>
  <c r="J1326" i="15"/>
  <c r="J1327" i="15"/>
  <c r="K1327" i="16" s="1"/>
  <c r="J1328" i="15"/>
  <c r="K1328" i="16" s="1"/>
  <c r="J1329" i="15"/>
  <c r="J1331" i="15"/>
  <c r="J1332" i="15"/>
  <c r="J1333" i="15"/>
  <c r="K1333" i="16" s="1"/>
  <c r="J1334" i="15"/>
  <c r="J1335" i="15"/>
  <c r="J1336" i="15"/>
  <c r="J1337" i="15"/>
  <c r="K1337" i="16" s="1"/>
  <c r="J1339" i="15"/>
  <c r="J1340" i="15"/>
  <c r="J1341" i="15"/>
  <c r="J1342" i="15"/>
  <c r="J1343" i="15"/>
  <c r="K1343" i="16" s="1"/>
  <c r="J1344" i="15"/>
  <c r="J1345" i="15"/>
  <c r="J1347" i="15"/>
  <c r="K1347" i="16" s="1"/>
  <c r="J1348" i="15"/>
  <c r="K1348" i="16" s="1"/>
  <c r="J1349" i="15"/>
  <c r="J1350" i="15"/>
  <c r="J1351" i="15"/>
  <c r="J1352" i="15"/>
  <c r="J1353" i="15"/>
  <c r="K1353" i="16" s="1"/>
  <c r="J1355" i="15"/>
  <c r="K1355" i="16" s="1"/>
  <c r="J1356" i="15"/>
  <c r="K1356" i="16" s="1"/>
  <c r="J1357" i="15"/>
  <c r="K1357" i="16" s="1"/>
  <c r="J1358" i="15"/>
  <c r="K1358" i="16" s="1"/>
  <c r="J1359" i="15"/>
  <c r="K1359" i="16" s="1"/>
  <c r="J1360" i="15"/>
  <c r="K1360" i="16" s="1"/>
  <c r="J1361" i="15"/>
  <c r="K1361" i="16" s="1"/>
  <c r="J1363" i="15"/>
  <c r="K1363" i="16" s="1"/>
  <c r="J1364" i="15"/>
  <c r="K1364" i="16" s="1"/>
  <c r="J1365" i="15"/>
  <c r="K1365" i="16" s="1"/>
  <c r="J1366" i="15"/>
  <c r="K1366" i="16" s="1"/>
  <c r="J1367" i="15"/>
  <c r="K1367" i="16" s="1"/>
  <c r="J1368" i="15"/>
  <c r="K1368" i="16" s="1"/>
  <c r="J1369" i="15"/>
  <c r="K1369" i="16" s="1"/>
  <c r="J1371" i="15"/>
  <c r="K1371" i="16" s="1"/>
  <c r="J1372" i="15"/>
  <c r="J1373" i="15"/>
  <c r="K1373" i="16" s="1"/>
  <c r="J1374" i="15"/>
  <c r="K1374" i="16" s="1"/>
  <c r="J1375" i="15"/>
  <c r="K1375" i="16" s="1"/>
  <c r="J1376" i="15"/>
  <c r="K1376" i="16" s="1"/>
  <c r="J1377" i="15"/>
  <c r="K1377" i="16" s="1"/>
  <c r="J1379" i="15"/>
  <c r="K1379" i="16" s="1"/>
  <c r="J1380" i="15"/>
  <c r="J1381" i="15"/>
  <c r="K1381" i="16" s="1"/>
  <c r="J1382" i="15"/>
  <c r="K1382" i="16" s="1"/>
  <c r="J1383" i="15"/>
  <c r="K1383" i="16" s="1"/>
  <c r="J1384" i="15"/>
  <c r="K1384" i="16" s="1"/>
  <c r="J1385" i="15"/>
  <c r="K1385" i="16" s="1"/>
  <c r="J1387" i="15"/>
  <c r="K1387" i="16" s="1"/>
  <c r="J1388" i="15"/>
  <c r="K1388" i="16" s="1"/>
  <c r="J1389" i="15"/>
  <c r="K1389" i="16" s="1"/>
  <c r="J1390" i="15"/>
  <c r="J1391" i="15"/>
  <c r="K1391" i="16" s="1"/>
  <c r="J1392" i="15"/>
  <c r="K1392" i="16" s="1"/>
  <c r="J1393" i="15"/>
  <c r="K1393" i="16" s="1"/>
  <c r="J1395" i="15"/>
  <c r="K1395" i="16" s="1"/>
  <c r="J1396" i="15"/>
  <c r="K1396" i="16" s="1"/>
  <c r="J1397" i="15"/>
  <c r="J1398" i="15"/>
  <c r="K1398" i="16" s="1"/>
  <c r="J1399" i="15"/>
  <c r="K1399" i="16" s="1"/>
  <c r="J1400" i="15"/>
  <c r="K1400" i="16" s="1"/>
  <c r="J1401" i="15"/>
  <c r="J1403" i="15"/>
  <c r="K1403" i="16" s="1"/>
  <c r="J1404" i="15"/>
  <c r="J1405" i="15"/>
  <c r="J1406" i="15"/>
  <c r="J1407" i="15"/>
  <c r="K1407" i="16" s="1"/>
  <c r="J1408" i="15"/>
  <c r="K1408" i="16" s="1"/>
  <c r="J1409" i="15"/>
  <c r="K1409" i="16" s="1"/>
  <c r="J1411" i="15"/>
  <c r="J1412" i="15"/>
  <c r="K1412" i="16" s="1"/>
  <c r="J1413" i="15"/>
  <c r="K1413" i="16" s="1"/>
  <c r="J1414" i="15"/>
  <c r="J1415" i="15"/>
  <c r="J1416" i="15"/>
  <c r="J1417" i="15"/>
  <c r="K1417" i="16" s="1"/>
  <c r="J1419" i="15"/>
  <c r="J1420" i="15"/>
  <c r="J1421" i="15"/>
  <c r="J1422" i="15"/>
  <c r="K1422" i="16" s="1"/>
  <c r="J1423" i="15"/>
  <c r="K1423" i="16" s="1"/>
  <c r="J1424" i="15"/>
  <c r="J1425" i="15"/>
  <c r="J1427" i="15"/>
  <c r="K1427" i="16" s="1"/>
  <c r="J1428" i="15"/>
  <c r="K1428" i="16" s="1"/>
  <c r="J1429" i="15"/>
  <c r="J1430" i="15"/>
  <c r="J1431" i="15"/>
  <c r="J1432" i="15"/>
  <c r="K1432" i="16" s="1"/>
  <c r="J1433" i="15"/>
  <c r="K1433" i="16" s="1"/>
  <c r="J1435" i="15"/>
  <c r="J1436" i="15"/>
  <c r="J1437" i="15"/>
  <c r="K1437" i="16" s="1"/>
  <c r="J1438" i="15"/>
  <c r="K1438" i="16" s="1"/>
  <c r="J1439" i="15"/>
  <c r="J1440" i="15"/>
  <c r="J1441" i="15"/>
  <c r="J2" i="15"/>
  <c r="K2" i="16" s="1"/>
  <c r="M4" i="9"/>
  <c r="M3" i="9"/>
  <c r="M2" i="9"/>
  <c r="H1426" i="16" l="1"/>
  <c r="Q1426" i="15"/>
  <c r="J1426" i="15"/>
  <c r="Q1402" i="15"/>
  <c r="J1402" i="15"/>
  <c r="K1402" i="16" s="1"/>
  <c r="Q1378" i="15"/>
  <c r="J1378" i="15"/>
  <c r="K1378" i="16" s="1"/>
  <c r="Q1338" i="15"/>
  <c r="J1338" i="15"/>
  <c r="K1338" i="16" s="1"/>
  <c r="Q1322" i="15"/>
  <c r="J1322" i="15"/>
  <c r="K1322" i="16" s="1"/>
  <c r="Q1298" i="15"/>
  <c r="J1298" i="15"/>
  <c r="K1298" i="16" s="1"/>
  <c r="Q1266" i="15"/>
  <c r="J1266" i="15"/>
  <c r="K1266" i="16" s="1"/>
  <c r="H1234" i="16"/>
  <c r="Q1234" i="15"/>
  <c r="J1234" i="15"/>
  <c r="M1234" i="15" s="1"/>
  <c r="Q1210" i="15"/>
  <c r="J1210" i="15"/>
  <c r="K1210" i="16" s="1"/>
  <c r="Q1178" i="15"/>
  <c r="J1178" i="15"/>
  <c r="K1178" i="16" s="1"/>
  <c r="H1146" i="16"/>
  <c r="Q1146" i="15"/>
  <c r="J1146" i="15"/>
  <c r="Q1122" i="15"/>
  <c r="J1122" i="15"/>
  <c r="K1122" i="16" s="1"/>
  <c r="Q1090" i="15"/>
  <c r="J1090" i="15"/>
  <c r="K1090" i="16" s="1"/>
  <c r="Q1058" i="15"/>
  <c r="J1058" i="15"/>
  <c r="K1058" i="16" s="1"/>
  <c r="Q1042" i="15"/>
  <c r="J1042" i="15"/>
  <c r="K1042" i="16" s="1"/>
  <c r="Q1010" i="15"/>
  <c r="J1010" i="15"/>
  <c r="K1010" i="16" s="1"/>
  <c r="Q978" i="15"/>
  <c r="J978" i="15"/>
  <c r="K978" i="16" s="1"/>
  <c r="Q938" i="15"/>
  <c r="J938" i="15"/>
  <c r="K938" i="16" s="1"/>
  <c r="Q826" i="15"/>
  <c r="J826" i="15"/>
  <c r="K826" i="16" s="1"/>
  <c r="H810" i="16"/>
  <c r="Q810" i="15"/>
  <c r="J810" i="15"/>
  <c r="H794" i="16"/>
  <c r="Q794" i="15"/>
  <c r="J794" i="15"/>
  <c r="M794" i="15" s="1"/>
  <c r="Q778" i="15"/>
  <c r="J778" i="15"/>
  <c r="K778" i="16" s="1"/>
  <c r="Q762" i="15"/>
  <c r="J762" i="15"/>
  <c r="K762" i="16" s="1"/>
  <c r="Q754" i="15"/>
  <c r="J754" i="15"/>
  <c r="K754" i="16" s="1"/>
  <c r="Q746" i="15"/>
  <c r="J746" i="15"/>
  <c r="K746" i="16" s="1"/>
  <c r="Q738" i="15"/>
  <c r="J738" i="15"/>
  <c r="K738" i="16" s="1"/>
  <c r="Q730" i="15"/>
  <c r="J730" i="15"/>
  <c r="K730" i="16" s="1"/>
  <c r="Q722" i="15"/>
  <c r="J722" i="15"/>
  <c r="K722" i="16" s="1"/>
  <c r="H706" i="16"/>
  <c r="Q706" i="15"/>
  <c r="J706" i="15"/>
  <c r="Q698" i="15"/>
  <c r="J698" i="15"/>
  <c r="K698" i="16" s="1"/>
  <c r="Q666" i="15"/>
  <c r="J666" i="15"/>
  <c r="K666" i="16" s="1"/>
  <c r="Q658" i="15"/>
  <c r="J658" i="15"/>
  <c r="K658" i="16" s="1"/>
  <c r="Q650" i="15"/>
  <c r="J650" i="15"/>
  <c r="K650" i="16" s="1"/>
  <c r="Q642" i="15"/>
  <c r="J642" i="15"/>
  <c r="K642" i="16" s="1"/>
  <c r="Q634" i="15"/>
  <c r="J634" i="15"/>
  <c r="K634" i="16" s="1"/>
  <c r="H626" i="16"/>
  <c r="Q626" i="15"/>
  <c r="J626" i="15"/>
  <c r="M626" i="15" s="1"/>
  <c r="Q618" i="15"/>
  <c r="J618" i="15"/>
  <c r="K618" i="16" s="1"/>
  <c r="H610" i="16"/>
  <c r="Q610" i="15"/>
  <c r="J610" i="15"/>
  <c r="J602" i="15"/>
  <c r="K602" i="16" s="1"/>
  <c r="Q602" i="15"/>
  <c r="H594" i="16"/>
  <c r="Q594" i="15"/>
  <c r="J594" i="15"/>
  <c r="Q586" i="15"/>
  <c r="J586" i="15"/>
  <c r="K586" i="16" s="1"/>
  <c r="Q578" i="15"/>
  <c r="J578" i="15"/>
  <c r="K578" i="16" s="1"/>
  <c r="Q570" i="15"/>
  <c r="J570" i="15"/>
  <c r="K570" i="16" s="1"/>
  <c r="Q562" i="15"/>
  <c r="J562" i="15"/>
  <c r="K562" i="16" s="1"/>
  <c r="Q554" i="15"/>
  <c r="J554" i="15"/>
  <c r="K554" i="16" s="1"/>
  <c r="Q546" i="15"/>
  <c r="J546" i="15"/>
  <c r="K546" i="16" s="1"/>
  <c r="Q538" i="15"/>
  <c r="J538" i="15"/>
  <c r="K538" i="16" s="1"/>
  <c r="H530" i="16"/>
  <c r="Q530" i="15"/>
  <c r="J530" i="15"/>
  <c r="Q522" i="15"/>
  <c r="J522" i="15"/>
  <c r="K522" i="16" s="1"/>
  <c r="H514" i="16"/>
  <c r="Q514" i="15"/>
  <c r="J514" i="15"/>
  <c r="M514" i="15" s="1"/>
  <c r="H506" i="16"/>
  <c r="Q506" i="15"/>
  <c r="J506" i="15"/>
  <c r="H498" i="16"/>
  <c r="Q498" i="15"/>
  <c r="J498" i="15"/>
  <c r="Q490" i="15"/>
  <c r="J490" i="15"/>
  <c r="K490" i="16" s="1"/>
  <c r="Q482" i="15"/>
  <c r="J482" i="15"/>
  <c r="K482" i="16" s="1"/>
  <c r="Q466" i="15"/>
  <c r="J466" i="15"/>
  <c r="K466" i="16" s="1"/>
  <c r="Q458" i="15"/>
  <c r="J458" i="15"/>
  <c r="K458" i="16" s="1"/>
  <c r="H450" i="16"/>
  <c r="Q450" i="15"/>
  <c r="J450" i="15"/>
  <c r="M450" i="15" s="1"/>
  <c r="Q442" i="15"/>
  <c r="J442" i="15"/>
  <c r="K442" i="16" s="1"/>
  <c r="H434" i="16"/>
  <c r="Q434" i="15"/>
  <c r="H426" i="16"/>
  <c r="Q426" i="15"/>
  <c r="H418" i="16"/>
  <c r="Q418" i="15"/>
  <c r="H410" i="16"/>
  <c r="Q410" i="15"/>
  <c r="H354" i="16"/>
  <c r="Q354" i="15"/>
  <c r="H346" i="16"/>
  <c r="Q346" i="15"/>
  <c r="H330" i="16"/>
  <c r="Q330" i="15"/>
  <c r="Q290" i="15"/>
  <c r="J290" i="15"/>
  <c r="K290" i="16" s="1"/>
  <c r="Q282" i="15"/>
  <c r="J282" i="15"/>
  <c r="K282" i="16" s="1"/>
  <c r="Q274" i="15"/>
  <c r="J274" i="15"/>
  <c r="K274" i="16" s="1"/>
  <c r="H266" i="16"/>
  <c r="Q266" i="15"/>
  <c r="J266" i="15"/>
  <c r="H258" i="16"/>
  <c r="Q258" i="15"/>
  <c r="J258" i="15"/>
  <c r="Q858" i="15"/>
  <c r="J434" i="15"/>
  <c r="J426" i="15"/>
  <c r="M426" i="15" s="1"/>
  <c r="J418" i="15"/>
  <c r="M418" i="15" s="1"/>
  <c r="J410" i="15"/>
  <c r="J402" i="15"/>
  <c r="K402" i="16" s="1"/>
  <c r="J394" i="15"/>
  <c r="K394" i="16" s="1"/>
  <c r="J386" i="15"/>
  <c r="K386" i="16" s="1"/>
  <c r="J378" i="15"/>
  <c r="K378" i="16" s="1"/>
  <c r="J370" i="15"/>
  <c r="K370" i="16" s="1"/>
  <c r="J362" i="15"/>
  <c r="K362" i="16" s="1"/>
  <c r="J354" i="15"/>
  <c r="M354" i="15" s="1"/>
  <c r="J346" i="15"/>
  <c r="J338" i="15"/>
  <c r="K338" i="16" s="1"/>
  <c r="J330" i="15"/>
  <c r="J322" i="15"/>
  <c r="K322" i="16" s="1"/>
  <c r="J314" i="15"/>
  <c r="K314" i="16" s="1"/>
  <c r="J306" i="15"/>
  <c r="K306" i="16" s="1"/>
  <c r="J298" i="15"/>
  <c r="K298" i="16" s="1"/>
  <c r="Q1410" i="15"/>
  <c r="J1410" i="15"/>
  <c r="K1410" i="16" s="1"/>
  <c r="Q1386" i="15"/>
  <c r="J1386" i="15"/>
  <c r="K1386" i="16" s="1"/>
  <c r="Q1362" i="15"/>
  <c r="J1362" i="15"/>
  <c r="K1362" i="16" s="1"/>
  <c r="H1330" i="16"/>
  <c r="Q1330" i="15"/>
  <c r="J1330" i="15"/>
  <c r="M1330" i="15" s="1"/>
  <c r="Q1290" i="15"/>
  <c r="J1290" i="15"/>
  <c r="K1290" i="16" s="1"/>
  <c r="Q1258" i="15"/>
  <c r="J1258" i="15"/>
  <c r="K1258" i="16" s="1"/>
  <c r="H1226" i="16"/>
  <c r="Q1226" i="15"/>
  <c r="J1226" i="15"/>
  <c r="M1226" i="15" s="1"/>
  <c r="Q1202" i="15"/>
  <c r="J1202" i="15"/>
  <c r="K1202" i="16" s="1"/>
  <c r="H1170" i="16"/>
  <c r="Q1170" i="15"/>
  <c r="J1170" i="15"/>
  <c r="Q1130" i="15"/>
  <c r="J1130" i="15"/>
  <c r="Q1098" i="15"/>
  <c r="J1098" i="15"/>
  <c r="H1066" i="16"/>
  <c r="Q1066" i="15"/>
  <c r="J1066" i="15"/>
  <c r="Q1034" i="15"/>
  <c r="J1034" i="15"/>
  <c r="K1034" i="16" s="1"/>
  <c r="Q994" i="15"/>
  <c r="J994" i="15"/>
  <c r="H954" i="16"/>
  <c r="Q954" i="15"/>
  <c r="J954" i="15"/>
  <c r="Q914" i="15"/>
  <c r="J914" i="15"/>
  <c r="K914" i="16" s="1"/>
  <c r="Q898" i="15"/>
  <c r="J898" i="15"/>
  <c r="K898" i="16" s="1"/>
  <c r="H874" i="16"/>
  <c r="Q874" i="15"/>
  <c r="J874" i="15"/>
  <c r="Q842" i="15"/>
  <c r="J842" i="15"/>
  <c r="K842" i="16" s="1"/>
  <c r="Q802" i="15"/>
  <c r="J802" i="15"/>
  <c r="H714" i="16"/>
  <c r="Q714" i="15"/>
  <c r="J714" i="15"/>
  <c r="Q18" i="15"/>
  <c r="J18" i="15"/>
  <c r="K18" i="16" s="1"/>
  <c r="Q474" i="15"/>
  <c r="H1434" i="16"/>
  <c r="Q1434" i="15"/>
  <c r="J1434" i="15"/>
  <c r="Q1394" i="15"/>
  <c r="J1394" i="15"/>
  <c r="K1394" i="16" s="1"/>
  <c r="Q1354" i="15"/>
  <c r="J1354" i="15"/>
  <c r="K1354" i="16" s="1"/>
  <c r="H1314" i="16"/>
  <c r="Q1314" i="15"/>
  <c r="J1314" i="15"/>
  <c r="Q1282" i="15"/>
  <c r="J1282" i="15"/>
  <c r="K1282" i="16" s="1"/>
  <c r="Q1242" i="15"/>
  <c r="J1242" i="15"/>
  <c r="K1242" i="16" s="1"/>
  <c r="Q1194" i="15"/>
  <c r="J1194" i="15"/>
  <c r="K1194" i="16" s="1"/>
  <c r="Q1162" i="15"/>
  <c r="J1162" i="15"/>
  <c r="Q1138" i="15"/>
  <c r="J1138" i="15"/>
  <c r="K1138" i="16" s="1"/>
  <c r="Q1106" i="15"/>
  <c r="J1106" i="15"/>
  <c r="K1106" i="16" s="1"/>
  <c r="H1074" i="16"/>
  <c r="Q1074" i="15"/>
  <c r="J1074" i="15"/>
  <c r="M1074" i="15" s="1"/>
  <c r="M1074" i="16" s="1"/>
  <c r="Q1026" i="15"/>
  <c r="J1026" i="15"/>
  <c r="Q1002" i="15"/>
  <c r="J1002" i="15"/>
  <c r="K1002" i="16" s="1"/>
  <c r="H970" i="16"/>
  <c r="Q970" i="15"/>
  <c r="J970" i="15"/>
  <c r="Q962" i="15"/>
  <c r="J962" i="15"/>
  <c r="K962" i="16" s="1"/>
  <c r="Q930" i="15"/>
  <c r="J930" i="15"/>
  <c r="Q906" i="15"/>
  <c r="J906" i="15"/>
  <c r="K906" i="16" s="1"/>
  <c r="Q882" i="15"/>
  <c r="J882" i="15"/>
  <c r="K882" i="16" s="1"/>
  <c r="Q850" i="15"/>
  <c r="J850" i="15"/>
  <c r="Q818" i="15"/>
  <c r="J818" i="15"/>
  <c r="Q770" i="15"/>
  <c r="J770" i="15"/>
  <c r="K770" i="16" s="1"/>
  <c r="Q682" i="15"/>
  <c r="J682" i="15"/>
  <c r="K682" i="16" s="1"/>
  <c r="Q1418" i="15"/>
  <c r="J1418" i="15"/>
  <c r="K1418" i="16" s="1"/>
  <c r="Q1370" i="15"/>
  <c r="J1370" i="15"/>
  <c r="K1370" i="16" s="1"/>
  <c r="H1346" i="16"/>
  <c r="Q1346" i="15"/>
  <c r="J1346" i="15"/>
  <c r="Q1306" i="15"/>
  <c r="J1306" i="15"/>
  <c r="K1306" i="16" s="1"/>
  <c r="Q1274" i="15"/>
  <c r="J1274" i="15"/>
  <c r="K1274" i="16" s="1"/>
  <c r="H1250" i="16"/>
  <c r="Q1250" i="15"/>
  <c r="J1250" i="15"/>
  <c r="Q1218" i="15"/>
  <c r="J1218" i="15"/>
  <c r="K1218" i="16" s="1"/>
  <c r="Q1186" i="15"/>
  <c r="J1186" i="15"/>
  <c r="K1186" i="16" s="1"/>
  <c r="H1154" i="16"/>
  <c r="Q1154" i="15"/>
  <c r="J1154" i="15"/>
  <c r="Q1114" i="15"/>
  <c r="J1114" i="15"/>
  <c r="K1114" i="16" s="1"/>
  <c r="Q1082" i="15"/>
  <c r="J1082" i="15"/>
  <c r="K1082" i="16" s="1"/>
  <c r="Q1050" i="15"/>
  <c r="J1050" i="15"/>
  <c r="K1050" i="16" s="1"/>
  <c r="Q1018" i="15"/>
  <c r="J1018" i="15"/>
  <c r="K1018" i="16" s="1"/>
  <c r="H986" i="16"/>
  <c r="J986" i="15"/>
  <c r="Q986" i="15"/>
  <c r="Q946" i="15"/>
  <c r="J946" i="15"/>
  <c r="Q922" i="15"/>
  <c r="J922" i="15"/>
  <c r="K922" i="16" s="1"/>
  <c r="H890" i="16"/>
  <c r="Q890" i="15"/>
  <c r="J890" i="15"/>
  <c r="H866" i="16"/>
  <c r="Q866" i="15"/>
  <c r="J866" i="15"/>
  <c r="M866" i="15" s="1"/>
  <c r="Q834" i="15"/>
  <c r="J834" i="15"/>
  <c r="K834" i="16" s="1"/>
  <c r="H786" i="16"/>
  <c r="Q786" i="15"/>
  <c r="J786" i="15"/>
  <c r="M786" i="15" s="1"/>
  <c r="H690" i="16"/>
  <c r="Q690" i="15"/>
  <c r="J690" i="15"/>
  <c r="H440" i="16"/>
  <c r="Q440" i="15"/>
  <c r="J440" i="15"/>
  <c r="M440" i="15" s="1"/>
  <c r="M1185" i="15"/>
  <c r="K1185" i="16"/>
  <c r="M1121" i="15"/>
  <c r="K1121" i="16"/>
  <c r="Q881" i="15"/>
  <c r="H881" i="16"/>
  <c r="Q361" i="15"/>
  <c r="H361" i="16"/>
  <c r="Q353" i="15"/>
  <c r="H353" i="16"/>
  <c r="J177" i="15"/>
  <c r="K177" i="16" s="1"/>
  <c r="Q177" i="15"/>
  <c r="J161" i="15"/>
  <c r="Q161" i="15"/>
  <c r="H161" i="16"/>
  <c r="J113" i="15"/>
  <c r="K113" i="16" s="1"/>
  <c r="Q113" i="15"/>
  <c r="J105" i="15"/>
  <c r="K105" i="16" s="1"/>
  <c r="Q105" i="15"/>
  <c r="J97" i="15"/>
  <c r="K97" i="16" s="1"/>
  <c r="Q97" i="15"/>
  <c r="J81" i="15"/>
  <c r="H81" i="16"/>
  <c r="J49" i="15"/>
  <c r="M49" i="15" s="1"/>
  <c r="Q49" i="15"/>
  <c r="H49" i="16"/>
  <c r="J41" i="15"/>
  <c r="K41" i="16" s="1"/>
  <c r="Q41" i="15"/>
  <c r="J33" i="15"/>
  <c r="K33" i="16" s="1"/>
  <c r="Q33" i="15"/>
  <c r="Q9" i="15"/>
  <c r="J9" i="15"/>
  <c r="K9" i="16" s="1"/>
  <c r="M1120" i="15"/>
  <c r="K1120" i="16"/>
  <c r="Q1345" i="15"/>
  <c r="Q1041" i="15"/>
  <c r="Q785" i="15"/>
  <c r="Q529" i="15"/>
  <c r="Q680" i="15"/>
  <c r="H680" i="16"/>
  <c r="Q616" i="15"/>
  <c r="H616" i="16"/>
  <c r="H408" i="16"/>
  <c r="Q408" i="15"/>
  <c r="Q344" i="15"/>
  <c r="H344" i="16"/>
  <c r="J168" i="15"/>
  <c r="Q168" i="15"/>
  <c r="H168" i="16"/>
  <c r="J104" i="15"/>
  <c r="K104" i="16" s="1"/>
  <c r="Q104" i="15"/>
  <c r="J96" i="15"/>
  <c r="K96" i="16" s="1"/>
  <c r="Q96" i="15"/>
  <c r="J88" i="15"/>
  <c r="H88" i="16"/>
  <c r="Q88" i="15"/>
  <c r="J80" i="15"/>
  <c r="H80" i="16"/>
  <c r="H1065" i="16"/>
  <c r="H976" i="16"/>
  <c r="Q1225" i="15"/>
  <c r="Q624" i="15"/>
  <c r="Q449" i="15"/>
  <c r="Q112" i="15"/>
  <c r="Q159" i="15"/>
  <c r="H159" i="16"/>
  <c r="J63" i="15"/>
  <c r="K63" i="16" s="1"/>
  <c r="H1425" i="16"/>
  <c r="H865" i="16"/>
  <c r="H240" i="16"/>
  <c r="Q1151" i="15"/>
  <c r="Q879" i="15"/>
  <c r="Q679" i="15"/>
  <c r="Q167" i="15"/>
  <c r="Q64" i="15"/>
  <c r="Q806" i="15"/>
  <c r="H806" i="16"/>
  <c r="Q446" i="15"/>
  <c r="H446" i="16"/>
  <c r="Q430" i="15"/>
  <c r="H430" i="16"/>
  <c r="Q326" i="15"/>
  <c r="H326" i="16"/>
  <c r="H246" i="16"/>
  <c r="Q246" i="15"/>
  <c r="H230" i="16"/>
  <c r="Q230" i="15"/>
  <c r="Q166" i="15"/>
  <c r="J166" i="15"/>
  <c r="Q150" i="15"/>
  <c r="H150" i="16"/>
  <c r="Q134" i="15"/>
  <c r="J134" i="15"/>
  <c r="K134" i="16" s="1"/>
  <c r="Q86" i="15"/>
  <c r="J86" i="15"/>
  <c r="M86" i="15" s="1"/>
  <c r="H70" i="16"/>
  <c r="Q70" i="15"/>
  <c r="J70" i="15"/>
  <c r="Q22" i="15"/>
  <c r="J22" i="15"/>
  <c r="K22" i="16" s="1"/>
  <c r="J78" i="15"/>
  <c r="J62" i="15"/>
  <c r="K62" i="16" s="1"/>
  <c r="H1344" i="16"/>
  <c r="H1073" i="16"/>
  <c r="H1055" i="16"/>
  <c r="H991" i="16"/>
  <c r="H974" i="16"/>
  <c r="H886" i="16"/>
  <c r="H864" i="16"/>
  <c r="H503" i="16"/>
  <c r="H166" i="16"/>
  <c r="Q1424" i="15"/>
  <c r="Q1415" i="15"/>
  <c r="Q1406" i="15"/>
  <c r="Q1351" i="15"/>
  <c r="Q1241" i="15"/>
  <c r="Q1159" i="15"/>
  <c r="Q1150" i="15"/>
  <c r="Q889" i="15"/>
  <c r="Q505" i="15"/>
  <c r="Q409" i="15"/>
  <c r="Q319" i="15"/>
  <c r="Q249" i="15"/>
  <c r="Q153" i="15"/>
  <c r="Q121" i="15"/>
  <c r="Q82" i="15"/>
  <c r="Q72" i="15"/>
  <c r="Q25" i="15"/>
  <c r="H250" i="16"/>
  <c r="Q250" i="15"/>
  <c r="H234" i="16"/>
  <c r="Q234" i="15"/>
  <c r="Q186" i="15"/>
  <c r="J186" i="15"/>
  <c r="K186" i="16" s="1"/>
  <c r="H178" i="16"/>
  <c r="J178" i="15"/>
  <c r="M178" i="15" s="1"/>
  <c r="Q178" i="15"/>
  <c r="H170" i="16"/>
  <c r="Q170" i="15"/>
  <c r="J170" i="15"/>
  <c r="M170" i="15" s="1"/>
  <c r="H146" i="16"/>
  <c r="J146" i="15"/>
  <c r="H138" i="16"/>
  <c r="J138" i="15"/>
  <c r="M138" i="15" s="1"/>
  <c r="J122" i="15"/>
  <c r="K122" i="16" s="1"/>
  <c r="Q122" i="15"/>
  <c r="J114" i="15"/>
  <c r="K114" i="16" s="1"/>
  <c r="Q114" i="15"/>
  <c r="J106" i="15"/>
  <c r="K106" i="16" s="1"/>
  <c r="Q106" i="15"/>
  <c r="H90" i="16"/>
  <c r="J90" i="15"/>
  <c r="M90" i="15" s="1"/>
  <c r="H74" i="16"/>
  <c r="J74" i="15"/>
  <c r="H66" i="16"/>
  <c r="J66" i="15"/>
  <c r="H58" i="16"/>
  <c r="J58" i="15"/>
  <c r="Q58" i="15"/>
  <c r="H50" i="16"/>
  <c r="J50" i="15"/>
  <c r="Q50" i="15"/>
  <c r="J42" i="15"/>
  <c r="K42" i="16" s="1"/>
  <c r="Q42" i="15"/>
  <c r="Q10" i="15"/>
  <c r="J10" i="15"/>
  <c r="K10" i="16" s="1"/>
  <c r="M1217" i="15"/>
  <c r="K1217" i="16"/>
  <c r="M1217" i="16" s="1"/>
  <c r="M1153" i="15"/>
  <c r="K1153" i="16"/>
  <c r="Q146" i="15"/>
  <c r="Q689" i="15"/>
  <c r="H689" i="16"/>
  <c r="Q681" i="15"/>
  <c r="H681" i="16"/>
  <c r="J169" i="15"/>
  <c r="M169" i="15" s="1"/>
  <c r="Q169" i="15"/>
  <c r="H169" i="16"/>
  <c r="J145" i="15"/>
  <c r="H145" i="16"/>
  <c r="Q17" i="15"/>
  <c r="J17" i="15"/>
  <c r="K17" i="16" s="1"/>
  <c r="M1216" i="15"/>
  <c r="K1216" i="16"/>
  <c r="M1192" i="15"/>
  <c r="K1192" i="16"/>
  <c r="M1040" i="15"/>
  <c r="K1040" i="16"/>
  <c r="M1040" i="16" s="1"/>
  <c r="H809" i="16"/>
  <c r="H625" i="16"/>
  <c r="Q145" i="15"/>
  <c r="J24" i="15"/>
  <c r="K24" i="16" s="1"/>
  <c r="Q24" i="15"/>
  <c r="H984" i="16"/>
  <c r="H144" i="16"/>
  <c r="Q1161" i="15"/>
  <c r="Q321" i="15"/>
  <c r="Q863" i="15"/>
  <c r="H863" i="16"/>
  <c r="Q599" i="15"/>
  <c r="H599" i="16"/>
  <c r="J7" i="15"/>
  <c r="K7" i="16" s="1"/>
  <c r="Q7" i="15"/>
  <c r="M1006" i="15"/>
  <c r="K1006" i="16"/>
  <c r="M910" i="15"/>
  <c r="K910" i="16"/>
  <c r="M910" i="16" s="1"/>
  <c r="H1064" i="16"/>
  <c r="H975" i="16"/>
  <c r="H609" i="16"/>
  <c r="H504" i="16"/>
  <c r="Q1416" i="15"/>
  <c r="Q1224" i="15"/>
  <c r="Q1169" i="15"/>
  <c r="Q969" i="15"/>
  <c r="Q713" i="15"/>
  <c r="Q448" i="15"/>
  <c r="Q239" i="15"/>
  <c r="Q111" i="15"/>
  <c r="Q614" i="15"/>
  <c r="H614" i="16"/>
  <c r="Q606" i="15"/>
  <c r="H606" i="16"/>
  <c r="Q534" i="15"/>
  <c r="H534" i="16"/>
  <c r="Q438" i="15"/>
  <c r="H438" i="16"/>
  <c r="H414" i="16"/>
  <c r="Q414" i="15"/>
  <c r="Q334" i="15"/>
  <c r="H334" i="16"/>
  <c r="Q318" i="15"/>
  <c r="H318" i="16"/>
  <c r="H238" i="16"/>
  <c r="Q238" i="15"/>
  <c r="M1237" i="15"/>
  <c r="M1237" i="16" s="1"/>
  <c r="K1237" i="16"/>
  <c r="J150" i="15"/>
  <c r="J30" i="15"/>
  <c r="K30" i="16" s="1"/>
  <c r="H1249" i="16"/>
  <c r="H1054" i="16"/>
  <c r="H1046" i="16"/>
  <c r="H990" i="16"/>
  <c r="H630" i="16"/>
  <c r="H48" i="16"/>
  <c r="Q1441" i="15"/>
  <c r="Q1414" i="15"/>
  <c r="Q1350" i="15"/>
  <c r="Q1240" i="15"/>
  <c r="Q1231" i="15"/>
  <c r="Q721" i="15"/>
  <c r="Q711" i="15"/>
  <c r="Q130" i="15"/>
  <c r="Q120" i="15"/>
  <c r="Q81" i="15"/>
  <c r="Q360" i="15"/>
  <c r="H360" i="16"/>
  <c r="J176" i="15"/>
  <c r="H176" i="16"/>
  <c r="J160" i="15"/>
  <c r="M160" i="15" s="1"/>
  <c r="Q160" i="15"/>
  <c r="H160" i="16"/>
  <c r="J152" i="15"/>
  <c r="K152" i="16" s="1"/>
  <c r="Q152" i="15"/>
  <c r="J40" i="15"/>
  <c r="K40" i="16" s="1"/>
  <c r="Q40" i="15"/>
  <c r="J32" i="15"/>
  <c r="K32" i="16" s="1"/>
  <c r="Q32" i="15"/>
  <c r="J8" i="15"/>
  <c r="K8" i="16" s="1"/>
  <c r="Q8" i="15"/>
  <c r="H241" i="16"/>
  <c r="Q961" i="15"/>
  <c r="Q880" i="15"/>
  <c r="Q705" i="15"/>
  <c r="Q144" i="15"/>
  <c r="Q65" i="15"/>
  <c r="Q351" i="15"/>
  <c r="H351" i="16"/>
  <c r="H335" i="16"/>
  <c r="Q335" i="15"/>
  <c r="Q271" i="15"/>
  <c r="H271" i="16"/>
  <c r="Q151" i="15"/>
  <c r="H151" i="16"/>
  <c r="Q95" i="15"/>
  <c r="J95" i="15"/>
  <c r="K95" i="16" s="1"/>
  <c r="H79" i="16"/>
  <c r="Q79" i="15"/>
  <c r="H71" i="16"/>
  <c r="J71" i="15"/>
  <c r="Q31" i="15"/>
  <c r="J31" i="15"/>
  <c r="K31" i="16" s="1"/>
  <c r="M958" i="15"/>
  <c r="K958" i="16"/>
  <c r="M958" i="16" s="1"/>
  <c r="J154" i="15"/>
  <c r="M154" i="15" s="1"/>
  <c r="J79" i="15"/>
  <c r="M79" i="15" s="1"/>
  <c r="H1056" i="16"/>
  <c r="H983" i="16"/>
  <c r="H600" i="16"/>
  <c r="H143" i="16"/>
  <c r="Q1160" i="15"/>
  <c r="Q704" i="15"/>
  <c r="Q623" i="15"/>
  <c r="Q154" i="15"/>
  <c r="Q98" i="15"/>
  <c r="Q73" i="15"/>
  <c r="Q26" i="15"/>
  <c r="Q1070" i="15"/>
  <c r="H1070" i="16"/>
  <c r="Q590" i="15"/>
  <c r="H590" i="16"/>
  <c r="Q270" i="15"/>
  <c r="H270" i="16"/>
  <c r="Q158" i="15"/>
  <c r="J158" i="15"/>
  <c r="K158" i="16" s="1"/>
  <c r="Q110" i="15"/>
  <c r="J110" i="15"/>
  <c r="K110" i="16" s="1"/>
  <c r="Q46" i="15"/>
  <c r="J46" i="15"/>
  <c r="K46" i="16" s="1"/>
  <c r="Q6" i="15"/>
  <c r="J6" i="15"/>
  <c r="K6" i="16" s="1"/>
  <c r="M1213" i="15"/>
  <c r="K1213" i="16"/>
  <c r="M1227" i="15"/>
  <c r="K1227" i="16"/>
  <c r="M1195" i="15"/>
  <c r="K1195" i="16"/>
  <c r="M1195" i="16" s="1"/>
  <c r="M1099" i="15"/>
  <c r="M1099" i="16" s="1"/>
  <c r="K1099" i="16"/>
  <c r="M1035" i="15"/>
  <c r="K1035" i="16"/>
  <c r="M1035" i="16" s="1"/>
  <c r="J175" i="15"/>
  <c r="M175" i="15" s="1"/>
  <c r="J119" i="15"/>
  <c r="K119" i="16" s="1"/>
  <c r="H894" i="16"/>
  <c r="H78" i="16"/>
  <c r="Q1440" i="15"/>
  <c r="Q1431" i="15"/>
  <c r="Q631" i="15"/>
  <c r="Q336" i="15"/>
  <c r="Q176" i="15"/>
  <c r="Q138" i="15"/>
  <c r="Q129" i="15"/>
  <c r="Q80" i="15"/>
  <c r="Q48" i="15"/>
  <c r="M1192" i="16"/>
  <c r="M1185" i="16"/>
  <c r="M866" i="16"/>
  <c r="M1216" i="16"/>
  <c r="M1120" i="16"/>
  <c r="M786" i="16"/>
  <c r="M1181" i="15"/>
  <c r="M1245" i="15"/>
  <c r="M1245" i="16" s="1"/>
  <c r="M1205" i="15"/>
  <c r="M1205" i="16"/>
  <c r="M1153" i="16"/>
  <c r="M1121" i="16"/>
  <c r="M1230" i="15"/>
  <c r="M1230" i="16" s="1"/>
  <c r="M1206" i="15"/>
  <c r="M526" i="15"/>
  <c r="M398" i="15"/>
  <c r="M1077" i="15"/>
  <c r="M725" i="15"/>
  <c r="M709" i="15"/>
  <c r="M533" i="15"/>
  <c r="M517" i="15"/>
  <c r="M517" i="16" s="1"/>
  <c r="M405" i="15"/>
  <c r="M1006" i="16"/>
  <c r="M1294" i="15"/>
  <c r="M661" i="15"/>
  <c r="M661" i="16"/>
  <c r="M581" i="15"/>
  <c r="M581" i="16"/>
  <c r="M389" i="15"/>
  <c r="M341" i="15"/>
  <c r="M261" i="15"/>
  <c r="M1213" i="16"/>
  <c r="M1149" i="16"/>
  <c r="M990" i="16"/>
  <c r="M862" i="15"/>
  <c r="M1238" i="15"/>
  <c r="M878" i="15"/>
  <c r="M830" i="15"/>
  <c r="M782" i="15"/>
  <c r="M718" i="15"/>
  <c r="M590" i="15"/>
  <c r="M1411" i="15"/>
  <c r="M1387" i="15"/>
  <c r="M1355" i="15"/>
  <c r="M1355" i="16"/>
  <c r="M1307" i="15"/>
  <c r="M2" i="15"/>
  <c r="M1434" i="15"/>
  <c r="M1418" i="15"/>
  <c r="M1386" i="15"/>
  <c r="M1370" i="15"/>
  <c r="M1354" i="15"/>
  <c r="M1346" i="15"/>
  <c r="M1314" i="15"/>
  <c r="M1306" i="15"/>
  <c r="M1290" i="15"/>
  <c r="M1266" i="15"/>
  <c r="M1227" i="16"/>
  <c r="M1160" i="16"/>
  <c r="M1131" i="16"/>
  <c r="M1427" i="15"/>
  <c r="M1347" i="15"/>
  <c r="M1331" i="15"/>
  <c r="M1299" i="15"/>
  <c r="M1275" i="15"/>
  <c r="M1051" i="16"/>
  <c r="M961" i="15"/>
  <c r="M913" i="15"/>
  <c r="M833" i="15"/>
  <c r="M745" i="15"/>
  <c r="M1041" i="16"/>
  <c r="M1435" i="15"/>
  <c r="M1403" i="15"/>
  <c r="M1363" i="15"/>
  <c r="M1283" i="15"/>
  <c r="M1259" i="15"/>
  <c r="M1259" i="16" s="1"/>
  <c r="M1336" i="15"/>
  <c r="M1312" i="15"/>
  <c r="M1304" i="15"/>
  <c r="M1248" i="15"/>
  <c r="M1234" i="16"/>
  <c r="M1419" i="15"/>
  <c r="M1395" i="15"/>
  <c r="M1371" i="15"/>
  <c r="M1339" i="15"/>
  <c r="M1323" i="15"/>
  <c r="M1291" i="15"/>
  <c r="M1267" i="15"/>
  <c r="M1440" i="15"/>
  <c r="M1432" i="15"/>
  <c r="M1400" i="15"/>
  <c r="M1376" i="15"/>
  <c r="M1368" i="15"/>
  <c r="M1272" i="15"/>
  <c r="M760" i="15"/>
  <c r="M1263" i="15"/>
  <c r="M111" i="15"/>
  <c r="M47" i="15"/>
  <c r="M218" i="15"/>
  <c r="M1441" i="15"/>
  <c r="M1385" i="15"/>
  <c r="M1353" i="15"/>
  <c r="M1313" i="15"/>
  <c r="M1273" i="15"/>
  <c r="M1225" i="15"/>
  <c r="M1177" i="15"/>
  <c r="M1145" i="15"/>
  <c r="M1113" i="15"/>
  <c r="M1081" i="15"/>
  <c r="M1033" i="15"/>
  <c r="M969" i="15"/>
  <c r="M937" i="15"/>
  <c r="M921" i="15"/>
  <c r="M905" i="15"/>
  <c r="M825" i="15"/>
  <c r="M809" i="15"/>
  <c r="M793" i="15"/>
  <c r="M761" i="15"/>
  <c r="M753" i="15"/>
  <c r="M737" i="15"/>
  <c r="M729" i="15"/>
  <c r="M721" i="15"/>
  <c r="M713" i="15"/>
  <c r="M705" i="15"/>
  <c r="M697" i="15"/>
  <c r="M689" i="15"/>
  <c r="M681" i="15"/>
  <c r="M673" i="15"/>
  <c r="M665" i="15"/>
  <c r="M657" i="15"/>
  <c r="M649" i="15"/>
  <c r="M641" i="15"/>
  <c r="M633" i="15"/>
  <c r="M625" i="15"/>
  <c r="M617" i="15"/>
  <c r="M609" i="15"/>
  <c r="M601" i="15"/>
  <c r="M593" i="15"/>
  <c r="M585" i="15"/>
  <c r="M577" i="15"/>
  <c r="M569" i="15"/>
  <c r="M561" i="15"/>
  <c r="M553" i="15"/>
  <c r="M545" i="15"/>
  <c r="M537" i="15"/>
  <c r="M529" i="15"/>
  <c r="M505" i="15"/>
  <c r="M489" i="15"/>
  <c r="M481" i="15"/>
  <c r="M473" i="15"/>
  <c r="M465" i="15"/>
  <c r="M457" i="15"/>
  <c r="M449" i="15"/>
  <c r="M441" i="15"/>
  <c r="M433" i="15"/>
  <c r="M425" i="15"/>
  <c r="M417" i="15"/>
  <c r="M409" i="15"/>
  <c r="M401" i="15"/>
  <c r="M393" i="15"/>
  <c r="M385" i="15"/>
  <c r="M377" i="15"/>
  <c r="M369" i="15"/>
  <c r="M361" i="15"/>
  <c r="M353" i="15"/>
  <c r="M345" i="15"/>
  <c r="M337" i="15"/>
  <c r="M329" i="15"/>
  <c r="M321" i="15"/>
  <c r="M313" i="15"/>
  <c r="M305" i="15"/>
  <c r="M297" i="15"/>
  <c r="M289" i="15"/>
  <c r="M281" i="15"/>
  <c r="M273" i="15"/>
  <c r="M265" i="15"/>
  <c r="M257" i="15"/>
  <c r="M249" i="15"/>
  <c r="M241" i="15"/>
  <c r="M233" i="15"/>
  <c r="M225" i="15"/>
  <c r="M217" i="15"/>
  <c r="M209" i="15"/>
  <c r="M201" i="15"/>
  <c r="M193" i="15"/>
  <c r="M185" i="15"/>
  <c r="M177" i="15"/>
  <c r="M785" i="15"/>
  <c r="M1186" i="15"/>
  <c r="M1154" i="15"/>
  <c r="M1042" i="15"/>
  <c r="M954" i="15"/>
  <c r="O866" i="15"/>
  <c r="M842" i="15"/>
  <c r="M826" i="15"/>
  <c r="M810" i="15"/>
  <c r="M738" i="15"/>
  <c r="M722" i="15"/>
  <c r="M690" i="15"/>
  <c r="M658" i="15"/>
  <c r="M610" i="15"/>
  <c r="M578" i="15"/>
  <c r="M546" i="15"/>
  <c r="M506" i="15"/>
  <c r="M474" i="15"/>
  <c r="M442" i="15"/>
  <c r="M290" i="15"/>
  <c r="M258" i="15"/>
  <c r="M226" i="15"/>
  <c r="M122" i="15"/>
  <c r="M58" i="15"/>
  <c r="M34" i="15"/>
  <c r="M1417" i="15"/>
  <c r="M1377" i="15"/>
  <c r="M1337" i="15"/>
  <c r="M1305" i="15"/>
  <c r="M1265" i="15"/>
  <c r="M1241" i="15"/>
  <c r="M1201" i="15"/>
  <c r="M1161" i="15"/>
  <c r="M1137" i="15"/>
  <c r="M1105" i="15"/>
  <c r="M1097" i="15"/>
  <c r="M1073" i="15"/>
  <c r="M1057" i="15"/>
  <c r="M1017" i="15"/>
  <c r="M1001" i="15"/>
  <c r="M985" i="15"/>
  <c r="M953" i="15"/>
  <c r="O913" i="15"/>
  <c r="M889" i="15"/>
  <c r="M873" i="15"/>
  <c r="M857" i="15"/>
  <c r="M841" i="15"/>
  <c r="M777" i="15"/>
  <c r="M1240" i="15"/>
  <c r="M1232" i="15"/>
  <c r="O1216" i="15"/>
  <c r="M1208" i="15"/>
  <c r="M1200" i="15"/>
  <c r="O1192" i="15"/>
  <c r="M1176" i="15"/>
  <c r="M1168" i="15"/>
  <c r="O1160" i="15"/>
  <c r="M1144" i="15"/>
  <c r="M1136" i="15"/>
  <c r="O1120" i="15"/>
  <c r="M1112" i="15"/>
  <c r="M1104" i="15"/>
  <c r="M1080" i="15"/>
  <c r="M1072" i="15"/>
  <c r="M1064" i="15"/>
  <c r="M1056" i="15"/>
  <c r="M1048" i="15"/>
  <c r="O1040" i="15"/>
  <c r="M1032" i="15"/>
  <c r="M1024" i="15"/>
  <c r="M1016" i="15"/>
  <c r="M1008" i="15"/>
  <c r="M1000" i="15"/>
  <c r="M992" i="15"/>
  <c r="M984" i="15"/>
  <c r="M976" i="15"/>
  <c r="M968" i="15"/>
  <c r="M960" i="15"/>
  <c r="M952" i="15"/>
  <c r="M944" i="15"/>
  <c r="M936" i="15"/>
  <c r="M928" i="15"/>
  <c r="M920" i="15"/>
  <c r="M912" i="15"/>
  <c r="M904" i="15"/>
  <c r="M896" i="15"/>
  <c r="M888" i="15"/>
  <c r="M880" i="15"/>
  <c r="M872" i="15"/>
  <c r="M864" i="15"/>
  <c r="M856" i="15"/>
  <c r="M848" i="15"/>
  <c r="M840" i="15"/>
  <c r="M832" i="15"/>
  <c r="M824" i="15"/>
  <c r="M816" i="15"/>
  <c r="M808" i="15"/>
  <c r="M800" i="15"/>
  <c r="M792" i="15"/>
  <c r="M784" i="15"/>
  <c r="M776" i="15"/>
  <c r="M768" i="15"/>
  <c r="M744" i="15"/>
  <c r="M736" i="15"/>
  <c r="M728" i="15"/>
  <c r="M720" i="15"/>
  <c r="M712" i="15"/>
  <c r="M704" i="15"/>
  <c r="M696" i="15"/>
  <c r="M688" i="15"/>
  <c r="M680" i="15"/>
  <c r="M672" i="15"/>
  <c r="M664" i="15"/>
  <c r="M656" i="15"/>
  <c r="M648" i="15"/>
  <c r="M640" i="15"/>
  <c r="M632" i="15"/>
  <c r="M624" i="15"/>
  <c r="M616" i="15"/>
  <c r="M608" i="15"/>
  <c r="M600" i="15"/>
  <c r="M592" i="15"/>
  <c r="M584" i="15"/>
  <c r="M576" i="15"/>
  <c r="M568" i="15"/>
  <c r="M560" i="15"/>
  <c r="M552" i="15"/>
  <c r="M544" i="15"/>
  <c r="M536" i="15"/>
  <c r="M528" i="15"/>
  <c r="M520" i="15"/>
  <c r="M512" i="15"/>
  <c r="M504" i="15"/>
  <c r="M496" i="15"/>
  <c r="M488" i="15"/>
  <c r="M480" i="15"/>
  <c r="M472" i="15"/>
  <c r="M464" i="15"/>
  <c r="M456" i="15"/>
  <c r="M448" i="15"/>
  <c r="M432" i="15"/>
  <c r="M424" i="15"/>
  <c r="M416" i="15"/>
  <c r="M408" i="15"/>
  <c r="M400" i="15"/>
  <c r="M392" i="15"/>
  <c r="M384" i="15"/>
  <c r="M376" i="15"/>
  <c r="M368" i="15"/>
  <c r="M360" i="15"/>
  <c r="M352" i="15"/>
  <c r="M344" i="15"/>
  <c r="M336" i="15"/>
  <c r="M328" i="15"/>
  <c r="M320" i="15"/>
  <c r="M312" i="15"/>
  <c r="M304" i="15"/>
  <c r="M296" i="15"/>
  <c r="M288" i="15"/>
  <c r="M280" i="15"/>
  <c r="M272" i="15"/>
  <c r="M264" i="15"/>
  <c r="M256" i="15"/>
  <c r="M248" i="15"/>
  <c r="M240" i="15"/>
  <c r="M232" i="15"/>
  <c r="M224" i="15"/>
  <c r="M216" i="15"/>
  <c r="M208" i="15"/>
  <c r="M200" i="15"/>
  <c r="M192" i="15"/>
  <c r="M184" i="15"/>
  <c r="M176" i="15"/>
  <c r="M168" i="15"/>
  <c r="M144" i="15"/>
  <c r="M136" i="15"/>
  <c r="M128" i="15"/>
  <c r="M120" i="15"/>
  <c r="M112" i="15"/>
  <c r="M104" i="15"/>
  <c r="M88" i="15"/>
  <c r="M72" i="15"/>
  <c r="M64" i="15"/>
  <c r="M56" i="15"/>
  <c r="M48" i="15"/>
  <c r="M40" i="15"/>
  <c r="M32" i="15"/>
  <c r="M16" i="15"/>
  <c r="M8" i="15"/>
  <c r="M1416" i="15"/>
  <c r="M1352" i="15"/>
  <c r="M1288" i="15"/>
  <c r="M1184" i="15"/>
  <c r="M1128" i="15"/>
  <c r="M1066" i="15"/>
  <c r="M993" i="15"/>
  <c r="M865" i="15"/>
  <c r="M80" i="15"/>
  <c r="M1439" i="15"/>
  <c r="M1431" i="15"/>
  <c r="M1423" i="15"/>
  <c r="M1415" i="15"/>
  <c r="M1407" i="15"/>
  <c r="M1399" i="15"/>
  <c r="M1391" i="15"/>
  <c r="M1383" i="15"/>
  <c r="M1375" i="15"/>
  <c r="M1367" i="15"/>
  <c r="M1359" i="15"/>
  <c r="M1351" i="15"/>
  <c r="M1343" i="15"/>
  <c r="M1335" i="15"/>
  <c r="M1327" i="15"/>
  <c r="M1319" i="15"/>
  <c r="M1311" i="15"/>
  <c r="M1303" i="15"/>
  <c r="M1295" i="15"/>
  <c r="M1287" i="15"/>
  <c r="M1279" i="15"/>
  <c r="M1271" i="15"/>
  <c r="M1255" i="15"/>
  <c r="M1247" i="15"/>
  <c r="M1239" i="15"/>
  <c r="M1231" i="15"/>
  <c r="M1223" i="15"/>
  <c r="M1215" i="15"/>
  <c r="M1207" i="15"/>
  <c r="M1199" i="15"/>
  <c r="M1191" i="15"/>
  <c r="M1183" i="15"/>
  <c r="M1175" i="15"/>
  <c r="M1167" i="15"/>
  <c r="M1159" i="15"/>
  <c r="M1151" i="15"/>
  <c r="M1143" i="15"/>
  <c r="M1135" i="15"/>
  <c r="M1127" i="15"/>
  <c r="M1119" i="15"/>
  <c r="M1111" i="15"/>
  <c r="M1103" i="15"/>
  <c r="M1095" i="15"/>
  <c r="M1087" i="15"/>
  <c r="M1079" i="15"/>
  <c r="M1071" i="15"/>
  <c r="M1063" i="15"/>
  <c r="M1055" i="15"/>
  <c r="M1047" i="15"/>
  <c r="M1039" i="15"/>
  <c r="M1031" i="15"/>
  <c r="M1023" i="15"/>
  <c r="M1015" i="15"/>
  <c r="M1007" i="15"/>
  <c r="M999" i="15"/>
  <c r="M991" i="15"/>
  <c r="M983" i="15"/>
  <c r="M975" i="15"/>
  <c r="M967" i="15"/>
  <c r="M959" i="15"/>
  <c r="M951" i="15"/>
  <c r="M943" i="15"/>
  <c r="M935" i="15"/>
  <c r="M927" i="15"/>
  <c r="M919" i="15"/>
  <c r="M911" i="15"/>
  <c r="M903" i="15"/>
  <c r="M895" i="15"/>
  <c r="M887" i="15"/>
  <c r="M879" i="15"/>
  <c r="M871" i="15"/>
  <c r="M863" i="15"/>
  <c r="M855" i="15"/>
  <c r="M847" i="15"/>
  <c r="M839" i="15"/>
  <c r="M831" i="15"/>
  <c r="M823" i="15"/>
  <c r="M815" i="15"/>
  <c r="M807" i="15"/>
  <c r="M799" i="15"/>
  <c r="M791" i="15"/>
  <c r="M783" i="15"/>
  <c r="M775" i="15"/>
  <c r="M767" i="15"/>
  <c r="M759" i="15"/>
  <c r="M743" i="15"/>
  <c r="M735" i="15"/>
  <c r="M727" i="15"/>
  <c r="M719" i="15"/>
  <c r="M711" i="15"/>
  <c r="M703" i="15"/>
  <c r="M695" i="15"/>
  <c r="M687" i="15"/>
  <c r="M679" i="15"/>
  <c r="M671" i="15"/>
  <c r="M663" i="15"/>
  <c r="M655" i="15"/>
  <c r="M647" i="15"/>
  <c r="M639" i="15"/>
  <c r="M631" i="15"/>
  <c r="M623" i="15"/>
  <c r="M615" i="15"/>
  <c r="M607" i="15"/>
  <c r="M599" i="15"/>
  <c r="M591" i="15"/>
  <c r="M583" i="15"/>
  <c r="M575" i="15"/>
  <c r="M567" i="15"/>
  <c r="M559" i="15"/>
  <c r="M551" i="15"/>
  <c r="M543" i="15"/>
  <c r="M535" i="15"/>
  <c r="M527" i="15"/>
  <c r="M519" i="15"/>
  <c r="M511" i="15"/>
  <c r="M503" i="15"/>
  <c r="M495" i="15"/>
  <c r="M487" i="15"/>
  <c r="M479" i="15"/>
  <c r="M471" i="15"/>
  <c r="M463" i="15"/>
  <c r="M455" i="15"/>
  <c r="M447" i="15"/>
  <c r="M439" i="15"/>
  <c r="M431" i="15"/>
  <c r="M423" i="15"/>
  <c r="M415" i="15"/>
  <c r="M407" i="15"/>
  <c r="M399" i="15"/>
  <c r="M391" i="15"/>
  <c r="M383" i="15"/>
  <c r="M375" i="15"/>
  <c r="M367" i="15"/>
  <c r="M359" i="15"/>
  <c r="M351" i="15"/>
  <c r="M343" i="15"/>
  <c r="M335" i="15"/>
  <c r="M327" i="15"/>
  <c r="M319" i="15"/>
  <c r="M311" i="15"/>
  <c r="M303" i="15"/>
  <c r="M295" i="15"/>
  <c r="M287" i="15"/>
  <c r="M279" i="15"/>
  <c r="M271" i="15"/>
  <c r="M263" i="15"/>
  <c r="M255" i="15"/>
  <c r="M247" i="15"/>
  <c r="M239" i="15"/>
  <c r="M231" i="15"/>
  <c r="M1392" i="15"/>
  <c r="M1328" i="15"/>
  <c r="M1264" i="15"/>
  <c r="M1152" i="15"/>
  <c r="M1096" i="15"/>
  <c r="M1065" i="15"/>
  <c r="M945" i="15"/>
  <c r="M898" i="15"/>
  <c r="M817" i="15"/>
  <c r="M770" i="15"/>
  <c r="M1242" i="15"/>
  <c r="M1178" i="15"/>
  <c r="M1146" i="15"/>
  <c r="M1122" i="15"/>
  <c r="M1034" i="15"/>
  <c r="M970" i="15"/>
  <c r="M890" i="15"/>
  <c r="M858" i="15"/>
  <c r="M754" i="15"/>
  <c r="M706" i="15"/>
  <c r="M674" i="15"/>
  <c r="M642" i="15"/>
  <c r="M594" i="15"/>
  <c r="M562" i="15"/>
  <c r="M530" i="15"/>
  <c r="M498" i="15"/>
  <c r="M458" i="15"/>
  <c r="M394" i="15"/>
  <c r="M330" i="15"/>
  <c r="M306" i="15"/>
  <c r="M274" i="15"/>
  <c r="M250" i="15"/>
  <c r="M210" i="15"/>
  <c r="M146" i="15"/>
  <c r="M114" i="15"/>
  <c r="M82" i="15"/>
  <c r="M42" i="15"/>
  <c r="M10" i="15"/>
  <c r="M1106" i="15"/>
  <c r="M914" i="15"/>
  <c r="M1425" i="15"/>
  <c r="M1393" i="15"/>
  <c r="M1361" i="15"/>
  <c r="M1329" i="15"/>
  <c r="M1297" i="15"/>
  <c r="M1281" i="15"/>
  <c r="M1257" i="15"/>
  <c r="M1233" i="15"/>
  <c r="O1185" i="15"/>
  <c r="O1153" i="15"/>
  <c r="M1129" i="15"/>
  <c r="O1041" i="15"/>
  <c r="M513" i="15"/>
  <c r="M1438" i="15"/>
  <c r="M1430" i="15"/>
  <c r="M1422" i="15"/>
  <c r="M1414" i="15"/>
  <c r="M1406" i="15"/>
  <c r="M1398" i="15"/>
  <c r="M1390" i="15"/>
  <c r="M1382" i="15"/>
  <c r="M1374" i="15"/>
  <c r="M1366" i="15"/>
  <c r="M1358" i="15"/>
  <c r="M1350" i="15"/>
  <c r="M1342" i="15"/>
  <c r="M1334" i="15"/>
  <c r="M1326" i="15"/>
  <c r="M1318" i="15"/>
  <c r="M1310" i="15"/>
  <c r="M1302" i="15"/>
  <c r="M1286" i="15"/>
  <c r="M1278" i="15"/>
  <c r="M1270" i="15"/>
  <c r="M1262" i="15"/>
  <c r="M1254" i="15"/>
  <c r="M1246" i="15"/>
  <c r="M1222" i="15"/>
  <c r="M1214" i="15"/>
  <c r="M1198" i="15"/>
  <c r="M1190" i="15"/>
  <c r="M1182" i="15"/>
  <c r="M1166" i="15"/>
  <c r="M1158" i="15"/>
  <c r="M1150" i="15"/>
  <c r="M1134" i="15"/>
  <c r="M1126" i="15"/>
  <c r="M1118" i="15"/>
  <c r="M1102" i="15"/>
  <c r="M1094" i="15"/>
  <c r="M1086" i="15"/>
  <c r="M1070" i="15"/>
  <c r="M1046" i="15"/>
  <c r="M1038" i="15"/>
  <c r="M1030" i="15"/>
  <c r="M1014" i="15"/>
  <c r="M998" i="15"/>
  <c r="O990" i="15"/>
  <c r="M982" i="15"/>
  <c r="M966" i="15"/>
  <c r="O958" i="15"/>
  <c r="M950" i="15"/>
  <c r="M934" i="15"/>
  <c r="M918" i="15"/>
  <c r="O910" i="15"/>
  <c r="M902" i="15"/>
  <c r="M886" i="15"/>
  <c r="M870" i="15"/>
  <c r="M854" i="15"/>
  <c r="M838" i="15"/>
  <c r="M822" i="15"/>
  <c r="M806" i="15"/>
  <c r="M790" i="15"/>
  <c r="M774" i="15"/>
  <c r="M758" i="15"/>
  <c r="M750" i="15"/>
  <c r="M742" i="15"/>
  <c r="M734" i="15"/>
  <c r="M726" i="15"/>
  <c r="M710" i="15"/>
  <c r="M702" i="15"/>
  <c r="M694" i="15"/>
  <c r="M686" i="15"/>
  <c r="M678" i="15"/>
  <c r="M670" i="15"/>
  <c r="M662" i="15"/>
  <c r="M646" i="15"/>
  <c r="M638" i="15"/>
  <c r="M630" i="15"/>
  <c r="M622" i="15"/>
  <c r="M614" i="15"/>
  <c r="M606" i="15"/>
  <c r="M598" i="15"/>
  <c r="M582" i="15"/>
  <c r="M574" i="15"/>
  <c r="M566" i="15"/>
  <c r="M558" i="15"/>
  <c r="M550" i="15"/>
  <c r="M542" i="15"/>
  <c r="M534" i="15"/>
  <c r="M518" i="15"/>
  <c r="M510" i="15"/>
  <c r="M502" i="15"/>
  <c r="M494" i="15"/>
  <c r="M486" i="15"/>
  <c r="M478" i="15"/>
  <c r="M470" i="15"/>
  <c r="M454" i="15"/>
  <c r="M446" i="15"/>
  <c r="M438" i="15"/>
  <c r="M430" i="15"/>
  <c r="M422" i="15"/>
  <c r="M414" i="15"/>
  <c r="M406" i="15"/>
  <c r="M390" i="15"/>
  <c r="M382" i="15"/>
  <c r="M374" i="15"/>
  <c r="M366" i="15"/>
  <c r="M358" i="15"/>
  <c r="M350" i="15"/>
  <c r="M342" i="15"/>
  <c r="M326" i="15"/>
  <c r="M318" i="15"/>
  <c r="M310" i="15"/>
  <c r="M302" i="15"/>
  <c r="M294" i="15"/>
  <c r="M286" i="15"/>
  <c r="M278" i="15"/>
  <c r="M262" i="15"/>
  <c r="M254" i="15"/>
  <c r="M246" i="15"/>
  <c r="M1410" i="15"/>
  <c r="M1174" i="15"/>
  <c r="M1089" i="15"/>
  <c r="M1062" i="15"/>
  <c r="M1025" i="15"/>
  <c r="M978" i="15"/>
  <c r="M942" i="15"/>
  <c r="M897" i="15"/>
  <c r="M814" i="15"/>
  <c r="M769" i="15"/>
  <c r="M334" i="15"/>
  <c r="M1250" i="15"/>
  <c r="M1082" i="15"/>
  <c r="M1050" i="15"/>
  <c r="M938" i="15"/>
  <c r="M922" i="15"/>
  <c r="M906" i="15"/>
  <c r="M874" i="15"/>
  <c r="O786" i="15"/>
  <c r="M746" i="15"/>
  <c r="M698" i="15"/>
  <c r="M634" i="15"/>
  <c r="M602" i="15"/>
  <c r="M482" i="15"/>
  <c r="M434" i="15"/>
  <c r="M402" i="15"/>
  <c r="M370" i="15"/>
  <c r="M338" i="15"/>
  <c r="M266" i="15"/>
  <c r="M234" i="15"/>
  <c r="M202" i="15"/>
  <c r="M106" i="15"/>
  <c r="M74" i="15"/>
  <c r="M50" i="15"/>
  <c r="M18" i="15"/>
  <c r="M1433" i="15"/>
  <c r="M1401" i="15"/>
  <c r="M1369" i="15"/>
  <c r="M1345" i="15"/>
  <c r="M1321" i="15"/>
  <c r="M1289" i="15"/>
  <c r="M1193" i="15"/>
  <c r="M1169" i="15"/>
  <c r="O1121" i="15"/>
  <c r="M497" i="15"/>
  <c r="M1437" i="15"/>
  <c r="M1429" i="15"/>
  <c r="M1421" i="15"/>
  <c r="M1413" i="15"/>
  <c r="M1405" i="15"/>
  <c r="M1397" i="15"/>
  <c r="M1389" i="15"/>
  <c r="M1381" i="15"/>
  <c r="M1373" i="15"/>
  <c r="M1365" i="15"/>
  <c r="M1357" i="15"/>
  <c r="M1349" i="15"/>
  <c r="M1341" i="15"/>
  <c r="M1333" i="15"/>
  <c r="M1325" i="15"/>
  <c r="M1317" i="15"/>
  <c r="M1309" i="15"/>
  <c r="M1301" i="15"/>
  <c r="M1293" i="15"/>
  <c r="M1285" i="15"/>
  <c r="M1277" i="15"/>
  <c r="M1269" i="15"/>
  <c r="M1261" i="15"/>
  <c r="M1253" i="15"/>
  <c r="M1229" i="15"/>
  <c r="M1221" i="15"/>
  <c r="O1213" i="15"/>
  <c r="O1205" i="15"/>
  <c r="M1197" i="15"/>
  <c r="M1189" i="15"/>
  <c r="M1165" i="15"/>
  <c r="M1157" i="15"/>
  <c r="O1149" i="15"/>
  <c r="M1133" i="15"/>
  <c r="M1125" i="15"/>
  <c r="M1101" i="15"/>
  <c r="M1093" i="15"/>
  <c r="M1069" i="15"/>
  <c r="M1061" i="15"/>
  <c r="M1053" i="15"/>
  <c r="M1045" i="15"/>
  <c r="M1037" i="15"/>
  <c r="M1029" i="15"/>
  <c r="M1021" i="15"/>
  <c r="M1013" i="15"/>
  <c r="M1005" i="15"/>
  <c r="M997" i="15"/>
  <c r="M989" i="15"/>
  <c r="M981" i="15"/>
  <c r="M973" i="15"/>
  <c r="M965" i="15"/>
  <c r="M957" i="15"/>
  <c r="M949" i="15"/>
  <c r="M941" i="15"/>
  <c r="M933" i="15"/>
  <c r="M925" i="15"/>
  <c r="M917" i="15"/>
  <c r="M909" i="15"/>
  <c r="M901" i="15"/>
  <c r="M893" i="15"/>
  <c r="M893" i="16" s="1"/>
  <c r="M885" i="15"/>
  <c r="M877" i="15"/>
  <c r="M869" i="15"/>
  <c r="M861" i="15"/>
  <c r="M853" i="15"/>
  <c r="M845" i="15"/>
  <c r="M837" i="15"/>
  <c r="M829" i="15"/>
  <c r="M821" i="15"/>
  <c r="M813" i="15"/>
  <c r="M805" i="15"/>
  <c r="M797" i="15"/>
  <c r="M789" i="15"/>
  <c r="M781" i="15"/>
  <c r="M773" i="15"/>
  <c r="M765" i="15"/>
  <c r="M757" i="15"/>
  <c r="M749" i="15"/>
  <c r="M741" i="15"/>
  <c r="M733" i="15"/>
  <c r="M717" i="15"/>
  <c r="M701" i="15"/>
  <c r="M693" i="15"/>
  <c r="M685" i="15"/>
  <c r="M677" i="15"/>
  <c r="M669" i="15"/>
  <c r="M653" i="15"/>
  <c r="M637" i="15"/>
  <c r="M629" i="15"/>
  <c r="M621" i="15"/>
  <c r="M613" i="15"/>
  <c r="M605" i="15"/>
  <c r="M589" i="15"/>
  <c r="O581" i="15"/>
  <c r="M573" i="15"/>
  <c r="M565" i="15"/>
  <c r="M557" i="15"/>
  <c r="M549" i="15"/>
  <c r="M541" i="15"/>
  <c r="M525" i="15"/>
  <c r="M509" i="15"/>
  <c r="M501" i="15"/>
  <c r="M493" i="15"/>
  <c r="M485" i="15"/>
  <c r="M477" i="15"/>
  <c r="M461" i="15"/>
  <c r="M445" i="15"/>
  <c r="M437" i="15"/>
  <c r="M429" i="15"/>
  <c r="M421" i="15"/>
  <c r="M413" i="15"/>
  <c r="M397" i="15"/>
  <c r="M381" i="15"/>
  <c r="M373" i="15"/>
  <c r="M365" i="15"/>
  <c r="M357" i="15"/>
  <c r="M349" i="15"/>
  <c r="M333" i="15"/>
  <c r="M317" i="15"/>
  <c r="M309" i="15"/>
  <c r="M301" i="15"/>
  <c r="M293" i="15"/>
  <c r="M285" i="15"/>
  <c r="M269" i="15"/>
  <c r="M253" i="15"/>
  <c r="M245" i="15"/>
  <c r="M237" i="15"/>
  <c r="M229" i="15"/>
  <c r="M1408" i="15"/>
  <c r="M1344" i="15"/>
  <c r="M1322" i="15"/>
  <c r="M1280" i="15"/>
  <c r="M1202" i="15"/>
  <c r="M1173" i="15"/>
  <c r="M1142" i="15"/>
  <c r="M1117" i="15"/>
  <c r="M1088" i="15"/>
  <c r="M1054" i="15"/>
  <c r="M1022" i="15"/>
  <c r="M977" i="15"/>
  <c r="M894" i="15"/>
  <c r="M849" i="15"/>
  <c r="M766" i="15"/>
  <c r="M654" i="15"/>
  <c r="M469" i="15"/>
  <c r="M325" i="15"/>
  <c r="O1234" i="15"/>
  <c r="M1218" i="15"/>
  <c r="M1114" i="15"/>
  <c r="M1090" i="15"/>
  <c r="M1058" i="15"/>
  <c r="M986" i="15"/>
  <c r="M778" i="15"/>
  <c r="M762" i="15"/>
  <c r="M730" i="15"/>
  <c r="M714" i="15"/>
  <c r="M682" i="15"/>
  <c r="M618" i="15"/>
  <c r="M586" i="15"/>
  <c r="M554" i="15"/>
  <c r="M490" i="15"/>
  <c r="M466" i="15"/>
  <c r="M410" i="15"/>
  <c r="M378" i="15"/>
  <c r="M346" i="15"/>
  <c r="M314" i="15"/>
  <c r="M242" i="15"/>
  <c r="M194" i="15"/>
  <c r="M162" i="15"/>
  <c r="M130" i="15"/>
  <c r="M98" i="15"/>
  <c r="M66" i="15"/>
  <c r="M26" i="15"/>
  <c r="M1409" i="15"/>
  <c r="M1209" i="15"/>
  <c r="M521" i="15"/>
  <c r="M1436" i="15"/>
  <c r="M1428" i="15"/>
  <c r="M1420" i="15"/>
  <c r="M1412" i="15"/>
  <c r="M1404" i="15"/>
  <c r="M1396" i="15"/>
  <c r="M1388" i="15"/>
  <c r="M1380" i="15"/>
  <c r="M1372" i="15"/>
  <c r="M1364" i="15"/>
  <c r="M1356" i="15"/>
  <c r="M1348" i="15"/>
  <c r="M1340" i="15"/>
  <c r="M1332" i="15"/>
  <c r="M1324" i="15"/>
  <c r="M1316" i="15"/>
  <c r="M1308" i="15"/>
  <c r="M1300" i="15"/>
  <c r="M1292" i="15"/>
  <c r="M1284" i="15"/>
  <c r="M1276" i="15"/>
  <c r="M1268" i="15"/>
  <c r="M1260" i="15"/>
  <c r="M1252" i="15"/>
  <c r="M1244" i="15"/>
  <c r="M1236" i="15"/>
  <c r="M1228" i="15"/>
  <c r="M1220" i="15"/>
  <c r="M1212" i="15"/>
  <c r="M1204" i="15"/>
  <c r="M1196" i="15"/>
  <c r="M1188" i="15"/>
  <c r="M1180" i="15"/>
  <c r="M1172" i="15"/>
  <c r="M1164" i="15"/>
  <c r="M1156" i="15"/>
  <c r="M1148" i="15"/>
  <c r="M1140" i="15"/>
  <c r="M1132" i="15"/>
  <c r="M1124" i="15"/>
  <c r="M1116" i="15"/>
  <c r="M1108" i="15"/>
  <c r="M1100" i="15"/>
  <c r="M1092" i="15"/>
  <c r="M1084" i="15"/>
  <c r="M1076" i="15"/>
  <c r="M1068" i="15"/>
  <c r="M1060" i="15"/>
  <c r="M1052" i="15"/>
  <c r="M1044" i="15"/>
  <c r="M1036" i="15"/>
  <c r="M1028" i="15"/>
  <c r="M1020" i="15"/>
  <c r="M1012" i="15"/>
  <c r="M1004" i="15"/>
  <c r="M996" i="15"/>
  <c r="M988" i="15"/>
  <c r="M980" i="15"/>
  <c r="M972" i="15"/>
  <c r="M964" i="15"/>
  <c r="M956" i="15"/>
  <c r="M948" i="15"/>
  <c r="M940" i="15"/>
  <c r="M932" i="15"/>
  <c r="M924" i="15"/>
  <c r="M916" i="15"/>
  <c r="M908" i="15"/>
  <c r="M900" i="15"/>
  <c r="M892" i="15"/>
  <c r="M884" i="15"/>
  <c r="M876" i="15"/>
  <c r="M868" i="15"/>
  <c r="M860" i="15"/>
  <c r="M852" i="15"/>
  <c r="M844" i="15"/>
  <c r="M836" i="15"/>
  <c r="M828" i="15"/>
  <c r="M820" i="15"/>
  <c r="M812" i="15"/>
  <c r="M804" i="15"/>
  <c r="M796" i="15"/>
  <c r="M788" i="15"/>
  <c r="M780" i="15"/>
  <c r="M772" i="15"/>
  <c r="M764" i="15"/>
  <c r="M756" i="15"/>
  <c r="M748" i="15"/>
  <c r="M740" i="15"/>
  <c r="M732" i="15"/>
  <c r="M724" i="15"/>
  <c r="M716" i="15"/>
  <c r="M708" i="15"/>
  <c r="M700" i="15"/>
  <c r="M692" i="15"/>
  <c r="M684" i="15"/>
  <c r="M676" i="15"/>
  <c r="M668" i="15"/>
  <c r="M660" i="15"/>
  <c r="M652" i="15"/>
  <c r="M644" i="15"/>
  <c r="M636" i="15"/>
  <c r="M628" i="15"/>
  <c r="M620" i="15"/>
  <c r="M612" i="15"/>
  <c r="M604" i="15"/>
  <c r="M596" i="15"/>
  <c r="M588" i="15"/>
  <c r="M580" i="15"/>
  <c r="M572" i="15"/>
  <c r="M564" i="15"/>
  <c r="M556" i="15"/>
  <c r="M548" i="15"/>
  <c r="M540" i="15"/>
  <c r="M532" i="15"/>
  <c r="M524" i="15"/>
  <c r="M516" i="15"/>
  <c r="M508" i="15"/>
  <c r="M500" i="15"/>
  <c r="M492" i="15"/>
  <c r="M484" i="15"/>
  <c r="M476" i="15"/>
  <c r="M468" i="15"/>
  <c r="M460" i="15"/>
  <c r="M452" i="15"/>
  <c r="M444" i="15"/>
  <c r="M436" i="15"/>
  <c r="M428" i="15"/>
  <c r="M420" i="15"/>
  <c r="M412" i="15"/>
  <c r="M404" i="15"/>
  <c r="M396" i="15"/>
  <c r="M388" i="15"/>
  <c r="M380" i="15"/>
  <c r="M372" i="15"/>
  <c r="M364" i="15"/>
  <c r="M356" i="15"/>
  <c r="M348" i="15"/>
  <c r="M340" i="15"/>
  <c r="M332" i="15"/>
  <c r="M324" i="15"/>
  <c r="M316" i="15"/>
  <c r="M308" i="15"/>
  <c r="M300" i="15"/>
  <c r="M292" i="15"/>
  <c r="M284" i="15"/>
  <c r="M276" i="15"/>
  <c r="M268" i="15"/>
  <c r="M260" i="15"/>
  <c r="M252" i="15"/>
  <c r="M244" i="15"/>
  <c r="M236" i="15"/>
  <c r="M1426" i="15"/>
  <c r="M1384" i="15"/>
  <c r="M1362" i="15"/>
  <c r="M1320" i="15"/>
  <c r="M1298" i="15"/>
  <c r="M1256" i="15"/>
  <c r="M1170" i="15"/>
  <c r="M1141" i="15"/>
  <c r="M1110" i="15"/>
  <c r="M1085" i="15"/>
  <c r="M1010" i="15"/>
  <c r="M974" i="15"/>
  <c r="M929" i="15"/>
  <c r="M882" i="15"/>
  <c r="M846" i="15"/>
  <c r="M801" i="15"/>
  <c r="M752" i="15"/>
  <c r="M645" i="15"/>
  <c r="M462" i="15"/>
  <c r="M277" i="15"/>
  <c r="O1339" i="15"/>
  <c r="M1251" i="15"/>
  <c r="M1243" i="15"/>
  <c r="M1235" i="15"/>
  <c r="M1219" i="15"/>
  <c r="M1211" i="15"/>
  <c r="M1203" i="15"/>
  <c r="O1195" i="15"/>
  <c r="M1187" i="15"/>
  <c r="M1179" i="15"/>
  <c r="M1171" i="15"/>
  <c r="M1155" i="15"/>
  <c r="M1147" i="15"/>
  <c r="M1139" i="15"/>
  <c r="O1131" i="15"/>
  <c r="M1123" i="15"/>
  <c r="M1115" i="15"/>
  <c r="M1107" i="15"/>
  <c r="M1091" i="15"/>
  <c r="M1083" i="15"/>
  <c r="M1075" i="15"/>
  <c r="M1067" i="15"/>
  <c r="M1059" i="15"/>
  <c r="O1051" i="15"/>
  <c r="M1043" i="15"/>
  <c r="O1035" i="15"/>
  <c r="M1027" i="15"/>
  <c r="M1019" i="15"/>
  <c r="M1011" i="15"/>
  <c r="M1003" i="15"/>
  <c r="M995" i="15"/>
  <c r="M987" i="15"/>
  <c r="M979" i="15"/>
  <c r="M971" i="15"/>
  <c r="M963" i="15"/>
  <c r="M955" i="15"/>
  <c r="M947" i="15"/>
  <c r="M939" i="15"/>
  <c r="M931" i="15"/>
  <c r="M923" i="15"/>
  <c r="M915" i="15"/>
  <c r="M907" i="15"/>
  <c r="M899" i="15"/>
  <c r="M891" i="15"/>
  <c r="M883" i="15"/>
  <c r="M875" i="15"/>
  <c r="M867" i="15"/>
  <c r="M859" i="15"/>
  <c r="M851" i="15"/>
  <c r="M843" i="15"/>
  <c r="M835" i="15"/>
  <c r="M827" i="15"/>
  <c r="M819" i="15"/>
  <c r="M811" i="15"/>
  <c r="M803" i="15"/>
  <c r="M795" i="15"/>
  <c r="M787" i="15"/>
  <c r="M779" i="15"/>
  <c r="M771" i="15"/>
  <c r="M763" i="15"/>
  <c r="M755" i="15"/>
  <c r="M747" i="15"/>
  <c r="M739" i="15"/>
  <c r="M731" i="15"/>
  <c r="M723" i="15"/>
  <c r="M715" i="15"/>
  <c r="M707" i="15"/>
  <c r="M699" i="15"/>
  <c r="M691" i="15"/>
  <c r="M683" i="15"/>
  <c r="M675" i="15"/>
  <c r="M667" i="15"/>
  <c r="M659" i="15"/>
  <c r="M651" i="15"/>
  <c r="M643" i="15"/>
  <c r="M635" i="15"/>
  <c r="M627" i="15"/>
  <c r="M619" i="15"/>
  <c r="M611" i="15"/>
  <c r="M603" i="15"/>
  <c r="M595" i="15"/>
  <c r="M587" i="15"/>
  <c r="M579" i="15"/>
  <c r="M571" i="15"/>
  <c r="M563" i="15"/>
  <c r="M555" i="15"/>
  <c r="M547" i="15"/>
  <c r="M539" i="15"/>
  <c r="M531" i="15"/>
  <c r="M523" i="15"/>
  <c r="M515" i="15"/>
  <c r="M507" i="15"/>
  <c r="M499" i="15"/>
  <c r="M491" i="15"/>
  <c r="M483" i="15"/>
  <c r="M475" i="15"/>
  <c r="M467" i="15"/>
  <c r="M459" i="15"/>
  <c r="M451" i="15"/>
  <c r="M443" i="15"/>
  <c r="M435" i="15"/>
  <c r="M427" i="15"/>
  <c r="M419" i="15"/>
  <c r="M411" i="15"/>
  <c r="M403" i="15"/>
  <c r="M395" i="15"/>
  <c r="M387" i="15"/>
  <c r="M379" i="15"/>
  <c r="M371" i="15"/>
  <c r="M363" i="15"/>
  <c r="M355" i="15"/>
  <c r="M347" i="15"/>
  <c r="M339" i="15"/>
  <c r="M331" i="15"/>
  <c r="M323" i="15"/>
  <c r="M315" i="15"/>
  <c r="M307" i="15"/>
  <c r="M299" i="15"/>
  <c r="M291" i="15"/>
  <c r="M283" i="15"/>
  <c r="M275" i="15"/>
  <c r="M267" i="15"/>
  <c r="M259" i="15"/>
  <c r="M251" i="15"/>
  <c r="M243" i="15"/>
  <c r="M235" i="15"/>
  <c r="M227" i="15"/>
  <c r="M219" i="15"/>
  <c r="M211" i="15"/>
  <c r="M203" i="15"/>
  <c r="M195" i="15"/>
  <c r="M187" i="15"/>
  <c r="M179" i="15"/>
  <c r="M171" i="15"/>
  <c r="M163" i="15"/>
  <c r="M155" i="15"/>
  <c r="M147" i="15"/>
  <c r="M139" i="15"/>
  <c r="M131" i="15"/>
  <c r="M123" i="15"/>
  <c r="M115" i="15"/>
  <c r="M107" i="15"/>
  <c r="M99" i="15"/>
  <c r="M91" i="15"/>
  <c r="M83" i="15"/>
  <c r="M75" i="15"/>
  <c r="M67" i="15"/>
  <c r="M59" i="15"/>
  <c r="M51" i="15"/>
  <c r="M43" i="15"/>
  <c r="M35" i="15"/>
  <c r="M27" i="15"/>
  <c r="M19" i="15"/>
  <c r="M11" i="15"/>
  <c r="M3" i="15"/>
  <c r="M1424" i="15"/>
  <c r="M1402" i="15"/>
  <c r="M1379" i="15"/>
  <c r="M1360" i="15"/>
  <c r="M1338" i="15"/>
  <c r="M1315" i="15"/>
  <c r="M1296" i="15"/>
  <c r="M1274" i="15"/>
  <c r="M1249" i="15"/>
  <c r="M1224" i="15"/>
  <c r="M1194" i="15"/>
  <c r="M1163" i="15"/>
  <c r="M1138" i="15"/>
  <c r="M1109" i="15"/>
  <c r="M1078" i="15"/>
  <c r="M1049" i="15"/>
  <c r="M1009" i="15"/>
  <c r="M962" i="15"/>
  <c r="M926" i="15"/>
  <c r="M881" i="15"/>
  <c r="M834" i="15"/>
  <c r="M798" i="15"/>
  <c r="M751" i="15"/>
  <c r="M597" i="15"/>
  <c r="M453" i="15"/>
  <c r="M270" i="15"/>
  <c r="M161" i="15"/>
  <c r="M153" i="15"/>
  <c r="M145" i="15"/>
  <c r="M137" i="15"/>
  <c r="M129" i="15"/>
  <c r="M121" i="15"/>
  <c r="M105" i="15"/>
  <c r="M97" i="15"/>
  <c r="M89" i="15"/>
  <c r="M81" i="15"/>
  <c r="M73" i="15"/>
  <c r="M65" i="15"/>
  <c r="M57" i="15"/>
  <c r="M41" i="15"/>
  <c r="M33" i="15"/>
  <c r="M25" i="15"/>
  <c r="M17" i="15"/>
  <c r="M223" i="15"/>
  <c r="M215" i="15"/>
  <c r="M199" i="15"/>
  <c r="M191" i="15"/>
  <c r="M183" i="15"/>
  <c r="M167" i="15"/>
  <c r="M159" i="15"/>
  <c r="M151" i="15"/>
  <c r="M143" i="15"/>
  <c r="M135" i="15"/>
  <c r="M127" i="15"/>
  <c r="M119" i="15"/>
  <c r="M103" i="15"/>
  <c r="M95" i="15"/>
  <c r="M87" i="15"/>
  <c r="M71" i="15"/>
  <c r="M63" i="15"/>
  <c r="M55" i="15"/>
  <c r="M39" i="15"/>
  <c r="M23" i="15"/>
  <c r="M15" i="15"/>
  <c r="M7" i="15"/>
  <c r="M238" i="15"/>
  <c r="M230" i="15"/>
  <c r="M222" i="15"/>
  <c r="M214" i="15"/>
  <c r="M206" i="15"/>
  <c r="M198" i="15"/>
  <c r="M190" i="15"/>
  <c r="M182" i="15"/>
  <c r="M174" i="15"/>
  <c r="M166" i="15"/>
  <c r="M158" i="15"/>
  <c r="M150" i="15"/>
  <c r="M142" i="15"/>
  <c r="M134" i="15"/>
  <c r="M126" i="15"/>
  <c r="M118" i="15"/>
  <c r="M110" i="15"/>
  <c r="M102" i="15"/>
  <c r="M94" i="15"/>
  <c r="M78" i="15"/>
  <c r="M70" i="15"/>
  <c r="M62" i="15"/>
  <c r="M54" i="15"/>
  <c r="M38" i="15"/>
  <c r="M30" i="15"/>
  <c r="M14" i="15"/>
  <c r="M6" i="15"/>
  <c r="M221" i="15"/>
  <c r="M213" i="15"/>
  <c r="M205" i="15"/>
  <c r="M197" i="15"/>
  <c r="M189" i="15"/>
  <c r="M181" i="15"/>
  <c r="M173" i="15"/>
  <c r="M165" i="15"/>
  <c r="M157" i="15"/>
  <c r="M149" i="15"/>
  <c r="M141" i="15"/>
  <c r="M133" i="15"/>
  <c r="M125" i="15"/>
  <c r="M117" i="15"/>
  <c r="M109" i="15"/>
  <c r="M101" i="15"/>
  <c r="M93" i="15"/>
  <c r="M85" i="15"/>
  <c r="M77" i="15"/>
  <c r="M69" i="15"/>
  <c r="M61" i="15"/>
  <c r="M53" i="15"/>
  <c r="M45" i="15"/>
  <c r="M37" i="15"/>
  <c r="M29" i="15"/>
  <c r="M21" i="15"/>
  <c r="M13" i="15"/>
  <c r="M5" i="15"/>
  <c r="M207" i="15"/>
  <c r="M228" i="15"/>
  <c r="M220" i="15"/>
  <c r="M212" i="15"/>
  <c r="M204" i="15"/>
  <c r="M196" i="15"/>
  <c r="M188" i="15"/>
  <c r="M180" i="15"/>
  <c r="M172" i="15"/>
  <c r="M164" i="15"/>
  <c r="M156" i="15"/>
  <c r="M148" i="15"/>
  <c r="M140" i="15"/>
  <c r="M132" i="15"/>
  <c r="M124" i="15"/>
  <c r="M116" i="15"/>
  <c r="M108" i="15"/>
  <c r="M100" i="15"/>
  <c r="M92" i="15"/>
  <c r="M84" i="15"/>
  <c r="M76" i="15"/>
  <c r="M68" i="15"/>
  <c r="M60" i="15"/>
  <c r="M52" i="15"/>
  <c r="M44" i="15"/>
  <c r="M36" i="15"/>
  <c r="M28" i="15"/>
  <c r="M20" i="15"/>
  <c r="M12" i="15"/>
  <c r="M4" i="1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2" i="5"/>
  <c r="AC3" i="4"/>
  <c r="AC4" i="4"/>
  <c r="AC5" i="4"/>
  <c r="AC6" i="4"/>
  <c r="AC7" i="4"/>
  <c r="AC8" i="4"/>
  <c r="AC9" i="4"/>
  <c r="AC10" i="4"/>
  <c r="AC11" i="4"/>
  <c r="AC22" i="4"/>
  <c r="AC23" i="4"/>
  <c r="AC24" i="4"/>
  <c r="AC25" i="4"/>
  <c r="AC26" i="4"/>
  <c r="AC27" i="4"/>
  <c r="AC28" i="4"/>
  <c r="AC29" i="4"/>
  <c r="AC30" i="4"/>
  <c r="AC31" i="4"/>
  <c r="AC32" i="4"/>
  <c r="AC33" i="4"/>
  <c r="AC34" i="4"/>
  <c r="AC35" i="4"/>
  <c r="AC36" i="4"/>
  <c r="AC37" i="4"/>
  <c r="AC38" i="4"/>
  <c r="AC39" i="4"/>
  <c r="AC40" i="4"/>
  <c r="AC41" i="4"/>
  <c r="AC52" i="4"/>
  <c r="AC53" i="4"/>
  <c r="AC54" i="4"/>
  <c r="AC55" i="4"/>
  <c r="AC56" i="4"/>
  <c r="AC57" i="4"/>
  <c r="AC58" i="4"/>
  <c r="AC59" i="4"/>
  <c r="AC60" i="4"/>
  <c r="AC61" i="4"/>
  <c r="AC62" i="4"/>
  <c r="AC63" i="4"/>
  <c r="AC64" i="4"/>
  <c r="AC65" i="4"/>
  <c r="AC66" i="4"/>
  <c r="AC67" i="4"/>
  <c r="AC68" i="4"/>
  <c r="AC69" i="4"/>
  <c r="AC70" i="4"/>
  <c r="AC71"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27" i="4"/>
  <c r="AC128" i="4"/>
  <c r="AC129" i="4"/>
  <c r="AC130" i="4"/>
  <c r="AC131" i="4"/>
  <c r="AC132" i="4"/>
  <c r="AC133" i="4"/>
  <c r="AC134" i="4"/>
  <c r="AC135" i="4"/>
  <c r="AC136" i="4"/>
  <c r="AC2" i="4"/>
  <c r="G126" i="6"/>
  <c r="G125" i="6"/>
  <c r="G124" i="6"/>
  <c r="G123" i="6"/>
  <c r="G122" i="6"/>
  <c r="G121" i="6"/>
  <c r="G120" i="6"/>
  <c r="G119" i="6"/>
  <c r="G118" i="6"/>
  <c r="G117" i="6"/>
  <c r="G81" i="6"/>
  <c r="G80" i="6"/>
  <c r="G79" i="6"/>
  <c r="G78" i="6"/>
  <c r="G77" i="6"/>
  <c r="G76" i="6"/>
  <c r="G75" i="6"/>
  <c r="G74" i="6"/>
  <c r="G73" i="6"/>
  <c r="G72" i="6"/>
  <c r="G51" i="6"/>
  <c r="G50" i="6"/>
  <c r="G49" i="6"/>
  <c r="G48" i="6"/>
  <c r="G47" i="6"/>
  <c r="G46" i="6"/>
  <c r="G45" i="6"/>
  <c r="G44" i="6"/>
  <c r="G43" i="6"/>
  <c r="G42" i="6"/>
  <c r="Q126" i="5"/>
  <c r="P126" i="5"/>
  <c r="O126" i="5"/>
  <c r="N126" i="5"/>
  <c r="M126" i="5"/>
  <c r="L126" i="5"/>
  <c r="K126" i="5"/>
  <c r="J126" i="5"/>
  <c r="I126" i="5"/>
  <c r="H126" i="5"/>
  <c r="G126" i="5"/>
  <c r="Q125" i="5"/>
  <c r="P125" i="5"/>
  <c r="O125" i="5"/>
  <c r="N125" i="5"/>
  <c r="M125" i="5"/>
  <c r="L125" i="5"/>
  <c r="K125" i="5"/>
  <c r="J125" i="5"/>
  <c r="I125" i="5"/>
  <c r="H125" i="5"/>
  <c r="G125" i="5"/>
  <c r="Q124" i="5"/>
  <c r="P124" i="5"/>
  <c r="O124" i="5"/>
  <c r="N124" i="5"/>
  <c r="M124" i="5"/>
  <c r="L124" i="5"/>
  <c r="K124" i="5"/>
  <c r="J124" i="5"/>
  <c r="I124" i="5"/>
  <c r="H124" i="5"/>
  <c r="G124" i="5"/>
  <c r="Q123" i="5"/>
  <c r="P123" i="5"/>
  <c r="O123" i="5"/>
  <c r="N123" i="5"/>
  <c r="M123" i="5"/>
  <c r="L123" i="5"/>
  <c r="K123" i="5"/>
  <c r="J123" i="5"/>
  <c r="I123" i="5"/>
  <c r="H123" i="5"/>
  <c r="G123" i="5"/>
  <c r="Q122" i="5"/>
  <c r="P122" i="5"/>
  <c r="O122" i="5"/>
  <c r="N122" i="5"/>
  <c r="M122" i="5"/>
  <c r="L122" i="5"/>
  <c r="K122" i="5"/>
  <c r="J122" i="5"/>
  <c r="I122" i="5"/>
  <c r="H122" i="5"/>
  <c r="G122" i="5"/>
  <c r="Q121" i="5"/>
  <c r="P121" i="5"/>
  <c r="O121" i="5"/>
  <c r="N121" i="5"/>
  <c r="M121" i="5"/>
  <c r="L121" i="5"/>
  <c r="K121" i="5"/>
  <c r="J121" i="5"/>
  <c r="I121" i="5"/>
  <c r="H121" i="5"/>
  <c r="G121" i="5"/>
  <c r="Q120" i="5"/>
  <c r="P120" i="5"/>
  <c r="O120" i="5"/>
  <c r="N120" i="5"/>
  <c r="M120" i="5"/>
  <c r="L120" i="5"/>
  <c r="K120" i="5"/>
  <c r="J120" i="5"/>
  <c r="I120" i="5"/>
  <c r="H120" i="5"/>
  <c r="G120" i="5"/>
  <c r="Q119" i="5"/>
  <c r="P119" i="5"/>
  <c r="O119" i="5"/>
  <c r="N119" i="5"/>
  <c r="M119" i="5"/>
  <c r="L119" i="5"/>
  <c r="K119" i="5"/>
  <c r="J119" i="5"/>
  <c r="I119" i="5"/>
  <c r="H119" i="5"/>
  <c r="G119" i="5"/>
  <c r="Q118" i="5"/>
  <c r="P118" i="5"/>
  <c r="O118" i="5"/>
  <c r="N118" i="5"/>
  <c r="M118" i="5"/>
  <c r="L118" i="5"/>
  <c r="K118" i="5"/>
  <c r="J118" i="5"/>
  <c r="I118" i="5"/>
  <c r="H118" i="5"/>
  <c r="G118" i="5"/>
  <c r="Q117" i="5"/>
  <c r="P117" i="5"/>
  <c r="O117" i="5"/>
  <c r="N117" i="5"/>
  <c r="M117" i="5"/>
  <c r="L117" i="5"/>
  <c r="K117" i="5"/>
  <c r="J117" i="5"/>
  <c r="I117" i="5"/>
  <c r="H117" i="5"/>
  <c r="G117" i="5"/>
  <c r="Q81" i="5"/>
  <c r="P81" i="5"/>
  <c r="O81" i="5"/>
  <c r="N81" i="5"/>
  <c r="M81" i="5"/>
  <c r="L81" i="5"/>
  <c r="K81" i="5"/>
  <c r="J81" i="5"/>
  <c r="I81" i="5"/>
  <c r="H81" i="5"/>
  <c r="G81" i="5"/>
  <c r="Q80" i="5"/>
  <c r="P80" i="5"/>
  <c r="O80" i="5"/>
  <c r="N80" i="5"/>
  <c r="M80" i="5"/>
  <c r="L80" i="5"/>
  <c r="K80" i="5"/>
  <c r="J80" i="5"/>
  <c r="I80" i="5"/>
  <c r="H80" i="5"/>
  <c r="G80" i="5"/>
  <c r="Q79" i="5"/>
  <c r="P79" i="5"/>
  <c r="O79" i="5"/>
  <c r="N79" i="5"/>
  <c r="M79" i="5"/>
  <c r="L79" i="5"/>
  <c r="K79" i="5"/>
  <c r="J79" i="5"/>
  <c r="I79" i="5"/>
  <c r="H79" i="5"/>
  <c r="G79" i="5"/>
  <c r="Q78" i="5"/>
  <c r="P78" i="5"/>
  <c r="O78" i="5"/>
  <c r="N78" i="5"/>
  <c r="M78" i="5"/>
  <c r="L78" i="5"/>
  <c r="K78" i="5"/>
  <c r="J78" i="5"/>
  <c r="I78" i="5"/>
  <c r="H78" i="5"/>
  <c r="G78" i="5"/>
  <c r="Q77" i="5"/>
  <c r="P77" i="5"/>
  <c r="O77" i="5"/>
  <c r="N77" i="5"/>
  <c r="M77" i="5"/>
  <c r="L77" i="5"/>
  <c r="K77" i="5"/>
  <c r="J77" i="5"/>
  <c r="I77" i="5"/>
  <c r="H77" i="5"/>
  <c r="G77" i="5"/>
  <c r="Q76" i="5"/>
  <c r="P76" i="5"/>
  <c r="O76" i="5"/>
  <c r="N76" i="5"/>
  <c r="M76" i="5"/>
  <c r="L76" i="5"/>
  <c r="K76" i="5"/>
  <c r="J76" i="5"/>
  <c r="I76" i="5"/>
  <c r="H76" i="5"/>
  <c r="G76" i="5"/>
  <c r="Q75" i="5"/>
  <c r="P75" i="5"/>
  <c r="O75" i="5"/>
  <c r="N75" i="5"/>
  <c r="M75" i="5"/>
  <c r="L75" i="5"/>
  <c r="K75" i="5"/>
  <c r="J75" i="5"/>
  <c r="I75" i="5"/>
  <c r="H75" i="5"/>
  <c r="G75" i="5"/>
  <c r="Q74" i="5"/>
  <c r="P74" i="5"/>
  <c r="O74" i="5"/>
  <c r="N74" i="5"/>
  <c r="M74" i="5"/>
  <c r="L74" i="5"/>
  <c r="K74" i="5"/>
  <c r="J74" i="5"/>
  <c r="I74" i="5"/>
  <c r="H74" i="5"/>
  <c r="G74" i="5"/>
  <c r="Q73" i="5"/>
  <c r="P73" i="5"/>
  <c r="O73" i="5"/>
  <c r="N73" i="5"/>
  <c r="M73" i="5"/>
  <c r="L73" i="5"/>
  <c r="K73" i="5"/>
  <c r="J73" i="5"/>
  <c r="I73" i="5"/>
  <c r="H73" i="5"/>
  <c r="G73" i="5"/>
  <c r="Q72" i="5"/>
  <c r="P72" i="5"/>
  <c r="O72" i="5"/>
  <c r="N72" i="5"/>
  <c r="M72" i="5"/>
  <c r="L72" i="5"/>
  <c r="K72" i="5"/>
  <c r="J72" i="5"/>
  <c r="I72" i="5"/>
  <c r="H72" i="5"/>
  <c r="G72" i="5"/>
  <c r="Q51" i="5"/>
  <c r="P51" i="5"/>
  <c r="O51" i="5"/>
  <c r="N51" i="5"/>
  <c r="M51" i="5"/>
  <c r="L51" i="5"/>
  <c r="K51" i="5"/>
  <c r="J51" i="5"/>
  <c r="I51" i="5"/>
  <c r="H51" i="5"/>
  <c r="G51" i="5"/>
  <c r="Q50" i="5"/>
  <c r="P50" i="5"/>
  <c r="O50" i="5"/>
  <c r="N50" i="5"/>
  <c r="M50" i="5"/>
  <c r="L50" i="5"/>
  <c r="K50" i="5"/>
  <c r="J50" i="5"/>
  <c r="I50" i="5"/>
  <c r="H50" i="5"/>
  <c r="G50" i="5"/>
  <c r="Q49" i="5"/>
  <c r="P49" i="5"/>
  <c r="O49" i="5"/>
  <c r="N49" i="5"/>
  <c r="M49" i="5"/>
  <c r="L49" i="5"/>
  <c r="K49" i="5"/>
  <c r="J49" i="5"/>
  <c r="I49" i="5"/>
  <c r="H49" i="5"/>
  <c r="G49" i="5"/>
  <c r="Q48" i="5"/>
  <c r="P48" i="5"/>
  <c r="O48" i="5"/>
  <c r="N48" i="5"/>
  <c r="M48" i="5"/>
  <c r="L48" i="5"/>
  <c r="K48" i="5"/>
  <c r="J48" i="5"/>
  <c r="I48" i="5"/>
  <c r="H48" i="5"/>
  <c r="G48" i="5"/>
  <c r="Q47" i="5"/>
  <c r="P47" i="5"/>
  <c r="O47" i="5"/>
  <c r="N47" i="5"/>
  <c r="M47" i="5"/>
  <c r="L47" i="5"/>
  <c r="K47" i="5"/>
  <c r="J47" i="5"/>
  <c r="I47" i="5"/>
  <c r="H47" i="5"/>
  <c r="G47" i="5"/>
  <c r="Q46" i="5"/>
  <c r="P46" i="5"/>
  <c r="O46" i="5"/>
  <c r="N46" i="5"/>
  <c r="M46" i="5"/>
  <c r="L46" i="5"/>
  <c r="K46" i="5"/>
  <c r="J46" i="5"/>
  <c r="I46" i="5"/>
  <c r="H46" i="5"/>
  <c r="G46" i="5"/>
  <c r="Q45" i="5"/>
  <c r="P45" i="5"/>
  <c r="O45" i="5"/>
  <c r="N45" i="5"/>
  <c r="M45" i="5"/>
  <c r="L45" i="5"/>
  <c r="K45" i="5"/>
  <c r="J45" i="5"/>
  <c r="I45" i="5"/>
  <c r="H45" i="5"/>
  <c r="G45" i="5"/>
  <c r="Q44" i="5"/>
  <c r="P44" i="5"/>
  <c r="O44" i="5"/>
  <c r="N44" i="5"/>
  <c r="M44" i="5"/>
  <c r="L44" i="5"/>
  <c r="K44" i="5"/>
  <c r="J44" i="5"/>
  <c r="I44" i="5"/>
  <c r="H44" i="5"/>
  <c r="G44" i="5"/>
  <c r="Q43" i="5"/>
  <c r="P43" i="5"/>
  <c r="O43" i="5"/>
  <c r="N43" i="5"/>
  <c r="M43" i="5"/>
  <c r="L43" i="5"/>
  <c r="K43" i="5"/>
  <c r="J43" i="5"/>
  <c r="I43" i="5"/>
  <c r="H43" i="5"/>
  <c r="G43" i="5"/>
  <c r="Q42" i="5"/>
  <c r="P42" i="5"/>
  <c r="O42" i="5"/>
  <c r="N42" i="5"/>
  <c r="M42" i="5"/>
  <c r="L42" i="5"/>
  <c r="K42" i="5"/>
  <c r="J42" i="5"/>
  <c r="I42" i="5"/>
  <c r="H42" i="5"/>
  <c r="G42" i="5"/>
  <c r="Q21" i="5"/>
  <c r="P21" i="5"/>
  <c r="O21" i="5"/>
  <c r="N21" i="5"/>
  <c r="M21" i="5"/>
  <c r="L21" i="5"/>
  <c r="K21" i="5"/>
  <c r="J21" i="5"/>
  <c r="I21" i="5"/>
  <c r="H21" i="5"/>
  <c r="G21" i="5"/>
  <c r="Q20" i="5"/>
  <c r="P20" i="5"/>
  <c r="O20" i="5"/>
  <c r="N20" i="5"/>
  <c r="M20" i="5"/>
  <c r="L20" i="5"/>
  <c r="K20" i="5"/>
  <c r="J20" i="5"/>
  <c r="I20" i="5"/>
  <c r="H20" i="5"/>
  <c r="G20" i="5"/>
  <c r="Q19" i="5"/>
  <c r="P19" i="5"/>
  <c r="O19" i="5"/>
  <c r="N19" i="5"/>
  <c r="M19" i="5"/>
  <c r="L19" i="5"/>
  <c r="K19" i="5"/>
  <c r="J19" i="5"/>
  <c r="I19" i="5"/>
  <c r="H19" i="5"/>
  <c r="G19" i="5"/>
  <c r="Q18" i="5"/>
  <c r="P18" i="5"/>
  <c r="O18" i="5"/>
  <c r="N18" i="5"/>
  <c r="M18" i="5"/>
  <c r="L18" i="5"/>
  <c r="K18" i="5"/>
  <c r="J18" i="5"/>
  <c r="I18" i="5"/>
  <c r="H18" i="5"/>
  <c r="G18" i="5"/>
  <c r="Q17" i="5"/>
  <c r="P17" i="5"/>
  <c r="O17" i="5"/>
  <c r="N17" i="5"/>
  <c r="M17" i="5"/>
  <c r="L17" i="5"/>
  <c r="K17" i="5"/>
  <c r="J17" i="5"/>
  <c r="I17" i="5"/>
  <c r="H17" i="5"/>
  <c r="G17" i="5"/>
  <c r="Q16" i="5"/>
  <c r="P16" i="5"/>
  <c r="O16" i="5"/>
  <c r="N16" i="5"/>
  <c r="M16" i="5"/>
  <c r="L16" i="5"/>
  <c r="K16" i="5"/>
  <c r="J16" i="5"/>
  <c r="I16" i="5"/>
  <c r="H16" i="5"/>
  <c r="G16" i="5"/>
  <c r="Q15" i="5"/>
  <c r="P15" i="5"/>
  <c r="O15" i="5"/>
  <c r="N15" i="5"/>
  <c r="M15" i="5"/>
  <c r="L15" i="5"/>
  <c r="K15" i="5"/>
  <c r="J15" i="5"/>
  <c r="I15" i="5"/>
  <c r="H15" i="5"/>
  <c r="G15" i="5"/>
  <c r="Q14" i="5"/>
  <c r="P14" i="5"/>
  <c r="O14" i="5"/>
  <c r="N14" i="5"/>
  <c r="M14" i="5"/>
  <c r="L14" i="5"/>
  <c r="K14" i="5"/>
  <c r="J14" i="5"/>
  <c r="I14" i="5"/>
  <c r="H14" i="5"/>
  <c r="G14" i="5"/>
  <c r="Q13" i="5"/>
  <c r="P13" i="5"/>
  <c r="O13" i="5"/>
  <c r="N13" i="5"/>
  <c r="M13" i="5"/>
  <c r="L13" i="5"/>
  <c r="K13" i="5"/>
  <c r="J13" i="5"/>
  <c r="I13" i="5"/>
  <c r="H13" i="5"/>
  <c r="G13" i="5"/>
  <c r="Q12" i="5"/>
  <c r="P12" i="5"/>
  <c r="O12" i="5"/>
  <c r="N12" i="5"/>
  <c r="M12" i="5"/>
  <c r="L12" i="5"/>
  <c r="K12" i="5"/>
  <c r="J12" i="5"/>
  <c r="I12" i="5"/>
  <c r="H12" i="5"/>
  <c r="G12" i="5"/>
  <c r="AB126" i="4"/>
  <c r="AA126" i="4"/>
  <c r="Z126" i="4"/>
  <c r="Y126" i="4"/>
  <c r="X126" i="4"/>
  <c r="W126" i="4"/>
  <c r="V126" i="4"/>
  <c r="U126" i="4"/>
  <c r="T126" i="4"/>
  <c r="S126" i="4"/>
  <c r="R126" i="4"/>
  <c r="Q126" i="4"/>
  <c r="P126" i="4"/>
  <c r="O126" i="4"/>
  <c r="N126" i="4"/>
  <c r="M126" i="4"/>
  <c r="L126" i="4"/>
  <c r="K126" i="4"/>
  <c r="J126" i="4"/>
  <c r="I126" i="4"/>
  <c r="H126" i="4"/>
  <c r="G126" i="4"/>
  <c r="AB125" i="4"/>
  <c r="AA125" i="4"/>
  <c r="Z125" i="4"/>
  <c r="Y125" i="4"/>
  <c r="X125" i="4"/>
  <c r="W125" i="4"/>
  <c r="V125" i="4"/>
  <c r="U125" i="4"/>
  <c r="T125" i="4"/>
  <c r="S125" i="4"/>
  <c r="R125" i="4"/>
  <c r="Q125" i="4"/>
  <c r="P125" i="4"/>
  <c r="O125" i="4"/>
  <c r="N125" i="4"/>
  <c r="M125" i="4"/>
  <c r="L125" i="4"/>
  <c r="K125" i="4"/>
  <c r="J125" i="4"/>
  <c r="I125" i="4"/>
  <c r="H125" i="4"/>
  <c r="G125" i="4"/>
  <c r="AB124" i="4"/>
  <c r="AA124" i="4"/>
  <c r="Z124" i="4"/>
  <c r="Y124" i="4"/>
  <c r="X124" i="4"/>
  <c r="W124" i="4"/>
  <c r="V124" i="4"/>
  <c r="U124" i="4"/>
  <c r="T124" i="4"/>
  <c r="S124" i="4"/>
  <c r="R124" i="4"/>
  <c r="Q124" i="4"/>
  <c r="P124" i="4"/>
  <c r="O124" i="4"/>
  <c r="N124" i="4"/>
  <c r="M124" i="4"/>
  <c r="L124" i="4"/>
  <c r="K124" i="4"/>
  <c r="J124" i="4"/>
  <c r="I124" i="4"/>
  <c r="H124" i="4"/>
  <c r="G124" i="4"/>
  <c r="AB123" i="4"/>
  <c r="AA123" i="4"/>
  <c r="Z123" i="4"/>
  <c r="Y123" i="4"/>
  <c r="X123" i="4"/>
  <c r="W123" i="4"/>
  <c r="V123" i="4"/>
  <c r="U123" i="4"/>
  <c r="T123" i="4"/>
  <c r="S123" i="4"/>
  <c r="R123" i="4"/>
  <c r="Q123" i="4"/>
  <c r="P123" i="4"/>
  <c r="O123" i="4"/>
  <c r="N123" i="4"/>
  <c r="M123" i="4"/>
  <c r="L123" i="4"/>
  <c r="K123" i="4"/>
  <c r="J123" i="4"/>
  <c r="I123" i="4"/>
  <c r="H123" i="4"/>
  <c r="G123" i="4"/>
  <c r="AB122" i="4"/>
  <c r="AA122" i="4"/>
  <c r="Z122" i="4"/>
  <c r="Y122" i="4"/>
  <c r="X122" i="4"/>
  <c r="W122" i="4"/>
  <c r="V122" i="4"/>
  <c r="U122" i="4"/>
  <c r="T122" i="4"/>
  <c r="S122" i="4"/>
  <c r="R122" i="4"/>
  <c r="Q122" i="4"/>
  <c r="P122" i="4"/>
  <c r="O122" i="4"/>
  <c r="N122" i="4"/>
  <c r="M122" i="4"/>
  <c r="L122" i="4"/>
  <c r="K122" i="4"/>
  <c r="J122" i="4"/>
  <c r="I122" i="4"/>
  <c r="H122" i="4"/>
  <c r="G122" i="4"/>
  <c r="AB121" i="4"/>
  <c r="AA121" i="4"/>
  <c r="Z121" i="4"/>
  <c r="Y121" i="4"/>
  <c r="X121" i="4"/>
  <c r="W121" i="4"/>
  <c r="V121" i="4"/>
  <c r="U121" i="4"/>
  <c r="T121" i="4"/>
  <c r="S121" i="4"/>
  <c r="R121" i="4"/>
  <c r="Q121" i="4"/>
  <c r="P121" i="4"/>
  <c r="O121" i="4"/>
  <c r="N121" i="4"/>
  <c r="M121" i="4"/>
  <c r="L121" i="4"/>
  <c r="K121" i="4"/>
  <c r="J121" i="4"/>
  <c r="I121" i="4"/>
  <c r="H121" i="4"/>
  <c r="G121" i="4"/>
  <c r="AB120" i="4"/>
  <c r="AA120" i="4"/>
  <c r="Z120" i="4"/>
  <c r="Y120" i="4"/>
  <c r="X120" i="4"/>
  <c r="W120" i="4"/>
  <c r="V120" i="4"/>
  <c r="U120" i="4"/>
  <c r="T120" i="4"/>
  <c r="S120" i="4"/>
  <c r="R120" i="4"/>
  <c r="Q120" i="4"/>
  <c r="P120" i="4"/>
  <c r="O120" i="4"/>
  <c r="N120" i="4"/>
  <c r="M120" i="4"/>
  <c r="L120" i="4"/>
  <c r="K120" i="4"/>
  <c r="J120" i="4"/>
  <c r="I120" i="4"/>
  <c r="H120" i="4"/>
  <c r="G120" i="4"/>
  <c r="AB119" i="4"/>
  <c r="AA119" i="4"/>
  <c r="Z119" i="4"/>
  <c r="Y119" i="4"/>
  <c r="X119" i="4"/>
  <c r="W119" i="4"/>
  <c r="V119" i="4"/>
  <c r="U119" i="4"/>
  <c r="T119" i="4"/>
  <c r="S119" i="4"/>
  <c r="R119" i="4"/>
  <c r="Q119" i="4"/>
  <c r="P119" i="4"/>
  <c r="O119" i="4"/>
  <c r="N119" i="4"/>
  <c r="M119" i="4"/>
  <c r="L119" i="4"/>
  <c r="K119" i="4"/>
  <c r="J119" i="4"/>
  <c r="I119" i="4"/>
  <c r="H119" i="4"/>
  <c r="G119" i="4"/>
  <c r="AB118" i="4"/>
  <c r="AA118" i="4"/>
  <c r="Z118" i="4"/>
  <c r="Y118" i="4"/>
  <c r="X118" i="4"/>
  <c r="W118" i="4"/>
  <c r="V118" i="4"/>
  <c r="U118" i="4"/>
  <c r="T118" i="4"/>
  <c r="S118" i="4"/>
  <c r="R118" i="4"/>
  <c r="Q118" i="4"/>
  <c r="P118" i="4"/>
  <c r="O118" i="4"/>
  <c r="N118" i="4"/>
  <c r="M118" i="4"/>
  <c r="L118" i="4"/>
  <c r="K118" i="4"/>
  <c r="J118" i="4"/>
  <c r="I118" i="4"/>
  <c r="H118" i="4"/>
  <c r="G118" i="4"/>
  <c r="AC118" i="4" s="1"/>
  <c r="AB117" i="4"/>
  <c r="AA117" i="4"/>
  <c r="Z117" i="4"/>
  <c r="Y117" i="4"/>
  <c r="X117" i="4"/>
  <c r="W117" i="4"/>
  <c r="V117" i="4"/>
  <c r="U117" i="4"/>
  <c r="T117" i="4"/>
  <c r="S117" i="4"/>
  <c r="R117" i="4"/>
  <c r="Q117" i="4"/>
  <c r="P117" i="4"/>
  <c r="O117" i="4"/>
  <c r="N117" i="4"/>
  <c r="M117" i="4"/>
  <c r="L117" i="4"/>
  <c r="K117" i="4"/>
  <c r="J117" i="4"/>
  <c r="I117" i="4"/>
  <c r="H117" i="4"/>
  <c r="G117" i="4"/>
  <c r="AB81" i="4"/>
  <c r="AA81" i="4"/>
  <c r="Z81" i="4"/>
  <c r="Y81" i="4"/>
  <c r="X81" i="4"/>
  <c r="W81" i="4"/>
  <c r="V81" i="4"/>
  <c r="U81" i="4"/>
  <c r="T81" i="4"/>
  <c r="S81" i="4"/>
  <c r="R81" i="4"/>
  <c r="Q81" i="4"/>
  <c r="P81" i="4"/>
  <c r="O81" i="4"/>
  <c r="N81" i="4"/>
  <c r="M81" i="4"/>
  <c r="L81" i="4"/>
  <c r="K81" i="4"/>
  <c r="J81" i="4"/>
  <c r="I81" i="4"/>
  <c r="H81" i="4"/>
  <c r="G81" i="4"/>
  <c r="AB80" i="4"/>
  <c r="AA80" i="4"/>
  <c r="Z80" i="4"/>
  <c r="Y80" i="4"/>
  <c r="X80" i="4"/>
  <c r="W80" i="4"/>
  <c r="V80" i="4"/>
  <c r="U80" i="4"/>
  <c r="T80" i="4"/>
  <c r="S80" i="4"/>
  <c r="R80" i="4"/>
  <c r="Q80" i="4"/>
  <c r="P80" i="4"/>
  <c r="O80" i="4"/>
  <c r="N80" i="4"/>
  <c r="M80" i="4"/>
  <c r="L80" i="4"/>
  <c r="K80" i="4"/>
  <c r="J80" i="4"/>
  <c r="I80" i="4"/>
  <c r="H80" i="4"/>
  <c r="G80" i="4"/>
  <c r="AB79" i="4"/>
  <c r="AA79" i="4"/>
  <c r="Z79" i="4"/>
  <c r="Y79" i="4"/>
  <c r="X79" i="4"/>
  <c r="W79" i="4"/>
  <c r="V79" i="4"/>
  <c r="U79" i="4"/>
  <c r="T79" i="4"/>
  <c r="S79" i="4"/>
  <c r="R79" i="4"/>
  <c r="Q79" i="4"/>
  <c r="P79" i="4"/>
  <c r="O79" i="4"/>
  <c r="N79" i="4"/>
  <c r="M79" i="4"/>
  <c r="L79" i="4"/>
  <c r="K79" i="4"/>
  <c r="J79" i="4"/>
  <c r="I79" i="4"/>
  <c r="H79" i="4"/>
  <c r="G79" i="4"/>
  <c r="AC79" i="4" s="1"/>
  <c r="AB78" i="4"/>
  <c r="AA78" i="4"/>
  <c r="Z78" i="4"/>
  <c r="Y78" i="4"/>
  <c r="X78" i="4"/>
  <c r="W78" i="4"/>
  <c r="V78" i="4"/>
  <c r="U78" i="4"/>
  <c r="T78" i="4"/>
  <c r="S78" i="4"/>
  <c r="R78" i="4"/>
  <c r="Q78" i="4"/>
  <c r="P78" i="4"/>
  <c r="O78" i="4"/>
  <c r="N78" i="4"/>
  <c r="M78" i="4"/>
  <c r="L78" i="4"/>
  <c r="K78" i="4"/>
  <c r="J78" i="4"/>
  <c r="I78" i="4"/>
  <c r="H78" i="4"/>
  <c r="G78" i="4"/>
  <c r="AB77" i="4"/>
  <c r="AA77" i="4"/>
  <c r="Z77" i="4"/>
  <c r="Y77" i="4"/>
  <c r="X77" i="4"/>
  <c r="W77" i="4"/>
  <c r="V77" i="4"/>
  <c r="U77" i="4"/>
  <c r="T77" i="4"/>
  <c r="S77" i="4"/>
  <c r="R77" i="4"/>
  <c r="Q77" i="4"/>
  <c r="P77" i="4"/>
  <c r="O77" i="4"/>
  <c r="N77" i="4"/>
  <c r="M77" i="4"/>
  <c r="L77" i="4"/>
  <c r="K77" i="4"/>
  <c r="J77" i="4"/>
  <c r="I77" i="4"/>
  <c r="H77" i="4"/>
  <c r="G77" i="4"/>
  <c r="AB76" i="4"/>
  <c r="AA76" i="4"/>
  <c r="Z76" i="4"/>
  <c r="Y76" i="4"/>
  <c r="X76" i="4"/>
  <c r="W76" i="4"/>
  <c r="V76" i="4"/>
  <c r="U76" i="4"/>
  <c r="T76" i="4"/>
  <c r="S76" i="4"/>
  <c r="R76" i="4"/>
  <c r="Q76" i="4"/>
  <c r="P76" i="4"/>
  <c r="O76" i="4"/>
  <c r="N76" i="4"/>
  <c r="M76" i="4"/>
  <c r="L76" i="4"/>
  <c r="K76" i="4"/>
  <c r="J76" i="4"/>
  <c r="I76" i="4"/>
  <c r="H76" i="4"/>
  <c r="G76" i="4"/>
  <c r="AB75" i="4"/>
  <c r="AA75" i="4"/>
  <c r="Z75" i="4"/>
  <c r="Y75" i="4"/>
  <c r="X75" i="4"/>
  <c r="W75" i="4"/>
  <c r="V75" i="4"/>
  <c r="U75" i="4"/>
  <c r="T75" i="4"/>
  <c r="S75" i="4"/>
  <c r="R75" i="4"/>
  <c r="Q75" i="4"/>
  <c r="P75" i="4"/>
  <c r="O75" i="4"/>
  <c r="N75" i="4"/>
  <c r="M75" i="4"/>
  <c r="L75" i="4"/>
  <c r="K75" i="4"/>
  <c r="J75" i="4"/>
  <c r="I75" i="4"/>
  <c r="H75" i="4"/>
  <c r="G75" i="4"/>
  <c r="AC75" i="4" s="1"/>
  <c r="AB74" i="4"/>
  <c r="AA74" i="4"/>
  <c r="Z74" i="4"/>
  <c r="Y74" i="4"/>
  <c r="X74" i="4"/>
  <c r="W74" i="4"/>
  <c r="V74" i="4"/>
  <c r="U74" i="4"/>
  <c r="T74" i="4"/>
  <c r="S74" i="4"/>
  <c r="R74" i="4"/>
  <c r="Q74" i="4"/>
  <c r="P74" i="4"/>
  <c r="O74" i="4"/>
  <c r="N74" i="4"/>
  <c r="M74" i="4"/>
  <c r="L74" i="4"/>
  <c r="K74" i="4"/>
  <c r="J74" i="4"/>
  <c r="I74" i="4"/>
  <c r="H74" i="4"/>
  <c r="G74" i="4"/>
  <c r="AB73" i="4"/>
  <c r="AA73" i="4"/>
  <c r="Z73" i="4"/>
  <c r="Y73" i="4"/>
  <c r="X73" i="4"/>
  <c r="W73" i="4"/>
  <c r="V73" i="4"/>
  <c r="U73" i="4"/>
  <c r="T73" i="4"/>
  <c r="S73" i="4"/>
  <c r="R73" i="4"/>
  <c r="Q73" i="4"/>
  <c r="P73" i="4"/>
  <c r="O73" i="4"/>
  <c r="N73" i="4"/>
  <c r="M73" i="4"/>
  <c r="L73" i="4"/>
  <c r="K73" i="4"/>
  <c r="J73" i="4"/>
  <c r="I73" i="4"/>
  <c r="H73" i="4"/>
  <c r="G73" i="4"/>
  <c r="AB72" i="4"/>
  <c r="AA72" i="4"/>
  <c r="Z72" i="4"/>
  <c r="Y72" i="4"/>
  <c r="X72" i="4"/>
  <c r="W72" i="4"/>
  <c r="V72" i="4"/>
  <c r="U72" i="4"/>
  <c r="T72" i="4"/>
  <c r="S72" i="4"/>
  <c r="R72" i="4"/>
  <c r="Q72" i="4"/>
  <c r="P72" i="4"/>
  <c r="O72" i="4"/>
  <c r="N72" i="4"/>
  <c r="M72" i="4"/>
  <c r="L72" i="4"/>
  <c r="K72" i="4"/>
  <c r="J72" i="4"/>
  <c r="I72" i="4"/>
  <c r="H72" i="4"/>
  <c r="G72" i="4"/>
  <c r="AB51" i="4"/>
  <c r="AA51" i="4"/>
  <c r="Z51" i="4"/>
  <c r="Y51" i="4"/>
  <c r="X51" i="4"/>
  <c r="W51" i="4"/>
  <c r="V51" i="4"/>
  <c r="U51" i="4"/>
  <c r="T51" i="4"/>
  <c r="S51" i="4"/>
  <c r="R51" i="4"/>
  <c r="Q51" i="4"/>
  <c r="P51" i="4"/>
  <c r="O51" i="4"/>
  <c r="N51" i="4"/>
  <c r="M51" i="4"/>
  <c r="L51" i="4"/>
  <c r="K51" i="4"/>
  <c r="J51" i="4"/>
  <c r="I51" i="4"/>
  <c r="H51" i="4"/>
  <c r="G51" i="4"/>
  <c r="AC51" i="4" s="1"/>
  <c r="AB50" i="4"/>
  <c r="AA50" i="4"/>
  <c r="Z50" i="4"/>
  <c r="Y50" i="4"/>
  <c r="X50" i="4"/>
  <c r="W50" i="4"/>
  <c r="V50" i="4"/>
  <c r="U50" i="4"/>
  <c r="T50" i="4"/>
  <c r="S50" i="4"/>
  <c r="R50" i="4"/>
  <c r="Q50" i="4"/>
  <c r="P50" i="4"/>
  <c r="O50" i="4"/>
  <c r="N50" i="4"/>
  <c r="M50" i="4"/>
  <c r="L50" i="4"/>
  <c r="K50" i="4"/>
  <c r="J50" i="4"/>
  <c r="I50" i="4"/>
  <c r="H50" i="4"/>
  <c r="G50" i="4"/>
  <c r="AB49" i="4"/>
  <c r="AA49" i="4"/>
  <c r="Z49" i="4"/>
  <c r="Y49" i="4"/>
  <c r="X49" i="4"/>
  <c r="W49" i="4"/>
  <c r="V49" i="4"/>
  <c r="U49" i="4"/>
  <c r="T49" i="4"/>
  <c r="S49" i="4"/>
  <c r="R49" i="4"/>
  <c r="Q49" i="4"/>
  <c r="P49" i="4"/>
  <c r="O49" i="4"/>
  <c r="N49" i="4"/>
  <c r="M49" i="4"/>
  <c r="L49" i="4"/>
  <c r="K49" i="4"/>
  <c r="J49" i="4"/>
  <c r="I49" i="4"/>
  <c r="H49" i="4"/>
  <c r="G49" i="4"/>
  <c r="AB48" i="4"/>
  <c r="AA48" i="4"/>
  <c r="Z48" i="4"/>
  <c r="Y48" i="4"/>
  <c r="X48" i="4"/>
  <c r="W48" i="4"/>
  <c r="V48" i="4"/>
  <c r="U48" i="4"/>
  <c r="T48" i="4"/>
  <c r="S48" i="4"/>
  <c r="R48" i="4"/>
  <c r="Q48" i="4"/>
  <c r="P48" i="4"/>
  <c r="O48" i="4"/>
  <c r="N48" i="4"/>
  <c r="M48" i="4"/>
  <c r="L48" i="4"/>
  <c r="K48" i="4"/>
  <c r="J48" i="4"/>
  <c r="I48" i="4"/>
  <c r="H48" i="4"/>
  <c r="G48" i="4"/>
  <c r="AB47" i="4"/>
  <c r="AA47" i="4"/>
  <c r="Z47" i="4"/>
  <c r="Y47" i="4"/>
  <c r="X47" i="4"/>
  <c r="W47" i="4"/>
  <c r="V47" i="4"/>
  <c r="U47" i="4"/>
  <c r="T47" i="4"/>
  <c r="S47" i="4"/>
  <c r="R47" i="4"/>
  <c r="Q47" i="4"/>
  <c r="P47" i="4"/>
  <c r="O47" i="4"/>
  <c r="N47" i="4"/>
  <c r="M47" i="4"/>
  <c r="L47" i="4"/>
  <c r="K47" i="4"/>
  <c r="J47" i="4"/>
  <c r="I47" i="4"/>
  <c r="H47" i="4"/>
  <c r="G47" i="4"/>
  <c r="AC47" i="4" s="1"/>
  <c r="AB46" i="4"/>
  <c r="AA46" i="4"/>
  <c r="Z46" i="4"/>
  <c r="Y46" i="4"/>
  <c r="X46" i="4"/>
  <c r="W46" i="4"/>
  <c r="V46" i="4"/>
  <c r="U46" i="4"/>
  <c r="T46" i="4"/>
  <c r="S46" i="4"/>
  <c r="R46" i="4"/>
  <c r="Q46" i="4"/>
  <c r="P46" i="4"/>
  <c r="O46" i="4"/>
  <c r="N46" i="4"/>
  <c r="M46" i="4"/>
  <c r="L46" i="4"/>
  <c r="K46" i="4"/>
  <c r="J46" i="4"/>
  <c r="I46" i="4"/>
  <c r="H46" i="4"/>
  <c r="G46" i="4"/>
  <c r="AB45" i="4"/>
  <c r="AA45" i="4"/>
  <c r="Z45" i="4"/>
  <c r="Y45" i="4"/>
  <c r="X45" i="4"/>
  <c r="W45" i="4"/>
  <c r="V45" i="4"/>
  <c r="U45" i="4"/>
  <c r="T45" i="4"/>
  <c r="S45" i="4"/>
  <c r="R45" i="4"/>
  <c r="Q45" i="4"/>
  <c r="P45" i="4"/>
  <c r="O45" i="4"/>
  <c r="N45" i="4"/>
  <c r="M45" i="4"/>
  <c r="L45" i="4"/>
  <c r="K45" i="4"/>
  <c r="J45" i="4"/>
  <c r="I45" i="4"/>
  <c r="H45" i="4"/>
  <c r="G45" i="4"/>
  <c r="AB44" i="4"/>
  <c r="AA44" i="4"/>
  <c r="Z44" i="4"/>
  <c r="Y44" i="4"/>
  <c r="X44" i="4"/>
  <c r="W44" i="4"/>
  <c r="V44" i="4"/>
  <c r="U44" i="4"/>
  <c r="T44" i="4"/>
  <c r="S44" i="4"/>
  <c r="R44" i="4"/>
  <c r="Q44" i="4"/>
  <c r="P44" i="4"/>
  <c r="O44" i="4"/>
  <c r="N44" i="4"/>
  <c r="M44" i="4"/>
  <c r="L44" i="4"/>
  <c r="K44" i="4"/>
  <c r="J44" i="4"/>
  <c r="I44" i="4"/>
  <c r="H44" i="4"/>
  <c r="G44" i="4"/>
  <c r="AB43" i="4"/>
  <c r="AA43" i="4"/>
  <c r="Z43" i="4"/>
  <c r="Y43" i="4"/>
  <c r="X43" i="4"/>
  <c r="W43" i="4"/>
  <c r="V43" i="4"/>
  <c r="U43" i="4"/>
  <c r="T43" i="4"/>
  <c r="S43" i="4"/>
  <c r="R43" i="4"/>
  <c r="Q43" i="4"/>
  <c r="P43" i="4"/>
  <c r="O43" i="4"/>
  <c r="N43" i="4"/>
  <c r="M43" i="4"/>
  <c r="L43" i="4"/>
  <c r="K43" i="4"/>
  <c r="J43" i="4"/>
  <c r="I43" i="4"/>
  <c r="H43" i="4"/>
  <c r="G43" i="4"/>
  <c r="AC43" i="4" s="1"/>
  <c r="AB42" i="4"/>
  <c r="AA42" i="4"/>
  <c r="Z42" i="4"/>
  <c r="Y42" i="4"/>
  <c r="X42" i="4"/>
  <c r="W42" i="4"/>
  <c r="V42" i="4"/>
  <c r="U42" i="4"/>
  <c r="T42" i="4"/>
  <c r="S42" i="4"/>
  <c r="R42" i="4"/>
  <c r="Q42" i="4"/>
  <c r="P42" i="4"/>
  <c r="O42" i="4"/>
  <c r="N42" i="4"/>
  <c r="M42" i="4"/>
  <c r="L42" i="4"/>
  <c r="K42" i="4"/>
  <c r="J42" i="4"/>
  <c r="I42" i="4"/>
  <c r="H42" i="4"/>
  <c r="G42" i="4"/>
  <c r="AB21" i="4"/>
  <c r="AA21" i="4"/>
  <c r="Z21" i="4"/>
  <c r="Y21" i="4"/>
  <c r="X21" i="4"/>
  <c r="W21" i="4"/>
  <c r="V21" i="4"/>
  <c r="U21" i="4"/>
  <c r="T21" i="4"/>
  <c r="S21" i="4"/>
  <c r="R21" i="4"/>
  <c r="Q21" i="4"/>
  <c r="P21" i="4"/>
  <c r="O21" i="4"/>
  <c r="N21" i="4"/>
  <c r="M21" i="4"/>
  <c r="L21" i="4"/>
  <c r="K21" i="4"/>
  <c r="J21" i="4"/>
  <c r="I21" i="4"/>
  <c r="H21" i="4"/>
  <c r="G21" i="4"/>
  <c r="AB20" i="4"/>
  <c r="AA20" i="4"/>
  <c r="Z20" i="4"/>
  <c r="Y20" i="4"/>
  <c r="X20" i="4"/>
  <c r="W20" i="4"/>
  <c r="V20" i="4"/>
  <c r="U20" i="4"/>
  <c r="T20" i="4"/>
  <c r="S20" i="4"/>
  <c r="R20" i="4"/>
  <c r="Q20" i="4"/>
  <c r="P20" i="4"/>
  <c r="O20" i="4"/>
  <c r="N20" i="4"/>
  <c r="M20" i="4"/>
  <c r="L20" i="4"/>
  <c r="K20" i="4"/>
  <c r="J20" i="4"/>
  <c r="I20" i="4"/>
  <c r="H20" i="4"/>
  <c r="G20" i="4"/>
  <c r="AB19" i="4"/>
  <c r="AA19" i="4"/>
  <c r="Z19" i="4"/>
  <c r="Y19" i="4"/>
  <c r="X19" i="4"/>
  <c r="W19" i="4"/>
  <c r="V19" i="4"/>
  <c r="U19" i="4"/>
  <c r="T19" i="4"/>
  <c r="S19" i="4"/>
  <c r="R19" i="4"/>
  <c r="Q19" i="4"/>
  <c r="P19" i="4"/>
  <c r="O19" i="4"/>
  <c r="N19" i="4"/>
  <c r="M19" i="4"/>
  <c r="L19" i="4"/>
  <c r="K19" i="4"/>
  <c r="J19" i="4"/>
  <c r="I19" i="4"/>
  <c r="H19" i="4"/>
  <c r="G19" i="4"/>
  <c r="AC19" i="4" s="1"/>
  <c r="AB18" i="4"/>
  <c r="AA18" i="4"/>
  <c r="Z18" i="4"/>
  <c r="Y18" i="4"/>
  <c r="X18" i="4"/>
  <c r="W18" i="4"/>
  <c r="V18" i="4"/>
  <c r="U18" i="4"/>
  <c r="T18" i="4"/>
  <c r="S18" i="4"/>
  <c r="R18" i="4"/>
  <c r="Q18" i="4"/>
  <c r="P18" i="4"/>
  <c r="O18" i="4"/>
  <c r="N18" i="4"/>
  <c r="M18" i="4"/>
  <c r="L18" i="4"/>
  <c r="K18" i="4"/>
  <c r="J18" i="4"/>
  <c r="I18" i="4"/>
  <c r="H18" i="4"/>
  <c r="G18" i="4"/>
  <c r="AB17" i="4"/>
  <c r="AA17" i="4"/>
  <c r="Z17" i="4"/>
  <c r="Y17" i="4"/>
  <c r="X17" i="4"/>
  <c r="W17" i="4"/>
  <c r="V17" i="4"/>
  <c r="U17" i="4"/>
  <c r="T17" i="4"/>
  <c r="S17" i="4"/>
  <c r="R17" i="4"/>
  <c r="Q17" i="4"/>
  <c r="P17" i="4"/>
  <c r="O17" i="4"/>
  <c r="N17" i="4"/>
  <c r="M17" i="4"/>
  <c r="L17" i="4"/>
  <c r="K17" i="4"/>
  <c r="J17" i="4"/>
  <c r="I17" i="4"/>
  <c r="H17" i="4"/>
  <c r="G17" i="4"/>
  <c r="AB16" i="4"/>
  <c r="AA16" i="4"/>
  <c r="Z16" i="4"/>
  <c r="Y16" i="4"/>
  <c r="X16" i="4"/>
  <c r="W16" i="4"/>
  <c r="V16" i="4"/>
  <c r="U16" i="4"/>
  <c r="T16" i="4"/>
  <c r="S16" i="4"/>
  <c r="R16" i="4"/>
  <c r="Q16" i="4"/>
  <c r="P16" i="4"/>
  <c r="O16" i="4"/>
  <c r="N16" i="4"/>
  <c r="M16" i="4"/>
  <c r="L16" i="4"/>
  <c r="K16" i="4"/>
  <c r="J16" i="4"/>
  <c r="I16" i="4"/>
  <c r="H16" i="4"/>
  <c r="G16" i="4"/>
  <c r="AB15" i="4"/>
  <c r="AA15" i="4"/>
  <c r="Z15" i="4"/>
  <c r="Y15" i="4"/>
  <c r="X15" i="4"/>
  <c r="W15" i="4"/>
  <c r="V15" i="4"/>
  <c r="U15" i="4"/>
  <c r="T15" i="4"/>
  <c r="S15" i="4"/>
  <c r="R15" i="4"/>
  <c r="Q15" i="4"/>
  <c r="P15" i="4"/>
  <c r="O15" i="4"/>
  <c r="N15" i="4"/>
  <c r="M15" i="4"/>
  <c r="L15" i="4"/>
  <c r="K15" i="4"/>
  <c r="J15" i="4"/>
  <c r="I15" i="4"/>
  <c r="H15" i="4"/>
  <c r="G15" i="4"/>
  <c r="AC15" i="4" s="1"/>
  <c r="AB14" i="4"/>
  <c r="AA14" i="4"/>
  <c r="Z14" i="4"/>
  <c r="Y14" i="4"/>
  <c r="X14" i="4"/>
  <c r="W14" i="4"/>
  <c r="V14" i="4"/>
  <c r="U14" i="4"/>
  <c r="T14" i="4"/>
  <c r="S14" i="4"/>
  <c r="R14" i="4"/>
  <c r="Q14" i="4"/>
  <c r="P14" i="4"/>
  <c r="O14" i="4"/>
  <c r="N14" i="4"/>
  <c r="M14" i="4"/>
  <c r="L14" i="4"/>
  <c r="K14" i="4"/>
  <c r="J14" i="4"/>
  <c r="I14" i="4"/>
  <c r="H14" i="4"/>
  <c r="G14" i="4"/>
  <c r="AB13" i="4"/>
  <c r="AA13" i="4"/>
  <c r="Z13" i="4"/>
  <c r="Y13" i="4"/>
  <c r="X13" i="4"/>
  <c r="W13" i="4"/>
  <c r="V13" i="4"/>
  <c r="U13" i="4"/>
  <c r="T13" i="4"/>
  <c r="S13" i="4"/>
  <c r="R13" i="4"/>
  <c r="Q13" i="4"/>
  <c r="P13" i="4"/>
  <c r="O13" i="4"/>
  <c r="N13" i="4"/>
  <c r="M13" i="4"/>
  <c r="L13" i="4"/>
  <c r="K13" i="4"/>
  <c r="J13" i="4"/>
  <c r="I13" i="4"/>
  <c r="H13" i="4"/>
  <c r="G13" i="4"/>
  <c r="AB12" i="4"/>
  <c r="AA12" i="4"/>
  <c r="Z12" i="4"/>
  <c r="Y12" i="4"/>
  <c r="X12" i="4"/>
  <c r="W12" i="4"/>
  <c r="V12" i="4"/>
  <c r="U12" i="4"/>
  <c r="T12" i="4"/>
  <c r="S12" i="4"/>
  <c r="R12" i="4"/>
  <c r="Q12" i="4"/>
  <c r="P12" i="4"/>
  <c r="O12" i="4"/>
  <c r="N12" i="4"/>
  <c r="M12" i="4"/>
  <c r="L12" i="4"/>
  <c r="K12" i="4"/>
  <c r="J12" i="4"/>
  <c r="I12" i="4"/>
  <c r="H12" i="4"/>
  <c r="G12" i="4"/>
  <c r="M818" i="15" l="1"/>
  <c r="K818" i="16"/>
  <c r="M930" i="15"/>
  <c r="K930" i="16"/>
  <c r="M930" i="16" s="1"/>
  <c r="M994" i="15"/>
  <c r="K994" i="16"/>
  <c r="M31" i="15"/>
  <c r="M31" i="16" s="1"/>
  <c r="O1355" i="15"/>
  <c r="M282" i="15"/>
  <c r="M522" i="15"/>
  <c r="O1237" i="15"/>
  <c r="M666" i="15"/>
  <c r="M1002" i="15"/>
  <c r="O1074" i="15"/>
  <c r="M152" i="15"/>
  <c r="O152" i="15" s="1"/>
  <c r="M1210" i="15"/>
  <c r="O1210" i="15" s="1"/>
  <c r="M1282" i="15"/>
  <c r="M1378" i="15"/>
  <c r="M1026" i="15"/>
  <c r="K1026" i="16"/>
  <c r="M1130" i="15"/>
  <c r="K1130" i="16"/>
  <c r="M1098" i="15"/>
  <c r="K1098" i="16"/>
  <c r="M1098" i="16" s="1"/>
  <c r="M22" i="15"/>
  <c r="M113" i="15"/>
  <c r="O1435" i="15"/>
  <c r="O818" i="15"/>
  <c r="M24" i="15"/>
  <c r="O24" i="15" s="1"/>
  <c r="M96" i="15"/>
  <c r="O96" i="15" s="1"/>
  <c r="M322" i="15"/>
  <c r="M322" i="16" s="1"/>
  <c r="M946" i="15"/>
  <c r="K946" i="16"/>
  <c r="M850" i="15"/>
  <c r="K850" i="16"/>
  <c r="M1162" i="15"/>
  <c r="K1162" i="16"/>
  <c r="M802" i="15"/>
  <c r="K802" i="16"/>
  <c r="O1227" i="15"/>
  <c r="M1258" i="15"/>
  <c r="M362" i="15"/>
  <c r="M386" i="15"/>
  <c r="O386" i="15" s="1"/>
  <c r="M46" i="15"/>
  <c r="O46" i="15" s="1"/>
  <c r="M9" i="15"/>
  <c r="M9" i="16" s="1"/>
  <c r="O1099" i="15"/>
  <c r="M650" i="15"/>
  <c r="O650" i="15" s="1"/>
  <c r="O930" i="15"/>
  <c r="O1418" i="15"/>
  <c r="M538" i="15"/>
  <c r="M1018" i="15"/>
  <c r="O1217" i="15"/>
  <c r="M298" i="15"/>
  <c r="M570" i="15"/>
  <c r="O570" i="15" s="1"/>
  <c r="O1006" i="15"/>
  <c r="M1394" i="15"/>
  <c r="M186" i="15"/>
  <c r="O1347" i="15"/>
  <c r="O1306" i="15"/>
  <c r="M1368" i="16"/>
  <c r="O1245" i="15"/>
  <c r="O1354" i="15"/>
  <c r="M1347" i="16"/>
  <c r="M862" i="16"/>
  <c r="M1294" i="16"/>
  <c r="M1181" i="16"/>
  <c r="M1248" i="16"/>
  <c r="O745" i="15"/>
  <c r="O1275" i="15"/>
  <c r="O517" i="15"/>
  <c r="O1272" i="15"/>
  <c r="M1323" i="16"/>
  <c r="M1419" i="16"/>
  <c r="O1427" i="15"/>
  <c r="M1312" i="16"/>
  <c r="M1306" i="16"/>
  <c r="M1263" i="16"/>
  <c r="M1267" i="16"/>
  <c r="M1371" i="16"/>
  <c r="O1368" i="15"/>
  <c r="O1440" i="15"/>
  <c r="M1411" i="16"/>
  <c r="M782" i="16"/>
  <c r="M533" i="16"/>
  <c r="M398" i="16"/>
  <c r="O111" i="15"/>
  <c r="O661" i="15"/>
  <c r="O1346" i="15"/>
  <c r="O1290" i="15"/>
  <c r="M1440" i="16"/>
  <c r="M1339" i="16"/>
  <c r="M961" i="16"/>
  <c r="M1307" i="16"/>
  <c r="M878" i="16"/>
  <c r="O1077" i="15"/>
  <c r="O1248" i="15"/>
  <c r="M1395" i="16"/>
  <c r="O1267" i="15"/>
  <c r="M1304" i="16"/>
  <c r="M1283" i="16"/>
  <c r="M1378" i="16"/>
  <c r="M261" i="16"/>
  <c r="O1330" i="15"/>
  <c r="O398" i="15"/>
  <c r="O862" i="15"/>
  <c r="M709" i="16"/>
  <c r="M526" i="16"/>
  <c r="O1371" i="15"/>
  <c r="M1291" i="16"/>
  <c r="M1427" i="16"/>
  <c r="M405" i="16"/>
  <c r="M725" i="16"/>
  <c r="O1411" i="15"/>
  <c r="O782" i="15"/>
  <c r="M1272" i="16"/>
  <c r="M1432" i="16"/>
  <c r="O533" i="15"/>
  <c r="O1181" i="15"/>
  <c r="O1294" i="15"/>
  <c r="M1370" i="16"/>
  <c r="M1434" i="16"/>
  <c r="M1387" i="16"/>
  <c r="M718" i="16"/>
  <c r="M1238" i="16"/>
  <c r="O1363" i="15"/>
  <c r="O1314" i="15"/>
  <c r="O1206" i="15"/>
  <c r="O1434" i="15"/>
  <c r="M1077" i="16"/>
  <c r="O1266" i="15"/>
  <c r="O1387" i="15"/>
  <c r="O405" i="15"/>
  <c r="O878" i="15"/>
  <c r="M1314" i="16"/>
  <c r="O1291" i="15"/>
  <c r="O1395" i="15"/>
  <c r="M1435" i="16"/>
  <c r="M1290" i="16"/>
  <c r="M1346" i="16"/>
  <c r="M1386" i="16"/>
  <c r="M1266" i="16"/>
  <c r="O760" i="15"/>
  <c r="O1331" i="15"/>
  <c r="O261" i="15"/>
  <c r="M913" i="16"/>
  <c r="M1354" i="16"/>
  <c r="M1418" i="16"/>
  <c r="O725" i="15"/>
  <c r="O590" i="15"/>
  <c r="M47" i="16"/>
  <c r="M760" i="16"/>
  <c r="M1331" i="16"/>
  <c r="O709" i="15"/>
  <c r="M79" i="16"/>
  <c r="O1283" i="15"/>
  <c r="O1370" i="15"/>
  <c r="O1304" i="15"/>
  <c r="M1363" i="16"/>
  <c r="M1206" i="16"/>
  <c r="O79" i="15"/>
  <c r="O1336" i="15"/>
  <c r="M1336" i="16"/>
  <c r="M1403" i="16"/>
  <c r="O1307" i="15"/>
  <c r="O718" i="15"/>
  <c r="O1238" i="15"/>
  <c r="O833" i="15"/>
  <c r="O1323" i="15"/>
  <c r="O389" i="15"/>
  <c r="O526" i="15"/>
  <c r="O1432" i="15"/>
  <c r="M1376" i="16"/>
  <c r="M745" i="16"/>
  <c r="M1282" i="16"/>
  <c r="M1330" i="16"/>
  <c r="M830" i="16"/>
  <c r="O893" i="15"/>
  <c r="O961" i="15"/>
  <c r="M590" i="16"/>
  <c r="M341" i="16"/>
  <c r="O1419" i="15"/>
  <c r="O1386" i="15"/>
  <c r="M1400" i="16"/>
  <c r="M833" i="16"/>
  <c r="M389" i="16"/>
  <c r="O1014" i="15"/>
  <c r="M1014" i="16"/>
  <c r="O1270" i="15"/>
  <c r="M1270" i="16"/>
  <c r="O1393" i="15"/>
  <c r="M1393" i="16"/>
  <c r="O311" i="15"/>
  <c r="M311" i="16"/>
  <c r="O567" i="15"/>
  <c r="M567" i="16"/>
  <c r="O767" i="15"/>
  <c r="M767" i="16"/>
  <c r="O959" i="15"/>
  <c r="M959" i="16"/>
  <c r="O1215" i="15"/>
  <c r="M1215" i="16"/>
  <c r="M24" i="16"/>
  <c r="O416" i="15"/>
  <c r="M416" i="16"/>
  <c r="O127" i="15"/>
  <c r="M127" i="16"/>
  <c r="O43" i="15"/>
  <c r="M43" i="16"/>
  <c r="O235" i="15"/>
  <c r="M235" i="16"/>
  <c r="O491" i="15"/>
  <c r="M491" i="16"/>
  <c r="O1003" i="15"/>
  <c r="M1003" i="16"/>
  <c r="O358" i="15"/>
  <c r="M358" i="16"/>
  <c r="O622" i="15"/>
  <c r="M622" i="16"/>
  <c r="O1030" i="15"/>
  <c r="M1030" i="16"/>
  <c r="O1350" i="15"/>
  <c r="M1350" i="16"/>
  <c r="O178" i="15"/>
  <c r="O383" i="15"/>
  <c r="M383" i="16"/>
  <c r="O575" i="15"/>
  <c r="M575" i="16"/>
  <c r="O903" i="15"/>
  <c r="M903" i="16"/>
  <c r="O1159" i="15"/>
  <c r="M1159" i="16"/>
  <c r="O1184" i="15"/>
  <c r="M1184" i="16"/>
  <c r="O232" i="15"/>
  <c r="M232" i="16"/>
  <c r="O424" i="15"/>
  <c r="M424" i="16"/>
  <c r="O680" i="15"/>
  <c r="M680" i="16"/>
  <c r="O124" i="15"/>
  <c r="M124" i="16"/>
  <c r="O141" i="15"/>
  <c r="M141" i="16"/>
  <c r="O174" i="15"/>
  <c r="M174" i="16"/>
  <c r="O215" i="15"/>
  <c r="M215" i="16"/>
  <c r="O962" i="15"/>
  <c r="M962" i="16"/>
  <c r="O51" i="15"/>
  <c r="M51" i="16"/>
  <c r="O307" i="15"/>
  <c r="M307" i="16"/>
  <c r="O563" i="15"/>
  <c r="M563" i="16"/>
  <c r="O819" i="15"/>
  <c r="M819" i="16"/>
  <c r="O1139" i="15"/>
  <c r="M1139" i="16"/>
  <c r="O334" i="15"/>
  <c r="M334" i="16"/>
  <c r="O774" i="15"/>
  <c r="M774" i="16"/>
  <c r="O4" i="15"/>
  <c r="M4" i="16"/>
  <c r="O68" i="15"/>
  <c r="M68" i="16"/>
  <c r="O21" i="15"/>
  <c r="M21" i="16"/>
  <c r="O85" i="15"/>
  <c r="M85" i="16"/>
  <c r="O213" i="15"/>
  <c r="M213" i="16"/>
  <c r="O54" i="15"/>
  <c r="M54" i="16"/>
  <c r="O118" i="15"/>
  <c r="M118" i="16"/>
  <c r="O182" i="15"/>
  <c r="M182" i="16"/>
  <c r="O7" i="15"/>
  <c r="M7" i="16"/>
  <c r="O373" i="15"/>
  <c r="M373" i="16"/>
  <c r="O437" i="15"/>
  <c r="M437" i="16"/>
  <c r="O789" i="15"/>
  <c r="M789" i="16"/>
  <c r="O853" i="15"/>
  <c r="M853" i="16"/>
  <c r="O909" i="15"/>
  <c r="M909" i="16"/>
  <c r="O973" i="15"/>
  <c r="M973" i="16"/>
  <c r="O1125" i="15"/>
  <c r="M1125" i="16"/>
  <c r="O1269" i="15"/>
  <c r="M1269" i="16"/>
  <c r="O1333" i="15"/>
  <c r="M1333" i="16"/>
  <c r="O1397" i="15"/>
  <c r="M1397" i="16"/>
  <c r="O1169" i="15"/>
  <c r="M1169" i="16"/>
  <c r="O1433" i="15"/>
  <c r="M1433" i="16"/>
  <c r="O234" i="15"/>
  <c r="M234" i="16"/>
  <c r="O514" i="15"/>
  <c r="M514" i="16"/>
  <c r="O766" i="15"/>
  <c r="M766" i="16"/>
  <c r="O1142" i="15"/>
  <c r="M1142" i="16"/>
  <c r="O229" i="15"/>
  <c r="M229" i="16"/>
  <c r="O301" i="15"/>
  <c r="M301" i="16"/>
  <c r="O381" i="15"/>
  <c r="M381" i="16"/>
  <c r="O445" i="15"/>
  <c r="M445" i="16"/>
  <c r="O525" i="15"/>
  <c r="M525" i="16"/>
  <c r="O589" i="15"/>
  <c r="M589" i="16"/>
  <c r="O669" i="15"/>
  <c r="M669" i="16"/>
  <c r="O733" i="15"/>
  <c r="M733" i="16"/>
  <c r="O797" i="15"/>
  <c r="M797" i="16"/>
  <c r="O861" i="15"/>
  <c r="M861" i="16"/>
  <c r="O917" i="15"/>
  <c r="M917" i="16"/>
  <c r="O981" i="15"/>
  <c r="M981" i="16"/>
  <c r="O1045" i="15"/>
  <c r="M1045" i="16"/>
  <c r="O1133" i="15"/>
  <c r="M1133" i="16"/>
  <c r="O1277" i="15"/>
  <c r="M1277" i="16"/>
  <c r="O1341" i="15"/>
  <c r="M1341" i="16"/>
  <c r="O1405" i="15"/>
  <c r="M1405" i="16"/>
  <c r="O1193" i="15"/>
  <c r="M1193" i="16"/>
  <c r="O18" i="15"/>
  <c r="M18" i="16"/>
  <c r="O266" i="15"/>
  <c r="M266" i="16"/>
  <c r="O538" i="15"/>
  <c r="M538" i="16"/>
  <c r="O874" i="15"/>
  <c r="M874" i="16"/>
  <c r="O1118" i="15"/>
  <c r="M1118" i="16"/>
  <c r="O1342" i="15"/>
  <c r="M1342" i="16"/>
  <c r="O146" i="15"/>
  <c r="M146" i="16"/>
  <c r="O1242" i="15"/>
  <c r="M1242" i="16"/>
  <c r="O375" i="15"/>
  <c r="M375" i="16"/>
  <c r="O695" i="15"/>
  <c r="M695" i="16"/>
  <c r="O1023" i="15"/>
  <c r="M1023" i="16"/>
  <c r="O1287" i="15"/>
  <c r="M1287" i="16"/>
  <c r="O1128" i="15"/>
  <c r="M1128" i="16"/>
  <c r="O224" i="15"/>
  <c r="M224" i="16"/>
  <c r="O480" i="15"/>
  <c r="M480" i="16"/>
  <c r="O672" i="15"/>
  <c r="M672" i="16"/>
  <c r="O1072" i="15"/>
  <c r="M1072" i="16"/>
  <c r="O49" i="15"/>
  <c r="M49" i="16"/>
  <c r="O1194" i="15"/>
  <c r="M1194" i="16"/>
  <c r="O171" i="15"/>
  <c r="M171" i="16"/>
  <c r="O427" i="15"/>
  <c r="M427" i="16"/>
  <c r="O619" i="15"/>
  <c r="M619" i="16"/>
  <c r="O811" i="15"/>
  <c r="M811" i="16"/>
  <c r="O939" i="15"/>
  <c r="M939" i="16"/>
  <c r="O1062" i="15"/>
  <c r="M1062" i="16"/>
  <c r="O494" i="15"/>
  <c r="M494" i="16"/>
  <c r="O758" i="15"/>
  <c r="O1126" i="15"/>
  <c r="M1126" i="16"/>
  <c r="O1414" i="15"/>
  <c r="M1414" i="16"/>
  <c r="O426" i="15"/>
  <c r="M426" i="16"/>
  <c r="O1096" i="15"/>
  <c r="M1096" i="16"/>
  <c r="O447" i="15"/>
  <c r="M447" i="16"/>
  <c r="O703" i="15"/>
  <c r="M703" i="16"/>
  <c r="O839" i="15"/>
  <c r="M839" i="16"/>
  <c r="O1095" i="15"/>
  <c r="M1095" i="16"/>
  <c r="O1359" i="15"/>
  <c r="M1359" i="16"/>
  <c r="O32" i="15"/>
  <c r="M32" i="16"/>
  <c r="O296" i="15"/>
  <c r="M296" i="16"/>
  <c r="O488" i="15"/>
  <c r="M488" i="16"/>
  <c r="O616" i="15"/>
  <c r="M616" i="16"/>
  <c r="O824" i="15"/>
  <c r="M824" i="16"/>
  <c r="O952" i="15"/>
  <c r="M952" i="16"/>
  <c r="O1176" i="15"/>
  <c r="M1176" i="16"/>
  <c r="O60" i="15"/>
  <c r="M60" i="16"/>
  <c r="O77" i="15"/>
  <c r="M77" i="16"/>
  <c r="O110" i="15"/>
  <c r="M110" i="16"/>
  <c r="O135" i="15"/>
  <c r="M135" i="16"/>
  <c r="O270" i="15"/>
  <c r="M270" i="16"/>
  <c r="O115" i="15"/>
  <c r="M115" i="16"/>
  <c r="O371" i="15"/>
  <c r="M371" i="16"/>
  <c r="O627" i="15"/>
  <c r="M627" i="16"/>
  <c r="O883" i="15"/>
  <c r="M883" i="16"/>
  <c r="O1075" i="15"/>
  <c r="M1075" i="16"/>
  <c r="O366" i="15"/>
  <c r="M366" i="16"/>
  <c r="O502" i="15"/>
  <c r="M502" i="16"/>
  <c r="O630" i="15"/>
  <c r="M630" i="16"/>
  <c r="O132" i="15"/>
  <c r="M132" i="16"/>
  <c r="O752" i="15"/>
  <c r="M752" i="16"/>
  <c r="O1110" i="15"/>
  <c r="M1110" i="16"/>
  <c r="O284" i="15"/>
  <c r="M284" i="16"/>
  <c r="O348" i="15"/>
  <c r="M348" i="16"/>
  <c r="O476" i="15"/>
  <c r="M476" i="16"/>
  <c r="O540" i="15"/>
  <c r="M540" i="16"/>
  <c r="O668" i="15"/>
  <c r="M668" i="16"/>
  <c r="O732" i="15"/>
  <c r="M732" i="16"/>
  <c r="O796" i="15"/>
  <c r="M796" i="16"/>
  <c r="O860" i="15"/>
  <c r="M860" i="16"/>
  <c r="O988" i="15"/>
  <c r="M988" i="16"/>
  <c r="O1052" i="15"/>
  <c r="M1052" i="16"/>
  <c r="O1116" i="15"/>
  <c r="M1116" i="16"/>
  <c r="O1180" i="15"/>
  <c r="M1180" i="16"/>
  <c r="O1244" i="15"/>
  <c r="M1244" i="16"/>
  <c r="O1308" i="15"/>
  <c r="M1308" i="16"/>
  <c r="O1372" i="15"/>
  <c r="M1372" i="16"/>
  <c r="O1436" i="15"/>
  <c r="M1436" i="16"/>
  <c r="O162" i="15"/>
  <c r="M162" i="16"/>
  <c r="O450" i="15"/>
  <c r="M450" i="16"/>
  <c r="O682" i="15"/>
  <c r="M682" i="16"/>
  <c r="O986" i="15"/>
  <c r="M986" i="16"/>
  <c r="O849" i="15"/>
  <c r="M849" i="16"/>
  <c r="O1173" i="15"/>
  <c r="M1173" i="16"/>
  <c r="O309" i="15"/>
  <c r="M309" i="16"/>
  <c r="O953" i="15"/>
  <c r="M953" i="16"/>
  <c r="O1105" i="15"/>
  <c r="M1105" i="16"/>
  <c r="O1377" i="15"/>
  <c r="M1377" i="16"/>
  <c r="O226" i="15"/>
  <c r="O474" i="15"/>
  <c r="M474" i="16"/>
  <c r="O738" i="15"/>
  <c r="M738" i="16"/>
  <c r="O1154" i="15"/>
  <c r="M1154" i="16"/>
  <c r="O201" i="15"/>
  <c r="M201" i="16"/>
  <c r="O265" i="15"/>
  <c r="M265" i="16"/>
  <c r="O329" i="15"/>
  <c r="M329" i="16"/>
  <c r="O393" i="15"/>
  <c r="M393" i="16"/>
  <c r="O457" i="15"/>
  <c r="M457" i="16"/>
  <c r="O545" i="15"/>
  <c r="M545" i="16"/>
  <c r="O609" i="15"/>
  <c r="M609" i="16"/>
  <c r="O673" i="15"/>
  <c r="M673" i="16"/>
  <c r="O737" i="15"/>
  <c r="M737" i="16"/>
  <c r="O1177" i="15"/>
  <c r="M1177" i="16"/>
  <c r="O854" i="15"/>
  <c r="M854" i="16"/>
  <c r="O1198" i="15"/>
  <c r="M1198" i="16"/>
  <c r="O642" i="15"/>
  <c r="M642" i="16"/>
  <c r="O247" i="15"/>
  <c r="M247" i="16"/>
  <c r="O439" i="15"/>
  <c r="M439" i="16"/>
  <c r="O631" i="15"/>
  <c r="M631" i="16"/>
  <c r="O895" i="15"/>
  <c r="M895" i="16"/>
  <c r="O1151" i="15"/>
  <c r="M1151" i="16"/>
  <c r="O1415" i="15"/>
  <c r="M1415" i="16"/>
  <c r="O160" i="15"/>
  <c r="M160" i="16"/>
  <c r="O352" i="15"/>
  <c r="M352" i="16"/>
  <c r="O608" i="15"/>
  <c r="M608" i="16"/>
  <c r="O816" i="15"/>
  <c r="M816" i="16"/>
  <c r="O880" i="15"/>
  <c r="M880" i="16"/>
  <c r="O1008" i="15"/>
  <c r="M1008" i="16"/>
  <c r="O63" i="15"/>
  <c r="M63" i="16"/>
  <c r="O113" i="15"/>
  <c r="M113" i="16"/>
  <c r="O1379" i="15"/>
  <c r="M1379" i="16"/>
  <c r="O299" i="15"/>
  <c r="M299" i="16"/>
  <c r="O683" i="15"/>
  <c r="M683" i="16"/>
  <c r="O422" i="15"/>
  <c r="M422" i="16"/>
  <c r="O694" i="15"/>
  <c r="M694" i="16"/>
  <c r="O950" i="15"/>
  <c r="M950" i="16"/>
  <c r="O1278" i="15"/>
  <c r="M1278" i="16"/>
  <c r="O674" i="15"/>
  <c r="M674" i="16"/>
  <c r="O319" i="15"/>
  <c r="M319" i="16"/>
  <c r="O639" i="15"/>
  <c r="M639" i="16"/>
  <c r="O967" i="15"/>
  <c r="M967" i="16"/>
  <c r="O1223" i="15"/>
  <c r="M1223" i="16"/>
  <c r="O1423" i="15"/>
  <c r="M1423" i="16"/>
  <c r="O104" i="15"/>
  <c r="M104" i="16"/>
  <c r="O360" i="15"/>
  <c r="M360" i="16"/>
  <c r="O552" i="15"/>
  <c r="M552" i="16"/>
  <c r="O744" i="15"/>
  <c r="M744" i="16"/>
  <c r="O888" i="15"/>
  <c r="M888" i="16"/>
  <c r="O1016" i="15"/>
  <c r="M1016" i="16"/>
  <c r="O13" i="15"/>
  <c r="M13" i="16"/>
  <c r="O71" i="15"/>
  <c r="M71" i="16"/>
  <c r="O121" i="15"/>
  <c r="M121" i="16"/>
  <c r="O1402" i="15"/>
  <c r="M1402" i="16"/>
  <c r="O243" i="15"/>
  <c r="M243" i="16"/>
  <c r="O499" i="15"/>
  <c r="M499" i="16"/>
  <c r="O755" i="15"/>
  <c r="M755" i="16"/>
  <c r="O1011" i="15"/>
  <c r="M1011" i="16"/>
  <c r="O1089" i="15"/>
  <c r="M1089" i="16"/>
  <c r="O566" i="15"/>
  <c r="M566" i="16"/>
  <c r="O149" i="15"/>
  <c r="M149" i="16"/>
  <c r="O1037" i="15"/>
  <c r="M1037" i="16"/>
  <c r="O1384" i="15"/>
  <c r="M1384" i="16"/>
  <c r="O412" i="15"/>
  <c r="M412" i="16"/>
  <c r="O604" i="15"/>
  <c r="M604" i="16"/>
  <c r="O924" i="15"/>
  <c r="M924" i="16"/>
  <c r="O237" i="15"/>
  <c r="M237" i="16"/>
  <c r="O905" i="15"/>
  <c r="M905" i="16"/>
  <c r="O801" i="15"/>
  <c r="M801" i="16"/>
  <c r="O1141" i="15"/>
  <c r="M1141" i="16"/>
  <c r="O1426" i="15"/>
  <c r="M1426" i="16"/>
  <c r="O292" i="15"/>
  <c r="M292" i="16"/>
  <c r="O356" i="15"/>
  <c r="M356" i="16"/>
  <c r="O420" i="15"/>
  <c r="M420" i="16"/>
  <c r="O484" i="15"/>
  <c r="M484" i="16"/>
  <c r="O548" i="15"/>
  <c r="M548" i="16"/>
  <c r="O612" i="15"/>
  <c r="M612" i="16"/>
  <c r="O676" i="15"/>
  <c r="M676" i="16"/>
  <c r="O740" i="15"/>
  <c r="M740" i="16"/>
  <c r="O804" i="15"/>
  <c r="M804" i="16"/>
  <c r="O868" i="15"/>
  <c r="M868" i="16"/>
  <c r="O932" i="15"/>
  <c r="M932" i="16"/>
  <c r="O996" i="15"/>
  <c r="M996" i="16"/>
  <c r="O1060" i="15"/>
  <c r="M1060" i="16"/>
  <c r="O1124" i="15"/>
  <c r="M1124" i="16"/>
  <c r="O1188" i="15"/>
  <c r="M1188" i="16"/>
  <c r="O1252" i="15"/>
  <c r="M1252" i="16"/>
  <c r="O1316" i="15"/>
  <c r="M1316" i="16"/>
  <c r="O1380" i="15"/>
  <c r="M1380" i="16"/>
  <c r="O521" i="15"/>
  <c r="M521" i="16"/>
  <c r="O194" i="15"/>
  <c r="M194" i="16"/>
  <c r="O466" i="15"/>
  <c r="M466" i="16"/>
  <c r="O714" i="15"/>
  <c r="O1137" i="15"/>
  <c r="M1137" i="16"/>
  <c r="O1417" i="15"/>
  <c r="M1417" i="16"/>
  <c r="O258" i="15"/>
  <c r="M258" i="16"/>
  <c r="O506" i="15"/>
  <c r="M506" i="16"/>
  <c r="O810" i="15"/>
  <c r="M810" i="16"/>
  <c r="O1186" i="15"/>
  <c r="M1186" i="16"/>
  <c r="O209" i="15"/>
  <c r="M209" i="16"/>
  <c r="O273" i="15"/>
  <c r="M273" i="16"/>
  <c r="O337" i="15"/>
  <c r="M337" i="16"/>
  <c r="O401" i="15"/>
  <c r="M401" i="16"/>
  <c r="O465" i="15"/>
  <c r="M465" i="16"/>
  <c r="O553" i="15"/>
  <c r="M553" i="16"/>
  <c r="O617" i="15"/>
  <c r="M617" i="16"/>
  <c r="O681" i="15"/>
  <c r="M681" i="16"/>
  <c r="O921" i="15"/>
  <c r="M921" i="16"/>
  <c r="O1225" i="15"/>
  <c r="M1225" i="16"/>
  <c r="M1299" i="16"/>
  <c r="O1299" i="15"/>
  <c r="O934" i="15"/>
  <c r="M934" i="16"/>
  <c r="O1406" i="15"/>
  <c r="M1406" i="16"/>
  <c r="O394" i="15"/>
  <c r="M394" i="16"/>
  <c r="O1065" i="15"/>
  <c r="M1065" i="16"/>
  <c r="O503" i="15"/>
  <c r="M503" i="16"/>
  <c r="O831" i="15"/>
  <c r="M831" i="16"/>
  <c r="O1087" i="15"/>
  <c r="M1087" i="16"/>
  <c r="O1351" i="15"/>
  <c r="M1351" i="16"/>
  <c r="O288" i="15"/>
  <c r="M288" i="16"/>
  <c r="O544" i="15"/>
  <c r="M544" i="16"/>
  <c r="O736" i="15"/>
  <c r="M736" i="16"/>
  <c r="O944" i="15"/>
  <c r="M944" i="16"/>
  <c r="O1168" i="15"/>
  <c r="M1168" i="16"/>
  <c r="O199" i="15"/>
  <c r="M199" i="16"/>
  <c r="O926" i="15"/>
  <c r="M926" i="16"/>
  <c r="O107" i="15"/>
  <c r="M107" i="16"/>
  <c r="O363" i="15"/>
  <c r="M363" i="16"/>
  <c r="O555" i="15"/>
  <c r="M555" i="16"/>
  <c r="O747" i="15"/>
  <c r="M747" i="16"/>
  <c r="O875" i="15"/>
  <c r="M875" i="16"/>
  <c r="O1067" i="15"/>
  <c r="M1067" i="16"/>
  <c r="O1203" i="15"/>
  <c r="M1203" i="16"/>
  <c r="O286" i="15"/>
  <c r="M286" i="16"/>
  <c r="O558" i="15"/>
  <c r="M558" i="16"/>
  <c r="O1425" i="15"/>
  <c r="M1425" i="16"/>
  <c r="O970" i="15"/>
  <c r="M970" i="16"/>
  <c r="O255" i="15"/>
  <c r="M255" i="16"/>
  <c r="O511" i="15"/>
  <c r="M511" i="16"/>
  <c r="O775" i="15"/>
  <c r="M775" i="16"/>
  <c r="O1031" i="15"/>
  <c r="M1031" i="16"/>
  <c r="O1295" i="15"/>
  <c r="M1295" i="16"/>
  <c r="O168" i="15"/>
  <c r="M168" i="16"/>
  <c r="O1080" i="15"/>
  <c r="M1080" i="16"/>
  <c r="O175" i="15"/>
  <c r="M175" i="16"/>
  <c r="O188" i="15"/>
  <c r="M188" i="16"/>
  <c r="O205" i="15"/>
  <c r="M205" i="16"/>
  <c r="O238" i="15"/>
  <c r="M238" i="16"/>
  <c r="O57" i="15"/>
  <c r="M57" i="16"/>
  <c r="O1224" i="15"/>
  <c r="M1224" i="16"/>
  <c r="O179" i="15"/>
  <c r="M179" i="16"/>
  <c r="O435" i="15"/>
  <c r="M435" i="16"/>
  <c r="O691" i="15"/>
  <c r="M691" i="16"/>
  <c r="O947" i="15"/>
  <c r="M947" i="16"/>
  <c r="O1211" i="15"/>
  <c r="M1211" i="16"/>
  <c r="O294" i="15"/>
  <c r="M294" i="16"/>
  <c r="O430" i="15"/>
  <c r="M430" i="16"/>
  <c r="O702" i="15"/>
  <c r="M702" i="16"/>
  <c r="O196" i="15"/>
  <c r="M196" i="16"/>
  <c r="O204" i="15"/>
  <c r="M204" i="16"/>
  <c r="O126" i="15"/>
  <c r="M126" i="16"/>
  <c r="O223" i="15"/>
  <c r="M223" i="16"/>
  <c r="O1249" i="15"/>
  <c r="M1249" i="16"/>
  <c r="O251" i="15"/>
  <c r="M251" i="16"/>
  <c r="O571" i="15"/>
  <c r="M571" i="16"/>
  <c r="O891" i="15"/>
  <c r="M891" i="16"/>
  <c r="O1170" i="15"/>
  <c r="M1170" i="16"/>
  <c r="O428" i="15"/>
  <c r="M428" i="16"/>
  <c r="O748" i="15"/>
  <c r="O1004" i="15"/>
  <c r="M1004" i="16"/>
  <c r="O1324" i="15"/>
  <c r="M1324" i="16"/>
  <c r="O730" i="15"/>
  <c r="M730" i="16"/>
  <c r="O894" i="15"/>
  <c r="M894" i="16"/>
  <c r="O605" i="15"/>
  <c r="M605" i="16"/>
  <c r="O805" i="15"/>
  <c r="M805" i="16"/>
  <c r="O989" i="15"/>
  <c r="M989" i="16"/>
  <c r="O1285" i="15"/>
  <c r="M1285" i="16"/>
  <c r="O50" i="15"/>
  <c r="M50" i="16"/>
  <c r="O769" i="15"/>
  <c r="M769" i="16"/>
  <c r="O438" i="15"/>
  <c r="M438" i="16"/>
  <c r="O870" i="15"/>
  <c r="M870" i="16"/>
  <c r="O1214" i="15"/>
  <c r="M1214" i="16"/>
  <c r="O210" i="15"/>
  <c r="M210" i="16"/>
  <c r="O391" i="15"/>
  <c r="M391" i="16"/>
  <c r="O783" i="15"/>
  <c r="M783" i="16"/>
  <c r="O1039" i="15"/>
  <c r="M1039" i="16"/>
  <c r="O1303" i="15"/>
  <c r="M1303" i="16"/>
  <c r="O176" i="15"/>
  <c r="M176" i="16"/>
  <c r="O560" i="15"/>
  <c r="M560" i="16"/>
  <c r="O896" i="15"/>
  <c r="M896" i="16"/>
  <c r="O777" i="15"/>
  <c r="M777" i="16"/>
  <c r="O546" i="15"/>
  <c r="M546" i="16"/>
  <c r="O281" i="15"/>
  <c r="M281" i="16"/>
  <c r="O689" i="15"/>
  <c r="M689" i="16"/>
  <c r="O20" i="15"/>
  <c r="M20" i="16"/>
  <c r="O37" i="15"/>
  <c r="M37" i="16"/>
  <c r="O134" i="15"/>
  <c r="M134" i="16"/>
  <c r="O9" i="15"/>
  <c r="O1049" i="15"/>
  <c r="M1049" i="16"/>
  <c r="O131" i="15"/>
  <c r="M131" i="16"/>
  <c r="O515" i="15"/>
  <c r="M515" i="16"/>
  <c r="O771" i="15"/>
  <c r="M771" i="16"/>
  <c r="O1027" i="15"/>
  <c r="M1027" i="16"/>
  <c r="O308" i="15"/>
  <c r="M308" i="16"/>
  <c r="O628" i="15"/>
  <c r="M628" i="16"/>
  <c r="O948" i="15"/>
  <c r="M948" i="16"/>
  <c r="O1204" i="15"/>
  <c r="M1204" i="16"/>
  <c r="O1409" i="15"/>
  <c r="M1409" i="16"/>
  <c r="O1090" i="15"/>
  <c r="M1090" i="16"/>
  <c r="O253" i="15"/>
  <c r="M253" i="16"/>
  <c r="O613" i="15"/>
  <c r="M613" i="16"/>
  <c r="O877" i="15"/>
  <c r="M877" i="16"/>
  <c r="O1229" i="15"/>
  <c r="M1229" i="16"/>
  <c r="O1289" i="15"/>
  <c r="M1289" i="16"/>
  <c r="O922" i="15"/>
  <c r="M922" i="16"/>
  <c r="O382" i="15"/>
  <c r="M382" i="16"/>
  <c r="O646" i="15"/>
  <c r="M646" i="16"/>
  <c r="O966" i="15"/>
  <c r="M966" i="16"/>
  <c r="O1302" i="15"/>
  <c r="M1302" i="16"/>
  <c r="O1106" i="15"/>
  <c r="M1106" i="16"/>
  <c r="O1264" i="15"/>
  <c r="M1264" i="16"/>
  <c r="O463" i="15"/>
  <c r="M463" i="16"/>
  <c r="O719" i="15"/>
  <c r="M719" i="16"/>
  <c r="O983" i="15"/>
  <c r="M983" i="16"/>
  <c r="O1239" i="15"/>
  <c r="M1239" i="16"/>
  <c r="O1352" i="15"/>
  <c r="M1352" i="16"/>
  <c r="O376" i="15"/>
  <c r="M376" i="16"/>
  <c r="O632" i="15"/>
  <c r="M632" i="16"/>
  <c r="O904" i="15"/>
  <c r="M904" i="16"/>
  <c r="O1200" i="15"/>
  <c r="M1200" i="16"/>
  <c r="O58" i="15"/>
  <c r="M58" i="16"/>
  <c r="O417" i="15"/>
  <c r="M417" i="16"/>
  <c r="O633" i="15"/>
  <c r="M633" i="16"/>
  <c r="O1313" i="15"/>
  <c r="M1313" i="16"/>
  <c r="O28" i="15"/>
  <c r="M28" i="16"/>
  <c r="O92" i="15"/>
  <c r="M92" i="16"/>
  <c r="O156" i="15"/>
  <c r="M156" i="16"/>
  <c r="O220" i="15"/>
  <c r="M220" i="16"/>
  <c r="O45" i="15"/>
  <c r="M45" i="16"/>
  <c r="O109" i="15"/>
  <c r="M109" i="16"/>
  <c r="O173" i="15"/>
  <c r="M173" i="16"/>
  <c r="O14" i="15"/>
  <c r="M14" i="16"/>
  <c r="O78" i="15"/>
  <c r="M78" i="16"/>
  <c r="O142" i="15"/>
  <c r="M142" i="16"/>
  <c r="O206" i="15"/>
  <c r="M206" i="16"/>
  <c r="O31" i="15"/>
  <c r="O95" i="15"/>
  <c r="M95" i="16"/>
  <c r="O159" i="15"/>
  <c r="M159" i="16"/>
  <c r="O17" i="15"/>
  <c r="M17" i="16"/>
  <c r="O81" i="15"/>
  <c r="M81" i="16"/>
  <c r="O145" i="15"/>
  <c r="M145" i="16"/>
  <c r="O751" i="15"/>
  <c r="M751" i="16"/>
  <c r="O1078" i="15"/>
  <c r="M1078" i="16"/>
  <c r="O1296" i="15"/>
  <c r="M1296" i="16"/>
  <c r="O11" i="15"/>
  <c r="M11" i="16"/>
  <c r="O75" i="15"/>
  <c r="M75" i="16"/>
  <c r="O139" i="15"/>
  <c r="M139" i="16"/>
  <c r="O203" i="15"/>
  <c r="M203" i="16"/>
  <c r="O267" i="15"/>
  <c r="M267" i="16"/>
  <c r="O331" i="15"/>
  <c r="M331" i="16"/>
  <c r="O395" i="15"/>
  <c r="M395" i="16"/>
  <c r="O459" i="15"/>
  <c r="M459" i="16"/>
  <c r="O523" i="15"/>
  <c r="M523" i="16"/>
  <c r="O587" i="15"/>
  <c r="M587" i="16"/>
  <c r="O651" i="15"/>
  <c r="M651" i="16"/>
  <c r="O715" i="15"/>
  <c r="M715" i="16"/>
  <c r="O779" i="15"/>
  <c r="M779" i="16"/>
  <c r="O843" i="15"/>
  <c r="M843" i="16"/>
  <c r="O907" i="15"/>
  <c r="M907" i="16"/>
  <c r="O971" i="15"/>
  <c r="M971" i="16"/>
  <c r="O1171" i="15"/>
  <c r="M1171" i="16"/>
  <c r="O1235" i="15"/>
  <c r="M1235" i="16"/>
  <c r="O1230" i="15"/>
  <c r="O929" i="15"/>
  <c r="M929" i="16"/>
  <c r="O1256" i="15"/>
  <c r="M1256" i="16"/>
  <c r="O252" i="15"/>
  <c r="M252" i="16"/>
  <c r="O316" i="15"/>
  <c r="M316" i="16"/>
  <c r="O380" i="15"/>
  <c r="M380" i="16"/>
  <c r="O444" i="15"/>
  <c r="M444" i="16"/>
  <c r="O508" i="15"/>
  <c r="M508" i="16"/>
  <c r="O572" i="15"/>
  <c r="M572" i="16"/>
  <c r="O636" i="15"/>
  <c r="M636" i="16"/>
  <c r="O700" i="15"/>
  <c r="M700" i="16"/>
  <c r="O764" i="15"/>
  <c r="M764" i="16"/>
  <c r="O828" i="15"/>
  <c r="M828" i="16"/>
  <c r="O892" i="15"/>
  <c r="M892" i="16"/>
  <c r="O956" i="15"/>
  <c r="M956" i="16"/>
  <c r="O1020" i="15"/>
  <c r="M1020" i="16"/>
  <c r="O1084" i="15"/>
  <c r="M1084" i="16"/>
  <c r="O1148" i="15"/>
  <c r="M1148" i="16"/>
  <c r="O1212" i="15"/>
  <c r="M1212" i="16"/>
  <c r="O1276" i="15"/>
  <c r="M1276" i="16"/>
  <c r="O1340" i="15"/>
  <c r="M1340" i="16"/>
  <c r="O1404" i="15"/>
  <c r="M1404" i="16"/>
  <c r="O26" i="15"/>
  <c r="M26" i="16"/>
  <c r="O314" i="15"/>
  <c r="M314" i="16"/>
  <c r="O554" i="15"/>
  <c r="M554" i="16"/>
  <c r="O778" i="15"/>
  <c r="M778" i="16"/>
  <c r="O1114" i="15"/>
  <c r="M1114" i="16"/>
  <c r="O1263" i="15"/>
  <c r="O1022" i="15"/>
  <c r="M1022" i="16"/>
  <c r="O1280" i="15"/>
  <c r="M1280" i="16"/>
  <c r="O341" i="15"/>
  <c r="O485" i="15"/>
  <c r="M485" i="16"/>
  <c r="O549" i="15"/>
  <c r="M549" i="16"/>
  <c r="O621" i="15"/>
  <c r="M621" i="16"/>
  <c r="O693" i="15"/>
  <c r="M693" i="16"/>
  <c r="O757" i="15"/>
  <c r="M757" i="16"/>
  <c r="O821" i="15"/>
  <c r="M821" i="16"/>
  <c r="O885" i="15"/>
  <c r="M885" i="16"/>
  <c r="O941" i="15"/>
  <c r="M941" i="16"/>
  <c r="O1005" i="15"/>
  <c r="M1005" i="16"/>
  <c r="O1069" i="15"/>
  <c r="M1069" i="16"/>
  <c r="O1165" i="15"/>
  <c r="M1165" i="16"/>
  <c r="O1301" i="15"/>
  <c r="M1301" i="16"/>
  <c r="O1365" i="15"/>
  <c r="M1365" i="16"/>
  <c r="O1429" i="15"/>
  <c r="M1429" i="16"/>
  <c r="O1321" i="15"/>
  <c r="M1321" i="16"/>
  <c r="O106" i="15"/>
  <c r="M106" i="16"/>
  <c r="O370" i="15"/>
  <c r="M370" i="16"/>
  <c r="O634" i="15"/>
  <c r="M634" i="16"/>
  <c r="O938" i="15"/>
  <c r="O1282" i="15"/>
  <c r="O897" i="15"/>
  <c r="M897" i="16"/>
  <c r="O246" i="15"/>
  <c r="M246" i="16"/>
  <c r="O318" i="15"/>
  <c r="M318" i="16"/>
  <c r="O390" i="15"/>
  <c r="M390" i="16"/>
  <c r="O454" i="15"/>
  <c r="M454" i="16"/>
  <c r="O662" i="15"/>
  <c r="M662" i="16"/>
  <c r="O726" i="15"/>
  <c r="M726" i="16"/>
  <c r="O806" i="15"/>
  <c r="M806" i="16"/>
  <c r="O886" i="15"/>
  <c r="M886" i="16"/>
  <c r="O982" i="15"/>
  <c r="O1070" i="15"/>
  <c r="M1070" i="16"/>
  <c r="O1158" i="15"/>
  <c r="M1158" i="16"/>
  <c r="O1310" i="15"/>
  <c r="M1310" i="16"/>
  <c r="O1374" i="15"/>
  <c r="M1374" i="16"/>
  <c r="O1438" i="15"/>
  <c r="M1438" i="16"/>
  <c r="O1281" i="15"/>
  <c r="M1281" i="16"/>
  <c r="O10" i="15"/>
  <c r="M10" i="16"/>
  <c r="O274" i="15"/>
  <c r="M274" i="16"/>
  <c r="O530" i="15"/>
  <c r="M530" i="16"/>
  <c r="O794" i="15"/>
  <c r="M794" i="16"/>
  <c r="O770" i="15"/>
  <c r="M770" i="16"/>
  <c r="O1328" i="15"/>
  <c r="M1328" i="16"/>
  <c r="O279" i="15"/>
  <c r="M279" i="16"/>
  <c r="O343" i="15"/>
  <c r="M343" i="16"/>
  <c r="O407" i="15"/>
  <c r="M407" i="16"/>
  <c r="O471" i="15"/>
  <c r="M471" i="16"/>
  <c r="O535" i="15"/>
  <c r="M535" i="16"/>
  <c r="O599" i="15"/>
  <c r="M599" i="16"/>
  <c r="O663" i="15"/>
  <c r="M663" i="16"/>
  <c r="O727" i="15"/>
  <c r="M727" i="16"/>
  <c r="O799" i="15"/>
  <c r="M799" i="16"/>
  <c r="O863" i="15"/>
  <c r="M863" i="16"/>
  <c r="O927" i="15"/>
  <c r="M927" i="16"/>
  <c r="O991" i="15"/>
  <c r="M991" i="16"/>
  <c r="O1055" i="15"/>
  <c r="M1055" i="16"/>
  <c r="O1119" i="15"/>
  <c r="M1119" i="16"/>
  <c r="O1183" i="15"/>
  <c r="M1183" i="16"/>
  <c r="O1247" i="15"/>
  <c r="M1247" i="16"/>
  <c r="O1319" i="15"/>
  <c r="M1319" i="16"/>
  <c r="O1383" i="15"/>
  <c r="M1383" i="16"/>
  <c r="O80" i="15"/>
  <c r="M80" i="16"/>
  <c r="O1394" i="15"/>
  <c r="M1394" i="16"/>
  <c r="O56" i="15"/>
  <c r="M56" i="16"/>
  <c r="O128" i="15"/>
  <c r="M128" i="16"/>
  <c r="O192" i="15"/>
  <c r="M192" i="16"/>
  <c r="O256" i="15"/>
  <c r="M256" i="16"/>
  <c r="O320" i="15"/>
  <c r="M320" i="16"/>
  <c r="O384" i="15"/>
  <c r="M384" i="16"/>
  <c r="O448" i="15"/>
  <c r="M448" i="16"/>
  <c r="O512" i="15"/>
  <c r="M512" i="16"/>
  <c r="O576" i="15"/>
  <c r="M576" i="16"/>
  <c r="O640" i="15"/>
  <c r="M640" i="16"/>
  <c r="O704" i="15"/>
  <c r="M704" i="16"/>
  <c r="O784" i="15"/>
  <c r="M784" i="16"/>
  <c r="O848" i="15"/>
  <c r="M848" i="16"/>
  <c r="O912" i="15"/>
  <c r="M912" i="16"/>
  <c r="O976" i="15"/>
  <c r="M976" i="16"/>
  <c r="O1208" i="15"/>
  <c r="M1208" i="16"/>
  <c r="O857" i="15"/>
  <c r="M857" i="16"/>
  <c r="O1017" i="15"/>
  <c r="M1017" i="16"/>
  <c r="O1241" i="15"/>
  <c r="M1241" i="16"/>
  <c r="O90" i="15"/>
  <c r="M90" i="16"/>
  <c r="O354" i="15"/>
  <c r="M354" i="16"/>
  <c r="O610" i="15"/>
  <c r="M610" i="16"/>
  <c r="O785" i="15"/>
  <c r="M785" i="16"/>
  <c r="O233" i="15"/>
  <c r="M233" i="16"/>
  <c r="O297" i="15"/>
  <c r="M297" i="16"/>
  <c r="O361" i="15"/>
  <c r="M361" i="16"/>
  <c r="O425" i="15"/>
  <c r="M425" i="16"/>
  <c r="O489" i="15"/>
  <c r="M489" i="16"/>
  <c r="O577" i="15"/>
  <c r="M577" i="16"/>
  <c r="O641" i="15"/>
  <c r="M641" i="16"/>
  <c r="O705" i="15"/>
  <c r="M705" i="16"/>
  <c r="O793" i="15"/>
  <c r="M793" i="16"/>
  <c r="O1033" i="15"/>
  <c r="M1033" i="16"/>
  <c r="O1353" i="15"/>
  <c r="M1353" i="16"/>
  <c r="O29" i="15"/>
  <c r="M29" i="16"/>
  <c r="O190" i="15"/>
  <c r="M190" i="16"/>
  <c r="O65" i="15"/>
  <c r="M65" i="16"/>
  <c r="O1424" i="15"/>
  <c r="M1424" i="16"/>
  <c r="O315" i="15"/>
  <c r="M315" i="16"/>
  <c r="O635" i="15"/>
  <c r="M635" i="16"/>
  <c r="O955" i="15"/>
  <c r="M955" i="16"/>
  <c r="O236" i="15"/>
  <c r="M236" i="16"/>
  <c r="O492" i="15"/>
  <c r="M492" i="16"/>
  <c r="O812" i="15"/>
  <c r="O1068" i="15"/>
  <c r="M1068" i="16"/>
  <c r="O1260" i="15"/>
  <c r="M1260" i="16"/>
  <c r="O490" i="15"/>
  <c r="M490" i="16"/>
  <c r="O317" i="15"/>
  <c r="M317" i="16"/>
  <c r="O741" i="15"/>
  <c r="M741" i="16"/>
  <c r="O925" i="15"/>
  <c r="M925" i="16"/>
  <c r="O1413" i="15"/>
  <c r="M1413" i="16"/>
  <c r="O1174" i="15"/>
  <c r="M1174" i="16"/>
  <c r="O638" i="15"/>
  <c r="M638" i="16"/>
  <c r="O1286" i="15"/>
  <c r="M1286" i="16"/>
  <c r="O458" i="15"/>
  <c r="M458" i="16"/>
  <c r="O1152" i="15"/>
  <c r="M1152" i="16"/>
  <c r="O583" i="15"/>
  <c r="M583" i="16"/>
  <c r="O847" i="15"/>
  <c r="M847" i="16"/>
  <c r="O1103" i="15"/>
  <c r="M1103" i="16"/>
  <c r="O1431" i="15"/>
  <c r="M1431" i="16"/>
  <c r="O240" i="15"/>
  <c r="M240" i="16"/>
  <c r="O496" i="15"/>
  <c r="M496" i="16"/>
  <c r="O832" i="15"/>
  <c r="M832" i="16"/>
  <c r="O34" i="15"/>
  <c r="M34" i="16"/>
  <c r="O217" i="15"/>
  <c r="M217" i="16"/>
  <c r="O561" i="15"/>
  <c r="M561" i="16"/>
  <c r="O753" i="15"/>
  <c r="M753" i="16"/>
  <c r="O212" i="15"/>
  <c r="M212" i="16"/>
  <c r="O70" i="15"/>
  <c r="M70" i="16"/>
  <c r="O151" i="15"/>
  <c r="M151" i="16"/>
  <c r="O597" i="15"/>
  <c r="M597" i="16"/>
  <c r="O67" i="15"/>
  <c r="M67" i="16"/>
  <c r="O451" i="15"/>
  <c r="M451" i="16"/>
  <c r="O707" i="15"/>
  <c r="M707" i="16"/>
  <c r="O963" i="15"/>
  <c r="M963" i="16"/>
  <c r="O244" i="15"/>
  <c r="M244" i="16"/>
  <c r="O500" i="15"/>
  <c r="M500" i="16"/>
  <c r="O820" i="15"/>
  <c r="O1140" i="15"/>
  <c r="M1140" i="16"/>
  <c r="O1396" i="15"/>
  <c r="M1396" i="16"/>
  <c r="O762" i="15"/>
  <c r="M762" i="16"/>
  <c r="O1258" i="15"/>
  <c r="M1258" i="16"/>
  <c r="O477" i="15"/>
  <c r="M477" i="16"/>
  <c r="O749" i="15"/>
  <c r="M749" i="16"/>
  <c r="O1061" i="15"/>
  <c r="M1061" i="16"/>
  <c r="O1421" i="15"/>
  <c r="M1421" i="16"/>
  <c r="O602" i="15"/>
  <c r="M602" i="16"/>
  <c r="O310" i="15"/>
  <c r="M310" i="16"/>
  <c r="O582" i="15"/>
  <c r="M582" i="16"/>
  <c r="O1222" i="15"/>
  <c r="M1222" i="16"/>
  <c r="O1257" i="15"/>
  <c r="M1257" i="16"/>
  <c r="O754" i="15"/>
  <c r="M754" i="16"/>
  <c r="O399" i="15"/>
  <c r="M399" i="16"/>
  <c r="O655" i="15"/>
  <c r="M655" i="16"/>
  <c r="O919" i="15"/>
  <c r="M919" i="16"/>
  <c r="O1175" i="15"/>
  <c r="M1175" i="16"/>
  <c r="O1439" i="15"/>
  <c r="M1439" i="16"/>
  <c r="O248" i="15"/>
  <c r="M248" i="16"/>
  <c r="O568" i="15"/>
  <c r="M568" i="16"/>
  <c r="O840" i="15"/>
  <c r="M840" i="16"/>
  <c r="O1112" i="15"/>
  <c r="M1112" i="16"/>
  <c r="O1001" i="15"/>
  <c r="M1001" i="16"/>
  <c r="O578" i="15"/>
  <c r="M578" i="16"/>
  <c r="O289" i="15"/>
  <c r="M289" i="16"/>
  <c r="O569" i="15"/>
  <c r="M569" i="16"/>
  <c r="O761" i="15"/>
  <c r="M761" i="16"/>
  <c r="O36" i="15"/>
  <c r="M36" i="16"/>
  <c r="O100" i="15"/>
  <c r="M100" i="16"/>
  <c r="O164" i="15"/>
  <c r="M164" i="16"/>
  <c r="O228" i="15"/>
  <c r="M228" i="16"/>
  <c r="O53" i="15"/>
  <c r="M53" i="16"/>
  <c r="O117" i="15"/>
  <c r="M117" i="16"/>
  <c r="O181" i="15"/>
  <c r="M181" i="16"/>
  <c r="O22" i="15"/>
  <c r="M22" i="16"/>
  <c r="O86" i="15"/>
  <c r="M86" i="16"/>
  <c r="O150" i="15"/>
  <c r="M150" i="16"/>
  <c r="O214" i="15"/>
  <c r="M214" i="16"/>
  <c r="O39" i="15"/>
  <c r="M39" i="16"/>
  <c r="O103" i="15"/>
  <c r="M103" i="16"/>
  <c r="O167" i="15"/>
  <c r="M167" i="16"/>
  <c r="O25" i="15"/>
  <c r="M25" i="16"/>
  <c r="O89" i="15"/>
  <c r="M89" i="16"/>
  <c r="O153" i="15"/>
  <c r="M153" i="16"/>
  <c r="O798" i="15"/>
  <c r="M798" i="16"/>
  <c r="O1109" i="15"/>
  <c r="M1109" i="16"/>
  <c r="O1315" i="15"/>
  <c r="M1315" i="16"/>
  <c r="O19" i="15"/>
  <c r="M19" i="16"/>
  <c r="O83" i="15"/>
  <c r="M83" i="16"/>
  <c r="O147" i="15"/>
  <c r="M147" i="16"/>
  <c r="O211" i="15"/>
  <c r="M211" i="16"/>
  <c r="O275" i="15"/>
  <c r="M275" i="16"/>
  <c r="O339" i="15"/>
  <c r="M339" i="16"/>
  <c r="O403" i="15"/>
  <c r="M403" i="16"/>
  <c r="O467" i="15"/>
  <c r="M467" i="16"/>
  <c r="O531" i="15"/>
  <c r="M531" i="16"/>
  <c r="O595" i="15"/>
  <c r="M595" i="16"/>
  <c r="O659" i="15"/>
  <c r="M659" i="16"/>
  <c r="O723" i="15"/>
  <c r="M723" i="16"/>
  <c r="O787" i="15"/>
  <c r="M787" i="16"/>
  <c r="O851" i="15"/>
  <c r="M851" i="16"/>
  <c r="O915" i="15"/>
  <c r="M915" i="16"/>
  <c r="O979" i="15"/>
  <c r="M979" i="16"/>
  <c r="O1043" i="15"/>
  <c r="M1043" i="16"/>
  <c r="O1107" i="15"/>
  <c r="M1107" i="16"/>
  <c r="O1179" i="15"/>
  <c r="M1179" i="16"/>
  <c r="O1243" i="15"/>
  <c r="M1243" i="16"/>
  <c r="O277" i="15"/>
  <c r="M277" i="16"/>
  <c r="O974" i="15"/>
  <c r="M974" i="16"/>
  <c r="O1298" i="15"/>
  <c r="M1298" i="16"/>
  <c r="O260" i="15"/>
  <c r="M260" i="16"/>
  <c r="O324" i="15"/>
  <c r="M324" i="16"/>
  <c r="O388" i="15"/>
  <c r="M388" i="16"/>
  <c r="O452" i="15"/>
  <c r="M452" i="16"/>
  <c r="O516" i="15"/>
  <c r="M516" i="16"/>
  <c r="O580" i="15"/>
  <c r="M580" i="16"/>
  <c r="O644" i="15"/>
  <c r="M644" i="16"/>
  <c r="O708" i="15"/>
  <c r="M708" i="16"/>
  <c r="O772" i="15"/>
  <c r="M772" i="16"/>
  <c r="O836" i="15"/>
  <c r="M836" i="16"/>
  <c r="O900" i="15"/>
  <c r="M900" i="16"/>
  <c r="O964" i="15"/>
  <c r="M964" i="16"/>
  <c r="O1028" i="15"/>
  <c r="M1028" i="16"/>
  <c r="O1092" i="15"/>
  <c r="M1092" i="16"/>
  <c r="O1156" i="15"/>
  <c r="M1156" i="16"/>
  <c r="O1220" i="15"/>
  <c r="M1220" i="16"/>
  <c r="O1284" i="15"/>
  <c r="M1284" i="16"/>
  <c r="O1348" i="15"/>
  <c r="M1348" i="16"/>
  <c r="O1412" i="15"/>
  <c r="M1412" i="16"/>
  <c r="O66" i="15"/>
  <c r="M66" i="16"/>
  <c r="O346" i="15"/>
  <c r="M346" i="16"/>
  <c r="O586" i="15"/>
  <c r="M586" i="16"/>
  <c r="O1218" i="15"/>
  <c r="M1218" i="16"/>
  <c r="O325" i="15"/>
  <c r="M325" i="16"/>
  <c r="O1054" i="15"/>
  <c r="M1054" i="16"/>
  <c r="O1322" i="15"/>
  <c r="M1322" i="16"/>
  <c r="O269" i="15"/>
  <c r="M269" i="16"/>
  <c r="O349" i="15"/>
  <c r="M349" i="16"/>
  <c r="O413" i="15"/>
  <c r="M413" i="16"/>
  <c r="O493" i="15"/>
  <c r="M493" i="16"/>
  <c r="O557" i="15"/>
  <c r="M557" i="16"/>
  <c r="O629" i="15"/>
  <c r="M629" i="16"/>
  <c r="O701" i="15"/>
  <c r="M701" i="16"/>
  <c r="O765" i="15"/>
  <c r="M765" i="16"/>
  <c r="O829" i="15"/>
  <c r="M829" i="16"/>
  <c r="O949" i="15"/>
  <c r="M949" i="16"/>
  <c r="O1013" i="15"/>
  <c r="M1013" i="16"/>
  <c r="O1309" i="15"/>
  <c r="M1309" i="16"/>
  <c r="O1373" i="15"/>
  <c r="M1373" i="16"/>
  <c r="O1437" i="15"/>
  <c r="M1437" i="16"/>
  <c r="O1345" i="15"/>
  <c r="M1345" i="16"/>
  <c r="O138" i="15"/>
  <c r="M138" i="16"/>
  <c r="O402" i="15"/>
  <c r="M402" i="16"/>
  <c r="O666" i="15"/>
  <c r="M666" i="16"/>
  <c r="O1002" i="15"/>
  <c r="O942" i="15"/>
  <c r="O254" i="15"/>
  <c r="M254" i="16"/>
  <c r="O326" i="15"/>
  <c r="M326" i="16"/>
  <c r="O470" i="15"/>
  <c r="M470" i="16"/>
  <c r="O534" i="15"/>
  <c r="M534" i="16"/>
  <c r="O598" i="15"/>
  <c r="M598" i="16"/>
  <c r="O670" i="15"/>
  <c r="O734" i="15"/>
  <c r="M734" i="16"/>
  <c r="O822" i="15"/>
  <c r="O902" i="15"/>
  <c r="M902" i="16"/>
  <c r="O1086" i="15"/>
  <c r="M1086" i="16"/>
  <c r="O1166" i="15"/>
  <c r="M1166" i="16"/>
  <c r="O1246" i="15"/>
  <c r="M1246" i="16"/>
  <c r="O1318" i="15"/>
  <c r="M1318" i="16"/>
  <c r="O1382" i="15"/>
  <c r="M1382" i="16"/>
  <c r="O513" i="15"/>
  <c r="M513" i="16"/>
  <c r="O1297" i="15"/>
  <c r="M1297" i="16"/>
  <c r="O42" i="15"/>
  <c r="M42" i="16"/>
  <c r="O306" i="15"/>
  <c r="M306" i="16"/>
  <c r="O562" i="15"/>
  <c r="M562" i="16"/>
  <c r="O1122" i="15"/>
  <c r="M1122" i="16"/>
  <c r="O817" i="15"/>
  <c r="M817" i="16"/>
  <c r="O1392" i="15"/>
  <c r="M1392" i="16"/>
  <c r="O287" i="15"/>
  <c r="M287" i="16"/>
  <c r="O351" i="15"/>
  <c r="M351" i="16"/>
  <c r="O415" i="15"/>
  <c r="M415" i="16"/>
  <c r="O479" i="15"/>
  <c r="M479" i="16"/>
  <c r="O543" i="15"/>
  <c r="M543" i="16"/>
  <c r="O607" i="15"/>
  <c r="M607" i="16"/>
  <c r="O671" i="15"/>
  <c r="M671" i="16"/>
  <c r="O735" i="15"/>
  <c r="M735" i="16"/>
  <c r="O807" i="15"/>
  <c r="M807" i="16"/>
  <c r="O871" i="15"/>
  <c r="M871" i="16"/>
  <c r="O935" i="15"/>
  <c r="M935" i="16"/>
  <c r="O999" i="15"/>
  <c r="M999" i="16"/>
  <c r="O1063" i="15"/>
  <c r="M1063" i="16"/>
  <c r="O1127" i="15"/>
  <c r="M1127" i="16"/>
  <c r="O1191" i="15"/>
  <c r="M1191" i="16"/>
  <c r="O1255" i="15"/>
  <c r="M1255" i="16"/>
  <c r="O1327" i="15"/>
  <c r="M1327" i="16"/>
  <c r="O1391" i="15"/>
  <c r="M1391" i="16"/>
  <c r="O865" i="15"/>
  <c r="M865" i="16"/>
  <c r="O1416" i="15"/>
  <c r="M1416" i="16"/>
  <c r="O64" i="15"/>
  <c r="M64" i="16"/>
  <c r="O136" i="15"/>
  <c r="M136" i="16"/>
  <c r="O200" i="15"/>
  <c r="M200" i="16"/>
  <c r="O264" i="15"/>
  <c r="M264" i="16"/>
  <c r="O328" i="15"/>
  <c r="M328" i="16"/>
  <c r="O392" i="15"/>
  <c r="M392" i="16"/>
  <c r="O456" i="15"/>
  <c r="M456" i="16"/>
  <c r="O520" i="15"/>
  <c r="M520" i="16"/>
  <c r="O584" i="15"/>
  <c r="M584" i="16"/>
  <c r="O648" i="15"/>
  <c r="M648" i="16"/>
  <c r="O712" i="15"/>
  <c r="M712" i="16"/>
  <c r="O792" i="15"/>
  <c r="M792" i="16"/>
  <c r="O856" i="15"/>
  <c r="M856" i="16"/>
  <c r="O920" i="15"/>
  <c r="M920" i="16"/>
  <c r="O984" i="15"/>
  <c r="M984" i="16"/>
  <c r="O1048" i="15"/>
  <c r="M1048" i="16"/>
  <c r="O1136" i="15"/>
  <c r="M1136" i="16"/>
  <c r="O873" i="15"/>
  <c r="M873" i="16"/>
  <c r="O1057" i="15"/>
  <c r="M1057" i="16"/>
  <c r="O1265" i="15"/>
  <c r="M1265" i="16"/>
  <c r="O122" i="15"/>
  <c r="M122" i="16"/>
  <c r="O658" i="15"/>
  <c r="M658" i="16"/>
  <c r="O954" i="15"/>
  <c r="M954" i="16"/>
  <c r="O177" i="15"/>
  <c r="M177" i="16"/>
  <c r="O241" i="15"/>
  <c r="M241" i="16"/>
  <c r="O305" i="15"/>
  <c r="M305" i="16"/>
  <c r="O369" i="15"/>
  <c r="M369" i="16"/>
  <c r="O433" i="15"/>
  <c r="M433" i="16"/>
  <c r="O505" i="15"/>
  <c r="M505" i="16"/>
  <c r="O585" i="15"/>
  <c r="M585" i="16"/>
  <c r="O649" i="15"/>
  <c r="M649" i="16"/>
  <c r="O713" i="15"/>
  <c r="M713" i="16"/>
  <c r="O809" i="15"/>
  <c r="M809" i="16"/>
  <c r="O1081" i="15"/>
  <c r="M1081" i="16"/>
  <c r="O1385" i="15"/>
  <c r="M1385" i="16"/>
  <c r="O12" i="15"/>
  <c r="M12" i="16"/>
  <c r="O140" i="15"/>
  <c r="M140" i="16"/>
  <c r="O157" i="15"/>
  <c r="M157" i="16"/>
  <c r="O62" i="15"/>
  <c r="M62" i="16"/>
  <c r="O129" i="15"/>
  <c r="M129" i="16"/>
  <c r="O1009" i="15"/>
  <c r="M1009" i="16"/>
  <c r="O123" i="15"/>
  <c r="M123" i="16"/>
  <c r="O379" i="15"/>
  <c r="M379" i="16"/>
  <c r="O507" i="15"/>
  <c r="M507" i="16"/>
  <c r="O763" i="15"/>
  <c r="M763" i="16"/>
  <c r="O1019" i="15"/>
  <c r="M1019" i="16"/>
  <c r="O1147" i="15"/>
  <c r="M1147" i="16"/>
  <c r="O300" i="15"/>
  <c r="M300" i="16"/>
  <c r="O556" i="15"/>
  <c r="M556" i="16"/>
  <c r="O684" i="15"/>
  <c r="O876" i="15"/>
  <c r="O1132" i="15"/>
  <c r="M1132" i="16"/>
  <c r="O1209" i="15"/>
  <c r="M1209" i="16"/>
  <c r="O1202" i="15"/>
  <c r="M1202" i="16"/>
  <c r="O298" i="15"/>
  <c r="M298" i="16"/>
  <c r="O374" i="15"/>
  <c r="M374" i="16"/>
  <c r="O574" i="15"/>
  <c r="M574" i="16"/>
  <c r="O710" i="15"/>
  <c r="M710" i="16"/>
  <c r="O1038" i="15"/>
  <c r="M1038" i="16"/>
  <c r="O1358" i="15"/>
  <c r="M1358" i="16"/>
  <c r="O1233" i="15"/>
  <c r="M1233" i="16"/>
  <c r="O706" i="15"/>
  <c r="O263" i="15"/>
  <c r="M263" i="16"/>
  <c r="O455" i="15"/>
  <c r="M455" i="16"/>
  <c r="O647" i="15"/>
  <c r="M647" i="16"/>
  <c r="O975" i="15"/>
  <c r="M975" i="16"/>
  <c r="O1167" i="15"/>
  <c r="M1167" i="16"/>
  <c r="O1367" i="15"/>
  <c r="M1367" i="16"/>
  <c r="O40" i="15"/>
  <c r="M40" i="16"/>
  <c r="O304" i="15"/>
  <c r="M304" i="16"/>
  <c r="O432" i="15"/>
  <c r="M432" i="16"/>
  <c r="O688" i="15"/>
  <c r="M688" i="16"/>
  <c r="O960" i="15"/>
  <c r="M960" i="16"/>
  <c r="O1104" i="15"/>
  <c r="M1104" i="16"/>
  <c r="O985" i="15"/>
  <c r="M985" i="16"/>
  <c r="O290" i="15"/>
  <c r="M290" i="16"/>
  <c r="O345" i="15"/>
  <c r="M345" i="16"/>
  <c r="O473" i="15"/>
  <c r="M473" i="16"/>
  <c r="O625" i="15"/>
  <c r="M625" i="16"/>
  <c r="O1273" i="15"/>
  <c r="M1273" i="16"/>
  <c r="O84" i="15"/>
  <c r="M84" i="16"/>
  <c r="O101" i="15"/>
  <c r="M101" i="16"/>
  <c r="O6" i="15"/>
  <c r="M6" i="16"/>
  <c r="O23" i="15"/>
  <c r="M23" i="16"/>
  <c r="O73" i="15"/>
  <c r="M73" i="16"/>
  <c r="O1274" i="15"/>
  <c r="M1274" i="16"/>
  <c r="O195" i="15"/>
  <c r="M195" i="16"/>
  <c r="O323" i="15"/>
  <c r="M323" i="16"/>
  <c r="O579" i="15"/>
  <c r="M579" i="16"/>
  <c r="O835" i="15"/>
  <c r="M835" i="16"/>
  <c r="O1091" i="15"/>
  <c r="M1091" i="16"/>
  <c r="O882" i="15"/>
  <c r="M882" i="16"/>
  <c r="O372" i="15"/>
  <c r="M372" i="16"/>
  <c r="O564" i="15"/>
  <c r="M564" i="16"/>
  <c r="O756" i="15"/>
  <c r="O1012" i="15"/>
  <c r="M1012" i="16"/>
  <c r="O1268" i="15"/>
  <c r="M1268" i="16"/>
  <c r="O282" i="15"/>
  <c r="M282" i="16"/>
  <c r="O333" i="15"/>
  <c r="M333" i="16"/>
  <c r="O541" i="15"/>
  <c r="M541" i="16"/>
  <c r="O813" i="15"/>
  <c r="M813" i="16"/>
  <c r="O997" i="15"/>
  <c r="M997" i="16"/>
  <c r="O1293" i="15"/>
  <c r="M1293" i="16"/>
  <c r="O74" i="15"/>
  <c r="M74" i="16"/>
  <c r="O1250" i="15"/>
  <c r="M1250" i="16"/>
  <c r="O1410" i="15"/>
  <c r="M1410" i="16"/>
  <c r="O518" i="15"/>
  <c r="M518" i="16"/>
  <c r="O790" i="15"/>
  <c r="M790" i="16"/>
  <c r="O1150" i="15"/>
  <c r="M1150" i="16"/>
  <c r="O1430" i="15"/>
  <c r="M1430" i="16"/>
  <c r="O498" i="15"/>
  <c r="M498" i="16"/>
  <c r="O1034" i="15"/>
  <c r="M1034" i="16"/>
  <c r="O271" i="15"/>
  <c r="M271" i="16"/>
  <c r="O527" i="15"/>
  <c r="M527" i="16"/>
  <c r="O791" i="15"/>
  <c r="M791" i="16"/>
  <c r="O1047" i="15"/>
  <c r="M1047" i="16"/>
  <c r="O1311" i="15"/>
  <c r="M1311" i="16"/>
  <c r="O48" i="15"/>
  <c r="M48" i="16"/>
  <c r="O184" i="15"/>
  <c r="M184" i="16"/>
  <c r="O440" i="15"/>
  <c r="M440" i="16"/>
  <c r="O696" i="15"/>
  <c r="M696" i="16"/>
  <c r="O968" i="15"/>
  <c r="M968" i="16"/>
  <c r="O1312" i="15"/>
  <c r="O1201" i="15"/>
  <c r="M1201" i="16"/>
  <c r="O842" i="15"/>
  <c r="M842" i="16"/>
  <c r="O353" i="15"/>
  <c r="M353" i="16"/>
  <c r="O697" i="15"/>
  <c r="M697" i="16"/>
  <c r="O44" i="15"/>
  <c r="M44" i="16"/>
  <c r="O108" i="15"/>
  <c r="M108" i="16"/>
  <c r="O172" i="15"/>
  <c r="M172" i="16"/>
  <c r="O207" i="15"/>
  <c r="M207" i="16"/>
  <c r="O61" i="15"/>
  <c r="M61" i="16"/>
  <c r="O125" i="15"/>
  <c r="M125" i="16"/>
  <c r="O189" i="15"/>
  <c r="M189" i="16"/>
  <c r="O30" i="15"/>
  <c r="M30" i="16"/>
  <c r="O94" i="15"/>
  <c r="M94" i="16"/>
  <c r="O158" i="15"/>
  <c r="M158" i="16"/>
  <c r="O222" i="15"/>
  <c r="M222" i="16"/>
  <c r="O47" i="15"/>
  <c r="O183" i="15"/>
  <c r="M183" i="16"/>
  <c r="O33" i="15"/>
  <c r="M33" i="16"/>
  <c r="O97" i="15"/>
  <c r="M97" i="16"/>
  <c r="O161" i="15"/>
  <c r="M161" i="16"/>
  <c r="O834" i="15"/>
  <c r="M834" i="16"/>
  <c r="O1138" i="15"/>
  <c r="M1138" i="16"/>
  <c r="O1338" i="15"/>
  <c r="M1338" i="16"/>
  <c r="O27" i="15"/>
  <c r="M27" i="16"/>
  <c r="O91" i="15"/>
  <c r="M91" i="16"/>
  <c r="O155" i="15"/>
  <c r="M155" i="16"/>
  <c r="O219" i="15"/>
  <c r="M219" i="16"/>
  <c r="O283" i="15"/>
  <c r="M283" i="16"/>
  <c r="O347" i="15"/>
  <c r="M347" i="16"/>
  <c r="O411" i="15"/>
  <c r="M411" i="16"/>
  <c r="O475" i="15"/>
  <c r="M475" i="16"/>
  <c r="O539" i="15"/>
  <c r="M539" i="16"/>
  <c r="O603" i="15"/>
  <c r="M603" i="16"/>
  <c r="O667" i="15"/>
  <c r="M667" i="16"/>
  <c r="O731" i="15"/>
  <c r="M731" i="16"/>
  <c r="O795" i="15"/>
  <c r="M795" i="16"/>
  <c r="O859" i="15"/>
  <c r="M859" i="16"/>
  <c r="O923" i="15"/>
  <c r="M923" i="16"/>
  <c r="O987" i="15"/>
  <c r="M987" i="16"/>
  <c r="O1115" i="15"/>
  <c r="M1115" i="16"/>
  <c r="O1187" i="15"/>
  <c r="M1187" i="16"/>
  <c r="O1251" i="15"/>
  <c r="M1251" i="16"/>
  <c r="O462" i="15"/>
  <c r="M462" i="16"/>
  <c r="O1010" i="15"/>
  <c r="M1010" i="16"/>
  <c r="O1320" i="15"/>
  <c r="M1320" i="16"/>
  <c r="O268" i="15"/>
  <c r="M268" i="16"/>
  <c r="O332" i="15"/>
  <c r="M332" i="16"/>
  <c r="O396" i="15"/>
  <c r="M396" i="16"/>
  <c r="O460" i="15"/>
  <c r="M460" i="16"/>
  <c r="O524" i="15"/>
  <c r="M524" i="16"/>
  <c r="O588" i="15"/>
  <c r="M588" i="16"/>
  <c r="O652" i="15"/>
  <c r="M652" i="16"/>
  <c r="O716" i="15"/>
  <c r="O780" i="15"/>
  <c r="O844" i="15"/>
  <c r="M844" i="16"/>
  <c r="O908" i="15"/>
  <c r="M908" i="16"/>
  <c r="O972" i="15"/>
  <c r="M972" i="16"/>
  <c r="O1036" i="15"/>
  <c r="M1036" i="16"/>
  <c r="O1100" i="15"/>
  <c r="M1100" i="16"/>
  <c r="O1164" i="15"/>
  <c r="M1164" i="16"/>
  <c r="O1228" i="15"/>
  <c r="M1228" i="16"/>
  <c r="O1292" i="15"/>
  <c r="M1292" i="16"/>
  <c r="O1356" i="15"/>
  <c r="M1356" i="16"/>
  <c r="O1420" i="15"/>
  <c r="M1420" i="16"/>
  <c r="O98" i="15"/>
  <c r="O378" i="15"/>
  <c r="M378" i="16"/>
  <c r="O618" i="15"/>
  <c r="M618" i="16"/>
  <c r="O469" i="15"/>
  <c r="M469" i="16"/>
  <c r="O1088" i="15"/>
  <c r="M1088" i="16"/>
  <c r="O1344" i="15"/>
  <c r="M1344" i="16"/>
  <c r="O285" i="15"/>
  <c r="M285" i="16"/>
  <c r="O357" i="15"/>
  <c r="M357" i="16"/>
  <c r="O421" i="15"/>
  <c r="M421" i="16"/>
  <c r="O501" i="15"/>
  <c r="M501" i="16"/>
  <c r="O565" i="15"/>
  <c r="M565" i="16"/>
  <c r="O637" i="15"/>
  <c r="M637" i="16"/>
  <c r="O773" i="15"/>
  <c r="M773" i="16"/>
  <c r="O837" i="15"/>
  <c r="M837" i="16"/>
  <c r="O957" i="15"/>
  <c r="M957" i="16"/>
  <c r="O1021" i="15"/>
  <c r="M1021" i="16"/>
  <c r="O1093" i="15"/>
  <c r="M1093" i="16"/>
  <c r="O1189" i="15"/>
  <c r="M1189" i="16"/>
  <c r="O1253" i="15"/>
  <c r="M1253" i="16"/>
  <c r="O1317" i="15"/>
  <c r="M1317" i="16"/>
  <c r="O1381" i="15"/>
  <c r="M1381" i="16"/>
  <c r="O497" i="15"/>
  <c r="M497" i="16"/>
  <c r="O1369" i="15"/>
  <c r="M1369" i="16"/>
  <c r="O170" i="15"/>
  <c r="M170" i="16"/>
  <c r="O434" i="15"/>
  <c r="O698" i="15"/>
  <c r="M698" i="16"/>
  <c r="O1050" i="15"/>
  <c r="M1050" i="16"/>
  <c r="O978" i="15"/>
  <c r="M978" i="16"/>
  <c r="O262" i="15"/>
  <c r="M262" i="16"/>
  <c r="O342" i="15"/>
  <c r="M342" i="16"/>
  <c r="O406" i="15"/>
  <c r="M406" i="16"/>
  <c r="O478" i="15"/>
  <c r="M478" i="16"/>
  <c r="O542" i="15"/>
  <c r="M542" i="16"/>
  <c r="O606" i="15"/>
  <c r="M606" i="16"/>
  <c r="O678" i="15"/>
  <c r="M678" i="16"/>
  <c r="O742" i="15"/>
  <c r="M742" i="16"/>
  <c r="O830" i="15"/>
  <c r="O998" i="15"/>
  <c r="M998" i="16"/>
  <c r="O1094" i="15"/>
  <c r="M1094" i="16"/>
  <c r="O1182" i="15"/>
  <c r="M1182" i="16"/>
  <c r="O1254" i="15"/>
  <c r="M1254" i="16"/>
  <c r="O1326" i="15"/>
  <c r="M1326" i="16"/>
  <c r="O1390" i="15"/>
  <c r="M1390" i="16"/>
  <c r="O1329" i="15"/>
  <c r="M1329" i="16"/>
  <c r="O82" i="15"/>
  <c r="M82" i="16"/>
  <c r="O330" i="15"/>
  <c r="M330" i="16"/>
  <c r="O594" i="15"/>
  <c r="M594" i="16"/>
  <c r="O858" i="15"/>
  <c r="M858" i="16"/>
  <c r="O1146" i="15"/>
  <c r="M1146" i="16"/>
  <c r="O898" i="15"/>
  <c r="M898" i="16"/>
  <c r="O231" i="15"/>
  <c r="M231" i="16"/>
  <c r="O295" i="15"/>
  <c r="M295" i="16"/>
  <c r="O359" i="15"/>
  <c r="M359" i="16"/>
  <c r="O423" i="15"/>
  <c r="M423" i="16"/>
  <c r="O487" i="15"/>
  <c r="M487" i="16"/>
  <c r="O551" i="15"/>
  <c r="M551" i="16"/>
  <c r="O615" i="15"/>
  <c r="M615" i="16"/>
  <c r="O679" i="15"/>
  <c r="M679" i="16"/>
  <c r="O743" i="15"/>
  <c r="M743" i="16"/>
  <c r="O815" i="15"/>
  <c r="M815" i="16"/>
  <c r="O879" i="15"/>
  <c r="M879" i="16"/>
  <c r="O943" i="15"/>
  <c r="M943" i="16"/>
  <c r="O1007" i="15"/>
  <c r="M1007" i="16"/>
  <c r="O1071" i="15"/>
  <c r="M1071" i="16"/>
  <c r="O1135" i="15"/>
  <c r="M1135" i="16"/>
  <c r="O1199" i="15"/>
  <c r="M1199" i="16"/>
  <c r="O1271" i="15"/>
  <c r="M1271" i="16"/>
  <c r="O1335" i="15"/>
  <c r="M1335" i="16"/>
  <c r="O1399" i="15"/>
  <c r="M1399" i="16"/>
  <c r="O993" i="15"/>
  <c r="M993" i="16"/>
  <c r="O8" i="15"/>
  <c r="M8" i="16"/>
  <c r="O72" i="15"/>
  <c r="M72" i="16"/>
  <c r="O144" i="15"/>
  <c r="M144" i="16"/>
  <c r="O208" i="15"/>
  <c r="M208" i="16"/>
  <c r="O272" i="15"/>
  <c r="M272" i="16"/>
  <c r="O336" i="15"/>
  <c r="M336" i="16"/>
  <c r="O400" i="15"/>
  <c r="M400" i="16"/>
  <c r="O464" i="15"/>
  <c r="M464" i="16"/>
  <c r="O528" i="15"/>
  <c r="M528" i="16"/>
  <c r="O592" i="15"/>
  <c r="M592" i="16"/>
  <c r="O656" i="15"/>
  <c r="M656" i="16"/>
  <c r="O720" i="15"/>
  <c r="M720" i="16"/>
  <c r="O800" i="15"/>
  <c r="M800" i="16"/>
  <c r="O864" i="15"/>
  <c r="M864" i="16"/>
  <c r="O928" i="15"/>
  <c r="M928" i="16"/>
  <c r="O992" i="15"/>
  <c r="M992" i="16"/>
  <c r="O1056" i="15"/>
  <c r="M1056" i="16"/>
  <c r="O1144" i="15"/>
  <c r="M1144" i="16"/>
  <c r="O1232" i="15"/>
  <c r="M1232" i="16"/>
  <c r="O1376" i="15"/>
  <c r="O889" i="15"/>
  <c r="M889" i="16"/>
  <c r="O1073" i="15"/>
  <c r="M1073" i="16"/>
  <c r="O1305" i="15"/>
  <c r="M1305" i="16"/>
  <c r="O154" i="15"/>
  <c r="M154" i="16"/>
  <c r="O418" i="15"/>
  <c r="M418" i="16"/>
  <c r="O690" i="15"/>
  <c r="M690" i="16"/>
  <c r="O1018" i="15"/>
  <c r="M1018" i="16"/>
  <c r="O185" i="15"/>
  <c r="M185" i="16"/>
  <c r="O249" i="15"/>
  <c r="M249" i="16"/>
  <c r="O313" i="15"/>
  <c r="M313" i="16"/>
  <c r="O377" i="15"/>
  <c r="M377" i="16"/>
  <c r="O441" i="15"/>
  <c r="M441" i="16"/>
  <c r="O529" i="15"/>
  <c r="M529" i="16"/>
  <c r="O593" i="15"/>
  <c r="M593" i="16"/>
  <c r="O657" i="15"/>
  <c r="M657" i="16"/>
  <c r="O721" i="15"/>
  <c r="M721" i="16"/>
  <c r="O825" i="15"/>
  <c r="M825" i="16"/>
  <c r="O1113" i="15"/>
  <c r="M1113" i="16"/>
  <c r="O1441" i="15"/>
  <c r="M1441" i="16"/>
  <c r="M111" i="16"/>
  <c r="O76" i="15"/>
  <c r="M76" i="16"/>
  <c r="O93" i="15"/>
  <c r="M93" i="16"/>
  <c r="O221" i="15"/>
  <c r="M221" i="16"/>
  <c r="O15" i="15"/>
  <c r="M15" i="16"/>
  <c r="O143" i="15"/>
  <c r="M143" i="16"/>
  <c r="O453" i="15"/>
  <c r="M453" i="16"/>
  <c r="O59" i="15"/>
  <c r="M59" i="16"/>
  <c r="O187" i="15"/>
  <c r="M187" i="16"/>
  <c r="O443" i="15"/>
  <c r="M443" i="16"/>
  <c r="O699" i="15"/>
  <c r="M699" i="16"/>
  <c r="O827" i="15"/>
  <c r="M827" i="16"/>
  <c r="O1083" i="15"/>
  <c r="M1083" i="16"/>
  <c r="O1219" i="15"/>
  <c r="M1219" i="16"/>
  <c r="O846" i="15"/>
  <c r="M846" i="16"/>
  <c r="O364" i="15"/>
  <c r="M364" i="16"/>
  <c r="O620" i="15"/>
  <c r="M620" i="16"/>
  <c r="O940" i="15"/>
  <c r="O1196" i="15"/>
  <c r="M1196" i="16"/>
  <c r="O1388" i="15"/>
  <c r="M1388" i="16"/>
  <c r="O242" i="15"/>
  <c r="M242" i="16"/>
  <c r="O1058" i="15"/>
  <c r="M1058" i="16"/>
  <c r="O245" i="15"/>
  <c r="M245" i="16"/>
  <c r="O461" i="15"/>
  <c r="M461" i="16"/>
  <c r="O677" i="15"/>
  <c r="M677" i="16"/>
  <c r="O869" i="15"/>
  <c r="M869" i="16"/>
  <c r="O1053" i="15"/>
  <c r="M1053" i="16"/>
  <c r="O1221" i="15"/>
  <c r="M1221" i="16"/>
  <c r="O1349" i="15"/>
  <c r="M1349" i="16"/>
  <c r="O906" i="15"/>
  <c r="M906" i="16"/>
  <c r="O302" i="15"/>
  <c r="M302" i="16"/>
  <c r="O510" i="15"/>
  <c r="M510" i="16"/>
  <c r="O1134" i="15"/>
  <c r="M1134" i="16"/>
  <c r="O1422" i="15"/>
  <c r="M1422" i="16"/>
  <c r="O914" i="15"/>
  <c r="M914" i="16"/>
  <c r="O327" i="15"/>
  <c r="M327" i="16"/>
  <c r="O519" i="15"/>
  <c r="M519" i="16"/>
  <c r="O711" i="15"/>
  <c r="M711" i="16"/>
  <c r="O911" i="15"/>
  <c r="M911" i="16"/>
  <c r="O1231" i="15"/>
  <c r="M1231" i="16"/>
  <c r="O1288" i="15"/>
  <c r="M1288" i="16"/>
  <c r="O112" i="15"/>
  <c r="M112" i="16"/>
  <c r="O368" i="15"/>
  <c r="M368" i="16"/>
  <c r="O624" i="15"/>
  <c r="M624" i="16"/>
  <c r="O768" i="15"/>
  <c r="M768" i="16"/>
  <c r="O1024" i="15"/>
  <c r="M1024" i="16"/>
  <c r="O1161" i="15"/>
  <c r="M1161" i="16"/>
  <c r="O826" i="15"/>
  <c r="M826" i="16"/>
  <c r="O409" i="15"/>
  <c r="M409" i="16"/>
  <c r="O937" i="15"/>
  <c r="M937" i="16"/>
  <c r="O148" i="15"/>
  <c r="M148" i="16"/>
  <c r="O165" i="15"/>
  <c r="M165" i="16"/>
  <c r="O198" i="15"/>
  <c r="M198" i="16"/>
  <c r="O87" i="15"/>
  <c r="M87" i="16"/>
  <c r="O137" i="15"/>
  <c r="M137" i="16"/>
  <c r="O3" i="15"/>
  <c r="M3" i="16"/>
  <c r="O259" i="15"/>
  <c r="M259" i="16"/>
  <c r="O387" i="15"/>
  <c r="M387" i="16"/>
  <c r="O643" i="15"/>
  <c r="M643" i="16"/>
  <c r="O899" i="15"/>
  <c r="M899" i="16"/>
  <c r="O1155" i="15"/>
  <c r="M1155" i="16"/>
  <c r="O1226" i="15"/>
  <c r="M1226" i="16"/>
  <c r="O436" i="15"/>
  <c r="M436" i="16"/>
  <c r="O692" i="15"/>
  <c r="M692" i="16"/>
  <c r="O884" i="15"/>
  <c r="M884" i="16"/>
  <c r="O1076" i="15"/>
  <c r="M1076" i="16"/>
  <c r="O1332" i="15"/>
  <c r="M1332" i="16"/>
  <c r="O522" i="15"/>
  <c r="M522" i="16"/>
  <c r="O977" i="15"/>
  <c r="M977" i="16"/>
  <c r="O397" i="15"/>
  <c r="M397" i="16"/>
  <c r="O685" i="15"/>
  <c r="M685" i="16"/>
  <c r="O933" i="15"/>
  <c r="M933" i="16"/>
  <c r="O1157" i="15"/>
  <c r="M1157" i="16"/>
  <c r="O1357" i="15"/>
  <c r="M1357" i="16"/>
  <c r="O338" i="15"/>
  <c r="M338" i="16"/>
  <c r="O814" i="15"/>
  <c r="O446" i="15"/>
  <c r="M446" i="16"/>
  <c r="O1046" i="15"/>
  <c r="M1046" i="16"/>
  <c r="O1366" i="15"/>
  <c r="M1366" i="16"/>
  <c r="O250" i="15"/>
  <c r="M250" i="16"/>
  <c r="O335" i="15"/>
  <c r="M335" i="16"/>
  <c r="O591" i="15"/>
  <c r="M591" i="16"/>
  <c r="O855" i="15"/>
  <c r="M855" i="16"/>
  <c r="O1111" i="15"/>
  <c r="M1111" i="16"/>
  <c r="O1375" i="15"/>
  <c r="M1375" i="16"/>
  <c r="O120" i="15"/>
  <c r="M120" i="16"/>
  <c r="O312" i="15"/>
  <c r="M312" i="16"/>
  <c r="O504" i="15"/>
  <c r="M504" i="16"/>
  <c r="O776" i="15"/>
  <c r="M776" i="16"/>
  <c r="O1032" i="15"/>
  <c r="M1032" i="16"/>
  <c r="O841" i="15"/>
  <c r="M841" i="16"/>
  <c r="O225" i="15"/>
  <c r="M225" i="16"/>
  <c r="O481" i="15"/>
  <c r="M481" i="16"/>
  <c r="O969" i="15"/>
  <c r="M969" i="16"/>
  <c r="O2" i="15"/>
  <c r="O52" i="15"/>
  <c r="M52" i="16"/>
  <c r="O116" i="15"/>
  <c r="M116" i="16"/>
  <c r="O180" i="15"/>
  <c r="M180" i="16"/>
  <c r="O5" i="15"/>
  <c r="M5" i="16"/>
  <c r="O69" i="15"/>
  <c r="M69" i="16"/>
  <c r="O133" i="15"/>
  <c r="M133" i="16"/>
  <c r="O197" i="15"/>
  <c r="M197" i="16"/>
  <c r="O38" i="15"/>
  <c r="M38" i="16"/>
  <c r="O102" i="15"/>
  <c r="M102" i="16"/>
  <c r="O166" i="15"/>
  <c r="M166" i="16"/>
  <c r="O230" i="15"/>
  <c r="M230" i="16"/>
  <c r="O55" i="15"/>
  <c r="M55" i="16"/>
  <c r="O119" i="15"/>
  <c r="M119" i="16"/>
  <c r="O191" i="15"/>
  <c r="M191" i="16"/>
  <c r="O41" i="15"/>
  <c r="M41" i="16"/>
  <c r="O105" i="15"/>
  <c r="M105" i="16"/>
  <c r="O169" i="15"/>
  <c r="M169" i="16"/>
  <c r="O881" i="15"/>
  <c r="M881" i="16"/>
  <c r="O1163" i="15"/>
  <c r="M1163" i="16"/>
  <c r="O1360" i="15"/>
  <c r="M1360" i="16"/>
  <c r="O35" i="15"/>
  <c r="M35" i="16"/>
  <c r="O99" i="15"/>
  <c r="M99" i="16"/>
  <c r="O163" i="15"/>
  <c r="M163" i="16"/>
  <c r="O227" i="15"/>
  <c r="M227" i="16"/>
  <c r="O291" i="15"/>
  <c r="M291" i="16"/>
  <c r="O355" i="15"/>
  <c r="M355" i="16"/>
  <c r="O419" i="15"/>
  <c r="M419" i="16"/>
  <c r="O483" i="15"/>
  <c r="M483" i="16"/>
  <c r="O547" i="15"/>
  <c r="M547" i="16"/>
  <c r="O611" i="15"/>
  <c r="M611" i="16"/>
  <c r="O675" i="15"/>
  <c r="M675" i="16"/>
  <c r="O739" i="15"/>
  <c r="M739" i="16"/>
  <c r="O803" i="15"/>
  <c r="M803" i="16"/>
  <c r="O867" i="15"/>
  <c r="M867" i="16"/>
  <c r="O931" i="15"/>
  <c r="M931" i="16"/>
  <c r="O995" i="15"/>
  <c r="M995" i="16"/>
  <c r="O1059" i="15"/>
  <c r="M1059" i="16"/>
  <c r="O1123" i="15"/>
  <c r="M1123" i="16"/>
  <c r="O1259" i="15"/>
  <c r="O1403" i="15"/>
  <c r="O645" i="15"/>
  <c r="M645" i="16"/>
  <c r="O1085" i="15"/>
  <c r="M1085" i="16"/>
  <c r="O1362" i="15"/>
  <c r="M1362" i="16"/>
  <c r="O276" i="15"/>
  <c r="M276" i="16"/>
  <c r="O340" i="15"/>
  <c r="M340" i="16"/>
  <c r="O404" i="15"/>
  <c r="M404" i="16"/>
  <c r="O468" i="15"/>
  <c r="M468" i="16"/>
  <c r="O532" i="15"/>
  <c r="M532" i="16"/>
  <c r="O596" i="15"/>
  <c r="M596" i="16"/>
  <c r="O660" i="15"/>
  <c r="M660" i="16"/>
  <c r="O724" i="15"/>
  <c r="O788" i="15"/>
  <c r="M788" i="16"/>
  <c r="O852" i="15"/>
  <c r="M852" i="16"/>
  <c r="O916" i="15"/>
  <c r="M916" i="16"/>
  <c r="O980" i="15"/>
  <c r="O1044" i="15"/>
  <c r="M1044" i="16"/>
  <c r="O1108" i="15"/>
  <c r="M1108" i="16"/>
  <c r="O1172" i="15"/>
  <c r="M1172" i="16"/>
  <c r="O1236" i="15"/>
  <c r="M1236" i="16"/>
  <c r="O1300" i="15"/>
  <c r="M1300" i="16"/>
  <c r="O1364" i="15"/>
  <c r="M1364" i="16"/>
  <c r="O1428" i="15"/>
  <c r="M1428" i="16"/>
  <c r="O130" i="15"/>
  <c r="M130" i="16"/>
  <c r="O410" i="15"/>
  <c r="M410" i="16"/>
  <c r="O654" i="15"/>
  <c r="O1117" i="15"/>
  <c r="M1117" i="16"/>
  <c r="O1408" i="15"/>
  <c r="M1408" i="16"/>
  <c r="O293" i="15"/>
  <c r="M293" i="16"/>
  <c r="O365" i="15"/>
  <c r="M365" i="16"/>
  <c r="O429" i="15"/>
  <c r="M429" i="16"/>
  <c r="O509" i="15"/>
  <c r="M509" i="16"/>
  <c r="O573" i="15"/>
  <c r="M573" i="16"/>
  <c r="O653" i="15"/>
  <c r="M653" i="16"/>
  <c r="O717" i="15"/>
  <c r="M717" i="16"/>
  <c r="O781" i="15"/>
  <c r="M781" i="16"/>
  <c r="O845" i="15"/>
  <c r="M845" i="16"/>
  <c r="O901" i="15"/>
  <c r="M901" i="16"/>
  <c r="O965" i="15"/>
  <c r="M965" i="16"/>
  <c r="O1029" i="15"/>
  <c r="M1029" i="16"/>
  <c r="O1101" i="15"/>
  <c r="M1101" i="16"/>
  <c r="O1197" i="15"/>
  <c r="M1197" i="16"/>
  <c r="O1261" i="15"/>
  <c r="M1261" i="16"/>
  <c r="O1325" i="15"/>
  <c r="M1325" i="16"/>
  <c r="O1389" i="15"/>
  <c r="M1389" i="16"/>
  <c r="O1401" i="15"/>
  <c r="M1401" i="16"/>
  <c r="O202" i="15"/>
  <c r="M202" i="16"/>
  <c r="O482" i="15"/>
  <c r="M482" i="16"/>
  <c r="O746" i="15"/>
  <c r="M746" i="16"/>
  <c r="O1082" i="15"/>
  <c r="M1082" i="16"/>
  <c r="O1378" i="15"/>
  <c r="O1025" i="15"/>
  <c r="M1025" i="16"/>
  <c r="O278" i="15"/>
  <c r="M278" i="16"/>
  <c r="O350" i="15"/>
  <c r="M350" i="16"/>
  <c r="O414" i="15"/>
  <c r="M414" i="16"/>
  <c r="O486" i="15"/>
  <c r="M486" i="16"/>
  <c r="O550" i="15"/>
  <c r="M550" i="16"/>
  <c r="O614" i="15"/>
  <c r="M614" i="16"/>
  <c r="O686" i="15"/>
  <c r="M686" i="16"/>
  <c r="O750" i="15"/>
  <c r="M750" i="16"/>
  <c r="O838" i="15"/>
  <c r="M838" i="16"/>
  <c r="O918" i="15"/>
  <c r="M918" i="16"/>
  <c r="O1102" i="15"/>
  <c r="M1102" i="16"/>
  <c r="O1190" i="15"/>
  <c r="M1190" i="16"/>
  <c r="O1262" i="15"/>
  <c r="M1262" i="16"/>
  <c r="O1334" i="15"/>
  <c r="M1334" i="16"/>
  <c r="O1398" i="15"/>
  <c r="M1398" i="16"/>
  <c r="O1129" i="15"/>
  <c r="M1129" i="16"/>
  <c r="O1361" i="15"/>
  <c r="M1361" i="16"/>
  <c r="O114" i="15"/>
  <c r="M114" i="16"/>
  <c r="O362" i="15"/>
  <c r="M362" i="16"/>
  <c r="O626" i="15"/>
  <c r="M626" i="16"/>
  <c r="O890" i="15"/>
  <c r="M890" i="16"/>
  <c r="O1178" i="15"/>
  <c r="M1178" i="16"/>
  <c r="O945" i="15"/>
  <c r="M945" i="16"/>
  <c r="O239" i="15"/>
  <c r="M239" i="16"/>
  <c r="O303" i="15"/>
  <c r="M303" i="16"/>
  <c r="O367" i="15"/>
  <c r="M367" i="16"/>
  <c r="O431" i="15"/>
  <c r="M431" i="16"/>
  <c r="O495" i="15"/>
  <c r="M495" i="16"/>
  <c r="O559" i="15"/>
  <c r="M559" i="16"/>
  <c r="O623" i="15"/>
  <c r="M623" i="16"/>
  <c r="O687" i="15"/>
  <c r="M687" i="16"/>
  <c r="O759" i="15"/>
  <c r="M759" i="16"/>
  <c r="O823" i="15"/>
  <c r="M823" i="16"/>
  <c r="O887" i="15"/>
  <c r="M887" i="16"/>
  <c r="O951" i="15"/>
  <c r="M951" i="16"/>
  <c r="O1015" i="15"/>
  <c r="M1015" i="16"/>
  <c r="O1079" i="15"/>
  <c r="M1079" i="16"/>
  <c r="O1143" i="15"/>
  <c r="M1143" i="16"/>
  <c r="O1207" i="15"/>
  <c r="M1207" i="16"/>
  <c r="O1279" i="15"/>
  <c r="M1279" i="16"/>
  <c r="O1343" i="15"/>
  <c r="M1343" i="16"/>
  <c r="O1407" i="15"/>
  <c r="M1407" i="16"/>
  <c r="O1066" i="15"/>
  <c r="M1066" i="16"/>
  <c r="O16" i="15"/>
  <c r="M16" i="16"/>
  <c r="O88" i="15"/>
  <c r="M88" i="16"/>
  <c r="O216" i="15"/>
  <c r="M216" i="16"/>
  <c r="O280" i="15"/>
  <c r="M280" i="16"/>
  <c r="O344" i="15"/>
  <c r="M344" i="16"/>
  <c r="O408" i="15"/>
  <c r="M408" i="16"/>
  <c r="O472" i="15"/>
  <c r="M472" i="16"/>
  <c r="O536" i="15"/>
  <c r="M536" i="16"/>
  <c r="O600" i="15"/>
  <c r="M600" i="16"/>
  <c r="O664" i="15"/>
  <c r="M664" i="16"/>
  <c r="O728" i="15"/>
  <c r="M728" i="16"/>
  <c r="O808" i="15"/>
  <c r="M808" i="16"/>
  <c r="O872" i="15"/>
  <c r="M872" i="16"/>
  <c r="O936" i="15"/>
  <c r="M936" i="16"/>
  <c r="O1000" i="15"/>
  <c r="M1000" i="16"/>
  <c r="O1064" i="15"/>
  <c r="M1064" i="16"/>
  <c r="O1240" i="15"/>
  <c r="M1240" i="16"/>
  <c r="O1400" i="15"/>
  <c r="O1097" i="15"/>
  <c r="M1097" i="16"/>
  <c r="O1337" i="15"/>
  <c r="M1337" i="16"/>
  <c r="O186" i="15"/>
  <c r="M186" i="16"/>
  <c r="O442" i="15"/>
  <c r="M442" i="16"/>
  <c r="O722" i="15"/>
  <c r="M722" i="16"/>
  <c r="O1042" i="15"/>
  <c r="O193" i="15"/>
  <c r="M193" i="16"/>
  <c r="O257" i="15"/>
  <c r="M257" i="16"/>
  <c r="O321" i="15"/>
  <c r="M321" i="16"/>
  <c r="O385" i="15"/>
  <c r="M385" i="16"/>
  <c r="O449" i="15"/>
  <c r="M449" i="16"/>
  <c r="O537" i="15"/>
  <c r="M537" i="16"/>
  <c r="O601" i="15"/>
  <c r="M601" i="16"/>
  <c r="O665" i="15"/>
  <c r="M665" i="16"/>
  <c r="O729" i="15"/>
  <c r="M729" i="16"/>
  <c r="O1145" i="15"/>
  <c r="M1145" i="16"/>
  <c r="O218" i="15"/>
  <c r="M218" i="16"/>
  <c r="M1275" i="16"/>
  <c r="AC78" i="4"/>
  <c r="I16" i="8" s="1"/>
  <c r="AC74" i="4"/>
  <c r="AC80" i="4"/>
  <c r="AC117" i="4"/>
  <c r="AC121" i="4"/>
  <c r="AC122" i="4"/>
  <c r="AC125" i="4"/>
  <c r="AC14" i="4"/>
  <c r="AC16" i="4"/>
  <c r="AC42" i="4"/>
  <c r="AC48" i="4"/>
  <c r="AC72" i="4"/>
  <c r="AC17" i="4"/>
  <c r="AC45" i="4"/>
  <c r="AC77" i="4"/>
  <c r="AC120" i="4"/>
  <c r="AC124" i="4"/>
  <c r="AC18" i="4"/>
  <c r="AC46" i="4"/>
  <c r="AC50" i="4"/>
  <c r="AC13" i="4"/>
  <c r="AC21" i="4"/>
  <c r="AC49" i="4"/>
  <c r="AC73" i="4"/>
  <c r="I4" i="8" s="1"/>
  <c r="AC81" i="4"/>
  <c r="AC12" i="4"/>
  <c r="AC20" i="4"/>
  <c r="AC76" i="4"/>
  <c r="AC119" i="4"/>
  <c r="AC123" i="4"/>
  <c r="AC44" i="4"/>
  <c r="AC126" i="4"/>
  <c r="O946" i="15" l="1"/>
  <c r="M152" i="16"/>
  <c r="M802" i="16"/>
  <c r="O802" i="15"/>
  <c r="M994" i="16"/>
  <c r="O322" i="15"/>
  <c r="M1130" i="16"/>
  <c r="O1130" i="15"/>
  <c r="M1210" i="16"/>
  <c r="M386" i="16"/>
  <c r="M570" i="16"/>
  <c r="M96" i="16"/>
  <c r="M46" i="16"/>
  <c r="M850" i="16"/>
  <c r="O1026" i="15"/>
  <c r="O994" i="15"/>
  <c r="M1162" i="16"/>
  <c r="O1162" i="15"/>
  <c r="M1026" i="16"/>
  <c r="O1098" i="15"/>
  <c r="O850" i="15"/>
  <c r="M818" i="16"/>
  <c r="M946" i="16"/>
  <c r="M980" i="16"/>
  <c r="M98" i="16"/>
  <c r="M814" i="16"/>
  <c r="M748" i="16"/>
  <c r="M714" i="16"/>
  <c r="M758" i="16"/>
  <c r="M940" i="16"/>
  <c r="M982" i="16"/>
  <c r="M178" i="16"/>
  <c r="M724" i="16"/>
  <c r="M716" i="16"/>
  <c r="M756" i="16"/>
  <c r="M1002" i="16"/>
  <c r="M820" i="16"/>
  <c r="M876" i="16"/>
  <c r="M650" i="16"/>
  <c r="M706" i="16"/>
  <c r="M684" i="16"/>
  <c r="M938" i="16"/>
  <c r="M654" i="16"/>
  <c r="M670" i="16"/>
  <c r="M226" i="16"/>
  <c r="M1042" i="16"/>
  <c r="M434" i="16"/>
  <c r="M780" i="16"/>
  <c r="M822" i="16"/>
  <c r="M942" i="16"/>
  <c r="M812" i="16"/>
</calcChain>
</file>

<file path=xl/sharedStrings.xml><?xml version="1.0" encoding="utf-8"?>
<sst xmlns="http://schemas.openxmlformats.org/spreadsheetml/2006/main" count="21416" uniqueCount="565">
  <si>
    <t>Scenario</t>
  </si>
  <si>
    <t>Country</t>
  </si>
  <si>
    <t>Year</t>
  </si>
  <si>
    <t>Metal</t>
  </si>
  <si>
    <t>Canada Net-zero</t>
  </si>
  <si>
    <t>Canada</t>
  </si>
  <si>
    <t>Cobalt</t>
  </si>
  <si>
    <t>Copper</t>
  </si>
  <si>
    <t>Nickel</t>
  </si>
  <si>
    <t>Current Measures</t>
  </si>
  <si>
    <t>Global Net-zero</t>
  </si>
  <si>
    <t>Neodymium</t>
  </si>
  <si>
    <t>Lithium</t>
  </si>
  <si>
    <t>Graphite</t>
  </si>
  <si>
    <t>Value</t>
  </si>
  <si>
    <t>Unit</t>
  </si>
  <si>
    <t>Existing production</t>
  </si>
  <si>
    <t>kilotonnes</t>
  </si>
  <si>
    <t>Production potential</t>
  </si>
  <si>
    <t>Commodity</t>
  </si>
  <si>
    <t>Geography</t>
  </si>
  <si>
    <t>Reference point</t>
  </si>
  <si>
    <t>Climate change EQ LT (PDF.m2.yr)</t>
  </si>
  <si>
    <t>Climate change EQ ST (PDF.m2.yr)</t>
  </si>
  <si>
    <t>Fisheries impact (PDF.m2.yr)</t>
  </si>
  <si>
    <t>Freshwater acidification (PDF.m2.yr)</t>
  </si>
  <si>
    <t>Freshwater ecotoxicity LT (PDF.m2.yr)</t>
  </si>
  <si>
    <t>Freshwater ecotoxicity ST (PDF.m2.yr)</t>
  </si>
  <si>
    <t>Freshwater eutrophication (PDF.m2.yr)</t>
  </si>
  <si>
    <t>Ionizing radiations EQ (PDF.m2.yr)</t>
  </si>
  <si>
    <t>Land occupation biodiversity (PDF.m2.yr)</t>
  </si>
  <si>
    <t>Land transformation biodiversity (PDF.m2.yr)</t>
  </si>
  <si>
    <t>Marine acidification LT (PDF.m2.yr)</t>
  </si>
  <si>
    <t>Marine acidification ST (PDF.m2.yr)</t>
  </si>
  <si>
    <t>Marine ecotoxicity LT (PDF.m2.yr)</t>
  </si>
  <si>
    <t>Marine ecotoxicity ST (PDF.m2.yr)</t>
  </si>
  <si>
    <t>Marine eutrophication (PDF.m2.yr)</t>
  </si>
  <si>
    <t>Photochemical ozone EQ (PDF.m2.yr)</t>
  </si>
  <si>
    <t>Terrestrial acidification (PDF.m2.yr)</t>
  </si>
  <si>
    <t>Terrestrial ecotoxicity LT (PDF.m2.yr)</t>
  </si>
  <si>
    <t>Terrestrial ecotoxicity ST (PDF.m2.yr)</t>
  </si>
  <si>
    <t>Thermally polluted water (PDF.m2.yr)</t>
  </si>
  <si>
    <t>Water availability freshwater (PDF.m2.yr)</t>
  </si>
  <si>
    <t>Water availability terrestrial (PDF.m2.yr)</t>
  </si>
  <si>
    <t>IMAGE_SSP2L</t>
  </si>
  <si>
    <t>C mining CA</t>
  </si>
  <si>
    <t>Mining</t>
  </si>
  <si>
    <t>C mining World</t>
  </si>
  <si>
    <t>World</t>
  </si>
  <si>
    <t>C refining CA</t>
  </si>
  <si>
    <t>Refining</t>
  </si>
  <si>
    <t>C refining World</t>
  </si>
  <si>
    <t>Mining+refining</t>
  </si>
  <si>
    <t>Co mining CA</t>
  </si>
  <si>
    <t>Co mining World</t>
  </si>
  <si>
    <t>Co refining CA</t>
  </si>
  <si>
    <t>Co refining World</t>
  </si>
  <si>
    <t>Cu mining CA</t>
  </si>
  <si>
    <t>Cu mining World</t>
  </si>
  <si>
    <t>Cu refining CA</t>
  </si>
  <si>
    <t>Cu refining World</t>
  </si>
  <si>
    <t>Li refining CA</t>
  </si>
  <si>
    <t>Li refining World</t>
  </si>
  <si>
    <t>Nd refining World</t>
  </si>
  <si>
    <t>Ni mining CA</t>
  </si>
  <si>
    <t>Ni mining World</t>
  </si>
  <si>
    <t>Ni refining CA</t>
  </si>
  <si>
    <t>Ni refining World</t>
  </si>
  <si>
    <t>Climate change HH LT (DALY)</t>
  </si>
  <si>
    <t>Climate change HH ST (DALY)</t>
  </si>
  <si>
    <t>Human toxicity cancer LT (DALY)</t>
  </si>
  <si>
    <t>Human toxicity cancer ST (DALY)</t>
  </si>
  <si>
    <t>Human toxicity non-cancer LT (DALY)</t>
  </si>
  <si>
    <t>Human toxicity non-cancer ST (DALY)</t>
  </si>
  <si>
    <t>Ionizing radiations HH (DALY)</t>
  </si>
  <si>
    <t>Ozone layer depletion (DALY)</t>
  </si>
  <si>
    <t>Particulate matter formation (DALY)</t>
  </si>
  <si>
    <t>Photochemical ozone HH (DALY)</t>
  </si>
  <si>
    <t>Water availability HH (DALY)</t>
  </si>
  <si>
    <t>Climate change ST (kg CO2 eq (short))</t>
  </si>
  <si>
    <t>NIMBY</t>
  </si>
  <si>
    <t>Status Quo</t>
  </si>
  <si>
    <t>Integrated</t>
  </si>
  <si>
    <t>Secondary_production</t>
  </si>
  <si>
    <t>BAU</t>
  </si>
  <si>
    <t>Expansion Extractive</t>
  </si>
  <si>
    <t>Expansion Extractive+Circularity</t>
  </si>
  <si>
    <t>NZE</t>
  </si>
  <si>
    <t>Impact category</t>
  </si>
  <si>
    <t>Total EP</t>
  </si>
  <si>
    <t>Total HH</t>
  </si>
  <si>
    <t>PDF.m2.yr/kg</t>
  </si>
  <si>
    <t>DALY/kg</t>
  </si>
  <si>
    <t>Total EQ</t>
  </si>
  <si>
    <t>Source</t>
  </si>
  <si>
    <t>USGS MCS2026</t>
  </si>
  <si>
    <t>Mine</t>
  </si>
  <si>
    <t>Refinery</t>
  </si>
  <si>
    <t>BGS</t>
  </si>
  <si>
    <t>t</t>
  </si>
  <si>
    <t>Smelter/refinery</t>
  </si>
  <si>
    <t>Smelter</t>
  </si>
  <si>
    <t>?</t>
  </si>
  <si>
    <t>Comment</t>
  </si>
  <si>
    <t>Graphite (natural)</t>
  </si>
  <si>
    <t>Own assumption</t>
  </si>
  <si>
    <t>Ratio refining / mining</t>
  </si>
  <si>
    <t>Z</t>
  </si>
  <si>
    <t>Symbol</t>
  </si>
  <si>
    <t>Mineral</t>
  </si>
  <si>
    <t>production yield</t>
  </si>
  <si>
    <t>comment</t>
  </si>
  <si>
    <t>U1</t>
  </si>
  <si>
    <t>U2</t>
  </si>
  <si>
    <t>U3</t>
  </si>
  <si>
    <t>U4</t>
  </si>
  <si>
    <t>U5</t>
  </si>
  <si>
    <t>GSD^2</t>
  </si>
  <si>
    <t>GSD</t>
  </si>
  <si>
    <t xml:space="preserve"> α </t>
  </si>
  <si>
    <t>β</t>
  </si>
  <si>
    <t>uncertainty string</t>
  </si>
  <si>
    <t>fabrication and manufacturing yield</t>
  </si>
  <si>
    <t>New scrap recovery</t>
  </si>
  <si>
    <t>Remelting yield</t>
  </si>
  <si>
    <t>Ag</t>
  </si>
  <si>
    <t>Silver</t>
  </si>
  <si>
    <t>Value from Helbig et al. (2020), based on Johnson et al. (2005)</t>
  </si>
  <si>
    <t>10;51.9512154283539;9.70714751948482</t>
  </si>
  <si>
    <t>10;34.2893818471338;3.39055454831733</t>
  </si>
  <si>
    <t>1;1</t>
  </si>
  <si>
    <t>Al</t>
  </si>
  <si>
    <t>Aluminum</t>
  </si>
  <si>
    <t>Value from Helbig et al. (2020), based on Bertram et al. (2017)</t>
  </si>
  <si>
    <t>10;113.573278520256;15.5905136877806</t>
  </si>
  <si>
    <t>10;174.593862569104;120.872674086303</t>
  </si>
  <si>
    <t>10;57.8315762843693;3.26874126824696</t>
  </si>
  <si>
    <t>10;33.6478349590029;1.0406546894537</t>
  </si>
  <si>
    <t>As</t>
  </si>
  <si>
    <t>Arsenic</t>
  </si>
  <si>
    <t>Calculated based an arsenic SFA for China (Shi et al., 2017). China processes most of the world's arsenic.</t>
  </si>
  <si>
    <t>10;3.77122629323981;40.9416853238295</t>
  </si>
  <si>
    <t>Calculated based an arsenic SFA for China (Shi et al., 2017). China processes most of the world's arsenic. Assumed to include the potential recovery of new scraps in the manufacture of GaAs semiconductors.</t>
  </si>
  <si>
    <t>10;45.6538461538461;1</t>
  </si>
  <si>
    <t>While the recycling of arsenic from new scraps may occur in the manufacture of GaAs semiconductors (Ciacci et al., 2015), it is here assumed to be included in the fabrication and manufacturing yield.</t>
  </si>
  <si>
    <t>1;0</t>
  </si>
  <si>
    <t>No functional recycling of arsenic is estimated to occur currently (Ciacci et al., 2015; Graedel et al., 2011; USGS, 2020)</t>
  </si>
  <si>
    <t>Au</t>
  </si>
  <si>
    <t>Gold</t>
  </si>
  <si>
    <t>Best estimate based on the literature survey realized for gold. We estimated an extraction yield of 85%, concentration yield of 87.5%, and refining yield of 98.5%. See supporting information for details.</t>
  </si>
  <si>
    <t>10;45.4350806497305;16.5843955602843</t>
  </si>
  <si>
    <t>Calculated from US statistics (USGS, 2004a), and considering a fabrication rate of 100% for investment products. We consider these values to be reasonnable estimates for the current global yields.</t>
  </si>
  <si>
    <t>10;16.1291948710862;1.8778288493111</t>
  </si>
  <si>
    <t>10;15.582167106453;1.731351900717</t>
  </si>
  <si>
    <t>10;40.5454545454546;1</t>
  </si>
  <si>
    <t>B</t>
  </si>
  <si>
    <t>Boron</t>
  </si>
  <si>
    <t>Estimate considering an extraction yield of 80% and refining yield of 97%  (Althaus et al., 2007, Graedel et al., 2015)</t>
  </si>
  <si>
    <t>10;33.0690797489152;9.54571374195491</t>
  </si>
  <si>
    <t>Assumption</t>
  </si>
  <si>
    <t>10;19;1</t>
  </si>
  <si>
    <t>Assumed to be included in the fabrication and manufacturing yield, if any recovery occurs.</t>
  </si>
  <si>
    <t>No recycling of old boron scraps is considered to occur (European Commission, 2020a; Graedel et al., 2015)</t>
  </si>
  <si>
    <t>Ba</t>
  </si>
  <si>
    <t>Barium</t>
  </si>
  <si>
    <t>Panousi et al., 2016</t>
  </si>
  <si>
    <t>10;24.8977671397931;6.22444178494826</t>
  </si>
  <si>
    <t>Assumed to be included in the fabrication and manufacturing yield.</t>
  </si>
  <si>
    <t>Negligible recycling is considered to occur for barium (Panousi et al., 2016)</t>
  </si>
  <si>
    <t>Be</t>
  </si>
  <si>
    <t>Beryllium</t>
  </si>
  <si>
    <t>Calculated based on US production, which represents over 50% of the global production (Lederer et al., 2016)</t>
  </si>
  <si>
    <t>10;26.3901895778364;3.94336166105602</t>
  </si>
  <si>
    <t>Calculated based on USGS static MFA for the year 2000 (Cunningham, 2004)</t>
  </si>
  <si>
    <t>10;26.6275683629337;2.42068803299398</t>
  </si>
  <si>
    <t>Calculated based on USGS static MFA for the year 2000 (Cunningham, 2004).</t>
  </si>
  <si>
    <t>10;40.4560030051636;6.75053492384878</t>
  </si>
  <si>
    <t>Assumed that recovered new scraps are mostly from copper alloys and remelted with a 100% yield (BeST, 2016), and that collected old scraps are targetted specifically for their Be content.</t>
  </si>
  <si>
    <t>Bi</t>
  </si>
  <si>
    <t>Bismuth</t>
  </si>
  <si>
    <t>Estimate from Panousi et al., 2016</t>
  </si>
  <si>
    <t>10;42.6955994779466;14.2318664926489</t>
  </si>
  <si>
    <t>Assumption, including the recovery of new scraps.</t>
  </si>
  <si>
    <t>No EOL recycling is considered to occur (European Commission, 2020a; Panousi et al., 2016)</t>
  </si>
  <si>
    <t>Cd</t>
  </si>
  <si>
    <t>Cadmium</t>
  </si>
  <si>
    <t>Average value from US (Llewellyn, 1994) and Australian statistics (Kwonpongsagoon et al., 2007)</t>
  </si>
  <si>
    <t>10;42.3184399435594;13.1622533658747</t>
  </si>
  <si>
    <t>Estimate based on Cha et al., 2013; Plachy, 2003</t>
  </si>
  <si>
    <t>10;499;1</t>
  </si>
  <si>
    <t>Assumed to be included in the fabrication yield.</t>
  </si>
  <si>
    <t>Estimate based on the literature review. See the Supporting information for details.</t>
  </si>
  <si>
    <t>Ce</t>
  </si>
  <si>
    <t>Cerium</t>
  </si>
  <si>
    <t>Calculated using the grouped methodogy for REEs, detailed in section 2.4.3.1 of the Supporting information.</t>
  </si>
  <si>
    <t>10;18.7670384112497;13.5057366157051</t>
  </si>
  <si>
    <t>Calculated based on the MFA of Du and Graedel, 2011</t>
  </si>
  <si>
    <t>10;30.6393317476184;5.20513743974985</t>
  </si>
  <si>
    <t>Assumption; the EOL-RR efficiency and related uncertainty is already attributed to the collection and separation step.</t>
  </si>
  <si>
    <t>Co</t>
  </si>
  <si>
    <t>Value from Helbig et al. (2020), based on Harper et al. (2012)</t>
  </si>
  <si>
    <t>10;50.6799230657896;64.6730283941691</t>
  </si>
  <si>
    <t>10;24.0978829490536;1.53779651908868</t>
  </si>
  <si>
    <t>10;1;20.3522012578616</t>
  </si>
  <si>
    <t>10;30.8185626977511;68.9961322424396</t>
  </si>
  <si>
    <t>Cr</t>
  </si>
  <si>
    <t>Chromium</t>
  </si>
  <si>
    <t>Value from Helbig et al. (2020), based on Johnson et al. (2006)</t>
  </si>
  <si>
    <t>10;65.5453497043691;21.6803849022144</t>
  </si>
  <si>
    <t>10;66.923274053289;24.189135199984</t>
  </si>
  <si>
    <t>The value from Helbig et al. (2020), based on Johnson et al. (2006), was recalculated considering that new scrap recovery losses attributed to downgraded scraps were re-allocated to remelting losses. See the supporting information for details.</t>
  </si>
  <si>
    <t>10;69.253563031311;33.0670165825179</t>
  </si>
  <si>
    <t>Based on a personal communication with B.K. Reck (01-27-2022). See supporting information for details.</t>
  </si>
  <si>
    <t>10;40.1801752469583;37.5267674476309</t>
  </si>
  <si>
    <t>Cu</t>
  </si>
  <si>
    <t>Value from Helbig et al. (2020), based on Glöser-Chahoud (2017). The works of Glöser-Chahoud were published in a scientific article (Glöser et al., 2013), and we considered this value to be as relevant in our uncertainty assessment (U1=1).</t>
  </si>
  <si>
    <t>10;98.3289857122141;19.4661443795754</t>
  </si>
  <si>
    <t>10;102.049119404496;21.7802676906478</t>
  </si>
  <si>
    <t>10;55.5217629571599;4.62681357976332</t>
  </si>
  <si>
    <t>Dy</t>
  </si>
  <si>
    <t>Dysprosium</t>
  </si>
  <si>
    <t>10;19.5906215801558;9.99436493141161</t>
  </si>
  <si>
    <t>10;40.5267516342231;31.520806826618</t>
  </si>
  <si>
    <t>10;23.2101995752731;17.4076496814548</t>
  </si>
  <si>
    <t>Assumption; the EOL-RR efficiency and related uncertainty is already attributed to the collection and separation step. The yield of remelting for new scraps is assumed to be included in the new scrap recovery as calculated based on the MFA of Du and Graedel, 2011.</t>
  </si>
  <si>
    <t>Er</t>
  </si>
  <si>
    <t>Erbium</t>
  </si>
  <si>
    <t>10;9.96416644793705;4.96362393988681</t>
  </si>
  <si>
    <t>Assumption based on the process yields for other REEs</t>
  </si>
  <si>
    <t>10;13.070617457485;2.30657955132089</t>
  </si>
  <si>
    <t>Assumed to be negligible</t>
  </si>
  <si>
    <t>Negligible EoL recycling is estimated to occur.</t>
  </si>
  <si>
    <t>Eu</t>
  </si>
  <si>
    <t>Europium</t>
  </si>
  <si>
    <t>10;19.331367438052;11.9407025185134</t>
  </si>
  <si>
    <t>10;20.9522625448498;5.23806563621244</t>
  </si>
  <si>
    <t>Assumption. The yield of remelting for new scraps may be included in the new scrap recovery as calculated based on the MFA of Du and Graedel, 2011</t>
  </si>
  <si>
    <t>Fe</t>
  </si>
  <si>
    <t>Iron</t>
  </si>
  <si>
    <t>Value from Helbig et al. (2020), based on Wang et al. (2007)</t>
  </si>
  <si>
    <t>10;630.102164893499;90.7647166096587</t>
  </si>
  <si>
    <t>10;58.9289612399502;7.42536508921625</t>
  </si>
  <si>
    <t>10;34.9905897306072;2.23344189769833</t>
  </si>
  <si>
    <t>Ga</t>
  </si>
  <si>
    <t>Gallium</t>
  </si>
  <si>
    <t>Value from Helbig et al. (2020), based on Licht et al. (2015). Currently uncertainty distribution value is fixed.</t>
  </si>
  <si>
    <t>10;1;54.6507936507936</t>
  </si>
  <si>
    <t>Value from Helbig et al. (2020), based on Licht et al. (2015)</t>
  </si>
  <si>
    <t>10;33.6440094512501;88.1574941986766</t>
  </si>
  <si>
    <t>10;77.4739569780957;19.1564443689497</t>
  </si>
  <si>
    <t>10;88.8258781426306;35.5303512570522</t>
  </si>
  <si>
    <t>Gd</t>
  </si>
  <si>
    <t>Gadolinium</t>
  </si>
  <si>
    <t>10;19.5200540391943;10.9867893058402</t>
  </si>
  <si>
    <t>10;27.710905865485;12.1235213161497</t>
  </si>
  <si>
    <t>10;5.97183199402422;23.8873279760969</t>
  </si>
  <si>
    <t>Ge</t>
  </si>
  <si>
    <t>Germanium</t>
  </si>
  <si>
    <t>10;1;151.033898305085</t>
  </si>
  <si>
    <t>10;61.5199008450466;86.6300644552697</t>
  </si>
  <si>
    <t>Assumption, based on Du and Graedel (2011). The yield of remelting may be included in the new scrap recovery yield reported in the MFA of the authors.</t>
  </si>
  <si>
    <t>10;78.2170069715507;74.2398710238448</t>
  </si>
  <si>
    <t>Hf</t>
  </si>
  <si>
    <t>Hafnium</t>
  </si>
  <si>
    <t>Estimate based on the average hafnium content of zirconium minerals and production statistics in 2016. See supporting information for details.</t>
  </si>
  <si>
    <t>10;1;367</t>
  </si>
  <si>
    <t>No EOL recycling is considered to occur (BRGM, 2018a; Ciacci et al., 2015)</t>
  </si>
  <si>
    <t>Hg</t>
  </si>
  <si>
    <t>Mercury</t>
  </si>
  <si>
    <t>Calculated based on Panousi et al., 2016</t>
  </si>
  <si>
    <t>10;15.6503959597742;2.65416071832429</t>
  </si>
  <si>
    <t>Assumption, see supporting information for details.</t>
  </si>
  <si>
    <t>Ho</t>
  </si>
  <si>
    <t>Holmium</t>
  </si>
  <si>
    <t>10;9.9642827837121;4.96602422084293</t>
  </si>
  <si>
    <t>No recovery and recycling is expected to occur (European Commission, 2020a)</t>
  </si>
  <si>
    <t>In</t>
  </si>
  <si>
    <t>Indium</t>
  </si>
  <si>
    <t>The value of 54% from Helbig et al. (2020), as calculated based on Licht et al. (2015), was revised to 30% given other available information (Lokanc et al., 2015; Mikolajczak and Peng, 2018).</t>
  </si>
  <si>
    <t>10;11.307969912614;26.3852631294327</t>
  </si>
  <si>
    <t>10;9.07888120596333;60.021492417202</t>
  </si>
  <si>
    <t>10;81.3350364270653;22.8589925981145</t>
  </si>
  <si>
    <t>10;24.6430020283976;1</t>
  </si>
  <si>
    <t>Ir</t>
  </si>
  <si>
    <t>Iridium</t>
  </si>
  <si>
    <t>Calculated using a mining yield of 85% (for all PGEs) and statistics reported by Nassar (2013)</t>
  </si>
  <si>
    <t>10;77.7438299100146;57.2821073920149</t>
  </si>
  <si>
    <t>Assumed to be the same yield as refining</t>
  </si>
  <si>
    <t>10;24;1</t>
  </si>
  <si>
    <t>La</t>
  </si>
  <si>
    <t>Lanthanum</t>
  </si>
  <si>
    <t>10;19.0898082890213;12.7216416029444</t>
  </si>
  <si>
    <t>10;30.1166290188405;4.96924378810868</t>
  </si>
  <si>
    <t>Li</t>
  </si>
  <si>
    <t>Calculated using the share of production from brines and from ores and their respective estimated yields. See supporting information for details.</t>
  </si>
  <si>
    <t>10;20.4650678707801;8.80543012948845</t>
  </si>
  <si>
    <t>Calculated considering an average yield of 80% for batteries based on Chung et al. (2016), and 90% for other applications (assumption). See supporting information for details.</t>
  </si>
  <si>
    <t>10;30.5333891191343;6.03354395767324</t>
  </si>
  <si>
    <t>10;6.92742540448169;1.222486836085</t>
  </si>
  <si>
    <t>Lu</t>
  </si>
  <si>
    <t>Lutetium</t>
  </si>
  <si>
    <t>10;9.9653993060945;4.99098828274641</t>
  </si>
  <si>
    <t>Mg</t>
  </si>
  <si>
    <t>Magnesium</t>
  </si>
  <si>
    <t>Estimated based on Graedel et al., 2015; Ramakrishnan and Koltun, 2004; Harraz, 2017. See supporting information for details.</t>
  </si>
  <si>
    <t>10;29.0313470331095;13.7089504024584</t>
  </si>
  <si>
    <t>Estimate considering a yield of 92% for Mg metal and 90-95% for refractories and other non-metal Mg applications. Assumed to include the recovery of new scraps whenever it occurs.</t>
  </si>
  <si>
    <t>10;12.8582777668166;1.11811111015797</t>
  </si>
  <si>
    <t>Assumption, including different potential recycling routes for both metal and non-metal Mg applications</t>
  </si>
  <si>
    <t>Mn</t>
  </si>
  <si>
    <t>Manganese</t>
  </si>
  <si>
    <t>Estimate based on a literature review. See supporting information for details.</t>
  </si>
  <si>
    <t>10;46.5886984667502;19.9665850571787</t>
  </si>
  <si>
    <t>Estimate based on national statistics (Jeong et al., 2009; Nakajima et al., 2008; USGS, 2004b) and some assumptions. See supporting information for details.</t>
  </si>
  <si>
    <t>10;30.3462812424586;11.2193373054084</t>
  </si>
  <si>
    <t>Estimate based on national US statistics (USGS, 2004b) and considering an additional approx. 8% losses of manganese to slags. See supporting information for details.</t>
  </si>
  <si>
    <t>10;19.6514311773421;2.77615456314832</t>
  </si>
  <si>
    <t>10;25.2458936990863;6.31147342477157</t>
  </si>
  <si>
    <t>Mo</t>
  </si>
  <si>
    <t>Molybdenum</t>
  </si>
  <si>
    <t>Henckens et al., 2018</t>
  </si>
  <si>
    <t>10;58.2115609087907;38.8077072725271</t>
  </si>
  <si>
    <t xml:space="preserve">Calculated from US statistics for 1998 (USGS, 2004b) </t>
  </si>
  <si>
    <t>10;24.3673498323031;4.95165397661774</t>
  </si>
  <si>
    <t>Calculated from US statistics for 1998 (USGS, 2004b). Same as that reported for iron products in this dataset.</t>
  </si>
  <si>
    <t>10;10.5459874435485;10.5459874435485</t>
  </si>
  <si>
    <t>Nb</t>
  </si>
  <si>
    <t>Niobium</t>
  </si>
  <si>
    <t>Nuss et al., 2014</t>
  </si>
  <si>
    <t>10;31.3244635547697;12.7944991984271</t>
  </si>
  <si>
    <t>Estimate based on US data (USGS, 2004b) and CBMM, 2018b. The yield is estimated to include the recovery and remelting of new scraps, whenever it occurs. See supporting information for details.</t>
  </si>
  <si>
    <t>The recovery of new scraps is taken into account in the fabrication and manufacturing yield to avoid interfering with the EoL remelting rate. See supporting information for details.</t>
  </si>
  <si>
    <t>The value is estimated considering the reportede collection yields for niobium products and an EOL-RR of 9.5% (Graedel et al., 2022). Represents the remelting yield of old scraps only. See the supporting information for details.</t>
  </si>
  <si>
    <t>10;3.0451304362027;19.6202562105228</t>
  </si>
  <si>
    <t>Nd</t>
  </si>
  <si>
    <t>10;19.0657207285708;12.7877828873567</t>
  </si>
  <si>
    <t>10;30.9573461214604;5.35352602100444</t>
  </si>
  <si>
    <t>10;43.2060543580814;23.6604583389494</t>
  </si>
  <si>
    <t>Ni</t>
  </si>
  <si>
    <t>Value from Helbig et al. (2020), based on Reck and Rotter (2012)</t>
  </si>
  <si>
    <t>10;61.454508870789;16.5775131670604</t>
  </si>
  <si>
    <t>10;49.2135595675678;8.34579295243831</t>
  </si>
  <si>
    <t>10;51.5275681018575;9.48360149113942</t>
  </si>
  <si>
    <t>Os</t>
  </si>
  <si>
    <t>Osmium</t>
  </si>
  <si>
    <t>10;25.6265908582309;18.8818216356397</t>
  </si>
  <si>
    <t>No recycling considered to occur (Ciacci et al., 2015; UNEP, 2011)</t>
  </si>
  <si>
    <t>Pb</t>
  </si>
  <si>
    <t>Lead</t>
  </si>
  <si>
    <t>Value from Helbig et al. (2020), based on Mao et al. (2008a)</t>
  </si>
  <si>
    <t>10;32.1656388691773;3.89265693321254</t>
  </si>
  <si>
    <t>10;18.1787325134491;1.07294374025416</t>
  </si>
  <si>
    <t>10;48.0978481894775;11.81050364795</t>
  </si>
  <si>
    <t>Pd</t>
  </si>
  <si>
    <t>Palladium</t>
  </si>
  <si>
    <t>10;81.7352327495568;38.6104124899019</t>
  </si>
  <si>
    <t>Minor losses reported by Nassar (2013) for jewellery and dental applications.</t>
  </si>
  <si>
    <t>10;781.969432314429;1</t>
  </si>
  <si>
    <t>N/A (included in fabrication and manufacturing yield)</t>
  </si>
  <si>
    <t>10;89.9090909090908;1</t>
  </si>
  <si>
    <t>Pr</t>
  </si>
  <si>
    <t>Praseodymium</t>
  </si>
  <si>
    <t>10;19.0156214788304;12.9205990950055</t>
  </si>
  <si>
    <t>10;27.8631509762131;13.1575990721006</t>
  </si>
  <si>
    <t>10;26.8916802095013;18.8241761466509</t>
  </si>
  <si>
    <t>Pt</t>
  </si>
  <si>
    <t>Platinum</t>
  </si>
  <si>
    <t>10;126.696285959744;59.0974716441567</t>
  </si>
  <si>
    <t>10;132.333333333334;1</t>
  </si>
  <si>
    <t>Re</t>
  </si>
  <si>
    <t>Rhenium</t>
  </si>
  <si>
    <t>Value from Helbig et al. (2020), based on Meylan et al. (2015)</t>
  </si>
  <si>
    <t>10;69.6513723984592;68.5630697047333</t>
  </si>
  <si>
    <t>Rh</t>
  </si>
  <si>
    <t>Rhodium</t>
  </si>
  <si>
    <t>10;80.7146020989345;49.5223347708691</t>
  </si>
  <si>
    <t>10;49;1</t>
  </si>
  <si>
    <t>Ru</t>
  </si>
  <si>
    <t>Ruthenium</t>
  </si>
  <si>
    <t>10;80.9961927960783;48.3749902489168</t>
  </si>
  <si>
    <t>10;98.9999999999999;1</t>
  </si>
  <si>
    <t>Sb</t>
  </si>
  <si>
    <t>Antimony</t>
  </si>
  <si>
    <t>Averaged value from an MFA for China (Chu et al., 2019), producing more than 50% of global antimony, as well as global production yields (Haarman, 2015; Panousi et al., 2016)</t>
  </si>
  <si>
    <t>10;36.7856081158663;7.51068209590741</t>
  </si>
  <si>
    <t>Calculated based on Haarman (2015)</t>
  </si>
  <si>
    <t>10;26.15;1</t>
  </si>
  <si>
    <t>10;33.0211497137733;80.7183659670015</t>
  </si>
  <si>
    <t>10;64.3803345177705;13.1826399250673</t>
  </si>
  <si>
    <t>Sc</t>
  </si>
  <si>
    <t>Scandium</t>
  </si>
  <si>
    <t>Estimate based on current production of scandium and the content of scandium in red mud. See supporting information for details.</t>
  </si>
  <si>
    <t>10;1;792.022868887195</t>
  </si>
  <si>
    <t>No functional recycling is considered to occur (BRGM, 2017c; Panousi et al., 2016)</t>
  </si>
  <si>
    <t>Se</t>
  </si>
  <si>
    <t>Selenium</t>
  </si>
  <si>
    <t>Value from Helbig et al. (2020), based on Kavlak and Graedel (2013a)</t>
  </si>
  <si>
    <t>10;1.62027379701602;34.3872984358441</t>
  </si>
  <si>
    <t>10;94.1261811368578;17.1518818960496</t>
  </si>
  <si>
    <t>10;38.490952500803;119.321952752489</t>
  </si>
  <si>
    <t>Si</t>
  </si>
  <si>
    <t>Silicon</t>
  </si>
  <si>
    <t>Estimate based on the yield of 85% for a well-operated furnace (Ali et al., 2018)</t>
  </si>
  <si>
    <t>Estimate based on the literature survey for silicon. See Supporting information for details.</t>
  </si>
  <si>
    <t>No functional recycling is considered to occur (BRGM, 2019a; CRM Alliance, n.d.; European Commission, 2020a)</t>
  </si>
  <si>
    <t>Sm</t>
  </si>
  <si>
    <t>Samarium</t>
  </si>
  <si>
    <t>10;19.4282540838186;11.5236434350901</t>
  </si>
  <si>
    <t>10;16.4207864270816;2.59275575164446</t>
  </si>
  <si>
    <t>Sn</t>
  </si>
  <si>
    <t>Tin</t>
  </si>
  <si>
    <t>Value from Helbig et al. (2020), based on Izard and Müller (2010)</t>
  </si>
  <si>
    <t>10;34.3647377099495;4.58196502799327</t>
  </si>
  <si>
    <t>10;97.6315789473689;1</t>
  </si>
  <si>
    <t>10;19.3733730958979;54.2454446685141</t>
  </si>
  <si>
    <t>Sr</t>
  </si>
  <si>
    <t>Strontium</t>
  </si>
  <si>
    <t>Based on an informed estimate of Panousi et al. (2016)</t>
  </si>
  <si>
    <t>10;23.0479547084309;5.76198867710773</t>
  </si>
  <si>
    <t>No functional recycling is considered to occur (European Commission, 2020a; Panousi et al., 2016)</t>
  </si>
  <si>
    <t>Ta</t>
  </si>
  <si>
    <t>Tantalum</t>
  </si>
  <si>
    <t>Value from Helbig et al. (2020), based on Nassar (2017)</t>
  </si>
  <si>
    <t>10;180.609064011502;98.2433919623006</t>
  </si>
  <si>
    <t>10;168.810971206788;52.825201874233</t>
  </si>
  <si>
    <t>10;164.828147850487;138.455644194409</t>
  </si>
  <si>
    <t>Tb</t>
  </si>
  <si>
    <t>Terbium</t>
  </si>
  <si>
    <t>10;19.5527922096026;10.7100615117219</t>
  </si>
  <si>
    <t>Te</t>
  </si>
  <si>
    <t>Tellurium</t>
  </si>
  <si>
    <t>Value from Helbig et al. (2020), based on Kavlak and Graedel (2013b)</t>
  </si>
  <si>
    <t>10;1.62072710455679;34.391829158695</t>
  </si>
  <si>
    <t>10;125.248058644275;76.4334306598398</t>
  </si>
  <si>
    <t>10;114.588224091329;98.4742550784857</t>
  </si>
  <si>
    <t>Ti</t>
  </si>
  <si>
    <t>Titanium</t>
  </si>
  <si>
    <t>Calculated considering 90% mining yield and 95% refining yield (Graedel et al., 2015)</t>
  </si>
  <si>
    <t>10;22.3725279906026;3.79417141361096</t>
  </si>
  <si>
    <t>Estimated yield including the recovery of new scraps of titanium metal whenever it occurs, which  are collected and recycled efficiently (Goonan, 2010; Takeda and Okabe, 2019). See supporting information for details.</t>
  </si>
  <si>
    <t>The collection of titanium new scraps is considered to occur mostly in-house (Takeda and Okabe, 2019); it is here included in the fabrication and manufacturing yield.</t>
  </si>
  <si>
    <t>Assumed to be the same as the refining yield.</t>
  </si>
  <si>
    <t>Tl</t>
  </si>
  <si>
    <t>Thallium</t>
  </si>
  <si>
    <t>10;22.1898554682838;9.50993805783591</t>
  </si>
  <si>
    <t>No recycling considered to occur (Ciacci et al., 2015; Panousi et al., 2016)</t>
  </si>
  <si>
    <t>Tm</t>
  </si>
  <si>
    <t>Thulium</t>
  </si>
  <si>
    <t>10;9.96385030752143;4.95725889126685</t>
  </si>
  <si>
    <t>V</t>
  </si>
  <si>
    <t>Vanadium</t>
  </si>
  <si>
    <t>Calculated considering statistics for China (Zhang et al., 2014) and US (Goonan, 2011b), weighted accordingly with their respective share of global production in 2019 (USGS, 2020). See Supporting information for details.</t>
  </si>
  <si>
    <t>10;12.7127524002742;25.9616135050928</t>
  </si>
  <si>
    <t>Calculated based on data for China (Zhang et al., 2014) and the US (Goonan, 2011b). See Supporting information for details.</t>
  </si>
  <si>
    <t>10;35.3548440000972;16.9436606346048</t>
  </si>
  <si>
    <t>10;1;121.489747586585</t>
  </si>
  <si>
    <t>W</t>
  </si>
  <si>
    <t>Tungsten</t>
  </si>
  <si>
    <t>10;49.0430083981623;6.32813011589191</t>
  </si>
  <si>
    <t>10;67.0866184152612;7.1878519730637</t>
  </si>
  <si>
    <t>Y</t>
  </si>
  <si>
    <t>Yttrium</t>
  </si>
  <si>
    <t>10;19.5905499820588;9.90990974687977</t>
  </si>
  <si>
    <t>10;31.5964497467837;5.66351457725369</t>
  </si>
  <si>
    <t>Yb</t>
  </si>
  <si>
    <t>Ytterbium</t>
  </si>
  <si>
    <t>10;9.96542246079323;4.99154976201104</t>
  </si>
  <si>
    <t>Zn</t>
  </si>
  <si>
    <t>Zinc</t>
  </si>
  <si>
    <t>Value from Helbig et al. (2020), based on Meylan and Reck (2017)</t>
  </si>
  <si>
    <t>10;97.2061332643028;18.819107399969</t>
  </si>
  <si>
    <t>10;114.840987277532;32.6855117636054</t>
  </si>
  <si>
    <t>10;61.6195717171977;5.88186820936887</t>
  </si>
  <si>
    <t>10;126.274746515775;71.5228056437006</t>
  </si>
  <si>
    <t>Zr</t>
  </si>
  <si>
    <t>Zirconium</t>
  </si>
  <si>
    <t>Calculated considering average losses of 10% at the concentration and refining stages (Iluka, 2020), and assuming 5% extraction losses</t>
  </si>
  <si>
    <t>10;72.6943122426246;12.3282751756498</t>
  </si>
  <si>
    <t xml:space="preserve">The recovery of zirconium from new scraps is estimated to be overall negligible (European Commission, 2020c). </t>
  </si>
  <si>
    <t>Assumption that all EOL losses are due to collection and separation. The uncertainty is already taken into account for that process.</t>
  </si>
  <si>
    <t>Supply scenario</t>
  </si>
  <si>
    <t>Production scenario CCI</t>
  </si>
  <si>
    <t>Production scenario CCI|Refining CAN share</t>
  </si>
  <si>
    <t>Current shares</t>
  </si>
  <si>
    <t>Demand scenario CER</t>
  </si>
  <si>
    <t>Demand_value_t</t>
  </si>
  <si>
    <t>Production_mining_CAN_t</t>
  </si>
  <si>
    <t>Production_refining_CAN_t</t>
  </si>
  <si>
    <t>Production_mining_RoW_t</t>
  </si>
  <si>
    <t>Production_refining_RoW_t</t>
  </si>
  <si>
    <t>100% CAN</t>
  </si>
  <si>
    <t>100% occured in RoW</t>
  </si>
  <si>
    <t>Refining_RoW</t>
  </si>
  <si>
    <t>Mining_RoW</t>
  </si>
  <si>
    <t>Difference between demand and CAN supply is sourced from RoW</t>
  </si>
  <si>
    <t>Title of the article</t>
  </si>
  <si>
    <t>Authors</t>
  </si>
  <si>
    <t>Affiliations</t>
  </si>
  <si>
    <t>Corresponding author</t>
  </si>
  <si>
    <t>Journal</t>
  </si>
  <si>
    <t>Date</t>
  </si>
  <si>
    <t>Purpose and scope</t>
  </si>
  <si>
    <t>TAB</t>
  </si>
  <si>
    <t>DESCRIPTION</t>
  </si>
  <si>
    <t>SUPPLY</t>
  </si>
  <si>
    <t>DEMAND</t>
  </si>
  <si>
    <t>PRODUCTION</t>
  </si>
  <si>
    <t>COMMENT</t>
  </si>
  <si>
    <t>Attention valeurs Gr commence à 2024</t>
  </si>
  <si>
    <t>#</t>
  </si>
  <si>
    <t>Associated LCIs</t>
  </si>
  <si>
    <t>Description of the supply scenarios created, and their associated production scenarios</t>
  </si>
  <si>
    <t>Results of the demand scenarios (CER) with metal intensity</t>
  </si>
  <si>
    <r>
      <t>Supplementary Information for ''</t>
    </r>
    <r>
      <rPr>
        <i/>
        <sz val="11"/>
        <color theme="1"/>
        <rFont val="Calibri"/>
        <family val="2"/>
        <scheme val="minor"/>
      </rPr>
      <t>A Macro-LCSA framework for sectoral sustainability assessment: application to metal supply chains in Canada</t>
    </r>
    <r>
      <rPr>
        <sz val="11"/>
        <color theme="1"/>
        <rFont val="Calibri"/>
        <family val="2"/>
        <scheme val="minor"/>
      </rPr>
      <t>"</t>
    </r>
  </si>
  <si>
    <t xml:space="preserve">CCI production scenarios, with production yield + </t>
  </si>
  <si>
    <t>pellan.marin@gmail.com</t>
  </si>
  <si>
    <r>
      <t xml:space="preserve">¹CIRAIG, Ecole Polytechnique de Montréal, P.O. Box 6079, Montréal, H3C 3A7, Québec, Canada
</t>
    </r>
    <r>
      <rPr>
        <vertAlign val="superscript"/>
        <sz val="11"/>
        <color theme="1"/>
        <rFont val="Calibri"/>
        <family val="2"/>
        <scheme val="minor"/>
      </rPr>
      <t>2</t>
    </r>
    <r>
      <rPr>
        <sz val="11"/>
        <color theme="1"/>
        <rFont val="Calibri"/>
        <family val="2"/>
        <scheme val="minor"/>
      </rPr>
      <t xml:space="preserve">CIRAIG, Université du Québec à Montréal, C.P. 8888, succ. Centre-ville. Montréal (Québec) H3C 3P8, Québec, Canada
</t>
    </r>
    <r>
      <rPr>
        <vertAlign val="superscript"/>
        <sz val="11"/>
        <color theme="1"/>
        <rFont val="Calibri"/>
        <family val="2"/>
        <scheme val="minor"/>
      </rPr>
      <t>3</t>
    </r>
    <r>
      <rPr>
        <sz val="11"/>
        <color theme="1"/>
        <rFont val="Calibri"/>
        <family val="2"/>
        <scheme val="minor"/>
      </rPr>
      <t>LVMT, Ecole des Ponts ParisTech, Cité Descartes, 6-8 Avenue Blaise Pascal, Champs-sur-Marne, 77420, France</t>
    </r>
  </si>
  <si>
    <r>
      <t>Marin Pellan¹, Maxime Agez1, Sara Russo-Garrido¹, Anne de Bortoli</t>
    </r>
    <r>
      <rPr>
        <vertAlign val="superscript"/>
        <sz val="11"/>
        <color theme="1"/>
        <rFont val="Calibri"/>
        <family val="2"/>
        <scheme val="minor"/>
      </rPr>
      <t>1,2,3</t>
    </r>
  </si>
  <si>
    <t>Result_notebook</t>
  </si>
  <si>
    <t>Combination to assess mining and refining volumes in CAN and RoW for impact assessment calculations</t>
  </si>
  <si>
    <t>Year from 2025 to 2040</t>
  </si>
  <si>
    <t>Production_yield</t>
  </si>
  <si>
    <t>100% RoW</t>
  </si>
  <si>
    <t>Status Quo, Expansion Extractive</t>
  </si>
  <si>
    <t>Mining CAN, Refining RoW</t>
  </si>
  <si>
    <t>Mining RoW, Refining CAN</t>
  </si>
  <si>
    <t>Associated supply scenario</t>
  </si>
  <si>
    <t>Status Quo, Expansion Extractive, Integrated</t>
  </si>
  <si>
    <t>? Not used</t>
  </si>
  <si>
    <t>NIMBY, Status Quo, Expansion Extractive, Integrated</t>
  </si>
  <si>
    <t>% Mining</t>
  </si>
  <si>
    <t>Refining CA (mining CA)</t>
  </si>
  <si>
    <t>Refining RoW (mining CA)</t>
  </si>
  <si>
    <t>Refining RoW (mining RoW)</t>
  </si>
  <si>
    <t>Mining CA</t>
  </si>
  <si>
    <t>Mining RoW</t>
  </si>
  <si>
    <t>Demand - sum refining</t>
  </si>
  <si>
    <t>Export potential refining CAN</t>
  </si>
  <si>
    <r>
      <t xml:space="preserve">    </t>
    </r>
    <r>
      <rPr>
        <sz val="11"/>
        <color rgb="FFCE9178"/>
        <rFont val="Consolas"/>
        <family val="3"/>
      </rPr>
      <t>"Cu refining CA"</t>
    </r>
    <r>
      <rPr>
        <sz val="11"/>
        <color rgb="FFCCCCCC"/>
        <rFont val="Consolas"/>
        <family val="3"/>
      </rPr>
      <t>: (</t>
    </r>
    <r>
      <rPr>
        <sz val="11"/>
        <color rgb="FFCE9178"/>
        <rFont val="Consolas"/>
        <family val="3"/>
      </rPr>
      <t>"copper production, cathode, solvent extraction and electrowinning process"</t>
    </r>
    <r>
      <rPr>
        <sz val="11"/>
        <color rgb="FFCCCCCC"/>
        <rFont val="Consolas"/>
        <family val="3"/>
      </rPr>
      <t xml:space="preserve">, </t>
    </r>
    <r>
      <rPr>
        <sz val="11"/>
        <color rgb="FFCE9178"/>
        <rFont val="Consolas"/>
        <family val="3"/>
      </rPr>
      <t>"copper, cathode"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</si>
  <si>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"Ni refining CA"</t>
    </r>
    <r>
      <rPr>
        <sz val="11"/>
        <color rgb="FFCCCCCC"/>
        <rFont val="Consolas"/>
        <family val="3"/>
      </rPr>
      <t>: (</t>
    </r>
    <r>
      <rPr>
        <sz val="11"/>
        <color rgb="FFCE9178"/>
        <rFont val="Consolas"/>
        <family val="3"/>
      </rPr>
      <t>"processing of nickel-rich materials"</t>
    </r>
    <r>
      <rPr>
        <sz val="11"/>
        <color rgb="FFCCCCCC"/>
        <rFont val="Consolas"/>
        <family val="3"/>
      </rPr>
      <t xml:space="preserve">, </t>
    </r>
    <r>
      <rPr>
        <sz val="11"/>
        <color rgb="FFCE9178"/>
        <rFont val="Consolas"/>
        <family val="3"/>
      </rPr>
      <t>"nickel, class 1"</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</si>
  <si>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"Li refining CA"</t>
    </r>
    <r>
      <rPr>
        <sz val="11"/>
        <color rgb="FFCCCCCC"/>
        <rFont val="Consolas"/>
        <family val="3"/>
      </rPr>
      <t>: (</t>
    </r>
    <r>
      <rPr>
        <sz val="11"/>
        <color rgb="FFCE9178"/>
        <rFont val="Consolas"/>
        <family val="3"/>
      </rPr>
      <t>"lithium carbonate production, from spodumene"</t>
    </r>
    <r>
      <rPr>
        <sz val="11"/>
        <color rgb="FFCCCCCC"/>
        <rFont val="Consolas"/>
        <family val="3"/>
      </rPr>
      <t xml:space="preserve">, </t>
    </r>
    <r>
      <rPr>
        <sz val="11"/>
        <color rgb="FFCE9178"/>
        <rFont val="Consolas"/>
        <family val="3"/>
      </rPr>
      <t>"lithium carbonate"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</si>
  <si>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"Co refining CA"</t>
    </r>
    <r>
      <rPr>
        <sz val="11"/>
        <color rgb="FFCCCCCC"/>
        <rFont val="Consolas"/>
        <family val="3"/>
      </rPr>
      <t>: (</t>
    </r>
    <r>
      <rPr>
        <sz val="11"/>
        <color rgb="FFCE9178"/>
        <rFont val="Consolas"/>
        <family val="3"/>
      </rPr>
      <t>"cobalt sulfate production, from copper mining, economic allocation"</t>
    </r>
    <r>
      <rPr>
        <sz val="11"/>
        <color rgb="FFCCCCCC"/>
        <rFont val="Consolas"/>
        <family val="3"/>
      </rPr>
      <t xml:space="preserve">, </t>
    </r>
    <r>
      <rPr>
        <sz val="11"/>
        <color rgb="FFCE9178"/>
        <rFont val="Consolas"/>
        <family val="3"/>
      </rPr>
      <t>"cobalt sulfate"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</si>
  <si>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"C refining CA"</t>
    </r>
    <r>
      <rPr>
        <sz val="11"/>
        <color rgb="FFCCCCCC"/>
        <rFont val="Consolas"/>
        <family val="3"/>
      </rPr>
      <t>: (</t>
    </r>
    <r>
      <rPr>
        <sz val="11"/>
        <color rgb="FFCE9178"/>
        <rFont val="Consolas"/>
        <family val="3"/>
      </rPr>
      <t>"synthetic graphite production, battery grade"</t>
    </r>
    <r>
      <rPr>
        <sz val="11"/>
        <color rgb="FFCCCCCC"/>
        <rFont val="Consolas"/>
        <family val="3"/>
      </rPr>
      <t xml:space="preserve">, </t>
    </r>
    <r>
      <rPr>
        <sz val="11"/>
        <color rgb="FFCE9178"/>
        <rFont val="Consolas"/>
        <family val="3"/>
      </rPr>
      <t>"synthetic graphite, battery grade"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</si>
  <si>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"Nd refining CA"</t>
    </r>
    <r>
      <rPr>
        <sz val="11"/>
        <color rgb="FFCCCCCC"/>
        <rFont val="Consolas"/>
        <family val="3"/>
      </rPr>
      <t>: (</t>
    </r>
    <r>
      <rPr>
        <sz val="11"/>
        <color rgb="FFCE9178"/>
        <rFont val="Consolas"/>
        <family val="3"/>
      </rPr>
      <t>"rare earth oxides production, from rare earth carbonate concentrate"</t>
    </r>
    <r>
      <rPr>
        <sz val="11"/>
        <color rgb="FFCCCCCC"/>
        <rFont val="Consolas"/>
        <family val="3"/>
      </rPr>
      <t xml:space="preserve">, </t>
    </r>
    <r>
      <rPr>
        <sz val="11"/>
        <color rgb="FFCE9178"/>
        <rFont val="Consolas"/>
        <family val="3"/>
      </rPr>
      <t>"neodymium oxide"</t>
    </r>
    <r>
      <rPr>
        <sz val="11"/>
        <color rgb="FFCCCCCC"/>
        <rFont val="Consolas"/>
        <family val="3"/>
      </rPr>
      <t xml:space="preserve">, </t>
    </r>
    <r>
      <rPr>
        <sz val="11"/>
        <color rgb="FFCE9178"/>
        <rFont val="Consolas"/>
        <family val="3"/>
      </rPr>
      <t>'CA'</t>
    </r>
    <r>
      <rPr>
        <sz val="11"/>
        <color rgb="FFCCCCCC"/>
        <rFont val="Consolas"/>
        <family val="3"/>
      </rPr>
      <t>),</t>
    </r>
  </si>
  <si>
    <t>mining+refining</t>
  </si>
  <si>
    <t>refining</t>
  </si>
  <si>
    <r>
      <t xml:space="preserve">    </t>
    </r>
    <r>
      <rPr>
        <sz val="11"/>
        <color rgb="FF6A9955"/>
        <rFont val="Consolas"/>
        <family val="3"/>
      </rPr>
      <t>## World</t>
    </r>
  </si>
  <si>
    <r>
      <t xml:space="preserve">    </t>
    </r>
    <r>
      <rPr>
        <sz val="11"/>
        <color rgb="FFCE9178"/>
        <rFont val="Consolas"/>
        <family val="3"/>
      </rPr>
      <t>"Cu refining World"</t>
    </r>
    <r>
      <rPr>
        <sz val="11"/>
        <color rgb="FFCCCCCC"/>
        <rFont val="Consolas"/>
        <family val="3"/>
      </rPr>
      <t>: (</t>
    </r>
    <r>
      <rPr>
        <sz val="11"/>
        <color rgb="FFCE9178"/>
        <rFont val="Consolas"/>
        <family val="3"/>
      </rPr>
      <t>"market for copper, cathode"</t>
    </r>
    <r>
      <rPr>
        <sz val="11"/>
        <color rgb="FFCCCCCC"/>
        <rFont val="Consolas"/>
        <family val="3"/>
      </rPr>
      <t xml:space="preserve">, </t>
    </r>
    <r>
      <rPr>
        <sz val="11"/>
        <color rgb="FFCE9178"/>
        <rFont val="Consolas"/>
        <family val="3"/>
      </rPr>
      <t>"copper, cathode"</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</si>
  <si>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"Ni refining World"</t>
    </r>
    <r>
      <rPr>
        <sz val="11"/>
        <color rgb="FFCCCCCC"/>
        <rFont val="Consolas"/>
        <family val="3"/>
      </rPr>
      <t>: (</t>
    </r>
    <r>
      <rPr>
        <sz val="11"/>
        <color rgb="FFCE9178"/>
        <rFont val="Consolas"/>
        <family val="3"/>
      </rPr>
      <t>"market for nickel, class 1"</t>
    </r>
    <r>
      <rPr>
        <sz val="11"/>
        <color rgb="FFCCCCCC"/>
        <rFont val="Consolas"/>
        <family val="3"/>
      </rPr>
      <t xml:space="preserve">, </t>
    </r>
    <r>
      <rPr>
        <sz val="11"/>
        <color rgb="FFCE9178"/>
        <rFont val="Consolas"/>
        <family val="3"/>
      </rPr>
      <t>"nickel, class 1"</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</si>
  <si>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"Li refining World"</t>
    </r>
    <r>
      <rPr>
        <sz val="11"/>
        <color rgb="FFCCCCCC"/>
        <rFont val="Consolas"/>
        <family val="3"/>
      </rPr>
      <t>: (</t>
    </r>
    <r>
      <rPr>
        <sz val="11"/>
        <color rgb="FFCE9178"/>
        <rFont val="Consolas"/>
        <family val="3"/>
      </rPr>
      <t>"lithium (Li) global market"</t>
    </r>
    <r>
      <rPr>
        <sz val="11"/>
        <color rgb="FFCCCCCC"/>
        <rFont val="Consolas"/>
        <family val="3"/>
      </rPr>
      <t xml:space="preserve">, </t>
    </r>
    <r>
      <rPr>
        <sz val="11"/>
        <color rgb="FFCE9178"/>
        <rFont val="Consolas"/>
        <family val="3"/>
      </rPr>
      <t>"li commodities"</t>
    </r>
    <r>
      <rPr>
        <sz val="11"/>
        <color rgb="FFCCCCCC"/>
        <rFont val="Consolas"/>
        <family val="3"/>
      </rPr>
      <t xml:space="preserve">, </t>
    </r>
    <r>
      <rPr>
        <sz val="11"/>
        <color rgb="FFCE9178"/>
        <rFont val="Consolas"/>
        <family val="3"/>
      </rPr>
      <t>'GLO'</t>
    </r>
    <r>
      <rPr>
        <sz val="11"/>
        <color rgb="FFCCCCCC"/>
        <rFont val="Consolas"/>
        <family val="3"/>
      </rPr>
      <t>),</t>
    </r>
  </si>
  <si>
    <r>
      <t xml:space="preserve">    </t>
    </r>
    <r>
      <rPr>
        <sz val="11"/>
        <color rgb="FFCE9178"/>
        <rFont val="Consolas"/>
        <family val="3"/>
      </rPr>
      <t>"Co refining World"</t>
    </r>
    <r>
      <rPr>
        <sz val="11"/>
        <color rgb="FFCCCCCC"/>
        <rFont val="Consolas"/>
        <family val="3"/>
      </rPr>
      <t>: (</t>
    </r>
    <r>
      <rPr>
        <sz val="11"/>
        <color rgb="FFCE9178"/>
        <rFont val="Consolas"/>
        <family val="3"/>
      </rPr>
      <t>"market for cobalt sulfate"</t>
    </r>
    <r>
      <rPr>
        <sz val="11"/>
        <color rgb="FFCCCCCC"/>
        <rFont val="Consolas"/>
        <family val="3"/>
      </rPr>
      <t xml:space="preserve">, </t>
    </r>
    <r>
      <rPr>
        <sz val="11"/>
        <color rgb="FFCE9178"/>
        <rFont val="Consolas"/>
        <family val="3"/>
      </rPr>
      <t>"cobalt sulfate"</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</si>
  <si>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"C refining World"</t>
    </r>
    <r>
      <rPr>
        <sz val="11"/>
        <color rgb="FFCCCCCC"/>
        <rFont val="Consolas"/>
        <family val="3"/>
      </rPr>
      <t>: (</t>
    </r>
    <r>
      <rPr>
        <sz val="11"/>
        <color rgb="FFCE9178"/>
        <rFont val="Consolas"/>
        <family val="3"/>
      </rPr>
      <t>"synthetic graphite production, battery grade"</t>
    </r>
    <r>
      <rPr>
        <sz val="11"/>
        <color rgb="FFCCCCCC"/>
        <rFont val="Consolas"/>
        <family val="3"/>
      </rPr>
      <t xml:space="preserve">, </t>
    </r>
    <r>
      <rPr>
        <sz val="11"/>
        <color rgb="FFCE9178"/>
        <rFont val="Consolas"/>
        <family val="3"/>
      </rPr>
      <t>"synthetic graphite, battery grade"</t>
    </r>
    <r>
      <rPr>
        <sz val="11"/>
        <color rgb="FFCCCCCC"/>
        <rFont val="Consolas"/>
        <family val="3"/>
      </rPr>
      <t xml:space="preserve">, </t>
    </r>
    <r>
      <rPr>
        <sz val="11"/>
        <color rgb="FFCE9178"/>
        <rFont val="Consolas"/>
        <family val="3"/>
      </rPr>
      <t>'CN'</t>
    </r>
    <r>
      <rPr>
        <sz val="11"/>
        <color rgb="FFCCCCCC"/>
        <rFont val="Consolas"/>
        <family val="3"/>
      </rPr>
      <t>),</t>
    </r>
  </si>
  <si>
    <r>
      <t xml:space="preserve">    </t>
    </r>
    <r>
      <rPr>
        <sz val="11"/>
        <color rgb="FFCE9178"/>
        <rFont val="Consolas"/>
        <family val="3"/>
      </rPr>
      <t>"Nd refining World"</t>
    </r>
    <r>
      <rPr>
        <sz val="11"/>
        <color rgb="FFCCCCCC"/>
        <rFont val="Consolas"/>
        <family val="3"/>
      </rPr>
      <t>: (</t>
    </r>
    <r>
      <rPr>
        <sz val="11"/>
        <color rgb="FFCE9178"/>
        <rFont val="Consolas"/>
        <family val="3"/>
      </rPr>
      <t>"rare earth oxides production, from rare earth carbonate concentrate"</t>
    </r>
    <r>
      <rPr>
        <sz val="11"/>
        <color rgb="FFCCCCCC"/>
        <rFont val="Consolas"/>
        <family val="3"/>
      </rPr>
      <t xml:space="preserve">, </t>
    </r>
    <r>
      <rPr>
        <sz val="11"/>
        <color rgb="FFCE9178"/>
        <rFont val="Consolas"/>
        <family val="3"/>
      </rPr>
      <t>"neodymium oxide"</t>
    </r>
    <r>
      <rPr>
        <sz val="11"/>
        <color rgb="FFCCCCCC"/>
        <rFont val="Consolas"/>
        <family val="3"/>
      </rPr>
      <t xml:space="preserve">, </t>
    </r>
    <r>
      <rPr>
        <sz val="11"/>
        <color rgb="FFCE9178"/>
        <rFont val="Consolas"/>
        <family val="3"/>
      </rPr>
      <t>'CN'</t>
    </r>
    <r>
      <rPr>
        <sz val="11"/>
        <color rgb="FFCCCCCC"/>
        <rFont val="Consolas"/>
        <family val="3"/>
      </rPr>
      <t>),</t>
    </r>
  </si>
  <si>
    <r>
      <t xml:space="preserve">    </t>
    </r>
    <r>
      <rPr>
        <sz val="11"/>
        <color rgb="FF6A9955"/>
        <rFont val="Consolas"/>
        <family val="3"/>
      </rPr>
      <t>#"Nd refining World": ("neodymium (Nd) global market", "nd oxide (Nd2O3)", 'GLO'),</t>
    </r>
  </si>
  <si>
    <r>
      <t xml:space="preserve">    </t>
    </r>
    <r>
      <rPr>
        <sz val="11"/>
        <color rgb="FF6A9955"/>
        <rFont val="Consolas"/>
        <family val="3"/>
      </rPr>
      <t>## Canada</t>
    </r>
  </si>
  <si>
    <t>Changer pour market for nickel-rich materials</t>
  </si>
  <si>
    <t>copper production, cathode, solvent extraction and electrowinning process</t>
  </si>
  <si>
    <t>Mining CAN</t>
  </si>
  <si>
    <t>Refining CAN (mining CAN)</t>
  </si>
  <si>
    <t>Refining RoW (mining CAN)</t>
  </si>
  <si>
    <t>Verif</t>
  </si>
  <si>
    <t>Test production yield</t>
  </si>
  <si>
    <t>Verif mining</t>
  </si>
  <si>
    <t>Result_notebook_retravaill</t>
  </si>
  <si>
    <t>On ajoute Refining RoW (mining CA) et Refining RoW (mining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</si>
</sst>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19"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name val="Calibri"/>
    </font>
    <font>
      <b/>
      <sz val="11"/>
      <color rgb="FF000000"/>
      <name val="Calibri"/>
      <family val="2"/>
    </font>
    <font>
      <b/>
      <i/>
      <sz val="11"/>
      <color rgb="FF000000"/>
      <name val="Calibri"/>
      <family val="2"/>
    </font>
    <font>
      <b/>
      <i/>
      <sz val="11"/>
      <name val="Calibri"/>
      <family val="2"/>
    </font>
    <font>
      <b/>
      <sz val="11"/>
      <name val="Calibri"/>
      <family val="2"/>
    </font>
    <font>
      <sz val="11"/>
      <color theme="1"/>
      <name val="Calibri"/>
      <family val="2"/>
    </font>
    <font>
      <sz val="11"/>
      <name val="Calibri"/>
      <family val="2"/>
    </font>
    <font>
      <sz val="11"/>
      <color rgb="FF000000"/>
      <name val="Calibri"/>
      <family val="2"/>
    </font>
    <font>
      <b/>
      <sz val="11"/>
      <color theme="1"/>
      <name val="Aptos Narrow"/>
      <family val="2"/>
    </font>
    <font>
      <i/>
      <sz val="11"/>
      <color theme="1"/>
      <name val="Calibri"/>
      <family val="2"/>
      <scheme val="minor"/>
    </font>
    <font>
      <vertAlign val="superscript"/>
      <sz val="11"/>
      <color theme="1"/>
      <name val="Calibri"/>
      <family val="2"/>
      <scheme val="minor"/>
    </font>
    <font>
      <u/>
      <sz val="11"/>
      <color theme="10"/>
      <name val="Calibri"/>
      <family val="2"/>
      <scheme val="minor"/>
    </font>
    <font>
      <sz val="11"/>
      <color rgb="FFCCCCCC"/>
      <name val="Consolas"/>
      <family val="3"/>
    </font>
    <font>
      <sz val="11"/>
      <color rgb="FFCE9178"/>
      <name val="Consolas"/>
      <family val="3"/>
    </font>
    <font>
      <sz val="11"/>
      <color rgb="FF6A9955"/>
      <name val="Consolas"/>
      <family val="3"/>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9" fontId="2" fillId="0" borderId="0" applyFont="0" applyFill="0" applyBorder="0" applyAlignment="0" applyProtection="0"/>
    <xf numFmtId="0" fontId="15" fillId="0" borderId="0" applyNumberFormat="0" applyFill="0" applyBorder="0" applyAlignment="0" applyProtection="0"/>
  </cellStyleXfs>
  <cellXfs count="37">
    <xf numFmtId="0" fontId="0" fillId="0" borderId="0" xfId="0"/>
    <xf numFmtId="0" fontId="1" fillId="0" borderId="0" xfId="0" applyFont="1"/>
    <xf numFmtId="0" fontId="1" fillId="0" borderId="1" xfId="0" applyFont="1" applyBorder="1" applyAlignment="1">
      <alignment horizontal="center" vertical="top"/>
    </xf>
    <xf numFmtId="0" fontId="0" fillId="2" borderId="0" xfId="0" applyFill="1"/>
    <xf numFmtId="0" fontId="1" fillId="3" borderId="2" xfId="0" applyFont="1" applyFill="1" applyBorder="1" applyAlignment="1">
      <alignment horizontal="center" vertical="top"/>
    </xf>
    <xf numFmtId="0" fontId="0" fillId="3" borderId="0" xfId="0" applyFill="1"/>
    <xf numFmtId="0" fontId="0" fillId="4" borderId="0" xfId="0" applyFill="1"/>
    <xf numFmtId="0" fontId="4" fillId="0" borderId="0" xfId="0" applyFont="1" applyAlignment="1">
      <alignment horizontal="center" vertical="top"/>
    </xf>
    <xf numFmtId="9" fontId="0" fillId="0" borderId="0" xfId="1" applyFont="1"/>
    <xf numFmtId="9" fontId="9" fillId="0" borderId="0" xfId="1"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9" fontId="9" fillId="0" borderId="0" xfId="0" applyNumberFormat="1" applyFont="1"/>
    <xf numFmtId="0" fontId="11" fillId="0" borderId="0" xfId="0" applyFont="1"/>
    <xf numFmtId="2" fontId="9" fillId="0" borderId="0" xfId="0" applyNumberFormat="1" applyFont="1"/>
    <xf numFmtId="164" fontId="9" fillId="0" borderId="0" xfId="0" applyNumberFormat="1" applyFont="1"/>
    <xf numFmtId="165" fontId="9" fillId="0" borderId="0" xfId="0" applyNumberFormat="1" applyFont="1"/>
    <xf numFmtId="10" fontId="9" fillId="0" borderId="0" xfId="0" applyNumberFormat="1" applyFont="1"/>
    <xf numFmtId="166" fontId="9" fillId="0" borderId="0" xfId="0" applyNumberFormat="1" applyFont="1"/>
    <xf numFmtId="9" fontId="0" fillId="0" borderId="0" xfId="0" applyNumberFormat="1"/>
    <xf numFmtId="0" fontId="12" fillId="0" borderId="0" xfId="0" applyFont="1"/>
    <xf numFmtId="0" fontId="0" fillId="0" borderId="0" xfId="0" applyAlignment="1">
      <alignment wrapText="1"/>
    </xf>
    <xf numFmtId="0" fontId="13" fillId="0" borderId="0" xfId="0" applyFont="1"/>
    <xf numFmtId="17" fontId="0" fillId="0" borderId="0" xfId="0" applyNumberFormat="1" applyAlignment="1">
      <alignment horizontal="left" vertical="center"/>
    </xf>
    <xf numFmtId="0" fontId="1" fillId="0" borderId="0" xfId="0" applyFont="1" applyAlignment="1">
      <alignment horizontal="center" vertical="top"/>
    </xf>
    <xf numFmtId="0" fontId="15" fillId="0" borderId="0" xfId="2"/>
    <xf numFmtId="0" fontId="1" fillId="4" borderId="1" xfId="0" applyFont="1" applyFill="1" applyBorder="1" applyAlignment="1">
      <alignment horizontal="center" vertical="top"/>
    </xf>
    <xf numFmtId="3" fontId="0" fillId="0" borderId="0" xfId="0" applyNumberFormat="1"/>
    <xf numFmtId="3" fontId="0" fillId="4" borderId="0" xfId="0" applyNumberFormat="1" applyFill="1"/>
    <xf numFmtId="4" fontId="0" fillId="0" borderId="0" xfId="0" applyNumberFormat="1"/>
    <xf numFmtId="0" fontId="16" fillId="0" borderId="0" xfId="0" applyFont="1" applyAlignment="1">
      <alignment vertical="center"/>
    </xf>
    <xf numFmtId="0" fontId="17" fillId="0" borderId="0" xfId="0" applyFont="1" applyAlignment="1">
      <alignment vertical="center"/>
    </xf>
    <xf numFmtId="0" fontId="1" fillId="4" borderId="2" xfId="0" applyFont="1" applyFill="1" applyBorder="1" applyAlignment="1">
      <alignment horizontal="center" vertical="top"/>
    </xf>
  </cellXfs>
  <cellStyles count="3">
    <cellStyle name="Lien hypertexte" xfId="2" builtinId="8"/>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ellan.mari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50A3-7268-4DD2-BE3E-654B44EF73F0}">
  <sheetPr>
    <tabColor rgb="FFC00000"/>
  </sheetPr>
  <dimension ref="A1:C43"/>
  <sheetViews>
    <sheetView tabSelected="1" workbookViewId="0">
      <selection activeCell="A13" sqref="A13"/>
    </sheetView>
  </sheetViews>
  <sheetFormatPr baseColWidth="10" defaultRowHeight="14.5" x14ac:dyDescent="0.35"/>
  <cols>
    <col min="1" max="1" width="147.54296875" bestFit="1" customWidth="1"/>
    <col min="2" max="2" width="136.26953125" bestFit="1" customWidth="1"/>
  </cols>
  <sheetData>
    <row r="1" spans="1:3" ht="14.25" customHeight="1" x14ac:dyDescent="0.35">
      <c r="A1" s="24" t="s">
        <v>495</v>
      </c>
      <c r="B1" t="s">
        <v>513</v>
      </c>
    </row>
    <row r="2" spans="1:3" ht="16.5" x14ac:dyDescent="0.35">
      <c r="A2" s="24" t="s">
        <v>496</v>
      </c>
      <c r="B2" t="s">
        <v>517</v>
      </c>
    </row>
    <row r="3" spans="1:3" ht="47.5" x14ac:dyDescent="0.35">
      <c r="A3" s="24" t="s">
        <v>497</v>
      </c>
      <c r="B3" s="25" t="s">
        <v>516</v>
      </c>
    </row>
    <row r="4" spans="1:3" ht="14.25" customHeight="1" x14ac:dyDescent="0.35">
      <c r="A4" s="24" t="s">
        <v>498</v>
      </c>
      <c r="B4" s="29" t="s">
        <v>515</v>
      </c>
    </row>
    <row r="5" spans="1:3" x14ac:dyDescent="0.35">
      <c r="A5" s="24" t="s">
        <v>499</v>
      </c>
      <c r="B5" s="26"/>
    </row>
    <row r="6" spans="1:3" x14ac:dyDescent="0.35">
      <c r="A6" s="24" t="s">
        <v>500</v>
      </c>
      <c r="B6" s="27">
        <v>46163</v>
      </c>
    </row>
    <row r="7" spans="1:3" x14ac:dyDescent="0.35">
      <c r="A7" s="24" t="s">
        <v>501</v>
      </c>
    </row>
    <row r="11" spans="1:3" x14ac:dyDescent="0.35">
      <c r="A11" s="1" t="s">
        <v>502</v>
      </c>
      <c r="B11" s="1" t="s">
        <v>503</v>
      </c>
      <c r="C11" s="1" t="s">
        <v>507</v>
      </c>
    </row>
    <row r="12" spans="1:3" x14ac:dyDescent="0.35">
      <c r="A12" t="s">
        <v>504</v>
      </c>
      <c r="B12" t="s">
        <v>511</v>
      </c>
    </row>
    <row r="13" spans="1:3" x14ac:dyDescent="0.35">
      <c r="A13" t="s">
        <v>505</v>
      </c>
      <c r="B13" t="s">
        <v>512</v>
      </c>
      <c r="C13" t="s">
        <v>508</v>
      </c>
    </row>
    <row r="14" spans="1:3" x14ac:dyDescent="0.35">
      <c r="A14" t="s">
        <v>506</v>
      </c>
      <c r="B14" t="s">
        <v>514</v>
      </c>
    </row>
    <row r="15" spans="1:3" x14ac:dyDescent="0.35">
      <c r="A15" t="s">
        <v>518</v>
      </c>
      <c r="B15" t="s">
        <v>519</v>
      </c>
      <c r="C15" t="s">
        <v>520</v>
      </c>
    </row>
    <row r="17" spans="1:2" x14ac:dyDescent="0.35">
      <c r="A17" t="s">
        <v>563</v>
      </c>
      <c r="B17" t="s">
        <v>564</v>
      </c>
    </row>
    <row r="20" spans="1:2" x14ac:dyDescent="0.35">
      <c r="A20" s="34" t="s">
        <v>554</v>
      </c>
    </row>
    <row r="21" spans="1:2" x14ac:dyDescent="0.35">
      <c r="A21" s="34" t="s">
        <v>538</v>
      </c>
      <c r="B21" t="s">
        <v>544</v>
      </c>
    </row>
    <row r="22" spans="1:2" x14ac:dyDescent="0.35">
      <c r="A22" s="34" t="s">
        <v>539</v>
      </c>
      <c r="B22" t="s">
        <v>545</v>
      </c>
    </row>
    <row r="23" spans="1:2" x14ac:dyDescent="0.35">
      <c r="A23" s="34" t="s">
        <v>540</v>
      </c>
      <c r="B23" t="s">
        <v>545</v>
      </c>
    </row>
    <row r="24" spans="1:2" x14ac:dyDescent="0.35">
      <c r="A24" s="34" t="s">
        <v>541</v>
      </c>
      <c r="B24" t="s">
        <v>545</v>
      </c>
    </row>
    <row r="25" spans="1:2" x14ac:dyDescent="0.35">
      <c r="A25" s="34" t="s">
        <v>542</v>
      </c>
    </row>
    <row r="26" spans="1:2" x14ac:dyDescent="0.35">
      <c r="A26" s="34" t="s">
        <v>543</v>
      </c>
      <c r="B26" t="s">
        <v>545</v>
      </c>
    </row>
    <row r="28" spans="1:2" x14ac:dyDescent="0.35">
      <c r="A28" s="34" t="s">
        <v>546</v>
      </c>
    </row>
    <row r="29" spans="1:2" x14ac:dyDescent="0.35">
      <c r="A29" s="34" t="s">
        <v>547</v>
      </c>
    </row>
    <row r="30" spans="1:2" x14ac:dyDescent="0.35">
      <c r="A30" s="34" t="s">
        <v>548</v>
      </c>
      <c r="B30" t="s">
        <v>555</v>
      </c>
    </row>
    <row r="31" spans="1:2" x14ac:dyDescent="0.35">
      <c r="A31" s="34" t="s">
        <v>549</v>
      </c>
    </row>
    <row r="32" spans="1:2" x14ac:dyDescent="0.35">
      <c r="A32" s="34" t="s">
        <v>550</v>
      </c>
    </row>
    <row r="33" spans="1:1" x14ac:dyDescent="0.35">
      <c r="A33" s="34" t="s">
        <v>551</v>
      </c>
    </row>
    <row r="34" spans="1:1" x14ac:dyDescent="0.35">
      <c r="A34" s="34" t="s">
        <v>552</v>
      </c>
    </row>
    <row r="35" spans="1:1" x14ac:dyDescent="0.35">
      <c r="A35" s="34" t="s">
        <v>553</v>
      </c>
    </row>
    <row r="43" spans="1:1" x14ac:dyDescent="0.35">
      <c r="A43" s="35" t="s">
        <v>556</v>
      </c>
    </row>
  </sheetData>
  <hyperlinks>
    <hyperlink ref="B4" r:id="rId1" xr:uid="{2A78FB3D-95DB-400A-9605-31A510320BA6}"/>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072-EC07-47AD-ABCD-D8565FD468F6}">
  <sheetPr>
    <tabColor theme="7"/>
  </sheetPr>
  <dimension ref="A1:N1469"/>
  <sheetViews>
    <sheetView topLeftCell="G1" workbookViewId="0">
      <selection activeCell="N6" sqref="N6"/>
    </sheetView>
  </sheetViews>
  <sheetFormatPr baseColWidth="10" defaultColWidth="9.1796875" defaultRowHeight="14.5" x14ac:dyDescent="0.35"/>
  <cols>
    <col min="1" max="1" width="9.08984375" bestFit="1" customWidth="1"/>
    <col min="2" max="2" width="12" bestFit="1" customWidth="1"/>
    <col min="3" max="3" width="24.7265625" bestFit="1" customWidth="1"/>
    <col min="4" max="4" width="26.7265625" bestFit="1" customWidth="1"/>
    <col min="5" max="5" width="45.1796875" bestFit="1" customWidth="1"/>
    <col min="6" max="6" width="29.54296875" bestFit="1" customWidth="1"/>
    <col min="7" max="7" width="20.7265625" bestFit="1" customWidth="1"/>
    <col min="8" max="8" width="15.08984375" style="6" bestFit="1" customWidth="1"/>
    <col min="9" max="9" width="15.54296875" style="6" bestFit="1" customWidth="1"/>
    <col min="10" max="10" width="27.6328125" style="6" bestFit="1" customWidth="1"/>
    <col min="11" max="11" width="28.08984375" style="6" bestFit="1" customWidth="1"/>
    <col min="12" max="12" width="28.54296875" style="6" bestFit="1" customWidth="1"/>
    <col min="13" max="13" width="9.36328125" bestFit="1" customWidth="1"/>
    <col min="14" max="14" width="15.453125" bestFit="1" customWidth="1"/>
  </cols>
  <sheetData>
    <row r="1" spans="1:14" x14ac:dyDescent="0.35">
      <c r="A1" s="2" t="s">
        <v>2</v>
      </c>
      <c r="B1" s="2" t="s">
        <v>3</v>
      </c>
      <c r="C1" s="2" t="s">
        <v>484</v>
      </c>
      <c r="D1" s="2" t="s">
        <v>481</v>
      </c>
      <c r="E1" s="2" t="s">
        <v>482</v>
      </c>
      <c r="F1" s="2" t="s">
        <v>480</v>
      </c>
      <c r="G1" s="2" t="s">
        <v>485</v>
      </c>
      <c r="H1" s="30" t="s">
        <v>557</v>
      </c>
      <c r="I1" s="30" t="s">
        <v>535</v>
      </c>
      <c r="J1" s="30" t="s">
        <v>558</v>
      </c>
      <c r="K1" s="30" t="s">
        <v>559</v>
      </c>
      <c r="L1" s="30" t="s">
        <v>533</v>
      </c>
      <c r="M1" s="36" t="s">
        <v>560</v>
      </c>
      <c r="N1" s="36" t="s">
        <v>562</v>
      </c>
    </row>
    <row r="2" spans="1:14" x14ac:dyDescent="0.35">
      <c r="A2">
        <f>Result_notebook_retravaill!A2</f>
        <v>2025</v>
      </c>
      <c r="B2" t="str">
        <f>Result_notebook_retravaill!B2</f>
        <v>Cobalt</v>
      </c>
      <c r="C2" t="str">
        <f>Result_notebook_retravaill!C2</f>
        <v>Canada Net-zero</v>
      </c>
      <c r="D2" t="str">
        <f>Result_notebook_retravaill!D2</f>
        <v>Existing production</v>
      </c>
      <c r="E2" t="str">
        <f>Result_notebook_retravaill!E2</f>
        <v>Current shares</v>
      </c>
      <c r="F2" t="str">
        <f>Result_notebook_retravaill!F2</f>
        <v>NIMBY</v>
      </c>
      <c r="G2">
        <f>Result_notebook_retravaill!G2</f>
        <v>9556.3203859726327</v>
      </c>
      <c r="H2" s="32">
        <f>IF(Result_notebook_retravaill!I2&gt;Result_notebook_retravaill!G2,Result_notebook_retravaill!I2/Result_notebook_retravaill!N2,Result_notebook_retravaill!H2)</f>
        <v>0</v>
      </c>
      <c r="I2" s="32">
        <f>Result_notebook_retravaill!K2</f>
        <v>21718.90996811962</v>
      </c>
      <c r="J2" s="32">
        <f>MIN(G2,Result_notebook_retravaill!I2)</f>
        <v>0</v>
      </c>
      <c r="K2" s="32">
        <f>IF(Result_notebook_retravaill!I2&gt;Result_notebook_retravaill!G2,0,IF(Result_notebook_retravaill!I2+Result_notebook_retravaill!J2&gt;Result_notebook_retravaill!G2,Result_notebook_retravaill!G2-Result_notebook_retravaill!I2,Result_notebook_retravaill!J2))</f>
        <v>0</v>
      </c>
      <c r="L2" s="32">
        <f>IF(Result_notebook_retravaill!I2&gt;Result_notebook_retravaill!G2,0,IF(Result_notebook_retravaill!I2+Result_notebook_retravaill!J2&gt;Result_notebook_retravaill!G2,0,Result_notebook_retravaill!M2))</f>
        <v>9556.3203859726327</v>
      </c>
      <c r="M2" s="31">
        <f>SUM(J2:L2)-G2</f>
        <v>0</v>
      </c>
    </row>
    <row r="3" spans="1:14" x14ac:dyDescent="0.35">
      <c r="A3">
        <f>Result_notebook_retravaill!A3</f>
        <v>2025</v>
      </c>
      <c r="B3" t="str">
        <f>Result_notebook_retravaill!B3</f>
        <v>Cobalt</v>
      </c>
      <c r="C3" t="str">
        <f>Result_notebook_retravaill!C3</f>
        <v>Canada Net-zero</v>
      </c>
      <c r="D3" t="str">
        <f>Result_notebook_retravaill!D3</f>
        <v>Existing production</v>
      </c>
      <c r="E3" t="str">
        <f>Result_notebook_retravaill!E3</f>
        <v>Current shares</v>
      </c>
      <c r="F3" t="str">
        <f>Result_notebook_retravaill!F3</f>
        <v>Status Quo</v>
      </c>
      <c r="G3">
        <f>Result_notebook_retravaill!G3</f>
        <v>9556.3203859726327</v>
      </c>
      <c r="H3" s="32">
        <f>IF(Result_notebook_retravaill!I3&gt;Result_notebook_retravaill!G3,Result_notebook_retravaill!I3/Result_notebook_retravaill!N3,Result_notebook_retravaill!H3)</f>
        <v>3494</v>
      </c>
      <c r="I3" s="32">
        <f>Result_notebook_retravaill!K3</f>
        <v>18224.90996811962</v>
      </c>
      <c r="J3" s="32">
        <f>MIN(G3,Result_notebook_retravaill!I3)</f>
        <v>1482.0913083373639</v>
      </c>
      <c r="K3" s="32">
        <f>IF(Result_notebook_retravaill!I3&gt;Result_notebook_retravaill!G3,0,IF(Result_notebook_retravaill!I3+Result_notebook_retravaill!J3&gt;Result_notebook_retravaill!G3,Result_notebook_retravaill!G3-Result_notebook_retravaill!I3,Result_notebook_retravaill!J3))</f>
        <v>52.985592172937231</v>
      </c>
      <c r="L3" s="32">
        <f>IF(Result_notebook_retravaill!I3&gt;Result_notebook_retravaill!G3,0,IF(Result_notebook_retravaill!I3+Result_notebook_retravaill!J3&gt;Result_notebook_retravaill!G3,0,Result_notebook_retravaill!M3))</f>
        <v>8021.2434854623316</v>
      </c>
      <c r="M3" s="31">
        <f t="shared" ref="M3:M66" si="0">SUM(J3:L3)-G3</f>
        <v>0</v>
      </c>
    </row>
    <row r="4" spans="1:14" x14ac:dyDescent="0.35">
      <c r="A4">
        <f>Result_notebook_retravaill!A4</f>
        <v>2025</v>
      </c>
      <c r="B4" t="str">
        <f>Result_notebook_retravaill!B4</f>
        <v>Cobalt</v>
      </c>
      <c r="C4" t="str">
        <f>Result_notebook_retravaill!C4</f>
        <v>Canada Net-zero</v>
      </c>
      <c r="D4" t="str">
        <f>Result_notebook_retravaill!D4</f>
        <v>Production potential</v>
      </c>
      <c r="E4" t="str">
        <f>Result_notebook_retravaill!E4</f>
        <v>Current shares</v>
      </c>
      <c r="F4" t="str">
        <f>Result_notebook_retravaill!F4</f>
        <v>Expansion Extractive</v>
      </c>
      <c r="G4">
        <f>Result_notebook_retravaill!G4</f>
        <v>9556.3203859726327</v>
      </c>
      <c r="H4" s="32">
        <f>IF(Result_notebook_retravaill!I4&gt;Result_notebook_retravaill!G4,Result_notebook_retravaill!I4/Result_notebook_retravaill!N4,Result_notebook_retravaill!H4)</f>
        <v>3850.4060559825398</v>
      </c>
      <c r="I4" s="32">
        <f>Result_notebook_retravaill!K4</f>
        <v>17868.503912137079</v>
      </c>
      <c r="J4" s="32">
        <f>MIN(G4,Result_notebook_retravaill!I4)</f>
        <v>1633.272280807462</v>
      </c>
      <c r="K4" s="32">
        <f>IF(Result_notebook_retravaill!I4&gt;Result_notebook_retravaill!G4,0,IF(Result_notebook_retravaill!I4+Result_notebook_retravaill!J4&gt;Result_notebook_retravaill!G4,Result_notebook_retravaill!G4-Result_notebook_retravaill!I4,Result_notebook_retravaill!J4))</f>
        <v>58.390396388808767</v>
      </c>
      <c r="L4" s="32">
        <f>IF(Result_notebook_retravaill!I4&gt;Result_notebook_retravaill!G4,0,IF(Result_notebook_retravaill!I4+Result_notebook_retravaill!J4&gt;Result_notebook_retravaill!G4,0,Result_notebook_retravaill!M4))</f>
        <v>7864.6577087763617</v>
      </c>
      <c r="M4" s="31">
        <f t="shared" si="0"/>
        <v>0</v>
      </c>
    </row>
    <row r="5" spans="1:14" x14ac:dyDescent="0.35">
      <c r="A5">
        <f>Result_notebook_retravaill!A5</f>
        <v>2025</v>
      </c>
      <c r="B5" t="str">
        <f>Result_notebook_retravaill!B5</f>
        <v>Cobalt</v>
      </c>
      <c r="C5" t="str">
        <f>Result_notebook_retravaill!C5</f>
        <v>Canada Net-zero</v>
      </c>
      <c r="D5" t="str">
        <f>Result_notebook_retravaill!D5</f>
        <v>Production potential</v>
      </c>
      <c r="E5" t="str">
        <f>Result_notebook_retravaill!E5</f>
        <v>Current shares</v>
      </c>
      <c r="F5" t="str">
        <f>Result_notebook_retravaill!F5</f>
        <v>Expansion Extractive+Circularity</v>
      </c>
      <c r="G5">
        <f>Result_notebook_retravaill!G5</f>
        <v>9556.3203859726327</v>
      </c>
      <c r="H5" s="32">
        <f>IF(Result_notebook_retravaill!I5&gt;Result_notebook_retravaill!G5,Result_notebook_retravaill!I5/Result_notebook_retravaill!N5,Result_notebook_retravaill!H5)</f>
        <v>3850.4060559825398</v>
      </c>
      <c r="I5" s="32">
        <f>Result_notebook_retravaill!K5</f>
        <v>17868.503912137079</v>
      </c>
      <c r="J5" s="32">
        <f>MIN(G5,Result_notebook_retravaill!I5)</f>
        <v>1633.272280807462</v>
      </c>
      <c r="K5" s="32">
        <f>IF(Result_notebook_retravaill!I5&gt;Result_notebook_retravaill!G5,0,IF(Result_notebook_retravaill!I5+Result_notebook_retravaill!J5&gt;Result_notebook_retravaill!G5,Result_notebook_retravaill!G5-Result_notebook_retravaill!I5,Result_notebook_retravaill!J5))</f>
        <v>58.390396388808767</v>
      </c>
      <c r="L5" s="32">
        <f>IF(Result_notebook_retravaill!I5&gt;Result_notebook_retravaill!G5,0,IF(Result_notebook_retravaill!I5+Result_notebook_retravaill!J5&gt;Result_notebook_retravaill!G5,0,Result_notebook_retravaill!M5))</f>
        <v>7864.6577087763617</v>
      </c>
      <c r="M5" s="31">
        <f t="shared" si="0"/>
        <v>0</v>
      </c>
    </row>
    <row r="6" spans="1:14" x14ac:dyDescent="0.35">
      <c r="A6">
        <f>Result_notebook_retravaill!A6</f>
        <v>2025</v>
      </c>
      <c r="B6" t="str">
        <f>Result_notebook_retravaill!B6</f>
        <v>Cobalt</v>
      </c>
      <c r="C6" t="str">
        <f>Result_notebook_retravaill!C6</f>
        <v>Canada Net-zero</v>
      </c>
      <c r="D6" t="str">
        <f>Result_notebook_retravaill!D6</f>
        <v>Production potential</v>
      </c>
      <c r="E6" t="str">
        <f>Result_notebook_retravaill!E6</f>
        <v>100% CAN</v>
      </c>
      <c r="F6" t="str">
        <f>Result_notebook_retravaill!F6</f>
        <v>Integrated</v>
      </c>
      <c r="G6">
        <f>Result_notebook_retravaill!G6</f>
        <v>9556.3203859726327</v>
      </c>
      <c r="H6" s="32">
        <f>IF(Result_notebook_retravaill!I6&gt;Result_notebook_retravaill!G6,Result_notebook_retravaill!I6/Result_notebook_retravaill!N6,Result_notebook_retravaill!H6)</f>
        <v>3850.4060559825398</v>
      </c>
      <c r="I6" s="32">
        <f>Result_notebook_retravaill!K6</f>
        <v>17868.503912137079</v>
      </c>
      <c r="J6" s="32">
        <f>MIN(G6,Result_notebook_retravaill!I6)</f>
        <v>1691.6626771962719</v>
      </c>
      <c r="K6" s="32">
        <f>IF(Result_notebook_retravaill!I6&gt;Result_notebook_retravaill!G6,0,IF(Result_notebook_retravaill!I6+Result_notebook_retravaill!J6&gt;Result_notebook_retravaill!G6,Result_notebook_retravaill!G6-Result_notebook_retravaill!I6,Result_notebook_retravaill!J6))</f>
        <v>0</v>
      </c>
      <c r="L6" s="32">
        <f>IF(Result_notebook_retravaill!I6&gt;Result_notebook_retravaill!G6,0,IF(Result_notebook_retravaill!I6+Result_notebook_retravaill!J6&gt;Result_notebook_retravaill!G6,0,Result_notebook_retravaill!M6))</f>
        <v>7864.6577087763599</v>
      </c>
      <c r="M6" s="31">
        <f t="shared" si="0"/>
        <v>0</v>
      </c>
    </row>
    <row r="7" spans="1:14" x14ac:dyDescent="0.35">
      <c r="A7">
        <f>Result_notebook_retravaill!A7</f>
        <v>2025</v>
      </c>
      <c r="B7" t="str">
        <f>Result_notebook_retravaill!B7</f>
        <v>Cobalt</v>
      </c>
      <c r="C7" t="str">
        <f>Result_notebook_retravaill!C7</f>
        <v>Current Measures</v>
      </c>
      <c r="D7" t="str">
        <f>Result_notebook_retravaill!D7</f>
        <v>Existing production</v>
      </c>
      <c r="E7" t="str">
        <f>Result_notebook_retravaill!E7</f>
        <v>Current shares</v>
      </c>
      <c r="F7" t="str">
        <f>Result_notebook_retravaill!F7</f>
        <v>NIMBY</v>
      </c>
      <c r="G7">
        <f>Result_notebook_retravaill!G7</f>
        <v>8776.8728698047889</v>
      </c>
      <c r="H7" s="32">
        <f>IF(Result_notebook_retravaill!I7&gt;Result_notebook_retravaill!G7,Result_notebook_retravaill!I7/Result_notebook_retravaill!N7,Result_notebook_retravaill!H7)</f>
        <v>0</v>
      </c>
      <c r="I7" s="32">
        <f>Result_notebook_retravaill!K7</f>
        <v>19947.438340465429</v>
      </c>
      <c r="J7" s="32">
        <f>MIN(G7,Result_notebook_retravaill!I7)</f>
        <v>0</v>
      </c>
      <c r="K7" s="32">
        <f>IF(Result_notebook_retravaill!I7&gt;Result_notebook_retravaill!G7,0,IF(Result_notebook_retravaill!I7+Result_notebook_retravaill!J7&gt;Result_notebook_retravaill!G7,Result_notebook_retravaill!G7-Result_notebook_retravaill!I7,Result_notebook_retravaill!J7))</f>
        <v>0</v>
      </c>
      <c r="L7" s="32">
        <f>IF(Result_notebook_retravaill!I7&gt;Result_notebook_retravaill!G7,0,IF(Result_notebook_retravaill!I7+Result_notebook_retravaill!J7&gt;Result_notebook_retravaill!G7,0,Result_notebook_retravaill!M7))</f>
        <v>8776.8728698047889</v>
      </c>
      <c r="M7" s="31">
        <f t="shared" si="0"/>
        <v>0</v>
      </c>
    </row>
    <row r="8" spans="1:14" x14ac:dyDescent="0.35">
      <c r="A8">
        <f>Result_notebook_retravaill!A8</f>
        <v>2025</v>
      </c>
      <c r="B8" t="str">
        <f>Result_notebook_retravaill!B8</f>
        <v>Cobalt</v>
      </c>
      <c r="C8" t="str">
        <f>Result_notebook_retravaill!C8</f>
        <v>Current Measures</v>
      </c>
      <c r="D8" t="str">
        <f>Result_notebook_retravaill!D8</f>
        <v>Existing production</v>
      </c>
      <c r="E8" t="str">
        <f>Result_notebook_retravaill!E8</f>
        <v>Current shares</v>
      </c>
      <c r="F8" t="str">
        <f>Result_notebook_retravaill!F8</f>
        <v>Status Quo</v>
      </c>
      <c r="G8">
        <f>Result_notebook_retravaill!G8</f>
        <v>8776.8728698047889</v>
      </c>
      <c r="H8" s="32">
        <f>IF(Result_notebook_retravaill!I8&gt;Result_notebook_retravaill!G8,Result_notebook_retravaill!I8/Result_notebook_retravaill!N8,Result_notebook_retravaill!H8)</f>
        <v>3494</v>
      </c>
      <c r="I8" s="32">
        <f>Result_notebook_retravaill!K8</f>
        <v>16453.438340465429</v>
      </c>
      <c r="J8" s="32">
        <f>MIN(G8,Result_notebook_retravaill!I8)</f>
        <v>1482.0913083373639</v>
      </c>
      <c r="K8" s="32">
        <f>IF(Result_notebook_retravaill!I8&gt;Result_notebook_retravaill!G8,0,IF(Result_notebook_retravaill!I8+Result_notebook_retravaill!J8&gt;Result_notebook_retravaill!G8,Result_notebook_retravaill!G8-Result_notebook_retravaill!I8,Result_notebook_retravaill!J8))</f>
        <v>52.985592172937231</v>
      </c>
      <c r="L8" s="32">
        <f>IF(Result_notebook_retravaill!I8&gt;Result_notebook_retravaill!G8,0,IF(Result_notebook_retravaill!I8+Result_notebook_retravaill!J8&gt;Result_notebook_retravaill!G8,0,Result_notebook_retravaill!M8))</f>
        <v>7241.7959692944878</v>
      </c>
      <c r="M8" s="31">
        <f t="shared" si="0"/>
        <v>0</v>
      </c>
    </row>
    <row r="9" spans="1:14" x14ac:dyDescent="0.35">
      <c r="A9">
        <f>Result_notebook_retravaill!A9</f>
        <v>2025</v>
      </c>
      <c r="B9" t="str">
        <f>Result_notebook_retravaill!B9</f>
        <v>Cobalt</v>
      </c>
      <c r="C9" t="str">
        <f>Result_notebook_retravaill!C9</f>
        <v>Current Measures</v>
      </c>
      <c r="D9" t="str">
        <f>Result_notebook_retravaill!D9</f>
        <v>Production potential</v>
      </c>
      <c r="E9" t="str">
        <f>Result_notebook_retravaill!E9</f>
        <v>Current shares</v>
      </c>
      <c r="F9" t="str">
        <f>Result_notebook_retravaill!F9</f>
        <v>Expansion Extractive</v>
      </c>
      <c r="G9">
        <f>Result_notebook_retravaill!G9</f>
        <v>8776.8728698047889</v>
      </c>
      <c r="H9" s="32">
        <f>IF(Result_notebook_retravaill!I9&gt;Result_notebook_retravaill!G9,Result_notebook_retravaill!I9/Result_notebook_retravaill!N9,Result_notebook_retravaill!H9)</f>
        <v>3850.4060559825398</v>
      </c>
      <c r="I9" s="32">
        <f>Result_notebook_retravaill!K9</f>
        <v>16097.03228448289</v>
      </c>
      <c r="J9" s="32">
        <f>MIN(G9,Result_notebook_retravaill!I9)</f>
        <v>1633.272280807462</v>
      </c>
      <c r="K9" s="32">
        <f>IF(Result_notebook_retravaill!I9&gt;Result_notebook_retravaill!G9,0,IF(Result_notebook_retravaill!I9+Result_notebook_retravaill!J9&gt;Result_notebook_retravaill!G9,Result_notebook_retravaill!G9-Result_notebook_retravaill!I9,Result_notebook_retravaill!J9))</f>
        <v>58.390396388808767</v>
      </c>
      <c r="L9" s="32">
        <f>IF(Result_notebook_retravaill!I9&gt;Result_notebook_retravaill!G9,0,IF(Result_notebook_retravaill!I9+Result_notebook_retravaill!J9&gt;Result_notebook_retravaill!G9,0,Result_notebook_retravaill!M9))</f>
        <v>7085.2101926085179</v>
      </c>
      <c r="M9" s="31">
        <f t="shared" si="0"/>
        <v>0</v>
      </c>
    </row>
    <row r="10" spans="1:14" x14ac:dyDescent="0.35">
      <c r="A10">
        <f>Result_notebook_retravaill!A10</f>
        <v>2025</v>
      </c>
      <c r="B10" t="str">
        <f>Result_notebook_retravaill!B10</f>
        <v>Cobalt</v>
      </c>
      <c r="C10" t="str">
        <f>Result_notebook_retravaill!C10</f>
        <v>Current Measures</v>
      </c>
      <c r="D10" t="str">
        <f>Result_notebook_retravaill!D10</f>
        <v>Production potential</v>
      </c>
      <c r="E10" t="str">
        <f>Result_notebook_retravaill!E10</f>
        <v>Current shares</v>
      </c>
      <c r="F10" t="str">
        <f>Result_notebook_retravaill!F10</f>
        <v>Expansion Extractive+Circularity</v>
      </c>
      <c r="G10">
        <f>Result_notebook_retravaill!G10</f>
        <v>8776.8728698047889</v>
      </c>
      <c r="H10" s="32">
        <f>IF(Result_notebook_retravaill!I10&gt;Result_notebook_retravaill!G10,Result_notebook_retravaill!I10/Result_notebook_retravaill!N10,Result_notebook_retravaill!H10)</f>
        <v>3850.4060559825398</v>
      </c>
      <c r="I10" s="32">
        <f>Result_notebook_retravaill!K10</f>
        <v>16097.03228448289</v>
      </c>
      <c r="J10" s="32">
        <f>MIN(G10,Result_notebook_retravaill!I10)</f>
        <v>1633.272280807462</v>
      </c>
      <c r="K10" s="32">
        <f>IF(Result_notebook_retravaill!I10&gt;Result_notebook_retravaill!G10,0,IF(Result_notebook_retravaill!I10+Result_notebook_retravaill!J10&gt;Result_notebook_retravaill!G10,Result_notebook_retravaill!G10-Result_notebook_retravaill!I10,Result_notebook_retravaill!J10))</f>
        <v>58.390396388808767</v>
      </c>
      <c r="L10" s="32">
        <f>IF(Result_notebook_retravaill!I10&gt;Result_notebook_retravaill!G10,0,IF(Result_notebook_retravaill!I10+Result_notebook_retravaill!J10&gt;Result_notebook_retravaill!G10,0,Result_notebook_retravaill!M10))</f>
        <v>7085.2101926085179</v>
      </c>
      <c r="M10" s="31">
        <f t="shared" si="0"/>
        <v>0</v>
      </c>
    </row>
    <row r="11" spans="1:14" x14ac:dyDescent="0.35">
      <c r="A11">
        <f>Result_notebook_retravaill!A11</f>
        <v>2025</v>
      </c>
      <c r="B11" t="str">
        <f>Result_notebook_retravaill!B11</f>
        <v>Cobalt</v>
      </c>
      <c r="C11" t="str">
        <f>Result_notebook_retravaill!C11</f>
        <v>Current Measures</v>
      </c>
      <c r="D11" t="str">
        <f>Result_notebook_retravaill!D11</f>
        <v>Production potential</v>
      </c>
      <c r="E11" t="str">
        <f>Result_notebook_retravaill!E11</f>
        <v>100% CAN</v>
      </c>
      <c r="F11" t="str">
        <f>Result_notebook_retravaill!F11</f>
        <v>Integrated</v>
      </c>
      <c r="G11">
        <f>Result_notebook_retravaill!G11</f>
        <v>8776.8728698047889</v>
      </c>
      <c r="H11" s="32">
        <f>IF(Result_notebook_retravaill!I11&gt;Result_notebook_retravaill!G11,Result_notebook_retravaill!I11/Result_notebook_retravaill!N11,Result_notebook_retravaill!H11)</f>
        <v>3850.4060559825398</v>
      </c>
      <c r="I11" s="32">
        <f>Result_notebook_retravaill!K11</f>
        <v>16097.03228448289</v>
      </c>
      <c r="J11" s="32">
        <f>MIN(G11,Result_notebook_retravaill!I11)</f>
        <v>1691.6626771962719</v>
      </c>
      <c r="K11" s="32">
        <f>IF(Result_notebook_retravaill!I11&gt;Result_notebook_retravaill!G11,0,IF(Result_notebook_retravaill!I11+Result_notebook_retravaill!J11&gt;Result_notebook_retravaill!G11,Result_notebook_retravaill!G11-Result_notebook_retravaill!I11,Result_notebook_retravaill!J11))</f>
        <v>0</v>
      </c>
      <c r="L11" s="32">
        <f>IF(Result_notebook_retravaill!I11&gt;Result_notebook_retravaill!G11,0,IF(Result_notebook_retravaill!I11+Result_notebook_retravaill!J11&gt;Result_notebook_retravaill!G11,0,Result_notebook_retravaill!M11))</f>
        <v>7085.2101926085161</v>
      </c>
      <c r="M11" s="31">
        <f t="shared" si="0"/>
        <v>0</v>
      </c>
    </row>
    <row r="12" spans="1:14" x14ac:dyDescent="0.35">
      <c r="A12">
        <f>Result_notebook_retravaill!A12</f>
        <v>2025</v>
      </c>
      <c r="B12" t="str">
        <f>Result_notebook_retravaill!B12</f>
        <v>Cobalt</v>
      </c>
      <c r="C12" t="str">
        <f>Result_notebook_retravaill!C12</f>
        <v>Global Net-zero</v>
      </c>
      <c r="D12" t="str">
        <f>Result_notebook_retravaill!D12</f>
        <v>Existing production</v>
      </c>
      <c r="E12" t="str">
        <f>Result_notebook_retravaill!E12</f>
        <v>Current shares</v>
      </c>
      <c r="F12" t="str">
        <f>Result_notebook_retravaill!F12</f>
        <v>NIMBY</v>
      </c>
      <c r="G12">
        <f>Result_notebook_retravaill!G12</f>
        <v>9422.7255621447621</v>
      </c>
      <c r="H12" s="32">
        <f>IF(Result_notebook_retravaill!I12&gt;Result_notebook_retravaill!G12,Result_notebook_retravaill!I12/Result_notebook_retravaill!N12,Result_notebook_retravaill!H12)</f>
        <v>0</v>
      </c>
      <c r="I12" s="32">
        <f>Result_notebook_retravaill!K12</f>
        <v>21415.28536851082</v>
      </c>
      <c r="J12" s="32">
        <f>MIN(G12,Result_notebook_retravaill!I12)</f>
        <v>0</v>
      </c>
      <c r="K12" s="32">
        <f>IF(Result_notebook_retravaill!I12&gt;Result_notebook_retravaill!G12,0,IF(Result_notebook_retravaill!I12+Result_notebook_retravaill!J12&gt;Result_notebook_retravaill!G12,Result_notebook_retravaill!G12-Result_notebook_retravaill!I12,Result_notebook_retravaill!J12))</f>
        <v>0</v>
      </c>
      <c r="L12" s="32">
        <f>IF(Result_notebook_retravaill!I12&gt;Result_notebook_retravaill!G12,0,IF(Result_notebook_retravaill!I12+Result_notebook_retravaill!J12&gt;Result_notebook_retravaill!G12,0,Result_notebook_retravaill!M12))</f>
        <v>9422.7255621447621</v>
      </c>
      <c r="M12" s="31">
        <f t="shared" si="0"/>
        <v>0</v>
      </c>
    </row>
    <row r="13" spans="1:14" x14ac:dyDescent="0.35">
      <c r="A13">
        <f>Result_notebook_retravaill!A13</f>
        <v>2025</v>
      </c>
      <c r="B13" t="str">
        <f>Result_notebook_retravaill!B13</f>
        <v>Cobalt</v>
      </c>
      <c r="C13" t="str">
        <f>Result_notebook_retravaill!C13</f>
        <v>Global Net-zero</v>
      </c>
      <c r="D13" t="str">
        <f>Result_notebook_retravaill!D13</f>
        <v>Existing production</v>
      </c>
      <c r="E13" t="str">
        <f>Result_notebook_retravaill!E13</f>
        <v>Current shares</v>
      </c>
      <c r="F13" t="str">
        <f>Result_notebook_retravaill!F13</f>
        <v>Status Quo</v>
      </c>
      <c r="G13">
        <f>Result_notebook_retravaill!G13</f>
        <v>9422.7255621447621</v>
      </c>
      <c r="H13" s="32">
        <f>IF(Result_notebook_retravaill!I13&gt;Result_notebook_retravaill!G13,Result_notebook_retravaill!I13/Result_notebook_retravaill!N13,Result_notebook_retravaill!H13)</f>
        <v>3494</v>
      </c>
      <c r="I13" s="32">
        <f>Result_notebook_retravaill!K13</f>
        <v>17921.28536851082</v>
      </c>
      <c r="J13" s="32">
        <f>MIN(G13,Result_notebook_retravaill!I13)</f>
        <v>1482.0913083373639</v>
      </c>
      <c r="K13" s="32">
        <f>IF(Result_notebook_retravaill!I13&gt;Result_notebook_retravaill!G13,0,IF(Result_notebook_retravaill!I13+Result_notebook_retravaill!J13&gt;Result_notebook_retravaill!G13,Result_notebook_retravaill!G13-Result_notebook_retravaill!I13,Result_notebook_retravaill!J13))</f>
        <v>52.985592172937231</v>
      </c>
      <c r="L13" s="32">
        <f>IF(Result_notebook_retravaill!I13&gt;Result_notebook_retravaill!G13,0,IF(Result_notebook_retravaill!I13+Result_notebook_retravaill!J13&gt;Result_notebook_retravaill!G13,0,Result_notebook_retravaill!M13))</f>
        <v>7887.648661634461</v>
      </c>
      <c r="M13" s="31">
        <f t="shared" si="0"/>
        <v>0</v>
      </c>
    </row>
    <row r="14" spans="1:14" x14ac:dyDescent="0.35">
      <c r="A14">
        <f>Result_notebook_retravaill!A14</f>
        <v>2025</v>
      </c>
      <c r="B14" t="str">
        <f>Result_notebook_retravaill!B14</f>
        <v>Cobalt</v>
      </c>
      <c r="C14" t="str">
        <f>Result_notebook_retravaill!C14</f>
        <v>Global Net-zero</v>
      </c>
      <c r="D14" t="str">
        <f>Result_notebook_retravaill!D14</f>
        <v>Production potential</v>
      </c>
      <c r="E14" t="str">
        <f>Result_notebook_retravaill!E14</f>
        <v>Current shares</v>
      </c>
      <c r="F14" t="str">
        <f>Result_notebook_retravaill!F14</f>
        <v>Expansion Extractive</v>
      </c>
      <c r="G14">
        <f>Result_notebook_retravaill!G14</f>
        <v>9422.7255621447621</v>
      </c>
      <c r="H14" s="32">
        <f>IF(Result_notebook_retravaill!I14&gt;Result_notebook_retravaill!G14,Result_notebook_retravaill!I14/Result_notebook_retravaill!N14,Result_notebook_retravaill!H14)</f>
        <v>3850.4060559825398</v>
      </c>
      <c r="I14" s="32">
        <f>Result_notebook_retravaill!K14</f>
        <v>17564.879312528279</v>
      </c>
      <c r="J14" s="32">
        <f>MIN(G14,Result_notebook_retravaill!I14)</f>
        <v>1633.272280807462</v>
      </c>
      <c r="K14" s="32">
        <f>IF(Result_notebook_retravaill!I14&gt;Result_notebook_retravaill!G14,0,IF(Result_notebook_retravaill!I14+Result_notebook_retravaill!J14&gt;Result_notebook_retravaill!G14,Result_notebook_retravaill!G14-Result_notebook_retravaill!I14,Result_notebook_retravaill!J14))</f>
        <v>58.390396388808767</v>
      </c>
      <c r="L14" s="32">
        <f>IF(Result_notebook_retravaill!I14&gt;Result_notebook_retravaill!G14,0,IF(Result_notebook_retravaill!I14+Result_notebook_retravaill!J14&gt;Result_notebook_retravaill!G14,0,Result_notebook_retravaill!M14))</f>
        <v>7731.062884948491</v>
      </c>
      <c r="M14" s="31">
        <f t="shared" si="0"/>
        <v>0</v>
      </c>
    </row>
    <row r="15" spans="1:14" x14ac:dyDescent="0.35">
      <c r="A15">
        <f>Result_notebook_retravaill!A15</f>
        <v>2025</v>
      </c>
      <c r="B15" t="str">
        <f>Result_notebook_retravaill!B15</f>
        <v>Cobalt</v>
      </c>
      <c r="C15" t="str">
        <f>Result_notebook_retravaill!C15</f>
        <v>Global Net-zero</v>
      </c>
      <c r="D15" t="str">
        <f>Result_notebook_retravaill!D15</f>
        <v>Production potential</v>
      </c>
      <c r="E15" t="str">
        <f>Result_notebook_retravaill!E15</f>
        <v>Current shares</v>
      </c>
      <c r="F15" t="str">
        <f>Result_notebook_retravaill!F15</f>
        <v>Expansion Extractive+Circularity</v>
      </c>
      <c r="G15">
        <f>Result_notebook_retravaill!G15</f>
        <v>9422.7255621447621</v>
      </c>
      <c r="H15" s="32">
        <f>IF(Result_notebook_retravaill!I15&gt;Result_notebook_retravaill!G15,Result_notebook_retravaill!I15/Result_notebook_retravaill!N15,Result_notebook_retravaill!H15)</f>
        <v>3850.4060559825398</v>
      </c>
      <c r="I15" s="32">
        <f>Result_notebook_retravaill!K15</f>
        <v>17564.879312528279</v>
      </c>
      <c r="J15" s="32">
        <f>MIN(G15,Result_notebook_retravaill!I15)</f>
        <v>1633.272280807462</v>
      </c>
      <c r="K15" s="32">
        <f>IF(Result_notebook_retravaill!I15&gt;Result_notebook_retravaill!G15,0,IF(Result_notebook_retravaill!I15+Result_notebook_retravaill!J15&gt;Result_notebook_retravaill!G15,Result_notebook_retravaill!G15-Result_notebook_retravaill!I15,Result_notebook_retravaill!J15))</f>
        <v>58.390396388808767</v>
      </c>
      <c r="L15" s="32">
        <f>IF(Result_notebook_retravaill!I15&gt;Result_notebook_retravaill!G15,0,IF(Result_notebook_retravaill!I15+Result_notebook_retravaill!J15&gt;Result_notebook_retravaill!G15,0,Result_notebook_retravaill!M15))</f>
        <v>7731.062884948491</v>
      </c>
      <c r="M15" s="31">
        <f t="shared" si="0"/>
        <v>0</v>
      </c>
    </row>
    <row r="16" spans="1:14" x14ac:dyDescent="0.35">
      <c r="A16">
        <f>Result_notebook_retravaill!A16</f>
        <v>2025</v>
      </c>
      <c r="B16" t="str">
        <f>Result_notebook_retravaill!B16</f>
        <v>Cobalt</v>
      </c>
      <c r="C16" t="str">
        <f>Result_notebook_retravaill!C16</f>
        <v>Global Net-zero</v>
      </c>
      <c r="D16" t="str">
        <f>Result_notebook_retravaill!D16</f>
        <v>Production potential</v>
      </c>
      <c r="E16" t="str">
        <f>Result_notebook_retravaill!E16</f>
        <v>100% CAN</v>
      </c>
      <c r="F16" t="str">
        <f>Result_notebook_retravaill!F16</f>
        <v>Integrated</v>
      </c>
      <c r="G16">
        <f>Result_notebook_retravaill!G16</f>
        <v>9422.7255621447621</v>
      </c>
      <c r="H16" s="32">
        <f>IF(Result_notebook_retravaill!I16&gt;Result_notebook_retravaill!G16,Result_notebook_retravaill!I16/Result_notebook_retravaill!N16,Result_notebook_retravaill!H16)</f>
        <v>3850.4060559825398</v>
      </c>
      <c r="I16" s="32">
        <f>Result_notebook_retravaill!K16</f>
        <v>17564.879312528279</v>
      </c>
      <c r="J16" s="32">
        <f>MIN(G16,Result_notebook_retravaill!I16)</f>
        <v>1691.6626771962719</v>
      </c>
      <c r="K16" s="32">
        <f>IF(Result_notebook_retravaill!I16&gt;Result_notebook_retravaill!G16,0,IF(Result_notebook_retravaill!I16+Result_notebook_retravaill!J16&gt;Result_notebook_retravaill!G16,Result_notebook_retravaill!G16-Result_notebook_retravaill!I16,Result_notebook_retravaill!J16))</f>
        <v>0</v>
      </c>
      <c r="L16" s="32">
        <f>IF(Result_notebook_retravaill!I16&gt;Result_notebook_retravaill!G16,0,IF(Result_notebook_retravaill!I16+Result_notebook_retravaill!J16&gt;Result_notebook_retravaill!G16,0,Result_notebook_retravaill!M16))</f>
        <v>7731.0628849484892</v>
      </c>
      <c r="M16" s="31">
        <f t="shared" si="0"/>
        <v>0</v>
      </c>
    </row>
    <row r="17" spans="1:13" x14ac:dyDescent="0.35">
      <c r="A17">
        <f>Result_notebook_retravaill!A17</f>
        <v>2025</v>
      </c>
      <c r="B17" t="str">
        <f>Result_notebook_retravaill!B17</f>
        <v>Copper</v>
      </c>
      <c r="C17" t="str">
        <f>Result_notebook_retravaill!C17</f>
        <v>Canada Net-zero</v>
      </c>
      <c r="D17" t="str">
        <f>Result_notebook_retravaill!D17</f>
        <v>Existing production</v>
      </c>
      <c r="E17" t="str">
        <f>Result_notebook_retravaill!E17</f>
        <v>Current shares</v>
      </c>
      <c r="F17" t="str">
        <f>Result_notebook_retravaill!F17</f>
        <v>NIMBY</v>
      </c>
      <c r="G17">
        <f>Result_notebook_retravaill!G17</f>
        <v>816152.33242339652</v>
      </c>
      <c r="H17" s="32">
        <f>IF(Result_notebook_retravaill!I17&gt;Result_notebook_retravaill!G17,Result_notebook_retravaill!I17/Result_notebook_retravaill!N17,Result_notebook_retravaill!H17)</f>
        <v>0</v>
      </c>
      <c r="I17" s="32">
        <f>Result_notebook_retravaill!K17</f>
        <v>983316.06316071877</v>
      </c>
      <c r="J17" s="32">
        <f>MIN(G17,Result_notebook_retravaill!I17)</f>
        <v>0</v>
      </c>
      <c r="K17" s="32">
        <f>IF(Result_notebook_retravaill!I17&gt;Result_notebook_retravaill!G17,0,IF(Result_notebook_retravaill!I17+Result_notebook_retravaill!J17&gt;Result_notebook_retravaill!G17,Result_notebook_retravaill!G17-Result_notebook_retravaill!I17,Result_notebook_retravaill!J17))</f>
        <v>0</v>
      </c>
      <c r="L17" s="32">
        <f>IF(Result_notebook_retravaill!I17&gt;Result_notebook_retravaill!G17,0,IF(Result_notebook_retravaill!I17+Result_notebook_retravaill!J17&gt;Result_notebook_retravaill!G17,0,Result_notebook_retravaill!M17))</f>
        <v>816152.33242339652</v>
      </c>
      <c r="M17" s="31">
        <f t="shared" si="0"/>
        <v>0</v>
      </c>
    </row>
    <row r="18" spans="1:13" x14ac:dyDescent="0.35">
      <c r="A18">
        <f>Result_notebook_retravaill!A18</f>
        <v>2025</v>
      </c>
      <c r="B18" t="str">
        <f>Result_notebook_retravaill!B18</f>
        <v>Copper</v>
      </c>
      <c r="C18" t="str">
        <f>Result_notebook_retravaill!C18</f>
        <v>Canada Net-zero</v>
      </c>
      <c r="D18" t="str">
        <f>Result_notebook_retravaill!D18</f>
        <v>Existing production</v>
      </c>
      <c r="E18" t="str">
        <f>Result_notebook_retravaill!E18</f>
        <v>Current shares</v>
      </c>
      <c r="F18" t="str">
        <f>Result_notebook_retravaill!F18</f>
        <v>Status Quo</v>
      </c>
      <c r="G18">
        <f>Result_notebook_retravaill!G18</f>
        <v>816152.33242339652</v>
      </c>
      <c r="H18" s="32">
        <f>IF(Result_notebook_retravaill!I18&gt;Result_notebook_retravaill!G18,Result_notebook_retravaill!I18/Result_notebook_retravaill!N18,Result_notebook_retravaill!H18)</f>
        <v>483888</v>
      </c>
      <c r="I18" s="32">
        <f>Result_notebook_retravaill!K18</f>
        <v>499428.06316071883</v>
      </c>
      <c r="J18" s="32">
        <f>MIN(G18,Result_notebook_retravaill!I18)</f>
        <v>254335.73656839409</v>
      </c>
      <c r="K18" s="32">
        <f>IF(Result_notebook_retravaill!I18&gt;Result_notebook_retravaill!G18,0,IF(Result_notebook_retravaill!I18+Result_notebook_retravaill!J18&gt;Result_notebook_retravaill!G18,Result_notebook_retravaill!G18-Result_notebook_retravaill!I18,Result_notebook_retravaill!J18))</f>
        <v>149587.72105872436</v>
      </c>
      <c r="L18" s="32">
        <f>IF(Result_notebook_retravaill!I18&gt;Result_notebook_retravaill!G18,0,IF(Result_notebook_retravaill!I18+Result_notebook_retravaill!J18&gt;Result_notebook_retravaill!G18,0,Result_notebook_retravaill!M18))</f>
        <v>412228.87479627819</v>
      </c>
      <c r="M18" s="31">
        <f t="shared" si="0"/>
        <v>0</v>
      </c>
    </row>
    <row r="19" spans="1:13" x14ac:dyDescent="0.35">
      <c r="A19">
        <f>Result_notebook_retravaill!A19</f>
        <v>2025</v>
      </c>
      <c r="B19" t="str">
        <f>Result_notebook_retravaill!B19</f>
        <v>Copper</v>
      </c>
      <c r="C19" t="str">
        <f>Result_notebook_retravaill!C19</f>
        <v>Canada Net-zero</v>
      </c>
      <c r="D19" t="str">
        <f>Result_notebook_retravaill!D19</f>
        <v>Production potential</v>
      </c>
      <c r="E19" t="str">
        <f>Result_notebook_retravaill!E19</f>
        <v>Current shares</v>
      </c>
      <c r="F19" t="str">
        <f>Result_notebook_retravaill!F19</f>
        <v>Expansion Extractive</v>
      </c>
      <c r="G19">
        <f>Result_notebook_retravaill!G19</f>
        <v>816152.33242339652</v>
      </c>
      <c r="H19" s="32">
        <f>IF(Result_notebook_retravaill!I19&gt;Result_notebook_retravaill!G19,Result_notebook_retravaill!I19/Result_notebook_retravaill!N19,Result_notebook_retravaill!H19)</f>
        <v>534750.25845525716</v>
      </c>
      <c r="I19" s="32">
        <f>Result_notebook_retravaill!K19</f>
        <v>448565.8047054616</v>
      </c>
      <c r="J19" s="32">
        <f>MIN(G19,Result_notebook_retravaill!I19)</f>
        <v>281069.38147744298</v>
      </c>
      <c r="K19" s="32">
        <f>IF(Result_notebook_retravaill!I19&gt;Result_notebook_retravaill!G19,0,IF(Result_notebook_retravaill!I19+Result_notebook_retravaill!J19&gt;Result_notebook_retravaill!G19,Result_notebook_retravaill!G19-Result_notebook_retravaill!I19,Result_notebook_retravaill!J19))</f>
        <v>165311.13087715703</v>
      </c>
      <c r="L19" s="32">
        <f>IF(Result_notebook_retravaill!I19&gt;Result_notebook_retravaill!G19,0,IF(Result_notebook_retravaill!I19+Result_notebook_retravaill!J19&gt;Result_notebook_retravaill!G19,0,Result_notebook_retravaill!M19))</f>
        <v>369771.82006879657</v>
      </c>
      <c r="M19" s="31">
        <f t="shared" si="0"/>
        <v>0</v>
      </c>
    </row>
    <row r="20" spans="1:13" x14ac:dyDescent="0.35">
      <c r="A20">
        <f>Result_notebook_retravaill!A20</f>
        <v>2025</v>
      </c>
      <c r="B20" t="str">
        <f>Result_notebook_retravaill!B20</f>
        <v>Copper</v>
      </c>
      <c r="C20" t="str">
        <f>Result_notebook_retravaill!C20</f>
        <v>Canada Net-zero</v>
      </c>
      <c r="D20" t="str">
        <f>Result_notebook_retravaill!D20</f>
        <v>Production potential</v>
      </c>
      <c r="E20" t="str">
        <f>Result_notebook_retravaill!E20</f>
        <v>Current shares</v>
      </c>
      <c r="F20" t="str">
        <f>Result_notebook_retravaill!F20</f>
        <v>Expansion Extractive+Circularity</v>
      </c>
      <c r="G20">
        <f>Result_notebook_retravaill!G20</f>
        <v>816152.33242339652</v>
      </c>
      <c r="H20" s="32">
        <f>IF(Result_notebook_retravaill!I20&gt;Result_notebook_retravaill!G20,Result_notebook_retravaill!I20/Result_notebook_retravaill!N20,Result_notebook_retravaill!H20)</f>
        <v>534750.25845525716</v>
      </c>
      <c r="I20" s="32">
        <f>Result_notebook_retravaill!K20</f>
        <v>448565.8047054616</v>
      </c>
      <c r="J20" s="32">
        <f>MIN(G20,Result_notebook_retravaill!I20)</f>
        <v>281069.38147744298</v>
      </c>
      <c r="K20" s="32">
        <f>IF(Result_notebook_retravaill!I20&gt;Result_notebook_retravaill!G20,0,IF(Result_notebook_retravaill!I20+Result_notebook_retravaill!J20&gt;Result_notebook_retravaill!G20,Result_notebook_retravaill!G20-Result_notebook_retravaill!I20,Result_notebook_retravaill!J20))</f>
        <v>165311.13087715703</v>
      </c>
      <c r="L20" s="32">
        <f>IF(Result_notebook_retravaill!I20&gt;Result_notebook_retravaill!G20,0,IF(Result_notebook_retravaill!I20+Result_notebook_retravaill!J20&gt;Result_notebook_retravaill!G20,0,Result_notebook_retravaill!M20))</f>
        <v>369771.82006879657</v>
      </c>
      <c r="M20" s="31">
        <f t="shared" si="0"/>
        <v>0</v>
      </c>
    </row>
    <row r="21" spans="1:13" x14ac:dyDescent="0.35">
      <c r="A21">
        <f>Result_notebook_retravaill!A21</f>
        <v>2025</v>
      </c>
      <c r="B21" t="str">
        <f>Result_notebook_retravaill!B21</f>
        <v>Copper</v>
      </c>
      <c r="C21" t="str">
        <f>Result_notebook_retravaill!C21</f>
        <v>Canada Net-zero</v>
      </c>
      <c r="D21" t="str">
        <f>Result_notebook_retravaill!D21</f>
        <v>Production potential</v>
      </c>
      <c r="E21" t="str">
        <f>Result_notebook_retravaill!E21</f>
        <v>100% CAN</v>
      </c>
      <c r="F21" t="str">
        <f>Result_notebook_retravaill!F21</f>
        <v>Integrated</v>
      </c>
      <c r="G21">
        <f>Result_notebook_retravaill!G21</f>
        <v>816152.33242339652</v>
      </c>
      <c r="H21" s="32">
        <f>IF(Result_notebook_retravaill!I21&gt;Result_notebook_retravaill!G21,Result_notebook_retravaill!I21/Result_notebook_retravaill!N21,Result_notebook_retravaill!H21)</f>
        <v>534750.25845525716</v>
      </c>
      <c r="I21" s="32">
        <f>Result_notebook_retravaill!K21</f>
        <v>448565.8047054616</v>
      </c>
      <c r="J21" s="32">
        <f>MIN(G21,Result_notebook_retravaill!I21)</f>
        <v>446380.51235460019</v>
      </c>
      <c r="K21" s="32">
        <f>IF(Result_notebook_retravaill!I21&gt;Result_notebook_retravaill!G21,0,IF(Result_notebook_retravaill!I21+Result_notebook_retravaill!J21&gt;Result_notebook_retravaill!G21,Result_notebook_retravaill!G21-Result_notebook_retravaill!I21,Result_notebook_retravaill!J21))</f>
        <v>0</v>
      </c>
      <c r="L21" s="32">
        <f>IF(Result_notebook_retravaill!I21&gt;Result_notebook_retravaill!G21,0,IF(Result_notebook_retravaill!I21+Result_notebook_retravaill!J21&gt;Result_notebook_retravaill!G21,0,Result_notebook_retravaill!M21))</f>
        <v>369771.82006879628</v>
      </c>
      <c r="M21" s="31">
        <f t="shared" si="0"/>
        <v>0</v>
      </c>
    </row>
    <row r="22" spans="1:13" x14ac:dyDescent="0.35">
      <c r="A22">
        <f>Result_notebook_retravaill!A22</f>
        <v>2025</v>
      </c>
      <c r="B22" t="str">
        <f>Result_notebook_retravaill!B22</f>
        <v>Copper</v>
      </c>
      <c r="C22" t="str">
        <f>Result_notebook_retravaill!C22</f>
        <v>Current Measures</v>
      </c>
      <c r="D22" t="str">
        <f>Result_notebook_retravaill!D22</f>
        <v>Existing production</v>
      </c>
      <c r="E22" t="str">
        <f>Result_notebook_retravaill!E22</f>
        <v>Current shares</v>
      </c>
      <c r="F22" t="str">
        <f>Result_notebook_retravaill!F22</f>
        <v>NIMBY</v>
      </c>
      <c r="G22">
        <f>Result_notebook_retravaill!G22</f>
        <v>825658.90499835368</v>
      </c>
      <c r="H22" s="32">
        <f>IF(Result_notebook_retravaill!I22&gt;Result_notebook_retravaill!G22,Result_notebook_retravaill!I22/Result_notebook_retravaill!N22,Result_notebook_retravaill!H22)</f>
        <v>0</v>
      </c>
      <c r="I22" s="32">
        <f>Result_notebook_retravaill!K22</f>
        <v>994769.7650582575</v>
      </c>
      <c r="J22" s="32">
        <f>MIN(G22,Result_notebook_retravaill!I22)</f>
        <v>0</v>
      </c>
      <c r="K22" s="32">
        <f>IF(Result_notebook_retravaill!I22&gt;Result_notebook_retravaill!G22,0,IF(Result_notebook_retravaill!I22+Result_notebook_retravaill!J22&gt;Result_notebook_retravaill!G22,Result_notebook_retravaill!G22-Result_notebook_retravaill!I22,Result_notebook_retravaill!J22))</f>
        <v>0</v>
      </c>
      <c r="L22" s="32">
        <f>IF(Result_notebook_retravaill!I22&gt;Result_notebook_retravaill!G22,0,IF(Result_notebook_retravaill!I22+Result_notebook_retravaill!J22&gt;Result_notebook_retravaill!G22,0,Result_notebook_retravaill!M22))</f>
        <v>825658.90499835368</v>
      </c>
      <c r="M22" s="31">
        <f t="shared" si="0"/>
        <v>0</v>
      </c>
    </row>
    <row r="23" spans="1:13" x14ac:dyDescent="0.35">
      <c r="A23">
        <f>Result_notebook_retravaill!A23</f>
        <v>2025</v>
      </c>
      <c r="B23" t="str">
        <f>Result_notebook_retravaill!B23</f>
        <v>Copper</v>
      </c>
      <c r="C23" t="str">
        <f>Result_notebook_retravaill!C23</f>
        <v>Current Measures</v>
      </c>
      <c r="D23" t="str">
        <f>Result_notebook_retravaill!D23</f>
        <v>Existing production</v>
      </c>
      <c r="E23" t="str">
        <f>Result_notebook_retravaill!E23</f>
        <v>Current shares</v>
      </c>
      <c r="F23" t="str">
        <f>Result_notebook_retravaill!F23</f>
        <v>Status Quo</v>
      </c>
      <c r="G23">
        <f>Result_notebook_retravaill!G23</f>
        <v>825658.90499835368</v>
      </c>
      <c r="H23" s="32">
        <f>IF(Result_notebook_retravaill!I23&gt;Result_notebook_retravaill!G23,Result_notebook_retravaill!I23/Result_notebook_retravaill!N23,Result_notebook_retravaill!H23)</f>
        <v>483888</v>
      </c>
      <c r="I23" s="32">
        <f>Result_notebook_retravaill!K23</f>
        <v>510881.7650582575</v>
      </c>
      <c r="J23" s="32">
        <f>MIN(G23,Result_notebook_retravaill!I23)</f>
        <v>254335.73656839409</v>
      </c>
      <c r="K23" s="32">
        <f>IF(Result_notebook_retravaill!I23&gt;Result_notebook_retravaill!G23,0,IF(Result_notebook_retravaill!I23+Result_notebook_retravaill!J23&gt;Result_notebook_retravaill!G23,Result_notebook_retravaill!G23-Result_notebook_retravaill!I23,Result_notebook_retravaill!J23))</f>
        <v>149587.72105872436</v>
      </c>
      <c r="L23" s="32">
        <f>IF(Result_notebook_retravaill!I23&gt;Result_notebook_retravaill!G23,0,IF(Result_notebook_retravaill!I23+Result_notebook_retravaill!J23&gt;Result_notebook_retravaill!G23,0,Result_notebook_retravaill!M23))</f>
        <v>421735.44737123523</v>
      </c>
      <c r="M23" s="31">
        <f t="shared" si="0"/>
        <v>0</v>
      </c>
    </row>
    <row r="24" spans="1:13" x14ac:dyDescent="0.35">
      <c r="A24">
        <f>Result_notebook_retravaill!A24</f>
        <v>2025</v>
      </c>
      <c r="B24" t="str">
        <f>Result_notebook_retravaill!B24</f>
        <v>Copper</v>
      </c>
      <c r="C24" t="str">
        <f>Result_notebook_retravaill!C24</f>
        <v>Current Measures</v>
      </c>
      <c r="D24" t="str">
        <f>Result_notebook_retravaill!D24</f>
        <v>Production potential</v>
      </c>
      <c r="E24" t="str">
        <f>Result_notebook_retravaill!E24</f>
        <v>Current shares</v>
      </c>
      <c r="F24" t="str">
        <f>Result_notebook_retravaill!F24</f>
        <v>Expansion Extractive</v>
      </c>
      <c r="G24">
        <f>Result_notebook_retravaill!G24</f>
        <v>825658.90499835368</v>
      </c>
      <c r="H24" s="32">
        <f>IF(Result_notebook_retravaill!I24&gt;Result_notebook_retravaill!G24,Result_notebook_retravaill!I24/Result_notebook_retravaill!N24,Result_notebook_retravaill!H24)</f>
        <v>534750.25845525716</v>
      </c>
      <c r="I24" s="32">
        <f>Result_notebook_retravaill!K24</f>
        <v>460019.50660300028</v>
      </c>
      <c r="J24" s="32">
        <f>MIN(G24,Result_notebook_retravaill!I24)</f>
        <v>281069.38147744298</v>
      </c>
      <c r="K24" s="32">
        <f>IF(Result_notebook_retravaill!I24&gt;Result_notebook_retravaill!G24,0,IF(Result_notebook_retravaill!I24+Result_notebook_retravaill!J24&gt;Result_notebook_retravaill!G24,Result_notebook_retravaill!G24-Result_notebook_retravaill!I24,Result_notebook_retravaill!J24))</f>
        <v>165311.13087715703</v>
      </c>
      <c r="L24" s="32">
        <f>IF(Result_notebook_retravaill!I24&gt;Result_notebook_retravaill!G24,0,IF(Result_notebook_retravaill!I24+Result_notebook_retravaill!J24&gt;Result_notebook_retravaill!G24,0,Result_notebook_retravaill!M24))</f>
        <v>379278.39264375361</v>
      </c>
      <c r="M24" s="31">
        <f t="shared" si="0"/>
        <v>0</v>
      </c>
    </row>
    <row r="25" spans="1:13" x14ac:dyDescent="0.35">
      <c r="A25">
        <f>Result_notebook_retravaill!A25</f>
        <v>2025</v>
      </c>
      <c r="B25" t="str">
        <f>Result_notebook_retravaill!B25</f>
        <v>Copper</v>
      </c>
      <c r="C25" t="str">
        <f>Result_notebook_retravaill!C25</f>
        <v>Current Measures</v>
      </c>
      <c r="D25" t="str">
        <f>Result_notebook_retravaill!D25</f>
        <v>Production potential</v>
      </c>
      <c r="E25" t="str">
        <f>Result_notebook_retravaill!E25</f>
        <v>Current shares</v>
      </c>
      <c r="F25" t="str">
        <f>Result_notebook_retravaill!F25</f>
        <v>Expansion Extractive+Circularity</v>
      </c>
      <c r="G25">
        <f>Result_notebook_retravaill!G25</f>
        <v>825658.90499835368</v>
      </c>
      <c r="H25" s="32">
        <f>IF(Result_notebook_retravaill!I25&gt;Result_notebook_retravaill!G25,Result_notebook_retravaill!I25/Result_notebook_retravaill!N25,Result_notebook_retravaill!H25)</f>
        <v>534750.25845525716</v>
      </c>
      <c r="I25" s="32">
        <f>Result_notebook_retravaill!K25</f>
        <v>460019.50660300028</v>
      </c>
      <c r="J25" s="32">
        <f>MIN(G25,Result_notebook_retravaill!I25)</f>
        <v>281069.38147744298</v>
      </c>
      <c r="K25" s="32">
        <f>IF(Result_notebook_retravaill!I25&gt;Result_notebook_retravaill!G25,0,IF(Result_notebook_retravaill!I25+Result_notebook_retravaill!J25&gt;Result_notebook_retravaill!G25,Result_notebook_retravaill!G25-Result_notebook_retravaill!I25,Result_notebook_retravaill!J25))</f>
        <v>165311.13087715703</v>
      </c>
      <c r="L25" s="32">
        <f>IF(Result_notebook_retravaill!I25&gt;Result_notebook_retravaill!G25,0,IF(Result_notebook_retravaill!I25+Result_notebook_retravaill!J25&gt;Result_notebook_retravaill!G25,0,Result_notebook_retravaill!M25))</f>
        <v>379278.39264375361</v>
      </c>
      <c r="M25" s="31">
        <f t="shared" si="0"/>
        <v>0</v>
      </c>
    </row>
    <row r="26" spans="1:13" x14ac:dyDescent="0.35">
      <c r="A26">
        <f>Result_notebook_retravaill!A26</f>
        <v>2025</v>
      </c>
      <c r="B26" t="str">
        <f>Result_notebook_retravaill!B26</f>
        <v>Copper</v>
      </c>
      <c r="C26" t="str">
        <f>Result_notebook_retravaill!C26</f>
        <v>Current Measures</v>
      </c>
      <c r="D26" t="str">
        <f>Result_notebook_retravaill!D26</f>
        <v>Production potential</v>
      </c>
      <c r="E26" t="str">
        <f>Result_notebook_retravaill!E26</f>
        <v>100% CAN</v>
      </c>
      <c r="F26" t="str">
        <f>Result_notebook_retravaill!F26</f>
        <v>Integrated</v>
      </c>
      <c r="G26">
        <f>Result_notebook_retravaill!G26</f>
        <v>825658.90499835368</v>
      </c>
      <c r="H26" s="32">
        <f>IF(Result_notebook_retravaill!I26&gt;Result_notebook_retravaill!G26,Result_notebook_retravaill!I26/Result_notebook_retravaill!N26,Result_notebook_retravaill!H26)</f>
        <v>534750.25845525716</v>
      </c>
      <c r="I26" s="32">
        <f>Result_notebook_retravaill!K26</f>
        <v>460019.50660300028</v>
      </c>
      <c r="J26" s="32">
        <f>MIN(G26,Result_notebook_retravaill!I26)</f>
        <v>446380.51235460019</v>
      </c>
      <c r="K26" s="32">
        <f>IF(Result_notebook_retravaill!I26&gt;Result_notebook_retravaill!G26,0,IF(Result_notebook_retravaill!I26+Result_notebook_retravaill!J26&gt;Result_notebook_retravaill!G26,Result_notebook_retravaill!G26-Result_notebook_retravaill!I26,Result_notebook_retravaill!J26))</f>
        <v>0</v>
      </c>
      <c r="L26" s="32">
        <f>IF(Result_notebook_retravaill!I26&gt;Result_notebook_retravaill!G26,0,IF(Result_notebook_retravaill!I26+Result_notebook_retravaill!J26&gt;Result_notebook_retravaill!G26,0,Result_notebook_retravaill!M26))</f>
        <v>379278.39264375338</v>
      </c>
      <c r="M26" s="31">
        <f t="shared" si="0"/>
        <v>0</v>
      </c>
    </row>
    <row r="27" spans="1:13" x14ac:dyDescent="0.35">
      <c r="A27">
        <f>Result_notebook_retravaill!A27</f>
        <v>2025</v>
      </c>
      <c r="B27" t="str">
        <f>Result_notebook_retravaill!B27</f>
        <v>Copper</v>
      </c>
      <c r="C27" t="str">
        <f>Result_notebook_retravaill!C27</f>
        <v>Global Net-zero</v>
      </c>
      <c r="D27" t="str">
        <f>Result_notebook_retravaill!D27</f>
        <v>Existing production</v>
      </c>
      <c r="E27" t="str">
        <f>Result_notebook_retravaill!E27</f>
        <v>Current shares</v>
      </c>
      <c r="F27" t="str">
        <f>Result_notebook_retravaill!F27</f>
        <v>NIMBY</v>
      </c>
      <c r="G27">
        <f>Result_notebook_retravaill!G27</f>
        <v>813205.98217637825</v>
      </c>
      <c r="H27" s="32">
        <f>IF(Result_notebook_retravaill!I27&gt;Result_notebook_retravaill!G27,Result_notebook_retravaill!I27/Result_notebook_retravaill!N27,Result_notebook_retravaill!H27)</f>
        <v>0</v>
      </c>
      <c r="I27" s="32">
        <f>Result_notebook_retravaill!K27</f>
        <v>979766.24358599796</v>
      </c>
      <c r="J27" s="32">
        <f>MIN(G27,Result_notebook_retravaill!I27)</f>
        <v>0</v>
      </c>
      <c r="K27" s="32">
        <f>IF(Result_notebook_retravaill!I27&gt;Result_notebook_retravaill!G27,0,IF(Result_notebook_retravaill!I27+Result_notebook_retravaill!J27&gt;Result_notebook_retravaill!G27,Result_notebook_retravaill!G27-Result_notebook_retravaill!I27,Result_notebook_retravaill!J27))</f>
        <v>0</v>
      </c>
      <c r="L27" s="32">
        <f>IF(Result_notebook_retravaill!I27&gt;Result_notebook_retravaill!G27,0,IF(Result_notebook_retravaill!I27+Result_notebook_retravaill!J27&gt;Result_notebook_retravaill!G27,0,Result_notebook_retravaill!M27))</f>
        <v>813205.98217637825</v>
      </c>
      <c r="M27" s="31">
        <f t="shared" si="0"/>
        <v>0</v>
      </c>
    </row>
    <row r="28" spans="1:13" x14ac:dyDescent="0.35">
      <c r="A28">
        <f>Result_notebook_retravaill!A28</f>
        <v>2025</v>
      </c>
      <c r="B28" t="str">
        <f>Result_notebook_retravaill!B28</f>
        <v>Copper</v>
      </c>
      <c r="C28" t="str">
        <f>Result_notebook_retravaill!C28</f>
        <v>Global Net-zero</v>
      </c>
      <c r="D28" t="str">
        <f>Result_notebook_retravaill!D28</f>
        <v>Existing production</v>
      </c>
      <c r="E28" t="str">
        <f>Result_notebook_retravaill!E28</f>
        <v>Current shares</v>
      </c>
      <c r="F28" t="str">
        <f>Result_notebook_retravaill!F28</f>
        <v>Status Quo</v>
      </c>
      <c r="G28">
        <f>Result_notebook_retravaill!G28</f>
        <v>813205.98217637825</v>
      </c>
      <c r="H28" s="32">
        <f>IF(Result_notebook_retravaill!I28&gt;Result_notebook_retravaill!G28,Result_notebook_retravaill!I28/Result_notebook_retravaill!N28,Result_notebook_retravaill!H28)</f>
        <v>483888</v>
      </c>
      <c r="I28" s="32">
        <f>Result_notebook_retravaill!K28</f>
        <v>495878.24358599802</v>
      </c>
      <c r="J28" s="32">
        <f>MIN(G28,Result_notebook_retravaill!I28)</f>
        <v>254335.73656839409</v>
      </c>
      <c r="K28" s="32">
        <f>IF(Result_notebook_retravaill!I28&gt;Result_notebook_retravaill!G28,0,IF(Result_notebook_retravaill!I28+Result_notebook_retravaill!J28&gt;Result_notebook_retravaill!G28,Result_notebook_retravaill!G28-Result_notebook_retravaill!I28,Result_notebook_retravaill!J28))</f>
        <v>149587.72105872436</v>
      </c>
      <c r="L28" s="32">
        <f>IF(Result_notebook_retravaill!I28&gt;Result_notebook_retravaill!G28,0,IF(Result_notebook_retravaill!I28+Result_notebook_retravaill!J28&gt;Result_notebook_retravaill!G28,0,Result_notebook_retravaill!M28))</f>
        <v>409282.52454925992</v>
      </c>
      <c r="M28" s="31">
        <f t="shared" si="0"/>
        <v>0</v>
      </c>
    </row>
    <row r="29" spans="1:13" x14ac:dyDescent="0.35">
      <c r="A29">
        <f>Result_notebook_retravaill!A29</f>
        <v>2025</v>
      </c>
      <c r="B29" t="str">
        <f>Result_notebook_retravaill!B29</f>
        <v>Copper</v>
      </c>
      <c r="C29" t="str">
        <f>Result_notebook_retravaill!C29</f>
        <v>Global Net-zero</v>
      </c>
      <c r="D29" t="str">
        <f>Result_notebook_retravaill!D29</f>
        <v>Production potential</v>
      </c>
      <c r="E29" t="str">
        <f>Result_notebook_retravaill!E29</f>
        <v>Current shares</v>
      </c>
      <c r="F29" t="str">
        <f>Result_notebook_retravaill!F29</f>
        <v>Expansion Extractive</v>
      </c>
      <c r="G29">
        <f>Result_notebook_retravaill!G29</f>
        <v>813205.98217637825</v>
      </c>
      <c r="H29" s="32">
        <f>IF(Result_notebook_retravaill!I29&gt;Result_notebook_retravaill!G29,Result_notebook_retravaill!I29/Result_notebook_retravaill!N29,Result_notebook_retravaill!H29)</f>
        <v>534750.25845525716</v>
      </c>
      <c r="I29" s="32">
        <f>Result_notebook_retravaill!K29</f>
        <v>445015.9851307408</v>
      </c>
      <c r="J29" s="32">
        <f>MIN(G29,Result_notebook_retravaill!I29)</f>
        <v>281069.38147744298</v>
      </c>
      <c r="K29" s="32">
        <f>IF(Result_notebook_retravaill!I29&gt;Result_notebook_retravaill!G29,0,IF(Result_notebook_retravaill!I29+Result_notebook_retravaill!J29&gt;Result_notebook_retravaill!G29,Result_notebook_retravaill!G29-Result_notebook_retravaill!I29,Result_notebook_retravaill!J29))</f>
        <v>165311.13087715703</v>
      </c>
      <c r="L29" s="32">
        <f>IF(Result_notebook_retravaill!I29&gt;Result_notebook_retravaill!G29,0,IF(Result_notebook_retravaill!I29+Result_notebook_retravaill!J29&gt;Result_notebook_retravaill!G29,0,Result_notebook_retravaill!M29))</f>
        <v>366825.4698217783</v>
      </c>
      <c r="M29" s="31">
        <f t="shared" si="0"/>
        <v>0</v>
      </c>
    </row>
    <row r="30" spans="1:13" x14ac:dyDescent="0.35">
      <c r="A30">
        <f>Result_notebook_retravaill!A30</f>
        <v>2025</v>
      </c>
      <c r="B30" t="str">
        <f>Result_notebook_retravaill!B30</f>
        <v>Copper</v>
      </c>
      <c r="C30" t="str">
        <f>Result_notebook_retravaill!C30</f>
        <v>Global Net-zero</v>
      </c>
      <c r="D30" t="str">
        <f>Result_notebook_retravaill!D30</f>
        <v>Production potential</v>
      </c>
      <c r="E30" t="str">
        <f>Result_notebook_retravaill!E30</f>
        <v>Current shares</v>
      </c>
      <c r="F30" t="str">
        <f>Result_notebook_retravaill!F30</f>
        <v>Expansion Extractive+Circularity</v>
      </c>
      <c r="G30">
        <f>Result_notebook_retravaill!G30</f>
        <v>813205.98217637825</v>
      </c>
      <c r="H30" s="32">
        <f>IF(Result_notebook_retravaill!I30&gt;Result_notebook_retravaill!G30,Result_notebook_retravaill!I30/Result_notebook_retravaill!N30,Result_notebook_retravaill!H30)</f>
        <v>534750.25845525716</v>
      </c>
      <c r="I30" s="32">
        <f>Result_notebook_retravaill!K30</f>
        <v>445015.9851307408</v>
      </c>
      <c r="J30" s="32">
        <f>MIN(G30,Result_notebook_retravaill!I30)</f>
        <v>281069.38147744298</v>
      </c>
      <c r="K30" s="32">
        <f>IF(Result_notebook_retravaill!I30&gt;Result_notebook_retravaill!G30,0,IF(Result_notebook_retravaill!I30+Result_notebook_retravaill!J30&gt;Result_notebook_retravaill!G30,Result_notebook_retravaill!G30-Result_notebook_retravaill!I30,Result_notebook_retravaill!J30))</f>
        <v>165311.13087715703</v>
      </c>
      <c r="L30" s="32">
        <f>IF(Result_notebook_retravaill!I30&gt;Result_notebook_retravaill!G30,0,IF(Result_notebook_retravaill!I30+Result_notebook_retravaill!J30&gt;Result_notebook_retravaill!G30,0,Result_notebook_retravaill!M30))</f>
        <v>366825.4698217783</v>
      </c>
      <c r="M30" s="31">
        <f t="shared" si="0"/>
        <v>0</v>
      </c>
    </row>
    <row r="31" spans="1:13" x14ac:dyDescent="0.35">
      <c r="A31">
        <f>Result_notebook_retravaill!A31</f>
        <v>2025</v>
      </c>
      <c r="B31" t="str">
        <f>Result_notebook_retravaill!B31</f>
        <v>Copper</v>
      </c>
      <c r="C31" t="str">
        <f>Result_notebook_retravaill!C31</f>
        <v>Global Net-zero</v>
      </c>
      <c r="D31" t="str">
        <f>Result_notebook_retravaill!D31</f>
        <v>Production potential</v>
      </c>
      <c r="E31" t="str">
        <f>Result_notebook_retravaill!E31</f>
        <v>100% CAN</v>
      </c>
      <c r="F31" t="str">
        <f>Result_notebook_retravaill!F31</f>
        <v>Integrated</v>
      </c>
      <c r="G31">
        <f>Result_notebook_retravaill!G31</f>
        <v>813205.98217637825</v>
      </c>
      <c r="H31" s="32">
        <f>IF(Result_notebook_retravaill!I31&gt;Result_notebook_retravaill!G31,Result_notebook_retravaill!I31/Result_notebook_retravaill!N31,Result_notebook_retravaill!H31)</f>
        <v>534750.25845525716</v>
      </c>
      <c r="I31" s="32">
        <f>Result_notebook_retravaill!K31</f>
        <v>445015.9851307408</v>
      </c>
      <c r="J31" s="32">
        <f>MIN(G31,Result_notebook_retravaill!I31)</f>
        <v>446380.51235460019</v>
      </c>
      <c r="K31" s="32">
        <f>IF(Result_notebook_retravaill!I31&gt;Result_notebook_retravaill!G31,0,IF(Result_notebook_retravaill!I31+Result_notebook_retravaill!J31&gt;Result_notebook_retravaill!G31,Result_notebook_retravaill!G31-Result_notebook_retravaill!I31,Result_notebook_retravaill!J31))</f>
        <v>0</v>
      </c>
      <c r="L31" s="32">
        <f>IF(Result_notebook_retravaill!I31&gt;Result_notebook_retravaill!G31,0,IF(Result_notebook_retravaill!I31+Result_notebook_retravaill!J31&gt;Result_notebook_retravaill!G31,0,Result_notebook_retravaill!M31))</f>
        <v>366825.46982177801</v>
      </c>
      <c r="M31" s="31">
        <f t="shared" si="0"/>
        <v>0</v>
      </c>
    </row>
    <row r="32" spans="1:13" x14ac:dyDescent="0.35">
      <c r="A32">
        <f>Result_notebook_retravaill!A32</f>
        <v>2025</v>
      </c>
      <c r="B32" t="str">
        <f>Result_notebook_retravaill!B32</f>
        <v>Neodymium</v>
      </c>
      <c r="C32" t="str">
        <f>Result_notebook_retravaill!C32</f>
        <v>Canada Net-zero</v>
      </c>
      <c r="D32" t="str">
        <f>Result_notebook_retravaill!D32</f>
        <v>Existing production</v>
      </c>
      <c r="E32" t="str">
        <f>Result_notebook_retravaill!E32</f>
        <v>Current shares</v>
      </c>
      <c r="F32" t="str">
        <f>Result_notebook_retravaill!F32</f>
        <v>NIMBY</v>
      </c>
      <c r="G32">
        <f>Result_notebook_retravaill!G32</f>
        <v>325.38476223044881</v>
      </c>
      <c r="H32" s="32">
        <f>IF(Result_notebook_retravaill!I32&gt;Result_notebook_retravaill!G32,Result_notebook_retravaill!I32/Result_notebook_retravaill!N32,Result_notebook_retravaill!H32)</f>
        <v>0</v>
      </c>
      <c r="I32" s="32">
        <f>Result_notebook_retravaill!K32</f>
        <v>542.30793705074802</v>
      </c>
      <c r="J32" s="32">
        <f>MIN(G32,Result_notebook_retravaill!I32)</f>
        <v>0</v>
      </c>
      <c r="K32" s="32">
        <f>IF(Result_notebook_retravaill!I32&gt;Result_notebook_retravaill!G32,0,IF(Result_notebook_retravaill!I32+Result_notebook_retravaill!J32&gt;Result_notebook_retravaill!G32,Result_notebook_retravaill!G32-Result_notebook_retravaill!I32,Result_notebook_retravaill!J32))</f>
        <v>0</v>
      </c>
      <c r="L32" s="32">
        <f>IF(Result_notebook_retravaill!I32&gt;Result_notebook_retravaill!G32,0,IF(Result_notebook_retravaill!I32+Result_notebook_retravaill!J32&gt;Result_notebook_retravaill!G32,0,Result_notebook_retravaill!M32))</f>
        <v>325.38476223044881</v>
      </c>
      <c r="M32" s="31">
        <f t="shared" si="0"/>
        <v>0</v>
      </c>
    </row>
    <row r="33" spans="1:13" x14ac:dyDescent="0.35">
      <c r="A33">
        <f>Result_notebook_retravaill!A33</f>
        <v>2025</v>
      </c>
      <c r="B33" t="str">
        <f>Result_notebook_retravaill!B33</f>
        <v>Neodymium</v>
      </c>
      <c r="C33" t="str">
        <f>Result_notebook_retravaill!C33</f>
        <v>Canada Net-zero</v>
      </c>
      <c r="D33" t="str">
        <f>Result_notebook_retravaill!D33</f>
        <v>Existing production</v>
      </c>
      <c r="E33" t="str">
        <f>Result_notebook_retravaill!E33</f>
        <v>Current shares</v>
      </c>
      <c r="F33" t="str">
        <f>Result_notebook_retravaill!F33</f>
        <v>Status Quo</v>
      </c>
      <c r="G33">
        <f>Result_notebook_retravaill!G33</f>
        <v>325.38476223044881</v>
      </c>
      <c r="H33" s="32">
        <f>IF(Result_notebook_retravaill!I33&gt;Result_notebook_retravaill!G33,Result_notebook_retravaill!I33/Result_notebook_retravaill!N33,Result_notebook_retravaill!H33)</f>
        <v>0</v>
      </c>
      <c r="I33" s="32">
        <f>Result_notebook_retravaill!K33</f>
        <v>542.30793705074802</v>
      </c>
      <c r="J33" s="32">
        <f>MIN(G33,Result_notebook_retravaill!I33)</f>
        <v>0</v>
      </c>
      <c r="K33" s="32">
        <f>IF(Result_notebook_retravaill!I33&gt;Result_notebook_retravaill!G33,0,IF(Result_notebook_retravaill!I33+Result_notebook_retravaill!J33&gt;Result_notebook_retravaill!G33,Result_notebook_retravaill!G33-Result_notebook_retravaill!I33,Result_notebook_retravaill!J33))</f>
        <v>0</v>
      </c>
      <c r="L33" s="32">
        <f>IF(Result_notebook_retravaill!I33&gt;Result_notebook_retravaill!G33,0,IF(Result_notebook_retravaill!I33+Result_notebook_retravaill!J33&gt;Result_notebook_retravaill!G33,0,Result_notebook_retravaill!M33))</f>
        <v>325.38476223044881</v>
      </c>
      <c r="M33" s="31">
        <f t="shared" si="0"/>
        <v>0</v>
      </c>
    </row>
    <row r="34" spans="1:13" x14ac:dyDescent="0.35">
      <c r="A34">
        <f>Result_notebook_retravaill!A34</f>
        <v>2025</v>
      </c>
      <c r="B34" t="str">
        <f>Result_notebook_retravaill!B34</f>
        <v>Neodymium</v>
      </c>
      <c r="C34" t="str">
        <f>Result_notebook_retravaill!C34</f>
        <v>Canada Net-zero</v>
      </c>
      <c r="D34" t="str">
        <f>Result_notebook_retravaill!D34</f>
        <v>Production potential</v>
      </c>
      <c r="E34" t="str">
        <f>Result_notebook_retravaill!E34</f>
        <v>Current shares</v>
      </c>
      <c r="F34" t="str">
        <f>Result_notebook_retravaill!F34</f>
        <v>Expansion Extractive</v>
      </c>
      <c r="G34">
        <f>Result_notebook_retravaill!G34</f>
        <v>325.38476223044881</v>
      </c>
      <c r="H34" s="32">
        <f>IF(Result_notebook_retravaill!I34&gt;Result_notebook_retravaill!G34,Result_notebook_retravaill!I34/Result_notebook_retravaill!N34,Result_notebook_retravaill!H34)</f>
        <v>2.7492305175562488</v>
      </c>
      <c r="I34" s="32">
        <f>Result_notebook_retravaill!K34</f>
        <v>539.55870653319175</v>
      </c>
      <c r="J34" s="32">
        <f>MIN(G34,Result_notebook_retravaill!I34)</f>
        <v>1.6455351944387819</v>
      </c>
      <c r="K34" s="32">
        <f>IF(Result_notebook_retravaill!I34&gt;Result_notebook_retravaill!G34,0,IF(Result_notebook_retravaill!I34+Result_notebook_retravaill!J34&gt;Result_notebook_retravaill!G34,Result_notebook_retravaill!G34-Result_notebook_retravaill!I34,Result_notebook_retravaill!J34))</f>
        <v>1.1036953231174669</v>
      </c>
      <c r="L34" s="32">
        <f>IF(Result_notebook_retravaill!I34&gt;Result_notebook_retravaill!G34,0,IF(Result_notebook_retravaill!I34+Result_notebook_retravaill!J34&gt;Result_notebook_retravaill!G34,0,Result_notebook_retravaill!M34))</f>
        <v>322.63553171289254</v>
      </c>
      <c r="M34" s="31">
        <f t="shared" si="0"/>
        <v>0</v>
      </c>
    </row>
    <row r="35" spans="1:13" x14ac:dyDescent="0.35">
      <c r="A35">
        <f>Result_notebook_retravaill!A35</f>
        <v>2025</v>
      </c>
      <c r="B35" t="str">
        <f>Result_notebook_retravaill!B35</f>
        <v>Neodymium</v>
      </c>
      <c r="C35" t="str">
        <f>Result_notebook_retravaill!C35</f>
        <v>Canada Net-zero</v>
      </c>
      <c r="D35" t="str">
        <f>Result_notebook_retravaill!D35</f>
        <v>Production potential</v>
      </c>
      <c r="E35" t="str">
        <f>Result_notebook_retravaill!E35</f>
        <v>Current shares</v>
      </c>
      <c r="F35" t="str">
        <f>Result_notebook_retravaill!F35</f>
        <v>Expansion Extractive+Circularity</v>
      </c>
      <c r="G35">
        <f>Result_notebook_retravaill!G35</f>
        <v>325.38476223044881</v>
      </c>
      <c r="H35" s="32">
        <f>IF(Result_notebook_retravaill!I35&gt;Result_notebook_retravaill!G35,Result_notebook_retravaill!I35/Result_notebook_retravaill!N35,Result_notebook_retravaill!H35)</f>
        <v>2.7492305175562488</v>
      </c>
      <c r="I35" s="32">
        <f>Result_notebook_retravaill!K35</f>
        <v>539.55870653319175</v>
      </c>
      <c r="J35" s="32">
        <f>MIN(G35,Result_notebook_retravaill!I35)</f>
        <v>1.6455351944387819</v>
      </c>
      <c r="K35" s="32">
        <f>IF(Result_notebook_retravaill!I35&gt;Result_notebook_retravaill!G35,0,IF(Result_notebook_retravaill!I35+Result_notebook_retravaill!J35&gt;Result_notebook_retravaill!G35,Result_notebook_retravaill!G35-Result_notebook_retravaill!I35,Result_notebook_retravaill!J35))</f>
        <v>1.1036953231174669</v>
      </c>
      <c r="L35" s="32">
        <f>IF(Result_notebook_retravaill!I35&gt;Result_notebook_retravaill!G35,0,IF(Result_notebook_retravaill!I35+Result_notebook_retravaill!J35&gt;Result_notebook_retravaill!G35,0,Result_notebook_retravaill!M35))</f>
        <v>322.63553171289254</v>
      </c>
      <c r="M35" s="31">
        <f t="shared" si="0"/>
        <v>0</v>
      </c>
    </row>
    <row r="36" spans="1:13" x14ac:dyDescent="0.35">
      <c r="A36">
        <f>Result_notebook_retravaill!A36</f>
        <v>2025</v>
      </c>
      <c r="B36" t="str">
        <f>Result_notebook_retravaill!B36</f>
        <v>Neodymium</v>
      </c>
      <c r="C36" t="str">
        <f>Result_notebook_retravaill!C36</f>
        <v>Canada Net-zero</v>
      </c>
      <c r="D36" t="str">
        <f>Result_notebook_retravaill!D36</f>
        <v>Production potential</v>
      </c>
      <c r="E36" t="str">
        <f>Result_notebook_retravaill!E36</f>
        <v>100% CAN</v>
      </c>
      <c r="F36" t="str">
        <f>Result_notebook_retravaill!F36</f>
        <v>Integrated</v>
      </c>
      <c r="G36">
        <f>Result_notebook_retravaill!G36</f>
        <v>325.38476223044881</v>
      </c>
      <c r="H36" s="32">
        <f>IF(Result_notebook_retravaill!I36&gt;Result_notebook_retravaill!G36,Result_notebook_retravaill!I36/Result_notebook_retravaill!N36,Result_notebook_retravaill!H36)</f>
        <v>2.7492305175562488</v>
      </c>
      <c r="I36" s="32">
        <f>Result_notebook_retravaill!K36</f>
        <v>539.55870653319175</v>
      </c>
      <c r="J36" s="32">
        <f>MIN(G36,Result_notebook_retravaill!I36)</f>
        <v>1.6455351944387819</v>
      </c>
      <c r="K36" s="32">
        <f>IF(Result_notebook_retravaill!I36&gt;Result_notebook_retravaill!G36,0,IF(Result_notebook_retravaill!I36+Result_notebook_retravaill!J36&gt;Result_notebook_retravaill!G36,Result_notebook_retravaill!G36-Result_notebook_retravaill!I36,Result_notebook_retravaill!J36))</f>
        <v>1.1036953231174669</v>
      </c>
      <c r="L36" s="32">
        <f>IF(Result_notebook_retravaill!I36&gt;Result_notebook_retravaill!G36,0,IF(Result_notebook_retravaill!I36+Result_notebook_retravaill!J36&gt;Result_notebook_retravaill!G36,0,Result_notebook_retravaill!M36))</f>
        <v>322.63553171289254</v>
      </c>
      <c r="M36" s="31">
        <f t="shared" si="0"/>
        <v>0</v>
      </c>
    </row>
    <row r="37" spans="1:13" x14ac:dyDescent="0.35">
      <c r="A37">
        <f>Result_notebook_retravaill!A37</f>
        <v>2025</v>
      </c>
      <c r="B37" t="str">
        <f>Result_notebook_retravaill!B37</f>
        <v>Neodymium</v>
      </c>
      <c r="C37" t="str">
        <f>Result_notebook_retravaill!C37</f>
        <v>Current Measures</v>
      </c>
      <c r="D37" t="str">
        <f>Result_notebook_retravaill!D37</f>
        <v>Existing production</v>
      </c>
      <c r="E37" t="str">
        <f>Result_notebook_retravaill!E37</f>
        <v>Current shares</v>
      </c>
      <c r="F37" t="str">
        <f>Result_notebook_retravaill!F37</f>
        <v>NIMBY</v>
      </c>
      <c r="G37">
        <f>Result_notebook_retravaill!G37</f>
        <v>293.15719353433781</v>
      </c>
      <c r="H37" s="32">
        <f>IF(Result_notebook_retravaill!I37&gt;Result_notebook_retravaill!G37,Result_notebook_retravaill!I37/Result_notebook_retravaill!N37,Result_notebook_retravaill!H37)</f>
        <v>0</v>
      </c>
      <c r="I37" s="32">
        <f>Result_notebook_retravaill!K37</f>
        <v>488.59532255722968</v>
      </c>
      <c r="J37" s="32">
        <f>MIN(G37,Result_notebook_retravaill!I37)</f>
        <v>0</v>
      </c>
      <c r="K37" s="32">
        <f>IF(Result_notebook_retravaill!I37&gt;Result_notebook_retravaill!G37,0,IF(Result_notebook_retravaill!I37+Result_notebook_retravaill!J37&gt;Result_notebook_retravaill!G37,Result_notebook_retravaill!G37-Result_notebook_retravaill!I37,Result_notebook_retravaill!J37))</f>
        <v>0</v>
      </c>
      <c r="L37" s="32">
        <f>IF(Result_notebook_retravaill!I37&gt;Result_notebook_retravaill!G37,0,IF(Result_notebook_retravaill!I37+Result_notebook_retravaill!J37&gt;Result_notebook_retravaill!G37,0,Result_notebook_retravaill!M37))</f>
        <v>293.15719353433781</v>
      </c>
      <c r="M37" s="31">
        <f t="shared" si="0"/>
        <v>0</v>
      </c>
    </row>
    <row r="38" spans="1:13" x14ac:dyDescent="0.35">
      <c r="A38">
        <f>Result_notebook_retravaill!A38</f>
        <v>2025</v>
      </c>
      <c r="B38" t="str">
        <f>Result_notebook_retravaill!B38</f>
        <v>Neodymium</v>
      </c>
      <c r="C38" t="str">
        <f>Result_notebook_retravaill!C38</f>
        <v>Current Measures</v>
      </c>
      <c r="D38" t="str">
        <f>Result_notebook_retravaill!D38</f>
        <v>Existing production</v>
      </c>
      <c r="E38" t="str">
        <f>Result_notebook_retravaill!E38</f>
        <v>Current shares</v>
      </c>
      <c r="F38" t="str">
        <f>Result_notebook_retravaill!F38</f>
        <v>Status Quo</v>
      </c>
      <c r="G38">
        <f>Result_notebook_retravaill!G38</f>
        <v>293.15719353433781</v>
      </c>
      <c r="H38" s="32">
        <f>IF(Result_notebook_retravaill!I38&gt;Result_notebook_retravaill!G38,Result_notebook_retravaill!I38/Result_notebook_retravaill!N38,Result_notebook_retravaill!H38)</f>
        <v>0</v>
      </c>
      <c r="I38" s="32">
        <f>Result_notebook_retravaill!K38</f>
        <v>488.59532255722968</v>
      </c>
      <c r="J38" s="32">
        <f>MIN(G38,Result_notebook_retravaill!I38)</f>
        <v>0</v>
      </c>
      <c r="K38" s="32">
        <f>IF(Result_notebook_retravaill!I38&gt;Result_notebook_retravaill!G38,0,IF(Result_notebook_retravaill!I38+Result_notebook_retravaill!J38&gt;Result_notebook_retravaill!G38,Result_notebook_retravaill!G38-Result_notebook_retravaill!I38,Result_notebook_retravaill!J38))</f>
        <v>0</v>
      </c>
      <c r="L38" s="32">
        <f>IF(Result_notebook_retravaill!I38&gt;Result_notebook_retravaill!G38,0,IF(Result_notebook_retravaill!I38+Result_notebook_retravaill!J38&gt;Result_notebook_retravaill!G38,0,Result_notebook_retravaill!M38))</f>
        <v>293.15719353433781</v>
      </c>
      <c r="M38" s="31">
        <f t="shared" si="0"/>
        <v>0</v>
      </c>
    </row>
    <row r="39" spans="1:13" x14ac:dyDescent="0.35">
      <c r="A39">
        <f>Result_notebook_retravaill!A39</f>
        <v>2025</v>
      </c>
      <c r="B39" t="str">
        <f>Result_notebook_retravaill!B39</f>
        <v>Neodymium</v>
      </c>
      <c r="C39" t="str">
        <f>Result_notebook_retravaill!C39</f>
        <v>Current Measures</v>
      </c>
      <c r="D39" t="str">
        <f>Result_notebook_retravaill!D39</f>
        <v>Production potential</v>
      </c>
      <c r="E39" t="str">
        <f>Result_notebook_retravaill!E39</f>
        <v>Current shares</v>
      </c>
      <c r="F39" t="str">
        <f>Result_notebook_retravaill!F39</f>
        <v>Expansion Extractive</v>
      </c>
      <c r="G39">
        <f>Result_notebook_retravaill!G39</f>
        <v>293.15719353433781</v>
      </c>
      <c r="H39" s="32">
        <f>IF(Result_notebook_retravaill!I39&gt;Result_notebook_retravaill!G39,Result_notebook_retravaill!I39/Result_notebook_retravaill!N39,Result_notebook_retravaill!H39)</f>
        <v>2.7492305175562488</v>
      </c>
      <c r="I39" s="32">
        <f>Result_notebook_retravaill!K39</f>
        <v>485.84609203967341</v>
      </c>
      <c r="J39" s="32">
        <f>MIN(G39,Result_notebook_retravaill!I39)</f>
        <v>1.6455351944387819</v>
      </c>
      <c r="K39" s="32">
        <f>IF(Result_notebook_retravaill!I39&gt;Result_notebook_retravaill!G39,0,IF(Result_notebook_retravaill!I39+Result_notebook_retravaill!J39&gt;Result_notebook_retravaill!G39,Result_notebook_retravaill!G39-Result_notebook_retravaill!I39,Result_notebook_retravaill!J39))</f>
        <v>1.1036953231174669</v>
      </c>
      <c r="L39" s="32">
        <f>IF(Result_notebook_retravaill!I39&gt;Result_notebook_retravaill!G39,0,IF(Result_notebook_retravaill!I39+Result_notebook_retravaill!J39&gt;Result_notebook_retravaill!G39,0,Result_notebook_retravaill!M39))</f>
        <v>290.40796301678154</v>
      </c>
      <c r="M39" s="31">
        <f t="shared" si="0"/>
        <v>0</v>
      </c>
    </row>
    <row r="40" spans="1:13" x14ac:dyDescent="0.35">
      <c r="A40">
        <f>Result_notebook_retravaill!A40</f>
        <v>2025</v>
      </c>
      <c r="B40" t="str">
        <f>Result_notebook_retravaill!B40</f>
        <v>Neodymium</v>
      </c>
      <c r="C40" t="str">
        <f>Result_notebook_retravaill!C40</f>
        <v>Current Measures</v>
      </c>
      <c r="D40" t="str">
        <f>Result_notebook_retravaill!D40</f>
        <v>Production potential</v>
      </c>
      <c r="E40" t="str">
        <f>Result_notebook_retravaill!E40</f>
        <v>Current shares</v>
      </c>
      <c r="F40" t="str">
        <f>Result_notebook_retravaill!F40</f>
        <v>Expansion Extractive+Circularity</v>
      </c>
      <c r="G40">
        <f>Result_notebook_retravaill!G40</f>
        <v>293.15719353433781</v>
      </c>
      <c r="H40" s="32">
        <f>IF(Result_notebook_retravaill!I40&gt;Result_notebook_retravaill!G40,Result_notebook_retravaill!I40/Result_notebook_retravaill!N40,Result_notebook_retravaill!H40)</f>
        <v>2.7492305175562488</v>
      </c>
      <c r="I40" s="32">
        <f>Result_notebook_retravaill!K40</f>
        <v>485.84609203967341</v>
      </c>
      <c r="J40" s="32">
        <f>MIN(G40,Result_notebook_retravaill!I40)</f>
        <v>1.6455351944387819</v>
      </c>
      <c r="K40" s="32">
        <f>IF(Result_notebook_retravaill!I40&gt;Result_notebook_retravaill!G40,0,IF(Result_notebook_retravaill!I40+Result_notebook_retravaill!J40&gt;Result_notebook_retravaill!G40,Result_notebook_retravaill!G40-Result_notebook_retravaill!I40,Result_notebook_retravaill!J40))</f>
        <v>1.1036953231174669</v>
      </c>
      <c r="L40" s="32">
        <f>IF(Result_notebook_retravaill!I40&gt;Result_notebook_retravaill!G40,0,IF(Result_notebook_retravaill!I40+Result_notebook_retravaill!J40&gt;Result_notebook_retravaill!G40,0,Result_notebook_retravaill!M40))</f>
        <v>290.40796301678154</v>
      </c>
      <c r="M40" s="31">
        <f t="shared" si="0"/>
        <v>0</v>
      </c>
    </row>
    <row r="41" spans="1:13" x14ac:dyDescent="0.35">
      <c r="A41">
        <f>Result_notebook_retravaill!A41</f>
        <v>2025</v>
      </c>
      <c r="B41" t="str">
        <f>Result_notebook_retravaill!B41</f>
        <v>Neodymium</v>
      </c>
      <c r="C41" t="str">
        <f>Result_notebook_retravaill!C41</f>
        <v>Current Measures</v>
      </c>
      <c r="D41" t="str">
        <f>Result_notebook_retravaill!D41</f>
        <v>Production potential</v>
      </c>
      <c r="E41" t="str">
        <f>Result_notebook_retravaill!E41</f>
        <v>100% CAN</v>
      </c>
      <c r="F41" t="str">
        <f>Result_notebook_retravaill!F41</f>
        <v>Integrated</v>
      </c>
      <c r="G41">
        <f>Result_notebook_retravaill!G41</f>
        <v>293.15719353433781</v>
      </c>
      <c r="H41" s="32">
        <f>IF(Result_notebook_retravaill!I41&gt;Result_notebook_retravaill!G41,Result_notebook_retravaill!I41/Result_notebook_retravaill!N41,Result_notebook_retravaill!H41)</f>
        <v>2.7492305175562488</v>
      </c>
      <c r="I41" s="32">
        <f>Result_notebook_retravaill!K41</f>
        <v>485.84609203967341</v>
      </c>
      <c r="J41" s="32">
        <f>MIN(G41,Result_notebook_retravaill!I41)</f>
        <v>1.6455351944387819</v>
      </c>
      <c r="K41" s="32">
        <f>IF(Result_notebook_retravaill!I41&gt;Result_notebook_retravaill!G41,0,IF(Result_notebook_retravaill!I41+Result_notebook_retravaill!J41&gt;Result_notebook_retravaill!G41,Result_notebook_retravaill!G41-Result_notebook_retravaill!I41,Result_notebook_retravaill!J41))</f>
        <v>1.1036953231174669</v>
      </c>
      <c r="L41" s="32">
        <f>IF(Result_notebook_retravaill!I41&gt;Result_notebook_retravaill!G41,0,IF(Result_notebook_retravaill!I41+Result_notebook_retravaill!J41&gt;Result_notebook_retravaill!G41,0,Result_notebook_retravaill!M41))</f>
        <v>290.40796301678154</v>
      </c>
      <c r="M41" s="31">
        <f t="shared" si="0"/>
        <v>0</v>
      </c>
    </row>
    <row r="42" spans="1:13" x14ac:dyDescent="0.35">
      <c r="A42">
        <f>Result_notebook_retravaill!A42</f>
        <v>2025</v>
      </c>
      <c r="B42" t="str">
        <f>Result_notebook_retravaill!B42</f>
        <v>Neodymium</v>
      </c>
      <c r="C42" t="str">
        <f>Result_notebook_retravaill!C42</f>
        <v>Global Net-zero</v>
      </c>
      <c r="D42" t="str">
        <f>Result_notebook_retravaill!D42</f>
        <v>Existing production</v>
      </c>
      <c r="E42" t="str">
        <f>Result_notebook_retravaill!E42</f>
        <v>Current shares</v>
      </c>
      <c r="F42" t="str">
        <f>Result_notebook_retravaill!F42</f>
        <v>NIMBY</v>
      </c>
      <c r="G42">
        <f>Result_notebook_retravaill!G42</f>
        <v>324.20432339207548</v>
      </c>
      <c r="H42" s="32">
        <f>IF(Result_notebook_retravaill!I42&gt;Result_notebook_retravaill!G42,Result_notebook_retravaill!I42/Result_notebook_retravaill!N42,Result_notebook_retravaill!H42)</f>
        <v>0</v>
      </c>
      <c r="I42" s="32">
        <f>Result_notebook_retravaill!K42</f>
        <v>540.34053898679247</v>
      </c>
      <c r="J42" s="32">
        <f>MIN(G42,Result_notebook_retravaill!I42)</f>
        <v>0</v>
      </c>
      <c r="K42" s="32">
        <f>IF(Result_notebook_retravaill!I42&gt;Result_notebook_retravaill!G42,0,IF(Result_notebook_retravaill!I42+Result_notebook_retravaill!J42&gt;Result_notebook_retravaill!G42,Result_notebook_retravaill!G42-Result_notebook_retravaill!I42,Result_notebook_retravaill!J42))</f>
        <v>0</v>
      </c>
      <c r="L42" s="32">
        <f>IF(Result_notebook_retravaill!I42&gt;Result_notebook_retravaill!G42,0,IF(Result_notebook_retravaill!I42+Result_notebook_retravaill!J42&gt;Result_notebook_retravaill!G42,0,Result_notebook_retravaill!M42))</f>
        <v>324.20432339207548</v>
      </c>
      <c r="M42" s="31">
        <f t="shared" si="0"/>
        <v>0</v>
      </c>
    </row>
    <row r="43" spans="1:13" x14ac:dyDescent="0.35">
      <c r="A43">
        <f>Result_notebook_retravaill!A43</f>
        <v>2025</v>
      </c>
      <c r="B43" t="str">
        <f>Result_notebook_retravaill!B43</f>
        <v>Neodymium</v>
      </c>
      <c r="C43" t="str">
        <f>Result_notebook_retravaill!C43</f>
        <v>Global Net-zero</v>
      </c>
      <c r="D43" t="str">
        <f>Result_notebook_retravaill!D43</f>
        <v>Existing production</v>
      </c>
      <c r="E43" t="str">
        <f>Result_notebook_retravaill!E43</f>
        <v>Current shares</v>
      </c>
      <c r="F43" t="str">
        <f>Result_notebook_retravaill!F43</f>
        <v>Status Quo</v>
      </c>
      <c r="G43">
        <f>Result_notebook_retravaill!G43</f>
        <v>324.20432339207548</v>
      </c>
      <c r="H43" s="32">
        <f>IF(Result_notebook_retravaill!I43&gt;Result_notebook_retravaill!G43,Result_notebook_retravaill!I43/Result_notebook_retravaill!N43,Result_notebook_retravaill!H43)</f>
        <v>0</v>
      </c>
      <c r="I43" s="32">
        <f>Result_notebook_retravaill!K43</f>
        <v>540.34053898679247</v>
      </c>
      <c r="J43" s="32">
        <f>MIN(G43,Result_notebook_retravaill!I43)</f>
        <v>0</v>
      </c>
      <c r="K43" s="32">
        <f>IF(Result_notebook_retravaill!I43&gt;Result_notebook_retravaill!G43,0,IF(Result_notebook_retravaill!I43+Result_notebook_retravaill!J43&gt;Result_notebook_retravaill!G43,Result_notebook_retravaill!G43-Result_notebook_retravaill!I43,Result_notebook_retravaill!J43))</f>
        <v>0</v>
      </c>
      <c r="L43" s="32">
        <f>IF(Result_notebook_retravaill!I43&gt;Result_notebook_retravaill!G43,0,IF(Result_notebook_retravaill!I43+Result_notebook_retravaill!J43&gt;Result_notebook_retravaill!G43,0,Result_notebook_retravaill!M43))</f>
        <v>324.20432339207548</v>
      </c>
      <c r="M43" s="31">
        <f t="shared" si="0"/>
        <v>0</v>
      </c>
    </row>
    <row r="44" spans="1:13" x14ac:dyDescent="0.35">
      <c r="A44">
        <f>Result_notebook_retravaill!A44</f>
        <v>2025</v>
      </c>
      <c r="B44" t="str">
        <f>Result_notebook_retravaill!B44</f>
        <v>Neodymium</v>
      </c>
      <c r="C44" t="str">
        <f>Result_notebook_retravaill!C44</f>
        <v>Global Net-zero</v>
      </c>
      <c r="D44" t="str">
        <f>Result_notebook_retravaill!D44</f>
        <v>Production potential</v>
      </c>
      <c r="E44" t="str">
        <f>Result_notebook_retravaill!E44</f>
        <v>Current shares</v>
      </c>
      <c r="F44" t="str">
        <f>Result_notebook_retravaill!F44</f>
        <v>Expansion Extractive</v>
      </c>
      <c r="G44">
        <f>Result_notebook_retravaill!G44</f>
        <v>324.20432339207548</v>
      </c>
      <c r="H44" s="32">
        <f>IF(Result_notebook_retravaill!I44&gt;Result_notebook_retravaill!G44,Result_notebook_retravaill!I44/Result_notebook_retravaill!N44,Result_notebook_retravaill!H44)</f>
        <v>2.7492305175562488</v>
      </c>
      <c r="I44" s="32">
        <f>Result_notebook_retravaill!K44</f>
        <v>537.5913084692362</v>
      </c>
      <c r="J44" s="32">
        <f>MIN(G44,Result_notebook_retravaill!I44)</f>
        <v>1.6455351944387819</v>
      </c>
      <c r="K44" s="32">
        <f>IF(Result_notebook_retravaill!I44&gt;Result_notebook_retravaill!G44,0,IF(Result_notebook_retravaill!I44+Result_notebook_retravaill!J44&gt;Result_notebook_retravaill!G44,Result_notebook_retravaill!G44-Result_notebook_retravaill!I44,Result_notebook_retravaill!J44))</f>
        <v>1.1036953231174669</v>
      </c>
      <c r="L44" s="32">
        <f>IF(Result_notebook_retravaill!I44&gt;Result_notebook_retravaill!G44,0,IF(Result_notebook_retravaill!I44+Result_notebook_retravaill!J44&gt;Result_notebook_retravaill!G44,0,Result_notebook_retravaill!M44))</f>
        <v>321.45509287451927</v>
      </c>
      <c r="M44" s="31">
        <f t="shared" si="0"/>
        <v>0</v>
      </c>
    </row>
    <row r="45" spans="1:13" x14ac:dyDescent="0.35">
      <c r="A45">
        <f>Result_notebook_retravaill!A45</f>
        <v>2025</v>
      </c>
      <c r="B45" t="str">
        <f>Result_notebook_retravaill!B45</f>
        <v>Neodymium</v>
      </c>
      <c r="C45" t="str">
        <f>Result_notebook_retravaill!C45</f>
        <v>Global Net-zero</v>
      </c>
      <c r="D45" t="str">
        <f>Result_notebook_retravaill!D45</f>
        <v>Production potential</v>
      </c>
      <c r="E45" t="str">
        <f>Result_notebook_retravaill!E45</f>
        <v>Current shares</v>
      </c>
      <c r="F45" t="str">
        <f>Result_notebook_retravaill!F45</f>
        <v>Expansion Extractive+Circularity</v>
      </c>
      <c r="G45">
        <f>Result_notebook_retravaill!G45</f>
        <v>324.20432339207548</v>
      </c>
      <c r="H45" s="32">
        <f>IF(Result_notebook_retravaill!I45&gt;Result_notebook_retravaill!G45,Result_notebook_retravaill!I45/Result_notebook_retravaill!N45,Result_notebook_retravaill!H45)</f>
        <v>2.7492305175562488</v>
      </c>
      <c r="I45" s="32">
        <f>Result_notebook_retravaill!K45</f>
        <v>537.5913084692362</v>
      </c>
      <c r="J45" s="32">
        <f>MIN(G45,Result_notebook_retravaill!I45)</f>
        <v>1.6455351944387819</v>
      </c>
      <c r="K45" s="32">
        <f>IF(Result_notebook_retravaill!I45&gt;Result_notebook_retravaill!G45,0,IF(Result_notebook_retravaill!I45+Result_notebook_retravaill!J45&gt;Result_notebook_retravaill!G45,Result_notebook_retravaill!G45-Result_notebook_retravaill!I45,Result_notebook_retravaill!J45))</f>
        <v>1.1036953231174669</v>
      </c>
      <c r="L45" s="32">
        <f>IF(Result_notebook_retravaill!I45&gt;Result_notebook_retravaill!G45,0,IF(Result_notebook_retravaill!I45+Result_notebook_retravaill!J45&gt;Result_notebook_retravaill!G45,0,Result_notebook_retravaill!M45))</f>
        <v>321.45509287451927</v>
      </c>
      <c r="M45" s="31">
        <f t="shared" si="0"/>
        <v>0</v>
      </c>
    </row>
    <row r="46" spans="1:13" x14ac:dyDescent="0.35">
      <c r="A46">
        <f>Result_notebook_retravaill!A46</f>
        <v>2025</v>
      </c>
      <c r="B46" t="str">
        <f>Result_notebook_retravaill!B46</f>
        <v>Neodymium</v>
      </c>
      <c r="C46" t="str">
        <f>Result_notebook_retravaill!C46</f>
        <v>Global Net-zero</v>
      </c>
      <c r="D46" t="str">
        <f>Result_notebook_retravaill!D46</f>
        <v>Production potential</v>
      </c>
      <c r="E46" t="str">
        <f>Result_notebook_retravaill!E46</f>
        <v>100% CAN</v>
      </c>
      <c r="F46" t="str">
        <f>Result_notebook_retravaill!F46</f>
        <v>Integrated</v>
      </c>
      <c r="G46">
        <f>Result_notebook_retravaill!G46</f>
        <v>324.20432339207548</v>
      </c>
      <c r="H46" s="32">
        <f>IF(Result_notebook_retravaill!I46&gt;Result_notebook_retravaill!G46,Result_notebook_retravaill!I46/Result_notebook_retravaill!N46,Result_notebook_retravaill!H46)</f>
        <v>2.7492305175562488</v>
      </c>
      <c r="I46" s="32">
        <f>Result_notebook_retravaill!K46</f>
        <v>537.5913084692362</v>
      </c>
      <c r="J46" s="32">
        <f>MIN(G46,Result_notebook_retravaill!I46)</f>
        <v>1.6455351944387819</v>
      </c>
      <c r="K46" s="32">
        <f>IF(Result_notebook_retravaill!I46&gt;Result_notebook_retravaill!G46,0,IF(Result_notebook_retravaill!I46+Result_notebook_retravaill!J46&gt;Result_notebook_retravaill!G46,Result_notebook_retravaill!G46-Result_notebook_retravaill!I46,Result_notebook_retravaill!J46))</f>
        <v>1.1036953231174669</v>
      </c>
      <c r="L46" s="32">
        <f>IF(Result_notebook_retravaill!I46&gt;Result_notebook_retravaill!G46,0,IF(Result_notebook_retravaill!I46+Result_notebook_retravaill!J46&gt;Result_notebook_retravaill!G46,0,Result_notebook_retravaill!M46))</f>
        <v>321.45509287451927</v>
      </c>
      <c r="M46" s="31">
        <f t="shared" si="0"/>
        <v>0</v>
      </c>
    </row>
    <row r="47" spans="1:13" x14ac:dyDescent="0.35">
      <c r="A47">
        <f>Result_notebook_retravaill!A47</f>
        <v>2025</v>
      </c>
      <c r="B47" t="str">
        <f>Result_notebook_retravaill!B47</f>
        <v>Nickel</v>
      </c>
      <c r="C47" t="str">
        <f>Result_notebook_retravaill!C47</f>
        <v>Canada Net-zero</v>
      </c>
      <c r="D47" t="str">
        <f>Result_notebook_retravaill!D47</f>
        <v>Existing production</v>
      </c>
      <c r="E47" t="str">
        <f>Result_notebook_retravaill!E47</f>
        <v>Current shares</v>
      </c>
      <c r="F47" t="str">
        <f>Result_notebook_retravaill!F47</f>
        <v>NIMBY</v>
      </c>
      <c r="G47">
        <f>Result_notebook_retravaill!G47</f>
        <v>22394.317081973011</v>
      </c>
      <c r="H47" s="32">
        <f>IF(Result_notebook_retravaill!I47&gt;Result_notebook_retravaill!G47,Result_notebook_retravaill!I47/Result_notebook_retravaill!N47,Result_notebook_retravaill!H47)</f>
        <v>0</v>
      </c>
      <c r="I47" s="32">
        <f>Result_notebook_retravaill!K47</f>
        <v>28347.236812624069</v>
      </c>
      <c r="J47" s="32">
        <f>MIN(G47,Result_notebook_retravaill!I47)</f>
        <v>0</v>
      </c>
      <c r="K47" s="32">
        <f>IF(Result_notebook_retravaill!I47&gt;Result_notebook_retravaill!G47,0,IF(Result_notebook_retravaill!I47+Result_notebook_retravaill!J47&gt;Result_notebook_retravaill!G47,Result_notebook_retravaill!G47-Result_notebook_retravaill!I47,Result_notebook_retravaill!J47))</f>
        <v>0</v>
      </c>
      <c r="L47" s="32">
        <f>IF(Result_notebook_retravaill!I47&gt;Result_notebook_retravaill!G47,0,IF(Result_notebook_retravaill!I47+Result_notebook_retravaill!J47&gt;Result_notebook_retravaill!G47,0,Result_notebook_retravaill!M47))</f>
        <v>22394.317081973011</v>
      </c>
      <c r="M47" s="31">
        <f t="shared" si="0"/>
        <v>0</v>
      </c>
    </row>
    <row r="48" spans="1:13" x14ac:dyDescent="0.35">
      <c r="A48">
        <f>Result_notebook_retravaill!A48</f>
        <v>2025</v>
      </c>
      <c r="B48" t="str">
        <f>Result_notebook_retravaill!B48</f>
        <v>Nickel</v>
      </c>
      <c r="C48" t="str">
        <f>Result_notebook_retravaill!C48</f>
        <v>Canada Net-zero</v>
      </c>
      <c r="D48" t="str">
        <f>Result_notebook_retravaill!D48</f>
        <v>Existing production</v>
      </c>
      <c r="E48" t="str">
        <f>Result_notebook_retravaill!E48</f>
        <v>Current shares</v>
      </c>
      <c r="F48" t="str">
        <f>Result_notebook_retravaill!F48</f>
        <v>Status Quo</v>
      </c>
      <c r="G48">
        <f>Result_notebook_retravaill!G48</f>
        <v>22394.317081973011</v>
      </c>
      <c r="H48" s="32">
        <f>IF(Result_notebook_retravaill!I48&gt;Result_notebook_retravaill!G48,Result_notebook_retravaill!I48/Result_notebook_retravaill!N48,Result_notebook_retravaill!H48)</f>
        <v>124010.10328178547</v>
      </c>
      <c r="I48" s="32">
        <f>Result_notebook_retravaill!K48</f>
        <v>0</v>
      </c>
      <c r="J48" s="32">
        <f>MIN(G48,Result_notebook_retravaill!I48)</f>
        <v>22394.317081973011</v>
      </c>
      <c r="K48" s="32">
        <f>IF(Result_notebook_retravaill!I48&gt;Result_notebook_retravaill!G48,0,IF(Result_notebook_retravaill!I48+Result_notebook_retravaill!J48&gt;Result_notebook_retravaill!G48,Result_notebook_retravaill!G48-Result_notebook_retravaill!I48,Result_notebook_retravaill!J48))</f>
        <v>0</v>
      </c>
      <c r="L48" s="32">
        <f>IF(Result_notebook_retravaill!I48&gt;Result_notebook_retravaill!G48,0,IF(Result_notebook_retravaill!I48+Result_notebook_retravaill!J48&gt;Result_notebook_retravaill!G48,0,Result_notebook_retravaill!M48))</f>
        <v>0</v>
      </c>
      <c r="M48" s="31">
        <f t="shared" si="0"/>
        <v>0</v>
      </c>
    </row>
    <row r="49" spans="1:13" x14ac:dyDescent="0.35">
      <c r="A49">
        <f>Result_notebook_retravaill!A49</f>
        <v>2025</v>
      </c>
      <c r="B49" t="str">
        <f>Result_notebook_retravaill!B49</f>
        <v>Nickel</v>
      </c>
      <c r="C49" t="str">
        <f>Result_notebook_retravaill!C49</f>
        <v>Canada Net-zero</v>
      </c>
      <c r="D49" t="str">
        <f>Result_notebook_retravaill!D49</f>
        <v>Production potential</v>
      </c>
      <c r="E49" t="str">
        <f>Result_notebook_retravaill!E49</f>
        <v>Current shares</v>
      </c>
      <c r="F49" t="str">
        <f>Result_notebook_retravaill!F49</f>
        <v>Expansion Extractive</v>
      </c>
      <c r="G49">
        <f>Result_notebook_retravaill!G49</f>
        <v>22394.317081973011</v>
      </c>
      <c r="H49" s="32">
        <f>IF(Result_notebook_retravaill!I49&gt;Result_notebook_retravaill!G49,Result_notebook_retravaill!I49/Result_notebook_retravaill!N49,Result_notebook_retravaill!H49)</f>
        <v>124010.10328178547</v>
      </c>
      <c r="I49" s="32">
        <f>Result_notebook_retravaill!K49</f>
        <v>0</v>
      </c>
      <c r="J49" s="32">
        <f>MIN(G49,Result_notebook_retravaill!I49)</f>
        <v>22394.317081973011</v>
      </c>
      <c r="K49" s="32">
        <f>IF(Result_notebook_retravaill!I49&gt;Result_notebook_retravaill!G49,0,IF(Result_notebook_retravaill!I49+Result_notebook_retravaill!J49&gt;Result_notebook_retravaill!G49,Result_notebook_retravaill!G49-Result_notebook_retravaill!I49,Result_notebook_retravaill!J49))</f>
        <v>0</v>
      </c>
      <c r="L49" s="32">
        <f>IF(Result_notebook_retravaill!I49&gt;Result_notebook_retravaill!G49,0,IF(Result_notebook_retravaill!I49+Result_notebook_retravaill!J49&gt;Result_notebook_retravaill!G49,0,Result_notebook_retravaill!M49))</f>
        <v>0</v>
      </c>
      <c r="M49" s="31">
        <f t="shared" si="0"/>
        <v>0</v>
      </c>
    </row>
    <row r="50" spans="1:13" x14ac:dyDescent="0.35">
      <c r="A50">
        <f>Result_notebook_retravaill!A50</f>
        <v>2025</v>
      </c>
      <c r="B50" t="str">
        <f>Result_notebook_retravaill!B50</f>
        <v>Nickel</v>
      </c>
      <c r="C50" t="str">
        <f>Result_notebook_retravaill!C50</f>
        <v>Canada Net-zero</v>
      </c>
      <c r="D50" t="str">
        <f>Result_notebook_retravaill!D50</f>
        <v>Production potential</v>
      </c>
      <c r="E50" t="str">
        <f>Result_notebook_retravaill!E50</f>
        <v>Current shares</v>
      </c>
      <c r="F50" t="str">
        <f>Result_notebook_retravaill!F50</f>
        <v>Expansion Extractive+Circularity</v>
      </c>
      <c r="G50">
        <f>Result_notebook_retravaill!G50</f>
        <v>22394.317081973011</v>
      </c>
      <c r="H50" s="32">
        <f>IF(Result_notebook_retravaill!I50&gt;Result_notebook_retravaill!G50,Result_notebook_retravaill!I50/Result_notebook_retravaill!N50,Result_notebook_retravaill!H50)</f>
        <v>124010.10328178547</v>
      </c>
      <c r="I50" s="32">
        <f>Result_notebook_retravaill!K50</f>
        <v>0</v>
      </c>
      <c r="J50" s="32">
        <f>MIN(G50,Result_notebook_retravaill!I50)</f>
        <v>22394.317081973011</v>
      </c>
      <c r="K50" s="32">
        <f>IF(Result_notebook_retravaill!I50&gt;Result_notebook_retravaill!G50,0,IF(Result_notebook_retravaill!I50+Result_notebook_retravaill!J50&gt;Result_notebook_retravaill!G50,Result_notebook_retravaill!G50-Result_notebook_retravaill!I50,Result_notebook_retravaill!J50))</f>
        <v>0</v>
      </c>
      <c r="L50" s="32">
        <f>IF(Result_notebook_retravaill!I50&gt;Result_notebook_retravaill!G50,0,IF(Result_notebook_retravaill!I50+Result_notebook_retravaill!J50&gt;Result_notebook_retravaill!G50,0,Result_notebook_retravaill!M50))</f>
        <v>0</v>
      </c>
      <c r="M50" s="31">
        <f t="shared" si="0"/>
        <v>0</v>
      </c>
    </row>
    <row r="51" spans="1:13" x14ac:dyDescent="0.35">
      <c r="A51">
        <f>Result_notebook_retravaill!A51</f>
        <v>2025</v>
      </c>
      <c r="B51" t="str">
        <f>Result_notebook_retravaill!B51</f>
        <v>Nickel</v>
      </c>
      <c r="C51" t="str">
        <f>Result_notebook_retravaill!C51</f>
        <v>Canada Net-zero</v>
      </c>
      <c r="D51" t="str">
        <f>Result_notebook_retravaill!D51</f>
        <v>Production potential</v>
      </c>
      <c r="E51" t="str">
        <f>Result_notebook_retravaill!E51</f>
        <v>100% CAN</v>
      </c>
      <c r="F51" t="str">
        <f>Result_notebook_retravaill!F51</f>
        <v>Integrated</v>
      </c>
      <c r="G51">
        <f>Result_notebook_retravaill!G51</f>
        <v>22394.317081973011</v>
      </c>
      <c r="H51" s="32">
        <f>IF(Result_notebook_retravaill!I51&gt;Result_notebook_retravaill!G51,Result_notebook_retravaill!I51/Result_notebook_retravaill!N51,Result_notebook_retravaill!H51)</f>
        <v>174127.74396030381</v>
      </c>
      <c r="I51" s="32">
        <f>Result_notebook_retravaill!K51</f>
        <v>0</v>
      </c>
      <c r="J51" s="32">
        <f>MIN(G51,Result_notebook_retravaill!I51)</f>
        <v>22394.317081973011</v>
      </c>
      <c r="K51" s="32">
        <f>IF(Result_notebook_retravaill!I51&gt;Result_notebook_retravaill!G51,0,IF(Result_notebook_retravaill!I51+Result_notebook_retravaill!J51&gt;Result_notebook_retravaill!G51,Result_notebook_retravaill!G51-Result_notebook_retravaill!I51,Result_notebook_retravaill!J51))</f>
        <v>0</v>
      </c>
      <c r="L51" s="32">
        <f>IF(Result_notebook_retravaill!I51&gt;Result_notebook_retravaill!G51,0,IF(Result_notebook_retravaill!I51+Result_notebook_retravaill!J51&gt;Result_notebook_retravaill!G51,0,Result_notebook_retravaill!M51))</f>
        <v>0</v>
      </c>
      <c r="M51" s="31">
        <f t="shared" si="0"/>
        <v>0</v>
      </c>
    </row>
    <row r="52" spans="1:13" x14ac:dyDescent="0.35">
      <c r="A52">
        <f>Result_notebook_retravaill!A52</f>
        <v>2025</v>
      </c>
      <c r="B52" t="str">
        <f>Result_notebook_retravaill!B52</f>
        <v>Nickel</v>
      </c>
      <c r="C52" t="str">
        <f>Result_notebook_retravaill!C52</f>
        <v>Current Measures</v>
      </c>
      <c r="D52" t="str">
        <f>Result_notebook_retravaill!D52</f>
        <v>Existing production</v>
      </c>
      <c r="E52" t="str">
        <f>Result_notebook_retravaill!E52</f>
        <v>Current shares</v>
      </c>
      <c r="F52" t="str">
        <f>Result_notebook_retravaill!F52</f>
        <v>NIMBY</v>
      </c>
      <c r="G52">
        <f>Result_notebook_retravaill!G52</f>
        <v>20352.370126600821</v>
      </c>
      <c r="H52" s="32">
        <f>IF(Result_notebook_retravaill!I52&gt;Result_notebook_retravaill!G52,Result_notebook_retravaill!I52/Result_notebook_retravaill!N52,Result_notebook_retravaill!H52)</f>
        <v>0</v>
      </c>
      <c r="I52" s="32">
        <f>Result_notebook_retravaill!K52</f>
        <v>25762.49383114028</v>
      </c>
      <c r="J52" s="32">
        <f>MIN(G52,Result_notebook_retravaill!I52)</f>
        <v>0</v>
      </c>
      <c r="K52" s="32">
        <f>IF(Result_notebook_retravaill!I52&gt;Result_notebook_retravaill!G52,0,IF(Result_notebook_retravaill!I52+Result_notebook_retravaill!J52&gt;Result_notebook_retravaill!G52,Result_notebook_retravaill!G52-Result_notebook_retravaill!I52,Result_notebook_retravaill!J52))</f>
        <v>0</v>
      </c>
      <c r="L52" s="32">
        <f>IF(Result_notebook_retravaill!I52&gt;Result_notebook_retravaill!G52,0,IF(Result_notebook_retravaill!I52+Result_notebook_retravaill!J52&gt;Result_notebook_retravaill!G52,0,Result_notebook_retravaill!M52))</f>
        <v>20352.370126600821</v>
      </c>
      <c r="M52" s="31">
        <f t="shared" si="0"/>
        <v>0</v>
      </c>
    </row>
    <row r="53" spans="1:13" x14ac:dyDescent="0.35">
      <c r="A53">
        <f>Result_notebook_retravaill!A53</f>
        <v>2025</v>
      </c>
      <c r="B53" t="str">
        <f>Result_notebook_retravaill!B53</f>
        <v>Nickel</v>
      </c>
      <c r="C53" t="str">
        <f>Result_notebook_retravaill!C53</f>
        <v>Current Measures</v>
      </c>
      <c r="D53" t="str">
        <f>Result_notebook_retravaill!D53</f>
        <v>Existing production</v>
      </c>
      <c r="E53" t="str">
        <f>Result_notebook_retravaill!E53</f>
        <v>Current shares</v>
      </c>
      <c r="F53" t="str">
        <f>Result_notebook_retravaill!F53</f>
        <v>Status Quo</v>
      </c>
      <c r="G53">
        <f>Result_notebook_retravaill!G53</f>
        <v>20352.370126600821</v>
      </c>
      <c r="H53" s="32">
        <f>IF(Result_notebook_retravaill!I53&gt;Result_notebook_retravaill!G53,Result_notebook_retravaill!I53/Result_notebook_retravaill!N53,Result_notebook_retravaill!H53)</f>
        <v>124010.10328178547</v>
      </c>
      <c r="I53" s="32">
        <f>Result_notebook_retravaill!K53</f>
        <v>0</v>
      </c>
      <c r="J53" s="32">
        <f>MIN(G53,Result_notebook_retravaill!I53)</f>
        <v>20352.370126600821</v>
      </c>
      <c r="K53" s="32">
        <f>IF(Result_notebook_retravaill!I53&gt;Result_notebook_retravaill!G53,0,IF(Result_notebook_retravaill!I53+Result_notebook_retravaill!J53&gt;Result_notebook_retravaill!G53,Result_notebook_retravaill!G53-Result_notebook_retravaill!I53,Result_notebook_retravaill!J53))</f>
        <v>0</v>
      </c>
      <c r="L53" s="32">
        <f>IF(Result_notebook_retravaill!I53&gt;Result_notebook_retravaill!G53,0,IF(Result_notebook_retravaill!I53+Result_notebook_retravaill!J53&gt;Result_notebook_retravaill!G53,0,Result_notebook_retravaill!M53))</f>
        <v>0</v>
      </c>
      <c r="M53" s="31">
        <f t="shared" si="0"/>
        <v>0</v>
      </c>
    </row>
    <row r="54" spans="1:13" x14ac:dyDescent="0.35">
      <c r="A54">
        <f>Result_notebook_retravaill!A54</f>
        <v>2025</v>
      </c>
      <c r="B54" t="str">
        <f>Result_notebook_retravaill!B54</f>
        <v>Nickel</v>
      </c>
      <c r="C54" t="str">
        <f>Result_notebook_retravaill!C54</f>
        <v>Current Measures</v>
      </c>
      <c r="D54" t="str">
        <f>Result_notebook_retravaill!D54</f>
        <v>Production potential</v>
      </c>
      <c r="E54" t="str">
        <f>Result_notebook_retravaill!E54</f>
        <v>Current shares</v>
      </c>
      <c r="F54" t="str">
        <f>Result_notebook_retravaill!F54</f>
        <v>Expansion Extractive</v>
      </c>
      <c r="G54">
        <f>Result_notebook_retravaill!G54</f>
        <v>20352.370126600821</v>
      </c>
      <c r="H54" s="32">
        <f>IF(Result_notebook_retravaill!I54&gt;Result_notebook_retravaill!G54,Result_notebook_retravaill!I54/Result_notebook_retravaill!N54,Result_notebook_retravaill!H54)</f>
        <v>124010.10328178547</v>
      </c>
      <c r="I54" s="32">
        <f>Result_notebook_retravaill!K54</f>
        <v>0</v>
      </c>
      <c r="J54" s="32">
        <f>MIN(G54,Result_notebook_retravaill!I54)</f>
        <v>20352.370126600821</v>
      </c>
      <c r="K54" s="32">
        <f>IF(Result_notebook_retravaill!I54&gt;Result_notebook_retravaill!G54,0,IF(Result_notebook_retravaill!I54+Result_notebook_retravaill!J54&gt;Result_notebook_retravaill!G54,Result_notebook_retravaill!G54-Result_notebook_retravaill!I54,Result_notebook_retravaill!J54))</f>
        <v>0</v>
      </c>
      <c r="L54" s="32">
        <f>IF(Result_notebook_retravaill!I54&gt;Result_notebook_retravaill!G54,0,IF(Result_notebook_retravaill!I54+Result_notebook_retravaill!J54&gt;Result_notebook_retravaill!G54,0,Result_notebook_retravaill!M54))</f>
        <v>0</v>
      </c>
      <c r="M54" s="31">
        <f t="shared" si="0"/>
        <v>0</v>
      </c>
    </row>
    <row r="55" spans="1:13" x14ac:dyDescent="0.35">
      <c r="A55">
        <f>Result_notebook_retravaill!A55</f>
        <v>2025</v>
      </c>
      <c r="B55" t="str">
        <f>Result_notebook_retravaill!B55</f>
        <v>Nickel</v>
      </c>
      <c r="C55" t="str">
        <f>Result_notebook_retravaill!C55</f>
        <v>Current Measures</v>
      </c>
      <c r="D55" t="str">
        <f>Result_notebook_retravaill!D55</f>
        <v>Production potential</v>
      </c>
      <c r="E55" t="str">
        <f>Result_notebook_retravaill!E55</f>
        <v>Current shares</v>
      </c>
      <c r="F55" t="str">
        <f>Result_notebook_retravaill!F55</f>
        <v>Expansion Extractive+Circularity</v>
      </c>
      <c r="G55">
        <f>Result_notebook_retravaill!G55</f>
        <v>20352.370126600821</v>
      </c>
      <c r="H55" s="32">
        <f>IF(Result_notebook_retravaill!I55&gt;Result_notebook_retravaill!G55,Result_notebook_retravaill!I55/Result_notebook_retravaill!N55,Result_notebook_retravaill!H55)</f>
        <v>124010.10328178547</v>
      </c>
      <c r="I55" s="32">
        <f>Result_notebook_retravaill!K55</f>
        <v>0</v>
      </c>
      <c r="J55" s="32">
        <f>MIN(G55,Result_notebook_retravaill!I55)</f>
        <v>20352.370126600821</v>
      </c>
      <c r="K55" s="32">
        <f>IF(Result_notebook_retravaill!I55&gt;Result_notebook_retravaill!G55,0,IF(Result_notebook_retravaill!I55+Result_notebook_retravaill!J55&gt;Result_notebook_retravaill!G55,Result_notebook_retravaill!G55-Result_notebook_retravaill!I55,Result_notebook_retravaill!J55))</f>
        <v>0</v>
      </c>
      <c r="L55" s="32">
        <f>IF(Result_notebook_retravaill!I55&gt;Result_notebook_retravaill!G55,0,IF(Result_notebook_retravaill!I55+Result_notebook_retravaill!J55&gt;Result_notebook_retravaill!G55,0,Result_notebook_retravaill!M55))</f>
        <v>0</v>
      </c>
      <c r="M55" s="31">
        <f t="shared" si="0"/>
        <v>0</v>
      </c>
    </row>
    <row r="56" spans="1:13" x14ac:dyDescent="0.35">
      <c r="A56">
        <f>Result_notebook_retravaill!A56</f>
        <v>2025</v>
      </c>
      <c r="B56" t="str">
        <f>Result_notebook_retravaill!B56</f>
        <v>Nickel</v>
      </c>
      <c r="C56" t="str">
        <f>Result_notebook_retravaill!C56</f>
        <v>Current Measures</v>
      </c>
      <c r="D56" t="str">
        <f>Result_notebook_retravaill!D56</f>
        <v>Production potential</v>
      </c>
      <c r="E56" t="str">
        <f>Result_notebook_retravaill!E56</f>
        <v>100% CAN</v>
      </c>
      <c r="F56" t="str">
        <f>Result_notebook_retravaill!F56</f>
        <v>Integrated</v>
      </c>
      <c r="G56">
        <f>Result_notebook_retravaill!G56</f>
        <v>20352.370126600821</v>
      </c>
      <c r="H56" s="32">
        <f>IF(Result_notebook_retravaill!I56&gt;Result_notebook_retravaill!G56,Result_notebook_retravaill!I56/Result_notebook_retravaill!N56,Result_notebook_retravaill!H56)</f>
        <v>174127.74396030381</v>
      </c>
      <c r="I56" s="32">
        <f>Result_notebook_retravaill!K56</f>
        <v>0</v>
      </c>
      <c r="J56" s="32">
        <f>MIN(G56,Result_notebook_retravaill!I56)</f>
        <v>20352.370126600821</v>
      </c>
      <c r="K56" s="32">
        <f>IF(Result_notebook_retravaill!I56&gt;Result_notebook_retravaill!G56,0,IF(Result_notebook_retravaill!I56+Result_notebook_retravaill!J56&gt;Result_notebook_retravaill!G56,Result_notebook_retravaill!G56-Result_notebook_retravaill!I56,Result_notebook_retravaill!J56))</f>
        <v>0</v>
      </c>
      <c r="L56" s="32">
        <f>IF(Result_notebook_retravaill!I56&gt;Result_notebook_retravaill!G56,0,IF(Result_notebook_retravaill!I56+Result_notebook_retravaill!J56&gt;Result_notebook_retravaill!G56,0,Result_notebook_retravaill!M56))</f>
        <v>0</v>
      </c>
      <c r="M56" s="31">
        <f t="shared" si="0"/>
        <v>0</v>
      </c>
    </row>
    <row r="57" spans="1:13" x14ac:dyDescent="0.35">
      <c r="A57">
        <f>Result_notebook_retravaill!A57</f>
        <v>2025</v>
      </c>
      <c r="B57" t="str">
        <f>Result_notebook_retravaill!B57</f>
        <v>Nickel</v>
      </c>
      <c r="C57" t="str">
        <f>Result_notebook_retravaill!C57</f>
        <v>Global Net-zero</v>
      </c>
      <c r="D57" t="str">
        <f>Result_notebook_retravaill!D57</f>
        <v>Existing production</v>
      </c>
      <c r="E57" t="str">
        <f>Result_notebook_retravaill!E57</f>
        <v>Current shares</v>
      </c>
      <c r="F57" t="str">
        <f>Result_notebook_retravaill!F57</f>
        <v>NIMBY</v>
      </c>
      <c r="G57">
        <f>Result_notebook_retravaill!G57</f>
        <v>21927.171834368899</v>
      </c>
      <c r="H57" s="32">
        <f>IF(Result_notebook_retravaill!I57&gt;Result_notebook_retravaill!G57,Result_notebook_retravaill!I57/Result_notebook_retravaill!N57,Result_notebook_retravaill!H57)</f>
        <v>0</v>
      </c>
      <c r="I57" s="32">
        <f>Result_notebook_retravaill!K57</f>
        <v>27755.913714391008</v>
      </c>
      <c r="J57" s="32">
        <f>MIN(G57,Result_notebook_retravaill!I57)</f>
        <v>0</v>
      </c>
      <c r="K57" s="32">
        <f>IF(Result_notebook_retravaill!I57&gt;Result_notebook_retravaill!G57,0,IF(Result_notebook_retravaill!I57+Result_notebook_retravaill!J57&gt;Result_notebook_retravaill!G57,Result_notebook_retravaill!G57-Result_notebook_retravaill!I57,Result_notebook_retravaill!J57))</f>
        <v>0</v>
      </c>
      <c r="L57" s="32">
        <f>IF(Result_notebook_retravaill!I57&gt;Result_notebook_retravaill!G57,0,IF(Result_notebook_retravaill!I57+Result_notebook_retravaill!J57&gt;Result_notebook_retravaill!G57,0,Result_notebook_retravaill!M57))</f>
        <v>21927.171834368899</v>
      </c>
      <c r="M57" s="31">
        <f t="shared" si="0"/>
        <v>0</v>
      </c>
    </row>
    <row r="58" spans="1:13" x14ac:dyDescent="0.35">
      <c r="A58">
        <f>Result_notebook_retravaill!A58</f>
        <v>2025</v>
      </c>
      <c r="B58" t="str">
        <f>Result_notebook_retravaill!B58</f>
        <v>Nickel</v>
      </c>
      <c r="C58" t="str">
        <f>Result_notebook_retravaill!C58</f>
        <v>Global Net-zero</v>
      </c>
      <c r="D58" t="str">
        <f>Result_notebook_retravaill!D58</f>
        <v>Existing production</v>
      </c>
      <c r="E58" t="str">
        <f>Result_notebook_retravaill!E58</f>
        <v>Current shares</v>
      </c>
      <c r="F58" t="str">
        <f>Result_notebook_retravaill!F58</f>
        <v>Status Quo</v>
      </c>
      <c r="G58">
        <f>Result_notebook_retravaill!G58</f>
        <v>21927.171834368899</v>
      </c>
      <c r="H58" s="32">
        <f>IF(Result_notebook_retravaill!I58&gt;Result_notebook_retravaill!G58,Result_notebook_retravaill!I58/Result_notebook_retravaill!N58,Result_notebook_retravaill!H58)</f>
        <v>124010.10328178547</v>
      </c>
      <c r="I58" s="32">
        <f>Result_notebook_retravaill!K58</f>
        <v>0</v>
      </c>
      <c r="J58" s="32">
        <f>MIN(G58,Result_notebook_retravaill!I58)</f>
        <v>21927.171834368899</v>
      </c>
      <c r="K58" s="32">
        <f>IF(Result_notebook_retravaill!I58&gt;Result_notebook_retravaill!G58,0,IF(Result_notebook_retravaill!I58+Result_notebook_retravaill!J58&gt;Result_notebook_retravaill!G58,Result_notebook_retravaill!G58-Result_notebook_retravaill!I58,Result_notebook_retravaill!J58))</f>
        <v>0</v>
      </c>
      <c r="L58" s="32">
        <f>IF(Result_notebook_retravaill!I58&gt;Result_notebook_retravaill!G58,0,IF(Result_notebook_retravaill!I58+Result_notebook_retravaill!J58&gt;Result_notebook_retravaill!G58,0,Result_notebook_retravaill!M58))</f>
        <v>0</v>
      </c>
      <c r="M58" s="31">
        <f t="shared" si="0"/>
        <v>0</v>
      </c>
    </row>
    <row r="59" spans="1:13" x14ac:dyDescent="0.35">
      <c r="A59">
        <f>Result_notebook_retravaill!A59</f>
        <v>2025</v>
      </c>
      <c r="B59" t="str">
        <f>Result_notebook_retravaill!B59</f>
        <v>Nickel</v>
      </c>
      <c r="C59" t="str">
        <f>Result_notebook_retravaill!C59</f>
        <v>Global Net-zero</v>
      </c>
      <c r="D59" t="str">
        <f>Result_notebook_retravaill!D59</f>
        <v>Production potential</v>
      </c>
      <c r="E59" t="str">
        <f>Result_notebook_retravaill!E59</f>
        <v>Current shares</v>
      </c>
      <c r="F59" t="str">
        <f>Result_notebook_retravaill!F59</f>
        <v>Expansion Extractive</v>
      </c>
      <c r="G59">
        <f>Result_notebook_retravaill!G59</f>
        <v>21927.171834368899</v>
      </c>
      <c r="H59" s="32">
        <f>IF(Result_notebook_retravaill!I59&gt;Result_notebook_retravaill!G59,Result_notebook_retravaill!I59/Result_notebook_retravaill!N59,Result_notebook_retravaill!H59)</f>
        <v>124010.10328178547</v>
      </c>
      <c r="I59" s="32">
        <f>Result_notebook_retravaill!K59</f>
        <v>0</v>
      </c>
      <c r="J59" s="32">
        <f>MIN(G59,Result_notebook_retravaill!I59)</f>
        <v>21927.171834368899</v>
      </c>
      <c r="K59" s="32">
        <f>IF(Result_notebook_retravaill!I59&gt;Result_notebook_retravaill!G59,0,IF(Result_notebook_retravaill!I59+Result_notebook_retravaill!J59&gt;Result_notebook_retravaill!G59,Result_notebook_retravaill!G59-Result_notebook_retravaill!I59,Result_notebook_retravaill!J59))</f>
        <v>0</v>
      </c>
      <c r="L59" s="32">
        <f>IF(Result_notebook_retravaill!I59&gt;Result_notebook_retravaill!G59,0,IF(Result_notebook_retravaill!I59+Result_notebook_retravaill!J59&gt;Result_notebook_retravaill!G59,0,Result_notebook_retravaill!M59))</f>
        <v>0</v>
      </c>
      <c r="M59" s="31">
        <f t="shared" si="0"/>
        <v>0</v>
      </c>
    </row>
    <row r="60" spans="1:13" x14ac:dyDescent="0.35">
      <c r="A60">
        <f>Result_notebook_retravaill!A60</f>
        <v>2025</v>
      </c>
      <c r="B60" t="str">
        <f>Result_notebook_retravaill!B60</f>
        <v>Nickel</v>
      </c>
      <c r="C60" t="str">
        <f>Result_notebook_retravaill!C60</f>
        <v>Global Net-zero</v>
      </c>
      <c r="D60" t="str">
        <f>Result_notebook_retravaill!D60</f>
        <v>Production potential</v>
      </c>
      <c r="E60" t="str">
        <f>Result_notebook_retravaill!E60</f>
        <v>Current shares</v>
      </c>
      <c r="F60" t="str">
        <f>Result_notebook_retravaill!F60</f>
        <v>Expansion Extractive+Circularity</v>
      </c>
      <c r="G60">
        <f>Result_notebook_retravaill!G60</f>
        <v>21927.171834368899</v>
      </c>
      <c r="H60" s="32">
        <f>IF(Result_notebook_retravaill!I60&gt;Result_notebook_retravaill!G60,Result_notebook_retravaill!I60/Result_notebook_retravaill!N60,Result_notebook_retravaill!H60)</f>
        <v>124010.10328178547</v>
      </c>
      <c r="I60" s="32">
        <f>Result_notebook_retravaill!K60</f>
        <v>0</v>
      </c>
      <c r="J60" s="32">
        <f>MIN(G60,Result_notebook_retravaill!I60)</f>
        <v>21927.171834368899</v>
      </c>
      <c r="K60" s="32">
        <f>IF(Result_notebook_retravaill!I60&gt;Result_notebook_retravaill!G60,0,IF(Result_notebook_retravaill!I60+Result_notebook_retravaill!J60&gt;Result_notebook_retravaill!G60,Result_notebook_retravaill!G60-Result_notebook_retravaill!I60,Result_notebook_retravaill!J60))</f>
        <v>0</v>
      </c>
      <c r="L60" s="32">
        <f>IF(Result_notebook_retravaill!I60&gt;Result_notebook_retravaill!G60,0,IF(Result_notebook_retravaill!I60+Result_notebook_retravaill!J60&gt;Result_notebook_retravaill!G60,0,Result_notebook_retravaill!M60))</f>
        <v>0</v>
      </c>
      <c r="M60" s="31">
        <f t="shared" si="0"/>
        <v>0</v>
      </c>
    </row>
    <row r="61" spans="1:13" x14ac:dyDescent="0.35">
      <c r="A61">
        <f>Result_notebook_retravaill!A61</f>
        <v>2025</v>
      </c>
      <c r="B61" t="str">
        <f>Result_notebook_retravaill!B61</f>
        <v>Nickel</v>
      </c>
      <c r="C61" t="str">
        <f>Result_notebook_retravaill!C61</f>
        <v>Global Net-zero</v>
      </c>
      <c r="D61" t="str">
        <f>Result_notebook_retravaill!D61</f>
        <v>Production potential</v>
      </c>
      <c r="E61" t="str">
        <f>Result_notebook_retravaill!E61</f>
        <v>100% CAN</v>
      </c>
      <c r="F61" t="str">
        <f>Result_notebook_retravaill!F61</f>
        <v>Integrated</v>
      </c>
      <c r="G61">
        <f>Result_notebook_retravaill!G61</f>
        <v>21927.171834368899</v>
      </c>
      <c r="H61" s="32">
        <f>IF(Result_notebook_retravaill!I61&gt;Result_notebook_retravaill!G61,Result_notebook_retravaill!I61/Result_notebook_retravaill!N61,Result_notebook_retravaill!H61)</f>
        <v>174127.74396030381</v>
      </c>
      <c r="I61" s="32">
        <f>Result_notebook_retravaill!K61</f>
        <v>0</v>
      </c>
      <c r="J61" s="32">
        <f>MIN(G61,Result_notebook_retravaill!I61)</f>
        <v>21927.171834368899</v>
      </c>
      <c r="K61" s="32">
        <f>IF(Result_notebook_retravaill!I61&gt;Result_notebook_retravaill!G61,0,IF(Result_notebook_retravaill!I61+Result_notebook_retravaill!J61&gt;Result_notebook_retravaill!G61,Result_notebook_retravaill!G61-Result_notebook_retravaill!I61,Result_notebook_retravaill!J61))</f>
        <v>0</v>
      </c>
      <c r="L61" s="32">
        <f>IF(Result_notebook_retravaill!I61&gt;Result_notebook_retravaill!G61,0,IF(Result_notebook_retravaill!I61+Result_notebook_retravaill!J61&gt;Result_notebook_retravaill!G61,0,Result_notebook_retravaill!M61))</f>
        <v>0</v>
      </c>
      <c r="M61" s="31">
        <f t="shared" si="0"/>
        <v>0</v>
      </c>
    </row>
    <row r="62" spans="1:13" x14ac:dyDescent="0.35">
      <c r="A62">
        <f>Result_notebook_retravaill!A62</f>
        <v>2025</v>
      </c>
      <c r="B62" t="str">
        <f>Result_notebook_retravaill!B62</f>
        <v>Graphite</v>
      </c>
      <c r="C62" t="str">
        <f>Result_notebook_retravaill!C62</f>
        <v>Canada Net-zero</v>
      </c>
      <c r="D62" t="str">
        <f>Result_notebook_retravaill!D62</f>
        <v>Existing production</v>
      </c>
      <c r="E62" t="str">
        <f>Result_notebook_retravaill!E62</f>
        <v>Current shares</v>
      </c>
      <c r="F62" t="str">
        <f>Result_notebook_retravaill!F62</f>
        <v>NIMBY</v>
      </c>
      <c r="G62">
        <f>Result_notebook_retravaill!G62</f>
        <v>413.38674287243032</v>
      </c>
      <c r="H62" s="32">
        <f>IF(Result_notebook_retravaill!I62&gt;Result_notebook_retravaill!G62,Result_notebook_retravaill!I62/Result_notebook_retravaill!N62,Result_notebook_retravaill!H62)</f>
        <v>0</v>
      </c>
      <c r="I62" s="32">
        <f>Result_notebook_retravaill!K62</f>
        <v>413.38674287243032</v>
      </c>
      <c r="J62" s="32">
        <f>MIN(G62,Result_notebook_retravaill!I62)</f>
        <v>0</v>
      </c>
      <c r="K62" s="32">
        <f>IF(Result_notebook_retravaill!I62&gt;Result_notebook_retravaill!G62,0,IF(Result_notebook_retravaill!I62+Result_notebook_retravaill!J62&gt;Result_notebook_retravaill!G62,Result_notebook_retravaill!G62-Result_notebook_retravaill!I62,Result_notebook_retravaill!J62))</f>
        <v>0</v>
      </c>
      <c r="L62" s="32">
        <f>IF(Result_notebook_retravaill!I62&gt;Result_notebook_retravaill!G62,0,IF(Result_notebook_retravaill!I62+Result_notebook_retravaill!J62&gt;Result_notebook_retravaill!G62,0,Result_notebook_retravaill!M62))</f>
        <v>413.38674287243032</v>
      </c>
      <c r="M62" s="31">
        <f t="shared" si="0"/>
        <v>0</v>
      </c>
    </row>
    <row r="63" spans="1:13" x14ac:dyDescent="0.35">
      <c r="A63">
        <f>Result_notebook_retravaill!A63</f>
        <v>2025</v>
      </c>
      <c r="B63" t="str">
        <f>Result_notebook_retravaill!B63</f>
        <v>Graphite</v>
      </c>
      <c r="C63" t="str">
        <f>Result_notebook_retravaill!C63</f>
        <v>Canada Net-zero</v>
      </c>
      <c r="D63" t="str">
        <f>Result_notebook_retravaill!D63</f>
        <v>Existing production</v>
      </c>
      <c r="E63" t="str">
        <f>Result_notebook_retravaill!E63</f>
        <v>Current shares</v>
      </c>
      <c r="F63" t="str">
        <f>Result_notebook_retravaill!F63</f>
        <v>Status Quo</v>
      </c>
      <c r="G63">
        <f>Result_notebook_retravaill!G63</f>
        <v>413.38674287243032</v>
      </c>
      <c r="H63" s="32">
        <f>IF(Result_notebook_retravaill!I63&gt;Result_notebook_retravaill!G63,Result_notebook_retravaill!I63/Result_notebook_retravaill!N63,Result_notebook_retravaill!H63)</f>
        <v>0</v>
      </c>
      <c r="I63" s="32">
        <f>Result_notebook_retravaill!K63</f>
        <v>413.38674287243032</v>
      </c>
      <c r="J63" s="32">
        <f>MIN(G63,Result_notebook_retravaill!I63)</f>
        <v>0</v>
      </c>
      <c r="K63" s="32">
        <f>IF(Result_notebook_retravaill!I63&gt;Result_notebook_retravaill!G63,0,IF(Result_notebook_retravaill!I63+Result_notebook_retravaill!J63&gt;Result_notebook_retravaill!G63,Result_notebook_retravaill!G63-Result_notebook_retravaill!I63,Result_notebook_retravaill!J63))</f>
        <v>0</v>
      </c>
      <c r="L63" s="32">
        <f>IF(Result_notebook_retravaill!I63&gt;Result_notebook_retravaill!G63,0,IF(Result_notebook_retravaill!I63+Result_notebook_retravaill!J63&gt;Result_notebook_retravaill!G63,0,Result_notebook_retravaill!M63))</f>
        <v>413.38674287243032</v>
      </c>
      <c r="M63" s="31">
        <f t="shared" si="0"/>
        <v>0</v>
      </c>
    </row>
    <row r="64" spans="1:13" x14ac:dyDescent="0.35">
      <c r="A64">
        <f>Result_notebook_retravaill!A64</f>
        <v>2025</v>
      </c>
      <c r="B64" t="str">
        <f>Result_notebook_retravaill!B64</f>
        <v>Graphite</v>
      </c>
      <c r="C64" t="str">
        <f>Result_notebook_retravaill!C64</f>
        <v>Canada Net-zero</v>
      </c>
      <c r="D64" t="str">
        <f>Result_notebook_retravaill!D64</f>
        <v>Production potential</v>
      </c>
      <c r="E64" t="str">
        <f>Result_notebook_retravaill!E64</f>
        <v>Current shares</v>
      </c>
      <c r="F64" t="str">
        <f>Result_notebook_retravaill!F64</f>
        <v>Expansion Extractive</v>
      </c>
      <c r="G64">
        <f>Result_notebook_retravaill!G64</f>
        <v>413.38674287243032</v>
      </c>
      <c r="H64" s="32">
        <f>IF(Result_notebook_retravaill!I64&gt;Result_notebook_retravaill!G64,Result_notebook_retravaill!I64/Result_notebook_retravaill!N64,Result_notebook_retravaill!H64)</f>
        <v>54884.043145663993</v>
      </c>
      <c r="I64" s="32">
        <f>Result_notebook_retravaill!K64</f>
        <v>0</v>
      </c>
      <c r="J64" s="32">
        <f>MIN(G64,Result_notebook_retravaill!I64)</f>
        <v>413.38674287243032</v>
      </c>
      <c r="K64" s="32">
        <f>IF(Result_notebook_retravaill!I64&gt;Result_notebook_retravaill!G64,0,IF(Result_notebook_retravaill!I64+Result_notebook_retravaill!J64&gt;Result_notebook_retravaill!G64,Result_notebook_retravaill!G64-Result_notebook_retravaill!I64,Result_notebook_retravaill!J64))</f>
        <v>0</v>
      </c>
      <c r="L64" s="32">
        <f>IF(Result_notebook_retravaill!I64&gt;Result_notebook_retravaill!G64,0,IF(Result_notebook_retravaill!I64+Result_notebook_retravaill!J64&gt;Result_notebook_retravaill!G64,0,Result_notebook_retravaill!M64))</f>
        <v>0</v>
      </c>
      <c r="M64" s="31">
        <f t="shared" si="0"/>
        <v>0</v>
      </c>
    </row>
    <row r="65" spans="1:13" x14ac:dyDescent="0.35">
      <c r="A65">
        <f>Result_notebook_retravaill!A65</f>
        <v>2025</v>
      </c>
      <c r="B65" t="str">
        <f>Result_notebook_retravaill!B65</f>
        <v>Graphite</v>
      </c>
      <c r="C65" t="str">
        <f>Result_notebook_retravaill!C65</f>
        <v>Canada Net-zero</v>
      </c>
      <c r="D65" t="str">
        <f>Result_notebook_retravaill!D65</f>
        <v>Production potential</v>
      </c>
      <c r="E65" t="str">
        <f>Result_notebook_retravaill!E65</f>
        <v>Current shares</v>
      </c>
      <c r="F65" t="str">
        <f>Result_notebook_retravaill!F65</f>
        <v>Expansion Extractive+Circularity</v>
      </c>
      <c r="G65">
        <f>Result_notebook_retravaill!G65</f>
        <v>413.38674287243032</v>
      </c>
      <c r="H65" s="32">
        <f>IF(Result_notebook_retravaill!I65&gt;Result_notebook_retravaill!G65,Result_notebook_retravaill!I65/Result_notebook_retravaill!N65,Result_notebook_retravaill!H65)</f>
        <v>54884.043145663993</v>
      </c>
      <c r="I65" s="32">
        <f>Result_notebook_retravaill!K65</f>
        <v>0</v>
      </c>
      <c r="J65" s="32">
        <f>MIN(G65,Result_notebook_retravaill!I65)</f>
        <v>413.38674287243032</v>
      </c>
      <c r="K65" s="32">
        <f>IF(Result_notebook_retravaill!I65&gt;Result_notebook_retravaill!G65,0,IF(Result_notebook_retravaill!I65+Result_notebook_retravaill!J65&gt;Result_notebook_retravaill!G65,Result_notebook_retravaill!G65-Result_notebook_retravaill!I65,Result_notebook_retravaill!J65))</f>
        <v>0</v>
      </c>
      <c r="L65" s="32">
        <f>IF(Result_notebook_retravaill!I65&gt;Result_notebook_retravaill!G65,0,IF(Result_notebook_retravaill!I65+Result_notebook_retravaill!J65&gt;Result_notebook_retravaill!G65,0,Result_notebook_retravaill!M65))</f>
        <v>0</v>
      </c>
      <c r="M65" s="31">
        <f t="shared" si="0"/>
        <v>0</v>
      </c>
    </row>
    <row r="66" spans="1:13" x14ac:dyDescent="0.35">
      <c r="A66">
        <f>Result_notebook_retravaill!A66</f>
        <v>2025</v>
      </c>
      <c r="B66" t="str">
        <f>Result_notebook_retravaill!B66</f>
        <v>Graphite</v>
      </c>
      <c r="C66" t="str">
        <f>Result_notebook_retravaill!C66</f>
        <v>Canada Net-zero</v>
      </c>
      <c r="D66" t="str">
        <f>Result_notebook_retravaill!D66</f>
        <v>Production potential</v>
      </c>
      <c r="E66" t="str">
        <f>Result_notebook_retravaill!E66</f>
        <v>100% CAN</v>
      </c>
      <c r="F66" t="str">
        <f>Result_notebook_retravaill!F66</f>
        <v>Integrated</v>
      </c>
      <c r="G66">
        <f>Result_notebook_retravaill!G66</f>
        <v>413.38674287243032</v>
      </c>
      <c r="H66" s="32">
        <f>IF(Result_notebook_retravaill!I66&gt;Result_notebook_retravaill!G66,Result_notebook_retravaill!I66/Result_notebook_retravaill!N66,Result_notebook_retravaill!H66)</f>
        <v>54884.043145663993</v>
      </c>
      <c r="I66" s="32">
        <f>Result_notebook_retravaill!K66</f>
        <v>0</v>
      </c>
      <c r="J66" s="32">
        <f>MIN(G66,Result_notebook_retravaill!I66)</f>
        <v>413.38674287243032</v>
      </c>
      <c r="K66" s="32">
        <f>IF(Result_notebook_retravaill!I66&gt;Result_notebook_retravaill!G66,0,IF(Result_notebook_retravaill!I66+Result_notebook_retravaill!J66&gt;Result_notebook_retravaill!G66,Result_notebook_retravaill!G66-Result_notebook_retravaill!I66,Result_notebook_retravaill!J66))</f>
        <v>0</v>
      </c>
      <c r="L66" s="32">
        <f>IF(Result_notebook_retravaill!I66&gt;Result_notebook_retravaill!G66,0,IF(Result_notebook_retravaill!I66+Result_notebook_retravaill!J66&gt;Result_notebook_retravaill!G66,0,Result_notebook_retravaill!M66))</f>
        <v>0</v>
      </c>
      <c r="M66" s="31">
        <f t="shared" si="0"/>
        <v>0</v>
      </c>
    </row>
    <row r="67" spans="1:13" x14ac:dyDescent="0.35">
      <c r="A67">
        <f>Result_notebook_retravaill!A67</f>
        <v>2025</v>
      </c>
      <c r="B67" t="str">
        <f>Result_notebook_retravaill!B67</f>
        <v>Graphite</v>
      </c>
      <c r="C67" t="str">
        <f>Result_notebook_retravaill!C67</f>
        <v>Current Measures</v>
      </c>
      <c r="D67" t="str">
        <f>Result_notebook_retravaill!D67</f>
        <v>Existing production</v>
      </c>
      <c r="E67" t="str">
        <f>Result_notebook_retravaill!E67</f>
        <v>Current shares</v>
      </c>
      <c r="F67" t="str">
        <f>Result_notebook_retravaill!F67</f>
        <v>NIMBY</v>
      </c>
      <c r="G67">
        <f>Result_notebook_retravaill!G67</f>
        <v>372.44306265009908</v>
      </c>
      <c r="H67" s="32">
        <f>IF(Result_notebook_retravaill!I67&gt;Result_notebook_retravaill!G67,Result_notebook_retravaill!I67/Result_notebook_retravaill!N67,Result_notebook_retravaill!H67)</f>
        <v>0</v>
      </c>
      <c r="I67" s="32">
        <f>Result_notebook_retravaill!K67</f>
        <v>372.44306265009908</v>
      </c>
      <c r="J67" s="32">
        <f>MIN(G67,Result_notebook_retravaill!I67)</f>
        <v>0</v>
      </c>
      <c r="K67" s="32">
        <f>IF(Result_notebook_retravaill!I67&gt;Result_notebook_retravaill!G67,0,IF(Result_notebook_retravaill!I67+Result_notebook_retravaill!J67&gt;Result_notebook_retravaill!G67,Result_notebook_retravaill!G67-Result_notebook_retravaill!I67,Result_notebook_retravaill!J67))</f>
        <v>0</v>
      </c>
      <c r="L67" s="32">
        <f>IF(Result_notebook_retravaill!I67&gt;Result_notebook_retravaill!G67,0,IF(Result_notebook_retravaill!I67+Result_notebook_retravaill!J67&gt;Result_notebook_retravaill!G67,0,Result_notebook_retravaill!M67))</f>
        <v>372.44306265009908</v>
      </c>
      <c r="M67" s="31">
        <f t="shared" ref="M67:M130" si="1">SUM(J67:L67)-G67</f>
        <v>0</v>
      </c>
    </row>
    <row r="68" spans="1:13" x14ac:dyDescent="0.35">
      <c r="A68">
        <f>Result_notebook_retravaill!A68</f>
        <v>2025</v>
      </c>
      <c r="B68" t="str">
        <f>Result_notebook_retravaill!B68</f>
        <v>Graphite</v>
      </c>
      <c r="C68" t="str">
        <f>Result_notebook_retravaill!C68</f>
        <v>Current Measures</v>
      </c>
      <c r="D68" t="str">
        <f>Result_notebook_retravaill!D68</f>
        <v>Existing production</v>
      </c>
      <c r="E68" t="str">
        <f>Result_notebook_retravaill!E68</f>
        <v>Current shares</v>
      </c>
      <c r="F68" t="str">
        <f>Result_notebook_retravaill!F68</f>
        <v>Status Quo</v>
      </c>
      <c r="G68">
        <f>Result_notebook_retravaill!G68</f>
        <v>372.44306265009908</v>
      </c>
      <c r="H68" s="32">
        <f>IF(Result_notebook_retravaill!I68&gt;Result_notebook_retravaill!G68,Result_notebook_retravaill!I68/Result_notebook_retravaill!N68,Result_notebook_retravaill!H68)</f>
        <v>0</v>
      </c>
      <c r="I68" s="32">
        <f>Result_notebook_retravaill!K68</f>
        <v>372.44306265009908</v>
      </c>
      <c r="J68" s="32">
        <f>MIN(G68,Result_notebook_retravaill!I68)</f>
        <v>0</v>
      </c>
      <c r="K68" s="32">
        <f>IF(Result_notebook_retravaill!I68&gt;Result_notebook_retravaill!G68,0,IF(Result_notebook_retravaill!I68+Result_notebook_retravaill!J68&gt;Result_notebook_retravaill!G68,Result_notebook_retravaill!G68-Result_notebook_retravaill!I68,Result_notebook_retravaill!J68))</f>
        <v>0</v>
      </c>
      <c r="L68" s="32">
        <f>IF(Result_notebook_retravaill!I68&gt;Result_notebook_retravaill!G68,0,IF(Result_notebook_retravaill!I68+Result_notebook_retravaill!J68&gt;Result_notebook_retravaill!G68,0,Result_notebook_retravaill!M68))</f>
        <v>372.44306265009908</v>
      </c>
      <c r="M68" s="31">
        <f t="shared" si="1"/>
        <v>0</v>
      </c>
    </row>
    <row r="69" spans="1:13" x14ac:dyDescent="0.35">
      <c r="A69">
        <f>Result_notebook_retravaill!A69</f>
        <v>2025</v>
      </c>
      <c r="B69" t="str">
        <f>Result_notebook_retravaill!B69</f>
        <v>Graphite</v>
      </c>
      <c r="C69" t="str">
        <f>Result_notebook_retravaill!C69</f>
        <v>Current Measures</v>
      </c>
      <c r="D69" t="str">
        <f>Result_notebook_retravaill!D69</f>
        <v>Production potential</v>
      </c>
      <c r="E69" t="str">
        <f>Result_notebook_retravaill!E69</f>
        <v>Current shares</v>
      </c>
      <c r="F69" t="str">
        <f>Result_notebook_retravaill!F69</f>
        <v>Expansion Extractive</v>
      </c>
      <c r="G69">
        <f>Result_notebook_retravaill!G69</f>
        <v>372.44306265009908</v>
      </c>
      <c r="H69" s="32">
        <f>IF(Result_notebook_retravaill!I69&gt;Result_notebook_retravaill!G69,Result_notebook_retravaill!I69/Result_notebook_retravaill!N69,Result_notebook_retravaill!H69)</f>
        <v>54884.043145663993</v>
      </c>
      <c r="I69" s="32">
        <f>Result_notebook_retravaill!K69</f>
        <v>0</v>
      </c>
      <c r="J69" s="32">
        <f>MIN(G69,Result_notebook_retravaill!I69)</f>
        <v>372.44306265009908</v>
      </c>
      <c r="K69" s="32">
        <f>IF(Result_notebook_retravaill!I69&gt;Result_notebook_retravaill!G69,0,IF(Result_notebook_retravaill!I69+Result_notebook_retravaill!J69&gt;Result_notebook_retravaill!G69,Result_notebook_retravaill!G69-Result_notebook_retravaill!I69,Result_notebook_retravaill!J69))</f>
        <v>0</v>
      </c>
      <c r="L69" s="32">
        <f>IF(Result_notebook_retravaill!I69&gt;Result_notebook_retravaill!G69,0,IF(Result_notebook_retravaill!I69+Result_notebook_retravaill!J69&gt;Result_notebook_retravaill!G69,0,Result_notebook_retravaill!M69))</f>
        <v>0</v>
      </c>
      <c r="M69" s="31">
        <f t="shared" si="1"/>
        <v>0</v>
      </c>
    </row>
    <row r="70" spans="1:13" x14ac:dyDescent="0.35">
      <c r="A70">
        <f>Result_notebook_retravaill!A70</f>
        <v>2025</v>
      </c>
      <c r="B70" t="str">
        <f>Result_notebook_retravaill!B70</f>
        <v>Graphite</v>
      </c>
      <c r="C70" t="str">
        <f>Result_notebook_retravaill!C70</f>
        <v>Current Measures</v>
      </c>
      <c r="D70" t="str">
        <f>Result_notebook_retravaill!D70</f>
        <v>Production potential</v>
      </c>
      <c r="E70" t="str">
        <f>Result_notebook_retravaill!E70</f>
        <v>Current shares</v>
      </c>
      <c r="F70" t="str">
        <f>Result_notebook_retravaill!F70</f>
        <v>Expansion Extractive+Circularity</v>
      </c>
      <c r="G70">
        <f>Result_notebook_retravaill!G70</f>
        <v>372.44306265009908</v>
      </c>
      <c r="H70" s="32">
        <f>IF(Result_notebook_retravaill!I70&gt;Result_notebook_retravaill!G70,Result_notebook_retravaill!I70/Result_notebook_retravaill!N70,Result_notebook_retravaill!H70)</f>
        <v>54884.043145663993</v>
      </c>
      <c r="I70" s="32">
        <f>Result_notebook_retravaill!K70</f>
        <v>0</v>
      </c>
      <c r="J70" s="32">
        <f>MIN(G70,Result_notebook_retravaill!I70)</f>
        <v>372.44306265009908</v>
      </c>
      <c r="K70" s="32">
        <f>IF(Result_notebook_retravaill!I70&gt;Result_notebook_retravaill!G70,0,IF(Result_notebook_retravaill!I70+Result_notebook_retravaill!J70&gt;Result_notebook_retravaill!G70,Result_notebook_retravaill!G70-Result_notebook_retravaill!I70,Result_notebook_retravaill!J70))</f>
        <v>0</v>
      </c>
      <c r="L70" s="32">
        <f>IF(Result_notebook_retravaill!I70&gt;Result_notebook_retravaill!G70,0,IF(Result_notebook_retravaill!I70+Result_notebook_retravaill!J70&gt;Result_notebook_retravaill!G70,0,Result_notebook_retravaill!M70))</f>
        <v>0</v>
      </c>
      <c r="M70" s="31">
        <f t="shared" si="1"/>
        <v>0</v>
      </c>
    </row>
    <row r="71" spans="1:13" x14ac:dyDescent="0.35">
      <c r="A71">
        <f>Result_notebook_retravaill!A71</f>
        <v>2025</v>
      </c>
      <c r="B71" t="str">
        <f>Result_notebook_retravaill!B71</f>
        <v>Graphite</v>
      </c>
      <c r="C71" t="str">
        <f>Result_notebook_retravaill!C71</f>
        <v>Current Measures</v>
      </c>
      <c r="D71" t="str">
        <f>Result_notebook_retravaill!D71</f>
        <v>Production potential</v>
      </c>
      <c r="E71" t="str">
        <f>Result_notebook_retravaill!E71</f>
        <v>100% CAN</v>
      </c>
      <c r="F71" t="str">
        <f>Result_notebook_retravaill!F71</f>
        <v>Integrated</v>
      </c>
      <c r="G71">
        <f>Result_notebook_retravaill!G71</f>
        <v>372.44306265009908</v>
      </c>
      <c r="H71" s="32">
        <f>IF(Result_notebook_retravaill!I71&gt;Result_notebook_retravaill!G71,Result_notebook_retravaill!I71/Result_notebook_retravaill!N71,Result_notebook_retravaill!H71)</f>
        <v>54884.043145663993</v>
      </c>
      <c r="I71" s="32">
        <f>Result_notebook_retravaill!K71</f>
        <v>0</v>
      </c>
      <c r="J71" s="32">
        <f>MIN(G71,Result_notebook_retravaill!I71)</f>
        <v>372.44306265009908</v>
      </c>
      <c r="K71" s="32">
        <f>IF(Result_notebook_retravaill!I71&gt;Result_notebook_retravaill!G71,0,IF(Result_notebook_retravaill!I71+Result_notebook_retravaill!J71&gt;Result_notebook_retravaill!G71,Result_notebook_retravaill!G71-Result_notebook_retravaill!I71,Result_notebook_retravaill!J71))</f>
        <v>0</v>
      </c>
      <c r="L71" s="32">
        <f>IF(Result_notebook_retravaill!I71&gt;Result_notebook_retravaill!G71,0,IF(Result_notebook_retravaill!I71+Result_notebook_retravaill!J71&gt;Result_notebook_retravaill!G71,0,Result_notebook_retravaill!M71))</f>
        <v>0</v>
      </c>
      <c r="M71" s="31">
        <f t="shared" si="1"/>
        <v>0</v>
      </c>
    </row>
    <row r="72" spans="1:13" x14ac:dyDescent="0.35">
      <c r="A72">
        <f>Result_notebook_retravaill!A72</f>
        <v>2025</v>
      </c>
      <c r="B72" t="str">
        <f>Result_notebook_retravaill!B72</f>
        <v>Graphite</v>
      </c>
      <c r="C72" t="str">
        <f>Result_notebook_retravaill!C72</f>
        <v>Global Net-zero</v>
      </c>
      <c r="D72" t="str">
        <f>Result_notebook_retravaill!D72</f>
        <v>Existing production</v>
      </c>
      <c r="E72" t="str">
        <f>Result_notebook_retravaill!E72</f>
        <v>Current shares</v>
      </c>
      <c r="F72" t="str">
        <f>Result_notebook_retravaill!F72</f>
        <v>NIMBY</v>
      </c>
      <c r="G72">
        <f>Result_notebook_retravaill!G72</f>
        <v>411.8870482855956</v>
      </c>
      <c r="H72" s="32">
        <f>IF(Result_notebook_retravaill!I72&gt;Result_notebook_retravaill!G72,Result_notebook_retravaill!I72/Result_notebook_retravaill!N72,Result_notebook_retravaill!H72)</f>
        <v>0</v>
      </c>
      <c r="I72" s="32">
        <f>Result_notebook_retravaill!K72</f>
        <v>411.8870482855956</v>
      </c>
      <c r="J72" s="32">
        <f>MIN(G72,Result_notebook_retravaill!I72)</f>
        <v>0</v>
      </c>
      <c r="K72" s="32">
        <f>IF(Result_notebook_retravaill!I72&gt;Result_notebook_retravaill!G72,0,IF(Result_notebook_retravaill!I72+Result_notebook_retravaill!J72&gt;Result_notebook_retravaill!G72,Result_notebook_retravaill!G72-Result_notebook_retravaill!I72,Result_notebook_retravaill!J72))</f>
        <v>0</v>
      </c>
      <c r="L72" s="32">
        <f>IF(Result_notebook_retravaill!I72&gt;Result_notebook_retravaill!G72,0,IF(Result_notebook_retravaill!I72+Result_notebook_retravaill!J72&gt;Result_notebook_retravaill!G72,0,Result_notebook_retravaill!M72))</f>
        <v>411.8870482855956</v>
      </c>
      <c r="M72" s="31">
        <f t="shared" si="1"/>
        <v>0</v>
      </c>
    </row>
    <row r="73" spans="1:13" x14ac:dyDescent="0.35">
      <c r="A73">
        <f>Result_notebook_retravaill!A73</f>
        <v>2025</v>
      </c>
      <c r="B73" t="str">
        <f>Result_notebook_retravaill!B73</f>
        <v>Graphite</v>
      </c>
      <c r="C73" t="str">
        <f>Result_notebook_retravaill!C73</f>
        <v>Global Net-zero</v>
      </c>
      <c r="D73" t="str">
        <f>Result_notebook_retravaill!D73</f>
        <v>Existing production</v>
      </c>
      <c r="E73" t="str">
        <f>Result_notebook_retravaill!E73</f>
        <v>Current shares</v>
      </c>
      <c r="F73" t="str">
        <f>Result_notebook_retravaill!F73</f>
        <v>Status Quo</v>
      </c>
      <c r="G73">
        <f>Result_notebook_retravaill!G73</f>
        <v>411.8870482855956</v>
      </c>
      <c r="H73" s="32">
        <f>IF(Result_notebook_retravaill!I73&gt;Result_notebook_retravaill!G73,Result_notebook_retravaill!I73/Result_notebook_retravaill!N73,Result_notebook_retravaill!H73)</f>
        <v>0</v>
      </c>
      <c r="I73" s="32">
        <f>Result_notebook_retravaill!K73</f>
        <v>411.8870482855956</v>
      </c>
      <c r="J73" s="32">
        <f>MIN(G73,Result_notebook_retravaill!I73)</f>
        <v>0</v>
      </c>
      <c r="K73" s="32">
        <f>IF(Result_notebook_retravaill!I73&gt;Result_notebook_retravaill!G73,0,IF(Result_notebook_retravaill!I73+Result_notebook_retravaill!J73&gt;Result_notebook_retravaill!G73,Result_notebook_retravaill!G73-Result_notebook_retravaill!I73,Result_notebook_retravaill!J73))</f>
        <v>0</v>
      </c>
      <c r="L73" s="32">
        <f>IF(Result_notebook_retravaill!I73&gt;Result_notebook_retravaill!G73,0,IF(Result_notebook_retravaill!I73+Result_notebook_retravaill!J73&gt;Result_notebook_retravaill!G73,0,Result_notebook_retravaill!M73))</f>
        <v>411.8870482855956</v>
      </c>
      <c r="M73" s="31">
        <f t="shared" si="1"/>
        <v>0</v>
      </c>
    </row>
    <row r="74" spans="1:13" x14ac:dyDescent="0.35">
      <c r="A74">
        <f>Result_notebook_retravaill!A74</f>
        <v>2025</v>
      </c>
      <c r="B74" t="str">
        <f>Result_notebook_retravaill!B74</f>
        <v>Graphite</v>
      </c>
      <c r="C74" t="str">
        <f>Result_notebook_retravaill!C74</f>
        <v>Global Net-zero</v>
      </c>
      <c r="D74" t="str">
        <f>Result_notebook_retravaill!D74</f>
        <v>Production potential</v>
      </c>
      <c r="E74" t="str">
        <f>Result_notebook_retravaill!E74</f>
        <v>Current shares</v>
      </c>
      <c r="F74" t="str">
        <f>Result_notebook_retravaill!F74</f>
        <v>Expansion Extractive</v>
      </c>
      <c r="G74">
        <f>Result_notebook_retravaill!G74</f>
        <v>411.8870482855956</v>
      </c>
      <c r="H74" s="32">
        <f>IF(Result_notebook_retravaill!I74&gt;Result_notebook_retravaill!G74,Result_notebook_retravaill!I74/Result_notebook_retravaill!N74,Result_notebook_retravaill!H74)</f>
        <v>54884.043145663993</v>
      </c>
      <c r="I74" s="32">
        <f>Result_notebook_retravaill!K74</f>
        <v>0</v>
      </c>
      <c r="J74" s="32">
        <f>MIN(G74,Result_notebook_retravaill!I74)</f>
        <v>411.8870482855956</v>
      </c>
      <c r="K74" s="32">
        <f>IF(Result_notebook_retravaill!I74&gt;Result_notebook_retravaill!G74,0,IF(Result_notebook_retravaill!I74+Result_notebook_retravaill!J74&gt;Result_notebook_retravaill!G74,Result_notebook_retravaill!G74-Result_notebook_retravaill!I74,Result_notebook_retravaill!J74))</f>
        <v>0</v>
      </c>
      <c r="L74" s="32">
        <f>IF(Result_notebook_retravaill!I74&gt;Result_notebook_retravaill!G74,0,IF(Result_notebook_retravaill!I74+Result_notebook_retravaill!J74&gt;Result_notebook_retravaill!G74,0,Result_notebook_retravaill!M74))</f>
        <v>0</v>
      </c>
      <c r="M74" s="31">
        <f t="shared" si="1"/>
        <v>0</v>
      </c>
    </row>
    <row r="75" spans="1:13" x14ac:dyDescent="0.35">
      <c r="A75">
        <f>Result_notebook_retravaill!A75</f>
        <v>2025</v>
      </c>
      <c r="B75" t="str">
        <f>Result_notebook_retravaill!B75</f>
        <v>Graphite</v>
      </c>
      <c r="C75" t="str">
        <f>Result_notebook_retravaill!C75</f>
        <v>Global Net-zero</v>
      </c>
      <c r="D75" t="str">
        <f>Result_notebook_retravaill!D75</f>
        <v>Production potential</v>
      </c>
      <c r="E75" t="str">
        <f>Result_notebook_retravaill!E75</f>
        <v>Current shares</v>
      </c>
      <c r="F75" t="str">
        <f>Result_notebook_retravaill!F75</f>
        <v>Expansion Extractive+Circularity</v>
      </c>
      <c r="G75">
        <f>Result_notebook_retravaill!G75</f>
        <v>411.8870482855956</v>
      </c>
      <c r="H75" s="32">
        <f>IF(Result_notebook_retravaill!I75&gt;Result_notebook_retravaill!G75,Result_notebook_retravaill!I75/Result_notebook_retravaill!N75,Result_notebook_retravaill!H75)</f>
        <v>54884.043145663993</v>
      </c>
      <c r="I75" s="32">
        <f>Result_notebook_retravaill!K75</f>
        <v>0</v>
      </c>
      <c r="J75" s="32">
        <f>MIN(G75,Result_notebook_retravaill!I75)</f>
        <v>411.8870482855956</v>
      </c>
      <c r="K75" s="32">
        <f>IF(Result_notebook_retravaill!I75&gt;Result_notebook_retravaill!G75,0,IF(Result_notebook_retravaill!I75+Result_notebook_retravaill!J75&gt;Result_notebook_retravaill!G75,Result_notebook_retravaill!G75-Result_notebook_retravaill!I75,Result_notebook_retravaill!J75))</f>
        <v>0</v>
      </c>
      <c r="L75" s="32">
        <f>IF(Result_notebook_retravaill!I75&gt;Result_notebook_retravaill!G75,0,IF(Result_notebook_retravaill!I75+Result_notebook_retravaill!J75&gt;Result_notebook_retravaill!G75,0,Result_notebook_retravaill!M75))</f>
        <v>0</v>
      </c>
      <c r="M75" s="31">
        <f t="shared" si="1"/>
        <v>0</v>
      </c>
    </row>
    <row r="76" spans="1:13" x14ac:dyDescent="0.35">
      <c r="A76">
        <f>Result_notebook_retravaill!A76</f>
        <v>2025</v>
      </c>
      <c r="B76" t="str">
        <f>Result_notebook_retravaill!B76</f>
        <v>Graphite</v>
      </c>
      <c r="C76" t="str">
        <f>Result_notebook_retravaill!C76</f>
        <v>Global Net-zero</v>
      </c>
      <c r="D76" t="str">
        <f>Result_notebook_retravaill!D76</f>
        <v>Production potential</v>
      </c>
      <c r="E76" t="str">
        <f>Result_notebook_retravaill!E76</f>
        <v>100% CAN</v>
      </c>
      <c r="F76" t="str">
        <f>Result_notebook_retravaill!F76</f>
        <v>Integrated</v>
      </c>
      <c r="G76">
        <f>Result_notebook_retravaill!G76</f>
        <v>411.8870482855956</v>
      </c>
      <c r="H76" s="32">
        <f>IF(Result_notebook_retravaill!I76&gt;Result_notebook_retravaill!G76,Result_notebook_retravaill!I76/Result_notebook_retravaill!N76,Result_notebook_retravaill!H76)</f>
        <v>54884.043145663993</v>
      </c>
      <c r="I76" s="32">
        <f>Result_notebook_retravaill!K76</f>
        <v>0</v>
      </c>
      <c r="J76" s="32">
        <f>MIN(G76,Result_notebook_retravaill!I76)</f>
        <v>411.8870482855956</v>
      </c>
      <c r="K76" s="32">
        <f>IF(Result_notebook_retravaill!I76&gt;Result_notebook_retravaill!G76,0,IF(Result_notebook_retravaill!I76+Result_notebook_retravaill!J76&gt;Result_notebook_retravaill!G76,Result_notebook_retravaill!G76-Result_notebook_retravaill!I76,Result_notebook_retravaill!J76))</f>
        <v>0</v>
      </c>
      <c r="L76" s="32">
        <f>IF(Result_notebook_retravaill!I76&gt;Result_notebook_retravaill!G76,0,IF(Result_notebook_retravaill!I76+Result_notebook_retravaill!J76&gt;Result_notebook_retravaill!G76,0,Result_notebook_retravaill!M76))</f>
        <v>0</v>
      </c>
      <c r="M76" s="31">
        <f t="shared" si="1"/>
        <v>0</v>
      </c>
    </row>
    <row r="77" spans="1:13" x14ac:dyDescent="0.35">
      <c r="A77">
        <f>Result_notebook_retravaill!A77</f>
        <v>2025</v>
      </c>
      <c r="B77" t="str">
        <f>Result_notebook_retravaill!B77</f>
        <v>Lithium</v>
      </c>
      <c r="C77" t="str">
        <f>Result_notebook_retravaill!C77</f>
        <v>Canada Net-zero</v>
      </c>
      <c r="D77" t="str">
        <f>Result_notebook_retravaill!D77</f>
        <v>Existing production</v>
      </c>
      <c r="E77" t="str">
        <f>Result_notebook_retravaill!E77</f>
        <v>Current shares</v>
      </c>
      <c r="F77" t="str">
        <f>Result_notebook_retravaill!F77</f>
        <v>NIMBY</v>
      </c>
      <c r="G77">
        <f>Result_notebook_retravaill!G77</f>
        <v>6247.3243664054053</v>
      </c>
      <c r="H77" s="32">
        <f>IF(Result_notebook_retravaill!I77&gt;Result_notebook_retravaill!G77,Result_notebook_retravaill!I77/Result_notebook_retravaill!N77,Result_notebook_retravaill!H77)</f>
        <v>0</v>
      </c>
      <c r="I77" s="32">
        <f>Result_notebook_retravaill!K77</f>
        <v>8924.7490948648647</v>
      </c>
      <c r="J77" s="32">
        <f>MIN(G77,Result_notebook_retravaill!I77)</f>
        <v>0</v>
      </c>
      <c r="K77" s="32">
        <f>IF(Result_notebook_retravaill!I77&gt;Result_notebook_retravaill!G77,0,IF(Result_notebook_retravaill!I77+Result_notebook_retravaill!J77&gt;Result_notebook_retravaill!G77,Result_notebook_retravaill!G77-Result_notebook_retravaill!I77,Result_notebook_retravaill!J77))</f>
        <v>0</v>
      </c>
      <c r="L77" s="32">
        <f>IF(Result_notebook_retravaill!I77&gt;Result_notebook_retravaill!G77,0,IF(Result_notebook_retravaill!I77+Result_notebook_retravaill!J77&gt;Result_notebook_retravaill!G77,0,Result_notebook_retravaill!M77))</f>
        <v>6247.3243664054053</v>
      </c>
      <c r="M77" s="31">
        <f t="shared" si="1"/>
        <v>0</v>
      </c>
    </row>
    <row r="78" spans="1:13" x14ac:dyDescent="0.35">
      <c r="A78">
        <f>Result_notebook_retravaill!A78</f>
        <v>2025</v>
      </c>
      <c r="B78" t="str">
        <f>Result_notebook_retravaill!B78</f>
        <v>Lithium</v>
      </c>
      <c r="C78" t="str">
        <f>Result_notebook_retravaill!C78</f>
        <v>Canada Net-zero</v>
      </c>
      <c r="D78" t="str">
        <f>Result_notebook_retravaill!D78</f>
        <v>Existing production</v>
      </c>
      <c r="E78" t="str">
        <f>Result_notebook_retravaill!E78</f>
        <v>Current shares</v>
      </c>
      <c r="F78" t="str">
        <f>Result_notebook_retravaill!F78</f>
        <v>Status Quo</v>
      </c>
      <c r="G78">
        <f>Result_notebook_retravaill!G78</f>
        <v>6247.3243664054053</v>
      </c>
      <c r="H78" s="32">
        <f>IF(Result_notebook_retravaill!I78&gt;Result_notebook_retravaill!G78,Result_notebook_retravaill!I78/Result_notebook_retravaill!N78,Result_notebook_retravaill!H78)</f>
        <v>33360.753294571456</v>
      </c>
      <c r="I78" s="32">
        <f>Result_notebook_retravaill!K78</f>
        <v>0</v>
      </c>
      <c r="J78" s="32">
        <f>MIN(G78,Result_notebook_retravaill!I78)</f>
        <v>6247.3243664054053</v>
      </c>
      <c r="K78" s="32">
        <f>IF(Result_notebook_retravaill!I78&gt;Result_notebook_retravaill!G78,0,IF(Result_notebook_retravaill!I78+Result_notebook_retravaill!J78&gt;Result_notebook_retravaill!G78,Result_notebook_retravaill!G78-Result_notebook_retravaill!I78,Result_notebook_retravaill!J78))</f>
        <v>0</v>
      </c>
      <c r="L78" s="32">
        <f>IF(Result_notebook_retravaill!I78&gt;Result_notebook_retravaill!G78,0,IF(Result_notebook_retravaill!I78+Result_notebook_retravaill!J78&gt;Result_notebook_retravaill!G78,0,Result_notebook_retravaill!M78))</f>
        <v>0</v>
      </c>
      <c r="M78" s="31">
        <f t="shared" si="1"/>
        <v>0</v>
      </c>
    </row>
    <row r="79" spans="1:13" x14ac:dyDescent="0.35">
      <c r="A79">
        <f>Result_notebook_retravaill!A79</f>
        <v>2025</v>
      </c>
      <c r="B79" t="str">
        <f>Result_notebook_retravaill!B79</f>
        <v>Lithium</v>
      </c>
      <c r="C79" t="str">
        <f>Result_notebook_retravaill!C79</f>
        <v>Canada Net-zero</v>
      </c>
      <c r="D79" t="str">
        <f>Result_notebook_retravaill!D79</f>
        <v>Production potential</v>
      </c>
      <c r="E79" t="str">
        <f>Result_notebook_retravaill!E79</f>
        <v>Current shares</v>
      </c>
      <c r="F79" t="str">
        <f>Result_notebook_retravaill!F79</f>
        <v>Expansion Extractive</v>
      </c>
      <c r="G79">
        <f>Result_notebook_retravaill!G79</f>
        <v>6247.3243664054053</v>
      </c>
      <c r="H79" s="32">
        <f>IF(Result_notebook_retravaill!I79&gt;Result_notebook_retravaill!G79,Result_notebook_retravaill!I79/Result_notebook_retravaill!N79,Result_notebook_retravaill!H79)</f>
        <v>75327.583081707082</v>
      </c>
      <c r="I79" s="32">
        <f>Result_notebook_retravaill!K79</f>
        <v>0</v>
      </c>
      <c r="J79" s="32">
        <f>MIN(G79,Result_notebook_retravaill!I79)</f>
        <v>6247.3243664054053</v>
      </c>
      <c r="K79" s="32">
        <f>IF(Result_notebook_retravaill!I79&gt;Result_notebook_retravaill!G79,0,IF(Result_notebook_retravaill!I79+Result_notebook_retravaill!J79&gt;Result_notebook_retravaill!G79,Result_notebook_retravaill!G79-Result_notebook_retravaill!I79,Result_notebook_retravaill!J79))</f>
        <v>0</v>
      </c>
      <c r="L79" s="32">
        <f>IF(Result_notebook_retravaill!I79&gt;Result_notebook_retravaill!G79,0,IF(Result_notebook_retravaill!I79+Result_notebook_retravaill!J79&gt;Result_notebook_retravaill!G79,0,Result_notebook_retravaill!M79))</f>
        <v>0</v>
      </c>
      <c r="M79" s="31">
        <f t="shared" si="1"/>
        <v>0</v>
      </c>
    </row>
    <row r="80" spans="1:13" x14ac:dyDescent="0.35">
      <c r="A80">
        <f>Result_notebook_retravaill!A80</f>
        <v>2025</v>
      </c>
      <c r="B80" t="str">
        <f>Result_notebook_retravaill!B80</f>
        <v>Lithium</v>
      </c>
      <c r="C80" t="str">
        <f>Result_notebook_retravaill!C80</f>
        <v>Canada Net-zero</v>
      </c>
      <c r="D80" t="str">
        <f>Result_notebook_retravaill!D80</f>
        <v>Production potential</v>
      </c>
      <c r="E80" t="str">
        <f>Result_notebook_retravaill!E80</f>
        <v>Current shares</v>
      </c>
      <c r="F80" t="str">
        <f>Result_notebook_retravaill!F80</f>
        <v>Expansion Extractive+Circularity</v>
      </c>
      <c r="G80">
        <f>Result_notebook_retravaill!G80</f>
        <v>6247.3243664054053</v>
      </c>
      <c r="H80" s="32">
        <f>IF(Result_notebook_retravaill!I80&gt;Result_notebook_retravaill!G80,Result_notebook_retravaill!I80/Result_notebook_retravaill!N80,Result_notebook_retravaill!H80)</f>
        <v>75327.583081707082</v>
      </c>
      <c r="I80" s="32">
        <f>Result_notebook_retravaill!K80</f>
        <v>0</v>
      </c>
      <c r="J80" s="32">
        <f>MIN(G80,Result_notebook_retravaill!I80)</f>
        <v>6247.3243664054053</v>
      </c>
      <c r="K80" s="32">
        <f>IF(Result_notebook_retravaill!I80&gt;Result_notebook_retravaill!G80,0,IF(Result_notebook_retravaill!I80+Result_notebook_retravaill!J80&gt;Result_notebook_retravaill!G80,Result_notebook_retravaill!G80-Result_notebook_retravaill!I80,Result_notebook_retravaill!J80))</f>
        <v>0</v>
      </c>
      <c r="L80" s="32">
        <f>IF(Result_notebook_retravaill!I80&gt;Result_notebook_retravaill!G80,0,IF(Result_notebook_retravaill!I80+Result_notebook_retravaill!J80&gt;Result_notebook_retravaill!G80,0,Result_notebook_retravaill!M80))</f>
        <v>0</v>
      </c>
      <c r="M80" s="31">
        <f t="shared" si="1"/>
        <v>0</v>
      </c>
    </row>
    <row r="81" spans="1:13" x14ac:dyDescent="0.35">
      <c r="A81">
        <f>Result_notebook_retravaill!A81</f>
        <v>2025</v>
      </c>
      <c r="B81" t="str">
        <f>Result_notebook_retravaill!B81</f>
        <v>Lithium</v>
      </c>
      <c r="C81" t="str">
        <f>Result_notebook_retravaill!C81</f>
        <v>Canada Net-zero</v>
      </c>
      <c r="D81" t="str">
        <f>Result_notebook_retravaill!D81</f>
        <v>Production potential</v>
      </c>
      <c r="E81" t="str">
        <f>Result_notebook_retravaill!E81</f>
        <v>100% CAN</v>
      </c>
      <c r="F81" t="str">
        <f>Result_notebook_retravaill!F81</f>
        <v>Integrated</v>
      </c>
      <c r="G81">
        <f>Result_notebook_retravaill!G81</f>
        <v>6247.3243664054053</v>
      </c>
      <c r="H81" s="32">
        <f>IF(Result_notebook_retravaill!I81&gt;Result_notebook_retravaill!G81,Result_notebook_retravaill!I81/Result_notebook_retravaill!N81,Result_notebook_retravaill!H81)</f>
        <v>75327.583081707082</v>
      </c>
      <c r="I81" s="32">
        <f>Result_notebook_retravaill!K81</f>
        <v>0</v>
      </c>
      <c r="J81" s="32">
        <f>MIN(G81,Result_notebook_retravaill!I81)</f>
        <v>6247.3243664054053</v>
      </c>
      <c r="K81" s="32">
        <f>IF(Result_notebook_retravaill!I81&gt;Result_notebook_retravaill!G81,0,IF(Result_notebook_retravaill!I81+Result_notebook_retravaill!J81&gt;Result_notebook_retravaill!G81,Result_notebook_retravaill!G81-Result_notebook_retravaill!I81,Result_notebook_retravaill!J81))</f>
        <v>0</v>
      </c>
      <c r="L81" s="32">
        <f>IF(Result_notebook_retravaill!I81&gt;Result_notebook_retravaill!G81,0,IF(Result_notebook_retravaill!I81+Result_notebook_retravaill!J81&gt;Result_notebook_retravaill!G81,0,Result_notebook_retravaill!M81))</f>
        <v>0</v>
      </c>
      <c r="M81" s="31">
        <f t="shared" si="1"/>
        <v>0</v>
      </c>
    </row>
    <row r="82" spans="1:13" x14ac:dyDescent="0.35">
      <c r="A82">
        <f>Result_notebook_retravaill!A82</f>
        <v>2025</v>
      </c>
      <c r="B82" t="str">
        <f>Result_notebook_retravaill!B82</f>
        <v>Lithium</v>
      </c>
      <c r="C82" t="str">
        <f>Result_notebook_retravaill!C82</f>
        <v>Current Measures</v>
      </c>
      <c r="D82" t="str">
        <f>Result_notebook_retravaill!D82</f>
        <v>Existing production</v>
      </c>
      <c r="E82" t="str">
        <f>Result_notebook_retravaill!E82</f>
        <v>Current shares</v>
      </c>
      <c r="F82" t="str">
        <f>Result_notebook_retravaill!F82</f>
        <v>NIMBY</v>
      </c>
      <c r="G82">
        <f>Result_notebook_retravaill!G82</f>
        <v>5628.5612940196597</v>
      </c>
      <c r="H82" s="32">
        <f>IF(Result_notebook_retravaill!I82&gt;Result_notebook_retravaill!G82,Result_notebook_retravaill!I82/Result_notebook_retravaill!N82,Result_notebook_retravaill!H82)</f>
        <v>0</v>
      </c>
      <c r="I82" s="32">
        <f>Result_notebook_retravaill!K82</f>
        <v>8040.8018485995144</v>
      </c>
      <c r="J82" s="32">
        <f>MIN(G82,Result_notebook_retravaill!I82)</f>
        <v>0</v>
      </c>
      <c r="K82" s="32">
        <f>IF(Result_notebook_retravaill!I82&gt;Result_notebook_retravaill!G82,0,IF(Result_notebook_retravaill!I82+Result_notebook_retravaill!J82&gt;Result_notebook_retravaill!G82,Result_notebook_retravaill!G82-Result_notebook_retravaill!I82,Result_notebook_retravaill!J82))</f>
        <v>0</v>
      </c>
      <c r="L82" s="32">
        <f>IF(Result_notebook_retravaill!I82&gt;Result_notebook_retravaill!G82,0,IF(Result_notebook_retravaill!I82+Result_notebook_retravaill!J82&gt;Result_notebook_retravaill!G82,0,Result_notebook_retravaill!M82))</f>
        <v>5628.5612940196597</v>
      </c>
      <c r="M82" s="31">
        <f t="shared" si="1"/>
        <v>0</v>
      </c>
    </row>
    <row r="83" spans="1:13" x14ac:dyDescent="0.35">
      <c r="A83">
        <f>Result_notebook_retravaill!A83</f>
        <v>2025</v>
      </c>
      <c r="B83" t="str">
        <f>Result_notebook_retravaill!B83</f>
        <v>Lithium</v>
      </c>
      <c r="C83" t="str">
        <f>Result_notebook_retravaill!C83</f>
        <v>Current Measures</v>
      </c>
      <c r="D83" t="str">
        <f>Result_notebook_retravaill!D83</f>
        <v>Existing production</v>
      </c>
      <c r="E83" t="str">
        <f>Result_notebook_retravaill!E83</f>
        <v>Current shares</v>
      </c>
      <c r="F83" t="str">
        <f>Result_notebook_retravaill!F83</f>
        <v>Status Quo</v>
      </c>
      <c r="G83">
        <f>Result_notebook_retravaill!G83</f>
        <v>5628.5612940196597</v>
      </c>
      <c r="H83" s="32">
        <f>IF(Result_notebook_retravaill!I83&gt;Result_notebook_retravaill!G83,Result_notebook_retravaill!I83/Result_notebook_retravaill!N83,Result_notebook_retravaill!H83)</f>
        <v>33360.753294571456</v>
      </c>
      <c r="I83" s="32">
        <f>Result_notebook_retravaill!K83</f>
        <v>0</v>
      </c>
      <c r="J83" s="32">
        <f>MIN(G83,Result_notebook_retravaill!I83)</f>
        <v>5628.5612940196597</v>
      </c>
      <c r="K83" s="32">
        <f>IF(Result_notebook_retravaill!I83&gt;Result_notebook_retravaill!G83,0,IF(Result_notebook_retravaill!I83+Result_notebook_retravaill!J83&gt;Result_notebook_retravaill!G83,Result_notebook_retravaill!G83-Result_notebook_retravaill!I83,Result_notebook_retravaill!J83))</f>
        <v>0</v>
      </c>
      <c r="L83" s="32">
        <f>IF(Result_notebook_retravaill!I83&gt;Result_notebook_retravaill!G83,0,IF(Result_notebook_retravaill!I83+Result_notebook_retravaill!J83&gt;Result_notebook_retravaill!G83,0,Result_notebook_retravaill!M83))</f>
        <v>0</v>
      </c>
      <c r="M83" s="31">
        <f t="shared" si="1"/>
        <v>0</v>
      </c>
    </row>
    <row r="84" spans="1:13" x14ac:dyDescent="0.35">
      <c r="A84">
        <f>Result_notebook_retravaill!A84</f>
        <v>2025</v>
      </c>
      <c r="B84" t="str">
        <f>Result_notebook_retravaill!B84</f>
        <v>Lithium</v>
      </c>
      <c r="C84" t="str">
        <f>Result_notebook_retravaill!C84</f>
        <v>Current Measures</v>
      </c>
      <c r="D84" t="str">
        <f>Result_notebook_retravaill!D84</f>
        <v>Production potential</v>
      </c>
      <c r="E84" t="str">
        <f>Result_notebook_retravaill!E84</f>
        <v>Current shares</v>
      </c>
      <c r="F84" t="str">
        <f>Result_notebook_retravaill!F84</f>
        <v>Expansion Extractive</v>
      </c>
      <c r="G84">
        <f>Result_notebook_retravaill!G84</f>
        <v>5628.5612940196597</v>
      </c>
      <c r="H84" s="32">
        <f>IF(Result_notebook_retravaill!I84&gt;Result_notebook_retravaill!G84,Result_notebook_retravaill!I84/Result_notebook_retravaill!N84,Result_notebook_retravaill!H84)</f>
        <v>75327.583081707082</v>
      </c>
      <c r="I84" s="32">
        <f>Result_notebook_retravaill!K84</f>
        <v>0</v>
      </c>
      <c r="J84" s="32">
        <f>MIN(G84,Result_notebook_retravaill!I84)</f>
        <v>5628.5612940196597</v>
      </c>
      <c r="K84" s="32">
        <f>IF(Result_notebook_retravaill!I84&gt;Result_notebook_retravaill!G84,0,IF(Result_notebook_retravaill!I84+Result_notebook_retravaill!J84&gt;Result_notebook_retravaill!G84,Result_notebook_retravaill!G84-Result_notebook_retravaill!I84,Result_notebook_retravaill!J84))</f>
        <v>0</v>
      </c>
      <c r="L84" s="32">
        <f>IF(Result_notebook_retravaill!I84&gt;Result_notebook_retravaill!G84,0,IF(Result_notebook_retravaill!I84+Result_notebook_retravaill!J84&gt;Result_notebook_retravaill!G84,0,Result_notebook_retravaill!M84))</f>
        <v>0</v>
      </c>
      <c r="M84" s="31">
        <f t="shared" si="1"/>
        <v>0</v>
      </c>
    </row>
    <row r="85" spans="1:13" x14ac:dyDescent="0.35">
      <c r="A85">
        <f>Result_notebook_retravaill!A85</f>
        <v>2025</v>
      </c>
      <c r="B85" t="str">
        <f>Result_notebook_retravaill!B85</f>
        <v>Lithium</v>
      </c>
      <c r="C85" t="str">
        <f>Result_notebook_retravaill!C85</f>
        <v>Current Measures</v>
      </c>
      <c r="D85" t="str">
        <f>Result_notebook_retravaill!D85</f>
        <v>Production potential</v>
      </c>
      <c r="E85" t="str">
        <f>Result_notebook_retravaill!E85</f>
        <v>Current shares</v>
      </c>
      <c r="F85" t="str">
        <f>Result_notebook_retravaill!F85</f>
        <v>Expansion Extractive+Circularity</v>
      </c>
      <c r="G85">
        <f>Result_notebook_retravaill!G85</f>
        <v>5628.5612940196597</v>
      </c>
      <c r="H85" s="32">
        <f>IF(Result_notebook_retravaill!I85&gt;Result_notebook_retravaill!G85,Result_notebook_retravaill!I85/Result_notebook_retravaill!N85,Result_notebook_retravaill!H85)</f>
        <v>75327.583081707082</v>
      </c>
      <c r="I85" s="32">
        <f>Result_notebook_retravaill!K85</f>
        <v>0</v>
      </c>
      <c r="J85" s="32">
        <f>MIN(G85,Result_notebook_retravaill!I85)</f>
        <v>5628.5612940196597</v>
      </c>
      <c r="K85" s="32">
        <f>IF(Result_notebook_retravaill!I85&gt;Result_notebook_retravaill!G85,0,IF(Result_notebook_retravaill!I85+Result_notebook_retravaill!J85&gt;Result_notebook_retravaill!G85,Result_notebook_retravaill!G85-Result_notebook_retravaill!I85,Result_notebook_retravaill!J85))</f>
        <v>0</v>
      </c>
      <c r="L85" s="32">
        <f>IF(Result_notebook_retravaill!I85&gt;Result_notebook_retravaill!G85,0,IF(Result_notebook_retravaill!I85+Result_notebook_retravaill!J85&gt;Result_notebook_retravaill!G85,0,Result_notebook_retravaill!M85))</f>
        <v>0</v>
      </c>
      <c r="M85" s="31">
        <f t="shared" si="1"/>
        <v>0</v>
      </c>
    </row>
    <row r="86" spans="1:13" x14ac:dyDescent="0.35">
      <c r="A86">
        <f>Result_notebook_retravaill!A86</f>
        <v>2025</v>
      </c>
      <c r="B86" t="str">
        <f>Result_notebook_retravaill!B86</f>
        <v>Lithium</v>
      </c>
      <c r="C86" t="str">
        <f>Result_notebook_retravaill!C86</f>
        <v>Current Measures</v>
      </c>
      <c r="D86" t="str">
        <f>Result_notebook_retravaill!D86</f>
        <v>Production potential</v>
      </c>
      <c r="E86" t="str">
        <f>Result_notebook_retravaill!E86</f>
        <v>100% CAN</v>
      </c>
      <c r="F86" t="str">
        <f>Result_notebook_retravaill!F86</f>
        <v>Integrated</v>
      </c>
      <c r="G86">
        <f>Result_notebook_retravaill!G86</f>
        <v>5628.5612940196597</v>
      </c>
      <c r="H86" s="32">
        <f>IF(Result_notebook_retravaill!I86&gt;Result_notebook_retravaill!G86,Result_notebook_retravaill!I86/Result_notebook_retravaill!N86,Result_notebook_retravaill!H86)</f>
        <v>75327.583081707082</v>
      </c>
      <c r="I86" s="32">
        <f>Result_notebook_retravaill!K86</f>
        <v>0</v>
      </c>
      <c r="J86" s="32">
        <f>MIN(G86,Result_notebook_retravaill!I86)</f>
        <v>5628.5612940196597</v>
      </c>
      <c r="K86" s="32">
        <f>IF(Result_notebook_retravaill!I86&gt;Result_notebook_retravaill!G86,0,IF(Result_notebook_retravaill!I86+Result_notebook_retravaill!J86&gt;Result_notebook_retravaill!G86,Result_notebook_retravaill!G86-Result_notebook_retravaill!I86,Result_notebook_retravaill!J86))</f>
        <v>0</v>
      </c>
      <c r="L86" s="32">
        <f>IF(Result_notebook_retravaill!I86&gt;Result_notebook_retravaill!G86,0,IF(Result_notebook_retravaill!I86+Result_notebook_retravaill!J86&gt;Result_notebook_retravaill!G86,0,Result_notebook_retravaill!M86))</f>
        <v>0</v>
      </c>
      <c r="M86" s="31">
        <f t="shared" si="1"/>
        <v>0</v>
      </c>
    </row>
    <row r="87" spans="1:13" x14ac:dyDescent="0.35">
      <c r="A87">
        <f>Result_notebook_retravaill!A87</f>
        <v>2025</v>
      </c>
      <c r="B87" t="str">
        <f>Result_notebook_retravaill!B87</f>
        <v>Lithium</v>
      </c>
      <c r="C87" t="str">
        <f>Result_notebook_retravaill!C87</f>
        <v>Global Net-zero</v>
      </c>
      <c r="D87" t="str">
        <f>Result_notebook_retravaill!D87</f>
        <v>Existing production</v>
      </c>
      <c r="E87" t="str">
        <f>Result_notebook_retravaill!E87</f>
        <v>Current shares</v>
      </c>
      <c r="F87" t="str">
        <f>Result_notebook_retravaill!F87</f>
        <v>NIMBY</v>
      </c>
      <c r="G87">
        <f>Result_notebook_retravaill!G87</f>
        <v>6224.6601695098034</v>
      </c>
      <c r="H87" s="32">
        <f>IF(Result_notebook_retravaill!I87&gt;Result_notebook_retravaill!G87,Result_notebook_retravaill!I87/Result_notebook_retravaill!N87,Result_notebook_retravaill!H87)</f>
        <v>0</v>
      </c>
      <c r="I87" s="32">
        <f>Result_notebook_retravaill!K87</f>
        <v>8892.3716707282911</v>
      </c>
      <c r="J87" s="32">
        <f>MIN(G87,Result_notebook_retravaill!I87)</f>
        <v>0</v>
      </c>
      <c r="K87" s="32">
        <f>IF(Result_notebook_retravaill!I87&gt;Result_notebook_retravaill!G87,0,IF(Result_notebook_retravaill!I87+Result_notebook_retravaill!J87&gt;Result_notebook_retravaill!G87,Result_notebook_retravaill!G87-Result_notebook_retravaill!I87,Result_notebook_retravaill!J87))</f>
        <v>0</v>
      </c>
      <c r="L87" s="32">
        <f>IF(Result_notebook_retravaill!I87&gt;Result_notebook_retravaill!G87,0,IF(Result_notebook_retravaill!I87+Result_notebook_retravaill!J87&gt;Result_notebook_retravaill!G87,0,Result_notebook_retravaill!M87))</f>
        <v>6224.6601695098034</v>
      </c>
      <c r="M87" s="31">
        <f t="shared" si="1"/>
        <v>0</v>
      </c>
    </row>
    <row r="88" spans="1:13" x14ac:dyDescent="0.35">
      <c r="A88">
        <f>Result_notebook_retravaill!A88</f>
        <v>2025</v>
      </c>
      <c r="B88" t="str">
        <f>Result_notebook_retravaill!B88</f>
        <v>Lithium</v>
      </c>
      <c r="C88" t="str">
        <f>Result_notebook_retravaill!C88</f>
        <v>Global Net-zero</v>
      </c>
      <c r="D88" t="str">
        <f>Result_notebook_retravaill!D88</f>
        <v>Existing production</v>
      </c>
      <c r="E88" t="str">
        <f>Result_notebook_retravaill!E88</f>
        <v>Current shares</v>
      </c>
      <c r="F88" t="str">
        <f>Result_notebook_retravaill!F88</f>
        <v>Status Quo</v>
      </c>
      <c r="G88">
        <f>Result_notebook_retravaill!G88</f>
        <v>6224.6601695098034</v>
      </c>
      <c r="H88" s="32">
        <f>IF(Result_notebook_retravaill!I88&gt;Result_notebook_retravaill!G88,Result_notebook_retravaill!I88/Result_notebook_retravaill!N88,Result_notebook_retravaill!H88)</f>
        <v>33360.753294571456</v>
      </c>
      <c r="I88" s="32">
        <f>Result_notebook_retravaill!K88</f>
        <v>0</v>
      </c>
      <c r="J88" s="32">
        <f>MIN(G88,Result_notebook_retravaill!I88)</f>
        <v>6224.6601695098034</v>
      </c>
      <c r="K88" s="32">
        <f>IF(Result_notebook_retravaill!I88&gt;Result_notebook_retravaill!G88,0,IF(Result_notebook_retravaill!I88+Result_notebook_retravaill!J88&gt;Result_notebook_retravaill!G88,Result_notebook_retravaill!G88-Result_notebook_retravaill!I88,Result_notebook_retravaill!J88))</f>
        <v>0</v>
      </c>
      <c r="L88" s="32">
        <f>IF(Result_notebook_retravaill!I88&gt;Result_notebook_retravaill!G88,0,IF(Result_notebook_retravaill!I88+Result_notebook_retravaill!J88&gt;Result_notebook_retravaill!G88,0,Result_notebook_retravaill!M88))</f>
        <v>0</v>
      </c>
      <c r="M88" s="31">
        <f t="shared" si="1"/>
        <v>0</v>
      </c>
    </row>
    <row r="89" spans="1:13" x14ac:dyDescent="0.35">
      <c r="A89">
        <f>Result_notebook_retravaill!A89</f>
        <v>2025</v>
      </c>
      <c r="B89" t="str">
        <f>Result_notebook_retravaill!B89</f>
        <v>Lithium</v>
      </c>
      <c r="C89" t="str">
        <f>Result_notebook_retravaill!C89</f>
        <v>Global Net-zero</v>
      </c>
      <c r="D89" t="str">
        <f>Result_notebook_retravaill!D89</f>
        <v>Production potential</v>
      </c>
      <c r="E89" t="str">
        <f>Result_notebook_retravaill!E89</f>
        <v>Current shares</v>
      </c>
      <c r="F89" t="str">
        <f>Result_notebook_retravaill!F89</f>
        <v>Expansion Extractive</v>
      </c>
      <c r="G89">
        <f>Result_notebook_retravaill!G89</f>
        <v>6224.6601695098034</v>
      </c>
      <c r="H89" s="32">
        <f>IF(Result_notebook_retravaill!I89&gt;Result_notebook_retravaill!G89,Result_notebook_retravaill!I89/Result_notebook_retravaill!N89,Result_notebook_retravaill!H89)</f>
        <v>75327.583081707082</v>
      </c>
      <c r="I89" s="32">
        <f>Result_notebook_retravaill!K89</f>
        <v>0</v>
      </c>
      <c r="J89" s="32">
        <f>MIN(G89,Result_notebook_retravaill!I89)</f>
        <v>6224.6601695098034</v>
      </c>
      <c r="K89" s="32">
        <f>IF(Result_notebook_retravaill!I89&gt;Result_notebook_retravaill!G89,0,IF(Result_notebook_retravaill!I89+Result_notebook_retravaill!J89&gt;Result_notebook_retravaill!G89,Result_notebook_retravaill!G89-Result_notebook_retravaill!I89,Result_notebook_retravaill!J89))</f>
        <v>0</v>
      </c>
      <c r="L89" s="32">
        <f>IF(Result_notebook_retravaill!I89&gt;Result_notebook_retravaill!G89,0,IF(Result_notebook_retravaill!I89+Result_notebook_retravaill!J89&gt;Result_notebook_retravaill!G89,0,Result_notebook_retravaill!M89))</f>
        <v>0</v>
      </c>
      <c r="M89" s="31">
        <f t="shared" si="1"/>
        <v>0</v>
      </c>
    </row>
    <row r="90" spans="1:13" x14ac:dyDescent="0.35">
      <c r="A90">
        <f>Result_notebook_retravaill!A90</f>
        <v>2025</v>
      </c>
      <c r="B90" t="str">
        <f>Result_notebook_retravaill!B90</f>
        <v>Lithium</v>
      </c>
      <c r="C90" t="str">
        <f>Result_notebook_retravaill!C90</f>
        <v>Global Net-zero</v>
      </c>
      <c r="D90" t="str">
        <f>Result_notebook_retravaill!D90</f>
        <v>Production potential</v>
      </c>
      <c r="E90" t="str">
        <f>Result_notebook_retravaill!E90</f>
        <v>Current shares</v>
      </c>
      <c r="F90" t="str">
        <f>Result_notebook_retravaill!F90</f>
        <v>Expansion Extractive+Circularity</v>
      </c>
      <c r="G90">
        <f>Result_notebook_retravaill!G90</f>
        <v>6224.6601695098034</v>
      </c>
      <c r="H90" s="32">
        <f>IF(Result_notebook_retravaill!I90&gt;Result_notebook_retravaill!G90,Result_notebook_retravaill!I90/Result_notebook_retravaill!N90,Result_notebook_retravaill!H90)</f>
        <v>75327.583081707082</v>
      </c>
      <c r="I90" s="32">
        <f>Result_notebook_retravaill!K90</f>
        <v>0</v>
      </c>
      <c r="J90" s="32">
        <f>MIN(G90,Result_notebook_retravaill!I90)</f>
        <v>6224.6601695098034</v>
      </c>
      <c r="K90" s="32">
        <f>IF(Result_notebook_retravaill!I90&gt;Result_notebook_retravaill!G90,0,IF(Result_notebook_retravaill!I90+Result_notebook_retravaill!J90&gt;Result_notebook_retravaill!G90,Result_notebook_retravaill!G90-Result_notebook_retravaill!I90,Result_notebook_retravaill!J90))</f>
        <v>0</v>
      </c>
      <c r="L90" s="32">
        <f>IF(Result_notebook_retravaill!I90&gt;Result_notebook_retravaill!G90,0,IF(Result_notebook_retravaill!I90+Result_notebook_retravaill!J90&gt;Result_notebook_retravaill!G90,0,Result_notebook_retravaill!M90))</f>
        <v>0</v>
      </c>
      <c r="M90" s="31">
        <f t="shared" si="1"/>
        <v>0</v>
      </c>
    </row>
    <row r="91" spans="1:13" x14ac:dyDescent="0.35">
      <c r="A91">
        <f>Result_notebook_retravaill!A91</f>
        <v>2025</v>
      </c>
      <c r="B91" t="str">
        <f>Result_notebook_retravaill!B91</f>
        <v>Lithium</v>
      </c>
      <c r="C91" t="str">
        <f>Result_notebook_retravaill!C91</f>
        <v>Global Net-zero</v>
      </c>
      <c r="D91" t="str">
        <f>Result_notebook_retravaill!D91</f>
        <v>Production potential</v>
      </c>
      <c r="E91" t="str">
        <f>Result_notebook_retravaill!E91</f>
        <v>100% CAN</v>
      </c>
      <c r="F91" t="str">
        <f>Result_notebook_retravaill!F91</f>
        <v>Integrated</v>
      </c>
      <c r="G91">
        <f>Result_notebook_retravaill!G91</f>
        <v>6224.6601695098034</v>
      </c>
      <c r="H91" s="32">
        <f>IF(Result_notebook_retravaill!I91&gt;Result_notebook_retravaill!G91,Result_notebook_retravaill!I91/Result_notebook_retravaill!N91,Result_notebook_retravaill!H91)</f>
        <v>75327.583081707082</v>
      </c>
      <c r="I91" s="32">
        <f>Result_notebook_retravaill!K91</f>
        <v>0</v>
      </c>
      <c r="J91" s="32">
        <f>MIN(G91,Result_notebook_retravaill!I91)</f>
        <v>6224.6601695098034</v>
      </c>
      <c r="K91" s="32">
        <f>IF(Result_notebook_retravaill!I91&gt;Result_notebook_retravaill!G91,0,IF(Result_notebook_retravaill!I91+Result_notebook_retravaill!J91&gt;Result_notebook_retravaill!G91,Result_notebook_retravaill!G91-Result_notebook_retravaill!I91,Result_notebook_retravaill!J91))</f>
        <v>0</v>
      </c>
      <c r="L91" s="32">
        <f>IF(Result_notebook_retravaill!I91&gt;Result_notebook_retravaill!G91,0,IF(Result_notebook_retravaill!I91+Result_notebook_retravaill!J91&gt;Result_notebook_retravaill!G91,0,Result_notebook_retravaill!M91))</f>
        <v>0</v>
      </c>
      <c r="M91" s="31">
        <f t="shared" si="1"/>
        <v>0</v>
      </c>
    </row>
    <row r="92" spans="1:13" x14ac:dyDescent="0.35">
      <c r="A92">
        <f>Result_notebook_retravaill!A92</f>
        <v>2026</v>
      </c>
      <c r="B92" t="str">
        <f>Result_notebook_retravaill!B92</f>
        <v>Cobalt</v>
      </c>
      <c r="C92" t="str">
        <f>Result_notebook_retravaill!C92</f>
        <v>Canada Net-zero</v>
      </c>
      <c r="D92" t="str">
        <f>Result_notebook_retravaill!D92</f>
        <v>Existing production</v>
      </c>
      <c r="E92" t="str">
        <f>Result_notebook_retravaill!E92</f>
        <v>Current shares</v>
      </c>
      <c r="F92" t="str">
        <f>Result_notebook_retravaill!F92</f>
        <v>NIMBY</v>
      </c>
      <c r="G92">
        <f>Result_notebook_retravaill!G92</f>
        <v>14666.70894328302</v>
      </c>
      <c r="H92" s="32">
        <f>IF(Result_notebook_retravaill!I92&gt;Result_notebook_retravaill!G92,Result_notebook_retravaill!I92/Result_notebook_retravaill!N92,Result_notebook_retravaill!H92)</f>
        <v>0</v>
      </c>
      <c r="I92" s="32">
        <f>Result_notebook_retravaill!K92</f>
        <v>33333.429416552317</v>
      </c>
      <c r="J92" s="32">
        <f>MIN(G92,Result_notebook_retravaill!I92)</f>
        <v>0</v>
      </c>
      <c r="K92" s="32">
        <f>IF(Result_notebook_retravaill!I92&gt;Result_notebook_retravaill!G92,0,IF(Result_notebook_retravaill!I92+Result_notebook_retravaill!J92&gt;Result_notebook_retravaill!G92,Result_notebook_retravaill!G92-Result_notebook_retravaill!I92,Result_notebook_retravaill!J92))</f>
        <v>0</v>
      </c>
      <c r="L92" s="32">
        <f>IF(Result_notebook_retravaill!I92&gt;Result_notebook_retravaill!G92,0,IF(Result_notebook_retravaill!I92+Result_notebook_retravaill!J92&gt;Result_notebook_retravaill!G92,0,Result_notebook_retravaill!M92))</f>
        <v>14666.70894328302</v>
      </c>
      <c r="M92" s="31">
        <f t="shared" si="1"/>
        <v>0</v>
      </c>
    </row>
    <row r="93" spans="1:13" x14ac:dyDescent="0.35">
      <c r="A93">
        <f>Result_notebook_retravaill!A93</f>
        <v>2026</v>
      </c>
      <c r="B93" t="str">
        <f>Result_notebook_retravaill!B93</f>
        <v>Cobalt</v>
      </c>
      <c r="C93" t="str">
        <f>Result_notebook_retravaill!C93</f>
        <v>Canada Net-zero</v>
      </c>
      <c r="D93" t="str">
        <f>Result_notebook_retravaill!D93</f>
        <v>Existing production</v>
      </c>
      <c r="E93" t="str">
        <f>Result_notebook_retravaill!E93</f>
        <v>Current shares</v>
      </c>
      <c r="F93" t="str">
        <f>Result_notebook_retravaill!F93</f>
        <v>Status Quo</v>
      </c>
      <c r="G93">
        <f>Result_notebook_retravaill!G93</f>
        <v>14666.70894328302</v>
      </c>
      <c r="H93" s="32">
        <f>IF(Result_notebook_retravaill!I93&gt;Result_notebook_retravaill!G93,Result_notebook_retravaill!I93/Result_notebook_retravaill!N93,Result_notebook_retravaill!H93)</f>
        <v>3494</v>
      </c>
      <c r="I93" s="32">
        <f>Result_notebook_retravaill!K93</f>
        <v>29839.429416552321</v>
      </c>
      <c r="J93" s="32">
        <f>MIN(G93,Result_notebook_retravaill!I93)</f>
        <v>1482.0913083373639</v>
      </c>
      <c r="K93" s="32">
        <f>IF(Result_notebook_retravaill!I93&gt;Result_notebook_retravaill!G93,0,IF(Result_notebook_retravaill!I93+Result_notebook_retravaill!J93&gt;Result_notebook_retravaill!G93,Result_notebook_retravaill!G93-Result_notebook_retravaill!I93,Result_notebook_retravaill!J93))</f>
        <v>52.985592172937231</v>
      </c>
      <c r="L93" s="32">
        <f>IF(Result_notebook_retravaill!I93&gt;Result_notebook_retravaill!G93,0,IF(Result_notebook_retravaill!I93+Result_notebook_retravaill!J93&gt;Result_notebook_retravaill!G93,0,Result_notebook_retravaill!M93))</f>
        <v>13131.632042772722</v>
      </c>
      <c r="M93" s="31">
        <f t="shared" si="1"/>
        <v>0</v>
      </c>
    </row>
    <row r="94" spans="1:13" x14ac:dyDescent="0.35">
      <c r="A94">
        <f>Result_notebook_retravaill!A94</f>
        <v>2026</v>
      </c>
      <c r="B94" t="str">
        <f>Result_notebook_retravaill!B94</f>
        <v>Cobalt</v>
      </c>
      <c r="C94" t="str">
        <f>Result_notebook_retravaill!C94</f>
        <v>Canada Net-zero</v>
      </c>
      <c r="D94" t="str">
        <f>Result_notebook_retravaill!D94</f>
        <v>Production potential</v>
      </c>
      <c r="E94" t="str">
        <f>Result_notebook_retravaill!E94</f>
        <v>Current shares</v>
      </c>
      <c r="F94" t="str">
        <f>Result_notebook_retravaill!F94</f>
        <v>Expansion Extractive</v>
      </c>
      <c r="G94">
        <f>Result_notebook_retravaill!G94</f>
        <v>14666.70894328302</v>
      </c>
      <c r="H94" s="32">
        <f>IF(Result_notebook_retravaill!I94&gt;Result_notebook_retravaill!G94,Result_notebook_retravaill!I94/Result_notebook_retravaill!N94,Result_notebook_retravaill!H94)</f>
        <v>4494</v>
      </c>
      <c r="I94" s="32">
        <f>Result_notebook_retravaill!K94</f>
        <v>28839.429416552321</v>
      </c>
      <c r="J94" s="32">
        <f>MIN(G94,Result_notebook_retravaill!I94)</f>
        <v>1906.2731367109659</v>
      </c>
      <c r="K94" s="32">
        <f>IF(Result_notebook_retravaill!I94&gt;Result_notebook_retravaill!G94,0,IF(Result_notebook_retravaill!I94+Result_notebook_retravaill!J94&gt;Result_notebook_retravaill!G94,Result_notebook_retravaill!G94-Result_notebook_retravaill!I94,Result_notebook_retravaill!J94))</f>
        <v>68.15032948631324</v>
      </c>
      <c r="L94" s="32">
        <f>IF(Result_notebook_retravaill!I94&gt;Result_notebook_retravaill!G94,0,IF(Result_notebook_retravaill!I94+Result_notebook_retravaill!J94&gt;Result_notebook_retravaill!G94,0,Result_notebook_retravaill!M94))</f>
        <v>12692.285477085738</v>
      </c>
      <c r="M94" s="31">
        <f t="shared" si="1"/>
        <v>0</v>
      </c>
    </row>
    <row r="95" spans="1:13" x14ac:dyDescent="0.35">
      <c r="A95">
        <f>Result_notebook_retravaill!A95</f>
        <v>2026</v>
      </c>
      <c r="B95" t="str">
        <f>Result_notebook_retravaill!B95</f>
        <v>Cobalt</v>
      </c>
      <c r="C95" t="str">
        <f>Result_notebook_retravaill!C95</f>
        <v>Canada Net-zero</v>
      </c>
      <c r="D95" t="str">
        <f>Result_notebook_retravaill!D95</f>
        <v>Production potential</v>
      </c>
      <c r="E95" t="str">
        <f>Result_notebook_retravaill!E95</f>
        <v>Current shares</v>
      </c>
      <c r="F95" t="str">
        <f>Result_notebook_retravaill!F95</f>
        <v>Expansion Extractive+Circularity</v>
      </c>
      <c r="G95">
        <f>Result_notebook_retravaill!G95</f>
        <v>14666.70894328302</v>
      </c>
      <c r="H95" s="32">
        <f>IF(Result_notebook_retravaill!I95&gt;Result_notebook_retravaill!G95,Result_notebook_retravaill!I95/Result_notebook_retravaill!N95,Result_notebook_retravaill!H95)</f>
        <v>4494</v>
      </c>
      <c r="I95" s="32">
        <f>Result_notebook_retravaill!K95</f>
        <v>28839.429416552321</v>
      </c>
      <c r="J95" s="32">
        <f>MIN(G95,Result_notebook_retravaill!I95)</f>
        <v>1906.2731367109659</v>
      </c>
      <c r="K95" s="32">
        <f>IF(Result_notebook_retravaill!I95&gt;Result_notebook_retravaill!G95,0,IF(Result_notebook_retravaill!I95+Result_notebook_retravaill!J95&gt;Result_notebook_retravaill!G95,Result_notebook_retravaill!G95-Result_notebook_retravaill!I95,Result_notebook_retravaill!J95))</f>
        <v>68.15032948631324</v>
      </c>
      <c r="L95" s="32">
        <f>IF(Result_notebook_retravaill!I95&gt;Result_notebook_retravaill!G95,0,IF(Result_notebook_retravaill!I95+Result_notebook_retravaill!J95&gt;Result_notebook_retravaill!G95,0,Result_notebook_retravaill!M95))</f>
        <v>12692.285477085738</v>
      </c>
      <c r="M95" s="31">
        <f t="shared" si="1"/>
        <v>0</v>
      </c>
    </row>
    <row r="96" spans="1:13" x14ac:dyDescent="0.35">
      <c r="A96">
        <f>Result_notebook_retravaill!A96</f>
        <v>2026</v>
      </c>
      <c r="B96" t="str">
        <f>Result_notebook_retravaill!B96</f>
        <v>Cobalt</v>
      </c>
      <c r="C96" t="str">
        <f>Result_notebook_retravaill!C96</f>
        <v>Canada Net-zero</v>
      </c>
      <c r="D96" t="str">
        <f>Result_notebook_retravaill!D96</f>
        <v>Production potential</v>
      </c>
      <c r="E96" t="str">
        <f>Result_notebook_retravaill!E96</f>
        <v>100% CAN</v>
      </c>
      <c r="F96" t="str">
        <f>Result_notebook_retravaill!F96</f>
        <v>Integrated</v>
      </c>
      <c r="G96">
        <f>Result_notebook_retravaill!G96</f>
        <v>14666.70894328302</v>
      </c>
      <c r="H96" s="32">
        <f>IF(Result_notebook_retravaill!I96&gt;Result_notebook_retravaill!G96,Result_notebook_retravaill!I96/Result_notebook_retravaill!N96,Result_notebook_retravaill!H96)</f>
        <v>4494</v>
      </c>
      <c r="I96" s="32">
        <f>Result_notebook_retravaill!K96</f>
        <v>28839.429416552321</v>
      </c>
      <c r="J96" s="32">
        <f>MIN(G96,Result_notebook_retravaill!I96)</f>
        <v>1974.423466197281</v>
      </c>
      <c r="K96" s="32">
        <f>IF(Result_notebook_retravaill!I96&gt;Result_notebook_retravaill!G96,0,IF(Result_notebook_retravaill!I96+Result_notebook_retravaill!J96&gt;Result_notebook_retravaill!G96,Result_notebook_retravaill!G96-Result_notebook_retravaill!I96,Result_notebook_retravaill!J96))</f>
        <v>-1.8189894035458565E-12</v>
      </c>
      <c r="L96" s="32">
        <f>IF(Result_notebook_retravaill!I96&gt;Result_notebook_retravaill!G96,0,IF(Result_notebook_retravaill!I96+Result_notebook_retravaill!J96&gt;Result_notebook_retravaill!G96,0,Result_notebook_retravaill!M96))</f>
        <v>12692.285477085741</v>
      </c>
      <c r="M96" s="31">
        <f t="shared" si="1"/>
        <v>0</v>
      </c>
    </row>
    <row r="97" spans="1:13" x14ac:dyDescent="0.35">
      <c r="A97">
        <f>Result_notebook_retravaill!A97</f>
        <v>2026</v>
      </c>
      <c r="B97" t="str">
        <f>Result_notebook_retravaill!B97</f>
        <v>Cobalt</v>
      </c>
      <c r="C97" t="str">
        <f>Result_notebook_retravaill!C97</f>
        <v>Current Measures</v>
      </c>
      <c r="D97" t="str">
        <f>Result_notebook_retravaill!D97</f>
        <v>Existing production</v>
      </c>
      <c r="E97" t="str">
        <f>Result_notebook_retravaill!E97</f>
        <v>Current shares</v>
      </c>
      <c r="F97" t="str">
        <f>Result_notebook_retravaill!F97</f>
        <v>NIMBY</v>
      </c>
      <c r="G97">
        <f>Result_notebook_retravaill!G97</f>
        <v>11787.03907014753</v>
      </c>
      <c r="H97" s="32">
        <f>IF(Result_notebook_retravaill!I97&gt;Result_notebook_retravaill!G97,Result_notebook_retravaill!I97/Result_notebook_retravaill!N97,Result_notebook_retravaill!H97)</f>
        <v>0</v>
      </c>
      <c r="I97" s="32">
        <f>Result_notebook_retravaill!K97</f>
        <v>26788.725159426209</v>
      </c>
      <c r="J97" s="32">
        <f>MIN(G97,Result_notebook_retravaill!I97)</f>
        <v>0</v>
      </c>
      <c r="K97" s="32">
        <f>IF(Result_notebook_retravaill!I97&gt;Result_notebook_retravaill!G97,0,IF(Result_notebook_retravaill!I97+Result_notebook_retravaill!J97&gt;Result_notebook_retravaill!G97,Result_notebook_retravaill!G97-Result_notebook_retravaill!I97,Result_notebook_retravaill!J97))</f>
        <v>0</v>
      </c>
      <c r="L97" s="32">
        <f>IF(Result_notebook_retravaill!I97&gt;Result_notebook_retravaill!G97,0,IF(Result_notebook_retravaill!I97+Result_notebook_retravaill!J97&gt;Result_notebook_retravaill!G97,0,Result_notebook_retravaill!M97))</f>
        <v>11787.03907014753</v>
      </c>
      <c r="M97" s="31">
        <f t="shared" si="1"/>
        <v>0</v>
      </c>
    </row>
    <row r="98" spans="1:13" x14ac:dyDescent="0.35">
      <c r="A98">
        <f>Result_notebook_retravaill!A98</f>
        <v>2026</v>
      </c>
      <c r="B98" t="str">
        <f>Result_notebook_retravaill!B98</f>
        <v>Cobalt</v>
      </c>
      <c r="C98" t="str">
        <f>Result_notebook_retravaill!C98</f>
        <v>Current Measures</v>
      </c>
      <c r="D98" t="str">
        <f>Result_notebook_retravaill!D98</f>
        <v>Existing production</v>
      </c>
      <c r="E98" t="str">
        <f>Result_notebook_retravaill!E98</f>
        <v>Current shares</v>
      </c>
      <c r="F98" t="str">
        <f>Result_notebook_retravaill!F98</f>
        <v>Status Quo</v>
      </c>
      <c r="G98">
        <f>Result_notebook_retravaill!G98</f>
        <v>11787.03907014753</v>
      </c>
      <c r="H98" s="32">
        <f>IF(Result_notebook_retravaill!I98&gt;Result_notebook_retravaill!G98,Result_notebook_retravaill!I98/Result_notebook_retravaill!N98,Result_notebook_retravaill!H98)</f>
        <v>3494</v>
      </c>
      <c r="I98" s="32">
        <f>Result_notebook_retravaill!K98</f>
        <v>23294.725159426209</v>
      </c>
      <c r="J98" s="32">
        <f>MIN(G98,Result_notebook_retravaill!I98)</f>
        <v>1482.0913083373639</v>
      </c>
      <c r="K98" s="32">
        <f>IF(Result_notebook_retravaill!I98&gt;Result_notebook_retravaill!G98,0,IF(Result_notebook_retravaill!I98+Result_notebook_retravaill!J98&gt;Result_notebook_retravaill!G98,Result_notebook_retravaill!G98-Result_notebook_retravaill!I98,Result_notebook_retravaill!J98))</f>
        <v>52.985592172937231</v>
      </c>
      <c r="L98" s="32">
        <f>IF(Result_notebook_retravaill!I98&gt;Result_notebook_retravaill!G98,0,IF(Result_notebook_retravaill!I98+Result_notebook_retravaill!J98&gt;Result_notebook_retravaill!G98,0,Result_notebook_retravaill!M98))</f>
        <v>10251.962169637232</v>
      </c>
      <c r="M98" s="31">
        <f t="shared" si="1"/>
        <v>0</v>
      </c>
    </row>
    <row r="99" spans="1:13" x14ac:dyDescent="0.35">
      <c r="A99">
        <f>Result_notebook_retravaill!A99</f>
        <v>2026</v>
      </c>
      <c r="B99" t="str">
        <f>Result_notebook_retravaill!B99</f>
        <v>Cobalt</v>
      </c>
      <c r="C99" t="str">
        <f>Result_notebook_retravaill!C99</f>
        <v>Current Measures</v>
      </c>
      <c r="D99" t="str">
        <f>Result_notebook_retravaill!D99</f>
        <v>Production potential</v>
      </c>
      <c r="E99" t="str">
        <f>Result_notebook_retravaill!E99</f>
        <v>Current shares</v>
      </c>
      <c r="F99" t="str">
        <f>Result_notebook_retravaill!F99</f>
        <v>Expansion Extractive</v>
      </c>
      <c r="G99">
        <f>Result_notebook_retravaill!G99</f>
        <v>11787.03907014753</v>
      </c>
      <c r="H99" s="32">
        <f>IF(Result_notebook_retravaill!I99&gt;Result_notebook_retravaill!G99,Result_notebook_retravaill!I99/Result_notebook_retravaill!N99,Result_notebook_retravaill!H99)</f>
        <v>4494</v>
      </c>
      <c r="I99" s="32">
        <f>Result_notebook_retravaill!K99</f>
        <v>22294.725159426209</v>
      </c>
      <c r="J99" s="32">
        <f>MIN(G99,Result_notebook_retravaill!I99)</f>
        <v>1906.2731367109659</v>
      </c>
      <c r="K99" s="32">
        <f>IF(Result_notebook_retravaill!I99&gt;Result_notebook_retravaill!G99,0,IF(Result_notebook_retravaill!I99+Result_notebook_retravaill!J99&gt;Result_notebook_retravaill!G99,Result_notebook_retravaill!G99-Result_notebook_retravaill!I99,Result_notebook_retravaill!J99))</f>
        <v>68.15032948631324</v>
      </c>
      <c r="L99" s="32">
        <f>IF(Result_notebook_retravaill!I99&gt;Result_notebook_retravaill!G99,0,IF(Result_notebook_retravaill!I99+Result_notebook_retravaill!J99&gt;Result_notebook_retravaill!G99,0,Result_notebook_retravaill!M99))</f>
        <v>9812.6156039502494</v>
      </c>
      <c r="M99" s="31">
        <f t="shared" si="1"/>
        <v>0</v>
      </c>
    </row>
    <row r="100" spans="1:13" x14ac:dyDescent="0.35">
      <c r="A100">
        <f>Result_notebook_retravaill!A100</f>
        <v>2026</v>
      </c>
      <c r="B100" t="str">
        <f>Result_notebook_retravaill!B100</f>
        <v>Cobalt</v>
      </c>
      <c r="C100" t="str">
        <f>Result_notebook_retravaill!C100</f>
        <v>Current Measures</v>
      </c>
      <c r="D100" t="str">
        <f>Result_notebook_retravaill!D100</f>
        <v>Production potential</v>
      </c>
      <c r="E100" t="str">
        <f>Result_notebook_retravaill!E100</f>
        <v>Current shares</v>
      </c>
      <c r="F100" t="str">
        <f>Result_notebook_retravaill!F100</f>
        <v>Expansion Extractive+Circularity</v>
      </c>
      <c r="G100">
        <f>Result_notebook_retravaill!G100</f>
        <v>11787.03907014753</v>
      </c>
      <c r="H100" s="32">
        <f>IF(Result_notebook_retravaill!I100&gt;Result_notebook_retravaill!G100,Result_notebook_retravaill!I100/Result_notebook_retravaill!N100,Result_notebook_retravaill!H100)</f>
        <v>4494</v>
      </c>
      <c r="I100" s="32">
        <f>Result_notebook_retravaill!K100</f>
        <v>22294.725159426209</v>
      </c>
      <c r="J100" s="32">
        <f>MIN(G100,Result_notebook_retravaill!I100)</f>
        <v>1906.2731367109659</v>
      </c>
      <c r="K100" s="32">
        <f>IF(Result_notebook_retravaill!I100&gt;Result_notebook_retravaill!G100,0,IF(Result_notebook_retravaill!I100+Result_notebook_retravaill!J100&gt;Result_notebook_retravaill!G100,Result_notebook_retravaill!G100-Result_notebook_retravaill!I100,Result_notebook_retravaill!J100))</f>
        <v>68.15032948631324</v>
      </c>
      <c r="L100" s="32">
        <f>IF(Result_notebook_retravaill!I100&gt;Result_notebook_retravaill!G100,0,IF(Result_notebook_retravaill!I100+Result_notebook_retravaill!J100&gt;Result_notebook_retravaill!G100,0,Result_notebook_retravaill!M100))</f>
        <v>9812.6156039502494</v>
      </c>
      <c r="M100" s="31">
        <f t="shared" si="1"/>
        <v>0</v>
      </c>
    </row>
    <row r="101" spans="1:13" x14ac:dyDescent="0.35">
      <c r="A101">
        <f>Result_notebook_retravaill!A101</f>
        <v>2026</v>
      </c>
      <c r="B101" t="str">
        <f>Result_notebook_retravaill!B101</f>
        <v>Cobalt</v>
      </c>
      <c r="C101" t="str">
        <f>Result_notebook_retravaill!C101</f>
        <v>Current Measures</v>
      </c>
      <c r="D101" t="str">
        <f>Result_notebook_retravaill!D101</f>
        <v>Production potential</v>
      </c>
      <c r="E101" t="str">
        <f>Result_notebook_retravaill!E101</f>
        <v>100% CAN</v>
      </c>
      <c r="F101" t="str">
        <f>Result_notebook_retravaill!F101</f>
        <v>Integrated</v>
      </c>
      <c r="G101">
        <f>Result_notebook_retravaill!G101</f>
        <v>11787.03907014753</v>
      </c>
      <c r="H101" s="32">
        <f>IF(Result_notebook_retravaill!I101&gt;Result_notebook_retravaill!G101,Result_notebook_retravaill!I101/Result_notebook_retravaill!N101,Result_notebook_retravaill!H101)</f>
        <v>4494</v>
      </c>
      <c r="I101" s="32">
        <f>Result_notebook_retravaill!K101</f>
        <v>22294.725159426209</v>
      </c>
      <c r="J101" s="32">
        <f>MIN(G101,Result_notebook_retravaill!I101)</f>
        <v>1974.423466197281</v>
      </c>
      <c r="K101" s="32">
        <f>IF(Result_notebook_retravaill!I101&gt;Result_notebook_retravaill!G101,0,IF(Result_notebook_retravaill!I101+Result_notebook_retravaill!J101&gt;Result_notebook_retravaill!G101,Result_notebook_retravaill!G101-Result_notebook_retravaill!I101,Result_notebook_retravaill!J101))</f>
        <v>-1.8189894035458565E-12</v>
      </c>
      <c r="L101" s="32">
        <f>IF(Result_notebook_retravaill!I101&gt;Result_notebook_retravaill!G101,0,IF(Result_notebook_retravaill!I101+Result_notebook_retravaill!J101&gt;Result_notebook_retravaill!G101,0,Result_notebook_retravaill!M101))</f>
        <v>9812.6156039502512</v>
      </c>
      <c r="M101" s="31">
        <f t="shared" si="1"/>
        <v>0</v>
      </c>
    </row>
    <row r="102" spans="1:13" x14ac:dyDescent="0.35">
      <c r="A102">
        <f>Result_notebook_retravaill!A102</f>
        <v>2026</v>
      </c>
      <c r="B102" t="str">
        <f>Result_notebook_retravaill!B102</f>
        <v>Cobalt</v>
      </c>
      <c r="C102" t="str">
        <f>Result_notebook_retravaill!C102</f>
        <v>Global Net-zero</v>
      </c>
      <c r="D102" t="str">
        <f>Result_notebook_retravaill!D102</f>
        <v>Existing production</v>
      </c>
      <c r="E102" t="str">
        <f>Result_notebook_retravaill!E102</f>
        <v>Current shares</v>
      </c>
      <c r="F102" t="str">
        <f>Result_notebook_retravaill!F102</f>
        <v>NIMBY</v>
      </c>
      <c r="G102">
        <f>Result_notebook_retravaill!G102</f>
        <v>14369.556871268551</v>
      </c>
      <c r="H102" s="32">
        <f>IF(Result_notebook_retravaill!I102&gt;Result_notebook_retravaill!G102,Result_notebook_retravaill!I102/Result_notebook_retravaill!N102,Result_notebook_retravaill!H102)</f>
        <v>0</v>
      </c>
      <c r="I102" s="32">
        <f>Result_notebook_retravaill!K102</f>
        <v>32658.083798337619</v>
      </c>
      <c r="J102" s="32">
        <f>MIN(G102,Result_notebook_retravaill!I102)</f>
        <v>0</v>
      </c>
      <c r="K102" s="32">
        <f>IF(Result_notebook_retravaill!I102&gt;Result_notebook_retravaill!G102,0,IF(Result_notebook_retravaill!I102+Result_notebook_retravaill!J102&gt;Result_notebook_retravaill!G102,Result_notebook_retravaill!G102-Result_notebook_retravaill!I102,Result_notebook_retravaill!J102))</f>
        <v>0</v>
      </c>
      <c r="L102" s="32">
        <f>IF(Result_notebook_retravaill!I102&gt;Result_notebook_retravaill!G102,0,IF(Result_notebook_retravaill!I102+Result_notebook_retravaill!J102&gt;Result_notebook_retravaill!G102,0,Result_notebook_retravaill!M102))</f>
        <v>14369.556871268551</v>
      </c>
      <c r="M102" s="31">
        <f t="shared" si="1"/>
        <v>0</v>
      </c>
    </row>
    <row r="103" spans="1:13" x14ac:dyDescent="0.35">
      <c r="A103">
        <f>Result_notebook_retravaill!A103</f>
        <v>2026</v>
      </c>
      <c r="B103" t="str">
        <f>Result_notebook_retravaill!B103</f>
        <v>Cobalt</v>
      </c>
      <c r="C103" t="str">
        <f>Result_notebook_retravaill!C103</f>
        <v>Global Net-zero</v>
      </c>
      <c r="D103" t="str">
        <f>Result_notebook_retravaill!D103</f>
        <v>Existing production</v>
      </c>
      <c r="E103" t="str">
        <f>Result_notebook_retravaill!E103</f>
        <v>Current shares</v>
      </c>
      <c r="F103" t="str">
        <f>Result_notebook_retravaill!F103</f>
        <v>Status Quo</v>
      </c>
      <c r="G103">
        <f>Result_notebook_retravaill!G103</f>
        <v>14369.556871268551</v>
      </c>
      <c r="H103" s="32">
        <f>IF(Result_notebook_retravaill!I103&gt;Result_notebook_retravaill!G103,Result_notebook_retravaill!I103/Result_notebook_retravaill!N103,Result_notebook_retravaill!H103)</f>
        <v>3494</v>
      </c>
      <c r="I103" s="32">
        <f>Result_notebook_retravaill!K103</f>
        <v>29164.083798337619</v>
      </c>
      <c r="J103" s="32">
        <f>MIN(G103,Result_notebook_retravaill!I103)</f>
        <v>1482.0913083373639</v>
      </c>
      <c r="K103" s="32">
        <f>IF(Result_notebook_retravaill!I103&gt;Result_notebook_retravaill!G103,0,IF(Result_notebook_retravaill!I103+Result_notebook_retravaill!J103&gt;Result_notebook_retravaill!G103,Result_notebook_retravaill!G103-Result_notebook_retravaill!I103,Result_notebook_retravaill!J103))</f>
        <v>52.985592172937231</v>
      </c>
      <c r="L103" s="32">
        <f>IF(Result_notebook_retravaill!I103&gt;Result_notebook_retravaill!G103,0,IF(Result_notebook_retravaill!I103+Result_notebook_retravaill!J103&gt;Result_notebook_retravaill!G103,0,Result_notebook_retravaill!M103))</f>
        <v>12834.479970758252</v>
      </c>
      <c r="M103" s="31">
        <f t="shared" si="1"/>
        <v>0</v>
      </c>
    </row>
    <row r="104" spans="1:13" x14ac:dyDescent="0.35">
      <c r="A104">
        <f>Result_notebook_retravaill!A104</f>
        <v>2026</v>
      </c>
      <c r="B104" t="str">
        <f>Result_notebook_retravaill!B104</f>
        <v>Cobalt</v>
      </c>
      <c r="C104" t="str">
        <f>Result_notebook_retravaill!C104</f>
        <v>Global Net-zero</v>
      </c>
      <c r="D104" t="str">
        <f>Result_notebook_retravaill!D104</f>
        <v>Production potential</v>
      </c>
      <c r="E104" t="str">
        <f>Result_notebook_retravaill!E104</f>
        <v>Current shares</v>
      </c>
      <c r="F104" t="str">
        <f>Result_notebook_retravaill!F104</f>
        <v>Expansion Extractive</v>
      </c>
      <c r="G104">
        <f>Result_notebook_retravaill!G104</f>
        <v>14369.556871268551</v>
      </c>
      <c r="H104" s="32">
        <f>IF(Result_notebook_retravaill!I104&gt;Result_notebook_retravaill!G104,Result_notebook_retravaill!I104/Result_notebook_retravaill!N104,Result_notebook_retravaill!H104)</f>
        <v>4494</v>
      </c>
      <c r="I104" s="32">
        <f>Result_notebook_retravaill!K104</f>
        <v>28164.083798337619</v>
      </c>
      <c r="J104" s="32">
        <f>MIN(G104,Result_notebook_retravaill!I104)</f>
        <v>1906.2731367109659</v>
      </c>
      <c r="K104" s="32">
        <f>IF(Result_notebook_retravaill!I104&gt;Result_notebook_retravaill!G104,0,IF(Result_notebook_retravaill!I104+Result_notebook_retravaill!J104&gt;Result_notebook_retravaill!G104,Result_notebook_retravaill!G104-Result_notebook_retravaill!I104,Result_notebook_retravaill!J104))</f>
        <v>68.15032948631324</v>
      </c>
      <c r="L104" s="32">
        <f>IF(Result_notebook_retravaill!I104&gt;Result_notebook_retravaill!G104,0,IF(Result_notebook_retravaill!I104+Result_notebook_retravaill!J104&gt;Result_notebook_retravaill!G104,0,Result_notebook_retravaill!M104))</f>
        <v>12395.133405071268</v>
      </c>
      <c r="M104" s="31">
        <f t="shared" si="1"/>
        <v>0</v>
      </c>
    </row>
    <row r="105" spans="1:13" x14ac:dyDescent="0.35">
      <c r="A105">
        <f>Result_notebook_retravaill!A105</f>
        <v>2026</v>
      </c>
      <c r="B105" t="str">
        <f>Result_notebook_retravaill!B105</f>
        <v>Cobalt</v>
      </c>
      <c r="C105" t="str">
        <f>Result_notebook_retravaill!C105</f>
        <v>Global Net-zero</v>
      </c>
      <c r="D105" t="str">
        <f>Result_notebook_retravaill!D105</f>
        <v>Production potential</v>
      </c>
      <c r="E105" t="str">
        <f>Result_notebook_retravaill!E105</f>
        <v>Current shares</v>
      </c>
      <c r="F105" t="str">
        <f>Result_notebook_retravaill!F105</f>
        <v>Expansion Extractive+Circularity</v>
      </c>
      <c r="G105">
        <f>Result_notebook_retravaill!G105</f>
        <v>14369.556871268551</v>
      </c>
      <c r="H105" s="32">
        <f>IF(Result_notebook_retravaill!I105&gt;Result_notebook_retravaill!G105,Result_notebook_retravaill!I105/Result_notebook_retravaill!N105,Result_notebook_retravaill!H105)</f>
        <v>4494</v>
      </c>
      <c r="I105" s="32">
        <f>Result_notebook_retravaill!K105</f>
        <v>28164.083798337619</v>
      </c>
      <c r="J105" s="32">
        <f>MIN(G105,Result_notebook_retravaill!I105)</f>
        <v>1906.2731367109659</v>
      </c>
      <c r="K105" s="32">
        <f>IF(Result_notebook_retravaill!I105&gt;Result_notebook_retravaill!G105,0,IF(Result_notebook_retravaill!I105+Result_notebook_retravaill!J105&gt;Result_notebook_retravaill!G105,Result_notebook_retravaill!G105-Result_notebook_retravaill!I105,Result_notebook_retravaill!J105))</f>
        <v>68.15032948631324</v>
      </c>
      <c r="L105" s="32">
        <f>IF(Result_notebook_retravaill!I105&gt;Result_notebook_retravaill!G105,0,IF(Result_notebook_retravaill!I105+Result_notebook_retravaill!J105&gt;Result_notebook_retravaill!G105,0,Result_notebook_retravaill!M105))</f>
        <v>12395.133405071268</v>
      </c>
      <c r="M105" s="31">
        <f t="shared" si="1"/>
        <v>0</v>
      </c>
    </row>
    <row r="106" spans="1:13" x14ac:dyDescent="0.35">
      <c r="A106">
        <f>Result_notebook_retravaill!A106</f>
        <v>2026</v>
      </c>
      <c r="B106" t="str">
        <f>Result_notebook_retravaill!B106</f>
        <v>Cobalt</v>
      </c>
      <c r="C106" t="str">
        <f>Result_notebook_retravaill!C106</f>
        <v>Global Net-zero</v>
      </c>
      <c r="D106" t="str">
        <f>Result_notebook_retravaill!D106</f>
        <v>Production potential</v>
      </c>
      <c r="E106" t="str">
        <f>Result_notebook_retravaill!E106</f>
        <v>100% CAN</v>
      </c>
      <c r="F106" t="str">
        <f>Result_notebook_retravaill!F106</f>
        <v>Integrated</v>
      </c>
      <c r="G106">
        <f>Result_notebook_retravaill!G106</f>
        <v>14369.556871268551</v>
      </c>
      <c r="H106" s="32">
        <f>IF(Result_notebook_retravaill!I106&gt;Result_notebook_retravaill!G106,Result_notebook_retravaill!I106/Result_notebook_retravaill!N106,Result_notebook_retravaill!H106)</f>
        <v>4494</v>
      </c>
      <c r="I106" s="32">
        <f>Result_notebook_retravaill!K106</f>
        <v>28164.083798337619</v>
      </c>
      <c r="J106" s="32">
        <f>MIN(G106,Result_notebook_retravaill!I106)</f>
        <v>1974.423466197281</v>
      </c>
      <c r="K106" s="32">
        <f>IF(Result_notebook_retravaill!I106&gt;Result_notebook_retravaill!G106,0,IF(Result_notebook_retravaill!I106+Result_notebook_retravaill!J106&gt;Result_notebook_retravaill!G106,Result_notebook_retravaill!G106-Result_notebook_retravaill!I106,Result_notebook_retravaill!J106))</f>
        <v>-1.8189894035458565E-12</v>
      </c>
      <c r="L106" s="32">
        <f>IF(Result_notebook_retravaill!I106&gt;Result_notebook_retravaill!G106,0,IF(Result_notebook_retravaill!I106+Result_notebook_retravaill!J106&gt;Result_notebook_retravaill!G106,0,Result_notebook_retravaill!M106))</f>
        <v>12395.133405071272</v>
      </c>
      <c r="M106" s="31">
        <f t="shared" si="1"/>
        <v>0</v>
      </c>
    </row>
    <row r="107" spans="1:13" x14ac:dyDescent="0.35">
      <c r="A107">
        <f>Result_notebook_retravaill!A107</f>
        <v>2026</v>
      </c>
      <c r="B107" t="str">
        <f>Result_notebook_retravaill!B107</f>
        <v>Copper</v>
      </c>
      <c r="C107" t="str">
        <f>Result_notebook_retravaill!C107</f>
        <v>Canada Net-zero</v>
      </c>
      <c r="D107" t="str">
        <f>Result_notebook_retravaill!D107</f>
        <v>Existing production</v>
      </c>
      <c r="E107" t="str">
        <f>Result_notebook_retravaill!E107</f>
        <v>Current shares</v>
      </c>
      <c r="F107" t="str">
        <f>Result_notebook_retravaill!F107</f>
        <v>NIMBY</v>
      </c>
      <c r="G107">
        <f>Result_notebook_retravaill!G107</f>
        <v>845634.32805853861</v>
      </c>
      <c r="H107" s="32">
        <f>IF(Result_notebook_retravaill!I107&gt;Result_notebook_retravaill!G107,Result_notebook_retravaill!I107/Result_notebook_retravaill!N107,Result_notebook_retravaill!H107)</f>
        <v>0</v>
      </c>
      <c r="I107" s="32">
        <f>Result_notebook_retravaill!K107</f>
        <v>1018836.539829565</v>
      </c>
      <c r="J107" s="32">
        <f>MIN(G107,Result_notebook_retravaill!I107)</f>
        <v>0</v>
      </c>
      <c r="K107" s="32">
        <f>IF(Result_notebook_retravaill!I107&gt;Result_notebook_retravaill!G107,0,IF(Result_notebook_retravaill!I107+Result_notebook_retravaill!J107&gt;Result_notebook_retravaill!G107,Result_notebook_retravaill!G107-Result_notebook_retravaill!I107,Result_notebook_retravaill!J107))</f>
        <v>0</v>
      </c>
      <c r="L107" s="32">
        <f>IF(Result_notebook_retravaill!I107&gt;Result_notebook_retravaill!G107,0,IF(Result_notebook_retravaill!I107+Result_notebook_retravaill!J107&gt;Result_notebook_retravaill!G107,0,Result_notebook_retravaill!M107))</f>
        <v>845634.32805853861</v>
      </c>
      <c r="M107" s="31">
        <f t="shared" si="1"/>
        <v>0</v>
      </c>
    </row>
    <row r="108" spans="1:13" x14ac:dyDescent="0.35">
      <c r="A108">
        <f>Result_notebook_retravaill!A108</f>
        <v>2026</v>
      </c>
      <c r="B108" t="str">
        <f>Result_notebook_retravaill!B108</f>
        <v>Copper</v>
      </c>
      <c r="C108" t="str">
        <f>Result_notebook_retravaill!C108</f>
        <v>Canada Net-zero</v>
      </c>
      <c r="D108" t="str">
        <f>Result_notebook_retravaill!D108</f>
        <v>Existing production</v>
      </c>
      <c r="E108" t="str">
        <f>Result_notebook_retravaill!E108</f>
        <v>Current shares</v>
      </c>
      <c r="F108" t="str">
        <f>Result_notebook_retravaill!F108</f>
        <v>Status Quo</v>
      </c>
      <c r="G108">
        <f>Result_notebook_retravaill!G108</f>
        <v>845634.32805853861</v>
      </c>
      <c r="H108" s="32">
        <f>IF(Result_notebook_retravaill!I108&gt;Result_notebook_retravaill!G108,Result_notebook_retravaill!I108/Result_notebook_retravaill!N108,Result_notebook_retravaill!H108)</f>
        <v>475566</v>
      </c>
      <c r="I108" s="32">
        <f>Result_notebook_retravaill!K108</f>
        <v>543270.53982956463</v>
      </c>
      <c r="J108" s="32">
        <f>MIN(G108,Result_notebook_retravaill!I108)</f>
        <v>249961.62107116709</v>
      </c>
      <c r="K108" s="32">
        <f>IF(Result_notebook_retravaill!I108&gt;Result_notebook_retravaill!G108,0,IF(Result_notebook_retravaill!I108+Result_notebook_retravaill!J108&gt;Result_notebook_retravaill!G108,Result_notebook_retravaill!G108-Result_notebook_retravaill!I108,Result_notebook_retravaill!J108))</f>
        <v>147015.08231866322</v>
      </c>
      <c r="L108" s="32">
        <f>IF(Result_notebook_retravaill!I108&gt;Result_notebook_retravaill!G108,0,IF(Result_notebook_retravaill!I108+Result_notebook_retravaill!J108&gt;Result_notebook_retravaill!G108,0,Result_notebook_retravaill!M108))</f>
        <v>448657.6246687083</v>
      </c>
      <c r="M108" s="31">
        <f t="shared" si="1"/>
        <v>0</v>
      </c>
    </row>
    <row r="109" spans="1:13" x14ac:dyDescent="0.35">
      <c r="A109">
        <f>Result_notebook_retravaill!A109</f>
        <v>2026</v>
      </c>
      <c r="B109" t="str">
        <f>Result_notebook_retravaill!B109</f>
        <v>Copper</v>
      </c>
      <c r="C109" t="str">
        <f>Result_notebook_retravaill!C109</f>
        <v>Canada Net-zero</v>
      </c>
      <c r="D109" t="str">
        <f>Result_notebook_retravaill!D109</f>
        <v>Production potential</v>
      </c>
      <c r="E109" t="str">
        <f>Result_notebook_retravaill!E109</f>
        <v>Current shares</v>
      </c>
      <c r="F109" t="str">
        <f>Result_notebook_retravaill!F109</f>
        <v>Expansion Extractive</v>
      </c>
      <c r="G109">
        <f>Result_notebook_retravaill!G109</f>
        <v>845634.32805853861</v>
      </c>
      <c r="H109" s="32">
        <f>IF(Result_notebook_retravaill!I109&gt;Result_notebook_retravaill!G109,Result_notebook_retravaill!I109/Result_notebook_retravaill!N109,Result_notebook_retravaill!H109)</f>
        <v>562105.95050130773</v>
      </c>
      <c r="I109" s="32">
        <f>Result_notebook_retravaill!K109</f>
        <v>456730.5893282569</v>
      </c>
      <c r="J109" s="32">
        <f>MIN(G109,Result_notebook_retravaill!I109)</f>
        <v>295447.77086893527</v>
      </c>
      <c r="K109" s="32">
        <f>IF(Result_notebook_retravaill!I109&gt;Result_notebook_retravaill!G109,0,IF(Result_notebook_retravaill!I109+Result_notebook_retravaill!J109&gt;Result_notebook_retravaill!G109,Result_notebook_retravaill!G109-Result_notebook_retravaill!I109,Result_notebook_retravaill!J109))</f>
        <v>173767.78950715612</v>
      </c>
      <c r="L109" s="32">
        <f>IF(Result_notebook_retravaill!I109&gt;Result_notebook_retravaill!G109,0,IF(Result_notebook_retravaill!I109+Result_notebook_retravaill!J109&gt;Result_notebook_retravaill!G109,0,Result_notebook_retravaill!M109))</f>
        <v>376418.76768244721</v>
      </c>
      <c r="M109" s="31">
        <f t="shared" si="1"/>
        <v>0</v>
      </c>
    </row>
    <row r="110" spans="1:13" x14ac:dyDescent="0.35">
      <c r="A110">
        <f>Result_notebook_retravaill!A110</f>
        <v>2026</v>
      </c>
      <c r="B110" t="str">
        <f>Result_notebook_retravaill!B110</f>
        <v>Copper</v>
      </c>
      <c r="C110" t="str">
        <f>Result_notebook_retravaill!C110</f>
        <v>Canada Net-zero</v>
      </c>
      <c r="D110" t="str">
        <f>Result_notebook_retravaill!D110</f>
        <v>Production potential</v>
      </c>
      <c r="E110" t="str">
        <f>Result_notebook_retravaill!E110</f>
        <v>Current shares</v>
      </c>
      <c r="F110" t="str">
        <f>Result_notebook_retravaill!F110</f>
        <v>Expansion Extractive+Circularity</v>
      </c>
      <c r="G110">
        <f>Result_notebook_retravaill!G110</f>
        <v>845634.32805853861</v>
      </c>
      <c r="H110" s="32">
        <f>IF(Result_notebook_retravaill!I110&gt;Result_notebook_retravaill!G110,Result_notebook_retravaill!I110/Result_notebook_retravaill!N110,Result_notebook_retravaill!H110)</f>
        <v>562105.95050130773</v>
      </c>
      <c r="I110" s="32">
        <f>Result_notebook_retravaill!K110</f>
        <v>456730.5893282569</v>
      </c>
      <c r="J110" s="32">
        <f>MIN(G110,Result_notebook_retravaill!I110)</f>
        <v>295447.77086893527</v>
      </c>
      <c r="K110" s="32">
        <f>IF(Result_notebook_retravaill!I110&gt;Result_notebook_retravaill!G110,0,IF(Result_notebook_retravaill!I110+Result_notebook_retravaill!J110&gt;Result_notebook_retravaill!G110,Result_notebook_retravaill!G110-Result_notebook_retravaill!I110,Result_notebook_retravaill!J110))</f>
        <v>173767.78950715612</v>
      </c>
      <c r="L110" s="32">
        <f>IF(Result_notebook_retravaill!I110&gt;Result_notebook_retravaill!G110,0,IF(Result_notebook_retravaill!I110+Result_notebook_retravaill!J110&gt;Result_notebook_retravaill!G110,0,Result_notebook_retravaill!M110))</f>
        <v>376418.76768244721</v>
      </c>
      <c r="M110" s="31">
        <f t="shared" si="1"/>
        <v>0</v>
      </c>
    </row>
    <row r="111" spans="1:13" x14ac:dyDescent="0.35">
      <c r="A111">
        <f>Result_notebook_retravaill!A111</f>
        <v>2026</v>
      </c>
      <c r="B111" t="str">
        <f>Result_notebook_retravaill!B111</f>
        <v>Copper</v>
      </c>
      <c r="C111" t="str">
        <f>Result_notebook_retravaill!C111</f>
        <v>Canada Net-zero</v>
      </c>
      <c r="D111" t="str">
        <f>Result_notebook_retravaill!D111</f>
        <v>Production potential</v>
      </c>
      <c r="E111" t="str">
        <f>Result_notebook_retravaill!E111</f>
        <v>100% CAN</v>
      </c>
      <c r="F111" t="str">
        <f>Result_notebook_retravaill!F111</f>
        <v>Integrated</v>
      </c>
      <c r="G111">
        <f>Result_notebook_retravaill!G111</f>
        <v>845634.32805853861</v>
      </c>
      <c r="H111" s="32">
        <f>IF(Result_notebook_retravaill!I111&gt;Result_notebook_retravaill!G111,Result_notebook_retravaill!I111/Result_notebook_retravaill!N111,Result_notebook_retravaill!H111)</f>
        <v>562105.95050130773</v>
      </c>
      <c r="I111" s="32">
        <f>Result_notebook_retravaill!K111</f>
        <v>456730.5893282569</v>
      </c>
      <c r="J111" s="32">
        <f>MIN(G111,Result_notebook_retravaill!I111)</f>
        <v>469215.56037609163</v>
      </c>
      <c r="K111" s="32">
        <f>IF(Result_notebook_retravaill!I111&gt;Result_notebook_retravaill!G111,0,IF(Result_notebook_retravaill!I111+Result_notebook_retravaill!J111&gt;Result_notebook_retravaill!G111,Result_notebook_retravaill!G111-Result_notebook_retravaill!I111,Result_notebook_retravaill!J111))</f>
        <v>0</v>
      </c>
      <c r="L111" s="32">
        <f>IF(Result_notebook_retravaill!I111&gt;Result_notebook_retravaill!G111,0,IF(Result_notebook_retravaill!I111+Result_notebook_retravaill!J111&gt;Result_notebook_retravaill!G111,0,Result_notebook_retravaill!M111))</f>
        <v>376418.76768244698</v>
      </c>
      <c r="M111" s="31">
        <f t="shared" si="1"/>
        <v>0</v>
      </c>
    </row>
    <row r="112" spans="1:13" x14ac:dyDescent="0.35">
      <c r="A112">
        <f>Result_notebook_retravaill!A112</f>
        <v>2026</v>
      </c>
      <c r="B112" t="str">
        <f>Result_notebook_retravaill!B112</f>
        <v>Copper</v>
      </c>
      <c r="C112" t="str">
        <f>Result_notebook_retravaill!C112</f>
        <v>Current Measures</v>
      </c>
      <c r="D112" t="str">
        <f>Result_notebook_retravaill!D112</f>
        <v>Existing production</v>
      </c>
      <c r="E112" t="str">
        <f>Result_notebook_retravaill!E112</f>
        <v>Current shares</v>
      </c>
      <c r="F112" t="str">
        <f>Result_notebook_retravaill!F112</f>
        <v>NIMBY</v>
      </c>
      <c r="G112">
        <f>Result_notebook_retravaill!G112</f>
        <v>845257.87153819855</v>
      </c>
      <c r="H112" s="32">
        <f>IF(Result_notebook_retravaill!I112&gt;Result_notebook_retravaill!G112,Result_notebook_retravaill!I112/Result_notebook_retravaill!N112,Result_notebook_retravaill!H112)</f>
        <v>0</v>
      </c>
      <c r="I112" s="32">
        <f>Result_notebook_retravaill!K112</f>
        <v>1018382.977756866</v>
      </c>
      <c r="J112" s="32">
        <f>MIN(G112,Result_notebook_retravaill!I112)</f>
        <v>0</v>
      </c>
      <c r="K112" s="32">
        <f>IF(Result_notebook_retravaill!I112&gt;Result_notebook_retravaill!G112,0,IF(Result_notebook_retravaill!I112+Result_notebook_retravaill!J112&gt;Result_notebook_retravaill!G112,Result_notebook_retravaill!G112-Result_notebook_retravaill!I112,Result_notebook_retravaill!J112))</f>
        <v>0</v>
      </c>
      <c r="L112" s="32">
        <f>IF(Result_notebook_retravaill!I112&gt;Result_notebook_retravaill!G112,0,IF(Result_notebook_retravaill!I112+Result_notebook_retravaill!J112&gt;Result_notebook_retravaill!G112,0,Result_notebook_retravaill!M112))</f>
        <v>845257.87153819855</v>
      </c>
      <c r="M112" s="31">
        <f t="shared" si="1"/>
        <v>0</v>
      </c>
    </row>
    <row r="113" spans="1:13" x14ac:dyDescent="0.35">
      <c r="A113">
        <f>Result_notebook_retravaill!A113</f>
        <v>2026</v>
      </c>
      <c r="B113" t="str">
        <f>Result_notebook_retravaill!B113</f>
        <v>Copper</v>
      </c>
      <c r="C113" t="str">
        <f>Result_notebook_retravaill!C113</f>
        <v>Current Measures</v>
      </c>
      <c r="D113" t="str">
        <f>Result_notebook_retravaill!D113</f>
        <v>Existing production</v>
      </c>
      <c r="E113" t="str">
        <f>Result_notebook_retravaill!E113</f>
        <v>Current shares</v>
      </c>
      <c r="F113" t="str">
        <f>Result_notebook_retravaill!F113</f>
        <v>Status Quo</v>
      </c>
      <c r="G113">
        <f>Result_notebook_retravaill!G113</f>
        <v>845257.87153819855</v>
      </c>
      <c r="H113" s="32">
        <f>IF(Result_notebook_retravaill!I113&gt;Result_notebook_retravaill!G113,Result_notebook_retravaill!I113/Result_notebook_retravaill!N113,Result_notebook_retravaill!H113)</f>
        <v>475566</v>
      </c>
      <c r="I113" s="32">
        <f>Result_notebook_retravaill!K113</f>
        <v>542816.97775686579</v>
      </c>
      <c r="J113" s="32">
        <f>MIN(G113,Result_notebook_retravaill!I113)</f>
        <v>249961.62107116709</v>
      </c>
      <c r="K113" s="32">
        <f>IF(Result_notebook_retravaill!I113&gt;Result_notebook_retravaill!G113,0,IF(Result_notebook_retravaill!I113+Result_notebook_retravaill!J113&gt;Result_notebook_retravaill!G113,Result_notebook_retravaill!G113-Result_notebook_retravaill!I113,Result_notebook_retravaill!J113))</f>
        <v>147015.08231866322</v>
      </c>
      <c r="L113" s="32">
        <f>IF(Result_notebook_retravaill!I113&gt;Result_notebook_retravaill!G113,0,IF(Result_notebook_retravaill!I113+Result_notebook_retravaill!J113&gt;Result_notebook_retravaill!G113,0,Result_notebook_retravaill!M113))</f>
        <v>448281.16814836825</v>
      </c>
      <c r="M113" s="31">
        <f t="shared" si="1"/>
        <v>0</v>
      </c>
    </row>
    <row r="114" spans="1:13" x14ac:dyDescent="0.35">
      <c r="A114">
        <f>Result_notebook_retravaill!A114</f>
        <v>2026</v>
      </c>
      <c r="B114" t="str">
        <f>Result_notebook_retravaill!B114</f>
        <v>Copper</v>
      </c>
      <c r="C114" t="str">
        <f>Result_notebook_retravaill!C114</f>
        <v>Current Measures</v>
      </c>
      <c r="D114" t="str">
        <f>Result_notebook_retravaill!D114</f>
        <v>Production potential</v>
      </c>
      <c r="E114" t="str">
        <f>Result_notebook_retravaill!E114</f>
        <v>Current shares</v>
      </c>
      <c r="F114" t="str">
        <f>Result_notebook_retravaill!F114</f>
        <v>Expansion Extractive</v>
      </c>
      <c r="G114">
        <f>Result_notebook_retravaill!G114</f>
        <v>845257.87153819855</v>
      </c>
      <c r="H114" s="32">
        <f>IF(Result_notebook_retravaill!I114&gt;Result_notebook_retravaill!G114,Result_notebook_retravaill!I114/Result_notebook_retravaill!N114,Result_notebook_retravaill!H114)</f>
        <v>562105.95050130773</v>
      </c>
      <c r="I114" s="32">
        <f>Result_notebook_retravaill!K114</f>
        <v>456277.02725555812</v>
      </c>
      <c r="J114" s="32">
        <f>MIN(G114,Result_notebook_retravaill!I114)</f>
        <v>295447.77086893527</v>
      </c>
      <c r="K114" s="32">
        <f>IF(Result_notebook_retravaill!I114&gt;Result_notebook_retravaill!G114,0,IF(Result_notebook_retravaill!I114+Result_notebook_retravaill!J114&gt;Result_notebook_retravaill!G114,Result_notebook_retravaill!G114-Result_notebook_retravaill!I114,Result_notebook_retravaill!J114))</f>
        <v>173767.78950715612</v>
      </c>
      <c r="L114" s="32">
        <f>IF(Result_notebook_retravaill!I114&gt;Result_notebook_retravaill!G114,0,IF(Result_notebook_retravaill!I114+Result_notebook_retravaill!J114&gt;Result_notebook_retravaill!G114,0,Result_notebook_retravaill!M114))</f>
        <v>376042.31116210704</v>
      </c>
      <c r="M114" s="31">
        <f t="shared" si="1"/>
        <v>0</v>
      </c>
    </row>
    <row r="115" spans="1:13" x14ac:dyDescent="0.35">
      <c r="A115">
        <f>Result_notebook_retravaill!A115</f>
        <v>2026</v>
      </c>
      <c r="B115" t="str">
        <f>Result_notebook_retravaill!B115</f>
        <v>Copper</v>
      </c>
      <c r="C115" t="str">
        <f>Result_notebook_retravaill!C115</f>
        <v>Current Measures</v>
      </c>
      <c r="D115" t="str">
        <f>Result_notebook_retravaill!D115</f>
        <v>Production potential</v>
      </c>
      <c r="E115" t="str">
        <f>Result_notebook_retravaill!E115</f>
        <v>Current shares</v>
      </c>
      <c r="F115" t="str">
        <f>Result_notebook_retravaill!F115</f>
        <v>Expansion Extractive+Circularity</v>
      </c>
      <c r="G115">
        <f>Result_notebook_retravaill!G115</f>
        <v>845257.87153819855</v>
      </c>
      <c r="H115" s="32">
        <f>IF(Result_notebook_retravaill!I115&gt;Result_notebook_retravaill!G115,Result_notebook_retravaill!I115/Result_notebook_retravaill!N115,Result_notebook_retravaill!H115)</f>
        <v>562105.95050130773</v>
      </c>
      <c r="I115" s="32">
        <f>Result_notebook_retravaill!K115</f>
        <v>456277.02725555812</v>
      </c>
      <c r="J115" s="32">
        <f>MIN(G115,Result_notebook_retravaill!I115)</f>
        <v>295447.77086893527</v>
      </c>
      <c r="K115" s="32">
        <f>IF(Result_notebook_retravaill!I115&gt;Result_notebook_retravaill!G115,0,IF(Result_notebook_retravaill!I115+Result_notebook_retravaill!J115&gt;Result_notebook_retravaill!G115,Result_notebook_retravaill!G115-Result_notebook_retravaill!I115,Result_notebook_retravaill!J115))</f>
        <v>173767.78950715612</v>
      </c>
      <c r="L115" s="32">
        <f>IF(Result_notebook_retravaill!I115&gt;Result_notebook_retravaill!G115,0,IF(Result_notebook_retravaill!I115+Result_notebook_retravaill!J115&gt;Result_notebook_retravaill!G115,0,Result_notebook_retravaill!M115))</f>
        <v>376042.31116210704</v>
      </c>
      <c r="M115" s="31">
        <f t="shared" si="1"/>
        <v>0</v>
      </c>
    </row>
    <row r="116" spans="1:13" x14ac:dyDescent="0.35">
      <c r="A116">
        <f>Result_notebook_retravaill!A116</f>
        <v>2026</v>
      </c>
      <c r="B116" t="str">
        <f>Result_notebook_retravaill!B116</f>
        <v>Copper</v>
      </c>
      <c r="C116" t="str">
        <f>Result_notebook_retravaill!C116</f>
        <v>Current Measures</v>
      </c>
      <c r="D116" t="str">
        <f>Result_notebook_retravaill!D116</f>
        <v>Production potential</v>
      </c>
      <c r="E116" t="str">
        <f>Result_notebook_retravaill!E116</f>
        <v>100% CAN</v>
      </c>
      <c r="F116" t="str">
        <f>Result_notebook_retravaill!F116</f>
        <v>Integrated</v>
      </c>
      <c r="G116">
        <f>Result_notebook_retravaill!G116</f>
        <v>845257.87153819855</v>
      </c>
      <c r="H116" s="32">
        <f>IF(Result_notebook_retravaill!I116&gt;Result_notebook_retravaill!G116,Result_notebook_retravaill!I116/Result_notebook_retravaill!N116,Result_notebook_retravaill!H116)</f>
        <v>562105.95050130773</v>
      </c>
      <c r="I116" s="32">
        <f>Result_notebook_retravaill!K116</f>
        <v>456277.02725555812</v>
      </c>
      <c r="J116" s="32">
        <f>MIN(G116,Result_notebook_retravaill!I116)</f>
        <v>469215.56037609163</v>
      </c>
      <c r="K116" s="32">
        <f>IF(Result_notebook_retravaill!I116&gt;Result_notebook_retravaill!G116,0,IF(Result_notebook_retravaill!I116+Result_notebook_retravaill!J116&gt;Result_notebook_retravaill!G116,Result_notebook_retravaill!G116-Result_notebook_retravaill!I116,Result_notebook_retravaill!J116))</f>
        <v>0</v>
      </c>
      <c r="L116" s="32">
        <f>IF(Result_notebook_retravaill!I116&gt;Result_notebook_retravaill!G116,0,IF(Result_notebook_retravaill!I116+Result_notebook_retravaill!J116&gt;Result_notebook_retravaill!G116,0,Result_notebook_retravaill!M116))</f>
        <v>376042.31116210693</v>
      </c>
      <c r="M116" s="31">
        <f t="shared" si="1"/>
        <v>0</v>
      </c>
    </row>
    <row r="117" spans="1:13" x14ac:dyDescent="0.35">
      <c r="A117">
        <f>Result_notebook_retravaill!A117</f>
        <v>2026</v>
      </c>
      <c r="B117" t="str">
        <f>Result_notebook_retravaill!B117</f>
        <v>Copper</v>
      </c>
      <c r="C117" t="str">
        <f>Result_notebook_retravaill!C117</f>
        <v>Global Net-zero</v>
      </c>
      <c r="D117" t="str">
        <f>Result_notebook_retravaill!D117</f>
        <v>Existing production</v>
      </c>
      <c r="E117" t="str">
        <f>Result_notebook_retravaill!E117</f>
        <v>Current shares</v>
      </c>
      <c r="F117" t="str">
        <f>Result_notebook_retravaill!F117</f>
        <v>NIMBY</v>
      </c>
      <c r="G117">
        <f>Result_notebook_retravaill!G117</f>
        <v>837500.54212283459</v>
      </c>
      <c r="H117" s="32">
        <f>IF(Result_notebook_retravaill!I117&gt;Result_notebook_retravaill!G117,Result_notebook_retravaill!I117/Result_notebook_retravaill!N117,Result_notebook_retravaill!H117)</f>
        <v>0</v>
      </c>
      <c r="I117" s="32">
        <f>Result_notebook_retravaill!K117</f>
        <v>1009036.797738355</v>
      </c>
      <c r="J117" s="32">
        <f>MIN(G117,Result_notebook_retravaill!I117)</f>
        <v>0</v>
      </c>
      <c r="K117" s="32">
        <f>IF(Result_notebook_retravaill!I117&gt;Result_notebook_retravaill!G117,0,IF(Result_notebook_retravaill!I117+Result_notebook_retravaill!J117&gt;Result_notebook_retravaill!G117,Result_notebook_retravaill!G117-Result_notebook_retravaill!I117,Result_notebook_retravaill!J117))</f>
        <v>0</v>
      </c>
      <c r="L117" s="32">
        <f>IF(Result_notebook_retravaill!I117&gt;Result_notebook_retravaill!G117,0,IF(Result_notebook_retravaill!I117+Result_notebook_retravaill!J117&gt;Result_notebook_retravaill!G117,0,Result_notebook_retravaill!M117))</f>
        <v>837500.54212283459</v>
      </c>
      <c r="M117" s="31">
        <f t="shared" si="1"/>
        <v>0</v>
      </c>
    </row>
    <row r="118" spans="1:13" x14ac:dyDescent="0.35">
      <c r="A118">
        <f>Result_notebook_retravaill!A118</f>
        <v>2026</v>
      </c>
      <c r="B118" t="str">
        <f>Result_notebook_retravaill!B118</f>
        <v>Copper</v>
      </c>
      <c r="C118" t="str">
        <f>Result_notebook_retravaill!C118</f>
        <v>Global Net-zero</v>
      </c>
      <c r="D118" t="str">
        <f>Result_notebook_retravaill!D118</f>
        <v>Existing production</v>
      </c>
      <c r="E118" t="str">
        <f>Result_notebook_retravaill!E118</f>
        <v>Current shares</v>
      </c>
      <c r="F118" t="str">
        <f>Result_notebook_retravaill!F118</f>
        <v>Status Quo</v>
      </c>
      <c r="G118">
        <f>Result_notebook_retravaill!G118</f>
        <v>837500.54212283459</v>
      </c>
      <c r="H118" s="32">
        <f>IF(Result_notebook_retravaill!I118&gt;Result_notebook_retravaill!G118,Result_notebook_retravaill!I118/Result_notebook_retravaill!N118,Result_notebook_retravaill!H118)</f>
        <v>475566</v>
      </c>
      <c r="I118" s="32">
        <f>Result_notebook_retravaill!K118</f>
        <v>533470.797738355</v>
      </c>
      <c r="J118" s="32">
        <f>MIN(G118,Result_notebook_retravaill!I118)</f>
        <v>249961.62107116709</v>
      </c>
      <c r="K118" s="32">
        <f>IF(Result_notebook_retravaill!I118&gt;Result_notebook_retravaill!G118,0,IF(Result_notebook_retravaill!I118+Result_notebook_retravaill!J118&gt;Result_notebook_retravaill!G118,Result_notebook_retravaill!G118-Result_notebook_retravaill!I118,Result_notebook_retravaill!J118))</f>
        <v>147015.08231866322</v>
      </c>
      <c r="L118" s="32">
        <f>IF(Result_notebook_retravaill!I118&gt;Result_notebook_retravaill!G118,0,IF(Result_notebook_retravaill!I118+Result_notebook_retravaill!J118&gt;Result_notebook_retravaill!G118,0,Result_notebook_retravaill!M118))</f>
        <v>440523.83873300429</v>
      </c>
      <c r="M118" s="31">
        <f t="shared" si="1"/>
        <v>0</v>
      </c>
    </row>
    <row r="119" spans="1:13" x14ac:dyDescent="0.35">
      <c r="A119">
        <f>Result_notebook_retravaill!A119</f>
        <v>2026</v>
      </c>
      <c r="B119" t="str">
        <f>Result_notebook_retravaill!B119</f>
        <v>Copper</v>
      </c>
      <c r="C119" t="str">
        <f>Result_notebook_retravaill!C119</f>
        <v>Global Net-zero</v>
      </c>
      <c r="D119" t="str">
        <f>Result_notebook_retravaill!D119</f>
        <v>Production potential</v>
      </c>
      <c r="E119" t="str">
        <f>Result_notebook_retravaill!E119</f>
        <v>Current shares</v>
      </c>
      <c r="F119" t="str">
        <f>Result_notebook_retravaill!F119</f>
        <v>Expansion Extractive</v>
      </c>
      <c r="G119">
        <f>Result_notebook_retravaill!G119</f>
        <v>837500.54212283459</v>
      </c>
      <c r="H119" s="32">
        <f>IF(Result_notebook_retravaill!I119&gt;Result_notebook_retravaill!G119,Result_notebook_retravaill!I119/Result_notebook_retravaill!N119,Result_notebook_retravaill!H119)</f>
        <v>562105.95050130773</v>
      </c>
      <c r="I119" s="32">
        <f>Result_notebook_retravaill!K119</f>
        <v>446930.84723704727</v>
      </c>
      <c r="J119" s="32">
        <f>MIN(G119,Result_notebook_retravaill!I119)</f>
        <v>295447.77086893527</v>
      </c>
      <c r="K119" s="32">
        <f>IF(Result_notebook_retravaill!I119&gt;Result_notebook_retravaill!G119,0,IF(Result_notebook_retravaill!I119+Result_notebook_retravaill!J119&gt;Result_notebook_retravaill!G119,Result_notebook_retravaill!G119-Result_notebook_retravaill!I119,Result_notebook_retravaill!J119))</f>
        <v>173767.78950715612</v>
      </c>
      <c r="L119" s="32">
        <f>IF(Result_notebook_retravaill!I119&gt;Result_notebook_retravaill!G119,0,IF(Result_notebook_retravaill!I119+Result_notebook_retravaill!J119&gt;Result_notebook_retravaill!G119,0,Result_notebook_retravaill!M119))</f>
        <v>368284.98174674308</v>
      </c>
      <c r="M119" s="31">
        <f t="shared" si="1"/>
        <v>0</v>
      </c>
    </row>
    <row r="120" spans="1:13" x14ac:dyDescent="0.35">
      <c r="A120">
        <f>Result_notebook_retravaill!A120</f>
        <v>2026</v>
      </c>
      <c r="B120" t="str">
        <f>Result_notebook_retravaill!B120</f>
        <v>Copper</v>
      </c>
      <c r="C120" t="str">
        <f>Result_notebook_retravaill!C120</f>
        <v>Global Net-zero</v>
      </c>
      <c r="D120" t="str">
        <f>Result_notebook_retravaill!D120</f>
        <v>Production potential</v>
      </c>
      <c r="E120" t="str">
        <f>Result_notebook_retravaill!E120</f>
        <v>Current shares</v>
      </c>
      <c r="F120" t="str">
        <f>Result_notebook_retravaill!F120</f>
        <v>Expansion Extractive+Circularity</v>
      </c>
      <c r="G120">
        <f>Result_notebook_retravaill!G120</f>
        <v>837500.54212283459</v>
      </c>
      <c r="H120" s="32">
        <f>IF(Result_notebook_retravaill!I120&gt;Result_notebook_retravaill!G120,Result_notebook_retravaill!I120/Result_notebook_retravaill!N120,Result_notebook_retravaill!H120)</f>
        <v>562105.95050130773</v>
      </c>
      <c r="I120" s="32">
        <f>Result_notebook_retravaill!K120</f>
        <v>446930.84723704727</v>
      </c>
      <c r="J120" s="32">
        <f>MIN(G120,Result_notebook_retravaill!I120)</f>
        <v>295447.77086893527</v>
      </c>
      <c r="K120" s="32">
        <f>IF(Result_notebook_retravaill!I120&gt;Result_notebook_retravaill!G120,0,IF(Result_notebook_retravaill!I120+Result_notebook_retravaill!J120&gt;Result_notebook_retravaill!G120,Result_notebook_retravaill!G120-Result_notebook_retravaill!I120,Result_notebook_retravaill!J120))</f>
        <v>173767.78950715612</v>
      </c>
      <c r="L120" s="32">
        <f>IF(Result_notebook_retravaill!I120&gt;Result_notebook_retravaill!G120,0,IF(Result_notebook_retravaill!I120+Result_notebook_retravaill!J120&gt;Result_notebook_retravaill!G120,0,Result_notebook_retravaill!M120))</f>
        <v>368284.98174674308</v>
      </c>
      <c r="M120" s="31">
        <f t="shared" si="1"/>
        <v>0</v>
      </c>
    </row>
    <row r="121" spans="1:13" x14ac:dyDescent="0.35">
      <c r="A121">
        <f>Result_notebook_retravaill!A121</f>
        <v>2026</v>
      </c>
      <c r="B121" t="str">
        <f>Result_notebook_retravaill!B121</f>
        <v>Copper</v>
      </c>
      <c r="C121" t="str">
        <f>Result_notebook_retravaill!C121</f>
        <v>Global Net-zero</v>
      </c>
      <c r="D121" t="str">
        <f>Result_notebook_retravaill!D121</f>
        <v>Production potential</v>
      </c>
      <c r="E121" t="str">
        <f>Result_notebook_retravaill!E121</f>
        <v>100% CAN</v>
      </c>
      <c r="F121" t="str">
        <f>Result_notebook_retravaill!F121</f>
        <v>Integrated</v>
      </c>
      <c r="G121">
        <f>Result_notebook_retravaill!G121</f>
        <v>837500.54212283459</v>
      </c>
      <c r="H121" s="32">
        <f>IF(Result_notebook_retravaill!I121&gt;Result_notebook_retravaill!G121,Result_notebook_retravaill!I121/Result_notebook_retravaill!N121,Result_notebook_retravaill!H121)</f>
        <v>562105.95050130773</v>
      </c>
      <c r="I121" s="32">
        <f>Result_notebook_retravaill!K121</f>
        <v>446930.84723704727</v>
      </c>
      <c r="J121" s="32">
        <f>MIN(G121,Result_notebook_retravaill!I121)</f>
        <v>469215.56037609163</v>
      </c>
      <c r="K121" s="32">
        <f>IF(Result_notebook_retravaill!I121&gt;Result_notebook_retravaill!G121,0,IF(Result_notebook_retravaill!I121+Result_notebook_retravaill!J121&gt;Result_notebook_retravaill!G121,Result_notebook_retravaill!G121-Result_notebook_retravaill!I121,Result_notebook_retravaill!J121))</f>
        <v>0</v>
      </c>
      <c r="L121" s="32">
        <f>IF(Result_notebook_retravaill!I121&gt;Result_notebook_retravaill!G121,0,IF(Result_notebook_retravaill!I121+Result_notebook_retravaill!J121&gt;Result_notebook_retravaill!G121,0,Result_notebook_retravaill!M121))</f>
        <v>368284.98174674303</v>
      </c>
      <c r="M121" s="31">
        <f t="shared" si="1"/>
        <v>0</v>
      </c>
    </row>
    <row r="122" spans="1:13" x14ac:dyDescent="0.35">
      <c r="A122">
        <f>Result_notebook_retravaill!A122</f>
        <v>2026</v>
      </c>
      <c r="B122" t="str">
        <f>Result_notebook_retravaill!B122</f>
        <v>Neodymium</v>
      </c>
      <c r="C122" t="str">
        <f>Result_notebook_retravaill!C122</f>
        <v>Canada Net-zero</v>
      </c>
      <c r="D122" t="str">
        <f>Result_notebook_retravaill!D122</f>
        <v>Existing production</v>
      </c>
      <c r="E122" t="str">
        <f>Result_notebook_retravaill!E122</f>
        <v>Current shares</v>
      </c>
      <c r="F122" t="str">
        <f>Result_notebook_retravaill!F122</f>
        <v>NIMBY</v>
      </c>
      <c r="G122">
        <f>Result_notebook_retravaill!G122</f>
        <v>563.7311840881448</v>
      </c>
      <c r="H122" s="32">
        <f>IF(Result_notebook_retravaill!I122&gt;Result_notebook_retravaill!G122,Result_notebook_retravaill!I122/Result_notebook_retravaill!N122,Result_notebook_retravaill!H122)</f>
        <v>0</v>
      </c>
      <c r="I122" s="32">
        <f>Result_notebook_retravaill!K122</f>
        <v>939.55197348024137</v>
      </c>
      <c r="J122" s="32">
        <f>MIN(G122,Result_notebook_retravaill!I122)</f>
        <v>0</v>
      </c>
      <c r="K122" s="32">
        <f>IF(Result_notebook_retravaill!I122&gt;Result_notebook_retravaill!G122,0,IF(Result_notebook_retravaill!I122+Result_notebook_retravaill!J122&gt;Result_notebook_retravaill!G122,Result_notebook_retravaill!G122-Result_notebook_retravaill!I122,Result_notebook_retravaill!J122))</f>
        <v>0</v>
      </c>
      <c r="L122" s="32">
        <f>IF(Result_notebook_retravaill!I122&gt;Result_notebook_retravaill!G122,0,IF(Result_notebook_retravaill!I122+Result_notebook_retravaill!J122&gt;Result_notebook_retravaill!G122,0,Result_notebook_retravaill!M122))</f>
        <v>563.7311840881448</v>
      </c>
      <c r="M122" s="31">
        <f t="shared" si="1"/>
        <v>0</v>
      </c>
    </row>
    <row r="123" spans="1:13" x14ac:dyDescent="0.35">
      <c r="A123">
        <f>Result_notebook_retravaill!A123</f>
        <v>2026</v>
      </c>
      <c r="B123" t="str">
        <f>Result_notebook_retravaill!B123</f>
        <v>Neodymium</v>
      </c>
      <c r="C123" t="str">
        <f>Result_notebook_retravaill!C123</f>
        <v>Canada Net-zero</v>
      </c>
      <c r="D123" t="str">
        <f>Result_notebook_retravaill!D123</f>
        <v>Existing production</v>
      </c>
      <c r="E123" t="str">
        <f>Result_notebook_retravaill!E123</f>
        <v>Current shares</v>
      </c>
      <c r="F123" t="str">
        <f>Result_notebook_retravaill!F123</f>
        <v>Status Quo</v>
      </c>
      <c r="G123">
        <f>Result_notebook_retravaill!G123</f>
        <v>563.7311840881448</v>
      </c>
      <c r="H123" s="32">
        <f>IF(Result_notebook_retravaill!I123&gt;Result_notebook_retravaill!G123,Result_notebook_retravaill!I123/Result_notebook_retravaill!N123,Result_notebook_retravaill!H123)</f>
        <v>0</v>
      </c>
      <c r="I123" s="32">
        <f>Result_notebook_retravaill!K123</f>
        <v>939.55197348024137</v>
      </c>
      <c r="J123" s="32">
        <f>MIN(G123,Result_notebook_retravaill!I123)</f>
        <v>0</v>
      </c>
      <c r="K123" s="32">
        <f>IF(Result_notebook_retravaill!I123&gt;Result_notebook_retravaill!G123,0,IF(Result_notebook_retravaill!I123+Result_notebook_retravaill!J123&gt;Result_notebook_retravaill!G123,Result_notebook_retravaill!G123-Result_notebook_retravaill!I123,Result_notebook_retravaill!J123))</f>
        <v>0</v>
      </c>
      <c r="L123" s="32">
        <f>IF(Result_notebook_retravaill!I123&gt;Result_notebook_retravaill!G123,0,IF(Result_notebook_retravaill!I123+Result_notebook_retravaill!J123&gt;Result_notebook_retravaill!G123,0,Result_notebook_retravaill!M123))</f>
        <v>563.7311840881448</v>
      </c>
      <c r="M123" s="31">
        <f t="shared" si="1"/>
        <v>0</v>
      </c>
    </row>
    <row r="124" spans="1:13" x14ac:dyDescent="0.35">
      <c r="A124">
        <f>Result_notebook_retravaill!A124</f>
        <v>2026</v>
      </c>
      <c r="B124" t="str">
        <f>Result_notebook_retravaill!B124</f>
        <v>Neodymium</v>
      </c>
      <c r="C124" t="str">
        <f>Result_notebook_retravaill!C124</f>
        <v>Canada Net-zero</v>
      </c>
      <c r="D124" t="str">
        <f>Result_notebook_retravaill!D124</f>
        <v>Production potential</v>
      </c>
      <c r="E124" t="str">
        <f>Result_notebook_retravaill!E124</f>
        <v>Current shares</v>
      </c>
      <c r="F124" t="str">
        <f>Result_notebook_retravaill!F124</f>
        <v>Expansion Extractive</v>
      </c>
      <c r="G124">
        <f>Result_notebook_retravaill!G124</f>
        <v>563.7311840881448</v>
      </c>
      <c r="H124" s="32">
        <f>IF(Result_notebook_retravaill!I124&gt;Result_notebook_retravaill!G124,Result_notebook_retravaill!I124/Result_notebook_retravaill!N124,Result_notebook_retravaill!H124)</f>
        <v>3.8513667333084358</v>
      </c>
      <c r="I124" s="32">
        <f>Result_notebook_retravaill!K124</f>
        <v>935.70060674693298</v>
      </c>
      <c r="J124" s="32">
        <f>MIN(G124,Result_notebook_retravaill!I124)</f>
        <v>2.3052121187651879</v>
      </c>
      <c r="K124" s="32">
        <f>IF(Result_notebook_retravaill!I124&gt;Result_notebook_retravaill!G124,0,IF(Result_notebook_retravaill!I124+Result_notebook_retravaill!J124&gt;Result_notebook_retravaill!G124,Result_notebook_retravaill!G124-Result_notebook_retravaill!I124,Result_notebook_retravaill!J124))</f>
        <v>1.5461546145432479</v>
      </c>
      <c r="L124" s="32">
        <f>IF(Result_notebook_retravaill!I124&gt;Result_notebook_retravaill!G124,0,IF(Result_notebook_retravaill!I124+Result_notebook_retravaill!J124&gt;Result_notebook_retravaill!G124,0,Result_notebook_retravaill!M124))</f>
        <v>559.87981735483629</v>
      </c>
      <c r="M124" s="31">
        <f t="shared" si="1"/>
        <v>0</v>
      </c>
    </row>
    <row r="125" spans="1:13" x14ac:dyDescent="0.35">
      <c r="A125">
        <f>Result_notebook_retravaill!A125</f>
        <v>2026</v>
      </c>
      <c r="B125" t="str">
        <f>Result_notebook_retravaill!B125</f>
        <v>Neodymium</v>
      </c>
      <c r="C125" t="str">
        <f>Result_notebook_retravaill!C125</f>
        <v>Canada Net-zero</v>
      </c>
      <c r="D125" t="str">
        <f>Result_notebook_retravaill!D125</f>
        <v>Production potential</v>
      </c>
      <c r="E125" t="str">
        <f>Result_notebook_retravaill!E125</f>
        <v>Current shares</v>
      </c>
      <c r="F125" t="str">
        <f>Result_notebook_retravaill!F125</f>
        <v>Expansion Extractive+Circularity</v>
      </c>
      <c r="G125">
        <f>Result_notebook_retravaill!G125</f>
        <v>563.7311840881448</v>
      </c>
      <c r="H125" s="32">
        <f>IF(Result_notebook_retravaill!I125&gt;Result_notebook_retravaill!G125,Result_notebook_retravaill!I125/Result_notebook_retravaill!N125,Result_notebook_retravaill!H125)</f>
        <v>3.8513667333084358</v>
      </c>
      <c r="I125" s="32">
        <f>Result_notebook_retravaill!K125</f>
        <v>935.70060674693298</v>
      </c>
      <c r="J125" s="32">
        <f>MIN(G125,Result_notebook_retravaill!I125)</f>
        <v>2.3052121187651879</v>
      </c>
      <c r="K125" s="32">
        <f>IF(Result_notebook_retravaill!I125&gt;Result_notebook_retravaill!G125,0,IF(Result_notebook_retravaill!I125+Result_notebook_retravaill!J125&gt;Result_notebook_retravaill!G125,Result_notebook_retravaill!G125-Result_notebook_retravaill!I125,Result_notebook_retravaill!J125))</f>
        <v>1.5461546145432479</v>
      </c>
      <c r="L125" s="32">
        <f>IF(Result_notebook_retravaill!I125&gt;Result_notebook_retravaill!G125,0,IF(Result_notebook_retravaill!I125+Result_notebook_retravaill!J125&gt;Result_notebook_retravaill!G125,0,Result_notebook_retravaill!M125))</f>
        <v>559.87981735483629</v>
      </c>
      <c r="M125" s="31">
        <f t="shared" si="1"/>
        <v>0</v>
      </c>
    </row>
    <row r="126" spans="1:13" x14ac:dyDescent="0.35">
      <c r="A126">
        <f>Result_notebook_retravaill!A126</f>
        <v>2026</v>
      </c>
      <c r="B126" t="str">
        <f>Result_notebook_retravaill!B126</f>
        <v>Neodymium</v>
      </c>
      <c r="C126" t="str">
        <f>Result_notebook_retravaill!C126</f>
        <v>Canada Net-zero</v>
      </c>
      <c r="D126" t="str">
        <f>Result_notebook_retravaill!D126</f>
        <v>Production potential</v>
      </c>
      <c r="E126" t="str">
        <f>Result_notebook_retravaill!E126</f>
        <v>100% CAN</v>
      </c>
      <c r="F126" t="str">
        <f>Result_notebook_retravaill!F126</f>
        <v>Integrated</v>
      </c>
      <c r="G126">
        <f>Result_notebook_retravaill!G126</f>
        <v>563.7311840881448</v>
      </c>
      <c r="H126" s="32">
        <f>IF(Result_notebook_retravaill!I126&gt;Result_notebook_retravaill!G126,Result_notebook_retravaill!I126/Result_notebook_retravaill!N126,Result_notebook_retravaill!H126)</f>
        <v>3.8513667333084358</v>
      </c>
      <c r="I126" s="32">
        <f>Result_notebook_retravaill!K126</f>
        <v>935.70060674693298</v>
      </c>
      <c r="J126" s="32">
        <f>MIN(G126,Result_notebook_retravaill!I126)</f>
        <v>2.3052121187651879</v>
      </c>
      <c r="K126" s="32">
        <f>IF(Result_notebook_retravaill!I126&gt;Result_notebook_retravaill!G126,0,IF(Result_notebook_retravaill!I126+Result_notebook_retravaill!J126&gt;Result_notebook_retravaill!G126,Result_notebook_retravaill!G126-Result_notebook_retravaill!I126,Result_notebook_retravaill!J126))</f>
        <v>1.5461546145432479</v>
      </c>
      <c r="L126" s="32">
        <f>IF(Result_notebook_retravaill!I126&gt;Result_notebook_retravaill!G126,0,IF(Result_notebook_retravaill!I126+Result_notebook_retravaill!J126&gt;Result_notebook_retravaill!G126,0,Result_notebook_retravaill!M126))</f>
        <v>559.87981735483629</v>
      </c>
      <c r="M126" s="31">
        <f t="shared" si="1"/>
        <v>0</v>
      </c>
    </row>
    <row r="127" spans="1:13" x14ac:dyDescent="0.35">
      <c r="A127">
        <f>Result_notebook_retravaill!A127</f>
        <v>2026</v>
      </c>
      <c r="B127" t="str">
        <f>Result_notebook_retravaill!B127</f>
        <v>Neodymium</v>
      </c>
      <c r="C127" t="str">
        <f>Result_notebook_retravaill!C127</f>
        <v>Current Measures</v>
      </c>
      <c r="D127" t="str">
        <f>Result_notebook_retravaill!D127</f>
        <v>Existing production</v>
      </c>
      <c r="E127" t="str">
        <f>Result_notebook_retravaill!E127</f>
        <v>Current shares</v>
      </c>
      <c r="F127" t="str">
        <f>Result_notebook_retravaill!F127</f>
        <v>NIMBY</v>
      </c>
      <c r="G127">
        <f>Result_notebook_retravaill!G127</f>
        <v>395.17239379038261</v>
      </c>
      <c r="H127" s="32">
        <f>IF(Result_notebook_retravaill!I127&gt;Result_notebook_retravaill!G127,Result_notebook_retravaill!I127/Result_notebook_retravaill!N127,Result_notebook_retravaill!H127)</f>
        <v>0</v>
      </c>
      <c r="I127" s="32">
        <f>Result_notebook_retravaill!K127</f>
        <v>658.62065631730434</v>
      </c>
      <c r="J127" s="32">
        <f>MIN(G127,Result_notebook_retravaill!I127)</f>
        <v>0</v>
      </c>
      <c r="K127" s="32">
        <f>IF(Result_notebook_retravaill!I127&gt;Result_notebook_retravaill!G127,0,IF(Result_notebook_retravaill!I127+Result_notebook_retravaill!J127&gt;Result_notebook_retravaill!G127,Result_notebook_retravaill!G127-Result_notebook_retravaill!I127,Result_notebook_retravaill!J127))</f>
        <v>0</v>
      </c>
      <c r="L127" s="32">
        <f>IF(Result_notebook_retravaill!I127&gt;Result_notebook_retravaill!G127,0,IF(Result_notebook_retravaill!I127+Result_notebook_retravaill!J127&gt;Result_notebook_retravaill!G127,0,Result_notebook_retravaill!M127))</f>
        <v>395.17239379038261</v>
      </c>
      <c r="M127" s="31">
        <f t="shared" si="1"/>
        <v>0</v>
      </c>
    </row>
    <row r="128" spans="1:13" x14ac:dyDescent="0.35">
      <c r="A128">
        <f>Result_notebook_retravaill!A128</f>
        <v>2026</v>
      </c>
      <c r="B128" t="str">
        <f>Result_notebook_retravaill!B128</f>
        <v>Neodymium</v>
      </c>
      <c r="C128" t="str">
        <f>Result_notebook_retravaill!C128</f>
        <v>Current Measures</v>
      </c>
      <c r="D128" t="str">
        <f>Result_notebook_retravaill!D128</f>
        <v>Existing production</v>
      </c>
      <c r="E128" t="str">
        <f>Result_notebook_retravaill!E128</f>
        <v>Current shares</v>
      </c>
      <c r="F128" t="str">
        <f>Result_notebook_retravaill!F128</f>
        <v>Status Quo</v>
      </c>
      <c r="G128">
        <f>Result_notebook_retravaill!G128</f>
        <v>395.17239379038261</v>
      </c>
      <c r="H128" s="32">
        <f>IF(Result_notebook_retravaill!I128&gt;Result_notebook_retravaill!G128,Result_notebook_retravaill!I128/Result_notebook_retravaill!N128,Result_notebook_retravaill!H128)</f>
        <v>0</v>
      </c>
      <c r="I128" s="32">
        <f>Result_notebook_retravaill!K128</f>
        <v>658.62065631730434</v>
      </c>
      <c r="J128" s="32">
        <f>MIN(G128,Result_notebook_retravaill!I128)</f>
        <v>0</v>
      </c>
      <c r="K128" s="32">
        <f>IF(Result_notebook_retravaill!I128&gt;Result_notebook_retravaill!G128,0,IF(Result_notebook_retravaill!I128+Result_notebook_retravaill!J128&gt;Result_notebook_retravaill!G128,Result_notebook_retravaill!G128-Result_notebook_retravaill!I128,Result_notebook_retravaill!J128))</f>
        <v>0</v>
      </c>
      <c r="L128" s="32">
        <f>IF(Result_notebook_retravaill!I128&gt;Result_notebook_retravaill!G128,0,IF(Result_notebook_retravaill!I128+Result_notebook_retravaill!J128&gt;Result_notebook_retravaill!G128,0,Result_notebook_retravaill!M128))</f>
        <v>395.17239379038261</v>
      </c>
      <c r="M128" s="31">
        <f t="shared" si="1"/>
        <v>0</v>
      </c>
    </row>
    <row r="129" spans="1:13" x14ac:dyDescent="0.35">
      <c r="A129">
        <f>Result_notebook_retravaill!A129</f>
        <v>2026</v>
      </c>
      <c r="B129" t="str">
        <f>Result_notebook_retravaill!B129</f>
        <v>Neodymium</v>
      </c>
      <c r="C129" t="str">
        <f>Result_notebook_retravaill!C129</f>
        <v>Current Measures</v>
      </c>
      <c r="D129" t="str">
        <f>Result_notebook_retravaill!D129</f>
        <v>Production potential</v>
      </c>
      <c r="E129" t="str">
        <f>Result_notebook_retravaill!E129</f>
        <v>Current shares</v>
      </c>
      <c r="F129" t="str">
        <f>Result_notebook_retravaill!F129</f>
        <v>Expansion Extractive</v>
      </c>
      <c r="G129">
        <f>Result_notebook_retravaill!G129</f>
        <v>395.17239379038261</v>
      </c>
      <c r="H129" s="32">
        <f>IF(Result_notebook_retravaill!I129&gt;Result_notebook_retravaill!G129,Result_notebook_retravaill!I129/Result_notebook_retravaill!N129,Result_notebook_retravaill!H129)</f>
        <v>3.8513667333084358</v>
      </c>
      <c r="I129" s="32">
        <f>Result_notebook_retravaill!K129</f>
        <v>654.76928958399594</v>
      </c>
      <c r="J129" s="32">
        <f>MIN(G129,Result_notebook_retravaill!I129)</f>
        <v>2.3052121187651879</v>
      </c>
      <c r="K129" s="32">
        <f>IF(Result_notebook_retravaill!I129&gt;Result_notebook_retravaill!G129,0,IF(Result_notebook_retravaill!I129+Result_notebook_retravaill!J129&gt;Result_notebook_retravaill!G129,Result_notebook_retravaill!G129-Result_notebook_retravaill!I129,Result_notebook_retravaill!J129))</f>
        <v>1.5461546145432479</v>
      </c>
      <c r="L129" s="32">
        <f>IF(Result_notebook_retravaill!I129&gt;Result_notebook_retravaill!G129,0,IF(Result_notebook_retravaill!I129+Result_notebook_retravaill!J129&gt;Result_notebook_retravaill!G129,0,Result_notebook_retravaill!M129))</f>
        <v>391.32102705707416</v>
      </c>
      <c r="M129" s="31">
        <f t="shared" si="1"/>
        <v>0</v>
      </c>
    </row>
    <row r="130" spans="1:13" x14ac:dyDescent="0.35">
      <c r="A130">
        <f>Result_notebook_retravaill!A130</f>
        <v>2026</v>
      </c>
      <c r="B130" t="str">
        <f>Result_notebook_retravaill!B130</f>
        <v>Neodymium</v>
      </c>
      <c r="C130" t="str">
        <f>Result_notebook_retravaill!C130</f>
        <v>Current Measures</v>
      </c>
      <c r="D130" t="str">
        <f>Result_notebook_retravaill!D130</f>
        <v>Production potential</v>
      </c>
      <c r="E130" t="str">
        <f>Result_notebook_retravaill!E130</f>
        <v>Current shares</v>
      </c>
      <c r="F130" t="str">
        <f>Result_notebook_retravaill!F130</f>
        <v>Expansion Extractive+Circularity</v>
      </c>
      <c r="G130">
        <f>Result_notebook_retravaill!G130</f>
        <v>395.17239379038261</v>
      </c>
      <c r="H130" s="32">
        <f>IF(Result_notebook_retravaill!I130&gt;Result_notebook_retravaill!G130,Result_notebook_retravaill!I130/Result_notebook_retravaill!N130,Result_notebook_retravaill!H130)</f>
        <v>3.8513667333084358</v>
      </c>
      <c r="I130" s="32">
        <f>Result_notebook_retravaill!K130</f>
        <v>654.76928958399594</v>
      </c>
      <c r="J130" s="32">
        <f>MIN(G130,Result_notebook_retravaill!I130)</f>
        <v>2.3052121187651879</v>
      </c>
      <c r="K130" s="32">
        <f>IF(Result_notebook_retravaill!I130&gt;Result_notebook_retravaill!G130,0,IF(Result_notebook_retravaill!I130+Result_notebook_retravaill!J130&gt;Result_notebook_retravaill!G130,Result_notebook_retravaill!G130-Result_notebook_retravaill!I130,Result_notebook_retravaill!J130))</f>
        <v>1.5461546145432479</v>
      </c>
      <c r="L130" s="32">
        <f>IF(Result_notebook_retravaill!I130&gt;Result_notebook_retravaill!G130,0,IF(Result_notebook_retravaill!I130+Result_notebook_retravaill!J130&gt;Result_notebook_retravaill!G130,0,Result_notebook_retravaill!M130))</f>
        <v>391.32102705707416</v>
      </c>
      <c r="M130" s="31">
        <f t="shared" si="1"/>
        <v>0</v>
      </c>
    </row>
    <row r="131" spans="1:13" x14ac:dyDescent="0.35">
      <c r="A131">
        <f>Result_notebook_retravaill!A131</f>
        <v>2026</v>
      </c>
      <c r="B131" t="str">
        <f>Result_notebook_retravaill!B131</f>
        <v>Neodymium</v>
      </c>
      <c r="C131" t="str">
        <f>Result_notebook_retravaill!C131</f>
        <v>Current Measures</v>
      </c>
      <c r="D131" t="str">
        <f>Result_notebook_retravaill!D131</f>
        <v>Production potential</v>
      </c>
      <c r="E131" t="str">
        <f>Result_notebook_retravaill!E131</f>
        <v>100% CAN</v>
      </c>
      <c r="F131" t="str">
        <f>Result_notebook_retravaill!F131</f>
        <v>Integrated</v>
      </c>
      <c r="G131">
        <f>Result_notebook_retravaill!G131</f>
        <v>395.17239379038261</v>
      </c>
      <c r="H131" s="32">
        <f>IF(Result_notebook_retravaill!I131&gt;Result_notebook_retravaill!G131,Result_notebook_retravaill!I131/Result_notebook_retravaill!N131,Result_notebook_retravaill!H131)</f>
        <v>3.8513667333084358</v>
      </c>
      <c r="I131" s="32">
        <f>Result_notebook_retravaill!K131</f>
        <v>654.76928958399594</v>
      </c>
      <c r="J131" s="32">
        <f>MIN(G131,Result_notebook_retravaill!I131)</f>
        <v>2.3052121187651879</v>
      </c>
      <c r="K131" s="32">
        <f>IF(Result_notebook_retravaill!I131&gt;Result_notebook_retravaill!G131,0,IF(Result_notebook_retravaill!I131+Result_notebook_retravaill!J131&gt;Result_notebook_retravaill!G131,Result_notebook_retravaill!G131-Result_notebook_retravaill!I131,Result_notebook_retravaill!J131))</f>
        <v>1.5461546145432479</v>
      </c>
      <c r="L131" s="32">
        <f>IF(Result_notebook_retravaill!I131&gt;Result_notebook_retravaill!G131,0,IF(Result_notebook_retravaill!I131+Result_notebook_retravaill!J131&gt;Result_notebook_retravaill!G131,0,Result_notebook_retravaill!M131))</f>
        <v>391.32102705707416</v>
      </c>
      <c r="M131" s="31">
        <f t="shared" ref="M131:M194" si="2">SUM(J131:L131)-G131</f>
        <v>0</v>
      </c>
    </row>
    <row r="132" spans="1:13" x14ac:dyDescent="0.35">
      <c r="A132">
        <f>Result_notebook_retravaill!A132</f>
        <v>2026</v>
      </c>
      <c r="B132" t="str">
        <f>Result_notebook_retravaill!B132</f>
        <v>Neodymium</v>
      </c>
      <c r="C132" t="str">
        <f>Result_notebook_retravaill!C132</f>
        <v>Global Net-zero</v>
      </c>
      <c r="D132" t="str">
        <f>Result_notebook_retravaill!D132</f>
        <v>Existing production</v>
      </c>
      <c r="E132" t="str">
        <f>Result_notebook_retravaill!E132</f>
        <v>Current shares</v>
      </c>
      <c r="F132" t="str">
        <f>Result_notebook_retravaill!F132</f>
        <v>NIMBY</v>
      </c>
      <c r="G132">
        <f>Result_notebook_retravaill!G132</f>
        <v>557.3784617330648</v>
      </c>
      <c r="H132" s="32">
        <f>IF(Result_notebook_retravaill!I132&gt;Result_notebook_retravaill!G132,Result_notebook_retravaill!I132/Result_notebook_retravaill!N132,Result_notebook_retravaill!H132)</f>
        <v>0</v>
      </c>
      <c r="I132" s="32">
        <f>Result_notebook_retravaill!K132</f>
        <v>928.9641028884414</v>
      </c>
      <c r="J132" s="32">
        <f>MIN(G132,Result_notebook_retravaill!I132)</f>
        <v>0</v>
      </c>
      <c r="K132" s="32">
        <f>IF(Result_notebook_retravaill!I132&gt;Result_notebook_retravaill!G132,0,IF(Result_notebook_retravaill!I132+Result_notebook_retravaill!J132&gt;Result_notebook_retravaill!G132,Result_notebook_retravaill!G132-Result_notebook_retravaill!I132,Result_notebook_retravaill!J132))</f>
        <v>0</v>
      </c>
      <c r="L132" s="32">
        <f>IF(Result_notebook_retravaill!I132&gt;Result_notebook_retravaill!G132,0,IF(Result_notebook_retravaill!I132+Result_notebook_retravaill!J132&gt;Result_notebook_retravaill!G132,0,Result_notebook_retravaill!M132))</f>
        <v>557.3784617330648</v>
      </c>
      <c r="M132" s="31">
        <f t="shared" si="2"/>
        <v>0</v>
      </c>
    </row>
    <row r="133" spans="1:13" x14ac:dyDescent="0.35">
      <c r="A133">
        <f>Result_notebook_retravaill!A133</f>
        <v>2026</v>
      </c>
      <c r="B133" t="str">
        <f>Result_notebook_retravaill!B133</f>
        <v>Neodymium</v>
      </c>
      <c r="C133" t="str">
        <f>Result_notebook_retravaill!C133</f>
        <v>Global Net-zero</v>
      </c>
      <c r="D133" t="str">
        <f>Result_notebook_retravaill!D133</f>
        <v>Existing production</v>
      </c>
      <c r="E133" t="str">
        <f>Result_notebook_retravaill!E133</f>
        <v>Current shares</v>
      </c>
      <c r="F133" t="str">
        <f>Result_notebook_retravaill!F133</f>
        <v>Status Quo</v>
      </c>
      <c r="G133">
        <f>Result_notebook_retravaill!G133</f>
        <v>557.3784617330648</v>
      </c>
      <c r="H133" s="32">
        <f>IF(Result_notebook_retravaill!I133&gt;Result_notebook_retravaill!G133,Result_notebook_retravaill!I133/Result_notebook_retravaill!N133,Result_notebook_retravaill!H133)</f>
        <v>0</v>
      </c>
      <c r="I133" s="32">
        <f>Result_notebook_retravaill!K133</f>
        <v>928.9641028884414</v>
      </c>
      <c r="J133" s="32">
        <f>MIN(G133,Result_notebook_retravaill!I133)</f>
        <v>0</v>
      </c>
      <c r="K133" s="32">
        <f>IF(Result_notebook_retravaill!I133&gt;Result_notebook_retravaill!G133,0,IF(Result_notebook_retravaill!I133+Result_notebook_retravaill!J133&gt;Result_notebook_retravaill!G133,Result_notebook_retravaill!G133-Result_notebook_retravaill!I133,Result_notebook_retravaill!J133))</f>
        <v>0</v>
      </c>
      <c r="L133" s="32">
        <f>IF(Result_notebook_retravaill!I133&gt;Result_notebook_retravaill!G133,0,IF(Result_notebook_retravaill!I133+Result_notebook_retravaill!J133&gt;Result_notebook_retravaill!G133,0,Result_notebook_retravaill!M133))</f>
        <v>557.3784617330648</v>
      </c>
      <c r="M133" s="31">
        <f t="shared" si="2"/>
        <v>0</v>
      </c>
    </row>
    <row r="134" spans="1:13" x14ac:dyDescent="0.35">
      <c r="A134">
        <f>Result_notebook_retravaill!A134</f>
        <v>2026</v>
      </c>
      <c r="B134" t="str">
        <f>Result_notebook_retravaill!B134</f>
        <v>Neodymium</v>
      </c>
      <c r="C134" t="str">
        <f>Result_notebook_retravaill!C134</f>
        <v>Global Net-zero</v>
      </c>
      <c r="D134" t="str">
        <f>Result_notebook_retravaill!D134</f>
        <v>Production potential</v>
      </c>
      <c r="E134" t="str">
        <f>Result_notebook_retravaill!E134</f>
        <v>Current shares</v>
      </c>
      <c r="F134" t="str">
        <f>Result_notebook_retravaill!F134</f>
        <v>Expansion Extractive</v>
      </c>
      <c r="G134">
        <f>Result_notebook_retravaill!G134</f>
        <v>557.3784617330648</v>
      </c>
      <c r="H134" s="32">
        <f>IF(Result_notebook_retravaill!I134&gt;Result_notebook_retravaill!G134,Result_notebook_retravaill!I134/Result_notebook_retravaill!N134,Result_notebook_retravaill!H134)</f>
        <v>3.8513667333084358</v>
      </c>
      <c r="I134" s="32">
        <f>Result_notebook_retravaill!K134</f>
        <v>925.11273615513301</v>
      </c>
      <c r="J134" s="32">
        <f>MIN(G134,Result_notebook_retravaill!I134)</f>
        <v>2.3052121187651879</v>
      </c>
      <c r="K134" s="32">
        <f>IF(Result_notebook_retravaill!I134&gt;Result_notebook_retravaill!G134,0,IF(Result_notebook_retravaill!I134+Result_notebook_retravaill!J134&gt;Result_notebook_retravaill!G134,Result_notebook_retravaill!G134-Result_notebook_retravaill!I134,Result_notebook_retravaill!J134))</f>
        <v>1.5461546145432479</v>
      </c>
      <c r="L134" s="32">
        <f>IF(Result_notebook_retravaill!I134&gt;Result_notebook_retravaill!G134,0,IF(Result_notebook_retravaill!I134+Result_notebook_retravaill!J134&gt;Result_notebook_retravaill!G134,0,Result_notebook_retravaill!M134))</f>
        <v>553.52709499975629</v>
      </c>
      <c r="M134" s="31">
        <f t="shared" si="2"/>
        <v>0</v>
      </c>
    </row>
    <row r="135" spans="1:13" x14ac:dyDescent="0.35">
      <c r="A135">
        <f>Result_notebook_retravaill!A135</f>
        <v>2026</v>
      </c>
      <c r="B135" t="str">
        <f>Result_notebook_retravaill!B135</f>
        <v>Neodymium</v>
      </c>
      <c r="C135" t="str">
        <f>Result_notebook_retravaill!C135</f>
        <v>Global Net-zero</v>
      </c>
      <c r="D135" t="str">
        <f>Result_notebook_retravaill!D135</f>
        <v>Production potential</v>
      </c>
      <c r="E135" t="str">
        <f>Result_notebook_retravaill!E135</f>
        <v>Current shares</v>
      </c>
      <c r="F135" t="str">
        <f>Result_notebook_retravaill!F135</f>
        <v>Expansion Extractive+Circularity</v>
      </c>
      <c r="G135">
        <f>Result_notebook_retravaill!G135</f>
        <v>557.3784617330648</v>
      </c>
      <c r="H135" s="32">
        <f>IF(Result_notebook_retravaill!I135&gt;Result_notebook_retravaill!G135,Result_notebook_retravaill!I135/Result_notebook_retravaill!N135,Result_notebook_retravaill!H135)</f>
        <v>3.8513667333084358</v>
      </c>
      <c r="I135" s="32">
        <f>Result_notebook_retravaill!K135</f>
        <v>925.11273615513301</v>
      </c>
      <c r="J135" s="32">
        <f>MIN(G135,Result_notebook_retravaill!I135)</f>
        <v>2.3052121187651879</v>
      </c>
      <c r="K135" s="32">
        <f>IF(Result_notebook_retravaill!I135&gt;Result_notebook_retravaill!G135,0,IF(Result_notebook_retravaill!I135+Result_notebook_retravaill!J135&gt;Result_notebook_retravaill!G135,Result_notebook_retravaill!G135-Result_notebook_retravaill!I135,Result_notebook_retravaill!J135))</f>
        <v>1.5461546145432479</v>
      </c>
      <c r="L135" s="32">
        <f>IF(Result_notebook_retravaill!I135&gt;Result_notebook_retravaill!G135,0,IF(Result_notebook_retravaill!I135+Result_notebook_retravaill!J135&gt;Result_notebook_retravaill!G135,0,Result_notebook_retravaill!M135))</f>
        <v>553.52709499975629</v>
      </c>
      <c r="M135" s="31">
        <f t="shared" si="2"/>
        <v>0</v>
      </c>
    </row>
    <row r="136" spans="1:13" x14ac:dyDescent="0.35">
      <c r="A136">
        <f>Result_notebook_retravaill!A136</f>
        <v>2026</v>
      </c>
      <c r="B136" t="str">
        <f>Result_notebook_retravaill!B136</f>
        <v>Neodymium</v>
      </c>
      <c r="C136" t="str">
        <f>Result_notebook_retravaill!C136</f>
        <v>Global Net-zero</v>
      </c>
      <c r="D136" t="str">
        <f>Result_notebook_retravaill!D136</f>
        <v>Production potential</v>
      </c>
      <c r="E136" t="str">
        <f>Result_notebook_retravaill!E136</f>
        <v>100% CAN</v>
      </c>
      <c r="F136" t="str">
        <f>Result_notebook_retravaill!F136</f>
        <v>Integrated</v>
      </c>
      <c r="G136">
        <f>Result_notebook_retravaill!G136</f>
        <v>557.3784617330648</v>
      </c>
      <c r="H136" s="32">
        <f>IF(Result_notebook_retravaill!I136&gt;Result_notebook_retravaill!G136,Result_notebook_retravaill!I136/Result_notebook_retravaill!N136,Result_notebook_retravaill!H136)</f>
        <v>3.8513667333084358</v>
      </c>
      <c r="I136" s="32">
        <f>Result_notebook_retravaill!K136</f>
        <v>925.11273615513301</v>
      </c>
      <c r="J136" s="32">
        <f>MIN(G136,Result_notebook_retravaill!I136)</f>
        <v>2.3052121187651879</v>
      </c>
      <c r="K136" s="32">
        <f>IF(Result_notebook_retravaill!I136&gt;Result_notebook_retravaill!G136,0,IF(Result_notebook_retravaill!I136+Result_notebook_retravaill!J136&gt;Result_notebook_retravaill!G136,Result_notebook_retravaill!G136-Result_notebook_retravaill!I136,Result_notebook_retravaill!J136))</f>
        <v>1.5461546145432479</v>
      </c>
      <c r="L136" s="32">
        <f>IF(Result_notebook_retravaill!I136&gt;Result_notebook_retravaill!G136,0,IF(Result_notebook_retravaill!I136+Result_notebook_retravaill!J136&gt;Result_notebook_retravaill!G136,0,Result_notebook_retravaill!M136))</f>
        <v>553.52709499975629</v>
      </c>
      <c r="M136" s="31">
        <f t="shared" si="2"/>
        <v>0</v>
      </c>
    </row>
    <row r="137" spans="1:13" x14ac:dyDescent="0.35">
      <c r="A137">
        <f>Result_notebook_retravaill!A137</f>
        <v>2026</v>
      </c>
      <c r="B137" t="str">
        <f>Result_notebook_retravaill!B137</f>
        <v>Nickel</v>
      </c>
      <c r="C137" t="str">
        <f>Result_notebook_retravaill!C137</f>
        <v>Canada Net-zero</v>
      </c>
      <c r="D137" t="str">
        <f>Result_notebook_retravaill!D137</f>
        <v>Existing production</v>
      </c>
      <c r="E137" t="str">
        <f>Result_notebook_retravaill!E137</f>
        <v>Current shares</v>
      </c>
      <c r="F137" t="str">
        <f>Result_notebook_retravaill!F137</f>
        <v>NIMBY</v>
      </c>
      <c r="G137">
        <f>Result_notebook_retravaill!G137</f>
        <v>29818.531857293401</v>
      </c>
      <c r="H137" s="32">
        <f>IF(Result_notebook_retravaill!I137&gt;Result_notebook_retravaill!G137,Result_notebook_retravaill!I137/Result_notebook_retravaill!N137,Result_notebook_retravaill!H137)</f>
        <v>0</v>
      </c>
      <c r="I137" s="32">
        <f>Result_notebook_retravaill!K137</f>
        <v>37744.97703454861</v>
      </c>
      <c r="J137" s="32">
        <f>MIN(G137,Result_notebook_retravaill!I137)</f>
        <v>0</v>
      </c>
      <c r="K137" s="32">
        <f>IF(Result_notebook_retravaill!I137&gt;Result_notebook_retravaill!G137,0,IF(Result_notebook_retravaill!I137+Result_notebook_retravaill!J137&gt;Result_notebook_retravaill!G137,Result_notebook_retravaill!G137-Result_notebook_retravaill!I137,Result_notebook_retravaill!J137))</f>
        <v>0</v>
      </c>
      <c r="L137" s="32">
        <f>IF(Result_notebook_retravaill!I137&gt;Result_notebook_retravaill!G137,0,IF(Result_notebook_retravaill!I137+Result_notebook_retravaill!J137&gt;Result_notebook_retravaill!G137,0,Result_notebook_retravaill!M137))</f>
        <v>29818.531857293401</v>
      </c>
      <c r="M137" s="31">
        <f t="shared" si="2"/>
        <v>0</v>
      </c>
    </row>
    <row r="138" spans="1:13" x14ac:dyDescent="0.35">
      <c r="A138">
        <f>Result_notebook_retravaill!A138</f>
        <v>2026</v>
      </c>
      <c r="B138" t="str">
        <f>Result_notebook_retravaill!B138</f>
        <v>Nickel</v>
      </c>
      <c r="C138" t="str">
        <f>Result_notebook_retravaill!C138</f>
        <v>Canada Net-zero</v>
      </c>
      <c r="D138" t="str">
        <f>Result_notebook_retravaill!D138</f>
        <v>Existing production</v>
      </c>
      <c r="E138" t="str">
        <f>Result_notebook_retravaill!E138</f>
        <v>Current shares</v>
      </c>
      <c r="F138" t="str">
        <f>Result_notebook_retravaill!F138</f>
        <v>Status Quo</v>
      </c>
      <c r="G138">
        <f>Result_notebook_retravaill!G138</f>
        <v>29818.531857293401</v>
      </c>
      <c r="H138" s="32">
        <f>IF(Result_notebook_retravaill!I138&gt;Result_notebook_retravaill!G138,Result_notebook_retravaill!I138/Result_notebook_retravaill!N138,Result_notebook_retravaill!H138)</f>
        <v>127185.24196697887</v>
      </c>
      <c r="I138" s="32">
        <f>Result_notebook_retravaill!K138</f>
        <v>0</v>
      </c>
      <c r="J138" s="32">
        <f>MIN(G138,Result_notebook_retravaill!I138)</f>
        <v>29818.531857293401</v>
      </c>
      <c r="K138" s="32">
        <f>IF(Result_notebook_retravaill!I138&gt;Result_notebook_retravaill!G138,0,IF(Result_notebook_retravaill!I138+Result_notebook_retravaill!J138&gt;Result_notebook_retravaill!G138,Result_notebook_retravaill!G138-Result_notebook_retravaill!I138,Result_notebook_retravaill!J138))</f>
        <v>0</v>
      </c>
      <c r="L138" s="32">
        <f>IF(Result_notebook_retravaill!I138&gt;Result_notebook_retravaill!G138,0,IF(Result_notebook_retravaill!I138+Result_notebook_retravaill!J138&gt;Result_notebook_retravaill!G138,0,Result_notebook_retravaill!M138))</f>
        <v>0</v>
      </c>
      <c r="M138" s="31">
        <f t="shared" si="2"/>
        <v>0</v>
      </c>
    </row>
    <row r="139" spans="1:13" x14ac:dyDescent="0.35">
      <c r="A139">
        <f>Result_notebook_retravaill!A139</f>
        <v>2026</v>
      </c>
      <c r="B139" t="str">
        <f>Result_notebook_retravaill!B139</f>
        <v>Nickel</v>
      </c>
      <c r="C139" t="str">
        <f>Result_notebook_retravaill!C139</f>
        <v>Canada Net-zero</v>
      </c>
      <c r="D139" t="str">
        <f>Result_notebook_retravaill!D139</f>
        <v>Production potential</v>
      </c>
      <c r="E139" t="str">
        <f>Result_notebook_retravaill!E139</f>
        <v>Current shares</v>
      </c>
      <c r="F139" t="str">
        <f>Result_notebook_retravaill!F139</f>
        <v>Expansion Extractive</v>
      </c>
      <c r="G139">
        <f>Result_notebook_retravaill!G139</f>
        <v>29818.531857293401</v>
      </c>
      <c r="H139" s="32">
        <f>IF(Result_notebook_retravaill!I139&gt;Result_notebook_retravaill!G139,Result_notebook_retravaill!I139/Result_notebook_retravaill!N139,Result_notebook_retravaill!H139)</f>
        <v>167630.15533014096</v>
      </c>
      <c r="I139" s="32">
        <f>Result_notebook_retravaill!K139</f>
        <v>0</v>
      </c>
      <c r="J139" s="32">
        <f>MIN(G139,Result_notebook_retravaill!I139)</f>
        <v>29818.531857293401</v>
      </c>
      <c r="K139" s="32">
        <f>IF(Result_notebook_retravaill!I139&gt;Result_notebook_retravaill!G139,0,IF(Result_notebook_retravaill!I139+Result_notebook_retravaill!J139&gt;Result_notebook_retravaill!G139,Result_notebook_retravaill!G139-Result_notebook_retravaill!I139,Result_notebook_retravaill!J139))</f>
        <v>0</v>
      </c>
      <c r="L139" s="32">
        <f>IF(Result_notebook_retravaill!I139&gt;Result_notebook_retravaill!G139,0,IF(Result_notebook_retravaill!I139+Result_notebook_retravaill!J139&gt;Result_notebook_retravaill!G139,0,Result_notebook_retravaill!M139))</f>
        <v>0</v>
      </c>
      <c r="M139" s="31">
        <f t="shared" si="2"/>
        <v>0</v>
      </c>
    </row>
    <row r="140" spans="1:13" x14ac:dyDescent="0.35">
      <c r="A140">
        <f>Result_notebook_retravaill!A140</f>
        <v>2026</v>
      </c>
      <c r="B140" t="str">
        <f>Result_notebook_retravaill!B140</f>
        <v>Nickel</v>
      </c>
      <c r="C140" t="str">
        <f>Result_notebook_retravaill!C140</f>
        <v>Canada Net-zero</v>
      </c>
      <c r="D140" t="str">
        <f>Result_notebook_retravaill!D140</f>
        <v>Production potential</v>
      </c>
      <c r="E140" t="str">
        <f>Result_notebook_retravaill!E140</f>
        <v>Current shares</v>
      </c>
      <c r="F140" t="str">
        <f>Result_notebook_retravaill!F140</f>
        <v>Expansion Extractive+Circularity</v>
      </c>
      <c r="G140">
        <f>Result_notebook_retravaill!G140</f>
        <v>29818.531857293401</v>
      </c>
      <c r="H140" s="32">
        <f>IF(Result_notebook_retravaill!I140&gt;Result_notebook_retravaill!G140,Result_notebook_retravaill!I140/Result_notebook_retravaill!N140,Result_notebook_retravaill!H140)</f>
        <v>167630.15533014096</v>
      </c>
      <c r="I140" s="32">
        <f>Result_notebook_retravaill!K140</f>
        <v>0</v>
      </c>
      <c r="J140" s="32">
        <f>MIN(G140,Result_notebook_retravaill!I140)</f>
        <v>29818.531857293401</v>
      </c>
      <c r="K140" s="32">
        <f>IF(Result_notebook_retravaill!I140&gt;Result_notebook_retravaill!G140,0,IF(Result_notebook_retravaill!I140+Result_notebook_retravaill!J140&gt;Result_notebook_retravaill!G140,Result_notebook_retravaill!G140-Result_notebook_retravaill!I140,Result_notebook_retravaill!J140))</f>
        <v>0</v>
      </c>
      <c r="L140" s="32">
        <f>IF(Result_notebook_retravaill!I140&gt;Result_notebook_retravaill!G140,0,IF(Result_notebook_retravaill!I140+Result_notebook_retravaill!J140&gt;Result_notebook_retravaill!G140,0,Result_notebook_retravaill!M140))</f>
        <v>0</v>
      </c>
      <c r="M140" s="31">
        <f t="shared" si="2"/>
        <v>0</v>
      </c>
    </row>
    <row r="141" spans="1:13" x14ac:dyDescent="0.35">
      <c r="A141">
        <f>Result_notebook_retravaill!A141</f>
        <v>2026</v>
      </c>
      <c r="B141" t="str">
        <f>Result_notebook_retravaill!B141</f>
        <v>Nickel</v>
      </c>
      <c r="C141" t="str">
        <f>Result_notebook_retravaill!C141</f>
        <v>Canada Net-zero</v>
      </c>
      <c r="D141" t="str">
        <f>Result_notebook_retravaill!D141</f>
        <v>Production potential</v>
      </c>
      <c r="E141" t="str">
        <f>Result_notebook_retravaill!E141</f>
        <v>100% CAN</v>
      </c>
      <c r="F141" t="str">
        <f>Result_notebook_retravaill!F141</f>
        <v>Integrated</v>
      </c>
      <c r="G141">
        <f>Result_notebook_retravaill!G141</f>
        <v>29818.531857293401</v>
      </c>
      <c r="H141" s="32">
        <f>IF(Result_notebook_retravaill!I141&gt;Result_notebook_retravaill!G141,Result_notebook_retravaill!I141/Result_notebook_retravaill!N141,Result_notebook_retravaill!H141)</f>
        <v>235376.47332675057</v>
      </c>
      <c r="I141" s="32">
        <f>Result_notebook_retravaill!K141</f>
        <v>0</v>
      </c>
      <c r="J141" s="32">
        <f>MIN(G141,Result_notebook_retravaill!I141)</f>
        <v>29818.531857293401</v>
      </c>
      <c r="K141" s="32">
        <f>IF(Result_notebook_retravaill!I141&gt;Result_notebook_retravaill!G141,0,IF(Result_notebook_retravaill!I141+Result_notebook_retravaill!J141&gt;Result_notebook_retravaill!G141,Result_notebook_retravaill!G141-Result_notebook_retravaill!I141,Result_notebook_retravaill!J141))</f>
        <v>0</v>
      </c>
      <c r="L141" s="32">
        <f>IF(Result_notebook_retravaill!I141&gt;Result_notebook_retravaill!G141,0,IF(Result_notebook_retravaill!I141+Result_notebook_retravaill!J141&gt;Result_notebook_retravaill!G141,0,Result_notebook_retravaill!M141))</f>
        <v>0</v>
      </c>
      <c r="M141" s="31">
        <f t="shared" si="2"/>
        <v>0</v>
      </c>
    </row>
    <row r="142" spans="1:13" x14ac:dyDescent="0.35">
      <c r="A142">
        <f>Result_notebook_retravaill!A142</f>
        <v>2026</v>
      </c>
      <c r="B142" t="str">
        <f>Result_notebook_retravaill!B142</f>
        <v>Nickel</v>
      </c>
      <c r="C142" t="str">
        <f>Result_notebook_retravaill!C142</f>
        <v>Current Measures</v>
      </c>
      <c r="D142" t="str">
        <f>Result_notebook_retravaill!D142</f>
        <v>Existing production</v>
      </c>
      <c r="E142" t="str">
        <f>Result_notebook_retravaill!E142</f>
        <v>Current shares</v>
      </c>
      <c r="F142" t="str">
        <f>Result_notebook_retravaill!F142</f>
        <v>NIMBY</v>
      </c>
      <c r="G142">
        <f>Result_notebook_retravaill!G142</f>
        <v>24449.44165617535</v>
      </c>
      <c r="H142" s="32">
        <f>IF(Result_notebook_retravaill!I142&gt;Result_notebook_retravaill!G142,Result_notebook_retravaill!I142/Result_notebook_retravaill!N142,Result_notebook_retravaill!H142)</f>
        <v>0</v>
      </c>
      <c r="I142" s="32">
        <f>Result_notebook_retravaill!K142</f>
        <v>30948.660324272591</v>
      </c>
      <c r="J142" s="32">
        <f>MIN(G142,Result_notebook_retravaill!I142)</f>
        <v>0</v>
      </c>
      <c r="K142" s="32">
        <f>IF(Result_notebook_retravaill!I142&gt;Result_notebook_retravaill!G142,0,IF(Result_notebook_retravaill!I142+Result_notebook_retravaill!J142&gt;Result_notebook_retravaill!G142,Result_notebook_retravaill!G142-Result_notebook_retravaill!I142,Result_notebook_retravaill!J142))</f>
        <v>0</v>
      </c>
      <c r="L142" s="32">
        <f>IF(Result_notebook_retravaill!I142&gt;Result_notebook_retravaill!G142,0,IF(Result_notebook_retravaill!I142+Result_notebook_retravaill!J142&gt;Result_notebook_retravaill!G142,0,Result_notebook_retravaill!M142))</f>
        <v>24449.44165617535</v>
      </c>
      <c r="M142" s="31">
        <f t="shared" si="2"/>
        <v>0</v>
      </c>
    </row>
    <row r="143" spans="1:13" x14ac:dyDescent="0.35">
      <c r="A143">
        <f>Result_notebook_retravaill!A143</f>
        <v>2026</v>
      </c>
      <c r="B143" t="str">
        <f>Result_notebook_retravaill!B143</f>
        <v>Nickel</v>
      </c>
      <c r="C143" t="str">
        <f>Result_notebook_retravaill!C143</f>
        <v>Current Measures</v>
      </c>
      <c r="D143" t="str">
        <f>Result_notebook_retravaill!D143</f>
        <v>Existing production</v>
      </c>
      <c r="E143" t="str">
        <f>Result_notebook_retravaill!E143</f>
        <v>Current shares</v>
      </c>
      <c r="F143" t="str">
        <f>Result_notebook_retravaill!F143</f>
        <v>Status Quo</v>
      </c>
      <c r="G143">
        <f>Result_notebook_retravaill!G143</f>
        <v>24449.44165617535</v>
      </c>
      <c r="H143" s="32">
        <f>IF(Result_notebook_retravaill!I143&gt;Result_notebook_retravaill!G143,Result_notebook_retravaill!I143/Result_notebook_retravaill!N143,Result_notebook_retravaill!H143)</f>
        <v>127185.24196697887</v>
      </c>
      <c r="I143" s="32">
        <f>Result_notebook_retravaill!K143</f>
        <v>0</v>
      </c>
      <c r="J143" s="32">
        <f>MIN(G143,Result_notebook_retravaill!I143)</f>
        <v>24449.44165617535</v>
      </c>
      <c r="K143" s="32">
        <f>IF(Result_notebook_retravaill!I143&gt;Result_notebook_retravaill!G143,0,IF(Result_notebook_retravaill!I143+Result_notebook_retravaill!J143&gt;Result_notebook_retravaill!G143,Result_notebook_retravaill!G143-Result_notebook_retravaill!I143,Result_notebook_retravaill!J143))</f>
        <v>0</v>
      </c>
      <c r="L143" s="32">
        <f>IF(Result_notebook_retravaill!I143&gt;Result_notebook_retravaill!G143,0,IF(Result_notebook_retravaill!I143+Result_notebook_retravaill!J143&gt;Result_notebook_retravaill!G143,0,Result_notebook_retravaill!M143))</f>
        <v>0</v>
      </c>
      <c r="M143" s="31">
        <f t="shared" si="2"/>
        <v>0</v>
      </c>
    </row>
    <row r="144" spans="1:13" x14ac:dyDescent="0.35">
      <c r="A144">
        <f>Result_notebook_retravaill!A144</f>
        <v>2026</v>
      </c>
      <c r="B144" t="str">
        <f>Result_notebook_retravaill!B144</f>
        <v>Nickel</v>
      </c>
      <c r="C144" t="str">
        <f>Result_notebook_retravaill!C144</f>
        <v>Current Measures</v>
      </c>
      <c r="D144" t="str">
        <f>Result_notebook_retravaill!D144</f>
        <v>Production potential</v>
      </c>
      <c r="E144" t="str">
        <f>Result_notebook_retravaill!E144</f>
        <v>Current shares</v>
      </c>
      <c r="F144" t="str">
        <f>Result_notebook_retravaill!F144</f>
        <v>Expansion Extractive</v>
      </c>
      <c r="G144">
        <f>Result_notebook_retravaill!G144</f>
        <v>24449.44165617535</v>
      </c>
      <c r="H144" s="32">
        <f>IF(Result_notebook_retravaill!I144&gt;Result_notebook_retravaill!G144,Result_notebook_retravaill!I144/Result_notebook_retravaill!N144,Result_notebook_retravaill!H144)</f>
        <v>167630.15533014096</v>
      </c>
      <c r="I144" s="32">
        <f>Result_notebook_retravaill!K144</f>
        <v>0</v>
      </c>
      <c r="J144" s="32">
        <f>MIN(G144,Result_notebook_retravaill!I144)</f>
        <v>24449.44165617535</v>
      </c>
      <c r="K144" s="32">
        <f>IF(Result_notebook_retravaill!I144&gt;Result_notebook_retravaill!G144,0,IF(Result_notebook_retravaill!I144+Result_notebook_retravaill!J144&gt;Result_notebook_retravaill!G144,Result_notebook_retravaill!G144-Result_notebook_retravaill!I144,Result_notebook_retravaill!J144))</f>
        <v>0</v>
      </c>
      <c r="L144" s="32">
        <f>IF(Result_notebook_retravaill!I144&gt;Result_notebook_retravaill!G144,0,IF(Result_notebook_retravaill!I144+Result_notebook_retravaill!J144&gt;Result_notebook_retravaill!G144,0,Result_notebook_retravaill!M144))</f>
        <v>0</v>
      </c>
      <c r="M144" s="31">
        <f t="shared" si="2"/>
        <v>0</v>
      </c>
    </row>
    <row r="145" spans="1:13" x14ac:dyDescent="0.35">
      <c r="A145">
        <f>Result_notebook_retravaill!A145</f>
        <v>2026</v>
      </c>
      <c r="B145" t="str">
        <f>Result_notebook_retravaill!B145</f>
        <v>Nickel</v>
      </c>
      <c r="C145" t="str">
        <f>Result_notebook_retravaill!C145</f>
        <v>Current Measures</v>
      </c>
      <c r="D145" t="str">
        <f>Result_notebook_retravaill!D145</f>
        <v>Production potential</v>
      </c>
      <c r="E145" t="str">
        <f>Result_notebook_retravaill!E145</f>
        <v>Current shares</v>
      </c>
      <c r="F145" t="str">
        <f>Result_notebook_retravaill!F145</f>
        <v>Expansion Extractive+Circularity</v>
      </c>
      <c r="G145">
        <f>Result_notebook_retravaill!G145</f>
        <v>24449.44165617535</v>
      </c>
      <c r="H145" s="32">
        <f>IF(Result_notebook_retravaill!I145&gt;Result_notebook_retravaill!G145,Result_notebook_retravaill!I145/Result_notebook_retravaill!N145,Result_notebook_retravaill!H145)</f>
        <v>167630.15533014096</v>
      </c>
      <c r="I145" s="32">
        <f>Result_notebook_retravaill!K145</f>
        <v>0</v>
      </c>
      <c r="J145" s="32">
        <f>MIN(G145,Result_notebook_retravaill!I145)</f>
        <v>24449.44165617535</v>
      </c>
      <c r="K145" s="32">
        <f>IF(Result_notebook_retravaill!I145&gt;Result_notebook_retravaill!G145,0,IF(Result_notebook_retravaill!I145+Result_notebook_retravaill!J145&gt;Result_notebook_retravaill!G145,Result_notebook_retravaill!G145-Result_notebook_retravaill!I145,Result_notebook_retravaill!J145))</f>
        <v>0</v>
      </c>
      <c r="L145" s="32">
        <f>IF(Result_notebook_retravaill!I145&gt;Result_notebook_retravaill!G145,0,IF(Result_notebook_retravaill!I145+Result_notebook_retravaill!J145&gt;Result_notebook_retravaill!G145,0,Result_notebook_retravaill!M145))</f>
        <v>0</v>
      </c>
      <c r="M145" s="31">
        <f t="shared" si="2"/>
        <v>0</v>
      </c>
    </row>
    <row r="146" spans="1:13" x14ac:dyDescent="0.35">
      <c r="A146">
        <f>Result_notebook_retravaill!A146</f>
        <v>2026</v>
      </c>
      <c r="B146" t="str">
        <f>Result_notebook_retravaill!B146</f>
        <v>Nickel</v>
      </c>
      <c r="C146" t="str">
        <f>Result_notebook_retravaill!C146</f>
        <v>Current Measures</v>
      </c>
      <c r="D146" t="str">
        <f>Result_notebook_retravaill!D146</f>
        <v>Production potential</v>
      </c>
      <c r="E146" t="str">
        <f>Result_notebook_retravaill!E146</f>
        <v>100% CAN</v>
      </c>
      <c r="F146" t="str">
        <f>Result_notebook_retravaill!F146</f>
        <v>Integrated</v>
      </c>
      <c r="G146">
        <f>Result_notebook_retravaill!G146</f>
        <v>24449.44165617535</v>
      </c>
      <c r="H146" s="32">
        <f>IF(Result_notebook_retravaill!I146&gt;Result_notebook_retravaill!G146,Result_notebook_retravaill!I146/Result_notebook_retravaill!N146,Result_notebook_retravaill!H146)</f>
        <v>235376.47332675057</v>
      </c>
      <c r="I146" s="32">
        <f>Result_notebook_retravaill!K146</f>
        <v>0</v>
      </c>
      <c r="J146" s="32">
        <f>MIN(G146,Result_notebook_retravaill!I146)</f>
        <v>24449.44165617535</v>
      </c>
      <c r="K146" s="32">
        <f>IF(Result_notebook_retravaill!I146&gt;Result_notebook_retravaill!G146,0,IF(Result_notebook_retravaill!I146+Result_notebook_retravaill!J146&gt;Result_notebook_retravaill!G146,Result_notebook_retravaill!G146-Result_notebook_retravaill!I146,Result_notebook_retravaill!J146))</f>
        <v>0</v>
      </c>
      <c r="L146" s="32">
        <f>IF(Result_notebook_retravaill!I146&gt;Result_notebook_retravaill!G146,0,IF(Result_notebook_retravaill!I146+Result_notebook_retravaill!J146&gt;Result_notebook_retravaill!G146,0,Result_notebook_retravaill!M146))</f>
        <v>0</v>
      </c>
      <c r="M146" s="31">
        <f t="shared" si="2"/>
        <v>0</v>
      </c>
    </row>
    <row r="147" spans="1:13" x14ac:dyDescent="0.35">
      <c r="A147">
        <f>Result_notebook_retravaill!A147</f>
        <v>2026</v>
      </c>
      <c r="B147" t="str">
        <f>Result_notebook_retravaill!B147</f>
        <v>Nickel</v>
      </c>
      <c r="C147" t="str">
        <f>Result_notebook_retravaill!C147</f>
        <v>Global Net-zero</v>
      </c>
      <c r="D147" t="str">
        <f>Result_notebook_retravaill!D147</f>
        <v>Existing production</v>
      </c>
      <c r="E147" t="str">
        <f>Result_notebook_retravaill!E147</f>
        <v>Current shares</v>
      </c>
      <c r="F147" t="str">
        <f>Result_notebook_retravaill!F147</f>
        <v>NIMBY</v>
      </c>
      <c r="G147">
        <f>Result_notebook_retravaill!G147</f>
        <v>28983.298578402391</v>
      </c>
      <c r="H147" s="32">
        <f>IF(Result_notebook_retravaill!I147&gt;Result_notebook_retravaill!G147,Result_notebook_retravaill!I147/Result_notebook_retravaill!N147,Result_notebook_retravaill!H147)</f>
        <v>0</v>
      </c>
      <c r="I147" s="32">
        <f>Result_notebook_retravaill!K147</f>
        <v>36687.719719496687</v>
      </c>
      <c r="J147" s="32">
        <f>MIN(G147,Result_notebook_retravaill!I147)</f>
        <v>0</v>
      </c>
      <c r="K147" s="32">
        <f>IF(Result_notebook_retravaill!I147&gt;Result_notebook_retravaill!G147,0,IF(Result_notebook_retravaill!I147+Result_notebook_retravaill!J147&gt;Result_notebook_retravaill!G147,Result_notebook_retravaill!G147-Result_notebook_retravaill!I147,Result_notebook_retravaill!J147))</f>
        <v>0</v>
      </c>
      <c r="L147" s="32">
        <f>IF(Result_notebook_retravaill!I147&gt;Result_notebook_retravaill!G147,0,IF(Result_notebook_retravaill!I147+Result_notebook_retravaill!J147&gt;Result_notebook_retravaill!G147,0,Result_notebook_retravaill!M147))</f>
        <v>28983.298578402391</v>
      </c>
      <c r="M147" s="31">
        <f t="shared" si="2"/>
        <v>0</v>
      </c>
    </row>
    <row r="148" spans="1:13" x14ac:dyDescent="0.35">
      <c r="A148">
        <f>Result_notebook_retravaill!A148</f>
        <v>2026</v>
      </c>
      <c r="B148" t="str">
        <f>Result_notebook_retravaill!B148</f>
        <v>Nickel</v>
      </c>
      <c r="C148" t="str">
        <f>Result_notebook_retravaill!C148</f>
        <v>Global Net-zero</v>
      </c>
      <c r="D148" t="str">
        <f>Result_notebook_retravaill!D148</f>
        <v>Existing production</v>
      </c>
      <c r="E148" t="str">
        <f>Result_notebook_retravaill!E148</f>
        <v>Current shares</v>
      </c>
      <c r="F148" t="str">
        <f>Result_notebook_retravaill!F148</f>
        <v>Status Quo</v>
      </c>
      <c r="G148">
        <f>Result_notebook_retravaill!G148</f>
        <v>28983.298578402391</v>
      </c>
      <c r="H148" s="32">
        <f>IF(Result_notebook_retravaill!I148&gt;Result_notebook_retravaill!G148,Result_notebook_retravaill!I148/Result_notebook_retravaill!N148,Result_notebook_retravaill!H148)</f>
        <v>127185.24196697887</v>
      </c>
      <c r="I148" s="32">
        <f>Result_notebook_retravaill!K148</f>
        <v>0</v>
      </c>
      <c r="J148" s="32">
        <f>MIN(G148,Result_notebook_retravaill!I148)</f>
        <v>28983.298578402391</v>
      </c>
      <c r="K148" s="32">
        <f>IF(Result_notebook_retravaill!I148&gt;Result_notebook_retravaill!G148,0,IF(Result_notebook_retravaill!I148+Result_notebook_retravaill!J148&gt;Result_notebook_retravaill!G148,Result_notebook_retravaill!G148-Result_notebook_retravaill!I148,Result_notebook_retravaill!J148))</f>
        <v>0</v>
      </c>
      <c r="L148" s="32">
        <f>IF(Result_notebook_retravaill!I148&gt;Result_notebook_retravaill!G148,0,IF(Result_notebook_retravaill!I148+Result_notebook_retravaill!J148&gt;Result_notebook_retravaill!G148,0,Result_notebook_retravaill!M148))</f>
        <v>0</v>
      </c>
      <c r="M148" s="31">
        <f t="shared" si="2"/>
        <v>0</v>
      </c>
    </row>
    <row r="149" spans="1:13" x14ac:dyDescent="0.35">
      <c r="A149">
        <f>Result_notebook_retravaill!A149</f>
        <v>2026</v>
      </c>
      <c r="B149" t="str">
        <f>Result_notebook_retravaill!B149</f>
        <v>Nickel</v>
      </c>
      <c r="C149" t="str">
        <f>Result_notebook_retravaill!C149</f>
        <v>Global Net-zero</v>
      </c>
      <c r="D149" t="str">
        <f>Result_notebook_retravaill!D149</f>
        <v>Production potential</v>
      </c>
      <c r="E149" t="str">
        <f>Result_notebook_retravaill!E149</f>
        <v>Current shares</v>
      </c>
      <c r="F149" t="str">
        <f>Result_notebook_retravaill!F149</f>
        <v>Expansion Extractive</v>
      </c>
      <c r="G149">
        <f>Result_notebook_retravaill!G149</f>
        <v>28983.298578402391</v>
      </c>
      <c r="H149" s="32">
        <f>IF(Result_notebook_retravaill!I149&gt;Result_notebook_retravaill!G149,Result_notebook_retravaill!I149/Result_notebook_retravaill!N149,Result_notebook_retravaill!H149)</f>
        <v>167630.15533014096</v>
      </c>
      <c r="I149" s="32">
        <f>Result_notebook_retravaill!K149</f>
        <v>0</v>
      </c>
      <c r="J149" s="32">
        <f>MIN(G149,Result_notebook_retravaill!I149)</f>
        <v>28983.298578402391</v>
      </c>
      <c r="K149" s="32">
        <f>IF(Result_notebook_retravaill!I149&gt;Result_notebook_retravaill!G149,0,IF(Result_notebook_retravaill!I149+Result_notebook_retravaill!J149&gt;Result_notebook_retravaill!G149,Result_notebook_retravaill!G149-Result_notebook_retravaill!I149,Result_notebook_retravaill!J149))</f>
        <v>0</v>
      </c>
      <c r="L149" s="32">
        <f>IF(Result_notebook_retravaill!I149&gt;Result_notebook_retravaill!G149,0,IF(Result_notebook_retravaill!I149+Result_notebook_retravaill!J149&gt;Result_notebook_retravaill!G149,0,Result_notebook_retravaill!M149))</f>
        <v>0</v>
      </c>
      <c r="M149" s="31">
        <f t="shared" si="2"/>
        <v>0</v>
      </c>
    </row>
    <row r="150" spans="1:13" x14ac:dyDescent="0.35">
      <c r="A150">
        <f>Result_notebook_retravaill!A150</f>
        <v>2026</v>
      </c>
      <c r="B150" t="str">
        <f>Result_notebook_retravaill!B150</f>
        <v>Nickel</v>
      </c>
      <c r="C150" t="str">
        <f>Result_notebook_retravaill!C150</f>
        <v>Global Net-zero</v>
      </c>
      <c r="D150" t="str">
        <f>Result_notebook_retravaill!D150</f>
        <v>Production potential</v>
      </c>
      <c r="E150" t="str">
        <f>Result_notebook_retravaill!E150</f>
        <v>Current shares</v>
      </c>
      <c r="F150" t="str">
        <f>Result_notebook_retravaill!F150</f>
        <v>Expansion Extractive+Circularity</v>
      </c>
      <c r="G150">
        <f>Result_notebook_retravaill!G150</f>
        <v>28983.298578402391</v>
      </c>
      <c r="H150" s="32">
        <f>IF(Result_notebook_retravaill!I150&gt;Result_notebook_retravaill!G150,Result_notebook_retravaill!I150/Result_notebook_retravaill!N150,Result_notebook_retravaill!H150)</f>
        <v>167630.15533014096</v>
      </c>
      <c r="I150" s="32">
        <f>Result_notebook_retravaill!K150</f>
        <v>0</v>
      </c>
      <c r="J150" s="32">
        <f>MIN(G150,Result_notebook_retravaill!I150)</f>
        <v>28983.298578402391</v>
      </c>
      <c r="K150" s="32">
        <f>IF(Result_notebook_retravaill!I150&gt;Result_notebook_retravaill!G150,0,IF(Result_notebook_retravaill!I150+Result_notebook_retravaill!J150&gt;Result_notebook_retravaill!G150,Result_notebook_retravaill!G150-Result_notebook_retravaill!I150,Result_notebook_retravaill!J150))</f>
        <v>0</v>
      </c>
      <c r="L150" s="32">
        <f>IF(Result_notebook_retravaill!I150&gt;Result_notebook_retravaill!G150,0,IF(Result_notebook_retravaill!I150+Result_notebook_retravaill!J150&gt;Result_notebook_retravaill!G150,0,Result_notebook_retravaill!M150))</f>
        <v>0</v>
      </c>
      <c r="M150" s="31">
        <f t="shared" si="2"/>
        <v>0</v>
      </c>
    </row>
    <row r="151" spans="1:13" x14ac:dyDescent="0.35">
      <c r="A151">
        <f>Result_notebook_retravaill!A151</f>
        <v>2026</v>
      </c>
      <c r="B151" t="str">
        <f>Result_notebook_retravaill!B151</f>
        <v>Nickel</v>
      </c>
      <c r="C151" t="str">
        <f>Result_notebook_retravaill!C151</f>
        <v>Global Net-zero</v>
      </c>
      <c r="D151" t="str">
        <f>Result_notebook_retravaill!D151</f>
        <v>Production potential</v>
      </c>
      <c r="E151" t="str">
        <f>Result_notebook_retravaill!E151</f>
        <v>100% CAN</v>
      </c>
      <c r="F151" t="str">
        <f>Result_notebook_retravaill!F151</f>
        <v>Integrated</v>
      </c>
      <c r="G151">
        <f>Result_notebook_retravaill!G151</f>
        <v>28983.298578402391</v>
      </c>
      <c r="H151" s="32">
        <f>IF(Result_notebook_retravaill!I151&gt;Result_notebook_retravaill!G151,Result_notebook_retravaill!I151/Result_notebook_retravaill!N151,Result_notebook_retravaill!H151)</f>
        <v>235376.47332675057</v>
      </c>
      <c r="I151" s="32">
        <f>Result_notebook_retravaill!K151</f>
        <v>0</v>
      </c>
      <c r="J151" s="32">
        <f>MIN(G151,Result_notebook_retravaill!I151)</f>
        <v>28983.298578402391</v>
      </c>
      <c r="K151" s="32">
        <f>IF(Result_notebook_retravaill!I151&gt;Result_notebook_retravaill!G151,0,IF(Result_notebook_retravaill!I151+Result_notebook_retravaill!J151&gt;Result_notebook_retravaill!G151,Result_notebook_retravaill!G151-Result_notebook_retravaill!I151,Result_notebook_retravaill!J151))</f>
        <v>0</v>
      </c>
      <c r="L151" s="32">
        <f>IF(Result_notebook_retravaill!I151&gt;Result_notebook_retravaill!G151,0,IF(Result_notebook_retravaill!I151+Result_notebook_retravaill!J151&gt;Result_notebook_retravaill!G151,0,Result_notebook_retravaill!M151))</f>
        <v>0</v>
      </c>
      <c r="M151" s="31">
        <f t="shared" si="2"/>
        <v>0</v>
      </c>
    </row>
    <row r="152" spans="1:13" x14ac:dyDescent="0.35">
      <c r="A152">
        <f>Result_notebook_retravaill!A152</f>
        <v>2026</v>
      </c>
      <c r="B152" t="str">
        <f>Result_notebook_retravaill!B152</f>
        <v>Graphite</v>
      </c>
      <c r="C152" t="str">
        <f>Result_notebook_retravaill!C152</f>
        <v>Canada Net-zero</v>
      </c>
      <c r="D152" t="str">
        <f>Result_notebook_retravaill!D152</f>
        <v>Existing production</v>
      </c>
      <c r="E152" t="str">
        <f>Result_notebook_retravaill!E152</f>
        <v>Current shares</v>
      </c>
      <c r="F152" t="str">
        <f>Result_notebook_retravaill!F152</f>
        <v>NIMBY</v>
      </c>
      <c r="G152">
        <f>Result_notebook_retravaill!G152</f>
        <v>595.19964669675574</v>
      </c>
      <c r="H152" s="32">
        <f>IF(Result_notebook_retravaill!I152&gt;Result_notebook_retravaill!G152,Result_notebook_retravaill!I152/Result_notebook_retravaill!N152,Result_notebook_retravaill!H152)</f>
        <v>0</v>
      </c>
      <c r="I152" s="32">
        <f>Result_notebook_retravaill!K152</f>
        <v>595.19964669675574</v>
      </c>
      <c r="J152" s="32">
        <f>MIN(G152,Result_notebook_retravaill!I152)</f>
        <v>0</v>
      </c>
      <c r="K152" s="32">
        <f>IF(Result_notebook_retravaill!I152&gt;Result_notebook_retravaill!G152,0,IF(Result_notebook_retravaill!I152+Result_notebook_retravaill!J152&gt;Result_notebook_retravaill!G152,Result_notebook_retravaill!G152-Result_notebook_retravaill!I152,Result_notebook_retravaill!J152))</f>
        <v>0</v>
      </c>
      <c r="L152" s="32">
        <f>IF(Result_notebook_retravaill!I152&gt;Result_notebook_retravaill!G152,0,IF(Result_notebook_retravaill!I152+Result_notebook_retravaill!J152&gt;Result_notebook_retravaill!G152,0,Result_notebook_retravaill!M152))</f>
        <v>595.19964669675574</v>
      </c>
      <c r="M152" s="31">
        <f t="shared" si="2"/>
        <v>0</v>
      </c>
    </row>
    <row r="153" spans="1:13" x14ac:dyDescent="0.35">
      <c r="A153">
        <f>Result_notebook_retravaill!A153</f>
        <v>2026</v>
      </c>
      <c r="B153" t="str">
        <f>Result_notebook_retravaill!B153</f>
        <v>Graphite</v>
      </c>
      <c r="C153" t="str">
        <f>Result_notebook_retravaill!C153</f>
        <v>Canada Net-zero</v>
      </c>
      <c r="D153" t="str">
        <f>Result_notebook_retravaill!D153</f>
        <v>Existing production</v>
      </c>
      <c r="E153" t="str">
        <f>Result_notebook_retravaill!E153</f>
        <v>Current shares</v>
      </c>
      <c r="F153" t="str">
        <f>Result_notebook_retravaill!F153</f>
        <v>Status Quo</v>
      </c>
      <c r="G153">
        <f>Result_notebook_retravaill!G153</f>
        <v>595.19964669675574</v>
      </c>
      <c r="H153" s="32">
        <f>IF(Result_notebook_retravaill!I153&gt;Result_notebook_retravaill!G153,Result_notebook_retravaill!I153/Result_notebook_retravaill!N153,Result_notebook_retravaill!H153)</f>
        <v>0</v>
      </c>
      <c r="I153" s="32">
        <f>Result_notebook_retravaill!K153</f>
        <v>595.19964669675574</v>
      </c>
      <c r="J153" s="32">
        <f>MIN(G153,Result_notebook_retravaill!I153)</f>
        <v>0</v>
      </c>
      <c r="K153" s="32">
        <f>IF(Result_notebook_retravaill!I153&gt;Result_notebook_retravaill!G153,0,IF(Result_notebook_retravaill!I153+Result_notebook_retravaill!J153&gt;Result_notebook_retravaill!G153,Result_notebook_retravaill!G153-Result_notebook_retravaill!I153,Result_notebook_retravaill!J153))</f>
        <v>0</v>
      </c>
      <c r="L153" s="32">
        <f>IF(Result_notebook_retravaill!I153&gt;Result_notebook_retravaill!G153,0,IF(Result_notebook_retravaill!I153+Result_notebook_retravaill!J153&gt;Result_notebook_retravaill!G153,0,Result_notebook_retravaill!M153))</f>
        <v>595.19964669675574</v>
      </c>
      <c r="M153" s="31">
        <f t="shared" si="2"/>
        <v>0</v>
      </c>
    </row>
    <row r="154" spans="1:13" x14ac:dyDescent="0.35">
      <c r="A154">
        <f>Result_notebook_retravaill!A154</f>
        <v>2026</v>
      </c>
      <c r="B154" t="str">
        <f>Result_notebook_retravaill!B154</f>
        <v>Graphite</v>
      </c>
      <c r="C154" t="str">
        <f>Result_notebook_retravaill!C154</f>
        <v>Canada Net-zero</v>
      </c>
      <c r="D154" t="str">
        <f>Result_notebook_retravaill!D154</f>
        <v>Production potential</v>
      </c>
      <c r="E154" t="str">
        <f>Result_notebook_retravaill!E154</f>
        <v>Current shares</v>
      </c>
      <c r="F154" t="str">
        <f>Result_notebook_retravaill!F154</f>
        <v>Expansion Extractive</v>
      </c>
      <c r="G154">
        <f>Result_notebook_retravaill!G154</f>
        <v>595.19964669675574</v>
      </c>
      <c r="H154" s="32">
        <f>IF(Result_notebook_retravaill!I154&gt;Result_notebook_retravaill!G154,Result_notebook_retravaill!I154/Result_notebook_retravaill!N154,Result_notebook_retravaill!H154)</f>
        <v>54951.857718749234</v>
      </c>
      <c r="I154" s="32">
        <f>Result_notebook_retravaill!K154</f>
        <v>0</v>
      </c>
      <c r="J154" s="32">
        <f>MIN(G154,Result_notebook_retravaill!I154)</f>
        <v>595.19964669675574</v>
      </c>
      <c r="K154" s="32">
        <f>IF(Result_notebook_retravaill!I154&gt;Result_notebook_retravaill!G154,0,IF(Result_notebook_retravaill!I154+Result_notebook_retravaill!J154&gt;Result_notebook_retravaill!G154,Result_notebook_retravaill!G154-Result_notebook_retravaill!I154,Result_notebook_retravaill!J154))</f>
        <v>0</v>
      </c>
      <c r="L154" s="32">
        <f>IF(Result_notebook_retravaill!I154&gt;Result_notebook_retravaill!G154,0,IF(Result_notebook_retravaill!I154+Result_notebook_retravaill!J154&gt;Result_notebook_retravaill!G154,0,Result_notebook_retravaill!M154))</f>
        <v>0</v>
      </c>
      <c r="M154" s="31">
        <f t="shared" si="2"/>
        <v>0</v>
      </c>
    </row>
    <row r="155" spans="1:13" x14ac:dyDescent="0.35">
      <c r="A155">
        <f>Result_notebook_retravaill!A155</f>
        <v>2026</v>
      </c>
      <c r="B155" t="str">
        <f>Result_notebook_retravaill!B155</f>
        <v>Graphite</v>
      </c>
      <c r="C155" t="str">
        <f>Result_notebook_retravaill!C155</f>
        <v>Canada Net-zero</v>
      </c>
      <c r="D155" t="str">
        <f>Result_notebook_retravaill!D155</f>
        <v>Production potential</v>
      </c>
      <c r="E155" t="str">
        <f>Result_notebook_retravaill!E155</f>
        <v>Current shares</v>
      </c>
      <c r="F155" t="str">
        <f>Result_notebook_retravaill!F155</f>
        <v>Expansion Extractive+Circularity</v>
      </c>
      <c r="G155">
        <f>Result_notebook_retravaill!G155</f>
        <v>595.19964669675574</v>
      </c>
      <c r="H155" s="32">
        <f>IF(Result_notebook_retravaill!I155&gt;Result_notebook_retravaill!G155,Result_notebook_retravaill!I155/Result_notebook_retravaill!N155,Result_notebook_retravaill!H155)</f>
        <v>54951.857718749234</v>
      </c>
      <c r="I155" s="32">
        <f>Result_notebook_retravaill!K155</f>
        <v>0</v>
      </c>
      <c r="J155" s="32">
        <f>MIN(G155,Result_notebook_retravaill!I155)</f>
        <v>595.19964669675574</v>
      </c>
      <c r="K155" s="32">
        <f>IF(Result_notebook_retravaill!I155&gt;Result_notebook_retravaill!G155,0,IF(Result_notebook_retravaill!I155+Result_notebook_retravaill!J155&gt;Result_notebook_retravaill!G155,Result_notebook_retravaill!G155-Result_notebook_retravaill!I155,Result_notebook_retravaill!J155))</f>
        <v>0</v>
      </c>
      <c r="L155" s="32">
        <f>IF(Result_notebook_retravaill!I155&gt;Result_notebook_retravaill!G155,0,IF(Result_notebook_retravaill!I155+Result_notebook_retravaill!J155&gt;Result_notebook_retravaill!G155,0,Result_notebook_retravaill!M155))</f>
        <v>0</v>
      </c>
      <c r="M155" s="31">
        <f t="shared" si="2"/>
        <v>0</v>
      </c>
    </row>
    <row r="156" spans="1:13" x14ac:dyDescent="0.35">
      <c r="A156">
        <f>Result_notebook_retravaill!A156</f>
        <v>2026</v>
      </c>
      <c r="B156" t="str">
        <f>Result_notebook_retravaill!B156</f>
        <v>Graphite</v>
      </c>
      <c r="C156" t="str">
        <f>Result_notebook_retravaill!C156</f>
        <v>Canada Net-zero</v>
      </c>
      <c r="D156" t="str">
        <f>Result_notebook_retravaill!D156</f>
        <v>Production potential</v>
      </c>
      <c r="E156" t="str">
        <f>Result_notebook_retravaill!E156</f>
        <v>100% CAN</v>
      </c>
      <c r="F156" t="str">
        <f>Result_notebook_retravaill!F156</f>
        <v>Integrated</v>
      </c>
      <c r="G156">
        <f>Result_notebook_retravaill!G156</f>
        <v>595.19964669675574</v>
      </c>
      <c r="H156" s="32">
        <f>IF(Result_notebook_retravaill!I156&gt;Result_notebook_retravaill!G156,Result_notebook_retravaill!I156/Result_notebook_retravaill!N156,Result_notebook_retravaill!H156)</f>
        <v>54951.857718749234</v>
      </c>
      <c r="I156" s="32">
        <f>Result_notebook_retravaill!K156</f>
        <v>0</v>
      </c>
      <c r="J156" s="32">
        <f>MIN(G156,Result_notebook_retravaill!I156)</f>
        <v>595.19964669675574</v>
      </c>
      <c r="K156" s="32">
        <f>IF(Result_notebook_retravaill!I156&gt;Result_notebook_retravaill!G156,0,IF(Result_notebook_retravaill!I156+Result_notebook_retravaill!J156&gt;Result_notebook_retravaill!G156,Result_notebook_retravaill!G156-Result_notebook_retravaill!I156,Result_notebook_retravaill!J156))</f>
        <v>0</v>
      </c>
      <c r="L156" s="32">
        <f>IF(Result_notebook_retravaill!I156&gt;Result_notebook_retravaill!G156,0,IF(Result_notebook_retravaill!I156+Result_notebook_retravaill!J156&gt;Result_notebook_retravaill!G156,0,Result_notebook_retravaill!M156))</f>
        <v>0</v>
      </c>
      <c r="M156" s="31">
        <f t="shared" si="2"/>
        <v>0</v>
      </c>
    </row>
    <row r="157" spans="1:13" x14ac:dyDescent="0.35">
      <c r="A157">
        <f>Result_notebook_retravaill!A157</f>
        <v>2026</v>
      </c>
      <c r="B157" t="str">
        <f>Result_notebook_retravaill!B157</f>
        <v>Graphite</v>
      </c>
      <c r="C157" t="str">
        <f>Result_notebook_retravaill!C157</f>
        <v>Current Measures</v>
      </c>
      <c r="D157" t="str">
        <f>Result_notebook_retravaill!D157</f>
        <v>Existing production</v>
      </c>
      <c r="E157" t="str">
        <f>Result_notebook_retravaill!E157</f>
        <v>Current shares</v>
      </c>
      <c r="F157" t="str">
        <f>Result_notebook_retravaill!F157</f>
        <v>NIMBY</v>
      </c>
      <c r="G157">
        <f>Result_notebook_retravaill!G157</f>
        <v>466.18816950520568</v>
      </c>
      <c r="H157" s="32">
        <f>IF(Result_notebook_retravaill!I157&gt;Result_notebook_retravaill!G157,Result_notebook_retravaill!I157/Result_notebook_retravaill!N157,Result_notebook_retravaill!H157)</f>
        <v>0</v>
      </c>
      <c r="I157" s="32">
        <f>Result_notebook_retravaill!K157</f>
        <v>466.18816950520568</v>
      </c>
      <c r="J157" s="32">
        <f>MIN(G157,Result_notebook_retravaill!I157)</f>
        <v>0</v>
      </c>
      <c r="K157" s="32">
        <f>IF(Result_notebook_retravaill!I157&gt;Result_notebook_retravaill!G157,0,IF(Result_notebook_retravaill!I157+Result_notebook_retravaill!J157&gt;Result_notebook_retravaill!G157,Result_notebook_retravaill!G157-Result_notebook_retravaill!I157,Result_notebook_retravaill!J157))</f>
        <v>0</v>
      </c>
      <c r="L157" s="32">
        <f>IF(Result_notebook_retravaill!I157&gt;Result_notebook_retravaill!G157,0,IF(Result_notebook_retravaill!I157+Result_notebook_retravaill!J157&gt;Result_notebook_retravaill!G157,0,Result_notebook_retravaill!M157))</f>
        <v>466.18816950520568</v>
      </c>
      <c r="M157" s="31">
        <f t="shared" si="2"/>
        <v>0</v>
      </c>
    </row>
    <row r="158" spans="1:13" x14ac:dyDescent="0.35">
      <c r="A158">
        <f>Result_notebook_retravaill!A158</f>
        <v>2026</v>
      </c>
      <c r="B158" t="str">
        <f>Result_notebook_retravaill!B158</f>
        <v>Graphite</v>
      </c>
      <c r="C158" t="str">
        <f>Result_notebook_retravaill!C158</f>
        <v>Current Measures</v>
      </c>
      <c r="D158" t="str">
        <f>Result_notebook_retravaill!D158</f>
        <v>Existing production</v>
      </c>
      <c r="E158" t="str">
        <f>Result_notebook_retravaill!E158</f>
        <v>Current shares</v>
      </c>
      <c r="F158" t="str">
        <f>Result_notebook_retravaill!F158</f>
        <v>Status Quo</v>
      </c>
      <c r="G158">
        <f>Result_notebook_retravaill!G158</f>
        <v>466.18816950520568</v>
      </c>
      <c r="H158" s="32">
        <f>IF(Result_notebook_retravaill!I158&gt;Result_notebook_retravaill!G158,Result_notebook_retravaill!I158/Result_notebook_retravaill!N158,Result_notebook_retravaill!H158)</f>
        <v>0</v>
      </c>
      <c r="I158" s="32">
        <f>Result_notebook_retravaill!K158</f>
        <v>466.18816950520568</v>
      </c>
      <c r="J158" s="32">
        <f>MIN(G158,Result_notebook_retravaill!I158)</f>
        <v>0</v>
      </c>
      <c r="K158" s="32">
        <f>IF(Result_notebook_retravaill!I158&gt;Result_notebook_retravaill!G158,0,IF(Result_notebook_retravaill!I158+Result_notebook_retravaill!J158&gt;Result_notebook_retravaill!G158,Result_notebook_retravaill!G158-Result_notebook_retravaill!I158,Result_notebook_retravaill!J158))</f>
        <v>0</v>
      </c>
      <c r="L158" s="32">
        <f>IF(Result_notebook_retravaill!I158&gt;Result_notebook_retravaill!G158,0,IF(Result_notebook_retravaill!I158+Result_notebook_retravaill!J158&gt;Result_notebook_retravaill!G158,0,Result_notebook_retravaill!M158))</f>
        <v>466.18816950520568</v>
      </c>
      <c r="M158" s="31">
        <f t="shared" si="2"/>
        <v>0</v>
      </c>
    </row>
    <row r="159" spans="1:13" x14ac:dyDescent="0.35">
      <c r="A159">
        <f>Result_notebook_retravaill!A159</f>
        <v>2026</v>
      </c>
      <c r="B159" t="str">
        <f>Result_notebook_retravaill!B159</f>
        <v>Graphite</v>
      </c>
      <c r="C159" t="str">
        <f>Result_notebook_retravaill!C159</f>
        <v>Current Measures</v>
      </c>
      <c r="D159" t="str">
        <f>Result_notebook_retravaill!D159</f>
        <v>Production potential</v>
      </c>
      <c r="E159" t="str">
        <f>Result_notebook_retravaill!E159</f>
        <v>Current shares</v>
      </c>
      <c r="F159" t="str">
        <f>Result_notebook_retravaill!F159</f>
        <v>Expansion Extractive</v>
      </c>
      <c r="G159">
        <f>Result_notebook_retravaill!G159</f>
        <v>466.18816950520568</v>
      </c>
      <c r="H159" s="32">
        <f>IF(Result_notebook_retravaill!I159&gt;Result_notebook_retravaill!G159,Result_notebook_retravaill!I159/Result_notebook_retravaill!N159,Result_notebook_retravaill!H159)</f>
        <v>54951.857718749234</v>
      </c>
      <c r="I159" s="32">
        <f>Result_notebook_retravaill!K159</f>
        <v>0</v>
      </c>
      <c r="J159" s="32">
        <f>MIN(G159,Result_notebook_retravaill!I159)</f>
        <v>466.18816950520568</v>
      </c>
      <c r="K159" s="32">
        <f>IF(Result_notebook_retravaill!I159&gt;Result_notebook_retravaill!G159,0,IF(Result_notebook_retravaill!I159+Result_notebook_retravaill!J159&gt;Result_notebook_retravaill!G159,Result_notebook_retravaill!G159-Result_notebook_retravaill!I159,Result_notebook_retravaill!J159))</f>
        <v>0</v>
      </c>
      <c r="L159" s="32">
        <f>IF(Result_notebook_retravaill!I159&gt;Result_notebook_retravaill!G159,0,IF(Result_notebook_retravaill!I159+Result_notebook_retravaill!J159&gt;Result_notebook_retravaill!G159,0,Result_notebook_retravaill!M159))</f>
        <v>0</v>
      </c>
      <c r="M159" s="31">
        <f t="shared" si="2"/>
        <v>0</v>
      </c>
    </row>
    <row r="160" spans="1:13" x14ac:dyDescent="0.35">
      <c r="A160">
        <f>Result_notebook_retravaill!A160</f>
        <v>2026</v>
      </c>
      <c r="B160" t="str">
        <f>Result_notebook_retravaill!B160</f>
        <v>Graphite</v>
      </c>
      <c r="C160" t="str">
        <f>Result_notebook_retravaill!C160</f>
        <v>Current Measures</v>
      </c>
      <c r="D160" t="str">
        <f>Result_notebook_retravaill!D160</f>
        <v>Production potential</v>
      </c>
      <c r="E160" t="str">
        <f>Result_notebook_retravaill!E160</f>
        <v>Current shares</v>
      </c>
      <c r="F160" t="str">
        <f>Result_notebook_retravaill!F160</f>
        <v>Expansion Extractive+Circularity</v>
      </c>
      <c r="G160">
        <f>Result_notebook_retravaill!G160</f>
        <v>466.18816950520568</v>
      </c>
      <c r="H160" s="32">
        <f>IF(Result_notebook_retravaill!I160&gt;Result_notebook_retravaill!G160,Result_notebook_retravaill!I160/Result_notebook_retravaill!N160,Result_notebook_retravaill!H160)</f>
        <v>54951.857718749234</v>
      </c>
      <c r="I160" s="32">
        <f>Result_notebook_retravaill!K160</f>
        <v>0</v>
      </c>
      <c r="J160" s="32">
        <f>MIN(G160,Result_notebook_retravaill!I160)</f>
        <v>466.18816950520568</v>
      </c>
      <c r="K160" s="32">
        <f>IF(Result_notebook_retravaill!I160&gt;Result_notebook_retravaill!G160,0,IF(Result_notebook_retravaill!I160+Result_notebook_retravaill!J160&gt;Result_notebook_retravaill!G160,Result_notebook_retravaill!G160-Result_notebook_retravaill!I160,Result_notebook_retravaill!J160))</f>
        <v>0</v>
      </c>
      <c r="L160" s="32">
        <f>IF(Result_notebook_retravaill!I160&gt;Result_notebook_retravaill!G160,0,IF(Result_notebook_retravaill!I160+Result_notebook_retravaill!J160&gt;Result_notebook_retravaill!G160,0,Result_notebook_retravaill!M160))</f>
        <v>0</v>
      </c>
      <c r="M160" s="31">
        <f t="shared" si="2"/>
        <v>0</v>
      </c>
    </row>
    <row r="161" spans="1:13" x14ac:dyDescent="0.35">
      <c r="A161">
        <f>Result_notebook_retravaill!A161</f>
        <v>2026</v>
      </c>
      <c r="B161" t="str">
        <f>Result_notebook_retravaill!B161</f>
        <v>Graphite</v>
      </c>
      <c r="C161" t="str">
        <f>Result_notebook_retravaill!C161</f>
        <v>Current Measures</v>
      </c>
      <c r="D161" t="str">
        <f>Result_notebook_retravaill!D161</f>
        <v>Production potential</v>
      </c>
      <c r="E161" t="str">
        <f>Result_notebook_retravaill!E161</f>
        <v>100% CAN</v>
      </c>
      <c r="F161" t="str">
        <f>Result_notebook_retravaill!F161</f>
        <v>Integrated</v>
      </c>
      <c r="G161">
        <f>Result_notebook_retravaill!G161</f>
        <v>466.18816950520568</v>
      </c>
      <c r="H161" s="32">
        <f>IF(Result_notebook_retravaill!I161&gt;Result_notebook_retravaill!G161,Result_notebook_retravaill!I161/Result_notebook_retravaill!N161,Result_notebook_retravaill!H161)</f>
        <v>54951.857718749234</v>
      </c>
      <c r="I161" s="32">
        <f>Result_notebook_retravaill!K161</f>
        <v>0</v>
      </c>
      <c r="J161" s="32">
        <f>MIN(G161,Result_notebook_retravaill!I161)</f>
        <v>466.18816950520568</v>
      </c>
      <c r="K161" s="32">
        <f>IF(Result_notebook_retravaill!I161&gt;Result_notebook_retravaill!G161,0,IF(Result_notebook_retravaill!I161+Result_notebook_retravaill!J161&gt;Result_notebook_retravaill!G161,Result_notebook_retravaill!G161-Result_notebook_retravaill!I161,Result_notebook_retravaill!J161))</f>
        <v>0</v>
      </c>
      <c r="L161" s="32">
        <f>IF(Result_notebook_retravaill!I161&gt;Result_notebook_retravaill!G161,0,IF(Result_notebook_retravaill!I161+Result_notebook_retravaill!J161&gt;Result_notebook_retravaill!G161,0,Result_notebook_retravaill!M161))</f>
        <v>0</v>
      </c>
      <c r="M161" s="31">
        <f t="shared" si="2"/>
        <v>0</v>
      </c>
    </row>
    <row r="162" spans="1:13" x14ac:dyDescent="0.35">
      <c r="A162">
        <f>Result_notebook_retravaill!A162</f>
        <v>2026</v>
      </c>
      <c r="B162" t="str">
        <f>Result_notebook_retravaill!B162</f>
        <v>Graphite</v>
      </c>
      <c r="C162" t="str">
        <f>Result_notebook_retravaill!C162</f>
        <v>Global Net-zero</v>
      </c>
      <c r="D162" t="str">
        <f>Result_notebook_retravaill!D162</f>
        <v>Existing production</v>
      </c>
      <c r="E162" t="str">
        <f>Result_notebook_retravaill!E162</f>
        <v>Current shares</v>
      </c>
      <c r="F162" t="str">
        <f>Result_notebook_retravaill!F162</f>
        <v>NIMBY</v>
      </c>
      <c r="G162">
        <f>Result_notebook_retravaill!G162</f>
        <v>587.70528713969418</v>
      </c>
      <c r="H162" s="32">
        <f>IF(Result_notebook_retravaill!I162&gt;Result_notebook_retravaill!G162,Result_notebook_retravaill!I162/Result_notebook_retravaill!N162,Result_notebook_retravaill!H162)</f>
        <v>0</v>
      </c>
      <c r="I162" s="32">
        <f>Result_notebook_retravaill!K162</f>
        <v>587.70528713969418</v>
      </c>
      <c r="J162" s="32">
        <f>MIN(G162,Result_notebook_retravaill!I162)</f>
        <v>0</v>
      </c>
      <c r="K162" s="32">
        <f>IF(Result_notebook_retravaill!I162&gt;Result_notebook_retravaill!G162,0,IF(Result_notebook_retravaill!I162+Result_notebook_retravaill!J162&gt;Result_notebook_retravaill!G162,Result_notebook_retravaill!G162-Result_notebook_retravaill!I162,Result_notebook_retravaill!J162))</f>
        <v>0</v>
      </c>
      <c r="L162" s="32">
        <f>IF(Result_notebook_retravaill!I162&gt;Result_notebook_retravaill!G162,0,IF(Result_notebook_retravaill!I162+Result_notebook_retravaill!J162&gt;Result_notebook_retravaill!G162,0,Result_notebook_retravaill!M162))</f>
        <v>587.70528713969418</v>
      </c>
      <c r="M162" s="31">
        <f t="shared" si="2"/>
        <v>0</v>
      </c>
    </row>
    <row r="163" spans="1:13" x14ac:dyDescent="0.35">
      <c r="A163">
        <f>Result_notebook_retravaill!A163</f>
        <v>2026</v>
      </c>
      <c r="B163" t="str">
        <f>Result_notebook_retravaill!B163</f>
        <v>Graphite</v>
      </c>
      <c r="C163" t="str">
        <f>Result_notebook_retravaill!C163</f>
        <v>Global Net-zero</v>
      </c>
      <c r="D163" t="str">
        <f>Result_notebook_retravaill!D163</f>
        <v>Existing production</v>
      </c>
      <c r="E163" t="str">
        <f>Result_notebook_retravaill!E163</f>
        <v>Current shares</v>
      </c>
      <c r="F163" t="str">
        <f>Result_notebook_retravaill!F163</f>
        <v>Status Quo</v>
      </c>
      <c r="G163">
        <f>Result_notebook_retravaill!G163</f>
        <v>587.70528713969418</v>
      </c>
      <c r="H163" s="32">
        <f>IF(Result_notebook_retravaill!I163&gt;Result_notebook_retravaill!G163,Result_notebook_retravaill!I163/Result_notebook_retravaill!N163,Result_notebook_retravaill!H163)</f>
        <v>0</v>
      </c>
      <c r="I163" s="32">
        <f>Result_notebook_retravaill!K163</f>
        <v>587.70528713969418</v>
      </c>
      <c r="J163" s="32">
        <f>MIN(G163,Result_notebook_retravaill!I163)</f>
        <v>0</v>
      </c>
      <c r="K163" s="32">
        <f>IF(Result_notebook_retravaill!I163&gt;Result_notebook_retravaill!G163,0,IF(Result_notebook_retravaill!I163+Result_notebook_retravaill!J163&gt;Result_notebook_retravaill!G163,Result_notebook_retravaill!G163-Result_notebook_retravaill!I163,Result_notebook_retravaill!J163))</f>
        <v>0</v>
      </c>
      <c r="L163" s="32">
        <f>IF(Result_notebook_retravaill!I163&gt;Result_notebook_retravaill!G163,0,IF(Result_notebook_retravaill!I163+Result_notebook_retravaill!J163&gt;Result_notebook_retravaill!G163,0,Result_notebook_retravaill!M163))</f>
        <v>587.70528713969418</v>
      </c>
      <c r="M163" s="31">
        <f t="shared" si="2"/>
        <v>0</v>
      </c>
    </row>
    <row r="164" spans="1:13" x14ac:dyDescent="0.35">
      <c r="A164">
        <f>Result_notebook_retravaill!A164</f>
        <v>2026</v>
      </c>
      <c r="B164" t="str">
        <f>Result_notebook_retravaill!B164</f>
        <v>Graphite</v>
      </c>
      <c r="C164" t="str">
        <f>Result_notebook_retravaill!C164</f>
        <v>Global Net-zero</v>
      </c>
      <c r="D164" t="str">
        <f>Result_notebook_retravaill!D164</f>
        <v>Production potential</v>
      </c>
      <c r="E164" t="str">
        <f>Result_notebook_retravaill!E164</f>
        <v>Current shares</v>
      </c>
      <c r="F164" t="str">
        <f>Result_notebook_retravaill!F164</f>
        <v>Expansion Extractive</v>
      </c>
      <c r="G164">
        <f>Result_notebook_retravaill!G164</f>
        <v>587.70528713969418</v>
      </c>
      <c r="H164" s="32">
        <f>IF(Result_notebook_retravaill!I164&gt;Result_notebook_retravaill!G164,Result_notebook_retravaill!I164/Result_notebook_retravaill!N164,Result_notebook_retravaill!H164)</f>
        <v>54951.857718749234</v>
      </c>
      <c r="I164" s="32">
        <f>Result_notebook_retravaill!K164</f>
        <v>0</v>
      </c>
      <c r="J164" s="32">
        <f>MIN(G164,Result_notebook_retravaill!I164)</f>
        <v>587.70528713969418</v>
      </c>
      <c r="K164" s="32">
        <f>IF(Result_notebook_retravaill!I164&gt;Result_notebook_retravaill!G164,0,IF(Result_notebook_retravaill!I164+Result_notebook_retravaill!J164&gt;Result_notebook_retravaill!G164,Result_notebook_retravaill!G164-Result_notebook_retravaill!I164,Result_notebook_retravaill!J164))</f>
        <v>0</v>
      </c>
      <c r="L164" s="32">
        <f>IF(Result_notebook_retravaill!I164&gt;Result_notebook_retravaill!G164,0,IF(Result_notebook_retravaill!I164+Result_notebook_retravaill!J164&gt;Result_notebook_retravaill!G164,0,Result_notebook_retravaill!M164))</f>
        <v>0</v>
      </c>
      <c r="M164" s="31">
        <f t="shared" si="2"/>
        <v>0</v>
      </c>
    </row>
    <row r="165" spans="1:13" x14ac:dyDescent="0.35">
      <c r="A165">
        <f>Result_notebook_retravaill!A165</f>
        <v>2026</v>
      </c>
      <c r="B165" t="str">
        <f>Result_notebook_retravaill!B165</f>
        <v>Graphite</v>
      </c>
      <c r="C165" t="str">
        <f>Result_notebook_retravaill!C165</f>
        <v>Global Net-zero</v>
      </c>
      <c r="D165" t="str">
        <f>Result_notebook_retravaill!D165</f>
        <v>Production potential</v>
      </c>
      <c r="E165" t="str">
        <f>Result_notebook_retravaill!E165</f>
        <v>Current shares</v>
      </c>
      <c r="F165" t="str">
        <f>Result_notebook_retravaill!F165</f>
        <v>Expansion Extractive+Circularity</v>
      </c>
      <c r="G165">
        <f>Result_notebook_retravaill!G165</f>
        <v>587.70528713969418</v>
      </c>
      <c r="H165" s="32">
        <f>IF(Result_notebook_retravaill!I165&gt;Result_notebook_retravaill!G165,Result_notebook_retravaill!I165/Result_notebook_retravaill!N165,Result_notebook_retravaill!H165)</f>
        <v>54951.857718749234</v>
      </c>
      <c r="I165" s="32">
        <f>Result_notebook_retravaill!K165</f>
        <v>0</v>
      </c>
      <c r="J165" s="32">
        <f>MIN(G165,Result_notebook_retravaill!I165)</f>
        <v>587.70528713969418</v>
      </c>
      <c r="K165" s="32">
        <f>IF(Result_notebook_retravaill!I165&gt;Result_notebook_retravaill!G165,0,IF(Result_notebook_retravaill!I165+Result_notebook_retravaill!J165&gt;Result_notebook_retravaill!G165,Result_notebook_retravaill!G165-Result_notebook_retravaill!I165,Result_notebook_retravaill!J165))</f>
        <v>0</v>
      </c>
      <c r="L165" s="32">
        <f>IF(Result_notebook_retravaill!I165&gt;Result_notebook_retravaill!G165,0,IF(Result_notebook_retravaill!I165+Result_notebook_retravaill!J165&gt;Result_notebook_retravaill!G165,0,Result_notebook_retravaill!M165))</f>
        <v>0</v>
      </c>
      <c r="M165" s="31">
        <f t="shared" si="2"/>
        <v>0</v>
      </c>
    </row>
    <row r="166" spans="1:13" x14ac:dyDescent="0.35">
      <c r="A166">
        <f>Result_notebook_retravaill!A166</f>
        <v>2026</v>
      </c>
      <c r="B166" t="str">
        <f>Result_notebook_retravaill!B166</f>
        <v>Graphite</v>
      </c>
      <c r="C166" t="str">
        <f>Result_notebook_retravaill!C166</f>
        <v>Global Net-zero</v>
      </c>
      <c r="D166" t="str">
        <f>Result_notebook_retravaill!D166</f>
        <v>Production potential</v>
      </c>
      <c r="E166" t="str">
        <f>Result_notebook_retravaill!E166</f>
        <v>100% CAN</v>
      </c>
      <c r="F166" t="str">
        <f>Result_notebook_retravaill!F166</f>
        <v>Integrated</v>
      </c>
      <c r="G166">
        <f>Result_notebook_retravaill!G166</f>
        <v>587.70528713969418</v>
      </c>
      <c r="H166" s="32">
        <f>IF(Result_notebook_retravaill!I166&gt;Result_notebook_retravaill!G166,Result_notebook_retravaill!I166/Result_notebook_retravaill!N166,Result_notebook_retravaill!H166)</f>
        <v>54951.857718749234</v>
      </c>
      <c r="I166" s="32">
        <f>Result_notebook_retravaill!K166</f>
        <v>0</v>
      </c>
      <c r="J166" s="32">
        <f>MIN(G166,Result_notebook_retravaill!I166)</f>
        <v>587.70528713969418</v>
      </c>
      <c r="K166" s="32">
        <f>IF(Result_notebook_retravaill!I166&gt;Result_notebook_retravaill!G166,0,IF(Result_notebook_retravaill!I166+Result_notebook_retravaill!J166&gt;Result_notebook_retravaill!G166,Result_notebook_retravaill!G166-Result_notebook_retravaill!I166,Result_notebook_retravaill!J166))</f>
        <v>0</v>
      </c>
      <c r="L166" s="32">
        <f>IF(Result_notebook_retravaill!I166&gt;Result_notebook_retravaill!G166,0,IF(Result_notebook_retravaill!I166+Result_notebook_retravaill!J166&gt;Result_notebook_retravaill!G166,0,Result_notebook_retravaill!M166))</f>
        <v>0</v>
      </c>
      <c r="M166" s="31">
        <f t="shared" si="2"/>
        <v>0</v>
      </c>
    </row>
    <row r="167" spans="1:13" x14ac:dyDescent="0.35">
      <c r="A167">
        <f>Result_notebook_retravaill!A167</f>
        <v>2026</v>
      </c>
      <c r="B167" t="str">
        <f>Result_notebook_retravaill!B167</f>
        <v>Lithium</v>
      </c>
      <c r="C167" t="str">
        <f>Result_notebook_retravaill!C167</f>
        <v>Canada Net-zero</v>
      </c>
      <c r="D167" t="str">
        <f>Result_notebook_retravaill!D167</f>
        <v>Existing production</v>
      </c>
      <c r="E167" t="str">
        <f>Result_notebook_retravaill!E167</f>
        <v>Current shares</v>
      </c>
      <c r="F167" t="str">
        <f>Result_notebook_retravaill!F167</f>
        <v>NIMBY</v>
      </c>
      <c r="G167">
        <f>Result_notebook_retravaill!G167</f>
        <v>9264.2962116299586</v>
      </c>
      <c r="H167" s="32">
        <f>IF(Result_notebook_retravaill!I167&gt;Result_notebook_retravaill!G167,Result_notebook_retravaill!I167/Result_notebook_retravaill!N167,Result_notebook_retravaill!H167)</f>
        <v>0</v>
      </c>
      <c r="I167" s="32">
        <f>Result_notebook_retravaill!K167</f>
        <v>13234.708873757079</v>
      </c>
      <c r="J167" s="32">
        <f>MIN(G167,Result_notebook_retravaill!I167)</f>
        <v>0</v>
      </c>
      <c r="K167" s="32">
        <f>IF(Result_notebook_retravaill!I167&gt;Result_notebook_retravaill!G167,0,IF(Result_notebook_retravaill!I167+Result_notebook_retravaill!J167&gt;Result_notebook_retravaill!G167,Result_notebook_retravaill!G167-Result_notebook_retravaill!I167,Result_notebook_retravaill!J167))</f>
        <v>0</v>
      </c>
      <c r="L167" s="32">
        <f>IF(Result_notebook_retravaill!I167&gt;Result_notebook_retravaill!G167,0,IF(Result_notebook_retravaill!I167+Result_notebook_retravaill!J167&gt;Result_notebook_retravaill!G167,0,Result_notebook_retravaill!M167))</f>
        <v>9264.2962116299586</v>
      </c>
      <c r="M167" s="31">
        <f t="shared" si="2"/>
        <v>0</v>
      </c>
    </row>
    <row r="168" spans="1:13" x14ac:dyDescent="0.35">
      <c r="A168">
        <f>Result_notebook_retravaill!A168</f>
        <v>2026</v>
      </c>
      <c r="B168" t="str">
        <f>Result_notebook_retravaill!B168</f>
        <v>Lithium</v>
      </c>
      <c r="C168" t="str">
        <f>Result_notebook_retravaill!C168</f>
        <v>Canada Net-zero</v>
      </c>
      <c r="D168" t="str">
        <f>Result_notebook_retravaill!D168</f>
        <v>Existing production</v>
      </c>
      <c r="E168" t="str">
        <f>Result_notebook_retravaill!E168</f>
        <v>Current shares</v>
      </c>
      <c r="F168" t="str">
        <f>Result_notebook_retravaill!F168</f>
        <v>Status Quo</v>
      </c>
      <c r="G168">
        <f>Result_notebook_retravaill!G168</f>
        <v>9264.2962116299586</v>
      </c>
      <c r="H168" s="32">
        <f>IF(Result_notebook_retravaill!I168&gt;Result_notebook_retravaill!G168,Result_notebook_retravaill!I168/Result_notebook_retravaill!N168,Result_notebook_retravaill!H168)</f>
        <v>35483.419778347088</v>
      </c>
      <c r="I168" s="32">
        <f>Result_notebook_retravaill!K168</f>
        <v>0</v>
      </c>
      <c r="J168" s="32">
        <f>MIN(G168,Result_notebook_retravaill!I168)</f>
        <v>9264.2962116299586</v>
      </c>
      <c r="K168" s="32">
        <f>IF(Result_notebook_retravaill!I168&gt;Result_notebook_retravaill!G168,0,IF(Result_notebook_retravaill!I168+Result_notebook_retravaill!J168&gt;Result_notebook_retravaill!G168,Result_notebook_retravaill!G168-Result_notebook_retravaill!I168,Result_notebook_retravaill!J168))</f>
        <v>0</v>
      </c>
      <c r="L168" s="32">
        <f>IF(Result_notebook_retravaill!I168&gt;Result_notebook_retravaill!G168,0,IF(Result_notebook_retravaill!I168+Result_notebook_retravaill!J168&gt;Result_notebook_retravaill!G168,0,Result_notebook_retravaill!M168))</f>
        <v>0</v>
      </c>
      <c r="M168" s="31">
        <f t="shared" si="2"/>
        <v>0</v>
      </c>
    </row>
    <row r="169" spans="1:13" x14ac:dyDescent="0.35">
      <c r="A169">
        <f>Result_notebook_retravaill!A169</f>
        <v>2026</v>
      </c>
      <c r="B169" t="str">
        <f>Result_notebook_retravaill!B169</f>
        <v>Lithium</v>
      </c>
      <c r="C169" t="str">
        <f>Result_notebook_retravaill!C169</f>
        <v>Canada Net-zero</v>
      </c>
      <c r="D169" t="str">
        <f>Result_notebook_retravaill!D169</f>
        <v>Production potential</v>
      </c>
      <c r="E169" t="str">
        <f>Result_notebook_retravaill!E169</f>
        <v>Current shares</v>
      </c>
      <c r="F169" t="str">
        <f>Result_notebook_retravaill!F169</f>
        <v>Expansion Extractive</v>
      </c>
      <c r="G169">
        <f>Result_notebook_retravaill!G169</f>
        <v>9264.2962116299586</v>
      </c>
      <c r="H169" s="32">
        <f>IF(Result_notebook_retravaill!I169&gt;Result_notebook_retravaill!G169,Result_notebook_retravaill!I169/Result_notebook_retravaill!N169,Result_notebook_retravaill!H169)</f>
        <v>128131.46421449262</v>
      </c>
      <c r="I169" s="32">
        <f>Result_notebook_retravaill!K169</f>
        <v>0</v>
      </c>
      <c r="J169" s="32">
        <f>MIN(G169,Result_notebook_retravaill!I169)</f>
        <v>9264.2962116299586</v>
      </c>
      <c r="K169" s="32">
        <f>IF(Result_notebook_retravaill!I169&gt;Result_notebook_retravaill!G169,0,IF(Result_notebook_retravaill!I169+Result_notebook_retravaill!J169&gt;Result_notebook_retravaill!G169,Result_notebook_retravaill!G169-Result_notebook_retravaill!I169,Result_notebook_retravaill!J169))</f>
        <v>0</v>
      </c>
      <c r="L169" s="32">
        <f>IF(Result_notebook_retravaill!I169&gt;Result_notebook_retravaill!G169,0,IF(Result_notebook_retravaill!I169+Result_notebook_retravaill!J169&gt;Result_notebook_retravaill!G169,0,Result_notebook_retravaill!M169))</f>
        <v>0</v>
      </c>
      <c r="M169" s="31">
        <f t="shared" si="2"/>
        <v>0</v>
      </c>
    </row>
    <row r="170" spans="1:13" x14ac:dyDescent="0.35">
      <c r="A170">
        <f>Result_notebook_retravaill!A170</f>
        <v>2026</v>
      </c>
      <c r="B170" t="str">
        <f>Result_notebook_retravaill!B170</f>
        <v>Lithium</v>
      </c>
      <c r="C170" t="str">
        <f>Result_notebook_retravaill!C170</f>
        <v>Canada Net-zero</v>
      </c>
      <c r="D170" t="str">
        <f>Result_notebook_retravaill!D170</f>
        <v>Production potential</v>
      </c>
      <c r="E170" t="str">
        <f>Result_notebook_retravaill!E170</f>
        <v>Current shares</v>
      </c>
      <c r="F170" t="str">
        <f>Result_notebook_retravaill!F170</f>
        <v>Expansion Extractive+Circularity</v>
      </c>
      <c r="G170">
        <f>Result_notebook_retravaill!G170</f>
        <v>9264.2962116299586</v>
      </c>
      <c r="H170" s="32">
        <f>IF(Result_notebook_retravaill!I170&gt;Result_notebook_retravaill!G170,Result_notebook_retravaill!I170/Result_notebook_retravaill!N170,Result_notebook_retravaill!H170)</f>
        <v>128131.46421449262</v>
      </c>
      <c r="I170" s="32">
        <f>Result_notebook_retravaill!K170</f>
        <v>0</v>
      </c>
      <c r="J170" s="32">
        <f>MIN(G170,Result_notebook_retravaill!I170)</f>
        <v>9264.2962116299586</v>
      </c>
      <c r="K170" s="32">
        <f>IF(Result_notebook_retravaill!I170&gt;Result_notebook_retravaill!G170,0,IF(Result_notebook_retravaill!I170+Result_notebook_retravaill!J170&gt;Result_notebook_retravaill!G170,Result_notebook_retravaill!G170-Result_notebook_retravaill!I170,Result_notebook_retravaill!J170))</f>
        <v>0</v>
      </c>
      <c r="L170" s="32">
        <f>IF(Result_notebook_retravaill!I170&gt;Result_notebook_retravaill!G170,0,IF(Result_notebook_retravaill!I170+Result_notebook_retravaill!J170&gt;Result_notebook_retravaill!G170,0,Result_notebook_retravaill!M170))</f>
        <v>0</v>
      </c>
      <c r="M170" s="31">
        <f t="shared" si="2"/>
        <v>0</v>
      </c>
    </row>
    <row r="171" spans="1:13" x14ac:dyDescent="0.35">
      <c r="A171">
        <f>Result_notebook_retravaill!A171</f>
        <v>2026</v>
      </c>
      <c r="B171" t="str">
        <f>Result_notebook_retravaill!B171</f>
        <v>Lithium</v>
      </c>
      <c r="C171" t="str">
        <f>Result_notebook_retravaill!C171</f>
        <v>Canada Net-zero</v>
      </c>
      <c r="D171" t="str">
        <f>Result_notebook_retravaill!D171</f>
        <v>Production potential</v>
      </c>
      <c r="E171" t="str">
        <f>Result_notebook_retravaill!E171</f>
        <v>100% CAN</v>
      </c>
      <c r="F171" t="str">
        <f>Result_notebook_retravaill!F171</f>
        <v>Integrated</v>
      </c>
      <c r="G171">
        <f>Result_notebook_retravaill!G171</f>
        <v>9264.2962116299586</v>
      </c>
      <c r="H171" s="32">
        <f>IF(Result_notebook_retravaill!I171&gt;Result_notebook_retravaill!G171,Result_notebook_retravaill!I171/Result_notebook_retravaill!N171,Result_notebook_retravaill!H171)</f>
        <v>128131.46421449262</v>
      </c>
      <c r="I171" s="32">
        <f>Result_notebook_retravaill!K171</f>
        <v>0</v>
      </c>
      <c r="J171" s="32">
        <f>MIN(G171,Result_notebook_retravaill!I171)</f>
        <v>9264.2962116299586</v>
      </c>
      <c r="K171" s="32">
        <f>IF(Result_notebook_retravaill!I171&gt;Result_notebook_retravaill!G171,0,IF(Result_notebook_retravaill!I171+Result_notebook_retravaill!J171&gt;Result_notebook_retravaill!G171,Result_notebook_retravaill!G171-Result_notebook_retravaill!I171,Result_notebook_retravaill!J171))</f>
        <v>0</v>
      </c>
      <c r="L171" s="32">
        <f>IF(Result_notebook_retravaill!I171&gt;Result_notebook_retravaill!G171,0,IF(Result_notebook_retravaill!I171+Result_notebook_retravaill!J171&gt;Result_notebook_retravaill!G171,0,Result_notebook_retravaill!M171))</f>
        <v>0</v>
      </c>
      <c r="M171" s="31">
        <f t="shared" si="2"/>
        <v>0</v>
      </c>
    </row>
    <row r="172" spans="1:13" x14ac:dyDescent="0.35">
      <c r="A172">
        <f>Result_notebook_retravaill!A172</f>
        <v>2026</v>
      </c>
      <c r="B172" t="str">
        <f>Result_notebook_retravaill!B172</f>
        <v>Lithium</v>
      </c>
      <c r="C172" t="str">
        <f>Result_notebook_retravaill!C172</f>
        <v>Current Measures</v>
      </c>
      <c r="D172" t="str">
        <f>Result_notebook_retravaill!D172</f>
        <v>Existing production</v>
      </c>
      <c r="E172" t="str">
        <f>Result_notebook_retravaill!E172</f>
        <v>Current shares</v>
      </c>
      <c r="F172" t="str">
        <f>Result_notebook_retravaill!F172</f>
        <v>NIMBY</v>
      </c>
      <c r="G172">
        <f>Result_notebook_retravaill!G172</f>
        <v>7256.2295972836719</v>
      </c>
      <c r="H172" s="32">
        <f>IF(Result_notebook_retravaill!I172&gt;Result_notebook_retravaill!G172,Result_notebook_retravaill!I172/Result_notebook_retravaill!N172,Result_notebook_retravaill!H172)</f>
        <v>0</v>
      </c>
      <c r="I172" s="32">
        <f>Result_notebook_retravaill!K172</f>
        <v>10366.042281833819</v>
      </c>
      <c r="J172" s="32">
        <f>MIN(G172,Result_notebook_retravaill!I172)</f>
        <v>0</v>
      </c>
      <c r="K172" s="32">
        <f>IF(Result_notebook_retravaill!I172&gt;Result_notebook_retravaill!G172,0,IF(Result_notebook_retravaill!I172+Result_notebook_retravaill!J172&gt;Result_notebook_retravaill!G172,Result_notebook_retravaill!G172-Result_notebook_retravaill!I172,Result_notebook_retravaill!J172))</f>
        <v>0</v>
      </c>
      <c r="L172" s="32">
        <f>IF(Result_notebook_retravaill!I172&gt;Result_notebook_retravaill!G172,0,IF(Result_notebook_retravaill!I172+Result_notebook_retravaill!J172&gt;Result_notebook_retravaill!G172,0,Result_notebook_retravaill!M172))</f>
        <v>7256.2295972836719</v>
      </c>
      <c r="M172" s="31">
        <f t="shared" si="2"/>
        <v>0</v>
      </c>
    </row>
    <row r="173" spans="1:13" x14ac:dyDescent="0.35">
      <c r="A173">
        <f>Result_notebook_retravaill!A173</f>
        <v>2026</v>
      </c>
      <c r="B173" t="str">
        <f>Result_notebook_retravaill!B173</f>
        <v>Lithium</v>
      </c>
      <c r="C173" t="str">
        <f>Result_notebook_retravaill!C173</f>
        <v>Current Measures</v>
      </c>
      <c r="D173" t="str">
        <f>Result_notebook_retravaill!D173</f>
        <v>Existing production</v>
      </c>
      <c r="E173" t="str">
        <f>Result_notebook_retravaill!E173</f>
        <v>Current shares</v>
      </c>
      <c r="F173" t="str">
        <f>Result_notebook_retravaill!F173</f>
        <v>Status Quo</v>
      </c>
      <c r="G173">
        <f>Result_notebook_retravaill!G173</f>
        <v>7256.2295972836719</v>
      </c>
      <c r="H173" s="32">
        <f>IF(Result_notebook_retravaill!I173&gt;Result_notebook_retravaill!G173,Result_notebook_retravaill!I173/Result_notebook_retravaill!N173,Result_notebook_retravaill!H173)</f>
        <v>35483.419778347088</v>
      </c>
      <c r="I173" s="32">
        <f>Result_notebook_retravaill!K173</f>
        <v>0</v>
      </c>
      <c r="J173" s="32">
        <f>MIN(G173,Result_notebook_retravaill!I173)</f>
        <v>7256.2295972836719</v>
      </c>
      <c r="K173" s="32">
        <f>IF(Result_notebook_retravaill!I173&gt;Result_notebook_retravaill!G173,0,IF(Result_notebook_retravaill!I173+Result_notebook_retravaill!J173&gt;Result_notebook_retravaill!G173,Result_notebook_retravaill!G173-Result_notebook_retravaill!I173,Result_notebook_retravaill!J173))</f>
        <v>0</v>
      </c>
      <c r="L173" s="32">
        <f>IF(Result_notebook_retravaill!I173&gt;Result_notebook_retravaill!G173,0,IF(Result_notebook_retravaill!I173+Result_notebook_retravaill!J173&gt;Result_notebook_retravaill!G173,0,Result_notebook_retravaill!M173))</f>
        <v>0</v>
      </c>
      <c r="M173" s="31">
        <f t="shared" si="2"/>
        <v>0</v>
      </c>
    </row>
    <row r="174" spans="1:13" x14ac:dyDescent="0.35">
      <c r="A174">
        <f>Result_notebook_retravaill!A174</f>
        <v>2026</v>
      </c>
      <c r="B174" t="str">
        <f>Result_notebook_retravaill!B174</f>
        <v>Lithium</v>
      </c>
      <c r="C174" t="str">
        <f>Result_notebook_retravaill!C174</f>
        <v>Current Measures</v>
      </c>
      <c r="D174" t="str">
        <f>Result_notebook_retravaill!D174</f>
        <v>Production potential</v>
      </c>
      <c r="E174" t="str">
        <f>Result_notebook_retravaill!E174</f>
        <v>Current shares</v>
      </c>
      <c r="F174" t="str">
        <f>Result_notebook_retravaill!F174</f>
        <v>Expansion Extractive</v>
      </c>
      <c r="G174">
        <f>Result_notebook_retravaill!G174</f>
        <v>7256.2295972836719</v>
      </c>
      <c r="H174" s="32">
        <f>IF(Result_notebook_retravaill!I174&gt;Result_notebook_retravaill!G174,Result_notebook_retravaill!I174/Result_notebook_retravaill!N174,Result_notebook_retravaill!H174)</f>
        <v>128131.46421449262</v>
      </c>
      <c r="I174" s="32">
        <f>Result_notebook_retravaill!K174</f>
        <v>0</v>
      </c>
      <c r="J174" s="32">
        <f>MIN(G174,Result_notebook_retravaill!I174)</f>
        <v>7256.2295972836719</v>
      </c>
      <c r="K174" s="32">
        <f>IF(Result_notebook_retravaill!I174&gt;Result_notebook_retravaill!G174,0,IF(Result_notebook_retravaill!I174+Result_notebook_retravaill!J174&gt;Result_notebook_retravaill!G174,Result_notebook_retravaill!G174-Result_notebook_retravaill!I174,Result_notebook_retravaill!J174))</f>
        <v>0</v>
      </c>
      <c r="L174" s="32">
        <f>IF(Result_notebook_retravaill!I174&gt;Result_notebook_retravaill!G174,0,IF(Result_notebook_retravaill!I174+Result_notebook_retravaill!J174&gt;Result_notebook_retravaill!G174,0,Result_notebook_retravaill!M174))</f>
        <v>0</v>
      </c>
      <c r="M174" s="31">
        <f t="shared" si="2"/>
        <v>0</v>
      </c>
    </row>
    <row r="175" spans="1:13" x14ac:dyDescent="0.35">
      <c r="A175">
        <f>Result_notebook_retravaill!A175</f>
        <v>2026</v>
      </c>
      <c r="B175" t="str">
        <f>Result_notebook_retravaill!B175</f>
        <v>Lithium</v>
      </c>
      <c r="C175" t="str">
        <f>Result_notebook_retravaill!C175</f>
        <v>Current Measures</v>
      </c>
      <c r="D175" t="str">
        <f>Result_notebook_retravaill!D175</f>
        <v>Production potential</v>
      </c>
      <c r="E175" t="str">
        <f>Result_notebook_retravaill!E175</f>
        <v>Current shares</v>
      </c>
      <c r="F175" t="str">
        <f>Result_notebook_retravaill!F175</f>
        <v>Expansion Extractive+Circularity</v>
      </c>
      <c r="G175">
        <f>Result_notebook_retravaill!G175</f>
        <v>7256.2295972836719</v>
      </c>
      <c r="H175" s="32">
        <f>IF(Result_notebook_retravaill!I175&gt;Result_notebook_retravaill!G175,Result_notebook_retravaill!I175/Result_notebook_retravaill!N175,Result_notebook_retravaill!H175)</f>
        <v>128131.46421449262</v>
      </c>
      <c r="I175" s="32">
        <f>Result_notebook_retravaill!K175</f>
        <v>0</v>
      </c>
      <c r="J175" s="32">
        <f>MIN(G175,Result_notebook_retravaill!I175)</f>
        <v>7256.2295972836719</v>
      </c>
      <c r="K175" s="32">
        <f>IF(Result_notebook_retravaill!I175&gt;Result_notebook_retravaill!G175,0,IF(Result_notebook_retravaill!I175+Result_notebook_retravaill!J175&gt;Result_notebook_retravaill!G175,Result_notebook_retravaill!G175-Result_notebook_retravaill!I175,Result_notebook_retravaill!J175))</f>
        <v>0</v>
      </c>
      <c r="L175" s="32">
        <f>IF(Result_notebook_retravaill!I175&gt;Result_notebook_retravaill!G175,0,IF(Result_notebook_retravaill!I175+Result_notebook_retravaill!J175&gt;Result_notebook_retravaill!G175,0,Result_notebook_retravaill!M175))</f>
        <v>0</v>
      </c>
      <c r="M175" s="31">
        <f t="shared" si="2"/>
        <v>0</v>
      </c>
    </row>
    <row r="176" spans="1:13" x14ac:dyDescent="0.35">
      <c r="A176">
        <f>Result_notebook_retravaill!A176</f>
        <v>2026</v>
      </c>
      <c r="B176" t="str">
        <f>Result_notebook_retravaill!B176</f>
        <v>Lithium</v>
      </c>
      <c r="C176" t="str">
        <f>Result_notebook_retravaill!C176</f>
        <v>Current Measures</v>
      </c>
      <c r="D176" t="str">
        <f>Result_notebook_retravaill!D176</f>
        <v>Production potential</v>
      </c>
      <c r="E176" t="str">
        <f>Result_notebook_retravaill!E176</f>
        <v>100% CAN</v>
      </c>
      <c r="F176" t="str">
        <f>Result_notebook_retravaill!F176</f>
        <v>Integrated</v>
      </c>
      <c r="G176">
        <f>Result_notebook_retravaill!G176</f>
        <v>7256.2295972836719</v>
      </c>
      <c r="H176" s="32">
        <f>IF(Result_notebook_retravaill!I176&gt;Result_notebook_retravaill!G176,Result_notebook_retravaill!I176/Result_notebook_retravaill!N176,Result_notebook_retravaill!H176)</f>
        <v>128131.46421449262</v>
      </c>
      <c r="I176" s="32">
        <f>Result_notebook_retravaill!K176</f>
        <v>0</v>
      </c>
      <c r="J176" s="32">
        <f>MIN(G176,Result_notebook_retravaill!I176)</f>
        <v>7256.2295972836719</v>
      </c>
      <c r="K176" s="32">
        <f>IF(Result_notebook_retravaill!I176&gt;Result_notebook_retravaill!G176,0,IF(Result_notebook_retravaill!I176+Result_notebook_retravaill!J176&gt;Result_notebook_retravaill!G176,Result_notebook_retravaill!G176-Result_notebook_retravaill!I176,Result_notebook_retravaill!J176))</f>
        <v>0</v>
      </c>
      <c r="L176" s="32">
        <f>IF(Result_notebook_retravaill!I176&gt;Result_notebook_retravaill!G176,0,IF(Result_notebook_retravaill!I176+Result_notebook_retravaill!J176&gt;Result_notebook_retravaill!G176,0,Result_notebook_retravaill!M176))</f>
        <v>0</v>
      </c>
      <c r="M176" s="31">
        <f t="shared" si="2"/>
        <v>0</v>
      </c>
    </row>
    <row r="177" spans="1:13" x14ac:dyDescent="0.35">
      <c r="A177">
        <f>Result_notebook_retravaill!A177</f>
        <v>2026</v>
      </c>
      <c r="B177" t="str">
        <f>Result_notebook_retravaill!B177</f>
        <v>Lithium</v>
      </c>
      <c r="C177" t="str">
        <f>Result_notebook_retravaill!C177</f>
        <v>Global Net-zero</v>
      </c>
      <c r="D177" t="str">
        <f>Result_notebook_retravaill!D177</f>
        <v>Existing production</v>
      </c>
      <c r="E177" t="str">
        <f>Result_notebook_retravaill!E177</f>
        <v>Current shares</v>
      </c>
      <c r="F177" t="str">
        <f>Result_notebook_retravaill!F177</f>
        <v>NIMBY</v>
      </c>
      <c r="G177">
        <f>Result_notebook_retravaill!G177</f>
        <v>9147.6463324870547</v>
      </c>
      <c r="H177" s="32">
        <f>IF(Result_notebook_retravaill!I177&gt;Result_notebook_retravaill!G177,Result_notebook_retravaill!I177/Result_notebook_retravaill!N177,Result_notebook_retravaill!H177)</f>
        <v>0</v>
      </c>
      <c r="I177" s="32">
        <f>Result_notebook_retravaill!K177</f>
        <v>13068.06618926722</v>
      </c>
      <c r="J177" s="32">
        <f>MIN(G177,Result_notebook_retravaill!I177)</f>
        <v>0</v>
      </c>
      <c r="K177" s="32">
        <f>IF(Result_notebook_retravaill!I177&gt;Result_notebook_retravaill!G177,0,IF(Result_notebook_retravaill!I177+Result_notebook_retravaill!J177&gt;Result_notebook_retravaill!G177,Result_notebook_retravaill!G177-Result_notebook_retravaill!I177,Result_notebook_retravaill!J177))</f>
        <v>0</v>
      </c>
      <c r="L177" s="32">
        <f>IF(Result_notebook_retravaill!I177&gt;Result_notebook_retravaill!G177,0,IF(Result_notebook_retravaill!I177+Result_notebook_retravaill!J177&gt;Result_notebook_retravaill!G177,0,Result_notebook_retravaill!M177))</f>
        <v>9147.6463324870547</v>
      </c>
      <c r="M177" s="31">
        <f t="shared" si="2"/>
        <v>0</v>
      </c>
    </row>
    <row r="178" spans="1:13" x14ac:dyDescent="0.35">
      <c r="A178">
        <f>Result_notebook_retravaill!A178</f>
        <v>2026</v>
      </c>
      <c r="B178" t="str">
        <f>Result_notebook_retravaill!B178</f>
        <v>Lithium</v>
      </c>
      <c r="C178" t="str">
        <f>Result_notebook_retravaill!C178</f>
        <v>Global Net-zero</v>
      </c>
      <c r="D178" t="str">
        <f>Result_notebook_retravaill!D178</f>
        <v>Existing production</v>
      </c>
      <c r="E178" t="str">
        <f>Result_notebook_retravaill!E178</f>
        <v>Current shares</v>
      </c>
      <c r="F178" t="str">
        <f>Result_notebook_retravaill!F178</f>
        <v>Status Quo</v>
      </c>
      <c r="G178">
        <f>Result_notebook_retravaill!G178</f>
        <v>9147.6463324870547</v>
      </c>
      <c r="H178" s="32">
        <f>IF(Result_notebook_retravaill!I178&gt;Result_notebook_retravaill!G178,Result_notebook_retravaill!I178/Result_notebook_retravaill!N178,Result_notebook_retravaill!H178)</f>
        <v>35483.419778347088</v>
      </c>
      <c r="I178" s="32">
        <f>Result_notebook_retravaill!K178</f>
        <v>0</v>
      </c>
      <c r="J178" s="32">
        <f>MIN(G178,Result_notebook_retravaill!I178)</f>
        <v>9147.6463324870547</v>
      </c>
      <c r="K178" s="32">
        <f>IF(Result_notebook_retravaill!I178&gt;Result_notebook_retravaill!G178,0,IF(Result_notebook_retravaill!I178+Result_notebook_retravaill!J178&gt;Result_notebook_retravaill!G178,Result_notebook_retravaill!G178-Result_notebook_retravaill!I178,Result_notebook_retravaill!J178))</f>
        <v>0</v>
      </c>
      <c r="L178" s="32">
        <f>IF(Result_notebook_retravaill!I178&gt;Result_notebook_retravaill!G178,0,IF(Result_notebook_retravaill!I178+Result_notebook_retravaill!J178&gt;Result_notebook_retravaill!G178,0,Result_notebook_retravaill!M178))</f>
        <v>0</v>
      </c>
      <c r="M178" s="31">
        <f t="shared" si="2"/>
        <v>0</v>
      </c>
    </row>
    <row r="179" spans="1:13" x14ac:dyDescent="0.35">
      <c r="A179">
        <f>Result_notebook_retravaill!A179</f>
        <v>2026</v>
      </c>
      <c r="B179" t="str">
        <f>Result_notebook_retravaill!B179</f>
        <v>Lithium</v>
      </c>
      <c r="C179" t="str">
        <f>Result_notebook_retravaill!C179</f>
        <v>Global Net-zero</v>
      </c>
      <c r="D179" t="str">
        <f>Result_notebook_retravaill!D179</f>
        <v>Production potential</v>
      </c>
      <c r="E179" t="str">
        <f>Result_notebook_retravaill!E179</f>
        <v>Current shares</v>
      </c>
      <c r="F179" t="str">
        <f>Result_notebook_retravaill!F179</f>
        <v>Expansion Extractive</v>
      </c>
      <c r="G179">
        <f>Result_notebook_retravaill!G179</f>
        <v>9147.6463324870547</v>
      </c>
      <c r="H179" s="32">
        <f>IF(Result_notebook_retravaill!I179&gt;Result_notebook_retravaill!G179,Result_notebook_retravaill!I179/Result_notebook_retravaill!N179,Result_notebook_retravaill!H179)</f>
        <v>128131.46421449262</v>
      </c>
      <c r="I179" s="32">
        <f>Result_notebook_retravaill!K179</f>
        <v>0</v>
      </c>
      <c r="J179" s="32">
        <f>MIN(G179,Result_notebook_retravaill!I179)</f>
        <v>9147.6463324870547</v>
      </c>
      <c r="K179" s="32">
        <f>IF(Result_notebook_retravaill!I179&gt;Result_notebook_retravaill!G179,0,IF(Result_notebook_retravaill!I179+Result_notebook_retravaill!J179&gt;Result_notebook_retravaill!G179,Result_notebook_retravaill!G179-Result_notebook_retravaill!I179,Result_notebook_retravaill!J179))</f>
        <v>0</v>
      </c>
      <c r="L179" s="32">
        <f>IF(Result_notebook_retravaill!I179&gt;Result_notebook_retravaill!G179,0,IF(Result_notebook_retravaill!I179+Result_notebook_retravaill!J179&gt;Result_notebook_retravaill!G179,0,Result_notebook_retravaill!M179))</f>
        <v>0</v>
      </c>
      <c r="M179" s="31">
        <f t="shared" si="2"/>
        <v>0</v>
      </c>
    </row>
    <row r="180" spans="1:13" x14ac:dyDescent="0.35">
      <c r="A180">
        <f>Result_notebook_retravaill!A180</f>
        <v>2026</v>
      </c>
      <c r="B180" t="str">
        <f>Result_notebook_retravaill!B180</f>
        <v>Lithium</v>
      </c>
      <c r="C180" t="str">
        <f>Result_notebook_retravaill!C180</f>
        <v>Global Net-zero</v>
      </c>
      <c r="D180" t="str">
        <f>Result_notebook_retravaill!D180</f>
        <v>Production potential</v>
      </c>
      <c r="E180" t="str">
        <f>Result_notebook_retravaill!E180</f>
        <v>Current shares</v>
      </c>
      <c r="F180" t="str">
        <f>Result_notebook_retravaill!F180</f>
        <v>Expansion Extractive+Circularity</v>
      </c>
      <c r="G180">
        <f>Result_notebook_retravaill!G180</f>
        <v>9147.6463324870547</v>
      </c>
      <c r="H180" s="32">
        <f>IF(Result_notebook_retravaill!I180&gt;Result_notebook_retravaill!G180,Result_notebook_retravaill!I180/Result_notebook_retravaill!N180,Result_notebook_retravaill!H180)</f>
        <v>128131.46421449262</v>
      </c>
      <c r="I180" s="32">
        <f>Result_notebook_retravaill!K180</f>
        <v>0</v>
      </c>
      <c r="J180" s="32">
        <f>MIN(G180,Result_notebook_retravaill!I180)</f>
        <v>9147.6463324870547</v>
      </c>
      <c r="K180" s="32">
        <f>IF(Result_notebook_retravaill!I180&gt;Result_notebook_retravaill!G180,0,IF(Result_notebook_retravaill!I180+Result_notebook_retravaill!J180&gt;Result_notebook_retravaill!G180,Result_notebook_retravaill!G180-Result_notebook_retravaill!I180,Result_notebook_retravaill!J180))</f>
        <v>0</v>
      </c>
      <c r="L180" s="32">
        <f>IF(Result_notebook_retravaill!I180&gt;Result_notebook_retravaill!G180,0,IF(Result_notebook_retravaill!I180+Result_notebook_retravaill!J180&gt;Result_notebook_retravaill!G180,0,Result_notebook_retravaill!M180))</f>
        <v>0</v>
      </c>
      <c r="M180" s="31">
        <f t="shared" si="2"/>
        <v>0</v>
      </c>
    </row>
    <row r="181" spans="1:13" x14ac:dyDescent="0.35">
      <c r="A181">
        <f>Result_notebook_retravaill!A181</f>
        <v>2026</v>
      </c>
      <c r="B181" t="str">
        <f>Result_notebook_retravaill!B181</f>
        <v>Lithium</v>
      </c>
      <c r="C181" t="str">
        <f>Result_notebook_retravaill!C181</f>
        <v>Global Net-zero</v>
      </c>
      <c r="D181" t="str">
        <f>Result_notebook_retravaill!D181</f>
        <v>Production potential</v>
      </c>
      <c r="E181" t="str">
        <f>Result_notebook_retravaill!E181</f>
        <v>100% CAN</v>
      </c>
      <c r="F181" t="str">
        <f>Result_notebook_retravaill!F181</f>
        <v>Integrated</v>
      </c>
      <c r="G181">
        <f>Result_notebook_retravaill!G181</f>
        <v>9147.6463324870547</v>
      </c>
      <c r="H181" s="32">
        <f>IF(Result_notebook_retravaill!I181&gt;Result_notebook_retravaill!G181,Result_notebook_retravaill!I181/Result_notebook_retravaill!N181,Result_notebook_retravaill!H181)</f>
        <v>128131.46421449262</v>
      </c>
      <c r="I181" s="32">
        <f>Result_notebook_retravaill!K181</f>
        <v>0</v>
      </c>
      <c r="J181" s="32">
        <f>MIN(G181,Result_notebook_retravaill!I181)</f>
        <v>9147.6463324870547</v>
      </c>
      <c r="K181" s="32">
        <f>IF(Result_notebook_retravaill!I181&gt;Result_notebook_retravaill!G181,0,IF(Result_notebook_retravaill!I181+Result_notebook_retravaill!J181&gt;Result_notebook_retravaill!G181,Result_notebook_retravaill!G181-Result_notebook_retravaill!I181,Result_notebook_retravaill!J181))</f>
        <v>0</v>
      </c>
      <c r="L181" s="32">
        <f>IF(Result_notebook_retravaill!I181&gt;Result_notebook_retravaill!G181,0,IF(Result_notebook_retravaill!I181+Result_notebook_retravaill!J181&gt;Result_notebook_retravaill!G181,0,Result_notebook_retravaill!M181))</f>
        <v>0</v>
      </c>
      <c r="M181" s="31">
        <f t="shared" si="2"/>
        <v>0</v>
      </c>
    </row>
    <row r="182" spans="1:13" x14ac:dyDescent="0.35">
      <c r="A182">
        <f>Result_notebook_retravaill!A182</f>
        <v>2027</v>
      </c>
      <c r="B182" t="str">
        <f>Result_notebook_retravaill!B182</f>
        <v>Cobalt</v>
      </c>
      <c r="C182" t="str">
        <f>Result_notebook_retravaill!C182</f>
        <v>Canada Net-zero</v>
      </c>
      <c r="D182" t="str">
        <f>Result_notebook_retravaill!D182</f>
        <v>Existing production</v>
      </c>
      <c r="E182" t="str">
        <f>Result_notebook_retravaill!E182</f>
        <v>Current shares</v>
      </c>
      <c r="F182" t="str">
        <f>Result_notebook_retravaill!F182</f>
        <v>NIMBY</v>
      </c>
      <c r="G182">
        <f>Result_notebook_retravaill!G182</f>
        <v>22846.056566280731</v>
      </c>
      <c r="H182" s="32">
        <f>IF(Result_notebook_retravaill!I182&gt;Result_notebook_retravaill!G182,Result_notebook_retravaill!I182/Result_notebook_retravaill!N182,Result_notebook_retravaill!H182)</f>
        <v>0</v>
      </c>
      <c r="I182" s="32">
        <f>Result_notebook_retravaill!K182</f>
        <v>51922.855832456196</v>
      </c>
      <c r="J182" s="32">
        <f>MIN(G182,Result_notebook_retravaill!I182)</f>
        <v>0</v>
      </c>
      <c r="K182" s="32">
        <f>IF(Result_notebook_retravaill!I182&gt;Result_notebook_retravaill!G182,0,IF(Result_notebook_retravaill!I182+Result_notebook_retravaill!J182&gt;Result_notebook_retravaill!G182,Result_notebook_retravaill!G182-Result_notebook_retravaill!I182,Result_notebook_retravaill!J182))</f>
        <v>0</v>
      </c>
      <c r="L182" s="32">
        <f>IF(Result_notebook_retravaill!I182&gt;Result_notebook_retravaill!G182,0,IF(Result_notebook_retravaill!I182+Result_notebook_retravaill!J182&gt;Result_notebook_retravaill!G182,0,Result_notebook_retravaill!M182))</f>
        <v>22846.056566280731</v>
      </c>
      <c r="M182" s="31">
        <f t="shared" si="2"/>
        <v>0</v>
      </c>
    </row>
    <row r="183" spans="1:13" x14ac:dyDescent="0.35">
      <c r="A183">
        <f>Result_notebook_retravaill!A183</f>
        <v>2027</v>
      </c>
      <c r="B183" t="str">
        <f>Result_notebook_retravaill!B183</f>
        <v>Cobalt</v>
      </c>
      <c r="C183" t="str">
        <f>Result_notebook_retravaill!C183</f>
        <v>Canada Net-zero</v>
      </c>
      <c r="D183" t="str">
        <f>Result_notebook_retravaill!D183</f>
        <v>Existing production</v>
      </c>
      <c r="E183" t="str">
        <f>Result_notebook_retravaill!E183</f>
        <v>Current shares</v>
      </c>
      <c r="F183" t="str">
        <f>Result_notebook_retravaill!F183</f>
        <v>Status Quo</v>
      </c>
      <c r="G183">
        <f>Result_notebook_retravaill!G183</f>
        <v>22846.056566280731</v>
      </c>
      <c r="H183" s="32">
        <f>IF(Result_notebook_retravaill!I183&gt;Result_notebook_retravaill!G183,Result_notebook_retravaill!I183/Result_notebook_retravaill!N183,Result_notebook_retravaill!H183)</f>
        <v>4176</v>
      </c>
      <c r="I183" s="32">
        <f>Result_notebook_retravaill!K183</f>
        <v>47746.855832456196</v>
      </c>
      <c r="J183" s="32">
        <f>MIN(G183,Result_notebook_retravaill!I183)</f>
        <v>1771.38331528816</v>
      </c>
      <c r="K183" s="32">
        <f>IF(Result_notebook_retravaill!I183&gt;Result_notebook_retravaill!G183,0,IF(Result_notebook_retravaill!I183+Result_notebook_retravaill!J183&gt;Result_notebook_retravaill!G183,Result_notebook_retravaill!G183-Result_notebook_retravaill!I183,Result_notebook_retravaill!J183))</f>
        <v>63.327943020660086</v>
      </c>
      <c r="L183" s="32">
        <f>IF(Result_notebook_retravaill!I183&gt;Result_notebook_retravaill!G183,0,IF(Result_notebook_retravaill!I183+Result_notebook_retravaill!J183&gt;Result_notebook_retravaill!G183,0,Result_notebook_retravaill!M183))</f>
        <v>21011.345307971911</v>
      </c>
      <c r="M183" s="31">
        <f t="shared" si="2"/>
        <v>0</v>
      </c>
    </row>
    <row r="184" spans="1:13" x14ac:dyDescent="0.35">
      <c r="A184">
        <f>Result_notebook_retravaill!A184</f>
        <v>2027</v>
      </c>
      <c r="B184" t="str">
        <f>Result_notebook_retravaill!B184</f>
        <v>Cobalt</v>
      </c>
      <c r="C184" t="str">
        <f>Result_notebook_retravaill!C184</f>
        <v>Canada Net-zero</v>
      </c>
      <c r="D184" t="str">
        <f>Result_notebook_retravaill!D184</f>
        <v>Production potential</v>
      </c>
      <c r="E184" t="str">
        <f>Result_notebook_retravaill!E184</f>
        <v>Current shares</v>
      </c>
      <c r="F184" t="str">
        <f>Result_notebook_retravaill!F184</f>
        <v>Expansion Extractive</v>
      </c>
      <c r="G184">
        <f>Result_notebook_retravaill!G184</f>
        <v>22846.056566280731</v>
      </c>
      <c r="H184" s="32">
        <f>IF(Result_notebook_retravaill!I184&gt;Result_notebook_retravaill!G184,Result_notebook_retravaill!I184/Result_notebook_retravaill!N184,Result_notebook_retravaill!H184)</f>
        <v>5307</v>
      </c>
      <c r="I184" s="32">
        <f>Result_notebook_retravaill!K184</f>
        <v>46615.855832456196</v>
      </c>
      <c r="J184" s="32">
        <f>MIN(G184,Result_notebook_retravaill!I184)</f>
        <v>2251.1329631787039</v>
      </c>
      <c r="K184" s="32">
        <f>IF(Result_notebook_retravaill!I184&gt;Result_notebook_retravaill!G184,0,IF(Result_notebook_retravaill!I184+Result_notebook_retravaill!J184&gt;Result_notebook_retravaill!G184,Result_notebook_retravaill!G184-Result_notebook_retravaill!I184,Result_notebook_retravaill!J184))</f>
        <v>80.479260922088542</v>
      </c>
      <c r="L184" s="32">
        <f>IF(Result_notebook_retravaill!I184&gt;Result_notebook_retravaill!G184,0,IF(Result_notebook_retravaill!I184+Result_notebook_retravaill!J184&gt;Result_notebook_retravaill!G184,0,Result_notebook_retravaill!M184))</f>
        <v>20514.444342179941</v>
      </c>
      <c r="M184" s="31">
        <f t="shared" si="2"/>
        <v>0</v>
      </c>
    </row>
    <row r="185" spans="1:13" x14ac:dyDescent="0.35">
      <c r="A185">
        <f>Result_notebook_retravaill!A185</f>
        <v>2027</v>
      </c>
      <c r="B185" t="str">
        <f>Result_notebook_retravaill!B185</f>
        <v>Cobalt</v>
      </c>
      <c r="C185" t="str">
        <f>Result_notebook_retravaill!C185</f>
        <v>Canada Net-zero</v>
      </c>
      <c r="D185" t="str">
        <f>Result_notebook_retravaill!D185</f>
        <v>Production potential</v>
      </c>
      <c r="E185" t="str">
        <f>Result_notebook_retravaill!E185</f>
        <v>Current shares</v>
      </c>
      <c r="F185" t="str">
        <f>Result_notebook_retravaill!F185</f>
        <v>Expansion Extractive+Circularity</v>
      </c>
      <c r="G185">
        <f>Result_notebook_retravaill!G185</f>
        <v>22846.056566280731</v>
      </c>
      <c r="H185" s="32">
        <f>IF(Result_notebook_retravaill!I185&gt;Result_notebook_retravaill!G185,Result_notebook_retravaill!I185/Result_notebook_retravaill!N185,Result_notebook_retravaill!H185)</f>
        <v>5307</v>
      </c>
      <c r="I185" s="32">
        <f>Result_notebook_retravaill!K185</f>
        <v>46615.855832456196</v>
      </c>
      <c r="J185" s="32">
        <f>MIN(G185,Result_notebook_retravaill!I185)</f>
        <v>2251.1329631787039</v>
      </c>
      <c r="K185" s="32">
        <f>IF(Result_notebook_retravaill!I185&gt;Result_notebook_retravaill!G185,0,IF(Result_notebook_retravaill!I185+Result_notebook_retravaill!J185&gt;Result_notebook_retravaill!G185,Result_notebook_retravaill!G185-Result_notebook_retravaill!I185,Result_notebook_retravaill!J185))</f>
        <v>80.479260922088542</v>
      </c>
      <c r="L185" s="32">
        <f>IF(Result_notebook_retravaill!I185&gt;Result_notebook_retravaill!G185,0,IF(Result_notebook_retravaill!I185+Result_notebook_retravaill!J185&gt;Result_notebook_retravaill!G185,0,Result_notebook_retravaill!M185))</f>
        <v>20514.444342179941</v>
      </c>
      <c r="M185" s="31">
        <f t="shared" si="2"/>
        <v>0</v>
      </c>
    </row>
    <row r="186" spans="1:13" x14ac:dyDescent="0.35">
      <c r="A186">
        <f>Result_notebook_retravaill!A186</f>
        <v>2027</v>
      </c>
      <c r="B186" t="str">
        <f>Result_notebook_retravaill!B186</f>
        <v>Cobalt</v>
      </c>
      <c r="C186" t="str">
        <f>Result_notebook_retravaill!C186</f>
        <v>Canada Net-zero</v>
      </c>
      <c r="D186" t="str">
        <f>Result_notebook_retravaill!D186</f>
        <v>Production potential</v>
      </c>
      <c r="E186" t="str">
        <f>Result_notebook_retravaill!E186</f>
        <v>100% CAN</v>
      </c>
      <c r="F186" t="str">
        <f>Result_notebook_retravaill!F186</f>
        <v>Integrated</v>
      </c>
      <c r="G186">
        <f>Result_notebook_retravaill!G186</f>
        <v>22846.056566280731</v>
      </c>
      <c r="H186" s="32">
        <f>IF(Result_notebook_retravaill!I186&gt;Result_notebook_retravaill!G186,Result_notebook_retravaill!I186/Result_notebook_retravaill!N186,Result_notebook_retravaill!H186)</f>
        <v>5307</v>
      </c>
      <c r="I186" s="32">
        <f>Result_notebook_retravaill!K186</f>
        <v>46615.855832456196</v>
      </c>
      <c r="J186" s="32">
        <f>MIN(G186,Result_notebook_retravaill!I186)</f>
        <v>2331.6122241007938</v>
      </c>
      <c r="K186" s="32">
        <f>IF(Result_notebook_retravaill!I186&gt;Result_notebook_retravaill!G186,0,IF(Result_notebook_retravaill!I186+Result_notebook_retravaill!J186&gt;Result_notebook_retravaill!G186,Result_notebook_retravaill!G186-Result_notebook_retravaill!I186,Result_notebook_retravaill!J186))</f>
        <v>0</v>
      </c>
      <c r="L186" s="32">
        <f>IF(Result_notebook_retravaill!I186&gt;Result_notebook_retravaill!G186,0,IF(Result_notebook_retravaill!I186+Result_notebook_retravaill!J186&gt;Result_notebook_retravaill!G186,0,Result_notebook_retravaill!M186))</f>
        <v>20514.444342179941</v>
      </c>
      <c r="M186" s="31">
        <f t="shared" si="2"/>
        <v>0</v>
      </c>
    </row>
    <row r="187" spans="1:13" x14ac:dyDescent="0.35">
      <c r="A187">
        <f>Result_notebook_retravaill!A187</f>
        <v>2027</v>
      </c>
      <c r="B187" t="str">
        <f>Result_notebook_retravaill!B187</f>
        <v>Cobalt</v>
      </c>
      <c r="C187" t="str">
        <f>Result_notebook_retravaill!C187</f>
        <v>Current Measures</v>
      </c>
      <c r="D187" t="str">
        <f>Result_notebook_retravaill!D187</f>
        <v>Existing production</v>
      </c>
      <c r="E187" t="str">
        <f>Result_notebook_retravaill!E187</f>
        <v>Current shares</v>
      </c>
      <c r="F187" t="str">
        <f>Result_notebook_retravaill!F187</f>
        <v>NIMBY</v>
      </c>
      <c r="G187">
        <f>Result_notebook_retravaill!G187</f>
        <v>15414.951244320981</v>
      </c>
      <c r="H187" s="32">
        <f>IF(Result_notebook_retravaill!I187&gt;Result_notebook_retravaill!G187,Result_notebook_retravaill!I187/Result_notebook_retravaill!N187,Result_notebook_retravaill!H187)</f>
        <v>0</v>
      </c>
      <c r="I187" s="32">
        <f>Result_notebook_retravaill!K187</f>
        <v>35033.980100729503</v>
      </c>
      <c r="J187" s="32">
        <f>MIN(G187,Result_notebook_retravaill!I187)</f>
        <v>0</v>
      </c>
      <c r="K187" s="32">
        <f>IF(Result_notebook_retravaill!I187&gt;Result_notebook_retravaill!G187,0,IF(Result_notebook_retravaill!I187+Result_notebook_retravaill!J187&gt;Result_notebook_retravaill!G187,Result_notebook_retravaill!G187-Result_notebook_retravaill!I187,Result_notebook_retravaill!J187))</f>
        <v>0</v>
      </c>
      <c r="L187" s="32">
        <f>IF(Result_notebook_retravaill!I187&gt;Result_notebook_retravaill!G187,0,IF(Result_notebook_retravaill!I187+Result_notebook_retravaill!J187&gt;Result_notebook_retravaill!G187,0,Result_notebook_retravaill!M187))</f>
        <v>15414.951244320981</v>
      </c>
      <c r="M187" s="31">
        <f t="shared" si="2"/>
        <v>0</v>
      </c>
    </row>
    <row r="188" spans="1:13" x14ac:dyDescent="0.35">
      <c r="A188">
        <f>Result_notebook_retravaill!A188</f>
        <v>2027</v>
      </c>
      <c r="B188" t="str">
        <f>Result_notebook_retravaill!B188</f>
        <v>Cobalt</v>
      </c>
      <c r="C188" t="str">
        <f>Result_notebook_retravaill!C188</f>
        <v>Current Measures</v>
      </c>
      <c r="D188" t="str">
        <f>Result_notebook_retravaill!D188</f>
        <v>Existing production</v>
      </c>
      <c r="E188" t="str">
        <f>Result_notebook_retravaill!E188</f>
        <v>Current shares</v>
      </c>
      <c r="F188" t="str">
        <f>Result_notebook_retravaill!F188</f>
        <v>Status Quo</v>
      </c>
      <c r="G188">
        <f>Result_notebook_retravaill!G188</f>
        <v>15414.951244320981</v>
      </c>
      <c r="H188" s="32">
        <f>IF(Result_notebook_retravaill!I188&gt;Result_notebook_retravaill!G188,Result_notebook_retravaill!I188/Result_notebook_retravaill!N188,Result_notebook_retravaill!H188)</f>
        <v>4176</v>
      </c>
      <c r="I188" s="32">
        <f>Result_notebook_retravaill!K188</f>
        <v>30857.980100729499</v>
      </c>
      <c r="J188" s="32">
        <f>MIN(G188,Result_notebook_retravaill!I188)</f>
        <v>1771.38331528816</v>
      </c>
      <c r="K188" s="32">
        <f>IF(Result_notebook_retravaill!I188&gt;Result_notebook_retravaill!G188,0,IF(Result_notebook_retravaill!I188+Result_notebook_retravaill!J188&gt;Result_notebook_retravaill!G188,Result_notebook_retravaill!G188-Result_notebook_retravaill!I188,Result_notebook_retravaill!J188))</f>
        <v>63.327943020660086</v>
      </c>
      <c r="L188" s="32">
        <f>IF(Result_notebook_retravaill!I188&gt;Result_notebook_retravaill!G188,0,IF(Result_notebook_retravaill!I188+Result_notebook_retravaill!J188&gt;Result_notebook_retravaill!G188,0,Result_notebook_retravaill!M188))</f>
        <v>13580.23998601216</v>
      </c>
      <c r="M188" s="31">
        <f t="shared" si="2"/>
        <v>0</v>
      </c>
    </row>
    <row r="189" spans="1:13" x14ac:dyDescent="0.35">
      <c r="A189">
        <f>Result_notebook_retravaill!A189</f>
        <v>2027</v>
      </c>
      <c r="B189" t="str">
        <f>Result_notebook_retravaill!B189</f>
        <v>Cobalt</v>
      </c>
      <c r="C189" t="str">
        <f>Result_notebook_retravaill!C189</f>
        <v>Current Measures</v>
      </c>
      <c r="D189" t="str">
        <f>Result_notebook_retravaill!D189</f>
        <v>Production potential</v>
      </c>
      <c r="E189" t="str">
        <f>Result_notebook_retravaill!E189</f>
        <v>Current shares</v>
      </c>
      <c r="F189" t="str">
        <f>Result_notebook_retravaill!F189</f>
        <v>Expansion Extractive</v>
      </c>
      <c r="G189">
        <f>Result_notebook_retravaill!G189</f>
        <v>15414.951244320981</v>
      </c>
      <c r="H189" s="32">
        <f>IF(Result_notebook_retravaill!I189&gt;Result_notebook_retravaill!G189,Result_notebook_retravaill!I189/Result_notebook_retravaill!N189,Result_notebook_retravaill!H189)</f>
        <v>5307</v>
      </c>
      <c r="I189" s="32">
        <f>Result_notebook_retravaill!K189</f>
        <v>29726.980100729499</v>
      </c>
      <c r="J189" s="32">
        <f>MIN(G189,Result_notebook_retravaill!I189)</f>
        <v>2251.1329631787039</v>
      </c>
      <c r="K189" s="32">
        <f>IF(Result_notebook_retravaill!I189&gt;Result_notebook_retravaill!G189,0,IF(Result_notebook_retravaill!I189+Result_notebook_retravaill!J189&gt;Result_notebook_retravaill!G189,Result_notebook_retravaill!G189-Result_notebook_retravaill!I189,Result_notebook_retravaill!J189))</f>
        <v>80.479260922088542</v>
      </c>
      <c r="L189" s="32">
        <f>IF(Result_notebook_retravaill!I189&gt;Result_notebook_retravaill!G189,0,IF(Result_notebook_retravaill!I189+Result_notebook_retravaill!J189&gt;Result_notebook_retravaill!G189,0,Result_notebook_retravaill!M189))</f>
        <v>13083.339020220192</v>
      </c>
      <c r="M189" s="31">
        <f t="shared" si="2"/>
        <v>0</v>
      </c>
    </row>
    <row r="190" spans="1:13" x14ac:dyDescent="0.35">
      <c r="A190">
        <f>Result_notebook_retravaill!A190</f>
        <v>2027</v>
      </c>
      <c r="B190" t="str">
        <f>Result_notebook_retravaill!B190</f>
        <v>Cobalt</v>
      </c>
      <c r="C190" t="str">
        <f>Result_notebook_retravaill!C190</f>
        <v>Current Measures</v>
      </c>
      <c r="D190" t="str">
        <f>Result_notebook_retravaill!D190</f>
        <v>Production potential</v>
      </c>
      <c r="E190" t="str">
        <f>Result_notebook_retravaill!E190</f>
        <v>Current shares</v>
      </c>
      <c r="F190" t="str">
        <f>Result_notebook_retravaill!F190</f>
        <v>Expansion Extractive+Circularity</v>
      </c>
      <c r="G190">
        <f>Result_notebook_retravaill!G190</f>
        <v>15414.951244320981</v>
      </c>
      <c r="H190" s="32">
        <f>IF(Result_notebook_retravaill!I190&gt;Result_notebook_retravaill!G190,Result_notebook_retravaill!I190/Result_notebook_retravaill!N190,Result_notebook_retravaill!H190)</f>
        <v>5307</v>
      </c>
      <c r="I190" s="32">
        <f>Result_notebook_retravaill!K190</f>
        <v>29726.980100729499</v>
      </c>
      <c r="J190" s="32">
        <f>MIN(G190,Result_notebook_retravaill!I190)</f>
        <v>2251.1329631787039</v>
      </c>
      <c r="K190" s="32">
        <f>IF(Result_notebook_retravaill!I190&gt;Result_notebook_retravaill!G190,0,IF(Result_notebook_retravaill!I190+Result_notebook_retravaill!J190&gt;Result_notebook_retravaill!G190,Result_notebook_retravaill!G190-Result_notebook_retravaill!I190,Result_notebook_retravaill!J190))</f>
        <v>80.479260922088542</v>
      </c>
      <c r="L190" s="32">
        <f>IF(Result_notebook_retravaill!I190&gt;Result_notebook_retravaill!G190,0,IF(Result_notebook_retravaill!I190+Result_notebook_retravaill!J190&gt;Result_notebook_retravaill!G190,0,Result_notebook_retravaill!M190))</f>
        <v>13083.339020220192</v>
      </c>
      <c r="M190" s="31">
        <f t="shared" si="2"/>
        <v>0</v>
      </c>
    </row>
    <row r="191" spans="1:13" x14ac:dyDescent="0.35">
      <c r="A191">
        <f>Result_notebook_retravaill!A191</f>
        <v>2027</v>
      </c>
      <c r="B191" t="str">
        <f>Result_notebook_retravaill!B191</f>
        <v>Cobalt</v>
      </c>
      <c r="C191" t="str">
        <f>Result_notebook_retravaill!C191</f>
        <v>Current Measures</v>
      </c>
      <c r="D191" t="str">
        <f>Result_notebook_retravaill!D191</f>
        <v>Production potential</v>
      </c>
      <c r="E191" t="str">
        <f>Result_notebook_retravaill!E191</f>
        <v>100% CAN</v>
      </c>
      <c r="F191" t="str">
        <f>Result_notebook_retravaill!F191</f>
        <v>Integrated</v>
      </c>
      <c r="G191">
        <f>Result_notebook_retravaill!G191</f>
        <v>15414.951244320981</v>
      </c>
      <c r="H191" s="32">
        <f>IF(Result_notebook_retravaill!I191&gt;Result_notebook_retravaill!G191,Result_notebook_retravaill!I191/Result_notebook_retravaill!N191,Result_notebook_retravaill!H191)</f>
        <v>5307</v>
      </c>
      <c r="I191" s="32">
        <f>Result_notebook_retravaill!K191</f>
        <v>29726.980100729499</v>
      </c>
      <c r="J191" s="32">
        <f>MIN(G191,Result_notebook_retravaill!I191)</f>
        <v>2331.6122241007938</v>
      </c>
      <c r="K191" s="32">
        <f>IF(Result_notebook_retravaill!I191&gt;Result_notebook_retravaill!G191,0,IF(Result_notebook_retravaill!I191+Result_notebook_retravaill!J191&gt;Result_notebook_retravaill!G191,Result_notebook_retravaill!G191-Result_notebook_retravaill!I191,Result_notebook_retravaill!J191))</f>
        <v>0</v>
      </c>
      <c r="L191" s="32">
        <f>IF(Result_notebook_retravaill!I191&gt;Result_notebook_retravaill!G191,0,IF(Result_notebook_retravaill!I191+Result_notebook_retravaill!J191&gt;Result_notebook_retravaill!G191,0,Result_notebook_retravaill!M191))</f>
        <v>13083.33902022019</v>
      </c>
      <c r="M191" s="31">
        <f t="shared" si="2"/>
        <v>0</v>
      </c>
    </row>
    <row r="192" spans="1:13" x14ac:dyDescent="0.35">
      <c r="A192">
        <f>Result_notebook_retravaill!A192</f>
        <v>2027</v>
      </c>
      <c r="B192" t="str">
        <f>Result_notebook_retravaill!B192</f>
        <v>Cobalt</v>
      </c>
      <c r="C192" t="str">
        <f>Result_notebook_retravaill!C192</f>
        <v>Global Net-zero</v>
      </c>
      <c r="D192" t="str">
        <f>Result_notebook_retravaill!D192</f>
        <v>Existing production</v>
      </c>
      <c r="E192" t="str">
        <f>Result_notebook_retravaill!E192</f>
        <v>Current shares</v>
      </c>
      <c r="F192" t="str">
        <f>Result_notebook_retravaill!F192</f>
        <v>NIMBY</v>
      </c>
      <c r="G192">
        <f>Result_notebook_retravaill!G192</f>
        <v>22192.22621013633</v>
      </c>
      <c r="H192" s="32">
        <f>IF(Result_notebook_retravaill!I192&gt;Result_notebook_retravaill!G192,Result_notebook_retravaill!I192/Result_notebook_retravaill!N192,Result_notebook_retravaill!H192)</f>
        <v>0</v>
      </c>
      <c r="I192" s="32">
        <f>Result_notebook_retravaill!K192</f>
        <v>50436.877750309839</v>
      </c>
      <c r="J192" s="32">
        <f>MIN(G192,Result_notebook_retravaill!I192)</f>
        <v>0</v>
      </c>
      <c r="K192" s="32">
        <f>IF(Result_notebook_retravaill!I192&gt;Result_notebook_retravaill!G192,0,IF(Result_notebook_retravaill!I192+Result_notebook_retravaill!J192&gt;Result_notebook_retravaill!G192,Result_notebook_retravaill!G192-Result_notebook_retravaill!I192,Result_notebook_retravaill!J192))</f>
        <v>0</v>
      </c>
      <c r="L192" s="32">
        <f>IF(Result_notebook_retravaill!I192&gt;Result_notebook_retravaill!G192,0,IF(Result_notebook_retravaill!I192+Result_notebook_retravaill!J192&gt;Result_notebook_retravaill!G192,0,Result_notebook_retravaill!M192))</f>
        <v>22192.22621013633</v>
      </c>
      <c r="M192" s="31">
        <f t="shared" si="2"/>
        <v>0</v>
      </c>
    </row>
    <row r="193" spans="1:13" x14ac:dyDescent="0.35">
      <c r="A193">
        <f>Result_notebook_retravaill!A193</f>
        <v>2027</v>
      </c>
      <c r="B193" t="str">
        <f>Result_notebook_retravaill!B193</f>
        <v>Cobalt</v>
      </c>
      <c r="C193" t="str">
        <f>Result_notebook_retravaill!C193</f>
        <v>Global Net-zero</v>
      </c>
      <c r="D193" t="str">
        <f>Result_notebook_retravaill!D193</f>
        <v>Existing production</v>
      </c>
      <c r="E193" t="str">
        <f>Result_notebook_retravaill!E193</f>
        <v>Current shares</v>
      </c>
      <c r="F193" t="str">
        <f>Result_notebook_retravaill!F193</f>
        <v>Status Quo</v>
      </c>
      <c r="G193">
        <f>Result_notebook_retravaill!G193</f>
        <v>22192.22621013633</v>
      </c>
      <c r="H193" s="32">
        <f>IF(Result_notebook_retravaill!I193&gt;Result_notebook_retravaill!G193,Result_notebook_retravaill!I193/Result_notebook_retravaill!N193,Result_notebook_retravaill!H193)</f>
        <v>4176</v>
      </c>
      <c r="I193" s="32">
        <f>Result_notebook_retravaill!K193</f>
        <v>46260.877750309839</v>
      </c>
      <c r="J193" s="32">
        <f>MIN(G193,Result_notebook_retravaill!I193)</f>
        <v>1771.38331528816</v>
      </c>
      <c r="K193" s="32">
        <f>IF(Result_notebook_retravaill!I193&gt;Result_notebook_retravaill!G193,0,IF(Result_notebook_retravaill!I193+Result_notebook_retravaill!J193&gt;Result_notebook_retravaill!G193,Result_notebook_retravaill!G193-Result_notebook_retravaill!I193,Result_notebook_retravaill!J193))</f>
        <v>63.327943020660086</v>
      </c>
      <c r="L193" s="32">
        <f>IF(Result_notebook_retravaill!I193&gt;Result_notebook_retravaill!G193,0,IF(Result_notebook_retravaill!I193+Result_notebook_retravaill!J193&gt;Result_notebook_retravaill!G193,0,Result_notebook_retravaill!M193))</f>
        <v>20357.51495182751</v>
      </c>
      <c r="M193" s="31">
        <f t="shared" si="2"/>
        <v>0</v>
      </c>
    </row>
    <row r="194" spans="1:13" x14ac:dyDescent="0.35">
      <c r="A194">
        <f>Result_notebook_retravaill!A194</f>
        <v>2027</v>
      </c>
      <c r="B194" t="str">
        <f>Result_notebook_retravaill!B194</f>
        <v>Cobalt</v>
      </c>
      <c r="C194" t="str">
        <f>Result_notebook_retravaill!C194</f>
        <v>Global Net-zero</v>
      </c>
      <c r="D194" t="str">
        <f>Result_notebook_retravaill!D194</f>
        <v>Production potential</v>
      </c>
      <c r="E194" t="str">
        <f>Result_notebook_retravaill!E194</f>
        <v>Current shares</v>
      </c>
      <c r="F194" t="str">
        <f>Result_notebook_retravaill!F194</f>
        <v>Expansion Extractive</v>
      </c>
      <c r="G194">
        <f>Result_notebook_retravaill!G194</f>
        <v>22192.22621013633</v>
      </c>
      <c r="H194" s="32">
        <f>IF(Result_notebook_retravaill!I194&gt;Result_notebook_retravaill!G194,Result_notebook_retravaill!I194/Result_notebook_retravaill!N194,Result_notebook_retravaill!H194)</f>
        <v>5307</v>
      </c>
      <c r="I194" s="32">
        <f>Result_notebook_retravaill!K194</f>
        <v>45129.877750309839</v>
      </c>
      <c r="J194" s="32">
        <f>MIN(G194,Result_notebook_retravaill!I194)</f>
        <v>2251.1329631787039</v>
      </c>
      <c r="K194" s="32">
        <f>IF(Result_notebook_retravaill!I194&gt;Result_notebook_retravaill!G194,0,IF(Result_notebook_retravaill!I194+Result_notebook_retravaill!J194&gt;Result_notebook_retravaill!G194,Result_notebook_retravaill!G194-Result_notebook_retravaill!I194,Result_notebook_retravaill!J194))</f>
        <v>80.479260922088542</v>
      </c>
      <c r="L194" s="32">
        <f>IF(Result_notebook_retravaill!I194&gt;Result_notebook_retravaill!G194,0,IF(Result_notebook_retravaill!I194+Result_notebook_retravaill!J194&gt;Result_notebook_retravaill!G194,0,Result_notebook_retravaill!M194))</f>
        <v>19860.61398603554</v>
      </c>
      <c r="M194" s="31">
        <f t="shared" si="2"/>
        <v>0</v>
      </c>
    </row>
    <row r="195" spans="1:13" x14ac:dyDescent="0.35">
      <c r="A195">
        <f>Result_notebook_retravaill!A195</f>
        <v>2027</v>
      </c>
      <c r="B195" t="str">
        <f>Result_notebook_retravaill!B195</f>
        <v>Cobalt</v>
      </c>
      <c r="C195" t="str">
        <f>Result_notebook_retravaill!C195</f>
        <v>Global Net-zero</v>
      </c>
      <c r="D195" t="str">
        <f>Result_notebook_retravaill!D195</f>
        <v>Production potential</v>
      </c>
      <c r="E195" t="str">
        <f>Result_notebook_retravaill!E195</f>
        <v>Current shares</v>
      </c>
      <c r="F195" t="str">
        <f>Result_notebook_retravaill!F195</f>
        <v>Expansion Extractive+Circularity</v>
      </c>
      <c r="G195">
        <f>Result_notebook_retravaill!G195</f>
        <v>22192.22621013633</v>
      </c>
      <c r="H195" s="32">
        <f>IF(Result_notebook_retravaill!I195&gt;Result_notebook_retravaill!G195,Result_notebook_retravaill!I195/Result_notebook_retravaill!N195,Result_notebook_retravaill!H195)</f>
        <v>5307</v>
      </c>
      <c r="I195" s="32">
        <f>Result_notebook_retravaill!K195</f>
        <v>45129.877750309839</v>
      </c>
      <c r="J195" s="32">
        <f>MIN(G195,Result_notebook_retravaill!I195)</f>
        <v>2251.1329631787039</v>
      </c>
      <c r="K195" s="32">
        <f>IF(Result_notebook_retravaill!I195&gt;Result_notebook_retravaill!G195,0,IF(Result_notebook_retravaill!I195+Result_notebook_retravaill!J195&gt;Result_notebook_retravaill!G195,Result_notebook_retravaill!G195-Result_notebook_retravaill!I195,Result_notebook_retravaill!J195))</f>
        <v>80.479260922088542</v>
      </c>
      <c r="L195" s="32">
        <f>IF(Result_notebook_retravaill!I195&gt;Result_notebook_retravaill!G195,0,IF(Result_notebook_retravaill!I195+Result_notebook_retravaill!J195&gt;Result_notebook_retravaill!G195,0,Result_notebook_retravaill!M195))</f>
        <v>19860.61398603554</v>
      </c>
      <c r="M195" s="31">
        <f t="shared" ref="M195:M258" si="3">SUM(J195:L195)-G195</f>
        <v>0</v>
      </c>
    </row>
    <row r="196" spans="1:13" x14ac:dyDescent="0.35">
      <c r="A196">
        <f>Result_notebook_retravaill!A196</f>
        <v>2027</v>
      </c>
      <c r="B196" t="str">
        <f>Result_notebook_retravaill!B196</f>
        <v>Cobalt</v>
      </c>
      <c r="C196" t="str">
        <f>Result_notebook_retravaill!C196</f>
        <v>Global Net-zero</v>
      </c>
      <c r="D196" t="str">
        <f>Result_notebook_retravaill!D196</f>
        <v>Production potential</v>
      </c>
      <c r="E196" t="str">
        <f>Result_notebook_retravaill!E196</f>
        <v>100% CAN</v>
      </c>
      <c r="F196" t="str">
        <f>Result_notebook_retravaill!F196</f>
        <v>Integrated</v>
      </c>
      <c r="G196">
        <f>Result_notebook_retravaill!G196</f>
        <v>22192.22621013633</v>
      </c>
      <c r="H196" s="32">
        <f>IF(Result_notebook_retravaill!I196&gt;Result_notebook_retravaill!G196,Result_notebook_retravaill!I196/Result_notebook_retravaill!N196,Result_notebook_retravaill!H196)</f>
        <v>5307</v>
      </c>
      <c r="I196" s="32">
        <f>Result_notebook_retravaill!K196</f>
        <v>45129.877750309839</v>
      </c>
      <c r="J196" s="32">
        <f>MIN(G196,Result_notebook_retravaill!I196)</f>
        <v>2331.6122241007938</v>
      </c>
      <c r="K196" s="32">
        <f>IF(Result_notebook_retravaill!I196&gt;Result_notebook_retravaill!G196,0,IF(Result_notebook_retravaill!I196+Result_notebook_retravaill!J196&gt;Result_notebook_retravaill!G196,Result_notebook_retravaill!G196-Result_notebook_retravaill!I196,Result_notebook_retravaill!J196))</f>
        <v>0</v>
      </c>
      <c r="L196" s="32">
        <f>IF(Result_notebook_retravaill!I196&gt;Result_notebook_retravaill!G196,0,IF(Result_notebook_retravaill!I196+Result_notebook_retravaill!J196&gt;Result_notebook_retravaill!G196,0,Result_notebook_retravaill!M196))</f>
        <v>19860.61398603554</v>
      </c>
      <c r="M196" s="31">
        <f t="shared" si="3"/>
        <v>0</v>
      </c>
    </row>
    <row r="197" spans="1:13" x14ac:dyDescent="0.35">
      <c r="A197">
        <f>Result_notebook_retravaill!A197</f>
        <v>2027</v>
      </c>
      <c r="B197" t="str">
        <f>Result_notebook_retravaill!B197</f>
        <v>Copper</v>
      </c>
      <c r="C197" t="str">
        <f>Result_notebook_retravaill!C197</f>
        <v>Canada Net-zero</v>
      </c>
      <c r="D197" t="str">
        <f>Result_notebook_retravaill!D197</f>
        <v>Existing production</v>
      </c>
      <c r="E197" t="str">
        <f>Result_notebook_retravaill!E197</f>
        <v>Current shares</v>
      </c>
      <c r="F197" t="str">
        <f>Result_notebook_retravaill!F197</f>
        <v>NIMBY</v>
      </c>
      <c r="G197">
        <f>Result_notebook_retravaill!G197</f>
        <v>879225.45381998783</v>
      </c>
      <c r="H197" s="32">
        <f>IF(Result_notebook_retravaill!I197&gt;Result_notebook_retravaill!G197,Result_notebook_retravaill!I197/Result_notebook_retravaill!N197,Result_notebook_retravaill!H197)</f>
        <v>0</v>
      </c>
      <c r="I197" s="32">
        <f>Result_notebook_retravaill!K197</f>
        <v>1059307.775686732</v>
      </c>
      <c r="J197" s="32">
        <f>MIN(G197,Result_notebook_retravaill!I197)</f>
        <v>0</v>
      </c>
      <c r="K197" s="32">
        <f>IF(Result_notebook_retravaill!I197&gt;Result_notebook_retravaill!G197,0,IF(Result_notebook_retravaill!I197+Result_notebook_retravaill!J197&gt;Result_notebook_retravaill!G197,Result_notebook_retravaill!G197-Result_notebook_retravaill!I197,Result_notebook_retravaill!J197))</f>
        <v>0</v>
      </c>
      <c r="L197" s="32">
        <f>IF(Result_notebook_retravaill!I197&gt;Result_notebook_retravaill!G197,0,IF(Result_notebook_retravaill!I197+Result_notebook_retravaill!J197&gt;Result_notebook_retravaill!G197,0,Result_notebook_retravaill!M197))</f>
        <v>879225.45381998783</v>
      </c>
      <c r="M197" s="31">
        <f t="shared" si="3"/>
        <v>0</v>
      </c>
    </row>
    <row r="198" spans="1:13" x14ac:dyDescent="0.35">
      <c r="A198">
        <f>Result_notebook_retravaill!A198</f>
        <v>2027</v>
      </c>
      <c r="B198" t="str">
        <f>Result_notebook_retravaill!B198</f>
        <v>Copper</v>
      </c>
      <c r="C198" t="str">
        <f>Result_notebook_retravaill!C198</f>
        <v>Canada Net-zero</v>
      </c>
      <c r="D198" t="str">
        <f>Result_notebook_retravaill!D198</f>
        <v>Existing production</v>
      </c>
      <c r="E198" t="str">
        <f>Result_notebook_retravaill!E198</f>
        <v>Current shares</v>
      </c>
      <c r="F198" t="str">
        <f>Result_notebook_retravaill!F198</f>
        <v>Status Quo</v>
      </c>
      <c r="G198">
        <f>Result_notebook_retravaill!G198</f>
        <v>879225.45381998783</v>
      </c>
      <c r="H198" s="32">
        <f>IF(Result_notebook_retravaill!I198&gt;Result_notebook_retravaill!G198,Result_notebook_retravaill!I198/Result_notebook_retravaill!N198,Result_notebook_retravaill!H198)</f>
        <v>494964</v>
      </c>
      <c r="I198" s="32">
        <f>Result_notebook_retravaill!K198</f>
        <v>564343.77568673226</v>
      </c>
      <c r="J198" s="32">
        <f>MIN(G198,Result_notebook_retravaill!I198)</f>
        <v>260157.37839094709</v>
      </c>
      <c r="K198" s="32">
        <f>IF(Result_notebook_retravaill!I198&gt;Result_notebook_retravaill!G198,0,IF(Result_notebook_retravaill!I198+Result_notebook_retravaill!J198&gt;Result_notebook_retravaill!G198,Result_notebook_retravaill!G198-Result_notebook_retravaill!I198,Result_notebook_retravaill!J198))</f>
        <v>153011.72330396794</v>
      </c>
      <c r="L198" s="32">
        <f>IF(Result_notebook_retravaill!I198&gt;Result_notebook_retravaill!G198,0,IF(Result_notebook_retravaill!I198+Result_notebook_retravaill!J198&gt;Result_notebook_retravaill!G198,0,Result_notebook_retravaill!M198))</f>
        <v>466056.35212507274</v>
      </c>
      <c r="M198" s="31">
        <f t="shared" si="3"/>
        <v>0</v>
      </c>
    </row>
    <row r="199" spans="1:13" x14ac:dyDescent="0.35">
      <c r="A199">
        <f>Result_notebook_retravaill!A199</f>
        <v>2027</v>
      </c>
      <c r="B199" t="str">
        <f>Result_notebook_retravaill!B199</f>
        <v>Copper</v>
      </c>
      <c r="C199" t="str">
        <f>Result_notebook_retravaill!C199</f>
        <v>Canada Net-zero</v>
      </c>
      <c r="D199" t="str">
        <f>Result_notebook_retravaill!D199</f>
        <v>Production potential</v>
      </c>
      <c r="E199" t="str">
        <f>Result_notebook_retravaill!E199</f>
        <v>Current shares</v>
      </c>
      <c r="F199" t="str">
        <f>Result_notebook_retravaill!F199</f>
        <v>Expansion Extractive</v>
      </c>
      <c r="G199">
        <f>Result_notebook_retravaill!G199</f>
        <v>879225.45381998783</v>
      </c>
      <c r="H199" s="32">
        <f>IF(Result_notebook_retravaill!I199&gt;Result_notebook_retravaill!G199,Result_notebook_retravaill!I199/Result_notebook_retravaill!N199,Result_notebook_retravaill!H199)</f>
        <v>590861.05072993715</v>
      </c>
      <c r="I199" s="32">
        <f>Result_notebook_retravaill!K199</f>
        <v>468446.72495679511</v>
      </c>
      <c r="J199" s="32">
        <f>MIN(G199,Result_notebook_retravaill!I199)</f>
        <v>310561.70135852479</v>
      </c>
      <c r="K199" s="32">
        <f>IF(Result_notebook_retravaill!I199&gt;Result_notebook_retravaill!G199,0,IF(Result_notebook_retravaill!I199+Result_notebook_retravaill!J199&gt;Result_notebook_retravaill!G199,Result_notebook_retravaill!G199-Result_notebook_retravaill!I199,Result_notebook_retravaill!J199))</f>
        <v>182657.05708976992</v>
      </c>
      <c r="L199" s="32">
        <f>IF(Result_notebook_retravaill!I199&gt;Result_notebook_retravaill!G199,0,IF(Result_notebook_retravaill!I199+Result_notebook_retravaill!J199&gt;Result_notebook_retravaill!G199,0,Result_notebook_retravaill!M199))</f>
        <v>386006.69537169306</v>
      </c>
      <c r="M199" s="31">
        <f t="shared" si="3"/>
        <v>0</v>
      </c>
    </row>
    <row r="200" spans="1:13" x14ac:dyDescent="0.35">
      <c r="A200">
        <f>Result_notebook_retravaill!A200</f>
        <v>2027</v>
      </c>
      <c r="B200" t="str">
        <f>Result_notebook_retravaill!B200</f>
        <v>Copper</v>
      </c>
      <c r="C200" t="str">
        <f>Result_notebook_retravaill!C200</f>
        <v>Canada Net-zero</v>
      </c>
      <c r="D200" t="str">
        <f>Result_notebook_retravaill!D200</f>
        <v>Production potential</v>
      </c>
      <c r="E200" t="str">
        <f>Result_notebook_retravaill!E200</f>
        <v>Current shares</v>
      </c>
      <c r="F200" t="str">
        <f>Result_notebook_retravaill!F200</f>
        <v>Expansion Extractive+Circularity</v>
      </c>
      <c r="G200">
        <f>Result_notebook_retravaill!G200</f>
        <v>879225.45381998783</v>
      </c>
      <c r="H200" s="32">
        <f>IF(Result_notebook_retravaill!I200&gt;Result_notebook_retravaill!G200,Result_notebook_retravaill!I200/Result_notebook_retravaill!N200,Result_notebook_retravaill!H200)</f>
        <v>590861.05072993715</v>
      </c>
      <c r="I200" s="32">
        <f>Result_notebook_retravaill!K200</f>
        <v>468446.72495679511</v>
      </c>
      <c r="J200" s="32">
        <f>MIN(G200,Result_notebook_retravaill!I200)</f>
        <v>310561.70135852479</v>
      </c>
      <c r="K200" s="32">
        <f>IF(Result_notebook_retravaill!I200&gt;Result_notebook_retravaill!G200,0,IF(Result_notebook_retravaill!I200+Result_notebook_retravaill!J200&gt;Result_notebook_retravaill!G200,Result_notebook_retravaill!G200-Result_notebook_retravaill!I200,Result_notebook_retravaill!J200))</f>
        <v>182657.05708976992</v>
      </c>
      <c r="L200" s="32">
        <f>IF(Result_notebook_retravaill!I200&gt;Result_notebook_retravaill!G200,0,IF(Result_notebook_retravaill!I200+Result_notebook_retravaill!J200&gt;Result_notebook_retravaill!G200,0,Result_notebook_retravaill!M200))</f>
        <v>386006.69537169306</v>
      </c>
      <c r="M200" s="31">
        <f t="shared" si="3"/>
        <v>0</v>
      </c>
    </row>
    <row r="201" spans="1:13" x14ac:dyDescent="0.35">
      <c r="A201">
        <f>Result_notebook_retravaill!A201</f>
        <v>2027</v>
      </c>
      <c r="B201" t="str">
        <f>Result_notebook_retravaill!B201</f>
        <v>Copper</v>
      </c>
      <c r="C201" t="str">
        <f>Result_notebook_retravaill!C201</f>
        <v>Canada Net-zero</v>
      </c>
      <c r="D201" t="str">
        <f>Result_notebook_retravaill!D201</f>
        <v>Production potential</v>
      </c>
      <c r="E201" t="str">
        <f>Result_notebook_retravaill!E201</f>
        <v>100% CAN</v>
      </c>
      <c r="F201" t="str">
        <f>Result_notebook_retravaill!F201</f>
        <v>Integrated</v>
      </c>
      <c r="G201">
        <f>Result_notebook_retravaill!G201</f>
        <v>879225.45381998783</v>
      </c>
      <c r="H201" s="32">
        <f>IF(Result_notebook_retravaill!I201&gt;Result_notebook_retravaill!G201,Result_notebook_retravaill!I201/Result_notebook_retravaill!N201,Result_notebook_retravaill!H201)</f>
        <v>590861.05072993715</v>
      </c>
      <c r="I201" s="32">
        <f>Result_notebook_retravaill!K201</f>
        <v>468446.72495679511</v>
      </c>
      <c r="J201" s="32">
        <f>MIN(G201,Result_notebook_retravaill!I201)</f>
        <v>493218.758448295</v>
      </c>
      <c r="K201" s="32">
        <f>IF(Result_notebook_retravaill!I201&gt;Result_notebook_retravaill!G201,0,IF(Result_notebook_retravaill!I201+Result_notebook_retravaill!J201&gt;Result_notebook_retravaill!G201,Result_notebook_retravaill!G201-Result_notebook_retravaill!I201,Result_notebook_retravaill!J201))</f>
        <v>0</v>
      </c>
      <c r="L201" s="32">
        <f>IF(Result_notebook_retravaill!I201&gt;Result_notebook_retravaill!G201,0,IF(Result_notebook_retravaill!I201+Result_notebook_retravaill!J201&gt;Result_notebook_retravaill!G201,0,Result_notebook_retravaill!M201))</f>
        <v>386006.69537169283</v>
      </c>
      <c r="M201" s="31">
        <f t="shared" si="3"/>
        <v>0</v>
      </c>
    </row>
    <row r="202" spans="1:13" x14ac:dyDescent="0.35">
      <c r="A202">
        <f>Result_notebook_retravaill!A202</f>
        <v>2027</v>
      </c>
      <c r="B202" t="str">
        <f>Result_notebook_retravaill!B202</f>
        <v>Copper</v>
      </c>
      <c r="C202" t="str">
        <f>Result_notebook_retravaill!C202</f>
        <v>Current Measures</v>
      </c>
      <c r="D202" t="str">
        <f>Result_notebook_retravaill!D202</f>
        <v>Existing production</v>
      </c>
      <c r="E202" t="str">
        <f>Result_notebook_retravaill!E202</f>
        <v>Current shares</v>
      </c>
      <c r="F202" t="str">
        <f>Result_notebook_retravaill!F202</f>
        <v>NIMBY</v>
      </c>
      <c r="G202">
        <f>Result_notebook_retravaill!G202</f>
        <v>866407.3331157451</v>
      </c>
      <c r="H202" s="32">
        <f>IF(Result_notebook_retravaill!I202&gt;Result_notebook_retravaill!G202,Result_notebook_retravaill!I202/Result_notebook_retravaill!N202,Result_notebook_retravaill!H202)</f>
        <v>0</v>
      </c>
      <c r="I202" s="32">
        <f>Result_notebook_retravaill!K202</f>
        <v>1043864.256765958</v>
      </c>
      <c r="J202" s="32">
        <f>MIN(G202,Result_notebook_retravaill!I202)</f>
        <v>0</v>
      </c>
      <c r="K202" s="32">
        <f>IF(Result_notebook_retravaill!I202&gt;Result_notebook_retravaill!G202,0,IF(Result_notebook_retravaill!I202+Result_notebook_retravaill!J202&gt;Result_notebook_retravaill!G202,Result_notebook_retravaill!G202-Result_notebook_retravaill!I202,Result_notebook_retravaill!J202))</f>
        <v>0</v>
      </c>
      <c r="L202" s="32">
        <f>IF(Result_notebook_retravaill!I202&gt;Result_notebook_retravaill!G202,0,IF(Result_notebook_retravaill!I202+Result_notebook_retravaill!J202&gt;Result_notebook_retravaill!G202,0,Result_notebook_retravaill!M202))</f>
        <v>866407.3331157451</v>
      </c>
      <c r="M202" s="31">
        <f t="shared" si="3"/>
        <v>0</v>
      </c>
    </row>
    <row r="203" spans="1:13" x14ac:dyDescent="0.35">
      <c r="A203">
        <f>Result_notebook_retravaill!A203</f>
        <v>2027</v>
      </c>
      <c r="B203" t="str">
        <f>Result_notebook_retravaill!B203</f>
        <v>Copper</v>
      </c>
      <c r="C203" t="str">
        <f>Result_notebook_retravaill!C203</f>
        <v>Current Measures</v>
      </c>
      <c r="D203" t="str">
        <f>Result_notebook_retravaill!D203</f>
        <v>Existing production</v>
      </c>
      <c r="E203" t="str">
        <f>Result_notebook_retravaill!E203</f>
        <v>Current shares</v>
      </c>
      <c r="F203" t="str">
        <f>Result_notebook_retravaill!F203</f>
        <v>Status Quo</v>
      </c>
      <c r="G203">
        <f>Result_notebook_retravaill!G203</f>
        <v>866407.3331157451</v>
      </c>
      <c r="H203" s="32">
        <f>IF(Result_notebook_retravaill!I203&gt;Result_notebook_retravaill!G203,Result_notebook_retravaill!I203/Result_notebook_retravaill!N203,Result_notebook_retravaill!H203)</f>
        <v>494964</v>
      </c>
      <c r="I203" s="32">
        <f>Result_notebook_retravaill!K203</f>
        <v>548900.25676595804</v>
      </c>
      <c r="J203" s="32">
        <f>MIN(G203,Result_notebook_retravaill!I203)</f>
        <v>260157.37839094709</v>
      </c>
      <c r="K203" s="32">
        <f>IF(Result_notebook_retravaill!I203&gt;Result_notebook_retravaill!G203,0,IF(Result_notebook_retravaill!I203+Result_notebook_retravaill!J203&gt;Result_notebook_retravaill!G203,Result_notebook_retravaill!G203-Result_notebook_retravaill!I203,Result_notebook_retravaill!J203))</f>
        <v>153011.72330396794</v>
      </c>
      <c r="L203" s="32">
        <f>IF(Result_notebook_retravaill!I203&gt;Result_notebook_retravaill!G203,0,IF(Result_notebook_retravaill!I203+Result_notebook_retravaill!J203&gt;Result_notebook_retravaill!G203,0,Result_notebook_retravaill!M203))</f>
        <v>453238.23142083001</v>
      </c>
      <c r="M203" s="31">
        <f t="shared" si="3"/>
        <v>0</v>
      </c>
    </row>
    <row r="204" spans="1:13" x14ac:dyDescent="0.35">
      <c r="A204">
        <f>Result_notebook_retravaill!A204</f>
        <v>2027</v>
      </c>
      <c r="B204" t="str">
        <f>Result_notebook_retravaill!B204</f>
        <v>Copper</v>
      </c>
      <c r="C204" t="str">
        <f>Result_notebook_retravaill!C204</f>
        <v>Current Measures</v>
      </c>
      <c r="D204" t="str">
        <f>Result_notebook_retravaill!D204</f>
        <v>Production potential</v>
      </c>
      <c r="E204" t="str">
        <f>Result_notebook_retravaill!E204</f>
        <v>Current shares</v>
      </c>
      <c r="F204" t="str">
        <f>Result_notebook_retravaill!F204</f>
        <v>Expansion Extractive</v>
      </c>
      <c r="G204">
        <f>Result_notebook_retravaill!G204</f>
        <v>866407.3331157451</v>
      </c>
      <c r="H204" s="32">
        <f>IF(Result_notebook_retravaill!I204&gt;Result_notebook_retravaill!G204,Result_notebook_retravaill!I204/Result_notebook_retravaill!N204,Result_notebook_retravaill!H204)</f>
        <v>590861.05072993715</v>
      </c>
      <c r="I204" s="32">
        <f>Result_notebook_retravaill!K204</f>
        <v>453003.20603602089</v>
      </c>
      <c r="J204" s="32">
        <f>MIN(G204,Result_notebook_retravaill!I204)</f>
        <v>310561.70135852479</v>
      </c>
      <c r="K204" s="32">
        <f>IF(Result_notebook_retravaill!I204&gt;Result_notebook_retravaill!G204,0,IF(Result_notebook_retravaill!I204+Result_notebook_retravaill!J204&gt;Result_notebook_retravaill!G204,Result_notebook_retravaill!G204-Result_notebook_retravaill!I204,Result_notebook_retravaill!J204))</f>
        <v>182657.05708976992</v>
      </c>
      <c r="L204" s="32">
        <f>IF(Result_notebook_retravaill!I204&gt;Result_notebook_retravaill!G204,0,IF(Result_notebook_retravaill!I204+Result_notebook_retravaill!J204&gt;Result_notebook_retravaill!G204,0,Result_notebook_retravaill!M204))</f>
        <v>373188.57466745033</v>
      </c>
      <c r="M204" s="31">
        <f t="shared" si="3"/>
        <v>0</v>
      </c>
    </row>
    <row r="205" spans="1:13" x14ac:dyDescent="0.35">
      <c r="A205">
        <f>Result_notebook_retravaill!A205</f>
        <v>2027</v>
      </c>
      <c r="B205" t="str">
        <f>Result_notebook_retravaill!B205</f>
        <v>Copper</v>
      </c>
      <c r="C205" t="str">
        <f>Result_notebook_retravaill!C205</f>
        <v>Current Measures</v>
      </c>
      <c r="D205" t="str">
        <f>Result_notebook_retravaill!D205</f>
        <v>Production potential</v>
      </c>
      <c r="E205" t="str">
        <f>Result_notebook_retravaill!E205</f>
        <v>Current shares</v>
      </c>
      <c r="F205" t="str">
        <f>Result_notebook_retravaill!F205</f>
        <v>Expansion Extractive+Circularity</v>
      </c>
      <c r="G205">
        <f>Result_notebook_retravaill!G205</f>
        <v>866407.3331157451</v>
      </c>
      <c r="H205" s="32">
        <f>IF(Result_notebook_retravaill!I205&gt;Result_notebook_retravaill!G205,Result_notebook_retravaill!I205/Result_notebook_retravaill!N205,Result_notebook_retravaill!H205)</f>
        <v>590861.05072993715</v>
      </c>
      <c r="I205" s="32">
        <f>Result_notebook_retravaill!K205</f>
        <v>453003.20603602089</v>
      </c>
      <c r="J205" s="32">
        <f>MIN(G205,Result_notebook_retravaill!I205)</f>
        <v>310561.70135852479</v>
      </c>
      <c r="K205" s="32">
        <f>IF(Result_notebook_retravaill!I205&gt;Result_notebook_retravaill!G205,0,IF(Result_notebook_retravaill!I205+Result_notebook_retravaill!J205&gt;Result_notebook_retravaill!G205,Result_notebook_retravaill!G205-Result_notebook_retravaill!I205,Result_notebook_retravaill!J205))</f>
        <v>182657.05708976992</v>
      </c>
      <c r="L205" s="32">
        <f>IF(Result_notebook_retravaill!I205&gt;Result_notebook_retravaill!G205,0,IF(Result_notebook_retravaill!I205+Result_notebook_retravaill!J205&gt;Result_notebook_retravaill!G205,0,Result_notebook_retravaill!M205))</f>
        <v>373188.57466745033</v>
      </c>
      <c r="M205" s="31">
        <f t="shared" si="3"/>
        <v>0</v>
      </c>
    </row>
    <row r="206" spans="1:13" x14ac:dyDescent="0.35">
      <c r="A206">
        <f>Result_notebook_retravaill!A206</f>
        <v>2027</v>
      </c>
      <c r="B206" t="str">
        <f>Result_notebook_retravaill!B206</f>
        <v>Copper</v>
      </c>
      <c r="C206" t="str">
        <f>Result_notebook_retravaill!C206</f>
        <v>Current Measures</v>
      </c>
      <c r="D206" t="str">
        <f>Result_notebook_retravaill!D206</f>
        <v>Production potential</v>
      </c>
      <c r="E206" t="str">
        <f>Result_notebook_retravaill!E206</f>
        <v>100% CAN</v>
      </c>
      <c r="F206" t="str">
        <f>Result_notebook_retravaill!F206</f>
        <v>Integrated</v>
      </c>
      <c r="G206">
        <f>Result_notebook_retravaill!G206</f>
        <v>866407.3331157451</v>
      </c>
      <c r="H206" s="32">
        <f>IF(Result_notebook_retravaill!I206&gt;Result_notebook_retravaill!G206,Result_notebook_retravaill!I206/Result_notebook_retravaill!N206,Result_notebook_retravaill!H206)</f>
        <v>590861.05072993715</v>
      </c>
      <c r="I206" s="32">
        <f>Result_notebook_retravaill!K206</f>
        <v>453003.20603602089</v>
      </c>
      <c r="J206" s="32">
        <f>MIN(G206,Result_notebook_retravaill!I206)</f>
        <v>493218.758448295</v>
      </c>
      <c r="K206" s="32">
        <f>IF(Result_notebook_retravaill!I206&gt;Result_notebook_retravaill!G206,0,IF(Result_notebook_retravaill!I206+Result_notebook_retravaill!J206&gt;Result_notebook_retravaill!G206,Result_notebook_retravaill!G206-Result_notebook_retravaill!I206,Result_notebook_retravaill!J206))</f>
        <v>0</v>
      </c>
      <c r="L206" s="32">
        <f>IF(Result_notebook_retravaill!I206&gt;Result_notebook_retravaill!G206,0,IF(Result_notebook_retravaill!I206+Result_notebook_retravaill!J206&gt;Result_notebook_retravaill!G206,0,Result_notebook_retravaill!M206))</f>
        <v>373188.5746674501</v>
      </c>
      <c r="M206" s="31">
        <f t="shared" si="3"/>
        <v>0</v>
      </c>
    </row>
    <row r="207" spans="1:13" x14ac:dyDescent="0.35">
      <c r="A207">
        <f>Result_notebook_retravaill!A207</f>
        <v>2027</v>
      </c>
      <c r="B207" t="str">
        <f>Result_notebook_retravaill!B207</f>
        <v>Copper</v>
      </c>
      <c r="C207" t="str">
        <f>Result_notebook_retravaill!C207</f>
        <v>Global Net-zero</v>
      </c>
      <c r="D207" t="str">
        <f>Result_notebook_retravaill!D207</f>
        <v>Existing production</v>
      </c>
      <c r="E207" t="str">
        <f>Result_notebook_retravaill!E207</f>
        <v>Current shares</v>
      </c>
      <c r="F207" t="str">
        <f>Result_notebook_retravaill!F207</f>
        <v>NIMBY</v>
      </c>
      <c r="G207">
        <f>Result_notebook_retravaill!G207</f>
        <v>866145.78883753635</v>
      </c>
      <c r="H207" s="32">
        <f>IF(Result_notebook_retravaill!I207&gt;Result_notebook_retravaill!G207,Result_notebook_retravaill!I207/Result_notebook_retravaill!N207,Result_notebook_retravaill!H207)</f>
        <v>0</v>
      </c>
      <c r="I207" s="32">
        <f>Result_notebook_retravaill!K207</f>
        <v>1043549.1431777549</v>
      </c>
      <c r="J207" s="32">
        <f>MIN(G207,Result_notebook_retravaill!I207)</f>
        <v>0</v>
      </c>
      <c r="K207" s="32">
        <f>IF(Result_notebook_retravaill!I207&gt;Result_notebook_retravaill!G207,0,IF(Result_notebook_retravaill!I207+Result_notebook_retravaill!J207&gt;Result_notebook_retravaill!G207,Result_notebook_retravaill!G207-Result_notebook_retravaill!I207,Result_notebook_retravaill!J207))</f>
        <v>0</v>
      </c>
      <c r="L207" s="32">
        <f>IF(Result_notebook_retravaill!I207&gt;Result_notebook_retravaill!G207,0,IF(Result_notebook_retravaill!I207+Result_notebook_retravaill!J207&gt;Result_notebook_retravaill!G207,0,Result_notebook_retravaill!M207))</f>
        <v>866145.78883753635</v>
      </c>
      <c r="M207" s="31">
        <f t="shared" si="3"/>
        <v>0</v>
      </c>
    </row>
    <row r="208" spans="1:13" x14ac:dyDescent="0.35">
      <c r="A208">
        <f>Result_notebook_retravaill!A208</f>
        <v>2027</v>
      </c>
      <c r="B208" t="str">
        <f>Result_notebook_retravaill!B208</f>
        <v>Copper</v>
      </c>
      <c r="C208" t="str">
        <f>Result_notebook_retravaill!C208</f>
        <v>Global Net-zero</v>
      </c>
      <c r="D208" t="str">
        <f>Result_notebook_retravaill!D208</f>
        <v>Existing production</v>
      </c>
      <c r="E208" t="str">
        <f>Result_notebook_retravaill!E208</f>
        <v>Current shares</v>
      </c>
      <c r="F208" t="str">
        <f>Result_notebook_retravaill!F208</f>
        <v>Status Quo</v>
      </c>
      <c r="G208">
        <f>Result_notebook_retravaill!G208</f>
        <v>866145.78883753635</v>
      </c>
      <c r="H208" s="32">
        <f>IF(Result_notebook_retravaill!I208&gt;Result_notebook_retravaill!G208,Result_notebook_retravaill!I208/Result_notebook_retravaill!N208,Result_notebook_retravaill!H208)</f>
        <v>494964</v>
      </c>
      <c r="I208" s="32">
        <f>Result_notebook_retravaill!K208</f>
        <v>548585.14317775471</v>
      </c>
      <c r="J208" s="32">
        <f>MIN(G208,Result_notebook_retravaill!I208)</f>
        <v>260157.37839094709</v>
      </c>
      <c r="K208" s="32">
        <f>IF(Result_notebook_retravaill!I208&gt;Result_notebook_retravaill!G208,0,IF(Result_notebook_retravaill!I208+Result_notebook_retravaill!J208&gt;Result_notebook_retravaill!G208,Result_notebook_retravaill!G208-Result_notebook_retravaill!I208,Result_notebook_retravaill!J208))</f>
        <v>153011.72330396794</v>
      </c>
      <c r="L208" s="32">
        <f>IF(Result_notebook_retravaill!I208&gt;Result_notebook_retravaill!G208,0,IF(Result_notebook_retravaill!I208+Result_notebook_retravaill!J208&gt;Result_notebook_retravaill!G208,0,Result_notebook_retravaill!M208))</f>
        <v>452976.68714262126</v>
      </c>
      <c r="M208" s="31">
        <f t="shared" si="3"/>
        <v>0</v>
      </c>
    </row>
    <row r="209" spans="1:13" x14ac:dyDescent="0.35">
      <c r="A209">
        <f>Result_notebook_retravaill!A209</f>
        <v>2027</v>
      </c>
      <c r="B209" t="str">
        <f>Result_notebook_retravaill!B209</f>
        <v>Copper</v>
      </c>
      <c r="C209" t="str">
        <f>Result_notebook_retravaill!C209</f>
        <v>Global Net-zero</v>
      </c>
      <c r="D209" t="str">
        <f>Result_notebook_retravaill!D209</f>
        <v>Production potential</v>
      </c>
      <c r="E209" t="str">
        <f>Result_notebook_retravaill!E209</f>
        <v>Current shares</v>
      </c>
      <c r="F209" t="str">
        <f>Result_notebook_retravaill!F209</f>
        <v>Expansion Extractive</v>
      </c>
      <c r="G209">
        <f>Result_notebook_retravaill!G209</f>
        <v>866145.78883753635</v>
      </c>
      <c r="H209" s="32">
        <f>IF(Result_notebook_retravaill!I209&gt;Result_notebook_retravaill!G209,Result_notebook_retravaill!I209/Result_notebook_retravaill!N209,Result_notebook_retravaill!H209)</f>
        <v>590861.05072993715</v>
      </c>
      <c r="I209" s="32">
        <f>Result_notebook_retravaill!K209</f>
        <v>452688.09244781762</v>
      </c>
      <c r="J209" s="32">
        <f>MIN(G209,Result_notebook_retravaill!I209)</f>
        <v>310561.70135852479</v>
      </c>
      <c r="K209" s="32">
        <f>IF(Result_notebook_retravaill!I209&gt;Result_notebook_retravaill!G209,0,IF(Result_notebook_retravaill!I209+Result_notebook_retravaill!J209&gt;Result_notebook_retravaill!G209,Result_notebook_retravaill!G209-Result_notebook_retravaill!I209,Result_notebook_retravaill!J209))</f>
        <v>182657.05708976992</v>
      </c>
      <c r="L209" s="32">
        <f>IF(Result_notebook_retravaill!I209&gt;Result_notebook_retravaill!G209,0,IF(Result_notebook_retravaill!I209+Result_notebook_retravaill!J209&gt;Result_notebook_retravaill!G209,0,Result_notebook_retravaill!M209))</f>
        <v>372927.0303892417</v>
      </c>
      <c r="M209" s="31">
        <f t="shared" si="3"/>
        <v>0</v>
      </c>
    </row>
    <row r="210" spans="1:13" x14ac:dyDescent="0.35">
      <c r="A210">
        <f>Result_notebook_retravaill!A210</f>
        <v>2027</v>
      </c>
      <c r="B210" t="str">
        <f>Result_notebook_retravaill!B210</f>
        <v>Copper</v>
      </c>
      <c r="C210" t="str">
        <f>Result_notebook_retravaill!C210</f>
        <v>Global Net-zero</v>
      </c>
      <c r="D210" t="str">
        <f>Result_notebook_retravaill!D210</f>
        <v>Production potential</v>
      </c>
      <c r="E210" t="str">
        <f>Result_notebook_retravaill!E210</f>
        <v>Current shares</v>
      </c>
      <c r="F210" t="str">
        <f>Result_notebook_retravaill!F210</f>
        <v>Expansion Extractive+Circularity</v>
      </c>
      <c r="G210">
        <f>Result_notebook_retravaill!G210</f>
        <v>866145.78883753635</v>
      </c>
      <c r="H210" s="32">
        <f>IF(Result_notebook_retravaill!I210&gt;Result_notebook_retravaill!G210,Result_notebook_retravaill!I210/Result_notebook_retravaill!N210,Result_notebook_retravaill!H210)</f>
        <v>590861.05072993715</v>
      </c>
      <c r="I210" s="32">
        <f>Result_notebook_retravaill!K210</f>
        <v>452688.09244781762</v>
      </c>
      <c r="J210" s="32">
        <f>MIN(G210,Result_notebook_retravaill!I210)</f>
        <v>310561.70135852479</v>
      </c>
      <c r="K210" s="32">
        <f>IF(Result_notebook_retravaill!I210&gt;Result_notebook_retravaill!G210,0,IF(Result_notebook_retravaill!I210+Result_notebook_retravaill!J210&gt;Result_notebook_retravaill!G210,Result_notebook_retravaill!G210-Result_notebook_retravaill!I210,Result_notebook_retravaill!J210))</f>
        <v>182657.05708976992</v>
      </c>
      <c r="L210" s="32">
        <f>IF(Result_notebook_retravaill!I210&gt;Result_notebook_retravaill!G210,0,IF(Result_notebook_retravaill!I210+Result_notebook_retravaill!J210&gt;Result_notebook_retravaill!G210,0,Result_notebook_retravaill!M210))</f>
        <v>372927.0303892417</v>
      </c>
      <c r="M210" s="31">
        <f t="shared" si="3"/>
        <v>0</v>
      </c>
    </row>
    <row r="211" spans="1:13" x14ac:dyDescent="0.35">
      <c r="A211">
        <f>Result_notebook_retravaill!A211</f>
        <v>2027</v>
      </c>
      <c r="B211" t="str">
        <f>Result_notebook_retravaill!B211</f>
        <v>Copper</v>
      </c>
      <c r="C211" t="str">
        <f>Result_notebook_retravaill!C211</f>
        <v>Global Net-zero</v>
      </c>
      <c r="D211" t="str">
        <f>Result_notebook_retravaill!D211</f>
        <v>Production potential</v>
      </c>
      <c r="E211" t="str">
        <f>Result_notebook_retravaill!E211</f>
        <v>100% CAN</v>
      </c>
      <c r="F211" t="str">
        <f>Result_notebook_retravaill!F211</f>
        <v>Integrated</v>
      </c>
      <c r="G211">
        <f>Result_notebook_retravaill!G211</f>
        <v>866145.78883753635</v>
      </c>
      <c r="H211" s="32">
        <f>IF(Result_notebook_retravaill!I211&gt;Result_notebook_retravaill!G211,Result_notebook_retravaill!I211/Result_notebook_retravaill!N211,Result_notebook_retravaill!H211)</f>
        <v>590861.05072993715</v>
      </c>
      <c r="I211" s="32">
        <f>Result_notebook_retravaill!K211</f>
        <v>452688.09244781762</v>
      </c>
      <c r="J211" s="32">
        <f>MIN(G211,Result_notebook_retravaill!I211)</f>
        <v>493218.758448295</v>
      </c>
      <c r="K211" s="32">
        <f>IF(Result_notebook_retravaill!I211&gt;Result_notebook_retravaill!G211,0,IF(Result_notebook_retravaill!I211+Result_notebook_retravaill!J211&gt;Result_notebook_retravaill!G211,Result_notebook_retravaill!G211-Result_notebook_retravaill!I211,Result_notebook_retravaill!J211))</f>
        <v>0</v>
      </c>
      <c r="L211" s="32">
        <f>IF(Result_notebook_retravaill!I211&gt;Result_notebook_retravaill!G211,0,IF(Result_notebook_retravaill!I211+Result_notebook_retravaill!J211&gt;Result_notebook_retravaill!G211,0,Result_notebook_retravaill!M211))</f>
        <v>372927.03038924141</v>
      </c>
      <c r="M211" s="31">
        <f t="shared" si="3"/>
        <v>0</v>
      </c>
    </row>
    <row r="212" spans="1:13" x14ac:dyDescent="0.35">
      <c r="A212">
        <f>Result_notebook_retravaill!A212</f>
        <v>2027</v>
      </c>
      <c r="B212" t="str">
        <f>Result_notebook_retravaill!B212</f>
        <v>Neodymium</v>
      </c>
      <c r="C212" t="str">
        <f>Result_notebook_retravaill!C212</f>
        <v>Canada Net-zero</v>
      </c>
      <c r="D212" t="str">
        <f>Result_notebook_retravaill!D212</f>
        <v>Existing production</v>
      </c>
      <c r="E212" t="str">
        <f>Result_notebook_retravaill!E212</f>
        <v>Current shares</v>
      </c>
      <c r="F212" t="str">
        <f>Result_notebook_retravaill!F212</f>
        <v>NIMBY</v>
      </c>
      <c r="G212">
        <f>Result_notebook_retravaill!G212</f>
        <v>886.00915439887626</v>
      </c>
      <c r="H212" s="32">
        <f>IF(Result_notebook_retravaill!I212&gt;Result_notebook_retravaill!G212,Result_notebook_retravaill!I212/Result_notebook_retravaill!N212,Result_notebook_retravaill!H212)</f>
        <v>0</v>
      </c>
      <c r="I212" s="32">
        <f>Result_notebook_retravaill!K212</f>
        <v>1476.6819239981271</v>
      </c>
      <c r="J212" s="32">
        <f>MIN(G212,Result_notebook_retravaill!I212)</f>
        <v>0</v>
      </c>
      <c r="K212" s="32">
        <f>IF(Result_notebook_retravaill!I212&gt;Result_notebook_retravaill!G212,0,IF(Result_notebook_retravaill!I212+Result_notebook_retravaill!J212&gt;Result_notebook_retravaill!G212,Result_notebook_retravaill!G212-Result_notebook_retravaill!I212,Result_notebook_retravaill!J212))</f>
        <v>0</v>
      </c>
      <c r="L212" s="32">
        <f>IF(Result_notebook_retravaill!I212&gt;Result_notebook_retravaill!G212,0,IF(Result_notebook_retravaill!I212+Result_notebook_retravaill!J212&gt;Result_notebook_retravaill!G212,0,Result_notebook_retravaill!M212))</f>
        <v>886.00915439887626</v>
      </c>
      <c r="M212" s="31">
        <f t="shared" si="3"/>
        <v>0</v>
      </c>
    </row>
    <row r="213" spans="1:13" x14ac:dyDescent="0.35">
      <c r="A213">
        <f>Result_notebook_retravaill!A213</f>
        <v>2027</v>
      </c>
      <c r="B213" t="str">
        <f>Result_notebook_retravaill!B213</f>
        <v>Neodymium</v>
      </c>
      <c r="C213" t="str">
        <f>Result_notebook_retravaill!C213</f>
        <v>Canada Net-zero</v>
      </c>
      <c r="D213" t="str">
        <f>Result_notebook_retravaill!D213</f>
        <v>Existing production</v>
      </c>
      <c r="E213" t="str">
        <f>Result_notebook_retravaill!E213</f>
        <v>Current shares</v>
      </c>
      <c r="F213" t="str">
        <f>Result_notebook_retravaill!F213</f>
        <v>Status Quo</v>
      </c>
      <c r="G213">
        <f>Result_notebook_retravaill!G213</f>
        <v>886.00915439887626</v>
      </c>
      <c r="H213" s="32">
        <f>IF(Result_notebook_retravaill!I213&gt;Result_notebook_retravaill!G213,Result_notebook_retravaill!I213/Result_notebook_retravaill!N213,Result_notebook_retravaill!H213)</f>
        <v>0</v>
      </c>
      <c r="I213" s="32">
        <f>Result_notebook_retravaill!K213</f>
        <v>1476.6819239981271</v>
      </c>
      <c r="J213" s="32">
        <f>MIN(G213,Result_notebook_retravaill!I213)</f>
        <v>0</v>
      </c>
      <c r="K213" s="32">
        <f>IF(Result_notebook_retravaill!I213&gt;Result_notebook_retravaill!G213,0,IF(Result_notebook_retravaill!I213+Result_notebook_retravaill!J213&gt;Result_notebook_retravaill!G213,Result_notebook_retravaill!G213-Result_notebook_retravaill!I213,Result_notebook_retravaill!J213))</f>
        <v>0</v>
      </c>
      <c r="L213" s="32">
        <f>IF(Result_notebook_retravaill!I213&gt;Result_notebook_retravaill!G213,0,IF(Result_notebook_retravaill!I213+Result_notebook_retravaill!J213&gt;Result_notebook_retravaill!G213,0,Result_notebook_retravaill!M213))</f>
        <v>886.00915439887626</v>
      </c>
      <c r="M213" s="31">
        <f t="shared" si="3"/>
        <v>0</v>
      </c>
    </row>
    <row r="214" spans="1:13" x14ac:dyDescent="0.35">
      <c r="A214">
        <f>Result_notebook_retravaill!A214</f>
        <v>2027</v>
      </c>
      <c r="B214" t="str">
        <f>Result_notebook_retravaill!B214</f>
        <v>Neodymium</v>
      </c>
      <c r="C214" t="str">
        <f>Result_notebook_retravaill!C214</f>
        <v>Canada Net-zero</v>
      </c>
      <c r="D214" t="str">
        <f>Result_notebook_retravaill!D214</f>
        <v>Production potential</v>
      </c>
      <c r="E214" t="str">
        <f>Result_notebook_retravaill!E214</f>
        <v>Current shares</v>
      </c>
      <c r="F214" t="str">
        <f>Result_notebook_retravaill!F214</f>
        <v>Expansion Extractive</v>
      </c>
      <c r="G214">
        <f>Result_notebook_retravaill!G214</f>
        <v>886.00915439887626</v>
      </c>
      <c r="H214" s="32">
        <f>IF(Result_notebook_retravaill!I214&gt;Result_notebook_retravaill!G214,Result_notebook_retravaill!I214/Result_notebook_retravaill!N214,Result_notebook_retravaill!H214)</f>
        <v>5.395337211526285</v>
      </c>
      <c r="I214" s="32">
        <f>Result_notebook_retravaill!K214</f>
        <v>1471.286586786601</v>
      </c>
      <c r="J214" s="32">
        <f>MIN(G214,Result_notebook_retravaill!I214)</f>
        <v>3.229346251882661</v>
      </c>
      <c r="K214" s="32">
        <f>IF(Result_notebook_retravaill!I214&gt;Result_notebook_retravaill!G214,0,IF(Result_notebook_retravaill!I214+Result_notebook_retravaill!J214&gt;Result_notebook_retravaill!G214,Result_notebook_retravaill!G214-Result_notebook_retravaill!I214,Result_notebook_retravaill!J214))</f>
        <v>2.165990959643624</v>
      </c>
      <c r="L214" s="32">
        <f>IF(Result_notebook_retravaill!I214&gt;Result_notebook_retravaill!G214,0,IF(Result_notebook_retravaill!I214+Result_notebook_retravaill!J214&gt;Result_notebook_retravaill!G214,0,Result_notebook_retravaill!M214))</f>
        <v>880.61381718734992</v>
      </c>
      <c r="M214" s="31">
        <f t="shared" si="3"/>
        <v>0</v>
      </c>
    </row>
    <row r="215" spans="1:13" x14ac:dyDescent="0.35">
      <c r="A215">
        <f>Result_notebook_retravaill!A215</f>
        <v>2027</v>
      </c>
      <c r="B215" t="str">
        <f>Result_notebook_retravaill!B215</f>
        <v>Neodymium</v>
      </c>
      <c r="C215" t="str">
        <f>Result_notebook_retravaill!C215</f>
        <v>Canada Net-zero</v>
      </c>
      <c r="D215" t="str">
        <f>Result_notebook_retravaill!D215</f>
        <v>Production potential</v>
      </c>
      <c r="E215" t="str">
        <f>Result_notebook_retravaill!E215</f>
        <v>Current shares</v>
      </c>
      <c r="F215" t="str">
        <f>Result_notebook_retravaill!F215</f>
        <v>Expansion Extractive+Circularity</v>
      </c>
      <c r="G215">
        <f>Result_notebook_retravaill!G215</f>
        <v>886.00915439887626</v>
      </c>
      <c r="H215" s="32">
        <f>IF(Result_notebook_retravaill!I215&gt;Result_notebook_retravaill!G215,Result_notebook_retravaill!I215/Result_notebook_retravaill!N215,Result_notebook_retravaill!H215)</f>
        <v>5.395337211526285</v>
      </c>
      <c r="I215" s="32">
        <f>Result_notebook_retravaill!K215</f>
        <v>1471.286586786601</v>
      </c>
      <c r="J215" s="32">
        <f>MIN(G215,Result_notebook_retravaill!I215)</f>
        <v>3.229346251882661</v>
      </c>
      <c r="K215" s="32">
        <f>IF(Result_notebook_retravaill!I215&gt;Result_notebook_retravaill!G215,0,IF(Result_notebook_retravaill!I215+Result_notebook_retravaill!J215&gt;Result_notebook_retravaill!G215,Result_notebook_retravaill!G215-Result_notebook_retravaill!I215,Result_notebook_retravaill!J215))</f>
        <v>2.165990959643624</v>
      </c>
      <c r="L215" s="32">
        <f>IF(Result_notebook_retravaill!I215&gt;Result_notebook_retravaill!G215,0,IF(Result_notebook_retravaill!I215+Result_notebook_retravaill!J215&gt;Result_notebook_retravaill!G215,0,Result_notebook_retravaill!M215))</f>
        <v>880.61381718734992</v>
      </c>
      <c r="M215" s="31">
        <f t="shared" si="3"/>
        <v>0</v>
      </c>
    </row>
    <row r="216" spans="1:13" x14ac:dyDescent="0.35">
      <c r="A216">
        <f>Result_notebook_retravaill!A216</f>
        <v>2027</v>
      </c>
      <c r="B216" t="str">
        <f>Result_notebook_retravaill!B216</f>
        <v>Neodymium</v>
      </c>
      <c r="C216" t="str">
        <f>Result_notebook_retravaill!C216</f>
        <v>Canada Net-zero</v>
      </c>
      <c r="D216" t="str">
        <f>Result_notebook_retravaill!D216</f>
        <v>Production potential</v>
      </c>
      <c r="E216" t="str">
        <f>Result_notebook_retravaill!E216</f>
        <v>100% CAN</v>
      </c>
      <c r="F216" t="str">
        <f>Result_notebook_retravaill!F216</f>
        <v>Integrated</v>
      </c>
      <c r="G216">
        <f>Result_notebook_retravaill!G216</f>
        <v>886.00915439887626</v>
      </c>
      <c r="H216" s="32">
        <f>IF(Result_notebook_retravaill!I216&gt;Result_notebook_retravaill!G216,Result_notebook_retravaill!I216/Result_notebook_retravaill!N216,Result_notebook_retravaill!H216)</f>
        <v>5.395337211526285</v>
      </c>
      <c r="I216" s="32">
        <f>Result_notebook_retravaill!K216</f>
        <v>1471.286586786601</v>
      </c>
      <c r="J216" s="32">
        <f>MIN(G216,Result_notebook_retravaill!I216)</f>
        <v>3.229346251882661</v>
      </c>
      <c r="K216" s="32">
        <f>IF(Result_notebook_retravaill!I216&gt;Result_notebook_retravaill!G216,0,IF(Result_notebook_retravaill!I216+Result_notebook_retravaill!J216&gt;Result_notebook_retravaill!G216,Result_notebook_retravaill!G216-Result_notebook_retravaill!I216,Result_notebook_retravaill!J216))</f>
        <v>2.165990959643624</v>
      </c>
      <c r="L216" s="32">
        <f>IF(Result_notebook_retravaill!I216&gt;Result_notebook_retravaill!G216,0,IF(Result_notebook_retravaill!I216+Result_notebook_retravaill!J216&gt;Result_notebook_retravaill!G216,0,Result_notebook_retravaill!M216))</f>
        <v>880.61381718734992</v>
      </c>
      <c r="M216" s="31">
        <f t="shared" si="3"/>
        <v>0</v>
      </c>
    </row>
    <row r="217" spans="1:13" x14ac:dyDescent="0.35">
      <c r="A217">
        <f>Result_notebook_retravaill!A217</f>
        <v>2027</v>
      </c>
      <c r="B217" t="str">
        <f>Result_notebook_retravaill!B217</f>
        <v>Neodymium</v>
      </c>
      <c r="C217" t="str">
        <f>Result_notebook_retravaill!C217</f>
        <v>Current Measures</v>
      </c>
      <c r="D217" t="str">
        <f>Result_notebook_retravaill!D217</f>
        <v>Existing production</v>
      </c>
      <c r="E217" t="str">
        <f>Result_notebook_retravaill!E217</f>
        <v>Current shares</v>
      </c>
      <c r="F217" t="str">
        <f>Result_notebook_retravaill!F217</f>
        <v>NIMBY</v>
      </c>
      <c r="G217">
        <f>Result_notebook_retravaill!G217</f>
        <v>501.99193842105927</v>
      </c>
      <c r="H217" s="32">
        <f>IF(Result_notebook_retravaill!I217&gt;Result_notebook_retravaill!G217,Result_notebook_retravaill!I217/Result_notebook_retravaill!N217,Result_notebook_retravaill!H217)</f>
        <v>0</v>
      </c>
      <c r="I217" s="32">
        <f>Result_notebook_retravaill!K217</f>
        <v>836.65323070176544</v>
      </c>
      <c r="J217" s="32">
        <f>MIN(G217,Result_notebook_retravaill!I217)</f>
        <v>0</v>
      </c>
      <c r="K217" s="32">
        <f>IF(Result_notebook_retravaill!I217&gt;Result_notebook_retravaill!G217,0,IF(Result_notebook_retravaill!I217+Result_notebook_retravaill!J217&gt;Result_notebook_retravaill!G217,Result_notebook_retravaill!G217-Result_notebook_retravaill!I217,Result_notebook_retravaill!J217))</f>
        <v>0</v>
      </c>
      <c r="L217" s="32">
        <f>IF(Result_notebook_retravaill!I217&gt;Result_notebook_retravaill!G217,0,IF(Result_notebook_retravaill!I217+Result_notebook_retravaill!J217&gt;Result_notebook_retravaill!G217,0,Result_notebook_retravaill!M217))</f>
        <v>501.99193842105927</v>
      </c>
      <c r="M217" s="31">
        <f t="shared" si="3"/>
        <v>0</v>
      </c>
    </row>
    <row r="218" spans="1:13" x14ac:dyDescent="0.35">
      <c r="A218">
        <f>Result_notebook_retravaill!A218</f>
        <v>2027</v>
      </c>
      <c r="B218" t="str">
        <f>Result_notebook_retravaill!B218</f>
        <v>Neodymium</v>
      </c>
      <c r="C218" t="str">
        <f>Result_notebook_retravaill!C218</f>
        <v>Current Measures</v>
      </c>
      <c r="D218" t="str">
        <f>Result_notebook_retravaill!D218</f>
        <v>Existing production</v>
      </c>
      <c r="E218" t="str">
        <f>Result_notebook_retravaill!E218</f>
        <v>Current shares</v>
      </c>
      <c r="F218" t="str">
        <f>Result_notebook_retravaill!F218</f>
        <v>Status Quo</v>
      </c>
      <c r="G218">
        <f>Result_notebook_retravaill!G218</f>
        <v>501.99193842105927</v>
      </c>
      <c r="H218" s="32">
        <f>IF(Result_notebook_retravaill!I218&gt;Result_notebook_retravaill!G218,Result_notebook_retravaill!I218/Result_notebook_retravaill!N218,Result_notebook_retravaill!H218)</f>
        <v>0</v>
      </c>
      <c r="I218" s="32">
        <f>Result_notebook_retravaill!K218</f>
        <v>836.65323070176544</v>
      </c>
      <c r="J218" s="32">
        <f>MIN(G218,Result_notebook_retravaill!I218)</f>
        <v>0</v>
      </c>
      <c r="K218" s="32">
        <f>IF(Result_notebook_retravaill!I218&gt;Result_notebook_retravaill!G218,0,IF(Result_notebook_retravaill!I218+Result_notebook_retravaill!J218&gt;Result_notebook_retravaill!G218,Result_notebook_retravaill!G218-Result_notebook_retravaill!I218,Result_notebook_retravaill!J218))</f>
        <v>0</v>
      </c>
      <c r="L218" s="32">
        <f>IF(Result_notebook_retravaill!I218&gt;Result_notebook_retravaill!G218,0,IF(Result_notebook_retravaill!I218+Result_notebook_retravaill!J218&gt;Result_notebook_retravaill!G218,0,Result_notebook_retravaill!M218))</f>
        <v>501.99193842105927</v>
      </c>
      <c r="M218" s="31">
        <f t="shared" si="3"/>
        <v>0</v>
      </c>
    </row>
    <row r="219" spans="1:13" x14ac:dyDescent="0.35">
      <c r="A219">
        <f>Result_notebook_retravaill!A219</f>
        <v>2027</v>
      </c>
      <c r="B219" t="str">
        <f>Result_notebook_retravaill!B219</f>
        <v>Neodymium</v>
      </c>
      <c r="C219" t="str">
        <f>Result_notebook_retravaill!C219</f>
        <v>Current Measures</v>
      </c>
      <c r="D219" t="str">
        <f>Result_notebook_retravaill!D219</f>
        <v>Production potential</v>
      </c>
      <c r="E219" t="str">
        <f>Result_notebook_retravaill!E219</f>
        <v>Current shares</v>
      </c>
      <c r="F219" t="str">
        <f>Result_notebook_retravaill!F219</f>
        <v>Expansion Extractive</v>
      </c>
      <c r="G219">
        <f>Result_notebook_retravaill!G219</f>
        <v>501.99193842105927</v>
      </c>
      <c r="H219" s="32">
        <f>IF(Result_notebook_retravaill!I219&gt;Result_notebook_retravaill!G219,Result_notebook_retravaill!I219/Result_notebook_retravaill!N219,Result_notebook_retravaill!H219)</f>
        <v>5.395337211526285</v>
      </c>
      <c r="I219" s="32">
        <f>Result_notebook_retravaill!K219</f>
        <v>831.2578934902391</v>
      </c>
      <c r="J219" s="32">
        <f>MIN(G219,Result_notebook_retravaill!I219)</f>
        <v>3.229346251882661</v>
      </c>
      <c r="K219" s="32">
        <f>IF(Result_notebook_retravaill!I219&gt;Result_notebook_retravaill!G219,0,IF(Result_notebook_retravaill!I219+Result_notebook_retravaill!J219&gt;Result_notebook_retravaill!G219,Result_notebook_retravaill!G219-Result_notebook_retravaill!I219,Result_notebook_retravaill!J219))</f>
        <v>2.165990959643624</v>
      </c>
      <c r="L219" s="32">
        <f>IF(Result_notebook_retravaill!I219&gt;Result_notebook_retravaill!G219,0,IF(Result_notebook_retravaill!I219+Result_notebook_retravaill!J219&gt;Result_notebook_retravaill!G219,0,Result_notebook_retravaill!M219))</f>
        <v>496.59660120953299</v>
      </c>
      <c r="M219" s="31">
        <f t="shared" si="3"/>
        <v>0</v>
      </c>
    </row>
    <row r="220" spans="1:13" x14ac:dyDescent="0.35">
      <c r="A220">
        <f>Result_notebook_retravaill!A220</f>
        <v>2027</v>
      </c>
      <c r="B220" t="str">
        <f>Result_notebook_retravaill!B220</f>
        <v>Neodymium</v>
      </c>
      <c r="C220" t="str">
        <f>Result_notebook_retravaill!C220</f>
        <v>Current Measures</v>
      </c>
      <c r="D220" t="str">
        <f>Result_notebook_retravaill!D220</f>
        <v>Production potential</v>
      </c>
      <c r="E220" t="str">
        <f>Result_notebook_retravaill!E220</f>
        <v>Current shares</v>
      </c>
      <c r="F220" t="str">
        <f>Result_notebook_retravaill!F220</f>
        <v>Expansion Extractive+Circularity</v>
      </c>
      <c r="G220">
        <f>Result_notebook_retravaill!G220</f>
        <v>501.99193842105927</v>
      </c>
      <c r="H220" s="32">
        <f>IF(Result_notebook_retravaill!I220&gt;Result_notebook_retravaill!G220,Result_notebook_retravaill!I220/Result_notebook_retravaill!N220,Result_notebook_retravaill!H220)</f>
        <v>5.395337211526285</v>
      </c>
      <c r="I220" s="32">
        <f>Result_notebook_retravaill!K220</f>
        <v>831.2578934902391</v>
      </c>
      <c r="J220" s="32">
        <f>MIN(G220,Result_notebook_retravaill!I220)</f>
        <v>3.229346251882661</v>
      </c>
      <c r="K220" s="32">
        <f>IF(Result_notebook_retravaill!I220&gt;Result_notebook_retravaill!G220,0,IF(Result_notebook_retravaill!I220+Result_notebook_retravaill!J220&gt;Result_notebook_retravaill!G220,Result_notebook_retravaill!G220-Result_notebook_retravaill!I220,Result_notebook_retravaill!J220))</f>
        <v>2.165990959643624</v>
      </c>
      <c r="L220" s="32">
        <f>IF(Result_notebook_retravaill!I220&gt;Result_notebook_retravaill!G220,0,IF(Result_notebook_retravaill!I220+Result_notebook_retravaill!J220&gt;Result_notebook_retravaill!G220,0,Result_notebook_retravaill!M220))</f>
        <v>496.59660120953299</v>
      </c>
      <c r="M220" s="31">
        <f t="shared" si="3"/>
        <v>0</v>
      </c>
    </row>
    <row r="221" spans="1:13" x14ac:dyDescent="0.35">
      <c r="A221">
        <f>Result_notebook_retravaill!A221</f>
        <v>2027</v>
      </c>
      <c r="B221" t="str">
        <f>Result_notebook_retravaill!B221</f>
        <v>Neodymium</v>
      </c>
      <c r="C221" t="str">
        <f>Result_notebook_retravaill!C221</f>
        <v>Current Measures</v>
      </c>
      <c r="D221" t="str">
        <f>Result_notebook_retravaill!D221</f>
        <v>Production potential</v>
      </c>
      <c r="E221" t="str">
        <f>Result_notebook_retravaill!E221</f>
        <v>100% CAN</v>
      </c>
      <c r="F221" t="str">
        <f>Result_notebook_retravaill!F221</f>
        <v>Integrated</v>
      </c>
      <c r="G221">
        <f>Result_notebook_retravaill!G221</f>
        <v>501.99193842105927</v>
      </c>
      <c r="H221" s="32">
        <f>IF(Result_notebook_retravaill!I221&gt;Result_notebook_retravaill!G221,Result_notebook_retravaill!I221/Result_notebook_retravaill!N221,Result_notebook_retravaill!H221)</f>
        <v>5.395337211526285</v>
      </c>
      <c r="I221" s="32">
        <f>Result_notebook_retravaill!K221</f>
        <v>831.2578934902391</v>
      </c>
      <c r="J221" s="32">
        <f>MIN(G221,Result_notebook_retravaill!I221)</f>
        <v>3.229346251882661</v>
      </c>
      <c r="K221" s="32">
        <f>IF(Result_notebook_retravaill!I221&gt;Result_notebook_retravaill!G221,0,IF(Result_notebook_retravaill!I221+Result_notebook_retravaill!J221&gt;Result_notebook_retravaill!G221,Result_notebook_retravaill!G221-Result_notebook_retravaill!I221,Result_notebook_retravaill!J221))</f>
        <v>2.165990959643624</v>
      </c>
      <c r="L221" s="32">
        <f>IF(Result_notebook_retravaill!I221&gt;Result_notebook_retravaill!G221,0,IF(Result_notebook_retravaill!I221+Result_notebook_retravaill!J221&gt;Result_notebook_retravaill!G221,0,Result_notebook_retravaill!M221))</f>
        <v>496.59660120953299</v>
      </c>
      <c r="M221" s="31">
        <f t="shared" si="3"/>
        <v>0</v>
      </c>
    </row>
    <row r="222" spans="1:13" x14ac:dyDescent="0.35">
      <c r="A222">
        <f>Result_notebook_retravaill!A222</f>
        <v>2027</v>
      </c>
      <c r="B222" t="str">
        <f>Result_notebook_retravaill!B222</f>
        <v>Neodymium</v>
      </c>
      <c r="C222" t="str">
        <f>Result_notebook_retravaill!C222</f>
        <v>Global Net-zero</v>
      </c>
      <c r="D222" t="str">
        <f>Result_notebook_retravaill!D222</f>
        <v>Existing production</v>
      </c>
      <c r="E222" t="str">
        <f>Result_notebook_retravaill!E222</f>
        <v>Current shares</v>
      </c>
      <c r="F222" t="str">
        <f>Result_notebook_retravaill!F222</f>
        <v>NIMBY</v>
      </c>
      <c r="G222">
        <f>Result_notebook_retravaill!G222</f>
        <v>868.10490581569559</v>
      </c>
      <c r="H222" s="32">
        <f>IF(Result_notebook_retravaill!I222&gt;Result_notebook_retravaill!G222,Result_notebook_retravaill!I222/Result_notebook_retravaill!N222,Result_notebook_retravaill!H222)</f>
        <v>0</v>
      </c>
      <c r="I222" s="32">
        <f>Result_notebook_retravaill!K222</f>
        <v>1446.8415096928261</v>
      </c>
      <c r="J222" s="32">
        <f>MIN(G222,Result_notebook_retravaill!I222)</f>
        <v>0</v>
      </c>
      <c r="K222" s="32">
        <f>IF(Result_notebook_retravaill!I222&gt;Result_notebook_retravaill!G222,0,IF(Result_notebook_retravaill!I222+Result_notebook_retravaill!J222&gt;Result_notebook_retravaill!G222,Result_notebook_retravaill!G222-Result_notebook_retravaill!I222,Result_notebook_retravaill!J222))</f>
        <v>0</v>
      </c>
      <c r="L222" s="32">
        <f>IF(Result_notebook_retravaill!I222&gt;Result_notebook_retravaill!G222,0,IF(Result_notebook_retravaill!I222+Result_notebook_retravaill!J222&gt;Result_notebook_retravaill!G222,0,Result_notebook_retravaill!M222))</f>
        <v>868.10490581569559</v>
      </c>
      <c r="M222" s="31">
        <f t="shared" si="3"/>
        <v>0</v>
      </c>
    </row>
    <row r="223" spans="1:13" x14ac:dyDescent="0.35">
      <c r="A223">
        <f>Result_notebook_retravaill!A223</f>
        <v>2027</v>
      </c>
      <c r="B223" t="str">
        <f>Result_notebook_retravaill!B223</f>
        <v>Neodymium</v>
      </c>
      <c r="C223" t="str">
        <f>Result_notebook_retravaill!C223</f>
        <v>Global Net-zero</v>
      </c>
      <c r="D223" t="str">
        <f>Result_notebook_retravaill!D223</f>
        <v>Existing production</v>
      </c>
      <c r="E223" t="str">
        <f>Result_notebook_retravaill!E223</f>
        <v>Current shares</v>
      </c>
      <c r="F223" t="str">
        <f>Result_notebook_retravaill!F223</f>
        <v>Status Quo</v>
      </c>
      <c r="G223">
        <f>Result_notebook_retravaill!G223</f>
        <v>868.10490581569559</v>
      </c>
      <c r="H223" s="32">
        <f>IF(Result_notebook_retravaill!I223&gt;Result_notebook_retravaill!G223,Result_notebook_retravaill!I223/Result_notebook_retravaill!N223,Result_notebook_retravaill!H223)</f>
        <v>0</v>
      </c>
      <c r="I223" s="32">
        <f>Result_notebook_retravaill!K223</f>
        <v>1446.8415096928261</v>
      </c>
      <c r="J223" s="32">
        <f>MIN(G223,Result_notebook_retravaill!I223)</f>
        <v>0</v>
      </c>
      <c r="K223" s="32">
        <f>IF(Result_notebook_retravaill!I223&gt;Result_notebook_retravaill!G223,0,IF(Result_notebook_retravaill!I223+Result_notebook_retravaill!J223&gt;Result_notebook_retravaill!G223,Result_notebook_retravaill!G223-Result_notebook_retravaill!I223,Result_notebook_retravaill!J223))</f>
        <v>0</v>
      </c>
      <c r="L223" s="32">
        <f>IF(Result_notebook_retravaill!I223&gt;Result_notebook_retravaill!G223,0,IF(Result_notebook_retravaill!I223+Result_notebook_retravaill!J223&gt;Result_notebook_retravaill!G223,0,Result_notebook_retravaill!M223))</f>
        <v>868.10490581569559</v>
      </c>
      <c r="M223" s="31">
        <f t="shared" si="3"/>
        <v>0</v>
      </c>
    </row>
    <row r="224" spans="1:13" x14ac:dyDescent="0.35">
      <c r="A224">
        <f>Result_notebook_retravaill!A224</f>
        <v>2027</v>
      </c>
      <c r="B224" t="str">
        <f>Result_notebook_retravaill!B224</f>
        <v>Neodymium</v>
      </c>
      <c r="C224" t="str">
        <f>Result_notebook_retravaill!C224</f>
        <v>Global Net-zero</v>
      </c>
      <c r="D224" t="str">
        <f>Result_notebook_retravaill!D224</f>
        <v>Production potential</v>
      </c>
      <c r="E224" t="str">
        <f>Result_notebook_retravaill!E224</f>
        <v>Current shares</v>
      </c>
      <c r="F224" t="str">
        <f>Result_notebook_retravaill!F224</f>
        <v>Expansion Extractive</v>
      </c>
      <c r="G224">
        <f>Result_notebook_retravaill!G224</f>
        <v>868.10490581569559</v>
      </c>
      <c r="H224" s="32">
        <f>IF(Result_notebook_retravaill!I224&gt;Result_notebook_retravaill!G224,Result_notebook_retravaill!I224/Result_notebook_retravaill!N224,Result_notebook_retravaill!H224)</f>
        <v>5.395337211526285</v>
      </c>
      <c r="I224" s="32">
        <f>Result_notebook_retravaill!K224</f>
        <v>1441.4461724813</v>
      </c>
      <c r="J224" s="32">
        <f>MIN(G224,Result_notebook_retravaill!I224)</f>
        <v>3.229346251882661</v>
      </c>
      <c r="K224" s="32">
        <f>IF(Result_notebook_retravaill!I224&gt;Result_notebook_retravaill!G224,0,IF(Result_notebook_retravaill!I224+Result_notebook_retravaill!J224&gt;Result_notebook_retravaill!G224,Result_notebook_retravaill!G224-Result_notebook_retravaill!I224,Result_notebook_retravaill!J224))</f>
        <v>2.165990959643624</v>
      </c>
      <c r="L224" s="32">
        <f>IF(Result_notebook_retravaill!I224&gt;Result_notebook_retravaill!G224,0,IF(Result_notebook_retravaill!I224+Result_notebook_retravaill!J224&gt;Result_notebook_retravaill!G224,0,Result_notebook_retravaill!M224))</f>
        <v>862.70956860416925</v>
      </c>
      <c r="M224" s="31">
        <f t="shared" si="3"/>
        <v>0</v>
      </c>
    </row>
    <row r="225" spans="1:13" x14ac:dyDescent="0.35">
      <c r="A225">
        <f>Result_notebook_retravaill!A225</f>
        <v>2027</v>
      </c>
      <c r="B225" t="str">
        <f>Result_notebook_retravaill!B225</f>
        <v>Neodymium</v>
      </c>
      <c r="C225" t="str">
        <f>Result_notebook_retravaill!C225</f>
        <v>Global Net-zero</v>
      </c>
      <c r="D225" t="str">
        <f>Result_notebook_retravaill!D225</f>
        <v>Production potential</v>
      </c>
      <c r="E225" t="str">
        <f>Result_notebook_retravaill!E225</f>
        <v>Current shares</v>
      </c>
      <c r="F225" t="str">
        <f>Result_notebook_retravaill!F225</f>
        <v>Expansion Extractive+Circularity</v>
      </c>
      <c r="G225">
        <f>Result_notebook_retravaill!G225</f>
        <v>868.10490581569559</v>
      </c>
      <c r="H225" s="32">
        <f>IF(Result_notebook_retravaill!I225&gt;Result_notebook_retravaill!G225,Result_notebook_retravaill!I225/Result_notebook_retravaill!N225,Result_notebook_retravaill!H225)</f>
        <v>5.395337211526285</v>
      </c>
      <c r="I225" s="32">
        <f>Result_notebook_retravaill!K225</f>
        <v>1441.4461724813</v>
      </c>
      <c r="J225" s="32">
        <f>MIN(G225,Result_notebook_retravaill!I225)</f>
        <v>3.229346251882661</v>
      </c>
      <c r="K225" s="32">
        <f>IF(Result_notebook_retravaill!I225&gt;Result_notebook_retravaill!G225,0,IF(Result_notebook_retravaill!I225+Result_notebook_retravaill!J225&gt;Result_notebook_retravaill!G225,Result_notebook_retravaill!G225-Result_notebook_retravaill!I225,Result_notebook_retravaill!J225))</f>
        <v>2.165990959643624</v>
      </c>
      <c r="L225" s="32">
        <f>IF(Result_notebook_retravaill!I225&gt;Result_notebook_retravaill!G225,0,IF(Result_notebook_retravaill!I225+Result_notebook_retravaill!J225&gt;Result_notebook_retravaill!G225,0,Result_notebook_retravaill!M225))</f>
        <v>862.70956860416925</v>
      </c>
      <c r="M225" s="31">
        <f t="shared" si="3"/>
        <v>0</v>
      </c>
    </row>
    <row r="226" spans="1:13" x14ac:dyDescent="0.35">
      <c r="A226">
        <f>Result_notebook_retravaill!A226</f>
        <v>2027</v>
      </c>
      <c r="B226" t="str">
        <f>Result_notebook_retravaill!B226</f>
        <v>Neodymium</v>
      </c>
      <c r="C226" t="str">
        <f>Result_notebook_retravaill!C226</f>
        <v>Global Net-zero</v>
      </c>
      <c r="D226" t="str">
        <f>Result_notebook_retravaill!D226</f>
        <v>Production potential</v>
      </c>
      <c r="E226" t="str">
        <f>Result_notebook_retravaill!E226</f>
        <v>100% CAN</v>
      </c>
      <c r="F226" t="str">
        <f>Result_notebook_retravaill!F226</f>
        <v>Integrated</v>
      </c>
      <c r="G226">
        <f>Result_notebook_retravaill!G226</f>
        <v>868.10490581569559</v>
      </c>
      <c r="H226" s="32">
        <f>IF(Result_notebook_retravaill!I226&gt;Result_notebook_retravaill!G226,Result_notebook_retravaill!I226/Result_notebook_retravaill!N226,Result_notebook_retravaill!H226)</f>
        <v>5.395337211526285</v>
      </c>
      <c r="I226" s="32">
        <f>Result_notebook_retravaill!K226</f>
        <v>1441.4461724813</v>
      </c>
      <c r="J226" s="32">
        <f>MIN(G226,Result_notebook_retravaill!I226)</f>
        <v>3.229346251882661</v>
      </c>
      <c r="K226" s="32">
        <f>IF(Result_notebook_retravaill!I226&gt;Result_notebook_retravaill!G226,0,IF(Result_notebook_retravaill!I226+Result_notebook_retravaill!J226&gt;Result_notebook_retravaill!G226,Result_notebook_retravaill!G226-Result_notebook_retravaill!I226,Result_notebook_retravaill!J226))</f>
        <v>2.165990959643624</v>
      </c>
      <c r="L226" s="32">
        <f>IF(Result_notebook_retravaill!I226&gt;Result_notebook_retravaill!G226,0,IF(Result_notebook_retravaill!I226+Result_notebook_retravaill!J226&gt;Result_notebook_retravaill!G226,0,Result_notebook_retravaill!M226))</f>
        <v>862.70956860416925</v>
      </c>
      <c r="M226" s="31">
        <f t="shared" si="3"/>
        <v>0</v>
      </c>
    </row>
    <row r="227" spans="1:13" x14ac:dyDescent="0.35">
      <c r="A227">
        <f>Result_notebook_retravaill!A227</f>
        <v>2027</v>
      </c>
      <c r="B227" t="str">
        <f>Result_notebook_retravaill!B227</f>
        <v>Nickel</v>
      </c>
      <c r="C227" t="str">
        <f>Result_notebook_retravaill!C227</f>
        <v>Canada Net-zero</v>
      </c>
      <c r="D227" t="str">
        <f>Result_notebook_retravaill!D227</f>
        <v>Existing production</v>
      </c>
      <c r="E227" t="str">
        <f>Result_notebook_retravaill!E227</f>
        <v>Current shares</v>
      </c>
      <c r="F227" t="str">
        <f>Result_notebook_retravaill!F227</f>
        <v>NIMBY</v>
      </c>
      <c r="G227">
        <f>Result_notebook_retravaill!G227</f>
        <v>40022.174830153243</v>
      </c>
      <c r="H227" s="32">
        <f>IF(Result_notebook_retravaill!I227&gt;Result_notebook_retravaill!G227,Result_notebook_retravaill!I227/Result_notebook_retravaill!N227,Result_notebook_retravaill!H227)</f>
        <v>0</v>
      </c>
      <c r="I227" s="32">
        <f>Result_notebook_retravaill!K227</f>
        <v>50660.980797662327</v>
      </c>
      <c r="J227" s="32">
        <f>MIN(G227,Result_notebook_retravaill!I227)</f>
        <v>0</v>
      </c>
      <c r="K227" s="32">
        <f>IF(Result_notebook_retravaill!I227&gt;Result_notebook_retravaill!G227,0,IF(Result_notebook_retravaill!I227+Result_notebook_retravaill!J227&gt;Result_notebook_retravaill!G227,Result_notebook_retravaill!G227-Result_notebook_retravaill!I227,Result_notebook_retravaill!J227))</f>
        <v>0</v>
      </c>
      <c r="L227" s="32">
        <f>IF(Result_notebook_retravaill!I227&gt;Result_notebook_retravaill!G227,0,IF(Result_notebook_retravaill!I227+Result_notebook_retravaill!J227&gt;Result_notebook_retravaill!G227,0,Result_notebook_retravaill!M227))</f>
        <v>40022.174830153243</v>
      </c>
      <c r="M227" s="31">
        <f t="shared" si="3"/>
        <v>0</v>
      </c>
    </row>
    <row r="228" spans="1:13" x14ac:dyDescent="0.35">
      <c r="A228">
        <f>Result_notebook_retravaill!A228</f>
        <v>2027</v>
      </c>
      <c r="B228" t="str">
        <f>Result_notebook_retravaill!B228</f>
        <v>Nickel</v>
      </c>
      <c r="C228" t="str">
        <f>Result_notebook_retravaill!C228</f>
        <v>Canada Net-zero</v>
      </c>
      <c r="D228" t="str">
        <f>Result_notebook_retravaill!D228</f>
        <v>Existing production</v>
      </c>
      <c r="E228" t="str">
        <f>Result_notebook_retravaill!E228</f>
        <v>Current shares</v>
      </c>
      <c r="F228" t="str">
        <f>Result_notebook_retravaill!F228</f>
        <v>Status Quo</v>
      </c>
      <c r="G228">
        <f>Result_notebook_retravaill!G228</f>
        <v>40022.174830153243</v>
      </c>
      <c r="H228" s="32">
        <f>IF(Result_notebook_retravaill!I228&gt;Result_notebook_retravaill!G228,Result_notebook_retravaill!I228/Result_notebook_retravaill!N228,Result_notebook_retravaill!H228)</f>
        <v>127185.24196697887</v>
      </c>
      <c r="I228" s="32">
        <f>Result_notebook_retravaill!K228</f>
        <v>0</v>
      </c>
      <c r="J228" s="32">
        <f>MIN(G228,Result_notebook_retravaill!I228)</f>
        <v>40022.174830153243</v>
      </c>
      <c r="K228" s="32">
        <f>IF(Result_notebook_retravaill!I228&gt;Result_notebook_retravaill!G228,0,IF(Result_notebook_retravaill!I228+Result_notebook_retravaill!J228&gt;Result_notebook_retravaill!G228,Result_notebook_retravaill!G228-Result_notebook_retravaill!I228,Result_notebook_retravaill!J228))</f>
        <v>0</v>
      </c>
      <c r="L228" s="32">
        <f>IF(Result_notebook_retravaill!I228&gt;Result_notebook_retravaill!G228,0,IF(Result_notebook_retravaill!I228+Result_notebook_retravaill!J228&gt;Result_notebook_retravaill!G228,0,Result_notebook_retravaill!M228))</f>
        <v>0</v>
      </c>
      <c r="M228" s="31">
        <f t="shared" si="3"/>
        <v>0</v>
      </c>
    </row>
    <row r="229" spans="1:13" x14ac:dyDescent="0.35">
      <c r="A229">
        <f>Result_notebook_retravaill!A229</f>
        <v>2027</v>
      </c>
      <c r="B229" t="str">
        <f>Result_notebook_retravaill!B229</f>
        <v>Nickel</v>
      </c>
      <c r="C229" t="str">
        <f>Result_notebook_retravaill!C229</f>
        <v>Canada Net-zero</v>
      </c>
      <c r="D229" t="str">
        <f>Result_notebook_retravaill!D229</f>
        <v>Production potential</v>
      </c>
      <c r="E229" t="str">
        <f>Result_notebook_retravaill!E229</f>
        <v>Current shares</v>
      </c>
      <c r="F229" t="str">
        <f>Result_notebook_retravaill!F229</f>
        <v>Expansion Extractive</v>
      </c>
      <c r="G229">
        <f>Result_notebook_retravaill!G229</f>
        <v>40022.174830153243</v>
      </c>
      <c r="H229" s="32">
        <f>IF(Result_notebook_retravaill!I229&gt;Result_notebook_retravaill!G229,Result_notebook_retravaill!I229/Result_notebook_retravaill!N229,Result_notebook_retravaill!H229)</f>
        <v>173159.77406612836</v>
      </c>
      <c r="I229" s="32">
        <f>Result_notebook_retravaill!K229</f>
        <v>0</v>
      </c>
      <c r="J229" s="32">
        <f>MIN(G229,Result_notebook_retravaill!I229)</f>
        <v>40022.174830153243</v>
      </c>
      <c r="K229" s="32">
        <f>IF(Result_notebook_retravaill!I229&gt;Result_notebook_retravaill!G229,0,IF(Result_notebook_retravaill!I229+Result_notebook_retravaill!J229&gt;Result_notebook_retravaill!G229,Result_notebook_retravaill!G229-Result_notebook_retravaill!I229,Result_notebook_retravaill!J229))</f>
        <v>0</v>
      </c>
      <c r="L229" s="32">
        <f>IF(Result_notebook_retravaill!I229&gt;Result_notebook_retravaill!G229,0,IF(Result_notebook_retravaill!I229+Result_notebook_retravaill!J229&gt;Result_notebook_retravaill!G229,0,Result_notebook_retravaill!M229))</f>
        <v>0</v>
      </c>
      <c r="M229" s="31">
        <f t="shared" si="3"/>
        <v>0</v>
      </c>
    </row>
    <row r="230" spans="1:13" x14ac:dyDescent="0.35">
      <c r="A230">
        <f>Result_notebook_retravaill!A230</f>
        <v>2027</v>
      </c>
      <c r="B230" t="str">
        <f>Result_notebook_retravaill!B230</f>
        <v>Nickel</v>
      </c>
      <c r="C230" t="str">
        <f>Result_notebook_retravaill!C230</f>
        <v>Canada Net-zero</v>
      </c>
      <c r="D230" t="str">
        <f>Result_notebook_retravaill!D230</f>
        <v>Production potential</v>
      </c>
      <c r="E230" t="str">
        <f>Result_notebook_retravaill!E230</f>
        <v>Current shares</v>
      </c>
      <c r="F230" t="str">
        <f>Result_notebook_retravaill!F230</f>
        <v>Expansion Extractive+Circularity</v>
      </c>
      <c r="G230">
        <f>Result_notebook_retravaill!G230</f>
        <v>40022.174830153243</v>
      </c>
      <c r="H230" s="32">
        <f>IF(Result_notebook_retravaill!I230&gt;Result_notebook_retravaill!G230,Result_notebook_retravaill!I230/Result_notebook_retravaill!N230,Result_notebook_retravaill!H230)</f>
        <v>173159.77406612836</v>
      </c>
      <c r="I230" s="32">
        <f>Result_notebook_retravaill!K230</f>
        <v>0</v>
      </c>
      <c r="J230" s="32">
        <f>MIN(G230,Result_notebook_retravaill!I230)</f>
        <v>40022.174830153243</v>
      </c>
      <c r="K230" s="32">
        <f>IF(Result_notebook_retravaill!I230&gt;Result_notebook_retravaill!G230,0,IF(Result_notebook_retravaill!I230+Result_notebook_retravaill!J230&gt;Result_notebook_retravaill!G230,Result_notebook_retravaill!G230-Result_notebook_retravaill!I230,Result_notebook_retravaill!J230))</f>
        <v>0</v>
      </c>
      <c r="L230" s="32">
        <f>IF(Result_notebook_retravaill!I230&gt;Result_notebook_retravaill!G230,0,IF(Result_notebook_retravaill!I230+Result_notebook_retravaill!J230&gt;Result_notebook_retravaill!G230,0,Result_notebook_retravaill!M230))</f>
        <v>0</v>
      </c>
      <c r="M230" s="31">
        <f t="shared" si="3"/>
        <v>0</v>
      </c>
    </row>
    <row r="231" spans="1:13" x14ac:dyDescent="0.35">
      <c r="A231">
        <f>Result_notebook_retravaill!A231</f>
        <v>2027</v>
      </c>
      <c r="B231" t="str">
        <f>Result_notebook_retravaill!B231</f>
        <v>Nickel</v>
      </c>
      <c r="C231" t="str">
        <f>Result_notebook_retravaill!C231</f>
        <v>Canada Net-zero</v>
      </c>
      <c r="D231" t="str">
        <f>Result_notebook_retravaill!D231</f>
        <v>Production potential</v>
      </c>
      <c r="E231" t="str">
        <f>Result_notebook_retravaill!E231</f>
        <v>100% CAN</v>
      </c>
      <c r="F231" t="str">
        <f>Result_notebook_retravaill!F231</f>
        <v>Integrated</v>
      </c>
      <c r="G231">
        <f>Result_notebook_retravaill!G231</f>
        <v>40022.174830153243</v>
      </c>
      <c r="H231" s="32">
        <f>IF(Result_notebook_retravaill!I231&gt;Result_notebook_retravaill!G231,Result_notebook_retravaill!I231/Result_notebook_retravaill!N231,Result_notebook_retravaill!H231)</f>
        <v>243140.84098694212</v>
      </c>
      <c r="I231" s="32">
        <f>Result_notebook_retravaill!K231</f>
        <v>0</v>
      </c>
      <c r="J231" s="32">
        <f>MIN(G231,Result_notebook_retravaill!I231)</f>
        <v>40022.174830153243</v>
      </c>
      <c r="K231" s="32">
        <f>IF(Result_notebook_retravaill!I231&gt;Result_notebook_retravaill!G231,0,IF(Result_notebook_retravaill!I231+Result_notebook_retravaill!J231&gt;Result_notebook_retravaill!G231,Result_notebook_retravaill!G231-Result_notebook_retravaill!I231,Result_notebook_retravaill!J231))</f>
        <v>0</v>
      </c>
      <c r="L231" s="32">
        <f>IF(Result_notebook_retravaill!I231&gt;Result_notebook_retravaill!G231,0,IF(Result_notebook_retravaill!I231+Result_notebook_retravaill!J231&gt;Result_notebook_retravaill!G231,0,Result_notebook_retravaill!M231))</f>
        <v>0</v>
      </c>
      <c r="M231" s="31">
        <f t="shared" si="3"/>
        <v>0</v>
      </c>
    </row>
    <row r="232" spans="1:13" x14ac:dyDescent="0.35">
      <c r="A232">
        <f>Result_notebook_retravaill!A232</f>
        <v>2027</v>
      </c>
      <c r="B232" t="str">
        <f>Result_notebook_retravaill!B232</f>
        <v>Nickel</v>
      </c>
      <c r="C232" t="str">
        <f>Result_notebook_retravaill!C232</f>
        <v>Current Measures</v>
      </c>
      <c r="D232" t="str">
        <f>Result_notebook_retravaill!D232</f>
        <v>Existing production</v>
      </c>
      <c r="E232" t="str">
        <f>Result_notebook_retravaill!E232</f>
        <v>Current shares</v>
      </c>
      <c r="F232" t="str">
        <f>Result_notebook_retravaill!F232</f>
        <v>NIMBY</v>
      </c>
      <c r="G232">
        <f>Result_notebook_retravaill!G232</f>
        <v>28526.663384635151</v>
      </c>
      <c r="H232" s="32">
        <f>IF(Result_notebook_retravaill!I232&gt;Result_notebook_retravaill!G232,Result_notebook_retravaill!I232/Result_notebook_retravaill!N232,Result_notebook_retravaill!H232)</f>
        <v>0</v>
      </c>
      <c r="I232" s="32">
        <f>Result_notebook_retravaill!K232</f>
        <v>36109.700486879927</v>
      </c>
      <c r="J232" s="32">
        <f>MIN(G232,Result_notebook_retravaill!I232)</f>
        <v>0</v>
      </c>
      <c r="K232" s="32">
        <f>IF(Result_notebook_retravaill!I232&gt;Result_notebook_retravaill!G232,0,IF(Result_notebook_retravaill!I232+Result_notebook_retravaill!J232&gt;Result_notebook_retravaill!G232,Result_notebook_retravaill!G232-Result_notebook_retravaill!I232,Result_notebook_retravaill!J232))</f>
        <v>0</v>
      </c>
      <c r="L232" s="32">
        <f>IF(Result_notebook_retravaill!I232&gt;Result_notebook_retravaill!G232,0,IF(Result_notebook_retravaill!I232+Result_notebook_retravaill!J232&gt;Result_notebook_retravaill!G232,0,Result_notebook_retravaill!M232))</f>
        <v>28526.663384635151</v>
      </c>
      <c r="M232" s="31">
        <f t="shared" si="3"/>
        <v>0</v>
      </c>
    </row>
    <row r="233" spans="1:13" x14ac:dyDescent="0.35">
      <c r="A233">
        <f>Result_notebook_retravaill!A233</f>
        <v>2027</v>
      </c>
      <c r="B233" t="str">
        <f>Result_notebook_retravaill!B233</f>
        <v>Nickel</v>
      </c>
      <c r="C233" t="str">
        <f>Result_notebook_retravaill!C233</f>
        <v>Current Measures</v>
      </c>
      <c r="D233" t="str">
        <f>Result_notebook_retravaill!D233</f>
        <v>Existing production</v>
      </c>
      <c r="E233" t="str">
        <f>Result_notebook_retravaill!E233</f>
        <v>Current shares</v>
      </c>
      <c r="F233" t="str">
        <f>Result_notebook_retravaill!F233</f>
        <v>Status Quo</v>
      </c>
      <c r="G233">
        <f>Result_notebook_retravaill!G233</f>
        <v>28526.663384635151</v>
      </c>
      <c r="H233" s="32">
        <f>IF(Result_notebook_retravaill!I233&gt;Result_notebook_retravaill!G233,Result_notebook_retravaill!I233/Result_notebook_retravaill!N233,Result_notebook_retravaill!H233)</f>
        <v>127185.24196697887</v>
      </c>
      <c r="I233" s="32">
        <f>Result_notebook_retravaill!K233</f>
        <v>0</v>
      </c>
      <c r="J233" s="32">
        <f>MIN(G233,Result_notebook_retravaill!I233)</f>
        <v>28526.663384635151</v>
      </c>
      <c r="K233" s="32">
        <f>IF(Result_notebook_retravaill!I233&gt;Result_notebook_retravaill!G233,0,IF(Result_notebook_retravaill!I233+Result_notebook_retravaill!J233&gt;Result_notebook_retravaill!G233,Result_notebook_retravaill!G233-Result_notebook_retravaill!I233,Result_notebook_retravaill!J233))</f>
        <v>0</v>
      </c>
      <c r="L233" s="32">
        <f>IF(Result_notebook_retravaill!I233&gt;Result_notebook_retravaill!G233,0,IF(Result_notebook_retravaill!I233+Result_notebook_retravaill!J233&gt;Result_notebook_retravaill!G233,0,Result_notebook_retravaill!M233))</f>
        <v>0</v>
      </c>
      <c r="M233" s="31">
        <f t="shared" si="3"/>
        <v>0</v>
      </c>
    </row>
    <row r="234" spans="1:13" x14ac:dyDescent="0.35">
      <c r="A234">
        <f>Result_notebook_retravaill!A234</f>
        <v>2027</v>
      </c>
      <c r="B234" t="str">
        <f>Result_notebook_retravaill!B234</f>
        <v>Nickel</v>
      </c>
      <c r="C234" t="str">
        <f>Result_notebook_retravaill!C234</f>
        <v>Current Measures</v>
      </c>
      <c r="D234" t="str">
        <f>Result_notebook_retravaill!D234</f>
        <v>Production potential</v>
      </c>
      <c r="E234" t="str">
        <f>Result_notebook_retravaill!E234</f>
        <v>Current shares</v>
      </c>
      <c r="F234" t="str">
        <f>Result_notebook_retravaill!F234</f>
        <v>Expansion Extractive</v>
      </c>
      <c r="G234">
        <f>Result_notebook_retravaill!G234</f>
        <v>28526.663384635151</v>
      </c>
      <c r="H234" s="32">
        <f>IF(Result_notebook_retravaill!I234&gt;Result_notebook_retravaill!G234,Result_notebook_retravaill!I234/Result_notebook_retravaill!N234,Result_notebook_retravaill!H234)</f>
        <v>173159.77406612836</v>
      </c>
      <c r="I234" s="32">
        <f>Result_notebook_retravaill!K234</f>
        <v>0</v>
      </c>
      <c r="J234" s="32">
        <f>MIN(G234,Result_notebook_retravaill!I234)</f>
        <v>28526.663384635151</v>
      </c>
      <c r="K234" s="32">
        <f>IF(Result_notebook_retravaill!I234&gt;Result_notebook_retravaill!G234,0,IF(Result_notebook_retravaill!I234+Result_notebook_retravaill!J234&gt;Result_notebook_retravaill!G234,Result_notebook_retravaill!G234-Result_notebook_retravaill!I234,Result_notebook_retravaill!J234))</f>
        <v>0</v>
      </c>
      <c r="L234" s="32">
        <f>IF(Result_notebook_retravaill!I234&gt;Result_notebook_retravaill!G234,0,IF(Result_notebook_retravaill!I234+Result_notebook_retravaill!J234&gt;Result_notebook_retravaill!G234,0,Result_notebook_retravaill!M234))</f>
        <v>0</v>
      </c>
      <c r="M234" s="31">
        <f t="shared" si="3"/>
        <v>0</v>
      </c>
    </row>
    <row r="235" spans="1:13" x14ac:dyDescent="0.35">
      <c r="A235">
        <f>Result_notebook_retravaill!A235</f>
        <v>2027</v>
      </c>
      <c r="B235" t="str">
        <f>Result_notebook_retravaill!B235</f>
        <v>Nickel</v>
      </c>
      <c r="C235" t="str">
        <f>Result_notebook_retravaill!C235</f>
        <v>Current Measures</v>
      </c>
      <c r="D235" t="str">
        <f>Result_notebook_retravaill!D235</f>
        <v>Production potential</v>
      </c>
      <c r="E235" t="str">
        <f>Result_notebook_retravaill!E235</f>
        <v>Current shares</v>
      </c>
      <c r="F235" t="str">
        <f>Result_notebook_retravaill!F235</f>
        <v>Expansion Extractive+Circularity</v>
      </c>
      <c r="G235">
        <f>Result_notebook_retravaill!G235</f>
        <v>28526.663384635151</v>
      </c>
      <c r="H235" s="32">
        <f>IF(Result_notebook_retravaill!I235&gt;Result_notebook_retravaill!G235,Result_notebook_retravaill!I235/Result_notebook_retravaill!N235,Result_notebook_retravaill!H235)</f>
        <v>173159.77406612836</v>
      </c>
      <c r="I235" s="32">
        <f>Result_notebook_retravaill!K235</f>
        <v>0</v>
      </c>
      <c r="J235" s="32">
        <f>MIN(G235,Result_notebook_retravaill!I235)</f>
        <v>28526.663384635151</v>
      </c>
      <c r="K235" s="32">
        <f>IF(Result_notebook_retravaill!I235&gt;Result_notebook_retravaill!G235,0,IF(Result_notebook_retravaill!I235+Result_notebook_retravaill!J235&gt;Result_notebook_retravaill!G235,Result_notebook_retravaill!G235-Result_notebook_retravaill!I235,Result_notebook_retravaill!J235))</f>
        <v>0</v>
      </c>
      <c r="L235" s="32">
        <f>IF(Result_notebook_retravaill!I235&gt;Result_notebook_retravaill!G235,0,IF(Result_notebook_retravaill!I235+Result_notebook_retravaill!J235&gt;Result_notebook_retravaill!G235,0,Result_notebook_retravaill!M235))</f>
        <v>0</v>
      </c>
      <c r="M235" s="31">
        <f t="shared" si="3"/>
        <v>0</v>
      </c>
    </row>
    <row r="236" spans="1:13" x14ac:dyDescent="0.35">
      <c r="A236">
        <f>Result_notebook_retravaill!A236</f>
        <v>2027</v>
      </c>
      <c r="B236" t="str">
        <f>Result_notebook_retravaill!B236</f>
        <v>Nickel</v>
      </c>
      <c r="C236" t="str">
        <f>Result_notebook_retravaill!C236</f>
        <v>Current Measures</v>
      </c>
      <c r="D236" t="str">
        <f>Result_notebook_retravaill!D236</f>
        <v>Production potential</v>
      </c>
      <c r="E236" t="str">
        <f>Result_notebook_retravaill!E236</f>
        <v>100% CAN</v>
      </c>
      <c r="F236" t="str">
        <f>Result_notebook_retravaill!F236</f>
        <v>Integrated</v>
      </c>
      <c r="G236">
        <f>Result_notebook_retravaill!G236</f>
        <v>28526.663384635151</v>
      </c>
      <c r="H236" s="32">
        <f>IF(Result_notebook_retravaill!I236&gt;Result_notebook_retravaill!G236,Result_notebook_retravaill!I236/Result_notebook_retravaill!N236,Result_notebook_retravaill!H236)</f>
        <v>243140.84098694212</v>
      </c>
      <c r="I236" s="32">
        <f>Result_notebook_retravaill!K236</f>
        <v>0</v>
      </c>
      <c r="J236" s="32">
        <f>MIN(G236,Result_notebook_retravaill!I236)</f>
        <v>28526.663384635151</v>
      </c>
      <c r="K236" s="32">
        <f>IF(Result_notebook_retravaill!I236&gt;Result_notebook_retravaill!G236,0,IF(Result_notebook_retravaill!I236+Result_notebook_retravaill!J236&gt;Result_notebook_retravaill!G236,Result_notebook_retravaill!G236-Result_notebook_retravaill!I236,Result_notebook_retravaill!J236))</f>
        <v>0</v>
      </c>
      <c r="L236" s="32">
        <f>IF(Result_notebook_retravaill!I236&gt;Result_notebook_retravaill!G236,0,IF(Result_notebook_retravaill!I236+Result_notebook_retravaill!J236&gt;Result_notebook_retravaill!G236,0,Result_notebook_retravaill!M236))</f>
        <v>0</v>
      </c>
      <c r="M236" s="31">
        <f t="shared" si="3"/>
        <v>0</v>
      </c>
    </row>
    <row r="237" spans="1:13" x14ac:dyDescent="0.35">
      <c r="A237">
        <f>Result_notebook_retravaill!A237</f>
        <v>2027</v>
      </c>
      <c r="B237" t="str">
        <f>Result_notebook_retravaill!B237</f>
        <v>Nickel</v>
      </c>
      <c r="C237" t="str">
        <f>Result_notebook_retravaill!C237</f>
        <v>Global Net-zero</v>
      </c>
      <c r="D237" t="str">
        <f>Result_notebook_retravaill!D237</f>
        <v>Existing production</v>
      </c>
      <c r="E237" t="str">
        <f>Result_notebook_retravaill!E237</f>
        <v>Current shares</v>
      </c>
      <c r="F237" t="str">
        <f>Result_notebook_retravaill!F237</f>
        <v>NIMBY</v>
      </c>
      <c r="G237">
        <f>Result_notebook_retravaill!G237</f>
        <v>38588.959034560583</v>
      </c>
      <c r="H237" s="32">
        <f>IF(Result_notebook_retravaill!I237&gt;Result_notebook_retravaill!G237,Result_notebook_retravaill!I237/Result_notebook_retravaill!N237,Result_notebook_retravaill!H237)</f>
        <v>0</v>
      </c>
      <c r="I237" s="32">
        <f>Result_notebook_retravaill!K237</f>
        <v>48846.783588051367</v>
      </c>
      <c r="J237" s="32">
        <f>MIN(G237,Result_notebook_retravaill!I237)</f>
        <v>0</v>
      </c>
      <c r="K237" s="32">
        <f>IF(Result_notebook_retravaill!I237&gt;Result_notebook_retravaill!G237,0,IF(Result_notebook_retravaill!I237+Result_notebook_retravaill!J237&gt;Result_notebook_retravaill!G237,Result_notebook_retravaill!G237-Result_notebook_retravaill!I237,Result_notebook_retravaill!J237))</f>
        <v>0</v>
      </c>
      <c r="L237" s="32">
        <f>IF(Result_notebook_retravaill!I237&gt;Result_notebook_retravaill!G237,0,IF(Result_notebook_retravaill!I237+Result_notebook_retravaill!J237&gt;Result_notebook_retravaill!G237,0,Result_notebook_retravaill!M237))</f>
        <v>38588.959034560583</v>
      </c>
      <c r="M237" s="31">
        <f t="shared" si="3"/>
        <v>0</v>
      </c>
    </row>
    <row r="238" spans="1:13" x14ac:dyDescent="0.35">
      <c r="A238">
        <f>Result_notebook_retravaill!A238</f>
        <v>2027</v>
      </c>
      <c r="B238" t="str">
        <f>Result_notebook_retravaill!B238</f>
        <v>Nickel</v>
      </c>
      <c r="C238" t="str">
        <f>Result_notebook_retravaill!C238</f>
        <v>Global Net-zero</v>
      </c>
      <c r="D238" t="str">
        <f>Result_notebook_retravaill!D238</f>
        <v>Existing production</v>
      </c>
      <c r="E238" t="str">
        <f>Result_notebook_retravaill!E238</f>
        <v>Current shares</v>
      </c>
      <c r="F238" t="str">
        <f>Result_notebook_retravaill!F238</f>
        <v>Status Quo</v>
      </c>
      <c r="G238">
        <f>Result_notebook_retravaill!G238</f>
        <v>38588.959034560583</v>
      </c>
      <c r="H238" s="32">
        <f>IF(Result_notebook_retravaill!I238&gt;Result_notebook_retravaill!G238,Result_notebook_retravaill!I238/Result_notebook_retravaill!N238,Result_notebook_retravaill!H238)</f>
        <v>127185.24196697887</v>
      </c>
      <c r="I238" s="32">
        <f>Result_notebook_retravaill!K238</f>
        <v>0</v>
      </c>
      <c r="J238" s="32">
        <f>MIN(G238,Result_notebook_retravaill!I238)</f>
        <v>38588.959034560583</v>
      </c>
      <c r="K238" s="32">
        <f>IF(Result_notebook_retravaill!I238&gt;Result_notebook_retravaill!G238,0,IF(Result_notebook_retravaill!I238+Result_notebook_retravaill!J238&gt;Result_notebook_retravaill!G238,Result_notebook_retravaill!G238-Result_notebook_retravaill!I238,Result_notebook_retravaill!J238))</f>
        <v>0</v>
      </c>
      <c r="L238" s="32">
        <f>IF(Result_notebook_retravaill!I238&gt;Result_notebook_retravaill!G238,0,IF(Result_notebook_retravaill!I238+Result_notebook_retravaill!J238&gt;Result_notebook_retravaill!G238,0,Result_notebook_retravaill!M238))</f>
        <v>0</v>
      </c>
      <c r="M238" s="31">
        <f t="shared" si="3"/>
        <v>0</v>
      </c>
    </row>
    <row r="239" spans="1:13" x14ac:dyDescent="0.35">
      <c r="A239">
        <f>Result_notebook_retravaill!A239</f>
        <v>2027</v>
      </c>
      <c r="B239" t="str">
        <f>Result_notebook_retravaill!B239</f>
        <v>Nickel</v>
      </c>
      <c r="C239" t="str">
        <f>Result_notebook_retravaill!C239</f>
        <v>Global Net-zero</v>
      </c>
      <c r="D239" t="str">
        <f>Result_notebook_retravaill!D239</f>
        <v>Production potential</v>
      </c>
      <c r="E239" t="str">
        <f>Result_notebook_retravaill!E239</f>
        <v>Current shares</v>
      </c>
      <c r="F239" t="str">
        <f>Result_notebook_retravaill!F239</f>
        <v>Expansion Extractive</v>
      </c>
      <c r="G239">
        <f>Result_notebook_retravaill!G239</f>
        <v>38588.959034560583</v>
      </c>
      <c r="H239" s="32">
        <f>IF(Result_notebook_retravaill!I239&gt;Result_notebook_retravaill!G239,Result_notebook_retravaill!I239/Result_notebook_retravaill!N239,Result_notebook_retravaill!H239)</f>
        <v>173159.77406612836</v>
      </c>
      <c r="I239" s="32">
        <f>Result_notebook_retravaill!K239</f>
        <v>0</v>
      </c>
      <c r="J239" s="32">
        <f>MIN(G239,Result_notebook_retravaill!I239)</f>
        <v>38588.959034560583</v>
      </c>
      <c r="K239" s="32">
        <f>IF(Result_notebook_retravaill!I239&gt;Result_notebook_retravaill!G239,0,IF(Result_notebook_retravaill!I239+Result_notebook_retravaill!J239&gt;Result_notebook_retravaill!G239,Result_notebook_retravaill!G239-Result_notebook_retravaill!I239,Result_notebook_retravaill!J239))</f>
        <v>0</v>
      </c>
      <c r="L239" s="32">
        <f>IF(Result_notebook_retravaill!I239&gt;Result_notebook_retravaill!G239,0,IF(Result_notebook_retravaill!I239+Result_notebook_retravaill!J239&gt;Result_notebook_retravaill!G239,0,Result_notebook_retravaill!M239))</f>
        <v>0</v>
      </c>
      <c r="M239" s="31">
        <f t="shared" si="3"/>
        <v>0</v>
      </c>
    </row>
    <row r="240" spans="1:13" x14ac:dyDescent="0.35">
      <c r="A240">
        <f>Result_notebook_retravaill!A240</f>
        <v>2027</v>
      </c>
      <c r="B240" t="str">
        <f>Result_notebook_retravaill!B240</f>
        <v>Nickel</v>
      </c>
      <c r="C240" t="str">
        <f>Result_notebook_retravaill!C240</f>
        <v>Global Net-zero</v>
      </c>
      <c r="D240" t="str">
        <f>Result_notebook_retravaill!D240</f>
        <v>Production potential</v>
      </c>
      <c r="E240" t="str">
        <f>Result_notebook_retravaill!E240</f>
        <v>Current shares</v>
      </c>
      <c r="F240" t="str">
        <f>Result_notebook_retravaill!F240</f>
        <v>Expansion Extractive+Circularity</v>
      </c>
      <c r="G240">
        <f>Result_notebook_retravaill!G240</f>
        <v>38588.959034560583</v>
      </c>
      <c r="H240" s="32">
        <f>IF(Result_notebook_retravaill!I240&gt;Result_notebook_retravaill!G240,Result_notebook_retravaill!I240/Result_notebook_retravaill!N240,Result_notebook_retravaill!H240)</f>
        <v>173159.77406612836</v>
      </c>
      <c r="I240" s="32">
        <f>Result_notebook_retravaill!K240</f>
        <v>0</v>
      </c>
      <c r="J240" s="32">
        <f>MIN(G240,Result_notebook_retravaill!I240)</f>
        <v>38588.959034560583</v>
      </c>
      <c r="K240" s="32">
        <f>IF(Result_notebook_retravaill!I240&gt;Result_notebook_retravaill!G240,0,IF(Result_notebook_retravaill!I240+Result_notebook_retravaill!J240&gt;Result_notebook_retravaill!G240,Result_notebook_retravaill!G240-Result_notebook_retravaill!I240,Result_notebook_retravaill!J240))</f>
        <v>0</v>
      </c>
      <c r="L240" s="32">
        <f>IF(Result_notebook_retravaill!I240&gt;Result_notebook_retravaill!G240,0,IF(Result_notebook_retravaill!I240+Result_notebook_retravaill!J240&gt;Result_notebook_retravaill!G240,0,Result_notebook_retravaill!M240))</f>
        <v>0</v>
      </c>
      <c r="M240" s="31">
        <f t="shared" si="3"/>
        <v>0</v>
      </c>
    </row>
    <row r="241" spans="1:13" x14ac:dyDescent="0.35">
      <c r="A241">
        <f>Result_notebook_retravaill!A241</f>
        <v>2027</v>
      </c>
      <c r="B241" t="str">
        <f>Result_notebook_retravaill!B241</f>
        <v>Nickel</v>
      </c>
      <c r="C241" t="str">
        <f>Result_notebook_retravaill!C241</f>
        <v>Global Net-zero</v>
      </c>
      <c r="D241" t="str">
        <f>Result_notebook_retravaill!D241</f>
        <v>Production potential</v>
      </c>
      <c r="E241" t="str">
        <f>Result_notebook_retravaill!E241</f>
        <v>100% CAN</v>
      </c>
      <c r="F241" t="str">
        <f>Result_notebook_retravaill!F241</f>
        <v>Integrated</v>
      </c>
      <c r="G241">
        <f>Result_notebook_retravaill!G241</f>
        <v>38588.959034560583</v>
      </c>
      <c r="H241" s="32">
        <f>IF(Result_notebook_retravaill!I241&gt;Result_notebook_retravaill!G241,Result_notebook_retravaill!I241/Result_notebook_retravaill!N241,Result_notebook_retravaill!H241)</f>
        <v>243140.84098694212</v>
      </c>
      <c r="I241" s="32">
        <f>Result_notebook_retravaill!K241</f>
        <v>0</v>
      </c>
      <c r="J241" s="32">
        <f>MIN(G241,Result_notebook_retravaill!I241)</f>
        <v>38588.959034560583</v>
      </c>
      <c r="K241" s="32">
        <f>IF(Result_notebook_retravaill!I241&gt;Result_notebook_retravaill!G241,0,IF(Result_notebook_retravaill!I241+Result_notebook_retravaill!J241&gt;Result_notebook_retravaill!G241,Result_notebook_retravaill!G241-Result_notebook_retravaill!I241,Result_notebook_retravaill!J241))</f>
        <v>0</v>
      </c>
      <c r="L241" s="32">
        <f>IF(Result_notebook_retravaill!I241&gt;Result_notebook_retravaill!G241,0,IF(Result_notebook_retravaill!I241+Result_notebook_retravaill!J241&gt;Result_notebook_retravaill!G241,0,Result_notebook_retravaill!M241))</f>
        <v>0</v>
      </c>
      <c r="M241" s="31">
        <f t="shared" si="3"/>
        <v>0</v>
      </c>
    </row>
    <row r="242" spans="1:13" x14ac:dyDescent="0.35">
      <c r="A242">
        <f>Result_notebook_retravaill!A242</f>
        <v>2027</v>
      </c>
      <c r="B242" t="str">
        <f>Result_notebook_retravaill!B242</f>
        <v>Graphite</v>
      </c>
      <c r="C242" t="str">
        <f>Result_notebook_retravaill!C242</f>
        <v>Canada Net-zero</v>
      </c>
      <c r="D242" t="str">
        <f>Result_notebook_retravaill!D242</f>
        <v>Existing production</v>
      </c>
      <c r="E242" t="str">
        <f>Result_notebook_retravaill!E242</f>
        <v>Current shares</v>
      </c>
      <c r="F242" t="str">
        <f>Result_notebook_retravaill!F242</f>
        <v>NIMBY</v>
      </c>
      <c r="G242">
        <f>Result_notebook_retravaill!G242</f>
        <v>870.72588738825675</v>
      </c>
      <c r="H242" s="32">
        <f>IF(Result_notebook_retravaill!I242&gt;Result_notebook_retravaill!G242,Result_notebook_retravaill!I242/Result_notebook_retravaill!N242,Result_notebook_retravaill!H242)</f>
        <v>0</v>
      </c>
      <c r="I242" s="32">
        <f>Result_notebook_retravaill!K242</f>
        <v>870.72588738825675</v>
      </c>
      <c r="J242" s="32">
        <f>MIN(G242,Result_notebook_retravaill!I242)</f>
        <v>0</v>
      </c>
      <c r="K242" s="32">
        <f>IF(Result_notebook_retravaill!I242&gt;Result_notebook_retravaill!G242,0,IF(Result_notebook_retravaill!I242+Result_notebook_retravaill!J242&gt;Result_notebook_retravaill!G242,Result_notebook_retravaill!G242-Result_notebook_retravaill!I242,Result_notebook_retravaill!J242))</f>
        <v>0</v>
      </c>
      <c r="L242" s="32">
        <f>IF(Result_notebook_retravaill!I242&gt;Result_notebook_retravaill!G242,0,IF(Result_notebook_retravaill!I242+Result_notebook_retravaill!J242&gt;Result_notebook_retravaill!G242,0,Result_notebook_retravaill!M242))</f>
        <v>870.72588738825675</v>
      </c>
      <c r="M242" s="31">
        <f t="shared" si="3"/>
        <v>0</v>
      </c>
    </row>
    <row r="243" spans="1:13" x14ac:dyDescent="0.35">
      <c r="A243">
        <f>Result_notebook_retravaill!A243</f>
        <v>2027</v>
      </c>
      <c r="B243" t="str">
        <f>Result_notebook_retravaill!B243</f>
        <v>Graphite</v>
      </c>
      <c r="C243" t="str">
        <f>Result_notebook_retravaill!C243</f>
        <v>Canada Net-zero</v>
      </c>
      <c r="D243" t="str">
        <f>Result_notebook_retravaill!D243</f>
        <v>Existing production</v>
      </c>
      <c r="E243" t="str">
        <f>Result_notebook_retravaill!E243</f>
        <v>Current shares</v>
      </c>
      <c r="F243" t="str">
        <f>Result_notebook_retravaill!F243</f>
        <v>Status Quo</v>
      </c>
      <c r="G243">
        <f>Result_notebook_retravaill!G243</f>
        <v>870.72588738825675</v>
      </c>
      <c r="H243" s="32">
        <f>IF(Result_notebook_retravaill!I243&gt;Result_notebook_retravaill!G243,Result_notebook_retravaill!I243/Result_notebook_retravaill!N243,Result_notebook_retravaill!H243)</f>
        <v>0</v>
      </c>
      <c r="I243" s="32">
        <f>Result_notebook_retravaill!K243</f>
        <v>870.72588738825675</v>
      </c>
      <c r="J243" s="32">
        <f>MIN(G243,Result_notebook_retravaill!I243)</f>
        <v>0</v>
      </c>
      <c r="K243" s="32">
        <f>IF(Result_notebook_retravaill!I243&gt;Result_notebook_retravaill!G243,0,IF(Result_notebook_retravaill!I243+Result_notebook_retravaill!J243&gt;Result_notebook_retravaill!G243,Result_notebook_retravaill!G243-Result_notebook_retravaill!I243,Result_notebook_retravaill!J243))</f>
        <v>0</v>
      </c>
      <c r="L243" s="32">
        <f>IF(Result_notebook_retravaill!I243&gt;Result_notebook_retravaill!G243,0,IF(Result_notebook_retravaill!I243+Result_notebook_retravaill!J243&gt;Result_notebook_retravaill!G243,0,Result_notebook_retravaill!M243))</f>
        <v>870.72588738825675</v>
      </c>
      <c r="M243" s="31">
        <f t="shared" si="3"/>
        <v>0</v>
      </c>
    </row>
    <row r="244" spans="1:13" x14ac:dyDescent="0.35">
      <c r="A244">
        <f>Result_notebook_retravaill!A244</f>
        <v>2027</v>
      </c>
      <c r="B244" t="str">
        <f>Result_notebook_retravaill!B244</f>
        <v>Graphite</v>
      </c>
      <c r="C244" t="str">
        <f>Result_notebook_retravaill!C244</f>
        <v>Canada Net-zero</v>
      </c>
      <c r="D244" t="str">
        <f>Result_notebook_retravaill!D244</f>
        <v>Production potential</v>
      </c>
      <c r="E244" t="str">
        <f>Result_notebook_retravaill!E244</f>
        <v>Current shares</v>
      </c>
      <c r="F244" t="str">
        <f>Result_notebook_retravaill!F244</f>
        <v>Expansion Extractive</v>
      </c>
      <c r="G244">
        <f>Result_notebook_retravaill!G244</f>
        <v>870.72588738825675</v>
      </c>
      <c r="H244" s="32">
        <f>IF(Result_notebook_retravaill!I244&gt;Result_notebook_retravaill!G244,Result_notebook_retravaill!I244/Result_notebook_retravaill!N244,Result_notebook_retravaill!H244)</f>
        <v>55011.402221946031</v>
      </c>
      <c r="I244" s="32">
        <f>Result_notebook_retravaill!K244</f>
        <v>0</v>
      </c>
      <c r="J244" s="32">
        <f>MIN(G244,Result_notebook_retravaill!I244)</f>
        <v>870.72588738825675</v>
      </c>
      <c r="K244" s="32">
        <f>IF(Result_notebook_retravaill!I244&gt;Result_notebook_retravaill!G244,0,IF(Result_notebook_retravaill!I244+Result_notebook_retravaill!J244&gt;Result_notebook_retravaill!G244,Result_notebook_retravaill!G244-Result_notebook_retravaill!I244,Result_notebook_retravaill!J244))</f>
        <v>0</v>
      </c>
      <c r="L244" s="32">
        <f>IF(Result_notebook_retravaill!I244&gt;Result_notebook_retravaill!G244,0,IF(Result_notebook_retravaill!I244+Result_notebook_retravaill!J244&gt;Result_notebook_retravaill!G244,0,Result_notebook_retravaill!M244))</f>
        <v>0</v>
      </c>
      <c r="M244" s="31">
        <f t="shared" si="3"/>
        <v>0</v>
      </c>
    </row>
    <row r="245" spans="1:13" x14ac:dyDescent="0.35">
      <c r="A245">
        <f>Result_notebook_retravaill!A245</f>
        <v>2027</v>
      </c>
      <c r="B245" t="str">
        <f>Result_notebook_retravaill!B245</f>
        <v>Graphite</v>
      </c>
      <c r="C245" t="str">
        <f>Result_notebook_retravaill!C245</f>
        <v>Canada Net-zero</v>
      </c>
      <c r="D245" t="str">
        <f>Result_notebook_retravaill!D245</f>
        <v>Production potential</v>
      </c>
      <c r="E245" t="str">
        <f>Result_notebook_retravaill!E245</f>
        <v>Current shares</v>
      </c>
      <c r="F245" t="str">
        <f>Result_notebook_retravaill!F245</f>
        <v>Expansion Extractive+Circularity</v>
      </c>
      <c r="G245">
        <f>Result_notebook_retravaill!G245</f>
        <v>870.72588738825675</v>
      </c>
      <c r="H245" s="32">
        <f>IF(Result_notebook_retravaill!I245&gt;Result_notebook_retravaill!G245,Result_notebook_retravaill!I245/Result_notebook_retravaill!N245,Result_notebook_retravaill!H245)</f>
        <v>55011.402221946031</v>
      </c>
      <c r="I245" s="32">
        <f>Result_notebook_retravaill!K245</f>
        <v>0</v>
      </c>
      <c r="J245" s="32">
        <f>MIN(G245,Result_notebook_retravaill!I245)</f>
        <v>870.72588738825675</v>
      </c>
      <c r="K245" s="32">
        <f>IF(Result_notebook_retravaill!I245&gt;Result_notebook_retravaill!G245,0,IF(Result_notebook_retravaill!I245+Result_notebook_retravaill!J245&gt;Result_notebook_retravaill!G245,Result_notebook_retravaill!G245-Result_notebook_retravaill!I245,Result_notebook_retravaill!J245))</f>
        <v>0</v>
      </c>
      <c r="L245" s="32">
        <f>IF(Result_notebook_retravaill!I245&gt;Result_notebook_retravaill!G245,0,IF(Result_notebook_retravaill!I245+Result_notebook_retravaill!J245&gt;Result_notebook_retravaill!G245,0,Result_notebook_retravaill!M245))</f>
        <v>0</v>
      </c>
      <c r="M245" s="31">
        <f t="shared" si="3"/>
        <v>0</v>
      </c>
    </row>
    <row r="246" spans="1:13" x14ac:dyDescent="0.35">
      <c r="A246">
        <f>Result_notebook_retravaill!A246</f>
        <v>2027</v>
      </c>
      <c r="B246" t="str">
        <f>Result_notebook_retravaill!B246</f>
        <v>Graphite</v>
      </c>
      <c r="C246" t="str">
        <f>Result_notebook_retravaill!C246</f>
        <v>Canada Net-zero</v>
      </c>
      <c r="D246" t="str">
        <f>Result_notebook_retravaill!D246</f>
        <v>Production potential</v>
      </c>
      <c r="E246" t="str">
        <f>Result_notebook_retravaill!E246</f>
        <v>100% CAN</v>
      </c>
      <c r="F246" t="str">
        <f>Result_notebook_retravaill!F246</f>
        <v>Integrated</v>
      </c>
      <c r="G246">
        <f>Result_notebook_retravaill!G246</f>
        <v>870.72588738825675</v>
      </c>
      <c r="H246" s="32">
        <f>IF(Result_notebook_retravaill!I246&gt;Result_notebook_retravaill!G246,Result_notebook_retravaill!I246/Result_notebook_retravaill!N246,Result_notebook_retravaill!H246)</f>
        <v>55011.402221946031</v>
      </c>
      <c r="I246" s="32">
        <f>Result_notebook_retravaill!K246</f>
        <v>0</v>
      </c>
      <c r="J246" s="32">
        <f>MIN(G246,Result_notebook_retravaill!I246)</f>
        <v>870.72588738825675</v>
      </c>
      <c r="K246" s="32">
        <f>IF(Result_notebook_retravaill!I246&gt;Result_notebook_retravaill!G246,0,IF(Result_notebook_retravaill!I246+Result_notebook_retravaill!J246&gt;Result_notebook_retravaill!G246,Result_notebook_retravaill!G246-Result_notebook_retravaill!I246,Result_notebook_retravaill!J246))</f>
        <v>0</v>
      </c>
      <c r="L246" s="32">
        <f>IF(Result_notebook_retravaill!I246&gt;Result_notebook_retravaill!G246,0,IF(Result_notebook_retravaill!I246+Result_notebook_retravaill!J246&gt;Result_notebook_retravaill!G246,0,Result_notebook_retravaill!M246))</f>
        <v>0</v>
      </c>
      <c r="M246" s="31">
        <f t="shared" si="3"/>
        <v>0</v>
      </c>
    </row>
    <row r="247" spans="1:13" x14ac:dyDescent="0.35">
      <c r="A247">
        <f>Result_notebook_retravaill!A247</f>
        <v>2027</v>
      </c>
      <c r="B247" t="str">
        <f>Result_notebook_retravaill!B247</f>
        <v>Graphite</v>
      </c>
      <c r="C247" t="str">
        <f>Result_notebook_retravaill!C247</f>
        <v>Current Measures</v>
      </c>
      <c r="D247" t="str">
        <f>Result_notebook_retravaill!D247</f>
        <v>Existing production</v>
      </c>
      <c r="E247" t="str">
        <f>Result_notebook_retravaill!E247</f>
        <v>Current shares</v>
      </c>
      <c r="F247" t="str">
        <f>Result_notebook_retravaill!F247</f>
        <v>NIMBY</v>
      </c>
      <c r="G247">
        <f>Result_notebook_retravaill!G247</f>
        <v>569.42699750073166</v>
      </c>
      <c r="H247" s="32">
        <f>IF(Result_notebook_retravaill!I247&gt;Result_notebook_retravaill!G247,Result_notebook_retravaill!I247/Result_notebook_retravaill!N247,Result_notebook_retravaill!H247)</f>
        <v>0</v>
      </c>
      <c r="I247" s="32">
        <f>Result_notebook_retravaill!K247</f>
        <v>569.42699750073166</v>
      </c>
      <c r="J247" s="32">
        <f>MIN(G247,Result_notebook_retravaill!I247)</f>
        <v>0</v>
      </c>
      <c r="K247" s="32">
        <f>IF(Result_notebook_retravaill!I247&gt;Result_notebook_retravaill!G247,0,IF(Result_notebook_retravaill!I247+Result_notebook_retravaill!J247&gt;Result_notebook_retravaill!G247,Result_notebook_retravaill!G247-Result_notebook_retravaill!I247,Result_notebook_retravaill!J247))</f>
        <v>0</v>
      </c>
      <c r="L247" s="32">
        <f>IF(Result_notebook_retravaill!I247&gt;Result_notebook_retravaill!G247,0,IF(Result_notebook_retravaill!I247+Result_notebook_retravaill!J247&gt;Result_notebook_retravaill!G247,0,Result_notebook_retravaill!M247))</f>
        <v>569.42699750073166</v>
      </c>
      <c r="M247" s="31">
        <f t="shared" si="3"/>
        <v>0</v>
      </c>
    </row>
    <row r="248" spans="1:13" x14ac:dyDescent="0.35">
      <c r="A248">
        <f>Result_notebook_retravaill!A248</f>
        <v>2027</v>
      </c>
      <c r="B248" t="str">
        <f>Result_notebook_retravaill!B248</f>
        <v>Graphite</v>
      </c>
      <c r="C248" t="str">
        <f>Result_notebook_retravaill!C248</f>
        <v>Current Measures</v>
      </c>
      <c r="D248" t="str">
        <f>Result_notebook_retravaill!D248</f>
        <v>Existing production</v>
      </c>
      <c r="E248" t="str">
        <f>Result_notebook_retravaill!E248</f>
        <v>Current shares</v>
      </c>
      <c r="F248" t="str">
        <f>Result_notebook_retravaill!F248</f>
        <v>Status Quo</v>
      </c>
      <c r="G248">
        <f>Result_notebook_retravaill!G248</f>
        <v>569.42699750073166</v>
      </c>
      <c r="H248" s="32">
        <f>IF(Result_notebook_retravaill!I248&gt;Result_notebook_retravaill!G248,Result_notebook_retravaill!I248/Result_notebook_retravaill!N248,Result_notebook_retravaill!H248)</f>
        <v>0</v>
      </c>
      <c r="I248" s="32">
        <f>Result_notebook_retravaill!K248</f>
        <v>569.42699750073166</v>
      </c>
      <c r="J248" s="32">
        <f>MIN(G248,Result_notebook_retravaill!I248)</f>
        <v>0</v>
      </c>
      <c r="K248" s="32">
        <f>IF(Result_notebook_retravaill!I248&gt;Result_notebook_retravaill!G248,0,IF(Result_notebook_retravaill!I248+Result_notebook_retravaill!J248&gt;Result_notebook_retravaill!G248,Result_notebook_retravaill!G248-Result_notebook_retravaill!I248,Result_notebook_retravaill!J248))</f>
        <v>0</v>
      </c>
      <c r="L248" s="32">
        <f>IF(Result_notebook_retravaill!I248&gt;Result_notebook_retravaill!G248,0,IF(Result_notebook_retravaill!I248+Result_notebook_retravaill!J248&gt;Result_notebook_retravaill!G248,0,Result_notebook_retravaill!M248))</f>
        <v>569.42699750073166</v>
      </c>
      <c r="M248" s="31">
        <f t="shared" si="3"/>
        <v>0</v>
      </c>
    </row>
    <row r="249" spans="1:13" x14ac:dyDescent="0.35">
      <c r="A249">
        <f>Result_notebook_retravaill!A249</f>
        <v>2027</v>
      </c>
      <c r="B249" t="str">
        <f>Result_notebook_retravaill!B249</f>
        <v>Graphite</v>
      </c>
      <c r="C249" t="str">
        <f>Result_notebook_retravaill!C249</f>
        <v>Current Measures</v>
      </c>
      <c r="D249" t="str">
        <f>Result_notebook_retravaill!D249</f>
        <v>Production potential</v>
      </c>
      <c r="E249" t="str">
        <f>Result_notebook_retravaill!E249</f>
        <v>Current shares</v>
      </c>
      <c r="F249" t="str">
        <f>Result_notebook_retravaill!F249</f>
        <v>Expansion Extractive</v>
      </c>
      <c r="G249">
        <f>Result_notebook_retravaill!G249</f>
        <v>569.42699750073166</v>
      </c>
      <c r="H249" s="32">
        <f>IF(Result_notebook_retravaill!I249&gt;Result_notebook_retravaill!G249,Result_notebook_retravaill!I249/Result_notebook_retravaill!N249,Result_notebook_retravaill!H249)</f>
        <v>55011.402221946031</v>
      </c>
      <c r="I249" s="32">
        <f>Result_notebook_retravaill!K249</f>
        <v>0</v>
      </c>
      <c r="J249" s="32">
        <f>MIN(G249,Result_notebook_retravaill!I249)</f>
        <v>569.42699750073166</v>
      </c>
      <c r="K249" s="32">
        <f>IF(Result_notebook_retravaill!I249&gt;Result_notebook_retravaill!G249,0,IF(Result_notebook_retravaill!I249+Result_notebook_retravaill!J249&gt;Result_notebook_retravaill!G249,Result_notebook_retravaill!G249-Result_notebook_retravaill!I249,Result_notebook_retravaill!J249))</f>
        <v>0</v>
      </c>
      <c r="L249" s="32">
        <f>IF(Result_notebook_retravaill!I249&gt;Result_notebook_retravaill!G249,0,IF(Result_notebook_retravaill!I249+Result_notebook_retravaill!J249&gt;Result_notebook_retravaill!G249,0,Result_notebook_retravaill!M249))</f>
        <v>0</v>
      </c>
      <c r="M249" s="31">
        <f t="shared" si="3"/>
        <v>0</v>
      </c>
    </row>
    <row r="250" spans="1:13" x14ac:dyDescent="0.35">
      <c r="A250">
        <f>Result_notebook_retravaill!A250</f>
        <v>2027</v>
      </c>
      <c r="B250" t="str">
        <f>Result_notebook_retravaill!B250</f>
        <v>Graphite</v>
      </c>
      <c r="C250" t="str">
        <f>Result_notebook_retravaill!C250</f>
        <v>Current Measures</v>
      </c>
      <c r="D250" t="str">
        <f>Result_notebook_retravaill!D250</f>
        <v>Production potential</v>
      </c>
      <c r="E250" t="str">
        <f>Result_notebook_retravaill!E250</f>
        <v>Current shares</v>
      </c>
      <c r="F250" t="str">
        <f>Result_notebook_retravaill!F250</f>
        <v>Expansion Extractive+Circularity</v>
      </c>
      <c r="G250">
        <f>Result_notebook_retravaill!G250</f>
        <v>569.42699750073166</v>
      </c>
      <c r="H250" s="32">
        <f>IF(Result_notebook_retravaill!I250&gt;Result_notebook_retravaill!G250,Result_notebook_retravaill!I250/Result_notebook_retravaill!N250,Result_notebook_retravaill!H250)</f>
        <v>55011.402221946031</v>
      </c>
      <c r="I250" s="32">
        <f>Result_notebook_retravaill!K250</f>
        <v>0</v>
      </c>
      <c r="J250" s="32">
        <f>MIN(G250,Result_notebook_retravaill!I250)</f>
        <v>569.42699750073166</v>
      </c>
      <c r="K250" s="32">
        <f>IF(Result_notebook_retravaill!I250&gt;Result_notebook_retravaill!G250,0,IF(Result_notebook_retravaill!I250+Result_notebook_retravaill!J250&gt;Result_notebook_retravaill!G250,Result_notebook_retravaill!G250-Result_notebook_retravaill!I250,Result_notebook_retravaill!J250))</f>
        <v>0</v>
      </c>
      <c r="L250" s="32">
        <f>IF(Result_notebook_retravaill!I250&gt;Result_notebook_retravaill!G250,0,IF(Result_notebook_retravaill!I250+Result_notebook_retravaill!J250&gt;Result_notebook_retravaill!G250,0,Result_notebook_retravaill!M250))</f>
        <v>0</v>
      </c>
      <c r="M250" s="31">
        <f t="shared" si="3"/>
        <v>0</v>
      </c>
    </row>
    <row r="251" spans="1:13" x14ac:dyDescent="0.35">
      <c r="A251">
        <f>Result_notebook_retravaill!A251</f>
        <v>2027</v>
      </c>
      <c r="B251" t="str">
        <f>Result_notebook_retravaill!B251</f>
        <v>Graphite</v>
      </c>
      <c r="C251" t="str">
        <f>Result_notebook_retravaill!C251</f>
        <v>Current Measures</v>
      </c>
      <c r="D251" t="str">
        <f>Result_notebook_retravaill!D251</f>
        <v>Production potential</v>
      </c>
      <c r="E251" t="str">
        <f>Result_notebook_retravaill!E251</f>
        <v>100% CAN</v>
      </c>
      <c r="F251" t="str">
        <f>Result_notebook_retravaill!F251</f>
        <v>Integrated</v>
      </c>
      <c r="G251">
        <f>Result_notebook_retravaill!G251</f>
        <v>569.42699750073166</v>
      </c>
      <c r="H251" s="32">
        <f>IF(Result_notebook_retravaill!I251&gt;Result_notebook_retravaill!G251,Result_notebook_retravaill!I251/Result_notebook_retravaill!N251,Result_notebook_retravaill!H251)</f>
        <v>55011.402221946031</v>
      </c>
      <c r="I251" s="32">
        <f>Result_notebook_retravaill!K251</f>
        <v>0</v>
      </c>
      <c r="J251" s="32">
        <f>MIN(G251,Result_notebook_retravaill!I251)</f>
        <v>569.42699750073166</v>
      </c>
      <c r="K251" s="32">
        <f>IF(Result_notebook_retravaill!I251&gt;Result_notebook_retravaill!G251,0,IF(Result_notebook_retravaill!I251+Result_notebook_retravaill!J251&gt;Result_notebook_retravaill!G251,Result_notebook_retravaill!G251-Result_notebook_retravaill!I251,Result_notebook_retravaill!J251))</f>
        <v>0</v>
      </c>
      <c r="L251" s="32">
        <f>IF(Result_notebook_retravaill!I251&gt;Result_notebook_retravaill!G251,0,IF(Result_notebook_retravaill!I251+Result_notebook_retravaill!J251&gt;Result_notebook_retravaill!G251,0,Result_notebook_retravaill!M251))</f>
        <v>0</v>
      </c>
      <c r="M251" s="31">
        <f t="shared" si="3"/>
        <v>0</v>
      </c>
    </row>
    <row r="252" spans="1:13" x14ac:dyDescent="0.35">
      <c r="A252">
        <f>Result_notebook_retravaill!A252</f>
        <v>2027</v>
      </c>
      <c r="B252" t="str">
        <f>Result_notebook_retravaill!B252</f>
        <v>Graphite</v>
      </c>
      <c r="C252" t="str">
        <f>Result_notebook_retravaill!C252</f>
        <v>Global Net-zero</v>
      </c>
      <c r="D252" t="str">
        <f>Result_notebook_retravaill!D252</f>
        <v>Existing production</v>
      </c>
      <c r="E252" t="str">
        <f>Result_notebook_retravaill!E252</f>
        <v>Current shares</v>
      </c>
      <c r="F252" t="str">
        <f>Result_notebook_retravaill!F252</f>
        <v>NIMBY</v>
      </c>
      <c r="G252">
        <f>Result_notebook_retravaill!G252</f>
        <v>850.41647256917656</v>
      </c>
      <c r="H252" s="32">
        <f>IF(Result_notebook_retravaill!I252&gt;Result_notebook_retravaill!G252,Result_notebook_retravaill!I252/Result_notebook_retravaill!N252,Result_notebook_retravaill!H252)</f>
        <v>0</v>
      </c>
      <c r="I252" s="32">
        <f>Result_notebook_retravaill!K252</f>
        <v>850.41647256917656</v>
      </c>
      <c r="J252" s="32">
        <f>MIN(G252,Result_notebook_retravaill!I252)</f>
        <v>0</v>
      </c>
      <c r="K252" s="32">
        <f>IF(Result_notebook_retravaill!I252&gt;Result_notebook_retravaill!G252,0,IF(Result_notebook_retravaill!I252+Result_notebook_retravaill!J252&gt;Result_notebook_retravaill!G252,Result_notebook_retravaill!G252-Result_notebook_retravaill!I252,Result_notebook_retravaill!J252))</f>
        <v>0</v>
      </c>
      <c r="L252" s="32">
        <f>IF(Result_notebook_retravaill!I252&gt;Result_notebook_retravaill!G252,0,IF(Result_notebook_retravaill!I252+Result_notebook_retravaill!J252&gt;Result_notebook_retravaill!G252,0,Result_notebook_retravaill!M252))</f>
        <v>850.41647256917656</v>
      </c>
      <c r="M252" s="31">
        <f t="shared" si="3"/>
        <v>0</v>
      </c>
    </row>
    <row r="253" spans="1:13" x14ac:dyDescent="0.35">
      <c r="A253">
        <f>Result_notebook_retravaill!A253</f>
        <v>2027</v>
      </c>
      <c r="B253" t="str">
        <f>Result_notebook_retravaill!B253</f>
        <v>Graphite</v>
      </c>
      <c r="C253" t="str">
        <f>Result_notebook_retravaill!C253</f>
        <v>Global Net-zero</v>
      </c>
      <c r="D253" t="str">
        <f>Result_notebook_retravaill!D253</f>
        <v>Existing production</v>
      </c>
      <c r="E253" t="str">
        <f>Result_notebook_retravaill!E253</f>
        <v>Current shares</v>
      </c>
      <c r="F253" t="str">
        <f>Result_notebook_retravaill!F253</f>
        <v>Status Quo</v>
      </c>
      <c r="G253">
        <f>Result_notebook_retravaill!G253</f>
        <v>850.41647256917656</v>
      </c>
      <c r="H253" s="32">
        <f>IF(Result_notebook_retravaill!I253&gt;Result_notebook_retravaill!G253,Result_notebook_retravaill!I253/Result_notebook_retravaill!N253,Result_notebook_retravaill!H253)</f>
        <v>0</v>
      </c>
      <c r="I253" s="32">
        <f>Result_notebook_retravaill!K253</f>
        <v>850.41647256917656</v>
      </c>
      <c r="J253" s="32">
        <f>MIN(G253,Result_notebook_retravaill!I253)</f>
        <v>0</v>
      </c>
      <c r="K253" s="32">
        <f>IF(Result_notebook_retravaill!I253&gt;Result_notebook_retravaill!G253,0,IF(Result_notebook_retravaill!I253+Result_notebook_retravaill!J253&gt;Result_notebook_retravaill!G253,Result_notebook_retravaill!G253-Result_notebook_retravaill!I253,Result_notebook_retravaill!J253))</f>
        <v>0</v>
      </c>
      <c r="L253" s="32">
        <f>IF(Result_notebook_retravaill!I253&gt;Result_notebook_retravaill!G253,0,IF(Result_notebook_retravaill!I253+Result_notebook_retravaill!J253&gt;Result_notebook_retravaill!G253,0,Result_notebook_retravaill!M253))</f>
        <v>850.41647256917656</v>
      </c>
      <c r="M253" s="31">
        <f t="shared" si="3"/>
        <v>0</v>
      </c>
    </row>
    <row r="254" spans="1:13" x14ac:dyDescent="0.35">
      <c r="A254">
        <f>Result_notebook_retravaill!A254</f>
        <v>2027</v>
      </c>
      <c r="B254" t="str">
        <f>Result_notebook_retravaill!B254</f>
        <v>Graphite</v>
      </c>
      <c r="C254" t="str">
        <f>Result_notebook_retravaill!C254</f>
        <v>Global Net-zero</v>
      </c>
      <c r="D254" t="str">
        <f>Result_notebook_retravaill!D254</f>
        <v>Production potential</v>
      </c>
      <c r="E254" t="str">
        <f>Result_notebook_retravaill!E254</f>
        <v>Current shares</v>
      </c>
      <c r="F254" t="str">
        <f>Result_notebook_retravaill!F254</f>
        <v>Expansion Extractive</v>
      </c>
      <c r="G254">
        <f>Result_notebook_retravaill!G254</f>
        <v>850.41647256917656</v>
      </c>
      <c r="H254" s="32">
        <f>IF(Result_notebook_retravaill!I254&gt;Result_notebook_retravaill!G254,Result_notebook_retravaill!I254/Result_notebook_retravaill!N254,Result_notebook_retravaill!H254)</f>
        <v>55011.402221946031</v>
      </c>
      <c r="I254" s="32">
        <f>Result_notebook_retravaill!K254</f>
        <v>0</v>
      </c>
      <c r="J254" s="32">
        <f>MIN(G254,Result_notebook_retravaill!I254)</f>
        <v>850.41647256917656</v>
      </c>
      <c r="K254" s="32">
        <f>IF(Result_notebook_retravaill!I254&gt;Result_notebook_retravaill!G254,0,IF(Result_notebook_retravaill!I254+Result_notebook_retravaill!J254&gt;Result_notebook_retravaill!G254,Result_notebook_retravaill!G254-Result_notebook_retravaill!I254,Result_notebook_retravaill!J254))</f>
        <v>0</v>
      </c>
      <c r="L254" s="32">
        <f>IF(Result_notebook_retravaill!I254&gt;Result_notebook_retravaill!G254,0,IF(Result_notebook_retravaill!I254+Result_notebook_retravaill!J254&gt;Result_notebook_retravaill!G254,0,Result_notebook_retravaill!M254))</f>
        <v>0</v>
      </c>
      <c r="M254" s="31">
        <f t="shared" si="3"/>
        <v>0</v>
      </c>
    </row>
    <row r="255" spans="1:13" x14ac:dyDescent="0.35">
      <c r="A255">
        <f>Result_notebook_retravaill!A255</f>
        <v>2027</v>
      </c>
      <c r="B255" t="str">
        <f>Result_notebook_retravaill!B255</f>
        <v>Graphite</v>
      </c>
      <c r="C255" t="str">
        <f>Result_notebook_retravaill!C255</f>
        <v>Global Net-zero</v>
      </c>
      <c r="D255" t="str">
        <f>Result_notebook_retravaill!D255</f>
        <v>Production potential</v>
      </c>
      <c r="E255" t="str">
        <f>Result_notebook_retravaill!E255</f>
        <v>Current shares</v>
      </c>
      <c r="F255" t="str">
        <f>Result_notebook_retravaill!F255</f>
        <v>Expansion Extractive+Circularity</v>
      </c>
      <c r="G255">
        <f>Result_notebook_retravaill!G255</f>
        <v>850.41647256917656</v>
      </c>
      <c r="H255" s="32">
        <f>IF(Result_notebook_retravaill!I255&gt;Result_notebook_retravaill!G255,Result_notebook_retravaill!I255/Result_notebook_retravaill!N255,Result_notebook_retravaill!H255)</f>
        <v>55011.402221946031</v>
      </c>
      <c r="I255" s="32">
        <f>Result_notebook_retravaill!K255</f>
        <v>0</v>
      </c>
      <c r="J255" s="32">
        <f>MIN(G255,Result_notebook_retravaill!I255)</f>
        <v>850.41647256917656</v>
      </c>
      <c r="K255" s="32">
        <f>IF(Result_notebook_retravaill!I255&gt;Result_notebook_retravaill!G255,0,IF(Result_notebook_retravaill!I255+Result_notebook_retravaill!J255&gt;Result_notebook_retravaill!G255,Result_notebook_retravaill!G255-Result_notebook_retravaill!I255,Result_notebook_retravaill!J255))</f>
        <v>0</v>
      </c>
      <c r="L255" s="32">
        <f>IF(Result_notebook_retravaill!I255&gt;Result_notebook_retravaill!G255,0,IF(Result_notebook_retravaill!I255+Result_notebook_retravaill!J255&gt;Result_notebook_retravaill!G255,0,Result_notebook_retravaill!M255))</f>
        <v>0</v>
      </c>
      <c r="M255" s="31">
        <f t="shared" si="3"/>
        <v>0</v>
      </c>
    </row>
    <row r="256" spans="1:13" x14ac:dyDescent="0.35">
      <c r="A256">
        <f>Result_notebook_retravaill!A256</f>
        <v>2027</v>
      </c>
      <c r="B256" t="str">
        <f>Result_notebook_retravaill!B256</f>
        <v>Graphite</v>
      </c>
      <c r="C256" t="str">
        <f>Result_notebook_retravaill!C256</f>
        <v>Global Net-zero</v>
      </c>
      <c r="D256" t="str">
        <f>Result_notebook_retravaill!D256</f>
        <v>Production potential</v>
      </c>
      <c r="E256" t="str">
        <f>Result_notebook_retravaill!E256</f>
        <v>100% CAN</v>
      </c>
      <c r="F256" t="str">
        <f>Result_notebook_retravaill!F256</f>
        <v>Integrated</v>
      </c>
      <c r="G256">
        <f>Result_notebook_retravaill!G256</f>
        <v>850.41647256917656</v>
      </c>
      <c r="H256" s="32">
        <f>IF(Result_notebook_retravaill!I256&gt;Result_notebook_retravaill!G256,Result_notebook_retravaill!I256/Result_notebook_retravaill!N256,Result_notebook_retravaill!H256)</f>
        <v>55011.402221946031</v>
      </c>
      <c r="I256" s="32">
        <f>Result_notebook_retravaill!K256</f>
        <v>0</v>
      </c>
      <c r="J256" s="32">
        <f>MIN(G256,Result_notebook_retravaill!I256)</f>
        <v>850.41647256917656</v>
      </c>
      <c r="K256" s="32">
        <f>IF(Result_notebook_retravaill!I256&gt;Result_notebook_retravaill!G256,0,IF(Result_notebook_retravaill!I256+Result_notebook_retravaill!J256&gt;Result_notebook_retravaill!G256,Result_notebook_retravaill!G256-Result_notebook_retravaill!I256,Result_notebook_retravaill!J256))</f>
        <v>0</v>
      </c>
      <c r="L256" s="32">
        <f>IF(Result_notebook_retravaill!I256&gt;Result_notebook_retravaill!G256,0,IF(Result_notebook_retravaill!I256+Result_notebook_retravaill!J256&gt;Result_notebook_retravaill!G256,0,Result_notebook_retravaill!M256))</f>
        <v>0</v>
      </c>
      <c r="M256" s="31">
        <f t="shared" si="3"/>
        <v>0</v>
      </c>
    </row>
    <row r="257" spans="1:13" x14ac:dyDescent="0.35">
      <c r="A257">
        <f>Result_notebook_retravaill!A257</f>
        <v>2027</v>
      </c>
      <c r="B257" t="str">
        <f>Result_notebook_retravaill!B257</f>
        <v>Lithium</v>
      </c>
      <c r="C257" t="str">
        <f>Result_notebook_retravaill!C257</f>
        <v>Canada Net-zero</v>
      </c>
      <c r="D257" t="str">
        <f>Result_notebook_retravaill!D257</f>
        <v>Existing production</v>
      </c>
      <c r="E257" t="str">
        <f>Result_notebook_retravaill!E257</f>
        <v>Current shares</v>
      </c>
      <c r="F257" t="str">
        <f>Result_notebook_retravaill!F257</f>
        <v>NIMBY</v>
      </c>
      <c r="G257">
        <f>Result_notebook_retravaill!G257</f>
        <v>13737.544328976641</v>
      </c>
      <c r="H257" s="32">
        <f>IF(Result_notebook_retravaill!I257&gt;Result_notebook_retravaill!G257,Result_notebook_retravaill!I257/Result_notebook_retravaill!N257,Result_notebook_retravaill!H257)</f>
        <v>0</v>
      </c>
      <c r="I257" s="32">
        <f>Result_notebook_retravaill!K257</f>
        <v>19625.063327109488</v>
      </c>
      <c r="J257" s="32">
        <f>MIN(G257,Result_notebook_retravaill!I257)</f>
        <v>0</v>
      </c>
      <c r="K257" s="32">
        <f>IF(Result_notebook_retravaill!I257&gt;Result_notebook_retravaill!G257,0,IF(Result_notebook_retravaill!I257+Result_notebook_retravaill!J257&gt;Result_notebook_retravaill!G257,Result_notebook_retravaill!G257-Result_notebook_retravaill!I257,Result_notebook_retravaill!J257))</f>
        <v>0</v>
      </c>
      <c r="L257" s="32">
        <f>IF(Result_notebook_retravaill!I257&gt;Result_notebook_retravaill!G257,0,IF(Result_notebook_retravaill!I257+Result_notebook_retravaill!J257&gt;Result_notebook_retravaill!G257,0,Result_notebook_retravaill!M257))</f>
        <v>13737.544328976641</v>
      </c>
      <c r="M257" s="31">
        <f t="shared" si="3"/>
        <v>0</v>
      </c>
    </row>
    <row r="258" spans="1:13" x14ac:dyDescent="0.35">
      <c r="A258">
        <f>Result_notebook_retravaill!A258</f>
        <v>2027</v>
      </c>
      <c r="B258" t="str">
        <f>Result_notebook_retravaill!B258</f>
        <v>Lithium</v>
      </c>
      <c r="C258" t="str">
        <f>Result_notebook_retravaill!C258</f>
        <v>Canada Net-zero</v>
      </c>
      <c r="D258" t="str">
        <f>Result_notebook_retravaill!D258</f>
        <v>Existing production</v>
      </c>
      <c r="E258" t="str">
        <f>Result_notebook_retravaill!E258</f>
        <v>Current shares</v>
      </c>
      <c r="F258" t="str">
        <f>Result_notebook_retravaill!F258</f>
        <v>Status Quo</v>
      </c>
      <c r="G258">
        <f>Result_notebook_retravaill!G258</f>
        <v>13737.544328976641</v>
      </c>
      <c r="H258" s="32">
        <f>IF(Result_notebook_retravaill!I258&gt;Result_notebook_retravaill!G258,Result_notebook_retravaill!I258/Result_notebook_retravaill!N258,Result_notebook_retravaill!H258)</f>
        <v>37004.175816284209</v>
      </c>
      <c r="I258" s="32">
        <f>Result_notebook_retravaill!K258</f>
        <v>0</v>
      </c>
      <c r="J258" s="32">
        <f>MIN(G258,Result_notebook_retravaill!I258)</f>
        <v>13737.544328976641</v>
      </c>
      <c r="K258" s="32">
        <f>IF(Result_notebook_retravaill!I258&gt;Result_notebook_retravaill!G258,0,IF(Result_notebook_retravaill!I258+Result_notebook_retravaill!J258&gt;Result_notebook_retravaill!G258,Result_notebook_retravaill!G258-Result_notebook_retravaill!I258,Result_notebook_retravaill!J258))</f>
        <v>0</v>
      </c>
      <c r="L258" s="32">
        <f>IF(Result_notebook_retravaill!I258&gt;Result_notebook_retravaill!G258,0,IF(Result_notebook_retravaill!I258+Result_notebook_retravaill!J258&gt;Result_notebook_retravaill!G258,0,Result_notebook_retravaill!M258))</f>
        <v>0</v>
      </c>
      <c r="M258" s="31">
        <f t="shared" si="3"/>
        <v>0</v>
      </c>
    </row>
    <row r="259" spans="1:13" x14ac:dyDescent="0.35">
      <c r="A259">
        <f>Result_notebook_retravaill!A259</f>
        <v>2027</v>
      </c>
      <c r="B259" t="str">
        <f>Result_notebook_retravaill!B259</f>
        <v>Lithium</v>
      </c>
      <c r="C259" t="str">
        <f>Result_notebook_retravaill!C259</f>
        <v>Canada Net-zero</v>
      </c>
      <c r="D259" t="str">
        <f>Result_notebook_retravaill!D259</f>
        <v>Production potential</v>
      </c>
      <c r="E259" t="str">
        <f>Result_notebook_retravaill!E259</f>
        <v>Current shares</v>
      </c>
      <c r="F259" t="str">
        <f>Result_notebook_retravaill!F259</f>
        <v>Expansion Extractive</v>
      </c>
      <c r="G259">
        <f>Result_notebook_retravaill!G259</f>
        <v>13737.544328976641</v>
      </c>
      <c r="H259" s="32">
        <f>IF(Result_notebook_retravaill!I259&gt;Result_notebook_retravaill!G259,Result_notebook_retravaill!I259/Result_notebook_retravaill!N259,Result_notebook_retravaill!H259)</f>
        <v>137379.40096124742</v>
      </c>
      <c r="I259" s="32">
        <f>Result_notebook_retravaill!K259</f>
        <v>0</v>
      </c>
      <c r="J259" s="32">
        <f>MIN(G259,Result_notebook_retravaill!I259)</f>
        <v>13737.544328976641</v>
      </c>
      <c r="K259" s="32">
        <f>IF(Result_notebook_retravaill!I259&gt;Result_notebook_retravaill!G259,0,IF(Result_notebook_retravaill!I259+Result_notebook_retravaill!J259&gt;Result_notebook_retravaill!G259,Result_notebook_retravaill!G259-Result_notebook_retravaill!I259,Result_notebook_retravaill!J259))</f>
        <v>0</v>
      </c>
      <c r="L259" s="32">
        <f>IF(Result_notebook_retravaill!I259&gt;Result_notebook_retravaill!G259,0,IF(Result_notebook_retravaill!I259+Result_notebook_retravaill!J259&gt;Result_notebook_retravaill!G259,0,Result_notebook_retravaill!M259))</f>
        <v>0</v>
      </c>
      <c r="M259" s="31">
        <f t="shared" ref="M259:M322" si="4">SUM(J259:L259)-G259</f>
        <v>0</v>
      </c>
    </row>
    <row r="260" spans="1:13" x14ac:dyDescent="0.35">
      <c r="A260">
        <f>Result_notebook_retravaill!A260</f>
        <v>2027</v>
      </c>
      <c r="B260" t="str">
        <f>Result_notebook_retravaill!B260</f>
        <v>Lithium</v>
      </c>
      <c r="C260" t="str">
        <f>Result_notebook_retravaill!C260</f>
        <v>Canada Net-zero</v>
      </c>
      <c r="D260" t="str">
        <f>Result_notebook_retravaill!D260</f>
        <v>Production potential</v>
      </c>
      <c r="E260" t="str">
        <f>Result_notebook_retravaill!E260</f>
        <v>Current shares</v>
      </c>
      <c r="F260" t="str">
        <f>Result_notebook_retravaill!F260</f>
        <v>Expansion Extractive+Circularity</v>
      </c>
      <c r="G260">
        <f>Result_notebook_retravaill!G260</f>
        <v>13737.544328976641</v>
      </c>
      <c r="H260" s="32">
        <f>IF(Result_notebook_retravaill!I260&gt;Result_notebook_retravaill!G260,Result_notebook_retravaill!I260/Result_notebook_retravaill!N260,Result_notebook_retravaill!H260)</f>
        <v>137379.40096124742</v>
      </c>
      <c r="I260" s="32">
        <f>Result_notebook_retravaill!K260</f>
        <v>0</v>
      </c>
      <c r="J260" s="32">
        <f>MIN(G260,Result_notebook_retravaill!I260)</f>
        <v>13737.544328976641</v>
      </c>
      <c r="K260" s="32">
        <f>IF(Result_notebook_retravaill!I260&gt;Result_notebook_retravaill!G260,0,IF(Result_notebook_retravaill!I260+Result_notebook_retravaill!J260&gt;Result_notebook_retravaill!G260,Result_notebook_retravaill!G260-Result_notebook_retravaill!I260,Result_notebook_retravaill!J260))</f>
        <v>0</v>
      </c>
      <c r="L260" s="32">
        <f>IF(Result_notebook_retravaill!I260&gt;Result_notebook_retravaill!G260,0,IF(Result_notebook_retravaill!I260+Result_notebook_retravaill!J260&gt;Result_notebook_retravaill!G260,0,Result_notebook_retravaill!M260))</f>
        <v>0</v>
      </c>
      <c r="M260" s="31">
        <f t="shared" si="4"/>
        <v>0</v>
      </c>
    </row>
    <row r="261" spans="1:13" x14ac:dyDescent="0.35">
      <c r="A261">
        <f>Result_notebook_retravaill!A261</f>
        <v>2027</v>
      </c>
      <c r="B261" t="str">
        <f>Result_notebook_retravaill!B261</f>
        <v>Lithium</v>
      </c>
      <c r="C261" t="str">
        <f>Result_notebook_retravaill!C261</f>
        <v>Canada Net-zero</v>
      </c>
      <c r="D261" t="str">
        <f>Result_notebook_retravaill!D261</f>
        <v>Production potential</v>
      </c>
      <c r="E261" t="str">
        <f>Result_notebook_retravaill!E261</f>
        <v>100% CAN</v>
      </c>
      <c r="F261" t="str">
        <f>Result_notebook_retravaill!F261</f>
        <v>Integrated</v>
      </c>
      <c r="G261">
        <f>Result_notebook_retravaill!G261</f>
        <v>13737.544328976641</v>
      </c>
      <c r="H261" s="32">
        <f>IF(Result_notebook_retravaill!I261&gt;Result_notebook_retravaill!G261,Result_notebook_retravaill!I261/Result_notebook_retravaill!N261,Result_notebook_retravaill!H261)</f>
        <v>137379.40096124742</v>
      </c>
      <c r="I261" s="32">
        <f>Result_notebook_retravaill!K261</f>
        <v>0</v>
      </c>
      <c r="J261" s="32">
        <f>MIN(G261,Result_notebook_retravaill!I261)</f>
        <v>13737.544328976641</v>
      </c>
      <c r="K261" s="32">
        <f>IF(Result_notebook_retravaill!I261&gt;Result_notebook_retravaill!G261,0,IF(Result_notebook_retravaill!I261+Result_notebook_retravaill!J261&gt;Result_notebook_retravaill!G261,Result_notebook_retravaill!G261-Result_notebook_retravaill!I261,Result_notebook_retravaill!J261))</f>
        <v>0</v>
      </c>
      <c r="L261" s="32">
        <f>IF(Result_notebook_retravaill!I261&gt;Result_notebook_retravaill!G261,0,IF(Result_notebook_retravaill!I261+Result_notebook_retravaill!J261&gt;Result_notebook_retravaill!G261,0,Result_notebook_retravaill!M261))</f>
        <v>0</v>
      </c>
      <c r="M261" s="31">
        <f t="shared" si="4"/>
        <v>0</v>
      </c>
    </row>
    <row r="262" spans="1:13" x14ac:dyDescent="0.35">
      <c r="A262">
        <f>Result_notebook_retravaill!A262</f>
        <v>2027</v>
      </c>
      <c r="B262" t="str">
        <f>Result_notebook_retravaill!B262</f>
        <v>Lithium</v>
      </c>
      <c r="C262" t="str">
        <f>Result_notebook_retravaill!C262</f>
        <v>Current Measures</v>
      </c>
      <c r="D262" t="str">
        <f>Result_notebook_retravaill!D262</f>
        <v>Existing production</v>
      </c>
      <c r="E262" t="str">
        <f>Result_notebook_retravaill!E262</f>
        <v>Current shares</v>
      </c>
      <c r="F262" t="str">
        <f>Result_notebook_retravaill!F262</f>
        <v>NIMBY</v>
      </c>
      <c r="G262">
        <f>Result_notebook_retravaill!G262</f>
        <v>8983.916446708683</v>
      </c>
      <c r="H262" s="32">
        <f>IF(Result_notebook_retravaill!I262&gt;Result_notebook_retravaill!G262,Result_notebook_retravaill!I262/Result_notebook_retravaill!N262,Result_notebook_retravaill!H262)</f>
        <v>0</v>
      </c>
      <c r="I262" s="32">
        <f>Result_notebook_retravaill!K262</f>
        <v>12834.16635244098</v>
      </c>
      <c r="J262" s="32">
        <f>MIN(G262,Result_notebook_retravaill!I262)</f>
        <v>0</v>
      </c>
      <c r="K262" s="32">
        <f>IF(Result_notebook_retravaill!I262&gt;Result_notebook_retravaill!G262,0,IF(Result_notebook_retravaill!I262+Result_notebook_retravaill!J262&gt;Result_notebook_retravaill!G262,Result_notebook_retravaill!G262-Result_notebook_retravaill!I262,Result_notebook_retravaill!J262))</f>
        <v>0</v>
      </c>
      <c r="L262" s="32">
        <f>IF(Result_notebook_retravaill!I262&gt;Result_notebook_retravaill!G262,0,IF(Result_notebook_retravaill!I262+Result_notebook_retravaill!J262&gt;Result_notebook_retravaill!G262,0,Result_notebook_retravaill!M262))</f>
        <v>8983.916446708683</v>
      </c>
      <c r="M262" s="31">
        <f t="shared" si="4"/>
        <v>0</v>
      </c>
    </row>
    <row r="263" spans="1:13" x14ac:dyDescent="0.35">
      <c r="A263">
        <f>Result_notebook_retravaill!A263</f>
        <v>2027</v>
      </c>
      <c r="B263" t="str">
        <f>Result_notebook_retravaill!B263</f>
        <v>Lithium</v>
      </c>
      <c r="C263" t="str">
        <f>Result_notebook_retravaill!C263</f>
        <v>Current Measures</v>
      </c>
      <c r="D263" t="str">
        <f>Result_notebook_retravaill!D263</f>
        <v>Existing production</v>
      </c>
      <c r="E263" t="str">
        <f>Result_notebook_retravaill!E263</f>
        <v>Current shares</v>
      </c>
      <c r="F263" t="str">
        <f>Result_notebook_retravaill!F263</f>
        <v>Status Quo</v>
      </c>
      <c r="G263">
        <f>Result_notebook_retravaill!G263</f>
        <v>8983.916446708683</v>
      </c>
      <c r="H263" s="32">
        <f>IF(Result_notebook_retravaill!I263&gt;Result_notebook_retravaill!G263,Result_notebook_retravaill!I263/Result_notebook_retravaill!N263,Result_notebook_retravaill!H263)</f>
        <v>37004.175816284209</v>
      </c>
      <c r="I263" s="32">
        <f>Result_notebook_retravaill!K263</f>
        <v>0</v>
      </c>
      <c r="J263" s="32">
        <f>MIN(G263,Result_notebook_retravaill!I263)</f>
        <v>8983.916446708683</v>
      </c>
      <c r="K263" s="32">
        <f>IF(Result_notebook_retravaill!I263&gt;Result_notebook_retravaill!G263,0,IF(Result_notebook_retravaill!I263+Result_notebook_retravaill!J263&gt;Result_notebook_retravaill!G263,Result_notebook_retravaill!G263-Result_notebook_retravaill!I263,Result_notebook_retravaill!J263))</f>
        <v>0</v>
      </c>
      <c r="L263" s="32">
        <f>IF(Result_notebook_retravaill!I263&gt;Result_notebook_retravaill!G263,0,IF(Result_notebook_retravaill!I263+Result_notebook_retravaill!J263&gt;Result_notebook_retravaill!G263,0,Result_notebook_retravaill!M263))</f>
        <v>0</v>
      </c>
      <c r="M263" s="31">
        <f t="shared" si="4"/>
        <v>0</v>
      </c>
    </row>
    <row r="264" spans="1:13" x14ac:dyDescent="0.35">
      <c r="A264">
        <f>Result_notebook_retravaill!A264</f>
        <v>2027</v>
      </c>
      <c r="B264" t="str">
        <f>Result_notebook_retravaill!B264</f>
        <v>Lithium</v>
      </c>
      <c r="C264" t="str">
        <f>Result_notebook_retravaill!C264</f>
        <v>Current Measures</v>
      </c>
      <c r="D264" t="str">
        <f>Result_notebook_retravaill!D264</f>
        <v>Production potential</v>
      </c>
      <c r="E264" t="str">
        <f>Result_notebook_retravaill!E264</f>
        <v>Current shares</v>
      </c>
      <c r="F264" t="str">
        <f>Result_notebook_retravaill!F264</f>
        <v>Expansion Extractive</v>
      </c>
      <c r="G264">
        <f>Result_notebook_retravaill!G264</f>
        <v>8983.916446708683</v>
      </c>
      <c r="H264" s="32">
        <f>IF(Result_notebook_retravaill!I264&gt;Result_notebook_retravaill!G264,Result_notebook_retravaill!I264/Result_notebook_retravaill!N264,Result_notebook_retravaill!H264)</f>
        <v>137379.40096124742</v>
      </c>
      <c r="I264" s="32">
        <f>Result_notebook_retravaill!K264</f>
        <v>0</v>
      </c>
      <c r="J264" s="32">
        <f>MIN(G264,Result_notebook_retravaill!I264)</f>
        <v>8983.916446708683</v>
      </c>
      <c r="K264" s="32">
        <f>IF(Result_notebook_retravaill!I264&gt;Result_notebook_retravaill!G264,0,IF(Result_notebook_retravaill!I264+Result_notebook_retravaill!J264&gt;Result_notebook_retravaill!G264,Result_notebook_retravaill!G264-Result_notebook_retravaill!I264,Result_notebook_retravaill!J264))</f>
        <v>0</v>
      </c>
      <c r="L264" s="32">
        <f>IF(Result_notebook_retravaill!I264&gt;Result_notebook_retravaill!G264,0,IF(Result_notebook_retravaill!I264+Result_notebook_retravaill!J264&gt;Result_notebook_retravaill!G264,0,Result_notebook_retravaill!M264))</f>
        <v>0</v>
      </c>
      <c r="M264" s="31">
        <f t="shared" si="4"/>
        <v>0</v>
      </c>
    </row>
    <row r="265" spans="1:13" x14ac:dyDescent="0.35">
      <c r="A265">
        <f>Result_notebook_retravaill!A265</f>
        <v>2027</v>
      </c>
      <c r="B265" t="str">
        <f>Result_notebook_retravaill!B265</f>
        <v>Lithium</v>
      </c>
      <c r="C265" t="str">
        <f>Result_notebook_retravaill!C265</f>
        <v>Current Measures</v>
      </c>
      <c r="D265" t="str">
        <f>Result_notebook_retravaill!D265</f>
        <v>Production potential</v>
      </c>
      <c r="E265" t="str">
        <f>Result_notebook_retravaill!E265</f>
        <v>Current shares</v>
      </c>
      <c r="F265" t="str">
        <f>Result_notebook_retravaill!F265</f>
        <v>Expansion Extractive+Circularity</v>
      </c>
      <c r="G265">
        <f>Result_notebook_retravaill!G265</f>
        <v>8983.916446708683</v>
      </c>
      <c r="H265" s="32">
        <f>IF(Result_notebook_retravaill!I265&gt;Result_notebook_retravaill!G265,Result_notebook_retravaill!I265/Result_notebook_retravaill!N265,Result_notebook_retravaill!H265)</f>
        <v>137379.40096124742</v>
      </c>
      <c r="I265" s="32">
        <f>Result_notebook_retravaill!K265</f>
        <v>0</v>
      </c>
      <c r="J265" s="32">
        <f>MIN(G265,Result_notebook_retravaill!I265)</f>
        <v>8983.916446708683</v>
      </c>
      <c r="K265" s="32">
        <f>IF(Result_notebook_retravaill!I265&gt;Result_notebook_retravaill!G265,0,IF(Result_notebook_retravaill!I265+Result_notebook_retravaill!J265&gt;Result_notebook_retravaill!G265,Result_notebook_retravaill!G265-Result_notebook_retravaill!I265,Result_notebook_retravaill!J265))</f>
        <v>0</v>
      </c>
      <c r="L265" s="32">
        <f>IF(Result_notebook_retravaill!I265&gt;Result_notebook_retravaill!G265,0,IF(Result_notebook_retravaill!I265+Result_notebook_retravaill!J265&gt;Result_notebook_retravaill!G265,0,Result_notebook_retravaill!M265))</f>
        <v>0</v>
      </c>
      <c r="M265" s="31">
        <f t="shared" si="4"/>
        <v>0</v>
      </c>
    </row>
    <row r="266" spans="1:13" x14ac:dyDescent="0.35">
      <c r="A266">
        <f>Result_notebook_retravaill!A266</f>
        <v>2027</v>
      </c>
      <c r="B266" t="str">
        <f>Result_notebook_retravaill!B266</f>
        <v>Lithium</v>
      </c>
      <c r="C266" t="str">
        <f>Result_notebook_retravaill!C266</f>
        <v>Current Measures</v>
      </c>
      <c r="D266" t="str">
        <f>Result_notebook_retravaill!D266</f>
        <v>Production potential</v>
      </c>
      <c r="E266" t="str">
        <f>Result_notebook_retravaill!E266</f>
        <v>100% CAN</v>
      </c>
      <c r="F266" t="str">
        <f>Result_notebook_retravaill!F266</f>
        <v>Integrated</v>
      </c>
      <c r="G266">
        <f>Result_notebook_retravaill!G266</f>
        <v>8983.916446708683</v>
      </c>
      <c r="H266" s="32">
        <f>IF(Result_notebook_retravaill!I266&gt;Result_notebook_retravaill!G266,Result_notebook_retravaill!I266/Result_notebook_retravaill!N266,Result_notebook_retravaill!H266)</f>
        <v>137379.40096124742</v>
      </c>
      <c r="I266" s="32">
        <f>Result_notebook_retravaill!K266</f>
        <v>0</v>
      </c>
      <c r="J266" s="32">
        <f>MIN(G266,Result_notebook_retravaill!I266)</f>
        <v>8983.916446708683</v>
      </c>
      <c r="K266" s="32">
        <f>IF(Result_notebook_retravaill!I266&gt;Result_notebook_retravaill!G266,0,IF(Result_notebook_retravaill!I266+Result_notebook_retravaill!J266&gt;Result_notebook_retravaill!G266,Result_notebook_retravaill!G266-Result_notebook_retravaill!I266,Result_notebook_retravaill!J266))</f>
        <v>0</v>
      </c>
      <c r="L266" s="32">
        <f>IF(Result_notebook_retravaill!I266&gt;Result_notebook_retravaill!G266,0,IF(Result_notebook_retravaill!I266+Result_notebook_retravaill!J266&gt;Result_notebook_retravaill!G266,0,Result_notebook_retravaill!M266))</f>
        <v>0</v>
      </c>
      <c r="M266" s="31">
        <f t="shared" si="4"/>
        <v>0</v>
      </c>
    </row>
    <row r="267" spans="1:13" x14ac:dyDescent="0.35">
      <c r="A267">
        <f>Result_notebook_retravaill!A267</f>
        <v>2027</v>
      </c>
      <c r="B267" t="str">
        <f>Result_notebook_retravaill!B267</f>
        <v>Lithium</v>
      </c>
      <c r="C267" t="str">
        <f>Result_notebook_retravaill!C267</f>
        <v>Global Net-zero</v>
      </c>
      <c r="D267" t="str">
        <f>Result_notebook_retravaill!D267</f>
        <v>Existing production</v>
      </c>
      <c r="E267" t="str">
        <f>Result_notebook_retravaill!E267</f>
        <v>Current shares</v>
      </c>
      <c r="F267" t="str">
        <f>Result_notebook_retravaill!F267</f>
        <v>NIMBY</v>
      </c>
      <c r="G267">
        <f>Result_notebook_retravaill!G267</f>
        <v>13417.12031217203</v>
      </c>
      <c r="H267" s="32">
        <f>IF(Result_notebook_retravaill!I267&gt;Result_notebook_retravaill!G267,Result_notebook_retravaill!I267/Result_notebook_retravaill!N267,Result_notebook_retravaill!H267)</f>
        <v>0</v>
      </c>
      <c r="I267" s="32">
        <f>Result_notebook_retravaill!K267</f>
        <v>19167.314731674331</v>
      </c>
      <c r="J267" s="32">
        <f>MIN(G267,Result_notebook_retravaill!I267)</f>
        <v>0</v>
      </c>
      <c r="K267" s="32">
        <f>IF(Result_notebook_retravaill!I267&gt;Result_notebook_retravaill!G267,0,IF(Result_notebook_retravaill!I267+Result_notebook_retravaill!J267&gt;Result_notebook_retravaill!G267,Result_notebook_retravaill!G267-Result_notebook_retravaill!I267,Result_notebook_retravaill!J267))</f>
        <v>0</v>
      </c>
      <c r="L267" s="32">
        <f>IF(Result_notebook_retravaill!I267&gt;Result_notebook_retravaill!G267,0,IF(Result_notebook_retravaill!I267+Result_notebook_retravaill!J267&gt;Result_notebook_retravaill!G267,0,Result_notebook_retravaill!M267))</f>
        <v>13417.12031217203</v>
      </c>
      <c r="M267" s="31">
        <f t="shared" si="4"/>
        <v>0</v>
      </c>
    </row>
    <row r="268" spans="1:13" x14ac:dyDescent="0.35">
      <c r="A268">
        <f>Result_notebook_retravaill!A268</f>
        <v>2027</v>
      </c>
      <c r="B268" t="str">
        <f>Result_notebook_retravaill!B268</f>
        <v>Lithium</v>
      </c>
      <c r="C268" t="str">
        <f>Result_notebook_retravaill!C268</f>
        <v>Global Net-zero</v>
      </c>
      <c r="D268" t="str">
        <f>Result_notebook_retravaill!D268</f>
        <v>Existing production</v>
      </c>
      <c r="E268" t="str">
        <f>Result_notebook_retravaill!E268</f>
        <v>Current shares</v>
      </c>
      <c r="F268" t="str">
        <f>Result_notebook_retravaill!F268</f>
        <v>Status Quo</v>
      </c>
      <c r="G268">
        <f>Result_notebook_retravaill!G268</f>
        <v>13417.12031217203</v>
      </c>
      <c r="H268" s="32">
        <f>IF(Result_notebook_retravaill!I268&gt;Result_notebook_retravaill!G268,Result_notebook_retravaill!I268/Result_notebook_retravaill!N268,Result_notebook_retravaill!H268)</f>
        <v>37004.175816284209</v>
      </c>
      <c r="I268" s="32">
        <f>Result_notebook_retravaill!K268</f>
        <v>0</v>
      </c>
      <c r="J268" s="32">
        <f>MIN(G268,Result_notebook_retravaill!I268)</f>
        <v>13417.12031217203</v>
      </c>
      <c r="K268" s="32">
        <f>IF(Result_notebook_retravaill!I268&gt;Result_notebook_retravaill!G268,0,IF(Result_notebook_retravaill!I268+Result_notebook_retravaill!J268&gt;Result_notebook_retravaill!G268,Result_notebook_retravaill!G268-Result_notebook_retravaill!I268,Result_notebook_retravaill!J268))</f>
        <v>0</v>
      </c>
      <c r="L268" s="32">
        <f>IF(Result_notebook_retravaill!I268&gt;Result_notebook_retravaill!G268,0,IF(Result_notebook_retravaill!I268+Result_notebook_retravaill!J268&gt;Result_notebook_retravaill!G268,0,Result_notebook_retravaill!M268))</f>
        <v>0</v>
      </c>
      <c r="M268" s="31">
        <f t="shared" si="4"/>
        <v>0</v>
      </c>
    </row>
    <row r="269" spans="1:13" x14ac:dyDescent="0.35">
      <c r="A269">
        <f>Result_notebook_retravaill!A269</f>
        <v>2027</v>
      </c>
      <c r="B269" t="str">
        <f>Result_notebook_retravaill!B269</f>
        <v>Lithium</v>
      </c>
      <c r="C269" t="str">
        <f>Result_notebook_retravaill!C269</f>
        <v>Global Net-zero</v>
      </c>
      <c r="D269" t="str">
        <f>Result_notebook_retravaill!D269</f>
        <v>Production potential</v>
      </c>
      <c r="E269" t="str">
        <f>Result_notebook_retravaill!E269</f>
        <v>Current shares</v>
      </c>
      <c r="F269" t="str">
        <f>Result_notebook_retravaill!F269</f>
        <v>Expansion Extractive</v>
      </c>
      <c r="G269">
        <f>Result_notebook_retravaill!G269</f>
        <v>13417.12031217203</v>
      </c>
      <c r="H269" s="32">
        <f>IF(Result_notebook_retravaill!I269&gt;Result_notebook_retravaill!G269,Result_notebook_retravaill!I269/Result_notebook_retravaill!N269,Result_notebook_retravaill!H269)</f>
        <v>137379.40096124742</v>
      </c>
      <c r="I269" s="32">
        <f>Result_notebook_retravaill!K269</f>
        <v>0</v>
      </c>
      <c r="J269" s="32">
        <f>MIN(G269,Result_notebook_retravaill!I269)</f>
        <v>13417.12031217203</v>
      </c>
      <c r="K269" s="32">
        <f>IF(Result_notebook_retravaill!I269&gt;Result_notebook_retravaill!G269,0,IF(Result_notebook_retravaill!I269+Result_notebook_retravaill!J269&gt;Result_notebook_retravaill!G269,Result_notebook_retravaill!G269-Result_notebook_retravaill!I269,Result_notebook_retravaill!J269))</f>
        <v>0</v>
      </c>
      <c r="L269" s="32">
        <f>IF(Result_notebook_retravaill!I269&gt;Result_notebook_retravaill!G269,0,IF(Result_notebook_retravaill!I269+Result_notebook_retravaill!J269&gt;Result_notebook_retravaill!G269,0,Result_notebook_retravaill!M269))</f>
        <v>0</v>
      </c>
      <c r="M269" s="31">
        <f t="shared" si="4"/>
        <v>0</v>
      </c>
    </row>
    <row r="270" spans="1:13" x14ac:dyDescent="0.35">
      <c r="A270">
        <f>Result_notebook_retravaill!A270</f>
        <v>2027</v>
      </c>
      <c r="B270" t="str">
        <f>Result_notebook_retravaill!B270</f>
        <v>Lithium</v>
      </c>
      <c r="C270" t="str">
        <f>Result_notebook_retravaill!C270</f>
        <v>Global Net-zero</v>
      </c>
      <c r="D270" t="str">
        <f>Result_notebook_retravaill!D270</f>
        <v>Production potential</v>
      </c>
      <c r="E270" t="str">
        <f>Result_notebook_retravaill!E270</f>
        <v>Current shares</v>
      </c>
      <c r="F270" t="str">
        <f>Result_notebook_retravaill!F270</f>
        <v>Expansion Extractive+Circularity</v>
      </c>
      <c r="G270">
        <f>Result_notebook_retravaill!G270</f>
        <v>13417.12031217203</v>
      </c>
      <c r="H270" s="32">
        <f>IF(Result_notebook_retravaill!I270&gt;Result_notebook_retravaill!G270,Result_notebook_retravaill!I270/Result_notebook_retravaill!N270,Result_notebook_retravaill!H270)</f>
        <v>137379.40096124742</v>
      </c>
      <c r="I270" s="32">
        <f>Result_notebook_retravaill!K270</f>
        <v>0</v>
      </c>
      <c r="J270" s="32">
        <f>MIN(G270,Result_notebook_retravaill!I270)</f>
        <v>13417.12031217203</v>
      </c>
      <c r="K270" s="32">
        <f>IF(Result_notebook_retravaill!I270&gt;Result_notebook_retravaill!G270,0,IF(Result_notebook_retravaill!I270+Result_notebook_retravaill!J270&gt;Result_notebook_retravaill!G270,Result_notebook_retravaill!G270-Result_notebook_retravaill!I270,Result_notebook_retravaill!J270))</f>
        <v>0</v>
      </c>
      <c r="L270" s="32">
        <f>IF(Result_notebook_retravaill!I270&gt;Result_notebook_retravaill!G270,0,IF(Result_notebook_retravaill!I270+Result_notebook_retravaill!J270&gt;Result_notebook_retravaill!G270,0,Result_notebook_retravaill!M270))</f>
        <v>0</v>
      </c>
      <c r="M270" s="31">
        <f t="shared" si="4"/>
        <v>0</v>
      </c>
    </row>
    <row r="271" spans="1:13" x14ac:dyDescent="0.35">
      <c r="A271">
        <f>Result_notebook_retravaill!A271</f>
        <v>2027</v>
      </c>
      <c r="B271" t="str">
        <f>Result_notebook_retravaill!B271</f>
        <v>Lithium</v>
      </c>
      <c r="C271" t="str">
        <f>Result_notebook_retravaill!C271</f>
        <v>Global Net-zero</v>
      </c>
      <c r="D271" t="str">
        <f>Result_notebook_retravaill!D271</f>
        <v>Production potential</v>
      </c>
      <c r="E271" t="str">
        <f>Result_notebook_retravaill!E271</f>
        <v>100% CAN</v>
      </c>
      <c r="F271" t="str">
        <f>Result_notebook_retravaill!F271</f>
        <v>Integrated</v>
      </c>
      <c r="G271">
        <f>Result_notebook_retravaill!G271</f>
        <v>13417.12031217203</v>
      </c>
      <c r="H271" s="32">
        <f>IF(Result_notebook_retravaill!I271&gt;Result_notebook_retravaill!G271,Result_notebook_retravaill!I271/Result_notebook_retravaill!N271,Result_notebook_retravaill!H271)</f>
        <v>137379.40096124742</v>
      </c>
      <c r="I271" s="32">
        <f>Result_notebook_retravaill!K271</f>
        <v>0</v>
      </c>
      <c r="J271" s="32">
        <f>MIN(G271,Result_notebook_retravaill!I271)</f>
        <v>13417.12031217203</v>
      </c>
      <c r="K271" s="32">
        <f>IF(Result_notebook_retravaill!I271&gt;Result_notebook_retravaill!G271,0,IF(Result_notebook_retravaill!I271+Result_notebook_retravaill!J271&gt;Result_notebook_retravaill!G271,Result_notebook_retravaill!G271-Result_notebook_retravaill!I271,Result_notebook_retravaill!J271))</f>
        <v>0</v>
      </c>
      <c r="L271" s="32">
        <f>IF(Result_notebook_retravaill!I271&gt;Result_notebook_retravaill!G271,0,IF(Result_notebook_retravaill!I271+Result_notebook_retravaill!J271&gt;Result_notebook_retravaill!G271,0,Result_notebook_retravaill!M271))</f>
        <v>0</v>
      </c>
      <c r="M271" s="31">
        <f t="shared" si="4"/>
        <v>0</v>
      </c>
    </row>
    <row r="272" spans="1:13" x14ac:dyDescent="0.35">
      <c r="A272">
        <f>Result_notebook_retravaill!A272</f>
        <v>2028</v>
      </c>
      <c r="B272" t="str">
        <f>Result_notebook_retravaill!B272</f>
        <v>Cobalt</v>
      </c>
      <c r="C272" t="str">
        <f>Result_notebook_retravaill!C272</f>
        <v>Canada Net-zero</v>
      </c>
      <c r="D272" t="str">
        <f>Result_notebook_retravaill!D272</f>
        <v>Existing production</v>
      </c>
      <c r="E272" t="str">
        <f>Result_notebook_retravaill!E272</f>
        <v>Current shares</v>
      </c>
      <c r="F272" t="str">
        <f>Result_notebook_retravaill!F272</f>
        <v>NIMBY</v>
      </c>
      <c r="G272">
        <f>Result_notebook_retravaill!G272</f>
        <v>33558.203893436563</v>
      </c>
      <c r="H272" s="32">
        <f>IF(Result_notebook_retravaill!I272&gt;Result_notebook_retravaill!G272,Result_notebook_retravaill!I272/Result_notebook_retravaill!N272,Result_notebook_retravaill!H272)</f>
        <v>0</v>
      </c>
      <c r="I272" s="32">
        <f>Result_notebook_retravaill!K272</f>
        <v>76268.645212355827</v>
      </c>
      <c r="J272" s="32">
        <f>MIN(G272,Result_notebook_retravaill!I272)</f>
        <v>0</v>
      </c>
      <c r="K272" s="32">
        <f>IF(Result_notebook_retravaill!I272&gt;Result_notebook_retravaill!G272,0,IF(Result_notebook_retravaill!I272+Result_notebook_retravaill!J272&gt;Result_notebook_retravaill!G272,Result_notebook_retravaill!G272-Result_notebook_retravaill!I272,Result_notebook_retravaill!J272))</f>
        <v>0</v>
      </c>
      <c r="L272" s="32">
        <f>IF(Result_notebook_retravaill!I272&gt;Result_notebook_retravaill!G272,0,IF(Result_notebook_retravaill!I272+Result_notebook_retravaill!J272&gt;Result_notebook_retravaill!G272,0,Result_notebook_retravaill!M272))</f>
        <v>33558.203893436563</v>
      </c>
      <c r="M272" s="31">
        <f t="shared" si="4"/>
        <v>0</v>
      </c>
    </row>
    <row r="273" spans="1:13" x14ac:dyDescent="0.35">
      <c r="A273">
        <f>Result_notebook_retravaill!A273</f>
        <v>2028</v>
      </c>
      <c r="B273" t="str">
        <f>Result_notebook_retravaill!B273</f>
        <v>Cobalt</v>
      </c>
      <c r="C273" t="str">
        <f>Result_notebook_retravaill!C273</f>
        <v>Canada Net-zero</v>
      </c>
      <c r="D273" t="str">
        <f>Result_notebook_retravaill!D273</f>
        <v>Existing production</v>
      </c>
      <c r="E273" t="str">
        <f>Result_notebook_retravaill!E273</f>
        <v>Current shares</v>
      </c>
      <c r="F273" t="str">
        <f>Result_notebook_retravaill!F273</f>
        <v>Status Quo</v>
      </c>
      <c r="G273">
        <f>Result_notebook_retravaill!G273</f>
        <v>33558.203893436563</v>
      </c>
      <c r="H273" s="32">
        <f>IF(Result_notebook_retravaill!I273&gt;Result_notebook_retravaill!G273,Result_notebook_retravaill!I273/Result_notebook_retravaill!N273,Result_notebook_retravaill!H273)</f>
        <v>4176</v>
      </c>
      <c r="I273" s="32">
        <f>Result_notebook_retravaill!K273</f>
        <v>72092.645212355827</v>
      </c>
      <c r="J273" s="32">
        <f>MIN(G273,Result_notebook_retravaill!I273)</f>
        <v>1771.38331528816</v>
      </c>
      <c r="K273" s="32">
        <f>IF(Result_notebook_retravaill!I273&gt;Result_notebook_retravaill!G273,0,IF(Result_notebook_retravaill!I273+Result_notebook_retravaill!J273&gt;Result_notebook_retravaill!G273,Result_notebook_retravaill!G273-Result_notebook_retravaill!I273,Result_notebook_retravaill!J273))</f>
        <v>63.327943020660086</v>
      </c>
      <c r="L273" s="32">
        <f>IF(Result_notebook_retravaill!I273&gt;Result_notebook_retravaill!G273,0,IF(Result_notebook_retravaill!I273+Result_notebook_retravaill!J273&gt;Result_notebook_retravaill!G273,0,Result_notebook_retravaill!M273))</f>
        <v>31723.492635127739</v>
      </c>
      <c r="M273" s="31">
        <f t="shared" si="4"/>
        <v>0</v>
      </c>
    </row>
    <row r="274" spans="1:13" x14ac:dyDescent="0.35">
      <c r="A274">
        <f>Result_notebook_retravaill!A274</f>
        <v>2028</v>
      </c>
      <c r="B274" t="str">
        <f>Result_notebook_retravaill!B274</f>
        <v>Cobalt</v>
      </c>
      <c r="C274" t="str">
        <f>Result_notebook_retravaill!C274</f>
        <v>Canada Net-zero</v>
      </c>
      <c r="D274" t="str">
        <f>Result_notebook_retravaill!D274</f>
        <v>Production potential</v>
      </c>
      <c r="E274" t="str">
        <f>Result_notebook_retravaill!E274</f>
        <v>Current shares</v>
      </c>
      <c r="F274" t="str">
        <f>Result_notebook_retravaill!F274</f>
        <v>Expansion Extractive</v>
      </c>
      <c r="G274">
        <f>Result_notebook_retravaill!G274</f>
        <v>33558.203893436563</v>
      </c>
      <c r="H274" s="32">
        <f>IF(Result_notebook_retravaill!I274&gt;Result_notebook_retravaill!G274,Result_notebook_retravaill!I274/Result_notebook_retravaill!N274,Result_notebook_retravaill!H274)</f>
        <v>7250</v>
      </c>
      <c r="I274" s="32">
        <f>Result_notebook_retravaill!K274</f>
        <v>69018.645212355827</v>
      </c>
      <c r="J274" s="32">
        <f>MIN(G274,Result_notebook_retravaill!I274)</f>
        <v>3075.318255708612</v>
      </c>
      <c r="K274" s="32">
        <f>IF(Result_notebook_retravaill!I274&gt;Result_notebook_retravaill!G274,0,IF(Result_notebook_retravaill!I274+Result_notebook_retravaill!J274&gt;Result_notebook_retravaill!G274,Result_notebook_retravaill!G274-Result_notebook_retravaill!I274,Result_notebook_retravaill!J274))</f>
        <v>109.94434552197845</v>
      </c>
      <c r="L274" s="32">
        <f>IF(Result_notebook_retravaill!I274&gt;Result_notebook_retravaill!G274,0,IF(Result_notebook_retravaill!I274+Result_notebook_retravaill!J274&gt;Result_notebook_retravaill!G274,0,Result_notebook_retravaill!M274))</f>
        <v>30372.941292205975</v>
      </c>
      <c r="M274" s="31">
        <f t="shared" si="4"/>
        <v>0</v>
      </c>
    </row>
    <row r="275" spans="1:13" x14ac:dyDescent="0.35">
      <c r="A275">
        <f>Result_notebook_retravaill!A275</f>
        <v>2028</v>
      </c>
      <c r="B275" t="str">
        <f>Result_notebook_retravaill!B275</f>
        <v>Cobalt</v>
      </c>
      <c r="C275" t="str">
        <f>Result_notebook_retravaill!C275</f>
        <v>Canada Net-zero</v>
      </c>
      <c r="D275" t="str">
        <f>Result_notebook_retravaill!D275</f>
        <v>Production potential</v>
      </c>
      <c r="E275" t="str">
        <f>Result_notebook_retravaill!E275</f>
        <v>Current shares</v>
      </c>
      <c r="F275" t="str">
        <f>Result_notebook_retravaill!F275</f>
        <v>Expansion Extractive+Circularity</v>
      </c>
      <c r="G275">
        <f>Result_notebook_retravaill!G275</f>
        <v>33558.203893436563</v>
      </c>
      <c r="H275" s="32">
        <f>IF(Result_notebook_retravaill!I275&gt;Result_notebook_retravaill!G275,Result_notebook_retravaill!I275/Result_notebook_retravaill!N275,Result_notebook_retravaill!H275)</f>
        <v>7250</v>
      </c>
      <c r="I275" s="32">
        <f>Result_notebook_retravaill!K275</f>
        <v>69018.645212355827</v>
      </c>
      <c r="J275" s="32">
        <f>MIN(G275,Result_notebook_retravaill!I275)</f>
        <v>3075.318255708612</v>
      </c>
      <c r="K275" s="32">
        <f>IF(Result_notebook_retravaill!I275&gt;Result_notebook_retravaill!G275,0,IF(Result_notebook_retravaill!I275+Result_notebook_retravaill!J275&gt;Result_notebook_retravaill!G275,Result_notebook_retravaill!G275-Result_notebook_retravaill!I275,Result_notebook_retravaill!J275))</f>
        <v>109.94434552197845</v>
      </c>
      <c r="L275" s="32">
        <f>IF(Result_notebook_retravaill!I275&gt;Result_notebook_retravaill!G275,0,IF(Result_notebook_retravaill!I275+Result_notebook_retravaill!J275&gt;Result_notebook_retravaill!G275,0,Result_notebook_retravaill!M275))</f>
        <v>30372.941292205975</v>
      </c>
      <c r="M275" s="31">
        <f t="shared" si="4"/>
        <v>0</v>
      </c>
    </row>
    <row r="276" spans="1:13" x14ac:dyDescent="0.35">
      <c r="A276">
        <f>Result_notebook_retravaill!A276</f>
        <v>2028</v>
      </c>
      <c r="B276" t="str">
        <f>Result_notebook_retravaill!B276</f>
        <v>Cobalt</v>
      </c>
      <c r="C276" t="str">
        <f>Result_notebook_retravaill!C276</f>
        <v>Canada Net-zero</v>
      </c>
      <c r="D276" t="str">
        <f>Result_notebook_retravaill!D276</f>
        <v>Production potential</v>
      </c>
      <c r="E276" t="str">
        <f>Result_notebook_retravaill!E276</f>
        <v>100% CAN</v>
      </c>
      <c r="F276" t="str">
        <f>Result_notebook_retravaill!F276</f>
        <v>Integrated</v>
      </c>
      <c r="G276">
        <f>Result_notebook_retravaill!G276</f>
        <v>33558.203893436563</v>
      </c>
      <c r="H276" s="32">
        <f>IF(Result_notebook_retravaill!I276&gt;Result_notebook_retravaill!G276,Result_notebook_retravaill!I276/Result_notebook_retravaill!N276,Result_notebook_retravaill!H276)</f>
        <v>7250</v>
      </c>
      <c r="I276" s="32">
        <f>Result_notebook_retravaill!K276</f>
        <v>69018.645212355827</v>
      </c>
      <c r="J276" s="32">
        <f>MIN(G276,Result_notebook_retravaill!I276)</f>
        <v>3185.2626012305932</v>
      </c>
      <c r="K276" s="32">
        <f>IF(Result_notebook_retravaill!I276&gt;Result_notebook_retravaill!G276,0,IF(Result_notebook_retravaill!I276+Result_notebook_retravaill!J276&gt;Result_notebook_retravaill!G276,Result_notebook_retravaill!G276-Result_notebook_retravaill!I276,Result_notebook_retravaill!J276))</f>
        <v>0</v>
      </c>
      <c r="L276" s="32">
        <f>IF(Result_notebook_retravaill!I276&gt;Result_notebook_retravaill!G276,0,IF(Result_notebook_retravaill!I276+Result_notebook_retravaill!J276&gt;Result_notebook_retravaill!G276,0,Result_notebook_retravaill!M276))</f>
        <v>30372.941292205971</v>
      </c>
      <c r="M276" s="31">
        <f t="shared" si="4"/>
        <v>0</v>
      </c>
    </row>
    <row r="277" spans="1:13" x14ac:dyDescent="0.35">
      <c r="A277">
        <f>Result_notebook_retravaill!A277</f>
        <v>2028</v>
      </c>
      <c r="B277" t="str">
        <f>Result_notebook_retravaill!B277</f>
        <v>Cobalt</v>
      </c>
      <c r="C277" t="str">
        <f>Result_notebook_retravaill!C277</f>
        <v>Current Measures</v>
      </c>
      <c r="D277" t="str">
        <f>Result_notebook_retravaill!D277</f>
        <v>Existing production</v>
      </c>
      <c r="E277" t="str">
        <f>Result_notebook_retravaill!E277</f>
        <v>Current shares</v>
      </c>
      <c r="F277" t="str">
        <f>Result_notebook_retravaill!F277</f>
        <v>NIMBY</v>
      </c>
      <c r="G277">
        <f>Result_notebook_retravaill!G277</f>
        <v>19651.719636773159</v>
      </c>
      <c r="H277" s="32">
        <f>IF(Result_notebook_retravaill!I277&gt;Result_notebook_retravaill!G277,Result_notebook_retravaill!I277/Result_notebook_retravaill!N277,Result_notebook_retravaill!H277)</f>
        <v>0</v>
      </c>
      <c r="I277" s="32">
        <f>Result_notebook_retravaill!K277</f>
        <v>44662.999174484452</v>
      </c>
      <c r="J277" s="32">
        <f>MIN(G277,Result_notebook_retravaill!I277)</f>
        <v>0</v>
      </c>
      <c r="K277" s="32">
        <f>IF(Result_notebook_retravaill!I277&gt;Result_notebook_retravaill!G277,0,IF(Result_notebook_retravaill!I277+Result_notebook_retravaill!J277&gt;Result_notebook_retravaill!G277,Result_notebook_retravaill!G277-Result_notebook_retravaill!I277,Result_notebook_retravaill!J277))</f>
        <v>0</v>
      </c>
      <c r="L277" s="32">
        <f>IF(Result_notebook_retravaill!I277&gt;Result_notebook_retravaill!G277,0,IF(Result_notebook_retravaill!I277+Result_notebook_retravaill!J277&gt;Result_notebook_retravaill!G277,0,Result_notebook_retravaill!M277))</f>
        <v>19651.719636773159</v>
      </c>
      <c r="M277" s="31">
        <f t="shared" si="4"/>
        <v>0</v>
      </c>
    </row>
    <row r="278" spans="1:13" x14ac:dyDescent="0.35">
      <c r="A278">
        <f>Result_notebook_retravaill!A278</f>
        <v>2028</v>
      </c>
      <c r="B278" t="str">
        <f>Result_notebook_retravaill!B278</f>
        <v>Cobalt</v>
      </c>
      <c r="C278" t="str">
        <f>Result_notebook_retravaill!C278</f>
        <v>Current Measures</v>
      </c>
      <c r="D278" t="str">
        <f>Result_notebook_retravaill!D278</f>
        <v>Existing production</v>
      </c>
      <c r="E278" t="str">
        <f>Result_notebook_retravaill!E278</f>
        <v>Current shares</v>
      </c>
      <c r="F278" t="str">
        <f>Result_notebook_retravaill!F278</f>
        <v>Status Quo</v>
      </c>
      <c r="G278">
        <f>Result_notebook_retravaill!G278</f>
        <v>19651.719636773159</v>
      </c>
      <c r="H278" s="32">
        <f>IF(Result_notebook_retravaill!I278&gt;Result_notebook_retravaill!G278,Result_notebook_retravaill!I278/Result_notebook_retravaill!N278,Result_notebook_retravaill!H278)</f>
        <v>4176</v>
      </c>
      <c r="I278" s="32">
        <f>Result_notebook_retravaill!K278</f>
        <v>40486.999174484452</v>
      </c>
      <c r="J278" s="32">
        <f>MIN(G278,Result_notebook_retravaill!I278)</f>
        <v>1771.38331528816</v>
      </c>
      <c r="K278" s="32">
        <f>IF(Result_notebook_retravaill!I278&gt;Result_notebook_retravaill!G278,0,IF(Result_notebook_retravaill!I278+Result_notebook_retravaill!J278&gt;Result_notebook_retravaill!G278,Result_notebook_retravaill!G278-Result_notebook_retravaill!I278,Result_notebook_retravaill!J278))</f>
        <v>63.327943020660086</v>
      </c>
      <c r="L278" s="32">
        <f>IF(Result_notebook_retravaill!I278&gt;Result_notebook_retravaill!G278,0,IF(Result_notebook_retravaill!I278+Result_notebook_retravaill!J278&gt;Result_notebook_retravaill!G278,0,Result_notebook_retravaill!M278))</f>
        <v>17817.008378464339</v>
      </c>
      <c r="M278" s="31">
        <f t="shared" si="4"/>
        <v>0</v>
      </c>
    </row>
    <row r="279" spans="1:13" x14ac:dyDescent="0.35">
      <c r="A279">
        <f>Result_notebook_retravaill!A279</f>
        <v>2028</v>
      </c>
      <c r="B279" t="str">
        <f>Result_notebook_retravaill!B279</f>
        <v>Cobalt</v>
      </c>
      <c r="C279" t="str">
        <f>Result_notebook_retravaill!C279</f>
        <v>Current Measures</v>
      </c>
      <c r="D279" t="str">
        <f>Result_notebook_retravaill!D279</f>
        <v>Production potential</v>
      </c>
      <c r="E279" t="str">
        <f>Result_notebook_retravaill!E279</f>
        <v>Current shares</v>
      </c>
      <c r="F279" t="str">
        <f>Result_notebook_retravaill!F279</f>
        <v>Expansion Extractive</v>
      </c>
      <c r="G279">
        <f>Result_notebook_retravaill!G279</f>
        <v>19651.719636773159</v>
      </c>
      <c r="H279" s="32">
        <f>IF(Result_notebook_retravaill!I279&gt;Result_notebook_retravaill!G279,Result_notebook_retravaill!I279/Result_notebook_retravaill!N279,Result_notebook_retravaill!H279)</f>
        <v>7250</v>
      </c>
      <c r="I279" s="32">
        <f>Result_notebook_retravaill!K279</f>
        <v>37412.999174484452</v>
      </c>
      <c r="J279" s="32">
        <f>MIN(G279,Result_notebook_retravaill!I279)</f>
        <v>3075.318255708612</v>
      </c>
      <c r="K279" s="32">
        <f>IF(Result_notebook_retravaill!I279&gt;Result_notebook_retravaill!G279,0,IF(Result_notebook_retravaill!I279+Result_notebook_retravaill!J279&gt;Result_notebook_retravaill!G279,Result_notebook_retravaill!G279-Result_notebook_retravaill!I279,Result_notebook_retravaill!J279))</f>
        <v>109.94434552197845</v>
      </c>
      <c r="L279" s="32">
        <f>IF(Result_notebook_retravaill!I279&gt;Result_notebook_retravaill!G279,0,IF(Result_notebook_retravaill!I279+Result_notebook_retravaill!J279&gt;Result_notebook_retravaill!G279,0,Result_notebook_retravaill!M279))</f>
        <v>16466.457035542571</v>
      </c>
      <c r="M279" s="31">
        <f t="shared" si="4"/>
        <v>0</v>
      </c>
    </row>
    <row r="280" spans="1:13" x14ac:dyDescent="0.35">
      <c r="A280">
        <f>Result_notebook_retravaill!A280</f>
        <v>2028</v>
      </c>
      <c r="B280" t="str">
        <f>Result_notebook_retravaill!B280</f>
        <v>Cobalt</v>
      </c>
      <c r="C280" t="str">
        <f>Result_notebook_retravaill!C280</f>
        <v>Current Measures</v>
      </c>
      <c r="D280" t="str">
        <f>Result_notebook_retravaill!D280</f>
        <v>Production potential</v>
      </c>
      <c r="E280" t="str">
        <f>Result_notebook_retravaill!E280</f>
        <v>Current shares</v>
      </c>
      <c r="F280" t="str">
        <f>Result_notebook_retravaill!F280</f>
        <v>Expansion Extractive+Circularity</v>
      </c>
      <c r="G280">
        <f>Result_notebook_retravaill!G280</f>
        <v>19651.719636773159</v>
      </c>
      <c r="H280" s="32">
        <f>IF(Result_notebook_retravaill!I280&gt;Result_notebook_retravaill!G280,Result_notebook_retravaill!I280/Result_notebook_retravaill!N280,Result_notebook_retravaill!H280)</f>
        <v>7250</v>
      </c>
      <c r="I280" s="32">
        <f>Result_notebook_retravaill!K280</f>
        <v>37412.999174484452</v>
      </c>
      <c r="J280" s="32">
        <f>MIN(G280,Result_notebook_retravaill!I280)</f>
        <v>3075.318255708612</v>
      </c>
      <c r="K280" s="32">
        <f>IF(Result_notebook_retravaill!I280&gt;Result_notebook_retravaill!G280,0,IF(Result_notebook_retravaill!I280+Result_notebook_retravaill!J280&gt;Result_notebook_retravaill!G280,Result_notebook_retravaill!G280-Result_notebook_retravaill!I280,Result_notebook_retravaill!J280))</f>
        <v>109.94434552197845</v>
      </c>
      <c r="L280" s="32">
        <f>IF(Result_notebook_retravaill!I280&gt;Result_notebook_retravaill!G280,0,IF(Result_notebook_retravaill!I280+Result_notebook_retravaill!J280&gt;Result_notebook_retravaill!G280,0,Result_notebook_retravaill!M280))</f>
        <v>16466.457035542571</v>
      </c>
      <c r="M280" s="31">
        <f t="shared" si="4"/>
        <v>0</v>
      </c>
    </row>
    <row r="281" spans="1:13" x14ac:dyDescent="0.35">
      <c r="A281">
        <f>Result_notebook_retravaill!A281</f>
        <v>2028</v>
      </c>
      <c r="B281" t="str">
        <f>Result_notebook_retravaill!B281</f>
        <v>Cobalt</v>
      </c>
      <c r="C281" t="str">
        <f>Result_notebook_retravaill!C281</f>
        <v>Current Measures</v>
      </c>
      <c r="D281" t="str">
        <f>Result_notebook_retravaill!D281</f>
        <v>Production potential</v>
      </c>
      <c r="E281" t="str">
        <f>Result_notebook_retravaill!E281</f>
        <v>100% CAN</v>
      </c>
      <c r="F281" t="str">
        <f>Result_notebook_retravaill!F281</f>
        <v>Integrated</v>
      </c>
      <c r="G281">
        <f>Result_notebook_retravaill!G281</f>
        <v>19651.719636773159</v>
      </c>
      <c r="H281" s="32">
        <f>IF(Result_notebook_retravaill!I281&gt;Result_notebook_retravaill!G281,Result_notebook_retravaill!I281/Result_notebook_retravaill!N281,Result_notebook_retravaill!H281)</f>
        <v>7250</v>
      </c>
      <c r="I281" s="32">
        <f>Result_notebook_retravaill!K281</f>
        <v>37412.999174484452</v>
      </c>
      <c r="J281" s="32">
        <f>MIN(G281,Result_notebook_retravaill!I281)</f>
        <v>3185.2626012305932</v>
      </c>
      <c r="K281" s="32">
        <f>IF(Result_notebook_retravaill!I281&gt;Result_notebook_retravaill!G281,0,IF(Result_notebook_retravaill!I281+Result_notebook_retravaill!J281&gt;Result_notebook_retravaill!G281,Result_notebook_retravaill!G281-Result_notebook_retravaill!I281,Result_notebook_retravaill!J281))</f>
        <v>0</v>
      </c>
      <c r="L281" s="32">
        <f>IF(Result_notebook_retravaill!I281&gt;Result_notebook_retravaill!G281,0,IF(Result_notebook_retravaill!I281+Result_notebook_retravaill!J281&gt;Result_notebook_retravaill!G281,0,Result_notebook_retravaill!M281))</f>
        <v>16466.457035542571</v>
      </c>
      <c r="M281" s="31">
        <f t="shared" si="4"/>
        <v>0</v>
      </c>
    </row>
    <row r="282" spans="1:13" x14ac:dyDescent="0.35">
      <c r="A282">
        <f>Result_notebook_retravaill!A282</f>
        <v>2028</v>
      </c>
      <c r="B282" t="str">
        <f>Result_notebook_retravaill!B282</f>
        <v>Cobalt</v>
      </c>
      <c r="C282" t="str">
        <f>Result_notebook_retravaill!C282</f>
        <v>Global Net-zero</v>
      </c>
      <c r="D282" t="str">
        <f>Result_notebook_retravaill!D282</f>
        <v>Existing production</v>
      </c>
      <c r="E282" t="str">
        <f>Result_notebook_retravaill!E282</f>
        <v>Current shares</v>
      </c>
      <c r="F282" t="str">
        <f>Result_notebook_retravaill!F282</f>
        <v>NIMBY</v>
      </c>
      <c r="G282">
        <f>Result_notebook_retravaill!G282</f>
        <v>32337.908183628981</v>
      </c>
      <c r="H282" s="32">
        <f>IF(Result_notebook_retravaill!I282&gt;Result_notebook_retravaill!G282,Result_notebook_retravaill!I282/Result_notebook_retravaill!N282,Result_notebook_retravaill!H282)</f>
        <v>0</v>
      </c>
      <c r="I282" s="32">
        <f>Result_notebook_retravaill!K282</f>
        <v>73495.24587188405</v>
      </c>
      <c r="J282" s="32">
        <f>MIN(G282,Result_notebook_retravaill!I282)</f>
        <v>0</v>
      </c>
      <c r="K282" s="32">
        <f>IF(Result_notebook_retravaill!I282&gt;Result_notebook_retravaill!G282,0,IF(Result_notebook_retravaill!I282+Result_notebook_retravaill!J282&gt;Result_notebook_retravaill!G282,Result_notebook_retravaill!G282-Result_notebook_retravaill!I282,Result_notebook_retravaill!J282))</f>
        <v>0</v>
      </c>
      <c r="L282" s="32">
        <f>IF(Result_notebook_retravaill!I282&gt;Result_notebook_retravaill!G282,0,IF(Result_notebook_retravaill!I282+Result_notebook_retravaill!J282&gt;Result_notebook_retravaill!G282,0,Result_notebook_retravaill!M282))</f>
        <v>32337.908183628981</v>
      </c>
      <c r="M282" s="31">
        <f t="shared" si="4"/>
        <v>0</v>
      </c>
    </row>
    <row r="283" spans="1:13" x14ac:dyDescent="0.35">
      <c r="A283">
        <f>Result_notebook_retravaill!A283</f>
        <v>2028</v>
      </c>
      <c r="B283" t="str">
        <f>Result_notebook_retravaill!B283</f>
        <v>Cobalt</v>
      </c>
      <c r="C283" t="str">
        <f>Result_notebook_retravaill!C283</f>
        <v>Global Net-zero</v>
      </c>
      <c r="D283" t="str">
        <f>Result_notebook_retravaill!D283</f>
        <v>Existing production</v>
      </c>
      <c r="E283" t="str">
        <f>Result_notebook_retravaill!E283</f>
        <v>Current shares</v>
      </c>
      <c r="F283" t="str">
        <f>Result_notebook_retravaill!F283</f>
        <v>Status Quo</v>
      </c>
      <c r="G283">
        <f>Result_notebook_retravaill!G283</f>
        <v>32337.908183628981</v>
      </c>
      <c r="H283" s="32">
        <f>IF(Result_notebook_retravaill!I283&gt;Result_notebook_retravaill!G283,Result_notebook_retravaill!I283/Result_notebook_retravaill!N283,Result_notebook_retravaill!H283)</f>
        <v>4176</v>
      </c>
      <c r="I283" s="32">
        <f>Result_notebook_retravaill!K283</f>
        <v>69319.24587188405</v>
      </c>
      <c r="J283" s="32">
        <f>MIN(G283,Result_notebook_retravaill!I283)</f>
        <v>1771.38331528816</v>
      </c>
      <c r="K283" s="32">
        <f>IF(Result_notebook_retravaill!I283&gt;Result_notebook_retravaill!G283,0,IF(Result_notebook_retravaill!I283+Result_notebook_retravaill!J283&gt;Result_notebook_retravaill!G283,Result_notebook_retravaill!G283-Result_notebook_retravaill!I283,Result_notebook_retravaill!J283))</f>
        <v>63.327943020660086</v>
      </c>
      <c r="L283" s="32">
        <f>IF(Result_notebook_retravaill!I283&gt;Result_notebook_retravaill!G283,0,IF(Result_notebook_retravaill!I283+Result_notebook_retravaill!J283&gt;Result_notebook_retravaill!G283,0,Result_notebook_retravaill!M283))</f>
        <v>30503.196925320161</v>
      </c>
      <c r="M283" s="31">
        <f t="shared" si="4"/>
        <v>0</v>
      </c>
    </row>
    <row r="284" spans="1:13" x14ac:dyDescent="0.35">
      <c r="A284">
        <f>Result_notebook_retravaill!A284</f>
        <v>2028</v>
      </c>
      <c r="B284" t="str">
        <f>Result_notebook_retravaill!B284</f>
        <v>Cobalt</v>
      </c>
      <c r="C284" t="str">
        <f>Result_notebook_retravaill!C284</f>
        <v>Global Net-zero</v>
      </c>
      <c r="D284" t="str">
        <f>Result_notebook_retravaill!D284</f>
        <v>Production potential</v>
      </c>
      <c r="E284" t="str">
        <f>Result_notebook_retravaill!E284</f>
        <v>Current shares</v>
      </c>
      <c r="F284" t="str">
        <f>Result_notebook_retravaill!F284</f>
        <v>Expansion Extractive</v>
      </c>
      <c r="G284">
        <f>Result_notebook_retravaill!G284</f>
        <v>32337.908183628981</v>
      </c>
      <c r="H284" s="32">
        <f>IF(Result_notebook_retravaill!I284&gt;Result_notebook_retravaill!G284,Result_notebook_retravaill!I284/Result_notebook_retravaill!N284,Result_notebook_retravaill!H284)</f>
        <v>7250</v>
      </c>
      <c r="I284" s="32">
        <f>Result_notebook_retravaill!K284</f>
        <v>66245.24587188405</v>
      </c>
      <c r="J284" s="32">
        <f>MIN(G284,Result_notebook_retravaill!I284)</f>
        <v>3075.318255708612</v>
      </c>
      <c r="K284" s="32">
        <f>IF(Result_notebook_retravaill!I284&gt;Result_notebook_retravaill!G284,0,IF(Result_notebook_retravaill!I284+Result_notebook_retravaill!J284&gt;Result_notebook_retravaill!G284,Result_notebook_retravaill!G284-Result_notebook_retravaill!I284,Result_notebook_retravaill!J284))</f>
        <v>109.94434552197845</v>
      </c>
      <c r="L284" s="32">
        <f>IF(Result_notebook_retravaill!I284&gt;Result_notebook_retravaill!G284,0,IF(Result_notebook_retravaill!I284+Result_notebook_retravaill!J284&gt;Result_notebook_retravaill!G284,0,Result_notebook_retravaill!M284))</f>
        <v>29152.645582398392</v>
      </c>
      <c r="M284" s="31">
        <f t="shared" si="4"/>
        <v>0</v>
      </c>
    </row>
    <row r="285" spans="1:13" x14ac:dyDescent="0.35">
      <c r="A285">
        <f>Result_notebook_retravaill!A285</f>
        <v>2028</v>
      </c>
      <c r="B285" t="str">
        <f>Result_notebook_retravaill!B285</f>
        <v>Cobalt</v>
      </c>
      <c r="C285" t="str">
        <f>Result_notebook_retravaill!C285</f>
        <v>Global Net-zero</v>
      </c>
      <c r="D285" t="str">
        <f>Result_notebook_retravaill!D285</f>
        <v>Production potential</v>
      </c>
      <c r="E285" t="str">
        <f>Result_notebook_retravaill!E285</f>
        <v>Current shares</v>
      </c>
      <c r="F285" t="str">
        <f>Result_notebook_retravaill!F285</f>
        <v>Expansion Extractive+Circularity</v>
      </c>
      <c r="G285">
        <f>Result_notebook_retravaill!G285</f>
        <v>32337.908183628981</v>
      </c>
      <c r="H285" s="32">
        <f>IF(Result_notebook_retravaill!I285&gt;Result_notebook_retravaill!G285,Result_notebook_retravaill!I285/Result_notebook_retravaill!N285,Result_notebook_retravaill!H285)</f>
        <v>7250</v>
      </c>
      <c r="I285" s="32">
        <f>Result_notebook_retravaill!K285</f>
        <v>66245.24587188405</v>
      </c>
      <c r="J285" s="32">
        <f>MIN(G285,Result_notebook_retravaill!I285)</f>
        <v>3075.318255708612</v>
      </c>
      <c r="K285" s="32">
        <f>IF(Result_notebook_retravaill!I285&gt;Result_notebook_retravaill!G285,0,IF(Result_notebook_retravaill!I285+Result_notebook_retravaill!J285&gt;Result_notebook_retravaill!G285,Result_notebook_retravaill!G285-Result_notebook_retravaill!I285,Result_notebook_retravaill!J285))</f>
        <v>109.94434552197845</v>
      </c>
      <c r="L285" s="32">
        <f>IF(Result_notebook_retravaill!I285&gt;Result_notebook_retravaill!G285,0,IF(Result_notebook_retravaill!I285+Result_notebook_retravaill!J285&gt;Result_notebook_retravaill!G285,0,Result_notebook_retravaill!M285))</f>
        <v>29152.645582398392</v>
      </c>
      <c r="M285" s="31">
        <f t="shared" si="4"/>
        <v>0</v>
      </c>
    </row>
    <row r="286" spans="1:13" x14ac:dyDescent="0.35">
      <c r="A286">
        <f>Result_notebook_retravaill!A286</f>
        <v>2028</v>
      </c>
      <c r="B286" t="str">
        <f>Result_notebook_retravaill!B286</f>
        <v>Cobalt</v>
      </c>
      <c r="C286" t="str">
        <f>Result_notebook_retravaill!C286</f>
        <v>Global Net-zero</v>
      </c>
      <c r="D286" t="str">
        <f>Result_notebook_retravaill!D286</f>
        <v>Production potential</v>
      </c>
      <c r="E286" t="str">
        <f>Result_notebook_retravaill!E286</f>
        <v>100% CAN</v>
      </c>
      <c r="F286" t="str">
        <f>Result_notebook_retravaill!F286</f>
        <v>Integrated</v>
      </c>
      <c r="G286">
        <f>Result_notebook_retravaill!G286</f>
        <v>32337.908183628981</v>
      </c>
      <c r="H286" s="32">
        <f>IF(Result_notebook_retravaill!I286&gt;Result_notebook_retravaill!G286,Result_notebook_retravaill!I286/Result_notebook_retravaill!N286,Result_notebook_retravaill!H286)</f>
        <v>7250</v>
      </c>
      <c r="I286" s="32">
        <f>Result_notebook_retravaill!K286</f>
        <v>66245.24587188405</v>
      </c>
      <c r="J286" s="32">
        <f>MIN(G286,Result_notebook_retravaill!I286)</f>
        <v>3185.2626012305932</v>
      </c>
      <c r="K286" s="32">
        <f>IF(Result_notebook_retravaill!I286&gt;Result_notebook_retravaill!G286,0,IF(Result_notebook_retravaill!I286+Result_notebook_retravaill!J286&gt;Result_notebook_retravaill!G286,Result_notebook_retravaill!G286-Result_notebook_retravaill!I286,Result_notebook_retravaill!J286))</f>
        <v>0</v>
      </c>
      <c r="L286" s="32">
        <f>IF(Result_notebook_retravaill!I286&gt;Result_notebook_retravaill!G286,0,IF(Result_notebook_retravaill!I286+Result_notebook_retravaill!J286&gt;Result_notebook_retravaill!G286,0,Result_notebook_retravaill!M286))</f>
        <v>29152.645582398389</v>
      </c>
      <c r="M286" s="31">
        <f t="shared" si="4"/>
        <v>0</v>
      </c>
    </row>
    <row r="287" spans="1:13" x14ac:dyDescent="0.35">
      <c r="A287">
        <f>Result_notebook_retravaill!A287</f>
        <v>2028</v>
      </c>
      <c r="B287" t="str">
        <f>Result_notebook_retravaill!B287</f>
        <v>Copper</v>
      </c>
      <c r="C287" t="str">
        <f>Result_notebook_retravaill!C287</f>
        <v>Canada Net-zero</v>
      </c>
      <c r="D287" t="str">
        <f>Result_notebook_retravaill!D287</f>
        <v>Existing production</v>
      </c>
      <c r="E287" t="str">
        <f>Result_notebook_retravaill!E287</f>
        <v>Current shares</v>
      </c>
      <c r="F287" t="str">
        <f>Result_notebook_retravaill!F287</f>
        <v>NIMBY</v>
      </c>
      <c r="G287">
        <f>Result_notebook_retravaill!G287</f>
        <v>916409.46721627563</v>
      </c>
      <c r="H287" s="32">
        <f>IF(Result_notebook_retravaill!I287&gt;Result_notebook_retravaill!G287,Result_notebook_retravaill!I287/Result_notebook_retravaill!N287,Result_notebook_retravaill!H287)</f>
        <v>0</v>
      </c>
      <c r="I287" s="32">
        <f>Result_notebook_retravaill!K287</f>
        <v>1104107.7918268379</v>
      </c>
      <c r="J287" s="32">
        <f>MIN(G287,Result_notebook_retravaill!I287)</f>
        <v>0</v>
      </c>
      <c r="K287" s="32">
        <f>IF(Result_notebook_retravaill!I287&gt;Result_notebook_retravaill!G287,0,IF(Result_notebook_retravaill!I287+Result_notebook_retravaill!J287&gt;Result_notebook_retravaill!G287,Result_notebook_retravaill!G287-Result_notebook_retravaill!I287,Result_notebook_retravaill!J287))</f>
        <v>0</v>
      </c>
      <c r="L287" s="32">
        <f>IF(Result_notebook_retravaill!I287&gt;Result_notebook_retravaill!G287,0,IF(Result_notebook_retravaill!I287+Result_notebook_retravaill!J287&gt;Result_notebook_retravaill!G287,0,Result_notebook_retravaill!M287))</f>
        <v>916409.46721627563</v>
      </c>
      <c r="M287" s="31">
        <f t="shared" si="4"/>
        <v>0</v>
      </c>
    </row>
    <row r="288" spans="1:13" x14ac:dyDescent="0.35">
      <c r="A288">
        <f>Result_notebook_retravaill!A288</f>
        <v>2028</v>
      </c>
      <c r="B288" t="str">
        <f>Result_notebook_retravaill!B288</f>
        <v>Copper</v>
      </c>
      <c r="C288" t="str">
        <f>Result_notebook_retravaill!C288</f>
        <v>Canada Net-zero</v>
      </c>
      <c r="D288" t="str">
        <f>Result_notebook_retravaill!D288</f>
        <v>Existing production</v>
      </c>
      <c r="E288" t="str">
        <f>Result_notebook_retravaill!E288</f>
        <v>Current shares</v>
      </c>
      <c r="F288" t="str">
        <f>Result_notebook_retravaill!F288</f>
        <v>Status Quo</v>
      </c>
      <c r="G288">
        <f>Result_notebook_retravaill!G288</f>
        <v>916409.46721627563</v>
      </c>
      <c r="H288" s="32">
        <f>IF(Result_notebook_retravaill!I288&gt;Result_notebook_retravaill!G288,Result_notebook_retravaill!I288/Result_notebook_retravaill!N288,Result_notebook_retravaill!H288)</f>
        <v>461120</v>
      </c>
      <c r="I288" s="32">
        <f>Result_notebook_retravaill!K288</f>
        <v>642987.79182683816</v>
      </c>
      <c r="J288" s="32">
        <f>MIN(G288,Result_notebook_retravaill!I288)</f>
        <v>242368.67797179901</v>
      </c>
      <c r="K288" s="32">
        <f>IF(Result_notebook_retravaill!I288&gt;Result_notebook_retravaill!G288,0,IF(Result_notebook_retravaill!I288+Result_notebook_retravaill!J288&gt;Result_notebook_retravaill!G288,Result_notebook_retravaill!G288-Result_notebook_retravaill!I288,Result_notebook_retravaill!J288))</f>
        <v>142549.28812989572</v>
      </c>
      <c r="L288" s="32">
        <f>IF(Result_notebook_retravaill!I288&gt;Result_notebook_retravaill!G288,0,IF(Result_notebook_retravaill!I288+Result_notebook_retravaill!J288&gt;Result_notebook_retravaill!G288,0,Result_notebook_retravaill!M288))</f>
        <v>531491.5011145809</v>
      </c>
      <c r="M288" s="31">
        <f t="shared" si="4"/>
        <v>0</v>
      </c>
    </row>
    <row r="289" spans="1:13" x14ac:dyDescent="0.35">
      <c r="A289">
        <f>Result_notebook_retravaill!A289</f>
        <v>2028</v>
      </c>
      <c r="B289" t="str">
        <f>Result_notebook_retravaill!B289</f>
        <v>Copper</v>
      </c>
      <c r="C289" t="str">
        <f>Result_notebook_retravaill!C289</f>
        <v>Canada Net-zero</v>
      </c>
      <c r="D289" t="str">
        <f>Result_notebook_retravaill!D289</f>
        <v>Production potential</v>
      </c>
      <c r="E289" t="str">
        <f>Result_notebook_retravaill!E289</f>
        <v>Current shares</v>
      </c>
      <c r="F289" t="str">
        <f>Result_notebook_retravaill!F289</f>
        <v>Expansion Extractive</v>
      </c>
      <c r="G289">
        <f>Result_notebook_retravaill!G289</f>
        <v>916409.46721627563</v>
      </c>
      <c r="H289" s="32">
        <f>IF(Result_notebook_retravaill!I289&gt;Result_notebook_retravaill!G289,Result_notebook_retravaill!I289/Result_notebook_retravaill!N289,Result_notebook_retravaill!H289)</f>
        <v>621087.14728660951</v>
      </c>
      <c r="I289" s="32">
        <f>Result_notebook_retravaill!K289</f>
        <v>483020.64454022859</v>
      </c>
      <c r="J289" s="32">
        <f>MIN(G289,Result_notebook_retravaill!I289)</f>
        <v>326448.80029738799</v>
      </c>
      <c r="K289" s="32">
        <f>IF(Result_notebook_retravaill!I289&gt;Result_notebook_retravaill!G289,0,IF(Result_notebook_retravaill!I289+Result_notebook_retravaill!J289&gt;Result_notebook_retravaill!G289,Result_notebook_retravaill!G289-Result_notebook_retravaill!I289,Result_notebook_retravaill!J289))</f>
        <v>192001.06417490868</v>
      </c>
      <c r="L289" s="32">
        <f>IF(Result_notebook_retravaill!I289&gt;Result_notebook_retravaill!G289,0,IF(Result_notebook_retravaill!I289+Result_notebook_retravaill!J289&gt;Result_notebook_retravaill!G289,0,Result_notebook_retravaill!M289))</f>
        <v>397959.60274397896</v>
      </c>
      <c r="M289" s="31">
        <f t="shared" si="4"/>
        <v>0</v>
      </c>
    </row>
    <row r="290" spans="1:13" x14ac:dyDescent="0.35">
      <c r="A290">
        <f>Result_notebook_retravaill!A290</f>
        <v>2028</v>
      </c>
      <c r="B290" t="str">
        <f>Result_notebook_retravaill!B290</f>
        <v>Copper</v>
      </c>
      <c r="C290" t="str">
        <f>Result_notebook_retravaill!C290</f>
        <v>Canada Net-zero</v>
      </c>
      <c r="D290" t="str">
        <f>Result_notebook_retravaill!D290</f>
        <v>Production potential</v>
      </c>
      <c r="E290" t="str">
        <f>Result_notebook_retravaill!E290</f>
        <v>Current shares</v>
      </c>
      <c r="F290" t="str">
        <f>Result_notebook_retravaill!F290</f>
        <v>Expansion Extractive+Circularity</v>
      </c>
      <c r="G290">
        <f>Result_notebook_retravaill!G290</f>
        <v>916409.46721627563</v>
      </c>
      <c r="H290" s="32">
        <f>IF(Result_notebook_retravaill!I290&gt;Result_notebook_retravaill!G290,Result_notebook_retravaill!I290/Result_notebook_retravaill!N290,Result_notebook_retravaill!H290)</f>
        <v>621087.14728660951</v>
      </c>
      <c r="I290" s="32">
        <f>Result_notebook_retravaill!K290</f>
        <v>483020.64454022859</v>
      </c>
      <c r="J290" s="32">
        <f>MIN(G290,Result_notebook_retravaill!I290)</f>
        <v>326448.80029738799</v>
      </c>
      <c r="K290" s="32">
        <f>IF(Result_notebook_retravaill!I290&gt;Result_notebook_retravaill!G290,0,IF(Result_notebook_retravaill!I290+Result_notebook_retravaill!J290&gt;Result_notebook_retravaill!G290,Result_notebook_retravaill!G290-Result_notebook_retravaill!I290,Result_notebook_retravaill!J290))</f>
        <v>192001.06417490868</v>
      </c>
      <c r="L290" s="32">
        <f>IF(Result_notebook_retravaill!I290&gt;Result_notebook_retravaill!G290,0,IF(Result_notebook_retravaill!I290+Result_notebook_retravaill!J290&gt;Result_notebook_retravaill!G290,0,Result_notebook_retravaill!M290))</f>
        <v>397959.60274397896</v>
      </c>
      <c r="M290" s="31">
        <f t="shared" si="4"/>
        <v>0</v>
      </c>
    </row>
    <row r="291" spans="1:13" x14ac:dyDescent="0.35">
      <c r="A291">
        <f>Result_notebook_retravaill!A291</f>
        <v>2028</v>
      </c>
      <c r="B291" t="str">
        <f>Result_notebook_retravaill!B291</f>
        <v>Copper</v>
      </c>
      <c r="C291" t="str">
        <f>Result_notebook_retravaill!C291</f>
        <v>Canada Net-zero</v>
      </c>
      <c r="D291" t="str">
        <f>Result_notebook_retravaill!D291</f>
        <v>Production potential</v>
      </c>
      <c r="E291" t="str">
        <f>Result_notebook_retravaill!E291</f>
        <v>100% CAN</v>
      </c>
      <c r="F291" t="str">
        <f>Result_notebook_retravaill!F291</f>
        <v>Integrated</v>
      </c>
      <c r="G291">
        <f>Result_notebook_retravaill!G291</f>
        <v>916409.46721627563</v>
      </c>
      <c r="H291" s="32">
        <f>IF(Result_notebook_retravaill!I291&gt;Result_notebook_retravaill!G291,Result_notebook_retravaill!I291/Result_notebook_retravaill!N291,Result_notebook_retravaill!H291)</f>
        <v>621087.14728660951</v>
      </c>
      <c r="I291" s="32">
        <f>Result_notebook_retravaill!K291</f>
        <v>483020.64454022859</v>
      </c>
      <c r="J291" s="32">
        <f>MIN(G291,Result_notebook_retravaill!I291)</f>
        <v>518449.8644722969</v>
      </c>
      <c r="K291" s="32">
        <f>IF(Result_notebook_retravaill!I291&gt;Result_notebook_retravaill!G291,0,IF(Result_notebook_retravaill!I291+Result_notebook_retravaill!J291&gt;Result_notebook_retravaill!G291,Result_notebook_retravaill!G291-Result_notebook_retravaill!I291,Result_notebook_retravaill!J291))</f>
        <v>0</v>
      </c>
      <c r="L291" s="32">
        <f>IF(Result_notebook_retravaill!I291&gt;Result_notebook_retravaill!G291,0,IF(Result_notebook_retravaill!I291+Result_notebook_retravaill!J291&gt;Result_notebook_retravaill!G291,0,Result_notebook_retravaill!M291))</f>
        <v>397959.60274397873</v>
      </c>
      <c r="M291" s="31">
        <f t="shared" si="4"/>
        <v>0</v>
      </c>
    </row>
    <row r="292" spans="1:13" x14ac:dyDescent="0.35">
      <c r="A292">
        <f>Result_notebook_retravaill!A292</f>
        <v>2028</v>
      </c>
      <c r="B292" t="str">
        <f>Result_notebook_retravaill!B292</f>
        <v>Copper</v>
      </c>
      <c r="C292" t="str">
        <f>Result_notebook_retravaill!C292</f>
        <v>Current Measures</v>
      </c>
      <c r="D292" t="str">
        <f>Result_notebook_retravaill!D292</f>
        <v>Existing production</v>
      </c>
      <c r="E292" t="str">
        <f>Result_notebook_retravaill!E292</f>
        <v>Current shares</v>
      </c>
      <c r="F292" t="str">
        <f>Result_notebook_retravaill!F292</f>
        <v>NIMBY</v>
      </c>
      <c r="G292">
        <f>Result_notebook_retravaill!G292</f>
        <v>893050.83707050979</v>
      </c>
      <c r="H292" s="32">
        <f>IF(Result_notebook_retravaill!I292&gt;Result_notebook_retravaill!G292,Result_notebook_retravaill!I292/Result_notebook_retravaill!N292,Result_notebook_retravaill!H292)</f>
        <v>0</v>
      </c>
      <c r="I292" s="32">
        <f>Result_notebook_retravaill!K292</f>
        <v>1075964.8639403731</v>
      </c>
      <c r="J292" s="32">
        <f>MIN(G292,Result_notebook_retravaill!I292)</f>
        <v>0</v>
      </c>
      <c r="K292" s="32">
        <f>IF(Result_notebook_retravaill!I292&gt;Result_notebook_retravaill!G292,0,IF(Result_notebook_retravaill!I292+Result_notebook_retravaill!J292&gt;Result_notebook_retravaill!G292,Result_notebook_retravaill!G292-Result_notebook_retravaill!I292,Result_notebook_retravaill!J292))</f>
        <v>0</v>
      </c>
      <c r="L292" s="32">
        <f>IF(Result_notebook_retravaill!I292&gt;Result_notebook_retravaill!G292,0,IF(Result_notebook_retravaill!I292+Result_notebook_retravaill!J292&gt;Result_notebook_retravaill!G292,0,Result_notebook_retravaill!M292))</f>
        <v>893050.83707050979</v>
      </c>
      <c r="M292" s="31">
        <f t="shared" si="4"/>
        <v>0</v>
      </c>
    </row>
    <row r="293" spans="1:13" x14ac:dyDescent="0.35">
      <c r="A293">
        <f>Result_notebook_retravaill!A293</f>
        <v>2028</v>
      </c>
      <c r="B293" t="str">
        <f>Result_notebook_retravaill!B293</f>
        <v>Copper</v>
      </c>
      <c r="C293" t="str">
        <f>Result_notebook_retravaill!C293</f>
        <v>Current Measures</v>
      </c>
      <c r="D293" t="str">
        <f>Result_notebook_retravaill!D293</f>
        <v>Existing production</v>
      </c>
      <c r="E293" t="str">
        <f>Result_notebook_retravaill!E293</f>
        <v>Current shares</v>
      </c>
      <c r="F293" t="str">
        <f>Result_notebook_retravaill!F293</f>
        <v>Status Quo</v>
      </c>
      <c r="G293">
        <f>Result_notebook_retravaill!G293</f>
        <v>893050.83707050979</v>
      </c>
      <c r="H293" s="32">
        <f>IF(Result_notebook_retravaill!I293&gt;Result_notebook_retravaill!G293,Result_notebook_retravaill!I293/Result_notebook_retravaill!N293,Result_notebook_retravaill!H293)</f>
        <v>461120</v>
      </c>
      <c r="I293" s="32">
        <f>Result_notebook_retravaill!K293</f>
        <v>614844.8639403733</v>
      </c>
      <c r="J293" s="32">
        <f>MIN(G293,Result_notebook_retravaill!I293)</f>
        <v>242368.67797179901</v>
      </c>
      <c r="K293" s="32">
        <f>IF(Result_notebook_retravaill!I293&gt;Result_notebook_retravaill!G293,0,IF(Result_notebook_retravaill!I293+Result_notebook_retravaill!J293&gt;Result_notebook_retravaill!G293,Result_notebook_retravaill!G293-Result_notebook_retravaill!I293,Result_notebook_retravaill!J293))</f>
        <v>142549.28812989572</v>
      </c>
      <c r="L293" s="32">
        <f>IF(Result_notebook_retravaill!I293&gt;Result_notebook_retravaill!G293,0,IF(Result_notebook_retravaill!I293+Result_notebook_retravaill!J293&gt;Result_notebook_retravaill!G293,0,Result_notebook_retravaill!M293))</f>
        <v>508132.87096881506</v>
      </c>
      <c r="M293" s="31">
        <f t="shared" si="4"/>
        <v>0</v>
      </c>
    </row>
    <row r="294" spans="1:13" x14ac:dyDescent="0.35">
      <c r="A294">
        <f>Result_notebook_retravaill!A294</f>
        <v>2028</v>
      </c>
      <c r="B294" t="str">
        <f>Result_notebook_retravaill!B294</f>
        <v>Copper</v>
      </c>
      <c r="C294" t="str">
        <f>Result_notebook_retravaill!C294</f>
        <v>Current Measures</v>
      </c>
      <c r="D294" t="str">
        <f>Result_notebook_retravaill!D294</f>
        <v>Production potential</v>
      </c>
      <c r="E294" t="str">
        <f>Result_notebook_retravaill!E294</f>
        <v>Current shares</v>
      </c>
      <c r="F294" t="str">
        <f>Result_notebook_retravaill!F294</f>
        <v>Expansion Extractive</v>
      </c>
      <c r="G294">
        <f>Result_notebook_retravaill!G294</f>
        <v>893050.83707050979</v>
      </c>
      <c r="H294" s="32">
        <f>IF(Result_notebook_retravaill!I294&gt;Result_notebook_retravaill!G294,Result_notebook_retravaill!I294/Result_notebook_retravaill!N294,Result_notebook_retravaill!H294)</f>
        <v>621087.14728660951</v>
      </c>
      <c r="I294" s="32">
        <f>Result_notebook_retravaill!K294</f>
        <v>454877.71665376378</v>
      </c>
      <c r="J294" s="32">
        <f>MIN(G294,Result_notebook_retravaill!I294)</f>
        <v>326448.80029738799</v>
      </c>
      <c r="K294" s="32">
        <f>IF(Result_notebook_retravaill!I294&gt;Result_notebook_retravaill!G294,0,IF(Result_notebook_retravaill!I294+Result_notebook_retravaill!J294&gt;Result_notebook_retravaill!G294,Result_notebook_retravaill!G294-Result_notebook_retravaill!I294,Result_notebook_retravaill!J294))</f>
        <v>192001.06417490868</v>
      </c>
      <c r="L294" s="32">
        <f>IF(Result_notebook_retravaill!I294&gt;Result_notebook_retravaill!G294,0,IF(Result_notebook_retravaill!I294+Result_notebook_retravaill!J294&gt;Result_notebook_retravaill!G294,0,Result_notebook_retravaill!M294))</f>
        <v>374600.97259821312</v>
      </c>
      <c r="M294" s="31">
        <f t="shared" si="4"/>
        <v>0</v>
      </c>
    </row>
    <row r="295" spans="1:13" x14ac:dyDescent="0.35">
      <c r="A295">
        <f>Result_notebook_retravaill!A295</f>
        <v>2028</v>
      </c>
      <c r="B295" t="str">
        <f>Result_notebook_retravaill!B295</f>
        <v>Copper</v>
      </c>
      <c r="C295" t="str">
        <f>Result_notebook_retravaill!C295</f>
        <v>Current Measures</v>
      </c>
      <c r="D295" t="str">
        <f>Result_notebook_retravaill!D295</f>
        <v>Production potential</v>
      </c>
      <c r="E295" t="str">
        <f>Result_notebook_retravaill!E295</f>
        <v>Current shares</v>
      </c>
      <c r="F295" t="str">
        <f>Result_notebook_retravaill!F295</f>
        <v>Expansion Extractive+Circularity</v>
      </c>
      <c r="G295">
        <f>Result_notebook_retravaill!G295</f>
        <v>893050.83707050979</v>
      </c>
      <c r="H295" s="32">
        <f>IF(Result_notebook_retravaill!I295&gt;Result_notebook_retravaill!G295,Result_notebook_retravaill!I295/Result_notebook_retravaill!N295,Result_notebook_retravaill!H295)</f>
        <v>621087.14728660951</v>
      </c>
      <c r="I295" s="32">
        <f>Result_notebook_retravaill!K295</f>
        <v>454877.71665376378</v>
      </c>
      <c r="J295" s="32">
        <f>MIN(G295,Result_notebook_retravaill!I295)</f>
        <v>326448.80029738799</v>
      </c>
      <c r="K295" s="32">
        <f>IF(Result_notebook_retravaill!I295&gt;Result_notebook_retravaill!G295,0,IF(Result_notebook_retravaill!I295+Result_notebook_retravaill!J295&gt;Result_notebook_retravaill!G295,Result_notebook_retravaill!G295-Result_notebook_retravaill!I295,Result_notebook_retravaill!J295))</f>
        <v>192001.06417490868</v>
      </c>
      <c r="L295" s="32">
        <f>IF(Result_notebook_retravaill!I295&gt;Result_notebook_retravaill!G295,0,IF(Result_notebook_retravaill!I295+Result_notebook_retravaill!J295&gt;Result_notebook_retravaill!G295,0,Result_notebook_retravaill!M295))</f>
        <v>374600.97259821312</v>
      </c>
      <c r="M295" s="31">
        <f t="shared" si="4"/>
        <v>0</v>
      </c>
    </row>
    <row r="296" spans="1:13" x14ac:dyDescent="0.35">
      <c r="A296">
        <f>Result_notebook_retravaill!A296</f>
        <v>2028</v>
      </c>
      <c r="B296" t="str">
        <f>Result_notebook_retravaill!B296</f>
        <v>Copper</v>
      </c>
      <c r="C296" t="str">
        <f>Result_notebook_retravaill!C296</f>
        <v>Current Measures</v>
      </c>
      <c r="D296" t="str">
        <f>Result_notebook_retravaill!D296</f>
        <v>Production potential</v>
      </c>
      <c r="E296" t="str">
        <f>Result_notebook_retravaill!E296</f>
        <v>100% CAN</v>
      </c>
      <c r="F296" t="str">
        <f>Result_notebook_retravaill!F296</f>
        <v>Integrated</v>
      </c>
      <c r="G296">
        <f>Result_notebook_retravaill!G296</f>
        <v>893050.83707050979</v>
      </c>
      <c r="H296" s="32">
        <f>IF(Result_notebook_retravaill!I296&gt;Result_notebook_retravaill!G296,Result_notebook_retravaill!I296/Result_notebook_retravaill!N296,Result_notebook_retravaill!H296)</f>
        <v>621087.14728660951</v>
      </c>
      <c r="I296" s="32">
        <f>Result_notebook_retravaill!K296</f>
        <v>454877.71665376378</v>
      </c>
      <c r="J296" s="32">
        <f>MIN(G296,Result_notebook_retravaill!I296)</f>
        <v>518449.8644722969</v>
      </c>
      <c r="K296" s="32">
        <f>IF(Result_notebook_retravaill!I296&gt;Result_notebook_retravaill!G296,0,IF(Result_notebook_retravaill!I296+Result_notebook_retravaill!J296&gt;Result_notebook_retravaill!G296,Result_notebook_retravaill!G296-Result_notebook_retravaill!I296,Result_notebook_retravaill!J296))</f>
        <v>0</v>
      </c>
      <c r="L296" s="32">
        <f>IF(Result_notebook_retravaill!I296&gt;Result_notebook_retravaill!G296,0,IF(Result_notebook_retravaill!I296+Result_notebook_retravaill!J296&gt;Result_notebook_retravaill!G296,0,Result_notebook_retravaill!M296))</f>
        <v>374600.97259821289</v>
      </c>
      <c r="M296" s="31">
        <f t="shared" si="4"/>
        <v>0</v>
      </c>
    </row>
    <row r="297" spans="1:13" x14ac:dyDescent="0.35">
      <c r="A297">
        <f>Result_notebook_retravaill!A297</f>
        <v>2028</v>
      </c>
      <c r="B297" t="str">
        <f>Result_notebook_retravaill!B297</f>
        <v>Copper</v>
      </c>
      <c r="C297" t="str">
        <f>Result_notebook_retravaill!C297</f>
        <v>Global Net-zero</v>
      </c>
      <c r="D297" t="str">
        <f>Result_notebook_retravaill!D297</f>
        <v>Existing production</v>
      </c>
      <c r="E297" t="str">
        <f>Result_notebook_retravaill!E297</f>
        <v>Current shares</v>
      </c>
      <c r="F297" t="str">
        <f>Result_notebook_retravaill!F297</f>
        <v>NIMBY</v>
      </c>
      <c r="G297">
        <f>Result_notebook_retravaill!G297</f>
        <v>898034.66394728445</v>
      </c>
      <c r="H297" s="32">
        <f>IF(Result_notebook_retravaill!I297&gt;Result_notebook_retravaill!G297,Result_notebook_retravaill!I297/Result_notebook_retravaill!N297,Result_notebook_retravaill!H297)</f>
        <v>0</v>
      </c>
      <c r="I297" s="32">
        <f>Result_notebook_retravaill!K297</f>
        <v>1081969.474635283</v>
      </c>
      <c r="J297" s="32">
        <f>MIN(G297,Result_notebook_retravaill!I297)</f>
        <v>0</v>
      </c>
      <c r="K297" s="32">
        <f>IF(Result_notebook_retravaill!I297&gt;Result_notebook_retravaill!G297,0,IF(Result_notebook_retravaill!I297+Result_notebook_retravaill!J297&gt;Result_notebook_retravaill!G297,Result_notebook_retravaill!G297-Result_notebook_retravaill!I297,Result_notebook_retravaill!J297))</f>
        <v>0</v>
      </c>
      <c r="L297" s="32">
        <f>IF(Result_notebook_retravaill!I297&gt;Result_notebook_retravaill!G297,0,IF(Result_notebook_retravaill!I297+Result_notebook_retravaill!J297&gt;Result_notebook_retravaill!G297,0,Result_notebook_retravaill!M297))</f>
        <v>898034.66394728445</v>
      </c>
      <c r="M297" s="31">
        <f t="shared" si="4"/>
        <v>0</v>
      </c>
    </row>
    <row r="298" spans="1:13" x14ac:dyDescent="0.35">
      <c r="A298">
        <f>Result_notebook_retravaill!A298</f>
        <v>2028</v>
      </c>
      <c r="B298" t="str">
        <f>Result_notebook_retravaill!B298</f>
        <v>Copper</v>
      </c>
      <c r="C298" t="str">
        <f>Result_notebook_retravaill!C298</f>
        <v>Global Net-zero</v>
      </c>
      <c r="D298" t="str">
        <f>Result_notebook_retravaill!D298</f>
        <v>Existing production</v>
      </c>
      <c r="E298" t="str">
        <f>Result_notebook_retravaill!E298</f>
        <v>Current shares</v>
      </c>
      <c r="F298" t="str">
        <f>Result_notebook_retravaill!F298</f>
        <v>Status Quo</v>
      </c>
      <c r="G298">
        <f>Result_notebook_retravaill!G298</f>
        <v>898034.66394728445</v>
      </c>
      <c r="H298" s="32">
        <f>IF(Result_notebook_retravaill!I298&gt;Result_notebook_retravaill!G298,Result_notebook_retravaill!I298/Result_notebook_retravaill!N298,Result_notebook_retravaill!H298)</f>
        <v>461120</v>
      </c>
      <c r="I298" s="32">
        <f>Result_notebook_retravaill!K298</f>
        <v>620849.47463528253</v>
      </c>
      <c r="J298" s="32">
        <f>MIN(G298,Result_notebook_retravaill!I298)</f>
        <v>242368.67797179901</v>
      </c>
      <c r="K298" s="32">
        <f>IF(Result_notebook_retravaill!I298&gt;Result_notebook_retravaill!G298,0,IF(Result_notebook_retravaill!I298+Result_notebook_retravaill!J298&gt;Result_notebook_retravaill!G298,Result_notebook_retravaill!G298-Result_notebook_retravaill!I298,Result_notebook_retravaill!J298))</f>
        <v>142549.28812989572</v>
      </c>
      <c r="L298" s="32">
        <f>IF(Result_notebook_retravaill!I298&gt;Result_notebook_retravaill!G298,0,IF(Result_notebook_retravaill!I298+Result_notebook_retravaill!J298&gt;Result_notebook_retravaill!G298,0,Result_notebook_retravaill!M298))</f>
        <v>513116.69784558972</v>
      </c>
      <c r="M298" s="31">
        <f t="shared" si="4"/>
        <v>0</v>
      </c>
    </row>
    <row r="299" spans="1:13" x14ac:dyDescent="0.35">
      <c r="A299">
        <f>Result_notebook_retravaill!A299</f>
        <v>2028</v>
      </c>
      <c r="B299" t="str">
        <f>Result_notebook_retravaill!B299</f>
        <v>Copper</v>
      </c>
      <c r="C299" t="str">
        <f>Result_notebook_retravaill!C299</f>
        <v>Global Net-zero</v>
      </c>
      <c r="D299" t="str">
        <f>Result_notebook_retravaill!D299</f>
        <v>Production potential</v>
      </c>
      <c r="E299" t="str">
        <f>Result_notebook_retravaill!E299</f>
        <v>Current shares</v>
      </c>
      <c r="F299" t="str">
        <f>Result_notebook_retravaill!F299</f>
        <v>Expansion Extractive</v>
      </c>
      <c r="G299">
        <f>Result_notebook_retravaill!G299</f>
        <v>898034.66394728445</v>
      </c>
      <c r="H299" s="32">
        <f>IF(Result_notebook_retravaill!I299&gt;Result_notebook_retravaill!G299,Result_notebook_retravaill!I299/Result_notebook_retravaill!N299,Result_notebook_retravaill!H299)</f>
        <v>621087.14728660951</v>
      </c>
      <c r="I299" s="32">
        <f>Result_notebook_retravaill!K299</f>
        <v>460882.32734867302</v>
      </c>
      <c r="J299" s="32">
        <f>MIN(G299,Result_notebook_retravaill!I299)</f>
        <v>326448.80029738799</v>
      </c>
      <c r="K299" s="32">
        <f>IF(Result_notebook_retravaill!I299&gt;Result_notebook_retravaill!G299,0,IF(Result_notebook_retravaill!I299+Result_notebook_retravaill!J299&gt;Result_notebook_retravaill!G299,Result_notebook_retravaill!G299-Result_notebook_retravaill!I299,Result_notebook_retravaill!J299))</f>
        <v>192001.06417490868</v>
      </c>
      <c r="L299" s="32">
        <f>IF(Result_notebook_retravaill!I299&gt;Result_notebook_retravaill!G299,0,IF(Result_notebook_retravaill!I299+Result_notebook_retravaill!J299&gt;Result_notebook_retravaill!G299,0,Result_notebook_retravaill!M299))</f>
        <v>379584.79947498778</v>
      </c>
      <c r="M299" s="31">
        <f t="shared" si="4"/>
        <v>0</v>
      </c>
    </row>
    <row r="300" spans="1:13" x14ac:dyDescent="0.35">
      <c r="A300">
        <f>Result_notebook_retravaill!A300</f>
        <v>2028</v>
      </c>
      <c r="B300" t="str">
        <f>Result_notebook_retravaill!B300</f>
        <v>Copper</v>
      </c>
      <c r="C300" t="str">
        <f>Result_notebook_retravaill!C300</f>
        <v>Global Net-zero</v>
      </c>
      <c r="D300" t="str">
        <f>Result_notebook_retravaill!D300</f>
        <v>Production potential</v>
      </c>
      <c r="E300" t="str">
        <f>Result_notebook_retravaill!E300</f>
        <v>Current shares</v>
      </c>
      <c r="F300" t="str">
        <f>Result_notebook_retravaill!F300</f>
        <v>Expansion Extractive+Circularity</v>
      </c>
      <c r="G300">
        <f>Result_notebook_retravaill!G300</f>
        <v>898034.66394728445</v>
      </c>
      <c r="H300" s="32">
        <f>IF(Result_notebook_retravaill!I300&gt;Result_notebook_retravaill!G300,Result_notebook_retravaill!I300/Result_notebook_retravaill!N300,Result_notebook_retravaill!H300)</f>
        <v>621087.14728660951</v>
      </c>
      <c r="I300" s="32">
        <f>Result_notebook_retravaill!K300</f>
        <v>460882.32734867302</v>
      </c>
      <c r="J300" s="32">
        <f>MIN(G300,Result_notebook_retravaill!I300)</f>
        <v>326448.80029738799</v>
      </c>
      <c r="K300" s="32">
        <f>IF(Result_notebook_retravaill!I300&gt;Result_notebook_retravaill!G300,0,IF(Result_notebook_retravaill!I300+Result_notebook_retravaill!J300&gt;Result_notebook_retravaill!G300,Result_notebook_retravaill!G300-Result_notebook_retravaill!I300,Result_notebook_retravaill!J300))</f>
        <v>192001.06417490868</v>
      </c>
      <c r="L300" s="32">
        <f>IF(Result_notebook_retravaill!I300&gt;Result_notebook_retravaill!G300,0,IF(Result_notebook_retravaill!I300+Result_notebook_retravaill!J300&gt;Result_notebook_retravaill!G300,0,Result_notebook_retravaill!M300))</f>
        <v>379584.79947498778</v>
      </c>
      <c r="M300" s="31">
        <f t="shared" si="4"/>
        <v>0</v>
      </c>
    </row>
    <row r="301" spans="1:13" x14ac:dyDescent="0.35">
      <c r="A301">
        <f>Result_notebook_retravaill!A301</f>
        <v>2028</v>
      </c>
      <c r="B301" t="str">
        <f>Result_notebook_retravaill!B301</f>
        <v>Copper</v>
      </c>
      <c r="C301" t="str">
        <f>Result_notebook_retravaill!C301</f>
        <v>Global Net-zero</v>
      </c>
      <c r="D301" t="str">
        <f>Result_notebook_retravaill!D301</f>
        <v>Production potential</v>
      </c>
      <c r="E301" t="str">
        <f>Result_notebook_retravaill!E301</f>
        <v>100% CAN</v>
      </c>
      <c r="F301" t="str">
        <f>Result_notebook_retravaill!F301</f>
        <v>Integrated</v>
      </c>
      <c r="G301">
        <f>Result_notebook_retravaill!G301</f>
        <v>898034.66394728445</v>
      </c>
      <c r="H301" s="32">
        <f>IF(Result_notebook_retravaill!I301&gt;Result_notebook_retravaill!G301,Result_notebook_retravaill!I301/Result_notebook_retravaill!N301,Result_notebook_retravaill!H301)</f>
        <v>621087.14728660951</v>
      </c>
      <c r="I301" s="32">
        <f>Result_notebook_retravaill!K301</f>
        <v>460882.32734867302</v>
      </c>
      <c r="J301" s="32">
        <f>MIN(G301,Result_notebook_retravaill!I301)</f>
        <v>518449.8644722969</v>
      </c>
      <c r="K301" s="32">
        <f>IF(Result_notebook_retravaill!I301&gt;Result_notebook_retravaill!G301,0,IF(Result_notebook_retravaill!I301+Result_notebook_retravaill!J301&gt;Result_notebook_retravaill!G301,Result_notebook_retravaill!G301-Result_notebook_retravaill!I301,Result_notebook_retravaill!J301))</f>
        <v>0</v>
      </c>
      <c r="L301" s="32">
        <f>IF(Result_notebook_retravaill!I301&gt;Result_notebook_retravaill!G301,0,IF(Result_notebook_retravaill!I301+Result_notebook_retravaill!J301&gt;Result_notebook_retravaill!G301,0,Result_notebook_retravaill!M301))</f>
        <v>379584.79947498761</v>
      </c>
      <c r="M301" s="31">
        <f t="shared" si="4"/>
        <v>0</v>
      </c>
    </row>
    <row r="302" spans="1:13" x14ac:dyDescent="0.35">
      <c r="A302">
        <f>Result_notebook_retravaill!A302</f>
        <v>2028</v>
      </c>
      <c r="B302" t="str">
        <f>Result_notebook_retravaill!B302</f>
        <v>Neodymium</v>
      </c>
      <c r="C302" t="str">
        <f>Result_notebook_retravaill!C302</f>
        <v>Canada Net-zero</v>
      </c>
      <c r="D302" t="str">
        <f>Result_notebook_retravaill!D302</f>
        <v>Existing production</v>
      </c>
      <c r="E302" t="str">
        <f>Result_notebook_retravaill!E302</f>
        <v>Current shares</v>
      </c>
      <c r="F302" t="str">
        <f>Result_notebook_retravaill!F302</f>
        <v>NIMBY</v>
      </c>
      <c r="G302">
        <f>Result_notebook_retravaill!G302</f>
        <v>1263.9158077811819</v>
      </c>
      <c r="H302" s="32">
        <f>IF(Result_notebook_retravaill!I302&gt;Result_notebook_retravaill!G302,Result_notebook_retravaill!I302/Result_notebook_retravaill!N302,Result_notebook_retravaill!H302)</f>
        <v>0</v>
      </c>
      <c r="I302" s="32">
        <f>Result_notebook_retravaill!K302</f>
        <v>2106.5263463019701</v>
      </c>
      <c r="J302" s="32">
        <f>MIN(G302,Result_notebook_retravaill!I302)</f>
        <v>0</v>
      </c>
      <c r="K302" s="32">
        <f>IF(Result_notebook_retravaill!I302&gt;Result_notebook_retravaill!G302,0,IF(Result_notebook_retravaill!I302+Result_notebook_retravaill!J302&gt;Result_notebook_retravaill!G302,Result_notebook_retravaill!G302-Result_notebook_retravaill!I302,Result_notebook_retravaill!J302))</f>
        <v>0</v>
      </c>
      <c r="L302" s="32">
        <f>IF(Result_notebook_retravaill!I302&gt;Result_notebook_retravaill!G302,0,IF(Result_notebook_retravaill!I302+Result_notebook_retravaill!J302&gt;Result_notebook_retravaill!G302,0,Result_notebook_retravaill!M302))</f>
        <v>1263.9158077811819</v>
      </c>
      <c r="M302" s="31">
        <f t="shared" si="4"/>
        <v>0</v>
      </c>
    </row>
    <row r="303" spans="1:13" x14ac:dyDescent="0.35">
      <c r="A303">
        <f>Result_notebook_retravaill!A303</f>
        <v>2028</v>
      </c>
      <c r="B303" t="str">
        <f>Result_notebook_retravaill!B303</f>
        <v>Neodymium</v>
      </c>
      <c r="C303" t="str">
        <f>Result_notebook_retravaill!C303</f>
        <v>Canada Net-zero</v>
      </c>
      <c r="D303" t="str">
        <f>Result_notebook_retravaill!D303</f>
        <v>Existing production</v>
      </c>
      <c r="E303" t="str">
        <f>Result_notebook_retravaill!E303</f>
        <v>Current shares</v>
      </c>
      <c r="F303" t="str">
        <f>Result_notebook_retravaill!F303</f>
        <v>Status Quo</v>
      </c>
      <c r="G303">
        <f>Result_notebook_retravaill!G303</f>
        <v>1263.9158077811819</v>
      </c>
      <c r="H303" s="32">
        <f>IF(Result_notebook_retravaill!I303&gt;Result_notebook_retravaill!G303,Result_notebook_retravaill!I303/Result_notebook_retravaill!N303,Result_notebook_retravaill!H303)</f>
        <v>0</v>
      </c>
      <c r="I303" s="32">
        <f>Result_notebook_retravaill!K303</f>
        <v>2106.5263463019701</v>
      </c>
      <c r="J303" s="32">
        <f>MIN(G303,Result_notebook_retravaill!I303)</f>
        <v>0</v>
      </c>
      <c r="K303" s="32">
        <f>IF(Result_notebook_retravaill!I303&gt;Result_notebook_retravaill!G303,0,IF(Result_notebook_retravaill!I303+Result_notebook_retravaill!J303&gt;Result_notebook_retravaill!G303,Result_notebook_retravaill!G303-Result_notebook_retravaill!I303,Result_notebook_retravaill!J303))</f>
        <v>0</v>
      </c>
      <c r="L303" s="32">
        <f>IF(Result_notebook_retravaill!I303&gt;Result_notebook_retravaill!G303,0,IF(Result_notebook_retravaill!I303+Result_notebook_retravaill!J303&gt;Result_notebook_retravaill!G303,0,Result_notebook_retravaill!M303))</f>
        <v>1263.9158077811819</v>
      </c>
      <c r="M303" s="31">
        <f t="shared" si="4"/>
        <v>0</v>
      </c>
    </row>
    <row r="304" spans="1:13" x14ac:dyDescent="0.35">
      <c r="A304">
        <f>Result_notebook_retravaill!A304</f>
        <v>2028</v>
      </c>
      <c r="B304" t="str">
        <f>Result_notebook_retravaill!B304</f>
        <v>Neodymium</v>
      </c>
      <c r="C304" t="str">
        <f>Result_notebook_retravaill!C304</f>
        <v>Canada Net-zero</v>
      </c>
      <c r="D304" t="str">
        <f>Result_notebook_retravaill!D304</f>
        <v>Production potential</v>
      </c>
      <c r="E304" t="str">
        <f>Result_notebook_retravaill!E304</f>
        <v>Current shares</v>
      </c>
      <c r="F304" t="str">
        <f>Result_notebook_retravaill!F304</f>
        <v>Expansion Extractive</v>
      </c>
      <c r="G304">
        <f>Result_notebook_retravaill!G304</f>
        <v>1263.9158077811819</v>
      </c>
      <c r="H304" s="32">
        <f>IF(Result_notebook_retravaill!I304&gt;Result_notebook_retravaill!G304,Result_notebook_retravaill!I304/Result_notebook_retravaill!N304,Result_notebook_retravaill!H304)</f>
        <v>7.5582684386625987</v>
      </c>
      <c r="I304" s="32">
        <f>Result_notebook_retravaill!K304</f>
        <v>2098.9680778633069</v>
      </c>
      <c r="J304" s="32">
        <f>MIN(G304,Result_notebook_retravaill!I304)</f>
        <v>4.5239555742639546</v>
      </c>
      <c r="K304" s="32">
        <f>IF(Result_notebook_retravaill!I304&gt;Result_notebook_retravaill!G304,0,IF(Result_notebook_retravaill!I304+Result_notebook_retravaill!J304&gt;Result_notebook_retravaill!G304,Result_notebook_retravaill!G304-Result_notebook_retravaill!I304,Result_notebook_retravaill!J304))</f>
        <v>3.0343128643986441</v>
      </c>
      <c r="L304" s="32">
        <f>IF(Result_notebook_retravaill!I304&gt;Result_notebook_retravaill!G304,0,IF(Result_notebook_retravaill!I304+Result_notebook_retravaill!J304&gt;Result_notebook_retravaill!G304,0,Result_notebook_retravaill!M304))</f>
        <v>1256.3575393425194</v>
      </c>
      <c r="M304" s="31">
        <f t="shared" si="4"/>
        <v>0</v>
      </c>
    </row>
    <row r="305" spans="1:13" x14ac:dyDescent="0.35">
      <c r="A305">
        <f>Result_notebook_retravaill!A305</f>
        <v>2028</v>
      </c>
      <c r="B305" t="str">
        <f>Result_notebook_retravaill!B305</f>
        <v>Neodymium</v>
      </c>
      <c r="C305" t="str">
        <f>Result_notebook_retravaill!C305</f>
        <v>Canada Net-zero</v>
      </c>
      <c r="D305" t="str">
        <f>Result_notebook_retravaill!D305</f>
        <v>Production potential</v>
      </c>
      <c r="E305" t="str">
        <f>Result_notebook_retravaill!E305</f>
        <v>Current shares</v>
      </c>
      <c r="F305" t="str">
        <f>Result_notebook_retravaill!F305</f>
        <v>Expansion Extractive+Circularity</v>
      </c>
      <c r="G305">
        <f>Result_notebook_retravaill!G305</f>
        <v>1263.9158077811819</v>
      </c>
      <c r="H305" s="32">
        <f>IF(Result_notebook_retravaill!I305&gt;Result_notebook_retravaill!G305,Result_notebook_retravaill!I305/Result_notebook_retravaill!N305,Result_notebook_retravaill!H305)</f>
        <v>7.5582684386625987</v>
      </c>
      <c r="I305" s="32">
        <f>Result_notebook_retravaill!K305</f>
        <v>2098.9680778633069</v>
      </c>
      <c r="J305" s="32">
        <f>MIN(G305,Result_notebook_retravaill!I305)</f>
        <v>4.5239555742639546</v>
      </c>
      <c r="K305" s="32">
        <f>IF(Result_notebook_retravaill!I305&gt;Result_notebook_retravaill!G305,0,IF(Result_notebook_retravaill!I305+Result_notebook_retravaill!J305&gt;Result_notebook_retravaill!G305,Result_notebook_retravaill!G305-Result_notebook_retravaill!I305,Result_notebook_retravaill!J305))</f>
        <v>3.0343128643986441</v>
      </c>
      <c r="L305" s="32">
        <f>IF(Result_notebook_retravaill!I305&gt;Result_notebook_retravaill!G305,0,IF(Result_notebook_retravaill!I305+Result_notebook_retravaill!J305&gt;Result_notebook_retravaill!G305,0,Result_notebook_retravaill!M305))</f>
        <v>1256.3575393425194</v>
      </c>
      <c r="M305" s="31">
        <f t="shared" si="4"/>
        <v>0</v>
      </c>
    </row>
    <row r="306" spans="1:13" x14ac:dyDescent="0.35">
      <c r="A306">
        <f>Result_notebook_retravaill!A306</f>
        <v>2028</v>
      </c>
      <c r="B306" t="str">
        <f>Result_notebook_retravaill!B306</f>
        <v>Neodymium</v>
      </c>
      <c r="C306" t="str">
        <f>Result_notebook_retravaill!C306</f>
        <v>Canada Net-zero</v>
      </c>
      <c r="D306" t="str">
        <f>Result_notebook_retravaill!D306</f>
        <v>Production potential</v>
      </c>
      <c r="E306" t="str">
        <f>Result_notebook_retravaill!E306</f>
        <v>100% CAN</v>
      </c>
      <c r="F306" t="str">
        <f>Result_notebook_retravaill!F306</f>
        <v>Integrated</v>
      </c>
      <c r="G306">
        <f>Result_notebook_retravaill!G306</f>
        <v>1263.9158077811819</v>
      </c>
      <c r="H306" s="32">
        <f>IF(Result_notebook_retravaill!I306&gt;Result_notebook_retravaill!G306,Result_notebook_retravaill!I306/Result_notebook_retravaill!N306,Result_notebook_retravaill!H306)</f>
        <v>7.5582684386625987</v>
      </c>
      <c r="I306" s="32">
        <f>Result_notebook_retravaill!K306</f>
        <v>2098.9680778633069</v>
      </c>
      <c r="J306" s="32">
        <f>MIN(G306,Result_notebook_retravaill!I306)</f>
        <v>4.5239555742639546</v>
      </c>
      <c r="K306" s="32">
        <f>IF(Result_notebook_retravaill!I306&gt;Result_notebook_retravaill!G306,0,IF(Result_notebook_retravaill!I306+Result_notebook_retravaill!J306&gt;Result_notebook_retravaill!G306,Result_notebook_retravaill!G306-Result_notebook_retravaill!I306,Result_notebook_retravaill!J306))</f>
        <v>3.0343128643986441</v>
      </c>
      <c r="L306" s="32">
        <f>IF(Result_notebook_retravaill!I306&gt;Result_notebook_retravaill!G306,0,IF(Result_notebook_retravaill!I306+Result_notebook_retravaill!J306&gt;Result_notebook_retravaill!G306,0,Result_notebook_retravaill!M306))</f>
        <v>1256.3575393425194</v>
      </c>
      <c r="M306" s="31">
        <f t="shared" si="4"/>
        <v>0</v>
      </c>
    </row>
    <row r="307" spans="1:13" x14ac:dyDescent="0.35">
      <c r="A307">
        <f>Result_notebook_retravaill!A307</f>
        <v>2028</v>
      </c>
      <c r="B307" t="str">
        <f>Result_notebook_retravaill!B307</f>
        <v>Neodymium</v>
      </c>
      <c r="C307" t="str">
        <f>Result_notebook_retravaill!C307</f>
        <v>Current Measures</v>
      </c>
      <c r="D307" t="str">
        <f>Result_notebook_retravaill!D307</f>
        <v>Existing production</v>
      </c>
      <c r="E307" t="str">
        <f>Result_notebook_retravaill!E307</f>
        <v>Current shares</v>
      </c>
      <c r="F307" t="str">
        <f>Result_notebook_retravaill!F307</f>
        <v>NIMBY</v>
      </c>
      <c r="G307">
        <f>Result_notebook_retravaill!G307</f>
        <v>617.02318900867328</v>
      </c>
      <c r="H307" s="32">
        <f>IF(Result_notebook_retravaill!I307&gt;Result_notebook_retravaill!G307,Result_notebook_retravaill!I307/Result_notebook_retravaill!N307,Result_notebook_retravaill!H307)</f>
        <v>0</v>
      </c>
      <c r="I307" s="32">
        <f>Result_notebook_retravaill!K307</f>
        <v>1028.371981681122</v>
      </c>
      <c r="J307" s="32">
        <f>MIN(G307,Result_notebook_retravaill!I307)</f>
        <v>0</v>
      </c>
      <c r="K307" s="32">
        <f>IF(Result_notebook_retravaill!I307&gt;Result_notebook_retravaill!G307,0,IF(Result_notebook_retravaill!I307+Result_notebook_retravaill!J307&gt;Result_notebook_retravaill!G307,Result_notebook_retravaill!G307-Result_notebook_retravaill!I307,Result_notebook_retravaill!J307))</f>
        <v>0</v>
      </c>
      <c r="L307" s="32">
        <f>IF(Result_notebook_retravaill!I307&gt;Result_notebook_retravaill!G307,0,IF(Result_notebook_retravaill!I307+Result_notebook_retravaill!J307&gt;Result_notebook_retravaill!G307,0,Result_notebook_retravaill!M307))</f>
        <v>617.02318900867328</v>
      </c>
      <c r="M307" s="31">
        <f t="shared" si="4"/>
        <v>0</v>
      </c>
    </row>
    <row r="308" spans="1:13" x14ac:dyDescent="0.35">
      <c r="A308">
        <f>Result_notebook_retravaill!A308</f>
        <v>2028</v>
      </c>
      <c r="B308" t="str">
        <f>Result_notebook_retravaill!B308</f>
        <v>Neodymium</v>
      </c>
      <c r="C308" t="str">
        <f>Result_notebook_retravaill!C308</f>
        <v>Current Measures</v>
      </c>
      <c r="D308" t="str">
        <f>Result_notebook_retravaill!D308</f>
        <v>Existing production</v>
      </c>
      <c r="E308" t="str">
        <f>Result_notebook_retravaill!E308</f>
        <v>Current shares</v>
      </c>
      <c r="F308" t="str">
        <f>Result_notebook_retravaill!F308</f>
        <v>Status Quo</v>
      </c>
      <c r="G308">
        <f>Result_notebook_retravaill!G308</f>
        <v>617.02318900867328</v>
      </c>
      <c r="H308" s="32">
        <f>IF(Result_notebook_retravaill!I308&gt;Result_notebook_retravaill!G308,Result_notebook_retravaill!I308/Result_notebook_retravaill!N308,Result_notebook_retravaill!H308)</f>
        <v>0</v>
      </c>
      <c r="I308" s="32">
        <f>Result_notebook_retravaill!K308</f>
        <v>1028.371981681122</v>
      </c>
      <c r="J308" s="32">
        <f>MIN(G308,Result_notebook_retravaill!I308)</f>
        <v>0</v>
      </c>
      <c r="K308" s="32">
        <f>IF(Result_notebook_retravaill!I308&gt;Result_notebook_retravaill!G308,0,IF(Result_notebook_retravaill!I308+Result_notebook_retravaill!J308&gt;Result_notebook_retravaill!G308,Result_notebook_retravaill!G308-Result_notebook_retravaill!I308,Result_notebook_retravaill!J308))</f>
        <v>0</v>
      </c>
      <c r="L308" s="32">
        <f>IF(Result_notebook_retravaill!I308&gt;Result_notebook_retravaill!G308,0,IF(Result_notebook_retravaill!I308+Result_notebook_retravaill!J308&gt;Result_notebook_retravaill!G308,0,Result_notebook_retravaill!M308))</f>
        <v>617.02318900867328</v>
      </c>
      <c r="M308" s="31">
        <f t="shared" si="4"/>
        <v>0</v>
      </c>
    </row>
    <row r="309" spans="1:13" x14ac:dyDescent="0.35">
      <c r="A309">
        <f>Result_notebook_retravaill!A309</f>
        <v>2028</v>
      </c>
      <c r="B309" t="str">
        <f>Result_notebook_retravaill!B309</f>
        <v>Neodymium</v>
      </c>
      <c r="C309" t="str">
        <f>Result_notebook_retravaill!C309</f>
        <v>Current Measures</v>
      </c>
      <c r="D309" t="str">
        <f>Result_notebook_retravaill!D309</f>
        <v>Production potential</v>
      </c>
      <c r="E309" t="str">
        <f>Result_notebook_retravaill!E309</f>
        <v>Current shares</v>
      </c>
      <c r="F309" t="str">
        <f>Result_notebook_retravaill!F309</f>
        <v>Expansion Extractive</v>
      </c>
      <c r="G309">
        <f>Result_notebook_retravaill!G309</f>
        <v>617.02318900867328</v>
      </c>
      <c r="H309" s="32">
        <f>IF(Result_notebook_retravaill!I309&gt;Result_notebook_retravaill!G309,Result_notebook_retravaill!I309/Result_notebook_retravaill!N309,Result_notebook_retravaill!H309)</f>
        <v>7.5582684386625987</v>
      </c>
      <c r="I309" s="32">
        <f>Result_notebook_retravaill!K309</f>
        <v>1020.81371324246</v>
      </c>
      <c r="J309" s="32">
        <f>MIN(G309,Result_notebook_retravaill!I309)</f>
        <v>4.5239555742639546</v>
      </c>
      <c r="K309" s="32">
        <f>IF(Result_notebook_retravaill!I309&gt;Result_notebook_retravaill!G309,0,IF(Result_notebook_retravaill!I309+Result_notebook_retravaill!J309&gt;Result_notebook_retravaill!G309,Result_notebook_retravaill!G309-Result_notebook_retravaill!I309,Result_notebook_retravaill!J309))</f>
        <v>3.0343128643986441</v>
      </c>
      <c r="L309" s="32">
        <f>IF(Result_notebook_retravaill!I309&gt;Result_notebook_retravaill!G309,0,IF(Result_notebook_retravaill!I309+Result_notebook_retravaill!J309&gt;Result_notebook_retravaill!G309,0,Result_notebook_retravaill!M309))</f>
        <v>609.46492057001069</v>
      </c>
      <c r="M309" s="31">
        <f t="shared" si="4"/>
        <v>0</v>
      </c>
    </row>
    <row r="310" spans="1:13" x14ac:dyDescent="0.35">
      <c r="A310">
        <f>Result_notebook_retravaill!A310</f>
        <v>2028</v>
      </c>
      <c r="B310" t="str">
        <f>Result_notebook_retravaill!B310</f>
        <v>Neodymium</v>
      </c>
      <c r="C310" t="str">
        <f>Result_notebook_retravaill!C310</f>
        <v>Current Measures</v>
      </c>
      <c r="D310" t="str">
        <f>Result_notebook_retravaill!D310</f>
        <v>Production potential</v>
      </c>
      <c r="E310" t="str">
        <f>Result_notebook_retravaill!E310</f>
        <v>Current shares</v>
      </c>
      <c r="F310" t="str">
        <f>Result_notebook_retravaill!F310</f>
        <v>Expansion Extractive+Circularity</v>
      </c>
      <c r="G310">
        <f>Result_notebook_retravaill!G310</f>
        <v>617.02318900867328</v>
      </c>
      <c r="H310" s="32">
        <f>IF(Result_notebook_retravaill!I310&gt;Result_notebook_retravaill!G310,Result_notebook_retravaill!I310/Result_notebook_retravaill!N310,Result_notebook_retravaill!H310)</f>
        <v>7.5582684386625987</v>
      </c>
      <c r="I310" s="32">
        <f>Result_notebook_retravaill!K310</f>
        <v>1020.81371324246</v>
      </c>
      <c r="J310" s="32">
        <f>MIN(G310,Result_notebook_retravaill!I310)</f>
        <v>4.5239555742639546</v>
      </c>
      <c r="K310" s="32">
        <f>IF(Result_notebook_retravaill!I310&gt;Result_notebook_retravaill!G310,0,IF(Result_notebook_retravaill!I310+Result_notebook_retravaill!J310&gt;Result_notebook_retravaill!G310,Result_notebook_retravaill!G310-Result_notebook_retravaill!I310,Result_notebook_retravaill!J310))</f>
        <v>3.0343128643986441</v>
      </c>
      <c r="L310" s="32">
        <f>IF(Result_notebook_retravaill!I310&gt;Result_notebook_retravaill!G310,0,IF(Result_notebook_retravaill!I310+Result_notebook_retravaill!J310&gt;Result_notebook_retravaill!G310,0,Result_notebook_retravaill!M310))</f>
        <v>609.46492057001069</v>
      </c>
      <c r="M310" s="31">
        <f t="shared" si="4"/>
        <v>0</v>
      </c>
    </row>
    <row r="311" spans="1:13" x14ac:dyDescent="0.35">
      <c r="A311">
        <f>Result_notebook_retravaill!A311</f>
        <v>2028</v>
      </c>
      <c r="B311" t="str">
        <f>Result_notebook_retravaill!B311</f>
        <v>Neodymium</v>
      </c>
      <c r="C311" t="str">
        <f>Result_notebook_retravaill!C311</f>
        <v>Current Measures</v>
      </c>
      <c r="D311" t="str">
        <f>Result_notebook_retravaill!D311</f>
        <v>Production potential</v>
      </c>
      <c r="E311" t="str">
        <f>Result_notebook_retravaill!E311</f>
        <v>100% CAN</v>
      </c>
      <c r="F311" t="str">
        <f>Result_notebook_retravaill!F311</f>
        <v>Integrated</v>
      </c>
      <c r="G311">
        <f>Result_notebook_retravaill!G311</f>
        <v>617.02318900867328</v>
      </c>
      <c r="H311" s="32">
        <f>IF(Result_notebook_retravaill!I311&gt;Result_notebook_retravaill!G311,Result_notebook_retravaill!I311/Result_notebook_retravaill!N311,Result_notebook_retravaill!H311)</f>
        <v>7.5582684386625987</v>
      </c>
      <c r="I311" s="32">
        <f>Result_notebook_retravaill!K311</f>
        <v>1020.81371324246</v>
      </c>
      <c r="J311" s="32">
        <f>MIN(G311,Result_notebook_retravaill!I311)</f>
        <v>4.5239555742639546</v>
      </c>
      <c r="K311" s="32">
        <f>IF(Result_notebook_retravaill!I311&gt;Result_notebook_retravaill!G311,0,IF(Result_notebook_retravaill!I311+Result_notebook_retravaill!J311&gt;Result_notebook_retravaill!G311,Result_notebook_retravaill!G311-Result_notebook_retravaill!I311,Result_notebook_retravaill!J311))</f>
        <v>3.0343128643986441</v>
      </c>
      <c r="L311" s="32">
        <f>IF(Result_notebook_retravaill!I311&gt;Result_notebook_retravaill!G311,0,IF(Result_notebook_retravaill!I311+Result_notebook_retravaill!J311&gt;Result_notebook_retravaill!G311,0,Result_notebook_retravaill!M311))</f>
        <v>609.46492057001069</v>
      </c>
      <c r="M311" s="31">
        <f t="shared" si="4"/>
        <v>0</v>
      </c>
    </row>
    <row r="312" spans="1:13" x14ac:dyDescent="0.35">
      <c r="A312">
        <f>Result_notebook_retravaill!A312</f>
        <v>2028</v>
      </c>
      <c r="B312" t="str">
        <f>Result_notebook_retravaill!B312</f>
        <v>Neodymium</v>
      </c>
      <c r="C312" t="str">
        <f>Result_notebook_retravaill!C312</f>
        <v>Global Net-zero</v>
      </c>
      <c r="D312" t="str">
        <f>Result_notebook_retravaill!D312</f>
        <v>Existing production</v>
      </c>
      <c r="E312" t="str">
        <f>Result_notebook_retravaill!E312</f>
        <v>Current shares</v>
      </c>
      <c r="F312" t="str">
        <f>Result_notebook_retravaill!F312</f>
        <v>NIMBY</v>
      </c>
      <c r="G312">
        <f>Result_notebook_retravaill!G312</f>
        <v>1228.637478119615</v>
      </c>
      <c r="H312" s="32">
        <f>IF(Result_notebook_retravaill!I312&gt;Result_notebook_retravaill!G312,Result_notebook_retravaill!I312/Result_notebook_retravaill!N312,Result_notebook_retravaill!H312)</f>
        <v>0</v>
      </c>
      <c r="I312" s="32">
        <f>Result_notebook_retravaill!K312</f>
        <v>2047.729130199358</v>
      </c>
      <c r="J312" s="32">
        <f>MIN(G312,Result_notebook_retravaill!I312)</f>
        <v>0</v>
      </c>
      <c r="K312" s="32">
        <f>IF(Result_notebook_retravaill!I312&gt;Result_notebook_retravaill!G312,0,IF(Result_notebook_retravaill!I312+Result_notebook_retravaill!J312&gt;Result_notebook_retravaill!G312,Result_notebook_retravaill!G312-Result_notebook_retravaill!I312,Result_notebook_retravaill!J312))</f>
        <v>0</v>
      </c>
      <c r="L312" s="32">
        <f>IF(Result_notebook_retravaill!I312&gt;Result_notebook_retravaill!G312,0,IF(Result_notebook_retravaill!I312+Result_notebook_retravaill!J312&gt;Result_notebook_retravaill!G312,0,Result_notebook_retravaill!M312))</f>
        <v>1228.637478119615</v>
      </c>
      <c r="M312" s="31">
        <f t="shared" si="4"/>
        <v>0</v>
      </c>
    </row>
    <row r="313" spans="1:13" x14ac:dyDescent="0.35">
      <c r="A313">
        <f>Result_notebook_retravaill!A313</f>
        <v>2028</v>
      </c>
      <c r="B313" t="str">
        <f>Result_notebook_retravaill!B313</f>
        <v>Neodymium</v>
      </c>
      <c r="C313" t="str">
        <f>Result_notebook_retravaill!C313</f>
        <v>Global Net-zero</v>
      </c>
      <c r="D313" t="str">
        <f>Result_notebook_retravaill!D313</f>
        <v>Existing production</v>
      </c>
      <c r="E313" t="str">
        <f>Result_notebook_retravaill!E313</f>
        <v>Current shares</v>
      </c>
      <c r="F313" t="str">
        <f>Result_notebook_retravaill!F313</f>
        <v>Status Quo</v>
      </c>
      <c r="G313">
        <f>Result_notebook_retravaill!G313</f>
        <v>1228.637478119615</v>
      </c>
      <c r="H313" s="32">
        <f>IF(Result_notebook_retravaill!I313&gt;Result_notebook_retravaill!G313,Result_notebook_retravaill!I313/Result_notebook_retravaill!N313,Result_notebook_retravaill!H313)</f>
        <v>0</v>
      </c>
      <c r="I313" s="32">
        <f>Result_notebook_retravaill!K313</f>
        <v>2047.729130199358</v>
      </c>
      <c r="J313" s="32">
        <f>MIN(G313,Result_notebook_retravaill!I313)</f>
        <v>0</v>
      </c>
      <c r="K313" s="32">
        <f>IF(Result_notebook_retravaill!I313&gt;Result_notebook_retravaill!G313,0,IF(Result_notebook_retravaill!I313+Result_notebook_retravaill!J313&gt;Result_notebook_retravaill!G313,Result_notebook_retravaill!G313-Result_notebook_retravaill!I313,Result_notebook_retravaill!J313))</f>
        <v>0</v>
      </c>
      <c r="L313" s="32">
        <f>IF(Result_notebook_retravaill!I313&gt;Result_notebook_retravaill!G313,0,IF(Result_notebook_retravaill!I313+Result_notebook_retravaill!J313&gt;Result_notebook_retravaill!G313,0,Result_notebook_retravaill!M313))</f>
        <v>1228.637478119615</v>
      </c>
      <c r="M313" s="31">
        <f t="shared" si="4"/>
        <v>0</v>
      </c>
    </row>
    <row r="314" spans="1:13" x14ac:dyDescent="0.35">
      <c r="A314">
        <f>Result_notebook_retravaill!A314</f>
        <v>2028</v>
      </c>
      <c r="B314" t="str">
        <f>Result_notebook_retravaill!B314</f>
        <v>Neodymium</v>
      </c>
      <c r="C314" t="str">
        <f>Result_notebook_retravaill!C314</f>
        <v>Global Net-zero</v>
      </c>
      <c r="D314" t="str">
        <f>Result_notebook_retravaill!D314</f>
        <v>Production potential</v>
      </c>
      <c r="E314" t="str">
        <f>Result_notebook_retravaill!E314</f>
        <v>Current shares</v>
      </c>
      <c r="F314" t="str">
        <f>Result_notebook_retravaill!F314</f>
        <v>Expansion Extractive</v>
      </c>
      <c r="G314">
        <f>Result_notebook_retravaill!G314</f>
        <v>1228.637478119615</v>
      </c>
      <c r="H314" s="32">
        <f>IF(Result_notebook_retravaill!I314&gt;Result_notebook_retravaill!G314,Result_notebook_retravaill!I314/Result_notebook_retravaill!N314,Result_notebook_retravaill!H314)</f>
        <v>7.5582684386625987</v>
      </c>
      <c r="I314" s="32">
        <f>Result_notebook_retravaill!K314</f>
        <v>2040.170861760696</v>
      </c>
      <c r="J314" s="32">
        <f>MIN(G314,Result_notebook_retravaill!I314)</f>
        <v>4.5239555742639546</v>
      </c>
      <c r="K314" s="32">
        <f>IF(Result_notebook_retravaill!I314&gt;Result_notebook_retravaill!G314,0,IF(Result_notebook_retravaill!I314+Result_notebook_retravaill!J314&gt;Result_notebook_retravaill!G314,Result_notebook_retravaill!G314-Result_notebook_retravaill!I314,Result_notebook_retravaill!J314))</f>
        <v>3.0343128643986441</v>
      </c>
      <c r="L314" s="32">
        <f>IF(Result_notebook_retravaill!I314&gt;Result_notebook_retravaill!G314,0,IF(Result_notebook_retravaill!I314+Result_notebook_retravaill!J314&gt;Result_notebook_retravaill!G314,0,Result_notebook_retravaill!M314))</f>
        <v>1221.0792096809525</v>
      </c>
      <c r="M314" s="31">
        <f t="shared" si="4"/>
        <v>0</v>
      </c>
    </row>
    <row r="315" spans="1:13" x14ac:dyDescent="0.35">
      <c r="A315">
        <f>Result_notebook_retravaill!A315</f>
        <v>2028</v>
      </c>
      <c r="B315" t="str">
        <f>Result_notebook_retravaill!B315</f>
        <v>Neodymium</v>
      </c>
      <c r="C315" t="str">
        <f>Result_notebook_retravaill!C315</f>
        <v>Global Net-zero</v>
      </c>
      <c r="D315" t="str">
        <f>Result_notebook_retravaill!D315</f>
        <v>Production potential</v>
      </c>
      <c r="E315" t="str">
        <f>Result_notebook_retravaill!E315</f>
        <v>Current shares</v>
      </c>
      <c r="F315" t="str">
        <f>Result_notebook_retravaill!F315</f>
        <v>Expansion Extractive+Circularity</v>
      </c>
      <c r="G315">
        <f>Result_notebook_retravaill!G315</f>
        <v>1228.637478119615</v>
      </c>
      <c r="H315" s="32">
        <f>IF(Result_notebook_retravaill!I315&gt;Result_notebook_retravaill!G315,Result_notebook_retravaill!I315/Result_notebook_retravaill!N315,Result_notebook_retravaill!H315)</f>
        <v>7.5582684386625987</v>
      </c>
      <c r="I315" s="32">
        <f>Result_notebook_retravaill!K315</f>
        <v>2040.170861760696</v>
      </c>
      <c r="J315" s="32">
        <f>MIN(G315,Result_notebook_retravaill!I315)</f>
        <v>4.5239555742639546</v>
      </c>
      <c r="K315" s="32">
        <f>IF(Result_notebook_retravaill!I315&gt;Result_notebook_retravaill!G315,0,IF(Result_notebook_retravaill!I315+Result_notebook_retravaill!J315&gt;Result_notebook_retravaill!G315,Result_notebook_retravaill!G315-Result_notebook_retravaill!I315,Result_notebook_retravaill!J315))</f>
        <v>3.0343128643986441</v>
      </c>
      <c r="L315" s="32">
        <f>IF(Result_notebook_retravaill!I315&gt;Result_notebook_retravaill!G315,0,IF(Result_notebook_retravaill!I315+Result_notebook_retravaill!J315&gt;Result_notebook_retravaill!G315,0,Result_notebook_retravaill!M315))</f>
        <v>1221.0792096809525</v>
      </c>
      <c r="M315" s="31">
        <f t="shared" si="4"/>
        <v>0</v>
      </c>
    </row>
    <row r="316" spans="1:13" x14ac:dyDescent="0.35">
      <c r="A316">
        <f>Result_notebook_retravaill!A316</f>
        <v>2028</v>
      </c>
      <c r="B316" t="str">
        <f>Result_notebook_retravaill!B316</f>
        <v>Neodymium</v>
      </c>
      <c r="C316" t="str">
        <f>Result_notebook_retravaill!C316</f>
        <v>Global Net-zero</v>
      </c>
      <c r="D316" t="str">
        <f>Result_notebook_retravaill!D316</f>
        <v>Production potential</v>
      </c>
      <c r="E316" t="str">
        <f>Result_notebook_retravaill!E316</f>
        <v>100% CAN</v>
      </c>
      <c r="F316" t="str">
        <f>Result_notebook_retravaill!F316</f>
        <v>Integrated</v>
      </c>
      <c r="G316">
        <f>Result_notebook_retravaill!G316</f>
        <v>1228.637478119615</v>
      </c>
      <c r="H316" s="32">
        <f>IF(Result_notebook_retravaill!I316&gt;Result_notebook_retravaill!G316,Result_notebook_retravaill!I316/Result_notebook_retravaill!N316,Result_notebook_retravaill!H316)</f>
        <v>7.5582684386625987</v>
      </c>
      <c r="I316" s="32">
        <f>Result_notebook_retravaill!K316</f>
        <v>2040.170861760696</v>
      </c>
      <c r="J316" s="32">
        <f>MIN(G316,Result_notebook_retravaill!I316)</f>
        <v>4.5239555742639546</v>
      </c>
      <c r="K316" s="32">
        <f>IF(Result_notebook_retravaill!I316&gt;Result_notebook_retravaill!G316,0,IF(Result_notebook_retravaill!I316+Result_notebook_retravaill!J316&gt;Result_notebook_retravaill!G316,Result_notebook_retravaill!G316-Result_notebook_retravaill!I316,Result_notebook_retravaill!J316))</f>
        <v>3.0343128643986441</v>
      </c>
      <c r="L316" s="32">
        <f>IF(Result_notebook_retravaill!I316&gt;Result_notebook_retravaill!G316,0,IF(Result_notebook_retravaill!I316+Result_notebook_retravaill!J316&gt;Result_notebook_retravaill!G316,0,Result_notebook_retravaill!M316))</f>
        <v>1221.0792096809525</v>
      </c>
      <c r="M316" s="31">
        <f t="shared" si="4"/>
        <v>0</v>
      </c>
    </row>
    <row r="317" spans="1:13" x14ac:dyDescent="0.35">
      <c r="A317">
        <f>Result_notebook_retravaill!A317</f>
        <v>2028</v>
      </c>
      <c r="B317" t="str">
        <f>Result_notebook_retravaill!B317</f>
        <v>Nickel</v>
      </c>
      <c r="C317" t="str">
        <f>Result_notebook_retravaill!C317</f>
        <v>Canada Net-zero</v>
      </c>
      <c r="D317" t="str">
        <f>Result_notebook_retravaill!D317</f>
        <v>Existing production</v>
      </c>
      <c r="E317" t="str">
        <f>Result_notebook_retravaill!E317</f>
        <v>Current shares</v>
      </c>
      <c r="F317" t="str">
        <f>Result_notebook_retravaill!F317</f>
        <v>NIMBY</v>
      </c>
      <c r="G317">
        <f>Result_notebook_retravaill!G317</f>
        <v>51389.307268411161</v>
      </c>
      <c r="H317" s="32">
        <f>IF(Result_notebook_retravaill!I317&gt;Result_notebook_retravaill!G317,Result_notebook_retravaill!I317/Result_notebook_retravaill!N317,Result_notebook_retravaill!H317)</f>
        <v>0</v>
      </c>
      <c r="I317" s="32">
        <f>Result_notebook_retravaill!K317</f>
        <v>65049.756035963503</v>
      </c>
      <c r="J317" s="32">
        <f>MIN(G317,Result_notebook_retravaill!I317)</f>
        <v>0</v>
      </c>
      <c r="K317" s="32">
        <f>IF(Result_notebook_retravaill!I317&gt;Result_notebook_retravaill!G317,0,IF(Result_notebook_retravaill!I317+Result_notebook_retravaill!J317&gt;Result_notebook_retravaill!G317,Result_notebook_retravaill!G317-Result_notebook_retravaill!I317,Result_notebook_retravaill!J317))</f>
        <v>0</v>
      </c>
      <c r="L317" s="32">
        <f>IF(Result_notebook_retravaill!I317&gt;Result_notebook_retravaill!G317,0,IF(Result_notebook_retravaill!I317+Result_notebook_retravaill!J317&gt;Result_notebook_retravaill!G317,0,Result_notebook_retravaill!M317))</f>
        <v>51389.307268411161</v>
      </c>
      <c r="M317" s="31">
        <f t="shared" si="4"/>
        <v>0</v>
      </c>
    </row>
    <row r="318" spans="1:13" x14ac:dyDescent="0.35">
      <c r="A318">
        <f>Result_notebook_retravaill!A318</f>
        <v>2028</v>
      </c>
      <c r="B318" t="str">
        <f>Result_notebook_retravaill!B318</f>
        <v>Nickel</v>
      </c>
      <c r="C318" t="str">
        <f>Result_notebook_retravaill!C318</f>
        <v>Canada Net-zero</v>
      </c>
      <c r="D318" t="str">
        <f>Result_notebook_retravaill!D318</f>
        <v>Existing production</v>
      </c>
      <c r="E318" t="str">
        <f>Result_notebook_retravaill!E318</f>
        <v>Current shares</v>
      </c>
      <c r="F318" t="str">
        <f>Result_notebook_retravaill!F318</f>
        <v>Status Quo</v>
      </c>
      <c r="G318">
        <f>Result_notebook_retravaill!G318</f>
        <v>51389.307268411161</v>
      </c>
      <c r="H318" s="32">
        <f>IF(Result_notebook_retravaill!I318&gt;Result_notebook_retravaill!G318,Result_notebook_retravaill!I318/Result_notebook_retravaill!N318,Result_notebook_retravaill!H318)</f>
        <v>124152.89627975527</v>
      </c>
      <c r="I318" s="32">
        <f>Result_notebook_retravaill!K318</f>
        <v>0</v>
      </c>
      <c r="J318" s="32">
        <f>MIN(G318,Result_notebook_retravaill!I318)</f>
        <v>51389.307268411161</v>
      </c>
      <c r="K318" s="32">
        <f>IF(Result_notebook_retravaill!I318&gt;Result_notebook_retravaill!G318,0,IF(Result_notebook_retravaill!I318+Result_notebook_retravaill!J318&gt;Result_notebook_retravaill!G318,Result_notebook_retravaill!G318-Result_notebook_retravaill!I318,Result_notebook_retravaill!J318))</f>
        <v>0</v>
      </c>
      <c r="L318" s="32">
        <f>IF(Result_notebook_retravaill!I318&gt;Result_notebook_retravaill!G318,0,IF(Result_notebook_retravaill!I318+Result_notebook_retravaill!J318&gt;Result_notebook_retravaill!G318,0,Result_notebook_retravaill!M318))</f>
        <v>0</v>
      </c>
      <c r="M318" s="31">
        <f t="shared" si="4"/>
        <v>0</v>
      </c>
    </row>
    <row r="319" spans="1:13" x14ac:dyDescent="0.35">
      <c r="A319">
        <f>Result_notebook_retravaill!A319</f>
        <v>2028</v>
      </c>
      <c r="B319" t="str">
        <f>Result_notebook_retravaill!B319</f>
        <v>Nickel</v>
      </c>
      <c r="C319" t="str">
        <f>Result_notebook_retravaill!C319</f>
        <v>Canada Net-zero</v>
      </c>
      <c r="D319" t="str">
        <f>Result_notebook_retravaill!D319</f>
        <v>Production potential</v>
      </c>
      <c r="E319" t="str">
        <f>Result_notebook_retravaill!E319</f>
        <v>Current shares</v>
      </c>
      <c r="F319" t="str">
        <f>Result_notebook_retravaill!F319</f>
        <v>Expansion Extractive</v>
      </c>
      <c r="G319">
        <f>Result_notebook_retravaill!G319</f>
        <v>51389.307268411161</v>
      </c>
      <c r="H319" s="32">
        <f>IF(Result_notebook_retravaill!I319&gt;Result_notebook_retravaill!G319,Result_notebook_retravaill!I319/Result_notebook_retravaill!N319,Result_notebook_retravaill!H319)</f>
        <v>168501.35305932749</v>
      </c>
      <c r="I319" s="32">
        <f>Result_notebook_retravaill!K319</f>
        <v>0</v>
      </c>
      <c r="J319" s="32">
        <f>MIN(G319,Result_notebook_retravaill!I319)</f>
        <v>51389.307268411161</v>
      </c>
      <c r="K319" s="32">
        <f>IF(Result_notebook_retravaill!I319&gt;Result_notebook_retravaill!G319,0,IF(Result_notebook_retravaill!I319+Result_notebook_retravaill!J319&gt;Result_notebook_retravaill!G319,Result_notebook_retravaill!G319-Result_notebook_retravaill!I319,Result_notebook_retravaill!J319))</f>
        <v>0</v>
      </c>
      <c r="L319" s="32">
        <f>IF(Result_notebook_retravaill!I319&gt;Result_notebook_retravaill!G319,0,IF(Result_notebook_retravaill!I319+Result_notebook_retravaill!J319&gt;Result_notebook_retravaill!G319,0,Result_notebook_retravaill!M319))</f>
        <v>0</v>
      </c>
      <c r="M319" s="31">
        <f t="shared" si="4"/>
        <v>0</v>
      </c>
    </row>
    <row r="320" spans="1:13" x14ac:dyDescent="0.35">
      <c r="A320">
        <f>Result_notebook_retravaill!A320</f>
        <v>2028</v>
      </c>
      <c r="B320" t="str">
        <f>Result_notebook_retravaill!B320</f>
        <v>Nickel</v>
      </c>
      <c r="C320" t="str">
        <f>Result_notebook_retravaill!C320</f>
        <v>Canada Net-zero</v>
      </c>
      <c r="D320" t="str">
        <f>Result_notebook_retravaill!D320</f>
        <v>Production potential</v>
      </c>
      <c r="E320" t="str">
        <f>Result_notebook_retravaill!E320</f>
        <v>Current shares</v>
      </c>
      <c r="F320" t="str">
        <f>Result_notebook_retravaill!F320</f>
        <v>Expansion Extractive+Circularity</v>
      </c>
      <c r="G320">
        <f>Result_notebook_retravaill!G320</f>
        <v>51389.307268411161</v>
      </c>
      <c r="H320" s="32">
        <f>IF(Result_notebook_retravaill!I320&gt;Result_notebook_retravaill!G320,Result_notebook_retravaill!I320/Result_notebook_retravaill!N320,Result_notebook_retravaill!H320)</f>
        <v>168501.35305932749</v>
      </c>
      <c r="I320" s="32">
        <f>Result_notebook_retravaill!K320</f>
        <v>0</v>
      </c>
      <c r="J320" s="32">
        <f>MIN(G320,Result_notebook_retravaill!I320)</f>
        <v>51389.307268411161</v>
      </c>
      <c r="K320" s="32">
        <f>IF(Result_notebook_retravaill!I320&gt;Result_notebook_retravaill!G320,0,IF(Result_notebook_retravaill!I320+Result_notebook_retravaill!J320&gt;Result_notebook_retravaill!G320,Result_notebook_retravaill!G320-Result_notebook_retravaill!I320,Result_notebook_retravaill!J320))</f>
        <v>0</v>
      </c>
      <c r="L320" s="32">
        <f>IF(Result_notebook_retravaill!I320&gt;Result_notebook_retravaill!G320,0,IF(Result_notebook_retravaill!I320+Result_notebook_retravaill!J320&gt;Result_notebook_retravaill!G320,0,Result_notebook_retravaill!M320))</f>
        <v>0</v>
      </c>
      <c r="M320" s="31">
        <f t="shared" si="4"/>
        <v>0</v>
      </c>
    </row>
    <row r="321" spans="1:13" x14ac:dyDescent="0.35">
      <c r="A321">
        <f>Result_notebook_retravaill!A321</f>
        <v>2028</v>
      </c>
      <c r="B321" t="str">
        <f>Result_notebook_retravaill!B321</f>
        <v>Nickel</v>
      </c>
      <c r="C321" t="str">
        <f>Result_notebook_retravaill!C321</f>
        <v>Canada Net-zero</v>
      </c>
      <c r="D321" t="str">
        <f>Result_notebook_retravaill!D321</f>
        <v>Production potential</v>
      </c>
      <c r="E321" t="str">
        <f>Result_notebook_retravaill!E321</f>
        <v>100% CAN</v>
      </c>
      <c r="F321" t="str">
        <f>Result_notebook_retravaill!F321</f>
        <v>Integrated</v>
      </c>
      <c r="G321">
        <f>Result_notebook_retravaill!G321</f>
        <v>51389.307268411161</v>
      </c>
      <c r="H321" s="32">
        <f>IF(Result_notebook_retravaill!I321&gt;Result_notebook_retravaill!G321,Result_notebook_retravaill!I321/Result_notebook_retravaill!N321,Result_notebook_retravaill!H321)</f>
        <v>236599.75829395899</v>
      </c>
      <c r="I321" s="32">
        <f>Result_notebook_retravaill!K321</f>
        <v>0</v>
      </c>
      <c r="J321" s="32">
        <f>MIN(G321,Result_notebook_retravaill!I321)</f>
        <v>51389.307268411161</v>
      </c>
      <c r="K321" s="32">
        <f>IF(Result_notebook_retravaill!I321&gt;Result_notebook_retravaill!G321,0,IF(Result_notebook_retravaill!I321+Result_notebook_retravaill!J321&gt;Result_notebook_retravaill!G321,Result_notebook_retravaill!G321-Result_notebook_retravaill!I321,Result_notebook_retravaill!J321))</f>
        <v>0</v>
      </c>
      <c r="L321" s="32">
        <f>IF(Result_notebook_retravaill!I321&gt;Result_notebook_retravaill!G321,0,IF(Result_notebook_retravaill!I321+Result_notebook_retravaill!J321&gt;Result_notebook_retravaill!G321,0,Result_notebook_retravaill!M321))</f>
        <v>0</v>
      </c>
      <c r="M321" s="31">
        <f t="shared" si="4"/>
        <v>0</v>
      </c>
    </row>
    <row r="322" spans="1:13" x14ac:dyDescent="0.35">
      <c r="A322">
        <f>Result_notebook_retravaill!A322</f>
        <v>2028</v>
      </c>
      <c r="B322" t="str">
        <f>Result_notebook_retravaill!B322</f>
        <v>Nickel</v>
      </c>
      <c r="C322" t="str">
        <f>Result_notebook_retravaill!C322</f>
        <v>Current Measures</v>
      </c>
      <c r="D322" t="str">
        <f>Result_notebook_retravaill!D322</f>
        <v>Existing production</v>
      </c>
      <c r="E322" t="str">
        <f>Result_notebook_retravaill!E322</f>
        <v>Current shares</v>
      </c>
      <c r="F322" t="str">
        <f>Result_notebook_retravaill!F322</f>
        <v>NIMBY</v>
      </c>
      <c r="G322">
        <f>Result_notebook_retravaill!G322</f>
        <v>32884.415205425117</v>
      </c>
      <c r="H322" s="32">
        <f>IF(Result_notebook_retravaill!I322&gt;Result_notebook_retravaill!G322,Result_notebook_retravaill!I322/Result_notebook_retravaill!N322,Result_notebook_retravaill!H322)</f>
        <v>0</v>
      </c>
      <c r="I322" s="32">
        <f>Result_notebook_retravaill!K322</f>
        <v>41625.842032183689</v>
      </c>
      <c r="J322" s="32">
        <f>MIN(G322,Result_notebook_retravaill!I322)</f>
        <v>0</v>
      </c>
      <c r="K322" s="32">
        <f>IF(Result_notebook_retravaill!I322&gt;Result_notebook_retravaill!G322,0,IF(Result_notebook_retravaill!I322+Result_notebook_retravaill!J322&gt;Result_notebook_retravaill!G322,Result_notebook_retravaill!G322-Result_notebook_retravaill!I322,Result_notebook_retravaill!J322))</f>
        <v>0</v>
      </c>
      <c r="L322" s="32">
        <f>IF(Result_notebook_retravaill!I322&gt;Result_notebook_retravaill!G322,0,IF(Result_notebook_retravaill!I322+Result_notebook_retravaill!J322&gt;Result_notebook_retravaill!G322,0,Result_notebook_retravaill!M322))</f>
        <v>32884.415205425117</v>
      </c>
      <c r="M322" s="31">
        <f t="shared" si="4"/>
        <v>0</v>
      </c>
    </row>
    <row r="323" spans="1:13" x14ac:dyDescent="0.35">
      <c r="A323">
        <f>Result_notebook_retravaill!A323</f>
        <v>2028</v>
      </c>
      <c r="B323" t="str">
        <f>Result_notebook_retravaill!B323</f>
        <v>Nickel</v>
      </c>
      <c r="C323" t="str">
        <f>Result_notebook_retravaill!C323</f>
        <v>Current Measures</v>
      </c>
      <c r="D323" t="str">
        <f>Result_notebook_retravaill!D323</f>
        <v>Existing production</v>
      </c>
      <c r="E323" t="str">
        <f>Result_notebook_retravaill!E323</f>
        <v>Current shares</v>
      </c>
      <c r="F323" t="str">
        <f>Result_notebook_retravaill!F323</f>
        <v>Status Quo</v>
      </c>
      <c r="G323">
        <f>Result_notebook_retravaill!G323</f>
        <v>32884.415205425117</v>
      </c>
      <c r="H323" s="32">
        <f>IF(Result_notebook_retravaill!I323&gt;Result_notebook_retravaill!G323,Result_notebook_retravaill!I323/Result_notebook_retravaill!N323,Result_notebook_retravaill!H323)</f>
        <v>124152.89627975527</v>
      </c>
      <c r="I323" s="32">
        <f>Result_notebook_retravaill!K323</f>
        <v>0</v>
      </c>
      <c r="J323" s="32">
        <f>MIN(G323,Result_notebook_retravaill!I323)</f>
        <v>32884.415205425117</v>
      </c>
      <c r="K323" s="32">
        <f>IF(Result_notebook_retravaill!I323&gt;Result_notebook_retravaill!G323,0,IF(Result_notebook_retravaill!I323+Result_notebook_retravaill!J323&gt;Result_notebook_retravaill!G323,Result_notebook_retravaill!G323-Result_notebook_retravaill!I323,Result_notebook_retravaill!J323))</f>
        <v>0</v>
      </c>
      <c r="L323" s="32">
        <f>IF(Result_notebook_retravaill!I323&gt;Result_notebook_retravaill!G323,0,IF(Result_notebook_retravaill!I323+Result_notebook_retravaill!J323&gt;Result_notebook_retravaill!G323,0,Result_notebook_retravaill!M323))</f>
        <v>0</v>
      </c>
      <c r="M323" s="31">
        <f t="shared" ref="M323:M386" si="5">SUM(J323:L323)-G323</f>
        <v>0</v>
      </c>
    </row>
    <row r="324" spans="1:13" x14ac:dyDescent="0.35">
      <c r="A324">
        <f>Result_notebook_retravaill!A324</f>
        <v>2028</v>
      </c>
      <c r="B324" t="str">
        <f>Result_notebook_retravaill!B324</f>
        <v>Nickel</v>
      </c>
      <c r="C324" t="str">
        <f>Result_notebook_retravaill!C324</f>
        <v>Current Measures</v>
      </c>
      <c r="D324" t="str">
        <f>Result_notebook_retravaill!D324</f>
        <v>Production potential</v>
      </c>
      <c r="E324" t="str">
        <f>Result_notebook_retravaill!E324</f>
        <v>Current shares</v>
      </c>
      <c r="F324" t="str">
        <f>Result_notebook_retravaill!F324</f>
        <v>Expansion Extractive</v>
      </c>
      <c r="G324">
        <f>Result_notebook_retravaill!G324</f>
        <v>32884.415205425117</v>
      </c>
      <c r="H324" s="32">
        <f>IF(Result_notebook_retravaill!I324&gt;Result_notebook_retravaill!G324,Result_notebook_retravaill!I324/Result_notebook_retravaill!N324,Result_notebook_retravaill!H324)</f>
        <v>168501.35305932749</v>
      </c>
      <c r="I324" s="32">
        <f>Result_notebook_retravaill!K324</f>
        <v>0</v>
      </c>
      <c r="J324" s="32">
        <f>MIN(G324,Result_notebook_retravaill!I324)</f>
        <v>32884.415205425117</v>
      </c>
      <c r="K324" s="32">
        <f>IF(Result_notebook_retravaill!I324&gt;Result_notebook_retravaill!G324,0,IF(Result_notebook_retravaill!I324+Result_notebook_retravaill!J324&gt;Result_notebook_retravaill!G324,Result_notebook_retravaill!G324-Result_notebook_retravaill!I324,Result_notebook_retravaill!J324))</f>
        <v>0</v>
      </c>
      <c r="L324" s="32">
        <f>IF(Result_notebook_retravaill!I324&gt;Result_notebook_retravaill!G324,0,IF(Result_notebook_retravaill!I324+Result_notebook_retravaill!J324&gt;Result_notebook_retravaill!G324,0,Result_notebook_retravaill!M324))</f>
        <v>0</v>
      </c>
      <c r="M324" s="31">
        <f t="shared" si="5"/>
        <v>0</v>
      </c>
    </row>
    <row r="325" spans="1:13" x14ac:dyDescent="0.35">
      <c r="A325">
        <f>Result_notebook_retravaill!A325</f>
        <v>2028</v>
      </c>
      <c r="B325" t="str">
        <f>Result_notebook_retravaill!B325</f>
        <v>Nickel</v>
      </c>
      <c r="C325" t="str">
        <f>Result_notebook_retravaill!C325</f>
        <v>Current Measures</v>
      </c>
      <c r="D325" t="str">
        <f>Result_notebook_retravaill!D325</f>
        <v>Production potential</v>
      </c>
      <c r="E325" t="str">
        <f>Result_notebook_retravaill!E325</f>
        <v>Current shares</v>
      </c>
      <c r="F325" t="str">
        <f>Result_notebook_retravaill!F325</f>
        <v>Expansion Extractive+Circularity</v>
      </c>
      <c r="G325">
        <f>Result_notebook_retravaill!G325</f>
        <v>32884.415205425117</v>
      </c>
      <c r="H325" s="32">
        <f>IF(Result_notebook_retravaill!I325&gt;Result_notebook_retravaill!G325,Result_notebook_retravaill!I325/Result_notebook_retravaill!N325,Result_notebook_retravaill!H325)</f>
        <v>168501.35305932749</v>
      </c>
      <c r="I325" s="32">
        <f>Result_notebook_retravaill!K325</f>
        <v>0</v>
      </c>
      <c r="J325" s="32">
        <f>MIN(G325,Result_notebook_retravaill!I325)</f>
        <v>32884.415205425117</v>
      </c>
      <c r="K325" s="32">
        <f>IF(Result_notebook_retravaill!I325&gt;Result_notebook_retravaill!G325,0,IF(Result_notebook_retravaill!I325+Result_notebook_retravaill!J325&gt;Result_notebook_retravaill!G325,Result_notebook_retravaill!G325-Result_notebook_retravaill!I325,Result_notebook_retravaill!J325))</f>
        <v>0</v>
      </c>
      <c r="L325" s="32">
        <f>IF(Result_notebook_retravaill!I325&gt;Result_notebook_retravaill!G325,0,IF(Result_notebook_retravaill!I325+Result_notebook_retravaill!J325&gt;Result_notebook_retravaill!G325,0,Result_notebook_retravaill!M325))</f>
        <v>0</v>
      </c>
      <c r="M325" s="31">
        <f t="shared" si="5"/>
        <v>0</v>
      </c>
    </row>
    <row r="326" spans="1:13" x14ac:dyDescent="0.35">
      <c r="A326">
        <f>Result_notebook_retravaill!A326</f>
        <v>2028</v>
      </c>
      <c r="B326" t="str">
        <f>Result_notebook_retravaill!B326</f>
        <v>Nickel</v>
      </c>
      <c r="C326" t="str">
        <f>Result_notebook_retravaill!C326</f>
        <v>Current Measures</v>
      </c>
      <c r="D326" t="str">
        <f>Result_notebook_retravaill!D326</f>
        <v>Production potential</v>
      </c>
      <c r="E326" t="str">
        <f>Result_notebook_retravaill!E326</f>
        <v>100% CAN</v>
      </c>
      <c r="F326" t="str">
        <f>Result_notebook_retravaill!F326</f>
        <v>Integrated</v>
      </c>
      <c r="G326">
        <f>Result_notebook_retravaill!G326</f>
        <v>32884.415205425117</v>
      </c>
      <c r="H326" s="32">
        <f>IF(Result_notebook_retravaill!I326&gt;Result_notebook_retravaill!G326,Result_notebook_retravaill!I326/Result_notebook_retravaill!N326,Result_notebook_retravaill!H326)</f>
        <v>236599.75829395899</v>
      </c>
      <c r="I326" s="32">
        <f>Result_notebook_retravaill!K326</f>
        <v>0</v>
      </c>
      <c r="J326" s="32">
        <f>MIN(G326,Result_notebook_retravaill!I326)</f>
        <v>32884.415205425117</v>
      </c>
      <c r="K326" s="32">
        <f>IF(Result_notebook_retravaill!I326&gt;Result_notebook_retravaill!G326,0,IF(Result_notebook_retravaill!I326+Result_notebook_retravaill!J326&gt;Result_notebook_retravaill!G326,Result_notebook_retravaill!G326-Result_notebook_retravaill!I326,Result_notebook_retravaill!J326))</f>
        <v>0</v>
      </c>
      <c r="L326" s="32">
        <f>IF(Result_notebook_retravaill!I326&gt;Result_notebook_retravaill!G326,0,IF(Result_notebook_retravaill!I326+Result_notebook_retravaill!J326&gt;Result_notebook_retravaill!G326,0,Result_notebook_retravaill!M326))</f>
        <v>0</v>
      </c>
      <c r="M326" s="31">
        <f t="shared" si="5"/>
        <v>0</v>
      </c>
    </row>
    <row r="327" spans="1:13" x14ac:dyDescent="0.35">
      <c r="A327">
        <f>Result_notebook_retravaill!A327</f>
        <v>2028</v>
      </c>
      <c r="B327" t="str">
        <f>Result_notebook_retravaill!B327</f>
        <v>Nickel</v>
      </c>
      <c r="C327" t="str">
        <f>Result_notebook_retravaill!C327</f>
        <v>Global Net-zero</v>
      </c>
      <c r="D327" t="str">
        <f>Result_notebook_retravaill!D327</f>
        <v>Existing production</v>
      </c>
      <c r="E327" t="str">
        <f>Result_notebook_retravaill!E327</f>
        <v>Current shares</v>
      </c>
      <c r="F327" t="str">
        <f>Result_notebook_retravaill!F327</f>
        <v>NIMBY</v>
      </c>
      <c r="G327">
        <f>Result_notebook_retravaill!G327</f>
        <v>49184.449113354851</v>
      </c>
      <c r="H327" s="32">
        <f>IF(Result_notebook_retravaill!I327&gt;Result_notebook_retravaill!G327,Result_notebook_retravaill!I327/Result_notebook_retravaill!N327,Result_notebook_retravaill!H327)</f>
        <v>0</v>
      </c>
      <c r="I327" s="32">
        <f>Result_notebook_retravaill!K327</f>
        <v>62258.796346018797</v>
      </c>
      <c r="J327" s="32">
        <f>MIN(G327,Result_notebook_retravaill!I327)</f>
        <v>0</v>
      </c>
      <c r="K327" s="32">
        <f>IF(Result_notebook_retravaill!I327&gt;Result_notebook_retravaill!G327,0,IF(Result_notebook_retravaill!I327+Result_notebook_retravaill!J327&gt;Result_notebook_retravaill!G327,Result_notebook_retravaill!G327-Result_notebook_retravaill!I327,Result_notebook_retravaill!J327))</f>
        <v>0</v>
      </c>
      <c r="L327" s="32">
        <f>IF(Result_notebook_retravaill!I327&gt;Result_notebook_retravaill!G327,0,IF(Result_notebook_retravaill!I327+Result_notebook_retravaill!J327&gt;Result_notebook_retravaill!G327,0,Result_notebook_retravaill!M327))</f>
        <v>49184.449113354851</v>
      </c>
      <c r="M327" s="31">
        <f t="shared" si="5"/>
        <v>0</v>
      </c>
    </row>
    <row r="328" spans="1:13" x14ac:dyDescent="0.35">
      <c r="A328">
        <f>Result_notebook_retravaill!A328</f>
        <v>2028</v>
      </c>
      <c r="B328" t="str">
        <f>Result_notebook_retravaill!B328</f>
        <v>Nickel</v>
      </c>
      <c r="C328" t="str">
        <f>Result_notebook_retravaill!C328</f>
        <v>Global Net-zero</v>
      </c>
      <c r="D328" t="str">
        <f>Result_notebook_retravaill!D328</f>
        <v>Existing production</v>
      </c>
      <c r="E328" t="str">
        <f>Result_notebook_retravaill!E328</f>
        <v>Current shares</v>
      </c>
      <c r="F328" t="str">
        <f>Result_notebook_retravaill!F328</f>
        <v>Status Quo</v>
      </c>
      <c r="G328">
        <f>Result_notebook_retravaill!G328</f>
        <v>49184.449113354851</v>
      </c>
      <c r="H328" s="32">
        <f>IF(Result_notebook_retravaill!I328&gt;Result_notebook_retravaill!G328,Result_notebook_retravaill!I328/Result_notebook_retravaill!N328,Result_notebook_retravaill!H328)</f>
        <v>124152.89627975527</v>
      </c>
      <c r="I328" s="32">
        <f>Result_notebook_retravaill!K328</f>
        <v>0</v>
      </c>
      <c r="J328" s="32">
        <f>MIN(G328,Result_notebook_retravaill!I328)</f>
        <v>49184.449113354851</v>
      </c>
      <c r="K328" s="32">
        <f>IF(Result_notebook_retravaill!I328&gt;Result_notebook_retravaill!G328,0,IF(Result_notebook_retravaill!I328+Result_notebook_retravaill!J328&gt;Result_notebook_retravaill!G328,Result_notebook_retravaill!G328-Result_notebook_retravaill!I328,Result_notebook_retravaill!J328))</f>
        <v>0</v>
      </c>
      <c r="L328" s="32">
        <f>IF(Result_notebook_retravaill!I328&gt;Result_notebook_retravaill!G328,0,IF(Result_notebook_retravaill!I328+Result_notebook_retravaill!J328&gt;Result_notebook_retravaill!G328,0,Result_notebook_retravaill!M328))</f>
        <v>0</v>
      </c>
      <c r="M328" s="31">
        <f t="shared" si="5"/>
        <v>0</v>
      </c>
    </row>
    <row r="329" spans="1:13" x14ac:dyDescent="0.35">
      <c r="A329">
        <f>Result_notebook_retravaill!A329</f>
        <v>2028</v>
      </c>
      <c r="B329" t="str">
        <f>Result_notebook_retravaill!B329</f>
        <v>Nickel</v>
      </c>
      <c r="C329" t="str">
        <f>Result_notebook_retravaill!C329</f>
        <v>Global Net-zero</v>
      </c>
      <c r="D329" t="str">
        <f>Result_notebook_retravaill!D329</f>
        <v>Production potential</v>
      </c>
      <c r="E329" t="str">
        <f>Result_notebook_retravaill!E329</f>
        <v>Current shares</v>
      </c>
      <c r="F329" t="str">
        <f>Result_notebook_retravaill!F329</f>
        <v>Expansion Extractive</v>
      </c>
      <c r="G329">
        <f>Result_notebook_retravaill!G329</f>
        <v>49184.449113354851</v>
      </c>
      <c r="H329" s="32">
        <f>IF(Result_notebook_retravaill!I329&gt;Result_notebook_retravaill!G329,Result_notebook_retravaill!I329/Result_notebook_retravaill!N329,Result_notebook_retravaill!H329)</f>
        <v>168501.35305932749</v>
      </c>
      <c r="I329" s="32">
        <f>Result_notebook_retravaill!K329</f>
        <v>0</v>
      </c>
      <c r="J329" s="32">
        <f>MIN(G329,Result_notebook_retravaill!I329)</f>
        <v>49184.449113354851</v>
      </c>
      <c r="K329" s="32">
        <f>IF(Result_notebook_retravaill!I329&gt;Result_notebook_retravaill!G329,0,IF(Result_notebook_retravaill!I329+Result_notebook_retravaill!J329&gt;Result_notebook_retravaill!G329,Result_notebook_retravaill!G329-Result_notebook_retravaill!I329,Result_notebook_retravaill!J329))</f>
        <v>0</v>
      </c>
      <c r="L329" s="32">
        <f>IF(Result_notebook_retravaill!I329&gt;Result_notebook_retravaill!G329,0,IF(Result_notebook_retravaill!I329+Result_notebook_retravaill!J329&gt;Result_notebook_retravaill!G329,0,Result_notebook_retravaill!M329))</f>
        <v>0</v>
      </c>
      <c r="M329" s="31">
        <f t="shared" si="5"/>
        <v>0</v>
      </c>
    </row>
    <row r="330" spans="1:13" x14ac:dyDescent="0.35">
      <c r="A330">
        <f>Result_notebook_retravaill!A330</f>
        <v>2028</v>
      </c>
      <c r="B330" t="str">
        <f>Result_notebook_retravaill!B330</f>
        <v>Nickel</v>
      </c>
      <c r="C330" t="str">
        <f>Result_notebook_retravaill!C330</f>
        <v>Global Net-zero</v>
      </c>
      <c r="D330" t="str">
        <f>Result_notebook_retravaill!D330</f>
        <v>Production potential</v>
      </c>
      <c r="E330" t="str">
        <f>Result_notebook_retravaill!E330</f>
        <v>Current shares</v>
      </c>
      <c r="F330" t="str">
        <f>Result_notebook_retravaill!F330</f>
        <v>Expansion Extractive+Circularity</v>
      </c>
      <c r="G330">
        <f>Result_notebook_retravaill!G330</f>
        <v>49184.449113354851</v>
      </c>
      <c r="H330" s="32">
        <f>IF(Result_notebook_retravaill!I330&gt;Result_notebook_retravaill!G330,Result_notebook_retravaill!I330/Result_notebook_retravaill!N330,Result_notebook_retravaill!H330)</f>
        <v>168501.35305932749</v>
      </c>
      <c r="I330" s="32">
        <f>Result_notebook_retravaill!K330</f>
        <v>0</v>
      </c>
      <c r="J330" s="32">
        <f>MIN(G330,Result_notebook_retravaill!I330)</f>
        <v>49184.449113354851</v>
      </c>
      <c r="K330" s="32">
        <f>IF(Result_notebook_retravaill!I330&gt;Result_notebook_retravaill!G330,0,IF(Result_notebook_retravaill!I330+Result_notebook_retravaill!J330&gt;Result_notebook_retravaill!G330,Result_notebook_retravaill!G330-Result_notebook_retravaill!I330,Result_notebook_retravaill!J330))</f>
        <v>0</v>
      </c>
      <c r="L330" s="32">
        <f>IF(Result_notebook_retravaill!I330&gt;Result_notebook_retravaill!G330,0,IF(Result_notebook_retravaill!I330+Result_notebook_retravaill!J330&gt;Result_notebook_retravaill!G330,0,Result_notebook_retravaill!M330))</f>
        <v>0</v>
      </c>
      <c r="M330" s="31">
        <f t="shared" si="5"/>
        <v>0</v>
      </c>
    </row>
    <row r="331" spans="1:13" x14ac:dyDescent="0.35">
      <c r="A331">
        <f>Result_notebook_retravaill!A331</f>
        <v>2028</v>
      </c>
      <c r="B331" t="str">
        <f>Result_notebook_retravaill!B331</f>
        <v>Nickel</v>
      </c>
      <c r="C331" t="str">
        <f>Result_notebook_retravaill!C331</f>
        <v>Global Net-zero</v>
      </c>
      <c r="D331" t="str">
        <f>Result_notebook_retravaill!D331</f>
        <v>Production potential</v>
      </c>
      <c r="E331" t="str">
        <f>Result_notebook_retravaill!E331</f>
        <v>100% CAN</v>
      </c>
      <c r="F331" t="str">
        <f>Result_notebook_retravaill!F331</f>
        <v>Integrated</v>
      </c>
      <c r="G331">
        <f>Result_notebook_retravaill!G331</f>
        <v>49184.449113354851</v>
      </c>
      <c r="H331" s="32">
        <f>IF(Result_notebook_retravaill!I331&gt;Result_notebook_retravaill!G331,Result_notebook_retravaill!I331/Result_notebook_retravaill!N331,Result_notebook_retravaill!H331)</f>
        <v>236599.75829395899</v>
      </c>
      <c r="I331" s="32">
        <f>Result_notebook_retravaill!K331</f>
        <v>0</v>
      </c>
      <c r="J331" s="32">
        <f>MIN(G331,Result_notebook_retravaill!I331)</f>
        <v>49184.449113354851</v>
      </c>
      <c r="K331" s="32">
        <f>IF(Result_notebook_retravaill!I331&gt;Result_notebook_retravaill!G331,0,IF(Result_notebook_retravaill!I331+Result_notebook_retravaill!J331&gt;Result_notebook_retravaill!G331,Result_notebook_retravaill!G331-Result_notebook_retravaill!I331,Result_notebook_retravaill!J331))</f>
        <v>0</v>
      </c>
      <c r="L331" s="32">
        <f>IF(Result_notebook_retravaill!I331&gt;Result_notebook_retravaill!G331,0,IF(Result_notebook_retravaill!I331+Result_notebook_retravaill!J331&gt;Result_notebook_retravaill!G331,0,Result_notebook_retravaill!M331))</f>
        <v>0</v>
      </c>
      <c r="M331" s="31">
        <f t="shared" si="5"/>
        <v>0</v>
      </c>
    </row>
    <row r="332" spans="1:13" x14ac:dyDescent="0.35">
      <c r="A332">
        <f>Result_notebook_retravaill!A332</f>
        <v>2028</v>
      </c>
      <c r="B332" t="str">
        <f>Result_notebook_retravaill!B332</f>
        <v>Graphite</v>
      </c>
      <c r="C332" t="str">
        <f>Result_notebook_retravaill!C332</f>
        <v>Canada Net-zero</v>
      </c>
      <c r="D332" t="str">
        <f>Result_notebook_retravaill!D332</f>
        <v>Existing production</v>
      </c>
      <c r="E332" t="str">
        <f>Result_notebook_retravaill!E332</f>
        <v>Current shares</v>
      </c>
      <c r="F332" t="str">
        <f>Result_notebook_retravaill!F332</f>
        <v>NIMBY</v>
      </c>
      <c r="G332">
        <f>Result_notebook_retravaill!G332</f>
        <v>1182.9561420443069</v>
      </c>
      <c r="H332" s="32">
        <f>IF(Result_notebook_retravaill!I332&gt;Result_notebook_retravaill!G332,Result_notebook_retravaill!I332/Result_notebook_retravaill!N332,Result_notebook_retravaill!H332)</f>
        <v>0</v>
      </c>
      <c r="I332" s="32">
        <f>Result_notebook_retravaill!K332</f>
        <v>1182.9561420443069</v>
      </c>
      <c r="J332" s="32">
        <f>MIN(G332,Result_notebook_retravaill!I332)</f>
        <v>0</v>
      </c>
      <c r="K332" s="32">
        <f>IF(Result_notebook_retravaill!I332&gt;Result_notebook_retravaill!G332,0,IF(Result_notebook_retravaill!I332+Result_notebook_retravaill!J332&gt;Result_notebook_retravaill!G332,Result_notebook_retravaill!G332-Result_notebook_retravaill!I332,Result_notebook_retravaill!J332))</f>
        <v>0</v>
      </c>
      <c r="L332" s="32">
        <f>IF(Result_notebook_retravaill!I332&gt;Result_notebook_retravaill!G332,0,IF(Result_notebook_retravaill!I332+Result_notebook_retravaill!J332&gt;Result_notebook_retravaill!G332,0,Result_notebook_retravaill!M332))</f>
        <v>1182.9561420443069</v>
      </c>
      <c r="M332" s="31">
        <f t="shared" si="5"/>
        <v>0</v>
      </c>
    </row>
    <row r="333" spans="1:13" x14ac:dyDescent="0.35">
      <c r="A333">
        <f>Result_notebook_retravaill!A333</f>
        <v>2028</v>
      </c>
      <c r="B333" t="str">
        <f>Result_notebook_retravaill!B333</f>
        <v>Graphite</v>
      </c>
      <c r="C333" t="str">
        <f>Result_notebook_retravaill!C333</f>
        <v>Canada Net-zero</v>
      </c>
      <c r="D333" t="str">
        <f>Result_notebook_retravaill!D333</f>
        <v>Existing production</v>
      </c>
      <c r="E333" t="str">
        <f>Result_notebook_retravaill!E333</f>
        <v>Current shares</v>
      </c>
      <c r="F333" t="str">
        <f>Result_notebook_retravaill!F333</f>
        <v>Status Quo</v>
      </c>
      <c r="G333">
        <f>Result_notebook_retravaill!G333</f>
        <v>1182.9561420443069</v>
      </c>
      <c r="H333" s="32">
        <f>IF(Result_notebook_retravaill!I333&gt;Result_notebook_retravaill!G333,Result_notebook_retravaill!I333/Result_notebook_retravaill!N333,Result_notebook_retravaill!H333)</f>
        <v>0</v>
      </c>
      <c r="I333" s="32">
        <f>Result_notebook_retravaill!K333</f>
        <v>1182.9561420443069</v>
      </c>
      <c r="J333" s="32">
        <f>MIN(G333,Result_notebook_retravaill!I333)</f>
        <v>0</v>
      </c>
      <c r="K333" s="32">
        <f>IF(Result_notebook_retravaill!I333&gt;Result_notebook_retravaill!G333,0,IF(Result_notebook_retravaill!I333+Result_notebook_retravaill!J333&gt;Result_notebook_retravaill!G333,Result_notebook_retravaill!G333-Result_notebook_retravaill!I333,Result_notebook_retravaill!J333))</f>
        <v>0</v>
      </c>
      <c r="L333" s="32">
        <f>IF(Result_notebook_retravaill!I333&gt;Result_notebook_retravaill!G333,0,IF(Result_notebook_retravaill!I333+Result_notebook_retravaill!J333&gt;Result_notebook_retravaill!G333,0,Result_notebook_retravaill!M333))</f>
        <v>1182.9561420443069</v>
      </c>
      <c r="M333" s="31">
        <f t="shared" si="5"/>
        <v>0</v>
      </c>
    </row>
    <row r="334" spans="1:13" x14ac:dyDescent="0.35">
      <c r="A334">
        <f>Result_notebook_retravaill!A334</f>
        <v>2028</v>
      </c>
      <c r="B334" t="str">
        <f>Result_notebook_retravaill!B334</f>
        <v>Graphite</v>
      </c>
      <c r="C334" t="str">
        <f>Result_notebook_retravaill!C334</f>
        <v>Canada Net-zero</v>
      </c>
      <c r="D334" t="str">
        <f>Result_notebook_retravaill!D334</f>
        <v>Production potential</v>
      </c>
      <c r="E334" t="str">
        <f>Result_notebook_retravaill!E334</f>
        <v>Current shares</v>
      </c>
      <c r="F334" t="str">
        <f>Result_notebook_retravaill!F334</f>
        <v>Expansion Extractive</v>
      </c>
      <c r="G334">
        <f>Result_notebook_retravaill!G334</f>
        <v>1182.9561420443069</v>
      </c>
      <c r="H334" s="32">
        <f>IF(Result_notebook_retravaill!I334&gt;Result_notebook_retravaill!G334,Result_notebook_retravaill!I334/Result_notebook_retravaill!N334,Result_notebook_retravaill!H334)</f>
        <v>54987.69468826583</v>
      </c>
      <c r="I334" s="32">
        <f>Result_notebook_retravaill!K334</f>
        <v>0</v>
      </c>
      <c r="J334" s="32">
        <f>MIN(G334,Result_notebook_retravaill!I334)</f>
        <v>1182.9561420443069</v>
      </c>
      <c r="K334" s="32">
        <f>IF(Result_notebook_retravaill!I334&gt;Result_notebook_retravaill!G334,0,IF(Result_notebook_retravaill!I334+Result_notebook_retravaill!J334&gt;Result_notebook_retravaill!G334,Result_notebook_retravaill!G334-Result_notebook_retravaill!I334,Result_notebook_retravaill!J334))</f>
        <v>0</v>
      </c>
      <c r="L334" s="32">
        <f>IF(Result_notebook_retravaill!I334&gt;Result_notebook_retravaill!G334,0,IF(Result_notebook_retravaill!I334+Result_notebook_retravaill!J334&gt;Result_notebook_retravaill!G334,0,Result_notebook_retravaill!M334))</f>
        <v>0</v>
      </c>
      <c r="M334" s="31">
        <f t="shared" si="5"/>
        <v>0</v>
      </c>
    </row>
    <row r="335" spans="1:13" x14ac:dyDescent="0.35">
      <c r="A335">
        <f>Result_notebook_retravaill!A335</f>
        <v>2028</v>
      </c>
      <c r="B335" t="str">
        <f>Result_notebook_retravaill!B335</f>
        <v>Graphite</v>
      </c>
      <c r="C335" t="str">
        <f>Result_notebook_retravaill!C335</f>
        <v>Canada Net-zero</v>
      </c>
      <c r="D335" t="str">
        <f>Result_notebook_retravaill!D335</f>
        <v>Production potential</v>
      </c>
      <c r="E335" t="str">
        <f>Result_notebook_retravaill!E335</f>
        <v>Current shares</v>
      </c>
      <c r="F335" t="str">
        <f>Result_notebook_retravaill!F335</f>
        <v>Expansion Extractive+Circularity</v>
      </c>
      <c r="G335">
        <f>Result_notebook_retravaill!G335</f>
        <v>1182.9561420443069</v>
      </c>
      <c r="H335" s="32">
        <f>IF(Result_notebook_retravaill!I335&gt;Result_notebook_retravaill!G335,Result_notebook_retravaill!I335/Result_notebook_retravaill!N335,Result_notebook_retravaill!H335)</f>
        <v>54987.69468826583</v>
      </c>
      <c r="I335" s="32">
        <f>Result_notebook_retravaill!K335</f>
        <v>0</v>
      </c>
      <c r="J335" s="32">
        <f>MIN(G335,Result_notebook_retravaill!I335)</f>
        <v>1182.9561420443069</v>
      </c>
      <c r="K335" s="32">
        <f>IF(Result_notebook_retravaill!I335&gt;Result_notebook_retravaill!G335,0,IF(Result_notebook_retravaill!I335+Result_notebook_retravaill!J335&gt;Result_notebook_retravaill!G335,Result_notebook_retravaill!G335-Result_notebook_retravaill!I335,Result_notebook_retravaill!J335))</f>
        <v>0</v>
      </c>
      <c r="L335" s="32">
        <f>IF(Result_notebook_retravaill!I335&gt;Result_notebook_retravaill!G335,0,IF(Result_notebook_retravaill!I335+Result_notebook_retravaill!J335&gt;Result_notebook_retravaill!G335,0,Result_notebook_retravaill!M335))</f>
        <v>0</v>
      </c>
      <c r="M335" s="31">
        <f t="shared" si="5"/>
        <v>0</v>
      </c>
    </row>
    <row r="336" spans="1:13" x14ac:dyDescent="0.35">
      <c r="A336">
        <f>Result_notebook_retravaill!A336</f>
        <v>2028</v>
      </c>
      <c r="B336" t="str">
        <f>Result_notebook_retravaill!B336</f>
        <v>Graphite</v>
      </c>
      <c r="C336" t="str">
        <f>Result_notebook_retravaill!C336</f>
        <v>Canada Net-zero</v>
      </c>
      <c r="D336" t="str">
        <f>Result_notebook_retravaill!D336</f>
        <v>Production potential</v>
      </c>
      <c r="E336" t="str">
        <f>Result_notebook_retravaill!E336</f>
        <v>100% CAN</v>
      </c>
      <c r="F336" t="str">
        <f>Result_notebook_retravaill!F336</f>
        <v>Integrated</v>
      </c>
      <c r="G336">
        <f>Result_notebook_retravaill!G336</f>
        <v>1182.9561420443069</v>
      </c>
      <c r="H336" s="32">
        <f>IF(Result_notebook_retravaill!I336&gt;Result_notebook_retravaill!G336,Result_notebook_retravaill!I336/Result_notebook_retravaill!N336,Result_notebook_retravaill!H336)</f>
        <v>54987.69468826583</v>
      </c>
      <c r="I336" s="32">
        <f>Result_notebook_retravaill!K336</f>
        <v>0</v>
      </c>
      <c r="J336" s="32">
        <f>MIN(G336,Result_notebook_retravaill!I336)</f>
        <v>1182.9561420443069</v>
      </c>
      <c r="K336" s="32">
        <f>IF(Result_notebook_retravaill!I336&gt;Result_notebook_retravaill!G336,0,IF(Result_notebook_retravaill!I336+Result_notebook_retravaill!J336&gt;Result_notebook_retravaill!G336,Result_notebook_retravaill!G336-Result_notebook_retravaill!I336,Result_notebook_retravaill!J336))</f>
        <v>0</v>
      </c>
      <c r="L336" s="32">
        <f>IF(Result_notebook_retravaill!I336&gt;Result_notebook_retravaill!G336,0,IF(Result_notebook_retravaill!I336+Result_notebook_retravaill!J336&gt;Result_notebook_retravaill!G336,0,Result_notebook_retravaill!M336))</f>
        <v>0</v>
      </c>
      <c r="M336" s="31">
        <f t="shared" si="5"/>
        <v>0</v>
      </c>
    </row>
    <row r="337" spans="1:13" x14ac:dyDescent="0.35">
      <c r="A337">
        <f>Result_notebook_retravaill!A337</f>
        <v>2028</v>
      </c>
      <c r="B337" t="str">
        <f>Result_notebook_retravaill!B337</f>
        <v>Graphite</v>
      </c>
      <c r="C337" t="str">
        <f>Result_notebook_retravaill!C337</f>
        <v>Current Measures</v>
      </c>
      <c r="D337" t="str">
        <f>Result_notebook_retravaill!D337</f>
        <v>Existing production</v>
      </c>
      <c r="E337" t="str">
        <f>Result_notebook_retravaill!E337</f>
        <v>Current shares</v>
      </c>
      <c r="F337" t="str">
        <f>Result_notebook_retravaill!F337</f>
        <v>NIMBY</v>
      </c>
      <c r="G337">
        <f>Result_notebook_retravaill!G337</f>
        <v>671.91452613806371</v>
      </c>
      <c r="H337" s="32">
        <f>IF(Result_notebook_retravaill!I337&gt;Result_notebook_retravaill!G337,Result_notebook_retravaill!I337/Result_notebook_retravaill!N337,Result_notebook_retravaill!H337)</f>
        <v>0</v>
      </c>
      <c r="I337" s="32">
        <f>Result_notebook_retravaill!K337</f>
        <v>671.91452613806371</v>
      </c>
      <c r="J337" s="32">
        <f>MIN(G337,Result_notebook_retravaill!I337)</f>
        <v>0</v>
      </c>
      <c r="K337" s="32">
        <f>IF(Result_notebook_retravaill!I337&gt;Result_notebook_retravaill!G337,0,IF(Result_notebook_retravaill!I337+Result_notebook_retravaill!J337&gt;Result_notebook_retravaill!G337,Result_notebook_retravaill!G337-Result_notebook_retravaill!I337,Result_notebook_retravaill!J337))</f>
        <v>0</v>
      </c>
      <c r="L337" s="32">
        <f>IF(Result_notebook_retravaill!I337&gt;Result_notebook_retravaill!G337,0,IF(Result_notebook_retravaill!I337+Result_notebook_retravaill!J337&gt;Result_notebook_retravaill!G337,0,Result_notebook_retravaill!M337))</f>
        <v>671.91452613806371</v>
      </c>
      <c r="M337" s="31">
        <f t="shared" si="5"/>
        <v>0</v>
      </c>
    </row>
    <row r="338" spans="1:13" x14ac:dyDescent="0.35">
      <c r="A338">
        <f>Result_notebook_retravaill!A338</f>
        <v>2028</v>
      </c>
      <c r="B338" t="str">
        <f>Result_notebook_retravaill!B338</f>
        <v>Graphite</v>
      </c>
      <c r="C338" t="str">
        <f>Result_notebook_retravaill!C338</f>
        <v>Current Measures</v>
      </c>
      <c r="D338" t="str">
        <f>Result_notebook_retravaill!D338</f>
        <v>Existing production</v>
      </c>
      <c r="E338" t="str">
        <f>Result_notebook_retravaill!E338</f>
        <v>Current shares</v>
      </c>
      <c r="F338" t="str">
        <f>Result_notebook_retravaill!F338</f>
        <v>Status Quo</v>
      </c>
      <c r="G338">
        <f>Result_notebook_retravaill!G338</f>
        <v>671.91452613806371</v>
      </c>
      <c r="H338" s="32">
        <f>IF(Result_notebook_retravaill!I338&gt;Result_notebook_retravaill!G338,Result_notebook_retravaill!I338/Result_notebook_retravaill!N338,Result_notebook_retravaill!H338)</f>
        <v>0</v>
      </c>
      <c r="I338" s="32">
        <f>Result_notebook_retravaill!K338</f>
        <v>671.91452613806371</v>
      </c>
      <c r="J338" s="32">
        <f>MIN(G338,Result_notebook_retravaill!I338)</f>
        <v>0</v>
      </c>
      <c r="K338" s="32">
        <f>IF(Result_notebook_retravaill!I338&gt;Result_notebook_retravaill!G338,0,IF(Result_notebook_retravaill!I338+Result_notebook_retravaill!J338&gt;Result_notebook_retravaill!G338,Result_notebook_retravaill!G338-Result_notebook_retravaill!I338,Result_notebook_retravaill!J338))</f>
        <v>0</v>
      </c>
      <c r="L338" s="32">
        <f>IF(Result_notebook_retravaill!I338&gt;Result_notebook_retravaill!G338,0,IF(Result_notebook_retravaill!I338+Result_notebook_retravaill!J338&gt;Result_notebook_retravaill!G338,0,Result_notebook_retravaill!M338))</f>
        <v>671.91452613806371</v>
      </c>
      <c r="M338" s="31">
        <f t="shared" si="5"/>
        <v>0</v>
      </c>
    </row>
    <row r="339" spans="1:13" x14ac:dyDescent="0.35">
      <c r="A339">
        <f>Result_notebook_retravaill!A339</f>
        <v>2028</v>
      </c>
      <c r="B339" t="str">
        <f>Result_notebook_retravaill!B339</f>
        <v>Graphite</v>
      </c>
      <c r="C339" t="str">
        <f>Result_notebook_retravaill!C339</f>
        <v>Current Measures</v>
      </c>
      <c r="D339" t="str">
        <f>Result_notebook_retravaill!D339</f>
        <v>Production potential</v>
      </c>
      <c r="E339" t="str">
        <f>Result_notebook_retravaill!E339</f>
        <v>Current shares</v>
      </c>
      <c r="F339" t="str">
        <f>Result_notebook_retravaill!F339</f>
        <v>Expansion Extractive</v>
      </c>
      <c r="G339">
        <f>Result_notebook_retravaill!G339</f>
        <v>671.91452613806371</v>
      </c>
      <c r="H339" s="32">
        <f>IF(Result_notebook_retravaill!I339&gt;Result_notebook_retravaill!G339,Result_notebook_retravaill!I339/Result_notebook_retravaill!N339,Result_notebook_retravaill!H339)</f>
        <v>54987.69468826583</v>
      </c>
      <c r="I339" s="32">
        <f>Result_notebook_retravaill!K339</f>
        <v>0</v>
      </c>
      <c r="J339" s="32">
        <f>MIN(G339,Result_notebook_retravaill!I339)</f>
        <v>671.91452613806371</v>
      </c>
      <c r="K339" s="32">
        <f>IF(Result_notebook_retravaill!I339&gt;Result_notebook_retravaill!G339,0,IF(Result_notebook_retravaill!I339+Result_notebook_retravaill!J339&gt;Result_notebook_retravaill!G339,Result_notebook_retravaill!G339-Result_notebook_retravaill!I339,Result_notebook_retravaill!J339))</f>
        <v>0</v>
      </c>
      <c r="L339" s="32">
        <f>IF(Result_notebook_retravaill!I339&gt;Result_notebook_retravaill!G339,0,IF(Result_notebook_retravaill!I339+Result_notebook_retravaill!J339&gt;Result_notebook_retravaill!G339,0,Result_notebook_retravaill!M339))</f>
        <v>0</v>
      </c>
      <c r="M339" s="31">
        <f t="shared" si="5"/>
        <v>0</v>
      </c>
    </row>
    <row r="340" spans="1:13" x14ac:dyDescent="0.35">
      <c r="A340">
        <f>Result_notebook_retravaill!A340</f>
        <v>2028</v>
      </c>
      <c r="B340" t="str">
        <f>Result_notebook_retravaill!B340</f>
        <v>Graphite</v>
      </c>
      <c r="C340" t="str">
        <f>Result_notebook_retravaill!C340</f>
        <v>Current Measures</v>
      </c>
      <c r="D340" t="str">
        <f>Result_notebook_retravaill!D340</f>
        <v>Production potential</v>
      </c>
      <c r="E340" t="str">
        <f>Result_notebook_retravaill!E340</f>
        <v>Current shares</v>
      </c>
      <c r="F340" t="str">
        <f>Result_notebook_retravaill!F340</f>
        <v>Expansion Extractive+Circularity</v>
      </c>
      <c r="G340">
        <f>Result_notebook_retravaill!G340</f>
        <v>671.91452613806371</v>
      </c>
      <c r="H340" s="32">
        <f>IF(Result_notebook_retravaill!I340&gt;Result_notebook_retravaill!G340,Result_notebook_retravaill!I340/Result_notebook_retravaill!N340,Result_notebook_retravaill!H340)</f>
        <v>54987.69468826583</v>
      </c>
      <c r="I340" s="32">
        <f>Result_notebook_retravaill!K340</f>
        <v>0</v>
      </c>
      <c r="J340" s="32">
        <f>MIN(G340,Result_notebook_retravaill!I340)</f>
        <v>671.91452613806371</v>
      </c>
      <c r="K340" s="32">
        <f>IF(Result_notebook_retravaill!I340&gt;Result_notebook_retravaill!G340,0,IF(Result_notebook_retravaill!I340+Result_notebook_retravaill!J340&gt;Result_notebook_retravaill!G340,Result_notebook_retravaill!G340-Result_notebook_retravaill!I340,Result_notebook_retravaill!J340))</f>
        <v>0</v>
      </c>
      <c r="L340" s="32">
        <f>IF(Result_notebook_retravaill!I340&gt;Result_notebook_retravaill!G340,0,IF(Result_notebook_retravaill!I340+Result_notebook_retravaill!J340&gt;Result_notebook_retravaill!G340,0,Result_notebook_retravaill!M340))</f>
        <v>0</v>
      </c>
      <c r="M340" s="31">
        <f t="shared" si="5"/>
        <v>0</v>
      </c>
    </row>
    <row r="341" spans="1:13" x14ac:dyDescent="0.35">
      <c r="A341">
        <f>Result_notebook_retravaill!A341</f>
        <v>2028</v>
      </c>
      <c r="B341" t="str">
        <f>Result_notebook_retravaill!B341</f>
        <v>Graphite</v>
      </c>
      <c r="C341" t="str">
        <f>Result_notebook_retravaill!C341</f>
        <v>Current Measures</v>
      </c>
      <c r="D341" t="str">
        <f>Result_notebook_retravaill!D341</f>
        <v>Production potential</v>
      </c>
      <c r="E341" t="str">
        <f>Result_notebook_retravaill!E341</f>
        <v>100% CAN</v>
      </c>
      <c r="F341" t="str">
        <f>Result_notebook_retravaill!F341</f>
        <v>Integrated</v>
      </c>
      <c r="G341">
        <f>Result_notebook_retravaill!G341</f>
        <v>671.91452613806371</v>
      </c>
      <c r="H341" s="32">
        <f>IF(Result_notebook_retravaill!I341&gt;Result_notebook_retravaill!G341,Result_notebook_retravaill!I341/Result_notebook_retravaill!N341,Result_notebook_retravaill!H341)</f>
        <v>54987.69468826583</v>
      </c>
      <c r="I341" s="32">
        <f>Result_notebook_retravaill!K341</f>
        <v>0</v>
      </c>
      <c r="J341" s="32">
        <f>MIN(G341,Result_notebook_retravaill!I341)</f>
        <v>671.91452613806371</v>
      </c>
      <c r="K341" s="32">
        <f>IF(Result_notebook_retravaill!I341&gt;Result_notebook_retravaill!G341,0,IF(Result_notebook_retravaill!I341+Result_notebook_retravaill!J341&gt;Result_notebook_retravaill!G341,Result_notebook_retravaill!G341-Result_notebook_retravaill!I341,Result_notebook_retravaill!J341))</f>
        <v>0</v>
      </c>
      <c r="L341" s="32">
        <f>IF(Result_notebook_retravaill!I341&gt;Result_notebook_retravaill!G341,0,IF(Result_notebook_retravaill!I341+Result_notebook_retravaill!J341&gt;Result_notebook_retravaill!G341,0,Result_notebook_retravaill!M341))</f>
        <v>0</v>
      </c>
      <c r="M341" s="31">
        <f t="shared" si="5"/>
        <v>0</v>
      </c>
    </row>
    <row r="342" spans="1:13" x14ac:dyDescent="0.35">
      <c r="A342">
        <f>Result_notebook_retravaill!A342</f>
        <v>2028</v>
      </c>
      <c r="B342" t="str">
        <f>Result_notebook_retravaill!B342</f>
        <v>Graphite</v>
      </c>
      <c r="C342" t="str">
        <f>Result_notebook_retravaill!C342</f>
        <v>Global Net-zero</v>
      </c>
      <c r="D342" t="str">
        <f>Result_notebook_retravaill!D342</f>
        <v>Existing production</v>
      </c>
      <c r="E342" t="str">
        <f>Result_notebook_retravaill!E342</f>
        <v>Current shares</v>
      </c>
      <c r="F342" t="str">
        <f>Result_notebook_retravaill!F342</f>
        <v>NIMBY</v>
      </c>
      <c r="G342">
        <f>Result_notebook_retravaill!G342</f>
        <v>1144.5393976176119</v>
      </c>
      <c r="H342" s="32">
        <f>IF(Result_notebook_retravaill!I342&gt;Result_notebook_retravaill!G342,Result_notebook_retravaill!I342/Result_notebook_retravaill!N342,Result_notebook_retravaill!H342)</f>
        <v>0</v>
      </c>
      <c r="I342" s="32">
        <f>Result_notebook_retravaill!K342</f>
        <v>1144.5393976176119</v>
      </c>
      <c r="J342" s="32">
        <f>MIN(G342,Result_notebook_retravaill!I342)</f>
        <v>0</v>
      </c>
      <c r="K342" s="32">
        <f>IF(Result_notebook_retravaill!I342&gt;Result_notebook_retravaill!G342,0,IF(Result_notebook_retravaill!I342+Result_notebook_retravaill!J342&gt;Result_notebook_retravaill!G342,Result_notebook_retravaill!G342-Result_notebook_retravaill!I342,Result_notebook_retravaill!J342))</f>
        <v>0</v>
      </c>
      <c r="L342" s="32">
        <f>IF(Result_notebook_retravaill!I342&gt;Result_notebook_retravaill!G342,0,IF(Result_notebook_retravaill!I342+Result_notebook_retravaill!J342&gt;Result_notebook_retravaill!G342,0,Result_notebook_retravaill!M342))</f>
        <v>1144.5393976176119</v>
      </c>
      <c r="M342" s="31">
        <f t="shared" si="5"/>
        <v>0</v>
      </c>
    </row>
    <row r="343" spans="1:13" x14ac:dyDescent="0.35">
      <c r="A343">
        <f>Result_notebook_retravaill!A343</f>
        <v>2028</v>
      </c>
      <c r="B343" t="str">
        <f>Result_notebook_retravaill!B343</f>
        <v>Graphite</v>
      </c>
      <c r="C343" t="str">
        <f>Result_notebook_retravaill!C343</f>
        <v>Global Net-zero</v>
      </c>
      <c r="D343" t="str">
        <f>Result_notebook_retravaill!D343</f>
        <v>Existing production</v>
      </c>
      <c r="E343" t="str">
        <f>Result_notebook_retravaill!E343</f>
        <v>Current shares</v>
      </c>
      <c r="F343" t="str">
        <f>Result_notebook_retravaill!F343</f>
        <v>Status Quo</v>
      </c>
      <c r="G343">
        <f>Result_notebook_retravaill!G343</f>
        <v>1144.5393976176119</v>
      </c>
      <c r="H343" s="32">
        <f>IF(Result_notebook_retravaill!I343&gt;Result_notebook_retravaill!G343,Result_notebook_retravaill!I343/Result_notebook_retravaill!N343,Result_notebook_retravaill!H343)</f>
        <v>0</v>
      </c>
      <c r="I343" s="32">
        <f>Result_notebook_retravaill!K343</f>
        <v>1144.5393976176119</v>
      </c>
      <c r="J343" s="32">
        <f>MIN(G343,Result_notebook_retravaill!I343)</f>
        <v>0</v>
      </c>
      <c r="K343" s="32">
        <f>IF(Result_notebook_retravaill!I343&gt;Result_notebook_retravaill!G343,0,IF(Result_notebook_retravaill!I343+Result_notebook_retravaill!J343&gt;Result_notebook_retravaill!G343,Result_notebook_retravaill!G343-Result_notebook_retravaill!I343,Result_notebook_retravaill!J343))</f>
        <v>0</v>
      </c>
      <c r="L343" s="32">
        <f>IF(Result_notebook_retravaill!I343&gt;Result_notebook_retravaill!G343,0,IF(Result_notebook_retravaill!I343+Result_notebook_retravaill!J343&gt;Result_notebook_retravaill!G343,0,Result_notebook_retravaill!M343))</f>
        <v>1144.5393976176119</v>
      </c>
      <c r="M343" s="31">
        <f t="shared" si="5"/>
        <v>0</v>
      </c>
    </row>
    <row r="344" spans="1:13" x14ac:dyDescent="0.35">
      <c r="A344">
        <f>Result_notebook_retravaill!A344</f>
        <v>2028</v>
      </c>
      <c r="B344" t="str">
        <f>Result_notebook_retravaill!B344</f>
        <v>Graphite</v>
      </c>
      <c r="C344" t="str">
        <f>Result_notebook_retravaill!C344</f>
        <v>Global Net-zero</v>
      </c>
      <c r="D344" t="str">
        <f>Result_notebook_retravaill!D344</f>
        <v>Production potential</v>
      </c>
      <c r="E344" t="str">
        <f>Result_notebook_retravaill!E344</f>
        <v>Current shares</v>
      </c>
      <c r="F344" t="str">
        <f>Result_notebook_retravaill!F344</f>
        <v>Expansion Extractive</v>
      </c>
      <c r="G344">
        <f>Result_notebook_retravaill!G344</f>
        <v>1144.5393976176119</v>
      </c>
      <c r="H344" s="32">
        <f>IF(Result_notebook_retravaill!I344&gt;Result_notebook_retravaill!G344,Result_notebook_retravaill!I344/Result_notebook_retravaill!N344,Result_notebook_retravaill!H344)</f>
        <v>54987.69468826583</v>
      </c>
      <c r="I344" s="32">
        <f>Result_notebook_retravaill!K344</f>
        <v>0</v>
      </c>
      <c r="J344" s="32">
        <f>MIN(G344,Result_notebook_retravaill!I344)</f>
        <v>1144.5393976176119</v>
      </c>
      <c r="K344" s="32">
        <f>IF(Result_notebook_retravaill!I344&gt;Result_notebook_retravaill!G344,0,IF(Result_notebook_retravaill!I344+Result_notebook_retravaill!J344&gt;Result_notebook_retravaill!G344,Result_notebook_retravaill!G344-Result_notebook_retravaill!I344,Result_notebook_retravaill!J344))</f>
        <v>0</v>
      </c>
      <c r="L344" s="32">
        <f>IF(Result_notebook_retravaill!I344&gt;Result_notebook_retravaill!G344,0,IF(Result_notebook_retravaill!I344+Result_notebook_retravaill!J344&gt;Result_notebook_retravaill!G344,0,Result_notebook_retravaill!M344))</f>
        <v>0</v>
      </c>
      <c r="M344" s="31">
        <f t="shared" si="5"/>
        <v>0</v>
      </c>
    </row>
    <row r="345" spans="1:13" x14ac:dyDescent="0.35">
      <c r="A345">
        <f>Result_notebook_retravaill!A345</f>
        <v>2028</v>
      </c>
      <c r="B345" t="str">
        <f>Result_notebook_retravaill!B345</f>
        <v>Graphite</v>
      </c>
      <c r="C345" t="str">
        <f>Result_notebook_retravaill!C345</f>
        <v>Global Net-zero</v>
      </c>
      <c r="D345" t="str">
        <f>Result_notebook_retravaill!D345</f>
        <v>Production potential</v>
      </c>
      <c r="E345" t="str">
        <f>Result_notebook_retravaill!E345</f>
        <v>Current shares</v>
      </c>
      <c r="F345" t="str">
        <f>Result_notebook_retravaill!F345</f>
        <v>Expansion Extractive+Circularity</v>
      </c>
      <c r="G345">
        <f>Result_notebook_retravaill!G345</f>
        <v>1144.5393976176119</v>
      </c>
      <c r="H345" s="32">
        <f>IF(Result_notebook_retravaill!I345&gt;Result_notebook_retravaill!G345,Result_notebook_retravaill!I345/Result_notebook_retravaill!N345,Result_notebook_retravaill!H345)</f>
        <v>54987.69468826583</v>
      </c>
      <c r="I345" s="32">
        <f>Result_notebook_retravaill!K345</f>
        <v>0</v>
      </c>
      <c r="J345" s="32">
        <f>MIN(G345,Result_notebook_retravaill!I345)</f>
        <v>1144.5393976176119</v>
      </c>
      <c r="K345" s="32">
        <f>IF(Result_notebook_retravaill!I345&gt;Result_notebook_retravaill!G345,0,IF(Result_notebook_retravaill!I345+Result_notebook_retravaill!J345&gt;Result_notebook_retravaill!G345,Result_notebook_retravaill!G345-Result_notebook_retravaill!I345,Result_notebook_retravaill!J345))</f>
        <v>0</v>
      </c>
      <c r="L345" s="32">
        <f>IF(Result_notebook_retravaill!I345&gt;Result_notebook_retravaill!G345,0,IF(Result_notebook_retravaill!I345+Result_notebook_retravaill!J345&gt;Result_notebook_retravaill!G345,0,Result_notebook_retravaill!M345))</f>
        <v>0</v>
      </c>
      <c r="M345" s="31">
        <f t="shared" si="5"/>
        <v>0</v>
      </c>
    </row>
    <row r="346" spans="1:13" x14ac:dyDescent="0.35">
      <c r="A346">
        <f>Result_notebook_retravaill!A346</f>
        <v>2028</v>
      </c>
      <c r="B346" t="str">
        <f>Result_notebook_retravaill!B346</f>
        <v>Graphite</v>
      </c>
      <c r="C346" t="str">
        <f>Result_notebook_retravaill!C346</f>
        <v>Global Net-zero</v>
      </c>
      <c r="D346" t="str">
        <f>Result_notebook_retravaill!D346</f>
        <v>Production potential</v>
      </c>
      <c r="E346" t="str">
        <f>Result_notebook_retravaill!E346</f>
        <v>100% CAN</v>
      </c>
      <c r="F346" t="str">
        <f>Result_notebook_retravaill!F346</f>
        <v>Integrated</v>
      </c>
      <c r="G346">
        <f>Result_notebook_retravaill!G346</f>
        <v>1144.5393976176119</v>
      </c>
      <c r="H346" s="32">
        <f>IF(Result_notebook_retravaill!I346&gt;Result_notebook_retravaill!G346,Result_notebook_retravaill!I346/Result_notebook_retravaill!N346,Result_notebook_retravaill!H346)</f>
        <v>54987.69468826583</v>
      </c>
      <c r="I346" s="32">
        <f>Result_notebook_retravaill!K346</f>
        <v>0</v>
      </c>
      <c r="J346" s="32">
        <f>MIN(G346,Result_notebook_retravaill!I346)</f>
        <v>1144.5393976176119</v>
      </c>
      <c r="K346" s="32">
        <f>IF(Result_notebook_retravaill!I346&gt;Result_notebook_retravaill!G346,0,IF(Result_notebook_retravaill!I346+Result_notebook_retravaill!J346&gt;Result_notebook_retravaill!G346,Result_notebook_retravaill!G346-Result_notebook_retravaill!I346,Result_notebook_retravaill!J346))</f>
        <v>0</v>
      </c>
      <c r="L346" s="32">
        <f>IF(Result_notebook_retravaill!I346&gt;Result_notebook_retravaill!G346,0,IF(Result_notebook_retravaill!I346+Result_notebook_retravaill!J346&gt;Result_notebook_retravaill!G346,0,Result_notebook_retravaill!M346))</f>
        <v>0</v>
      </c>
      <c r="M346" s="31">
        <f t="shared" si="5"/>
        <v>0</v>
      </c>
    </row>
    <row r="347" spans="1:13" x14ac:dyDescent="0.35">
      <c r="A347">
        <f>Result_notebook_retravaill!A347</f>
        <v>2028</v>
      </c>
      <c r="B347" t="str">
        <f>Result_notebook_retravaill!B347</f>
        <v>Lithium</v>
      </c>
      <c r="C347" t="str">
        <f>Result_notebook_retravaill!C347</f>
        <v>Canada Net-zero</v>
      </c>
      <c r="D347" t="str">
        <f>Result_notebook_retravaill!D347</f>
        <v>Existing production</v>
      </c>
      <c r="E347" t="str">
        <f>Result_notebook_retravaill!E347</f>
        <v>Current shares</v>
      </c>
      <c r="F347" t="str">
        <f>Result_notebook_retravaill!F347</f>
        <v>NIMBY</v>
      </c>
      <c r="G347">
        <f>Result_notebook_retravaill!G347</f>
        <v>18935.44383590906</v>
      </c>
      <c r="H347" s="32">
        <f>IF(Result_notebook_retravaill!I347&gt;Result_notebook_retravaill!G347,Result_notebook_retravaill!I347/Result_notebook_retravaill!N347,Result_notebook_retravaill!H347)</f>
        <v>0</v>
      </c>
      <c r="I347" s="32">
        <f>Result_notebook_retravaill!K347</f>
        <v>27050.634051298661</v>
      </c>
      <c r="J347" s="32">
        <f>MIN(G347,Result_notebook_retravaill!I347)</f>
        <v>0</v>
      </c>
      <c r="K347" s="32">
        <f>IF(Result_notebook_retravaill!I347&gt;Result_notebook_retravaill!G347,0,IF(Result_notebook_retravaill!I347+Result_notebook_retravaill!J347&gt;Result_notebook_retravaill!G347,Result_notebook_retravaill!G347-Result_notebook_retravaill!I347,Result_notebook_retravaill!J347))</f>
        <v>0</v>
      </c>
      <c r="L347" s="32">
        <f>IF(Result_notebook_retravaill!I347&gt;Result_notebook_retravaill!G347,0,IF(Result_notebook_retravaill!I347+Result_notebook_retravaill!J347&gt;Result_notebook_retravaill!G347,0,Result_notebook_retravaill!M347))</f>
        <v>18935.44383590906</v>
      </c>
      <c r="M347" s="31">
        <f t="shared" si="5"/>
        <v>0</v>
      </c>
    </row>
    <row r="348" spans="1:13" x14ac:dyDescent="0.35">
      <c r="A348">
        <f>Result_notebook_retravaill!A348</f>
        <v>2028</v>
      </c>
      <c r="B348" t="str">
        <f>Result_notebook_retravaill!B348</f>
        <v>Lithium</v>
      </c>
      <c r="C348" t="str">
        <f>Result_notebook_retravaill!C348</f>
        <v>Canada Net-zero</v>
      </c>
      <c r="D348" t="str">
        <f>Result_notebook_retravaill!D348</f>
        <v>Existing production</v>
      </c>
      <c r="E348" t="str">
        <f>Result_notebook_retravaill!E348</f>
        <v>Current shares</v>
      </c>
      <c r="F348" t="str">
        <f>Result_notebook_retravaill!F348</f>
        <v>Status Quo</v>
      </c>
      <c r="G348">
        <f>Result_notebook_retravaill!G348</f>
        <v>18935.44383590906</v>
      </c>
      <c r="H348" s="32">
        <f>IF(Result_notebook_retravaill!I348&gt;Result_notebook_retravaill!G348,Result_notebook_retravaill!I348/Result_notebook_retravaill!N348,Result_notebook_retravaill!H348)</f>
        <v>35770.170624963372</v>
      </c>
      <c r="I348" s="32">
        <f>Result_notebook_retravaill!K348</f>
        <v>0</v>
      </c>
      <c r="J348" s="32">
        <f>MIN(G348,Result_notebook_retravaill!I348)</f>
        <v>18935.44383590906</v>
      </c>
      <c r="K348" s="32">
        <f>IF(Result_notebook_retravaill!I348&gt;Result_notebook_retravaill!G348,0,IF(Result_notebook_retravaill!I348+Result_notebook_retravaill!J348&gt;Result_notebook_retravaill!G348,Result_notebook_retravaill!G348-Result_notebook_retravaill!I348,Result_notebook_retravaill!J348))</f>
        <v>0</v>
      </c>
      <c r="L348" s="32">
        <f>IF(Result_notebook_retravaill!I348&gt;Result_notebook_retravaill!G348,0,IF(Result_notebook_retravaill!I348+Result_notebook_retravaill!J348&gt;Result_notebook_retravaill!G348,0,Result_notebook_retravaill!M348))</f>
        <v>0</v>
      </c>
      <c r="M348" s="31">
        <f t="shared" si="5"/>
        <v>0</v>
      </c>
    </row>
    <row r="349" spans="1:13" x14ac:dyDescent="0.35">
      <c r="A349">
        <f>Result_notebook_retravaill!A349</f>
        <v>2028</v>
      </c>
      <c r="B349" t="str">
        <f>Result_notebook_retravaill!B349</f>
        <v>Lithium</v>
      </c>
      <c r="C349" t="str">
        <f>Result_notebook_retravaill!C349</f>
        <v>Canada Net-zero</v>
      </c>
      <c r="D349" t="str">
        <f>Result_notebook_retravaill!D349</f>
        <v>Production potential</v>
      </c>
      <c r="E349" t="str">
        <f>Result_notebook_retravaill!E349</f>
        <v>Current shares</v>
      </c>
      <c r="F349" t="str">
        <f>Result_notebook_retravaill!F349</f>
        <v>Expansion Extractive</v>
      </c>
      <c r="G349">
        <f>Result_notebook_retravaill!G349</f>
        <v>18935.44383590906</v>
      </c>
      <c r="H349" s="32">
        <f>IF(Result_notebook_retravaill!I349&gt;Result_notebook_retravaill!G349,Result_notebook_retravaill!I349/Result_notebook_retravaill!N349,Result_notebook_retravaill!H349)</f>
        <v>144335.1064821099</v>
      </c>
      <c r="I349" s="32">
        <f>Result_notebook_retravaill!K349</f>
        <v>0</v>
      </c>
      <c r="J349" s="32">
        <f>MIN(G349,Result_notebook_retravaill!I349)</f>
        <v>18935.44383590906</v>
      </c>
      <c r="K349" s="32">
        <f>IF(Result_notebook_retravaill!I349&gt;Result_notebook_retravaill!G349,0,IF(Result_notebook_retravaill!I349+Result_notebook_retravaill!J349&gt;Result_notebook_retravaill!G349,Result_notebook_retravaill!G349-Result_notebook_retravaill!I349,Result_notebook_retravaill!J349))</f>
        <v>0</v>
      </c>
      <c r="L349" s="32">
        <f>IF(Result_notebook_retravaill!I349&gt;Result_notebook_retravaill!G349,0,IF(Result_notebook_retravaill!I349+Result_notebook_retravaill!J349&gt;Result_notebook_retravaill!G349,0,Result_notebook_retravaill!M349))</f>
        <v>0</v>
      </c>
      <c r="M349" s="31">
        <f t="shared" si="5"/>
        <v>0</v>
      </c>
    </row>
    <row r="350" spans="1:13" x14ac:dyDescent="0.35">
      <c r="A350">
        <f>Result_notebook_retravaill!A350</f>
        <v>2028</v>
      </c>
      <c r="B350" t="str">
        <f>Result_notebook_retravaill!B350</f>
        <v>Lithium</v>
      </c>
      <c r="C350" t="str">
        <f>Result_notebook_retravaill!C350</f>
        <v>Canada Net-zero</v>
      </c>
      <c r="D350" t="str">
        <f>Result_notebook_retravaill!D350</f>
        <v>Production potential</v>
      </c>
      <c r="E350" t="str">
        <f>Result_notebook_retravaill!E350</f>
        <v>Current shares</v>
      </c>
      <c r="F350" t="str">
        <f>Result_notebook_retravaill!F350</f>
        <v>Expansion Extractive+Circularity</v>
      </c>
      <c r="G350">
        <f>Result_notebook_retravaill!G350</f>
        <v>18935.44383590906</v>
      </c>
      <c r="H350" s="32">
        <f>IF(Result_notebook_retravaill!I350&gt;Result_notebook_retravaill!G350,Result_notebook_retravaill!I350/Result_notebook_retravaill!N350,Result_notebook_retravaill!H350)</f>
        <v>144335.1064821099</v>
      </c>
      <c r="I350" s="32">
        <f>Result_notebook_retravaill!K350</f>
        <v>0</v>
      </c>
      <c r="J350" s="32">
        <f>MIN(G350,Result_notebook_retravaill!I350)</f>
        <v>18935.44383590906</v>
      </c>
      <c r="K350" s="32">
        <f>IF(Result_notebook_retravaill!I350&gt;Result_notebook_retravaill!G350,0,IF(Result_notebook_retravaill!I350+Result_notebook_retravaill!J350&gt;Result_notebook_retravaill!G350,Result_notebook_retravaill!G350-Result_notebook_retravaill!I350,Result_notebook_retravaill!J350))</f>
        <v>0</v>
      </c>
      <c r="L350" s="32">
        <f>IF(Result_notebook_retravaill!I350&gt;Result_notebook_retravaill!G350,0,IF(Result_notebook_retravaill!I350+Result_notebook_retravaill!J350&gt;Result_notebook_retravaill!G350,0,Result_notebook_retravaill!M350))</f>
        <v>0</v>
      </c>
      <c r="M350" s="31">
        <f t="shared" si="5"/>
        <v>0</v>
      </c>
    </row>
    <row r="351" spans="1:13" x14ac:dyDescent="0.35">
      <c r="A351">
        <f>Result_notebook_retravaill!A351</f>
        <v>2028</v>
      </c>
      <c r="B351" t="str">
        <f>Result_notebook_retravaill!B351</f>
        <v>Lithium</v>
      </c>
      <c r="C351" t="str">
        <f>Result_notebook_retravaill!C351</f>
        <v>Canada Net-zero</v>
      </c>
      <c r="D351" t="str">
        <f>Result_notebook_retravaill!D351</f>
        <v>Production potential</v>
      </c>
      <c r="E351" t="str">
        <f>Result_notebook_retravaill!E351</f>
        <v>100% CAN</v>
      </c>
      <c r="F351" t="str">
        <f>Result_notebook_retravaill!F351</f>
        <v>Integrated</v>
      </c>
      <c r="G351">
        <f>Result_notebook_retravaill!G351</f>
        <v>18935.44383590906</v>
      </c>
      <c r="H351" s="32">
        <f>IF(Result_notebook_retravaill!I351&gt;Result_notebook_retravaill!G351,Result_notebook_retravaill!I351/Result_notebook_retravaill!N351,Result_notebook_retravaill!H351)</f>
        <v>144335.1064821099</v>
      </c>
      <c r="I351" s="32">
        <f>Result_notebook_retravaill!K351</f>
        <v>0</v>
      </c>
      <c r="J351" s="32">
        <f>MIN(G351,Result_notebook_retravaill!I351)</f>
        <v>18935.44383590906</v>
      </c>
      <c r="K351" s="32">
        <f>IF(Result_notebook_retravaill!I351&gt;Result_notebook_retravaill!G351,0,IF(Result_notebook_retravaill!I351+Result_notebook_retravaill!J351&gt;Result_notebook_retravaill!G351,Result_notebook_retravaill!G351-Result_notebook_retravaill!I351,Result_notebook_retravaill!J351))</f>
        <v>0</v>
      </c>
      <c r="L351" s="32">
        <f>IF(Result_notebook_retravaill!I351&gt;Result_notebook_retravaill!G351,0,IF(Result_notebook_retravaill!I351+Result_notebook_retravaill!J351&gt;Result_notebook_retravaill!G351,0,Result_notebook_retravaill!M351))</f>
        <v>0</v>
      </c>
      <c r="M351" s="31">
        <f t="shared" si="5"/>
        <v>0</v>
      </c>
    </row>
    <row r="352" spans="1:13" x14ac:dyDescent="0.35">
      <c r="A352">
        <f>Result_notebook_retravaill!A352</f>
        <v>2028</v>
      </c>
      <c r="B352" t="str">
        <f>Result_notebook_retravaill!B352</f>
        <v>Lithium</v>
      </c>
      <c r="C352" t="str">
        <f>Result_notebook_retravaill!C352</f>
        <v>Current Measures</v>
      </c>
      <c r="D352" t="str">
        <f>Result_notebook_retravaill!D352</f>
        <v>Existing production</v>
      </c>
      <c r="E352" t="str">
        <f>Result_notebook_retravaill!E352</f>
        <v>Current shares</v>
      </c>
      <c r="F352" t="str">
        <f>Result_notebook_retravaill!F352</f>
        <v>NIMBY</v>
      </c>
      <c r="G352">
        <f>Result_notebook_retravaill!G352</f>
        <v>10755.25906669006</v>
      </c>
      <c r="H352" s="32">
        <f>IF(Result_notebook_retravaill!I352&gt;Result_notebook_retravaill!G352,Result_notebook_retravaill!I352/Result_notebook_retravaill!N352,Result_notebook_retravaill!H352)</f>
        <v>0</v>
      </c>
      <c r="I352" s="32">
        <f>Result_notebook_retravaill!K352</f>
        <v>15364.655809557231</v>
      </c>
      <c r="J352" s="32">
        <f>MIN(G352,Result_notebook_retravaill!I352)</f>
        <v>0</v>
      </c>
      <c r="K352" s="32">
        <f>IF(Result_notebook_retravaill!I352&gt;Result_notebook_retravaill!G352,0,IF(Result_notebook_retravaill!I352+Result_notebook_retravaill!J352&gt;Result_notebook_retravaill!G352,Result_notebook_retravaill!G352-Result_notebook_retravaill!I352,Result_notebook_retravaill!J352))</f>
        <v>0</v>
      </c>
      <c r="L352" s="32">
        <f>IF(Result_notebook_retravaill!I352&gt;Result_notebook_retravaill!G352,0,IF(Result_notebook_retravaill!I352+Result_notebook_retravaill!J352&gt;Result_notebook_retravaill!G352,0,Result_notebook_retravaill!M352))</f>
        <v>10755.25906669006</v>
      </c>
      <c r="M352" s="31">
        <f t="shared" si="5"/>
        <v>0</v>
      </c>
    </row>
    <row r="353" spans="1:13" x14ac:dyDescent="0.35">
      <c r="A353">
        <f>Result_notebook_retravaill!A353</f>
        <v>2028</v>
      </c>
      <c r="B353" t="str">
        <f>Result_notebook_retravaill!B353</f>
        <v>Lithium</v>
      </c>
      <c r="C353" t="str">
        <f>Result_notebook_retravaill!C353</f>
        <v>Current Measures</v>
      </c>
      <c r="D353" t="str">
        <f>Result_notebook_retravaill!D353</f>
        <v>Existing production</v>
      </c>
      <c r="E353" t="str">
        <f>Result_notebook_retravaill!E353</f>
        <v>Current shares</v>
      </c>
      <c r="F353" t="str">
        <f>Result_notebook_retravaill!F353</f>
        <v>Status Quo</v>
      </c>
      <c r="G353">
        <f>Result_notebook_retravaill!G353</f>
        <v>10755.25906669006</v>
      </c>
      <c r="H353" s="32">
        <f>IF(Result_notebook_retravaill!I353&gt;Result_notebook_retravaill!G353,Result_notebook_retravaill!I353/Result_notebook_retravaill!N353,Result_notebook_retravaill!H353)</f>
        <v>35770.170624963372</v>
      </c>
      <c r="I353" s="32">
        <f>Result_notebook_retravaill!K353</f>
        <v>0</v>
      </c>
      <c r="J353" s="32">
        <f>MIN(G353,Result_notebook_retravaill!I353)</f>
        <v>10755.25906669006</v>
      </c>
      <c r="K353" s="32">
        <f>IF(Result_notebook_retravaill!I353&gt;Result_notebook_retravaill!G353,0,IF(Result_notebook_retravaill!I353+Result_notebook_retravaill!J353&gt;Result_notebook_retravaill!G353,Result_notebook_retravaill!G353-Result_notebook_retravaill!I353,Result_notebook_retravaill!J353))</f>
        <v>0</v>
      </c>
      <c r="L353" s="32">
        <f>IF(Result_notebook_retravaill!I353&gt;Result_notebook_retravaill!G353,0,IF(Result_notebook_retravaill!I353+Result_notebook_retravaill!J353&gt;Result_notebook_retravaill!G353,0,Result_notebook_retravaill!M353))</f>
        <v>0</v>
      </c>
      <c r="M353" s="31">
        <f t="shared" si="5"/>
        <v>0</v>
      </c>
    </row>
    <row r="354" spans="1:13" x14ac:dyDescent="0.35">
      <c r="A354">
        <f>Result_notebook_retravaill!A354</f>
        <v>2028</v>
      </c>
      <c r="B354" t="str">
        <f>Result_notebook_retravaill!B354</f>
        <v>Lithium</v>
      </c>
      <c r="C354" t="str">
        <f>Result_notebook_retravaill!C354</f>
        <v>Current Measures</v>
      </c>
      <c r="D354" t="str">
        <f>Result_notebook_retravaill!D354</f>
        <v>Production potential</v>
      </c>
      <c r="E354" t="str">
        <f>Result_notebook_retravaill!E354</f>
        <v>Current shares</v>
      </c>
      <c r="F354" t="str">
        <f>Result_notebook_retravaill!F354</f>
        <v>Expansion Extractive</v>
      </c>
      <c r="G354">
        <f>Result_notebook_retravaill!G354</f>
        <v>10755.25906669006</v>
      </c>
      <c r="H354" s="32">
        <f>IF(Result_notebook_retravaill!I354&gt;Result_notebook_retravaill!G354,Result_notebook_retravaill!I354/Result_notebook_retravaill!N354,Result_notebook_retravaill!H354)</f>
        <v>144335.1064821099</v>
      </c>
      <c r="I354" s="32">
        <f>Result_notebook_retravaill!K354</f>
        <v>0</v>
      </c>
      <c r="J354" s="32">
        <f>MIN(G354,Result_notebook_retravaill!I354)</f>
        <v>10755.25906669006</v>
      </c>
      <c r="K354" s="32">
        <f>IF(Result_notebook_retravaill!I354&gt;Result_notebook_retravaill!G354,0,IF(Result_notebook_retravaill!I354+Result_notebook_retravaill!J354&gt;Result_notebook_retravaill!G354,Result_notebook_retravaill!G354-Result_notebook_retravaill!I354,Result_notebook_retravaill!J354))</f>
        <v>0</v>
      </c>
      <c r="L354" s="32">
        <f>IF(Result_notebook_retravaill!I354&gt;Result_notebook_retravaill!G354,0,IF(Result_notebook_retravaill!I354+Result_notebook_retravaill!J354&gt;Result_notebook_retravaill!G354,0,Result_notebook_retravaill!M354))</f>
        <v>0</v>
      </c>
      <c r="M354" s="31">
        <f t="shared" si="5"/>
        <v>0</v>
      </c>
    </row>
    <row r="355" spans="1:13" x14ac:dyDescent="0.35">
      <c r="A355">
        <f>Result_notebook_retravaill!A355</f>
        <v>2028</v>
      </c>
      <c r="B355" t="str">
        <f>Result_notebook_retravaill!B355</f>
        <v>Lithium</v>
      </c>
      <c r="C355" t="str">
        <f>Result_notebook_retravaill!C355</f>
        <v>Current Measures</v>
      </c>
      <c r="D355" t="str">
        <f>Result_notebook_retravaill!D355</f>
        <v>Production potential</v>
      </c>
      <c r="E355" t="str">
        <f>Result_notebook_retravaill!E355</f>
        <v>Current shares</v>
      </c>
      <c r="F355" t="str">
        <f>Result_notebook_retravaill!F355</f>
        <v>Expansion Extractive+Circularity</v>
      </c>
      <c r="G355">
        <f>Result_notebook_retravaill!G355</f>
        <v>10755.25906669006</v>
      </c>
      <c r="H355" s="32">
        <f>IF(Result_notebook_retravaill!I355&gt;Result_notebook_retravaill!G355,Result_notebook_retravaill!I355/Result_notebook_retravaill!N355,Result_notebook_retravaill!H355)</f>
        <v>144335.1064821099</v>
      </c>
      <c r="I355" s="32">
        <f>Result_notebook_retravaill!K355</f>
        <v>0</v>
      </c>
      <c r="J355" s="32">
        <f>MIN(G355,Result_notebook_retravaill!I355)</f>
        <v>10755.25906669006</v>
      </c>
      <c r="K355" s="32">
        <f>IF(Result_notebook_retravaill!I355&gt;Result_notebook_retravaill!G355,0,IF(Result_notebook_retravaill!I355+Result_notebook_retravaill!J355&gt;Result_notebook_retravaill!G355,Result_notebook_retravaill!G355-Result_notebook_retravaill!I355,Result_notebook_retravaill!J355))</f>
        <v>0</v>
      </c>
      <c r="L355" s="32">
        <f>IF(Result_notebook_retravaill!I355&gt;Result_notebook_retravaill!G355,0,IF(Result_notebook_retravaill!I355+Result_notebook_retravaill!J355&gt;Result_notebook_retravaill!G355,0,Result_notebook_retravaill!M355))</f>
        <v>0</v>
      </c>
      <c r="M355" s="31">
        <f t="shared" si="5"/>
        <v>0</v>
      </c>
    </row>
    <row r="356" spans="1:13" x14ac:dyDescent="0.35">
      <c r="A356">
        <f>Result_notebook_retravaill!A356</f>
        <v>2028</v>
      </c>
      <c r="B356" t="str">
        <f>Result_notebook_retravaill!B356</f>
        <v>Lithium</v>
      </c>
      <c r="C356" t="str">
        <f>Result_notebook_retravaill!C356</f>
        <v>Current Measures</v>
      </c>
      <c r="D356" t="str">
        <f>Result_notebook_retravaill!D356</f>
        <v>Production potential</v>
      </c>
      <c r="E356" t="str">
        <f>Result_notebook_retravaill!E356</f>
        <v>100% CAN</v>
      </c>
      <c r="F356" t="str">
        <f>Result_notebook_retravaill!F356</f>
        <v>Integrated</v>
      </c>
      <c r="G356">
        <f>Result_notebook_retravaill!G356</f>
        <v>10755.25906669006</v>
      </c>
      <c r="H356" s="32">
        <f>IF(Result_notebook_retravaill!I356&gt;Result_notebook_retravaill!G356,Result_notebook_retravaill!I356/Result_notebook_retravaill!N356,Result_notebook_retravaill!H356)</f>
        <v>144335.1064821099</v>
      </c>
      <c r="I356" s="32">
        <f>Result_notebook_retravaill!K356</f>
        <v>0</v>
      </c>
      <c r="J356" s="32">
        <f>MIN(G356,Result_notebook_retravaill!I356)</f>
        <v>10755.25906669006</v>
      </c>
      <c r="K356" s="32">
        <f>IF(Result_notebook_retravaill!I356&gt;Result_notebook_retravaill!G356,0,IF(Result_notebook_retravaill!I356+Result_notebook_retravaill!J356&gt;Result_notebook_retravaill!G356,Result_notebook_retravaill!G356-Result_notebook_retravaill!I356,Result_notebook_retravaill!J356))</f>
        <v>0</v>
      </c>
      <c r="L356" s="32">
        <f>IF(Result_notebook_retravaill!I356&gt;Result_notebook_retravaill!G356,0,IF(Result_notebook_retravaill!I356+Result_notebook_retravaill!J356&gt;Result_notebook_retravaill!G356,0,Result_notebook_retravaill!M356))</f>
        <v>0</v>
      </c>
      <c r="M356" s="31">
        <f t="shared" si="5"/>
        <v>0</v>
      </c>
    </row>
    <row r="357" spans="1:13" x14ac:dyDescent="0.35">
      <c r="A357">
        <f>Result_notebook_retravaill!A357</f>
        <v>2028</v>
      </c>
      <c r="B357" t="str">
        <f>Result_notebook_retravaill!B357</f>
        <v>Lithium</v>
      </c>
      <c r="C357" t="str">
        <f>Result_notebook_retravaill!C357</f>
        <v>Global Net-zero</v>
      </c>
      <c r="D357" t="str">
        <f>Result_notebook_retravaill!D357</f>
        <v>Existing production</v>
      </c>
      <c r="E357" t="str">
        <f>Result_notebook_retravaill!E357</f>
        <v>Current shares</v>
      </c>
      <c r="F357" t="str">
        <f>Result_notebook_retravaill!F357</f>
        <v>NIMBY</v>
      </c>
      <c r="G357">
        <f>Result_notebook_retravaill!G357</f>
        <v>18320.51139623878</v>
      </c>
      <c r="H357" s="32">
        <f>IF(Result_notebook_retravaill!I357&gt;Result_notebook_retravaill!G357,Result_notebook_retravaill!I357/Result_notebook_retravaill!N357,Result_notebook_retravaill!H357)</f>
        <v>0</v>
      </c>
      <c r="I357" s="32">
        <f>Result_notebook_retravaill!K357</f>
        <v>26172.15913748397</v>
      </c>
      <c r="J357" s="32">
        <f>MIN(G357,Result_notebook_retravaill!I357)</f>
        <v>0</v>
      </c>
      <c r="K357" s="32">
        <f>IF(Result_notebook_retravaill!I357&gt;Result_notebook_retravaill!G357,0,IF(Result_notebook_retravaill!I357+Result_notebook_retravaill!J357&gt;Result_notebook_retravaill!G357,Result_notebook_retravaill!G357-Result_notebook_retravaill!I357,Result_notebook_retravaill!J357))</f>
        <v>0</v>
      </c>
      <c r="L357" s="32">
        <f>IF(Result_notebook_retravaill!I357&gt;Result_notebook_retravaill!G357,0,IF(Result_notebook_retravaill!I357+Result_notebook_retravaill!J357&gt;Result_notebook_retravaill!G357,0,Result_notebook_retravaill!M357))</f>
        <v>18320.51139623878</v>
      </c>
      <c r="M357" s="31">
        <f t="shared" si="5"/>
        <v>0</v>
      </c>
    </row>
    <row r="358" spans="1:13" x14ac:dyDescent="0.35">
      <c r="A358">
        <f>Result_notebook_retravaill!A358</f>
        <v>2028</v>
      </c>
      <c r="B358" t="str">
        <f>Result_notebook_retravaill!B358</f>
        <v>Lithium</v>
      </c>
      <c r="C358" t="str">
        <f>Result_notebook_retravaill!C358</f>
        <v>Global Net-zero</v>
      </c>
      <c r="D358" t="str">
        <f>Result_notebook_retravaill!D358</f>
        <v>Existing production</v>
      </c>
      <c r="E358" t="str">
        <f>Result_notebook_retravaill!E358</f>
        <v>Current shares</v>
      </c>
      <c r="F358" t="str">
        <f>Result_notebook_retravaill!F358</f>
        <v>Status Quo</v>
      </c>
      <c r="G358">
        <f>Result_notebook_retravaill!G358</f>
        <v>18320.51139623878</v>
      </c>
      <c r="H358" s="32">
        <f>IF(Result_notebook_retravaill!I358&gt;Result_notebook_retravaill!G358,Result_notebook_retravaill!I358/Result_notebook_retravaill!N358,Result_notebook_retravaill!H358)</f>
        <v>35770.170624963372</v>
      </c>
      <c r="I358" s="32">
        <f>Result_notebook_retravaill!K358</f>
        <v>0</v>
      </c>
      <c r="J358" s="32">
        <f>MIN(G358,Result_notebook_retravaill!I358)</f>
        <v>18320.51139623878</v>
      </c>
      <c r="K358" s="32">
        <f>IF(Result_notebook_retravaill!I358&gt;Result_notebook_retravaill!G358,0,IF(Result_notebook_retravaill!I358+Result_notebook_retravaill!J358&gt;Result_notebook_retravaill!G358,Result_notebook_retravaill!G358-Result_notebook_retravaill!I358,Result_notebook_retravaill!J358))</f>
        <v>0</v>
      </c>
      <c r="L358" s="32">
        <f>IF(Result_notebook_retravaill!I358&gt;Result_notebook_retravaill!G358,0,IF(Result_notebook_retravaill!I358+Result_notebook_retravaill!J358&gt;Result_notebook_retravaill!G358,0,Result_notebook_retravaill!M358))</f>
        <v>0</v>
      </c>
      <c r="M358" s="31">
        <f t="shared" si="5"/>
        <v>0</v>
      </c>
    </row>
    <row r="359" spans="1:13" x14ac:dyDescent="0.35">
      <c r="A359">
        <f>Result_notebook_retravaill!A359</f>
        <v>2028</v>
      </c>
      <c r="B359" t="str">
        <f>Result_notebook_retravaill!B359</f>
        <v>Lithium</v>
      </c>
      <c r="C359" t="str">
        <f>Result_notebook_retravaill!C359</f>
        <v>Global Net-zero</v>
      </c>
      <c r="D359" t="str">
        <f>Result_notebook_retravaill!D359</f>
        <v>Production potential</v>
      </c>
      <c r="E359" t="str">
        <f>Result_notebook_retravaill!E359</f>
        <v>Current shares</v>
      </c>
      <c r="F359" t="str">
        <f>Result_notebook_retravaill!F359</f>
        <v>Expansion Extractive</v>
      </c>
      <c r="G359">
        <f>Result_notebook_retravaill!G359</f>
        <v>18320.51139623878</v>
      </c>
      <c r="H359" s="32">
        <f>IF(Result_notebook_retravaill!I359&gt;Result_notebook_retravaill!G359,Result_notebook_retravaill!I359/Result_notebook_retravaill!N359,Result_notebook_retravaill!H359)</f>
        <v>144335.1064821099</v>
      </c>
      <c r="I359" s="32">
        <f>Result_notebook_retravaill!K359</f>
        <v>0</v>
      </c>
      <c r="J359" s="32">
        <f>MIN(G359,Result_notebook_retravaill!I359)</f>
        <v>18320.51139623878</v>
      </c>
      <c r="K359" s="32">
        <f>IF(Result_notebook_retravaill!I359&gt;Result_notebook_retravaill!G359,0,IF(Result_notebook_retravaill!I359+Result_notebook_retravaill!J359&gt;Result_notebook_retravaill!G359,Result_notebook_retravaill!G359-Result_notebook_retravaill!I359,Result_notebook_retravaill!J359))</f>
        <v>0</v>
      </c>
      <c r="L359" s="32">
        <f>IF(Result_notebook_retravaill!I359&gt;Result_notebook_retravaill!G359,0,IF(Result_notebook_retravaill!I359+Result_notebook_retravaill!J359&gt;Result_notebook_retravaill!G359,0,Result_notebook_retravaill!M359))</f>
        <v>0</v>
      </c>
      <c r="M359" s="31">
        <f t="shared" si="5"/>
        <v>0</v>
      </c>
    </row>
    <row r="360" spans="1:13" x14ac:dyDescent="0.35">
      <c r="A360">
        <f>Result_notebook_retravaill!A360</f>
        <v>2028</v>
      </c>
      <c r="B360" t="str">
        <f>Result_notebook_retravaill!B360</f>
        <v>Lithium</v>
      </c>
      <c r="C360" t="str">
        <f>Result_notebook_retravaill!C360</f>
        <v>Global Net-zero</v>
      </c>
      <c r="D360" t="str">
        <f>Result_notebook_retravaill!D360</f>
        <v>Production potential</v>
      </c>
      <c r="E360" t="str">
        <f>Result_notebook_retravaill!E360</f>
        <v>Current shares</v>
      </c>
      <c r="F360" t="str">
        <f>Result_notebook_retravaill!F360</f>
        <v>Expansion Extractive+Circularity</v>
      </c>
      <c r="G360">
        <f>Result_notebook_retravaill!G360</f>
        <v>18320.51139623878</v>
      </c>
      <c r="H360" s="32">
        <f>IF(Result_notebook_retravaill!I360&gt;Result_notebook_retravaill!G360,Result_notebook_retravaill!I360/Result_notebook_retravaill!N360,Result_notebook_retravaill!H360)</f>
        <v>144335.1064821099</v>
      </c>
      <c r="I360" s="32">
        <f>Result_notebook_retravaill!K360</f>
        <v>0</v>
      </c>
      <c r="J360" s="32">
        <f>MIN(G360,Result_notebook_retravaill!I360)</f>
        <v>18320.51139623878</v>
      </c>
      <c r="K360" s="32">
        <f>IF(Result_notebook_retravaill!I360&gt;Result_notebook_retravaill!G360,0,IF(Result_notebook_retravaill!I360+Result_notebook_retravaill!J360&gt;Result_notebook_retravaill!G360,Result_notebook_retravaill!G360-Result_notebook_retravaill!I360,Result_notebook_retravaill!J360))</f>
        <v>0</v>
      </c>
      <c r="L360" s="32">
        <f>IF(Result_notebook_retravaill!I360&gt;Result_notebook_retravaill!G360,0,IF(Result_notebook_retravaill!I360+Result_notebook_retravaill!J360&gt;Result_notebook_retravaill!G360,0,Result_notebook_retravaill!M360))</f>
        <v>0</v>
      </c>
      <c r="M360" s="31">
        <f t="shared" si="5"/>
        <v>0</v>
      </c>
    </row>
    <row r="361" spans="1:13" x14ac:dyDescent="0.35">
      <c r="A361">
        <f>Result_notebook_retravaill!A361</f>
        <v>2028</v>
      </c>
      <c r="B361" t="str">
        <f>Result_notebook_retravaill!B361</f>
        <v>Lithium</v>
      </c>
      <c r="C361" t="str">
        <f>Result_notebook_retravaill!C361</f>
        <v>Global Net-zero</v>
      </c>
      <c r="D361" t="str">
        <f>Result_notebook_retravaill!D361</f>
        <v>Production potential</v>
      </c>
      <c r="E361" t="str">
        <f>Result_notebook_retravaill!E361</f>
        <v>100% CAN</v>
      </c>
      <c r="F361" t="str">
        <f>Result_notebook_retravaill!F361</f>
        <v>Integrated</v>
      </c>
      <c r="G361">
        <f>Result_notebook_retravaill!G361</f>
        <v>18320.51139623878</v>
      </c>
      <c r="H361" s="32">
        <f>IF(Result_notebook_retravaill!I361&gt;Result_notebook_retravaill!G361,Result_notebook_retravaill!I361/Result_notebook_retravaill!N361,Result_notebook_retravaill!H361)</f>
        <v>144335.1064821099</v>
      </c>
      <c r="I361" s="32">
        <f>Result_notebook_retravaill!K361</f>
        <v>0</v>
      </c>
      <c r="J361" s="32">
        <f>MIN(G361,Result_notebook_retravaill!I361)</f>
        <v>18320.51139623878</v>
      </c>
      <c r="K361" s="32">
        <f>IF(Result_notebook_retravaill!I361&gt;Result_notebook_retravaill!G361,0,IF(Result_notebook_retravaill!I361+Result_notebook_retravaill!J361&gt;Result_notebook_retravaill!G361,Result_notebook_retravaill!G361-Result_notebook_retravaill!I361,Result_notebook_retravaill!J361))</f>
        <v>0</v>
      </c>
      <c r="L361" s="32">
        <f>IF(Result_notebook_retravaill!I361&gt;Result_notebook_retravaill!G361,0,IF(Result_notebook_retravaill!I361+Result_notebook_retravaill!J361&gt;Result_notebook_retravaill!G361,0,Result_notebook_retravaill!M361))</f>
        <v>0</v>
      </c>
      <c r="M361" s="31">
        <f t="shared" si="5"/>
        <v>0</v>
      </c>
    </row>
    <row r="362" spans="1:13" x14ac:dyDescent="0.35">
      <c r="A362">
        <f>Result_notebook_retravaill!A362</f>
        <v>2029</v>
      </c>
      <c r="B362" t="str">
        <f>Result_notebook_retravaill!B362</f>
        <v>Cobalt</v>
      </c>
      <c r="C362" t="str">
        <f>Result_notebook_retravaill!C362</f>
        <v>Canada Net-zero</v>
      </c>
      <c r="D362" t="str">
        <f>Result_notebook_retravaill!D362</f>
        <v>Existing production</v>
      </c>
      <c r="E362" t="str">
        <f>Result_notebook_retravaill!E362</f>
        <v>Current shares</v>
      </c>
      <c r="F362" t="str">
        <f>Result_notebook_retravaill!F362</f>
        <v>NIMBY</v>
      </c>
      <c r="G362">
        <f>Result_notebook_retravaill!G362</f>
        <v>45543.6522807039</v>
      </c>
      <c r="H362" s="32">
        <f>IF(Result_notebook_retravaill!I362&gt;Result_notebook_retravaill!G362,Result_notebook_retravaill!I362/Result_notebook_retravaill!N362,Result_notebook_retravaill!H362)</f>
        <v>0</v>
      </c>
      <c r="I362" s="32">
        <f>Result_notebook_retravaill!K362</f>
        <v>103508.3006379634</v>
      </c>
      <c r="J362" s="32">
        <f>MIN(G362,Result_notebook_retravaill!I362)</f>
        <v>0</v>
      </c>
      <c r="K362" s="32">
        <f>IF(Result_notebook_retravaill!I362&gt;Result_notebook_retravaill!G362,0,IF(Result_notebook_retravaill!I362+Result_notebook_retravaill!J362&gt;Result_notebook_retravaill!G362,Result_notebook_retravaill!G362-Result_notebook_retravaill!I362,Result_notebook_retravaill!J362))</f>
        <v>0</v>
      </c>
      <c r="L362" s="32">
        <f>IF(Result_notebook_retravaill!I362&gt;Result_notebook_retravaill!G362,0,IF(Result_notebook_retravaill!I362+Result_notebook_retravaill!J362&gt;Result_notebook_retravaill!G362,0,Result_notebook_retravaill!M362))</f>
        <v>45543.6522807039</v>
      </c>
      <c r="M362" s="31">
        <f t="shared" si="5"/>
        <v>0</v>
      </c>
    </row>
    <row r="363" spans="1:13" x14ac:dyDescent="0.35">
      <c r="A363">
        <f>Result_notebook_retravaill!A363</f>
        <v>2029</v>
      </c>
      <c r="B363" t="str">
        <f>Result_notebook_retravaill!B363</f>
        <v>Cobalt</v>
      </c>
      <c r="C363" t="str">
        <f>Result_notebook_retravaill!C363</f>
        <v>Canada Net-zero</v>
      </c>
      <c r="D363" t="str">
        <f>Result_notebook_retravaill!D363</f>
        <v>Existing production</v>
      </c>
      <c r="E363" t="str">
        <f>Result_notebook_retravaill!E363</f>
        <v>Current shares</v>
      </c>
      <c r="F363" t="str">
        <f>Result_notebook_retravaill!F363</f>
        <v>Status Quo</v>
      </c>
      <c r="G363">
        <f>Result_notebook_retravaill!G363</f>
        <v>45543.6522807039</v>
      </c>
      <c r="H363" s="32">
        <f>IF(Result_notebook_retravaill!I363&gt;Result_notebook_retravaill!G363,Result_notebook_retravaill!I363/Result_notebook_retravaill!N363,Result_notebook_retravaill!H363)</f>
        <v>3861</v>
      </c>
      <c r="I363" s="32">
        <f>Result_notebook_retravaill!K363</f>
        <v>99647.300637963403</v>
      </c>
      <c r="J363" s="32">
        <f>MIN(G363,Result_notebook_retravaill!I363)</f>
        <v>1637.7660393504759</v>
      </c>
      <c r="K363" s="32">
        <f>IF(Result_notebook_retravaill!I363&gt;Result_notebook_retravaill!G363,0,IF(Result_notebook_retravaill!I363+Result_notebook_retravaill!J363&gt;Result_notebook_retravaill!G363,Result_notebook_retravaill!G363-Result_notebook_retravaill!I363,Result_notebook_retravaill!J363))</f>
        <v>58.551050766946219</v>
      </c>
      <c r="L363" s="32">
        <f>IF(Result_notebook_retravaill!I363&gt;Result_notebook_retravaill!G363,0,IF(Result_notebook_retravaill!I363+Result_notebook_retravaill!J363&gt;Result_notebook_retravaill!G363,0,Result_notebook_retravaill!M363))</f>
        <v>43847.335190586477</v>
      </c>
      <c r="M363" s="31">
        <f t="shared" si="5"/>
        <v>0</v>
      </c>
    </row>
    <row r="364" spans="1:13" x14ac:dyDescent="0.35">
      <c r="A364">
        <f>Result_notebook_retravaill!A364</f>
        <v>2029</v>
      </c>
      <c r="B364" t="str">
        <f>Result_notebook_retravaill!B364</f>
        <v>Cobalt</v>
      </c>
      <c r="C364" t="str">
        <f>Result_notebook_retravaill!C364</f>
        <v>Canada Net-zero</v>
      </c>
      <c r="D364" t="str">
        <f>Result_notebook_retravaill!D364</f>
        <v>Production potential</v>
      </c>
      <c r="E364" t="str">
        <f>Result_notebook_retravaill!E364</f>
        <v>Current shares</v>
      </c>
      <c r="F364" t="str">
        <f>Result_notebook_retravaill!F364</f>
        <v>Expansion Extractive</v>
      </c>
      <c r="G364">
        <f>Result_notebook_retravaill!G364</f>
        <v>45543.6522807039</v>
      </c>
      <c r="H364" s="32">
        <f>IF(Result_notebook_retravaill!I364&gt;Result_notebook_retravaill!G364,Result_notebook_retravaill!I364/Result_notebook_retravaill!N364,Result_notebook_retravaill!H364)</f>
        <v>6719.1794773198644</v>
      </c>
      <c r="I364" s="32">
        <f>Result_notebook_retravaill!K364</f>
        <v>96789.121160643539</v>
      </c>
      <c r="J364" s="32">
        <f>MIN(G364,Result_notebook_retravaill!I364)</f>
        <v>2850.1538358599209</v>
      </c>
      <c r="K364" s="32">
        <f>IF(Result_notebook_retravaill!I364&gt;Result_notebook_retravaill!G364,0,IF(Result_notebook_retravaill!I364+Result_notebook_retravaill!J364&gt;Result_notebook_retravaill!G364,Result_notebook_retravaill!G364-Result_notebook_retravaill!I364,Result_notebook_retravaill!J364))</f>
        <v>101.89459173498517</v>
      </c>
      <c r="L364" s="32">
        <f>IF(Result_notebook_retravaill!I364&gt;Result_notebook_retravaill!G364,0,IF(Result_notebook_retravaill!I364+Result_notebook_retravaill!J364&gt;Result_notebook_retravaill!G364,0,Result_notebook_retravaill!M364))</f>
        <v>42591.603853108994</v>
      </c>
      <c r="M364" s="31">
        <f t="shared" si="5"/>
        <v>0</v>
      </c>
    </row>
    <row r="365" spans="1:13" x14ac:dyDescent="0.35">
      <c r="A365">
        <f>Result_notebook_retravaill!A365</f>
        <v>2029</v>
      </c>
      <c r="B365" t="str">
        <f>Result_notebook_retravaill!B365</f>
        <v>Cobalt</v>
      </c>
      <c r="C365" t="str">
        <f>Result_notebook_retravaill!C365</f>
        <v>Canada Net-zero</v>
      </c>
      <c r="D365" t="str">
        <f>Result_notebook_retravaill!D365</f>
        <v>Production potential</v>
      </c>
      <c r="E365" t="str">
        <f>Result_notebook_retravaill!E365</f>
        <v>Current shares</v>
      </c>
      <c r="F365" t="str">
        <f>Result_notebook_retravaill!F365</f>
        <v>Expansion Extractive+Circularity</v>
      </c>
      <c r="G365">
        <f>Result_notebook_retravaill!G365</f>
        <v>45543.6522807039</v>
      </c>
      <c r="H365" s="32">
        <f>IF(Result_notebook_retravaill!I365&gt;Result_notebook_retravaill!G365,Result_notebook_retravaill!I365/Result_notebook_retravaill!N365,Result_notebook_retravaill!H365)</f>
        <v>6719.1794773198644</v>
      </c>
      <c r="I365" s="32">
        <f>Result_notebook_retravaill!K365</f>
        <v>96789.121160643539</v>
      </c>
      <c r="J365" s="32">
        <f>MIN(G365,Result_notebook_retravaill!I365)</f>
        <v>2850.1538358599209</v>
      </c>
      <c r="K365" s="32">
        <f>IF(Result_notebook_retravaill!I365&gt;Result_notebook_retravaill!G365,0,IF(Result_notebook_retravaill!I365+Result_notebook_retravaill!J365&gt;Result_notebook_retravaill!G365,Result_notebook_retravaill!G365-Result_notebook_retravaill!I365,Result_notebook_retravaill!J365))</f>
        <v>101.89459173498517</v>
      </c>
      <c r="L365" s="32">
        <f>IF(Result_notebook_retravaill!I365&gt;Result_notebook_retravaill!G365,0,IF(Result_notebook_retravaill!I365+Result_notebook_retravaill!J365&gt;Result_notebook_retravaill!G365,0,Result_notebook_retravaill!M365))</f>
        <v>42591.603853108994</v>
      </c>
      <c r="M365" s="31">
        <f t="shared" si="5"/>
        <v>0</v>
      </c>
    </row>
    <row r="366" spans="1:13" x14ac:dyDescent="0.35">
      <c r="A366">
        <f>Result_notebook_retravaill!A366</f>
        <v>2029</v>
      </c>
      <c r="B366" t="str">
        <f>Result_notebook_retravaill!B366</f>
        <v>Cobalt</v>
      </c>
      <c r="C366" t="str">
        <f>Result_notebook_retravaill!C366</f>
        <v>Canada Net-zero</v>
      </c>
      <c r="D366" t="str">
        <f>Result_notebook_retravaill!D366</f>
        <v>Production potential</v>
      </c>
      <c r="E366" t="str">
        <f>Result_notebook_retravaill!E366</f>
        <v>100% CAN</v>
      </c>
      <c r="F366" t="str">
        <f>Result_notebook_retravaill!F366</f>
        <v>Integrated</v>
      </c>
      <c r="G366">
        <f>Result_notebook_retravaill!G366</f>
        <v>45543.6522807039</v>
      </c>
      <c r="H366" s="32">
        <f>IF(Result_notebook_retravaill!I366&gt;Result_notebook_retravaill!G366,Result_notebook_retravaill!I366/Result_notebook_retravaill!N366,Result_notebook_retravaill!H366)</f>
        <v>6719.1794773198644</v>
      </c>
      <c r="I366" s="32">
        <f>Result_notebook_retravaill!K366</f>
        <v>96789.121160643539</v>
      </c>
      <c r="J366" s="32">
        <f>MIN(G366,Result_notebook_retravaill!I366)</f>
        <v>2952.0484275949088</v>
      </c>
      <c r="K366" s="32">
        <f>IF(Result_notebook_retravaill!I366&gt;Result_notebook_retravaill!G366,0,IF(Result_notebook_retravaill!I366+Result_notebook_retravaill!J366&gt;Result_notebook_retravaill!G366,Result_notebook_retravaill!G366-Result_notebook_retravaill!I366,Result_notebook_retravaill!J366))</f>
        <v>0</v>
      </c>
      <c r="L366" s="32">
        <f>IF(Result_notebook_retravaill!I366&gt;Result_notebook_retravaill!G366,0,IF(Result_notebook_retravaill!I366+Result_notebook_retravaill!J366&gt;Result_notebook_retravaill!G366,0,Result_notebook_retravaill!M366))</f>
        <v>42591.603853108987</v>
      </c>
      <c r="M366" s="31">
        <f t="shared" si="5"/>
        <v>0</v>
      </c>
    </row>
    <row r="367" spans="1:13" x14ac:dyDescent="0.35">
      <c r="A367">
        <f>Result_notebook_retravaill!A367</f>
        <v>2029</v>
      </c>
      <c r="B367" t="str">
        <f>Result_notebook_retravaill!B367</f>
        <v>Cobalt</v>
      </c>
      <c r="C367" t="str">
        <f>Result_notebook_retravaill!C367</f>
        <v>Current Measures</v>
      </c>
      <c r="D367" t="str">
        <f>Result_notebook_retravaill!D367</f>
        <v>Existing production</v>
      </c>
      <c r="E367" t="str">
        <f>Result_notebook_retravaill!E367</f>
        <v>Current shares</v>
      </c>
      <c r="F367" t="str">
        <f>Result_notebook_retravaill!F367</f>
        <v>NIMBY</v>
      </c>
      <c r="G367">
        <f>Result_notebook_retravaill!G367</f>
        <v>23796.365693498821</v>
      </c>
      <c r="H367" s="32">
        <f>IF(Result_notebook_retravaill!I367&gt;Result_notebook_retravaill!G367,Result_notebook_retravaill!I367/Result_notebook_retravaill!N367,Result_notebook_retravaill!H367)</f>
        <v>0</v>
      </c>
      <c r="I367" s="32">
        <f>Result_notebook_retravaill!K367</f>
        <v>54082.649303406411</v>
      </c>
      <c r="J367" s="32">
        <f>MIN(G367,Result_notebook_retravaill!I367)</f>
        <v>0</v>
      </c>
      <c r="K367" s="32">
        <f>IF(Result_notebook_retravaill!I367&gt;Result_notebook_retravaill!G367,0,IF(Result_notebook_retravaill!I367+Result_notebook_retravaill!J367&gt;Result_notebook_retravaill!G367,Result_notebook_retravaill!G367-Result_notebook_retravaill!I367,Result_notebook_retravaill!J367))</f>
        <v>0</v>
      </c>
      <c r="L367" s="32">
        <f>IF(Result_notebook_retravaill!I367&gt;Result_notebook_retravaill!G367,0,IF(Result_notebook_retravaill!I367+Result_notebook_retravaill!J367&gt;Result_notebook_retravaill!G367,0,Result_notebook_retravaill!M367))</f>
        <v>23796.365693498821</v>
      </c>
      <c r="M367" s="31">
        <f t="shared" si="5"/>
        <v>0</v>
      </c>
    </row>
    <row r="368" spans="1:13" x14ac:dyDescent="0.35">
      <c r="A368">
        <f>Result_notebook_retravaill!A368</f>
        <v>2029</v>
      </c>
      <c r="B368" t="str">
        <f>Result_notebook_retravaill!B368</f>
        <v>Cobalt</v>
      </c>
      <c r="C368" t="str">
        <f>Result_notebook_retravaill!C368</f>
        <v>Current Measures</v>
      </c>
      <c r="D368" t="str">
        <f>Result_notebook_retravaill!D368</f>
        <v>Existing production</v>
      </c>
      <c r="E368" t="str">
        <f>Result_notebook_retravaill!E368</f>
        <v>Current shares</v>
      </c>
      <c r="F368" t="str">
        <f>Result_notebook_retravaill!F368</f>
        <v>Status Quo</v>
      </c>
      <c r="G368">
        <f>Result_notebook_retravaill!G368</f>
        <v>23796.365693498821</v>
      </c>
      <c r="H368" s="32">
        <f>IF(Result_notebook_retravaill!I368&gt;Result_notebook_retravaill!G368,Result_notebook_retravaill!I368/Result_notebook_retravaill!N368,Result_notebook_retravaill!H368)</f>
        <v>3861</v>
      </c>
      <c r="I368" s="32">
        <f>Result_notebook_retravaill!K368</f>
        <v>50221.649303406411</v>
      </c>
      <c r="J368" s="32">
        <f>MIN(G368,Result_notebook_retravaill!I368)</f>
        <v>1637.7660393504759</v>
      </c>
      <c r="K368" s="32">
        <f>IF(Result_notebook_retravaill!I368&gt;Result_notebook_retravaill!G368,0,IF(Result_notebook_retravaill!I368+Result_notebook_retravaill!J368&gt;Result_notebook_retravaill!G368,Result_notebook_retravaill!G368-Result_notebook_retravaill!I368,Result_notebook_retravaill!J368))</f>
        <v>58.551050766946219</v>
      </c>
      <c r="L368" s="32">
        <f>IF(Result_notebook_retravaill!I368&gt;Result_notebook_retravaill!G368,0,IF(Result_notebook_retravaill!I368+Result_notebook_retravaill!J368&gt;Result_notebook_retravaill!G368,0,Result_notebook_retravaill!M368))</f>
        <v>22100.048603381394</v>
      </c>
      <c r="M368" s="31">
        <f t="shared" si="5"/>
        <v>0</v>
      </c>
    </row>
    <row r="369" spans="1:13" x14ac:dyDescent="0.35">
      <c r="A369">
        <f>Result_notebook_retravaill!A369</f>
        <v>2029</v>
      </c>
      <c r="B369" t="str">
        <f>Result_notebook_retravaill!B369</f>
        <v>Cobalt</v>
      </c>
      <c r="C369" t="str">
        <f>Result_notebook_retravaill!C369</f>
        <v>Current Measures</v>
      </c>
      <c r="D369" t="str">
        <f>Result_notebook_retravaill!D369</f>
        <v>Production potential</v>
      </c>
      <c r="E369" t="str">
        <f>Result_notebook_retravaill!E369</f>
        <v>Current shares</v>
      </c>
      <c r="F369" t="str">
        <f>Result_notebook_retravaill!F369</f>
        <v>Expansion Extractive</v>
      </c>
      <c r="G369">
        <f>Result_notebook_retravaill!G369</f>
        <v>23796.365693498821</v>
      </c>
      <c r="H369" s="32">
        <f>IF(Result_notebook_retravaill!I369&gt;Result_notebook_retravaill!G369,Result_notebook_retravaill!I369/Result_notebook_retravaill!N369,Result_notebook_retravaill!H369)</f>
        <v>6719.1794773198644</v>
      </c>
      <c r="I369" s="32">
        <f>Result_notebook_retravaill!K369</f>
        <v>47363.469826086548</v>
      </c>
      <c r="J369" s="32">
        <f>MIN(G369,Result_notebook_retravaill!I369)</f>
        <v>2850.1538358599209</v>
      </c>
      <c r="K369" s="32">
        <f>IF(Result_notebook_retravaill!I369&gt;Result_notebook_retravaill!G369,0,IF(Result_notebook_retravaill!I369+Result_notebook_retravaill!J369&gt;Result_notebook_retravaill!G369,Result_notebook_retravaill!G369-Result_notebook_retravaill!I369,Result_notebook_retravaill!J369))</f>
        <v>101.89459173498517</v>
      </c>
      <c r="L369" s="32">
        <f>IF(Result_notebook_retravaill!I369&gt;Result_notebook_retravaill!G369,0,IF(Result_notebook_retravaill!I369+Result_notebook_retravaill!J369&gt;Result_notebook_retravaill!G369,0,Result_notebook_retravaill!M369))</f>
        <v>20844.317265903916</v>
      </c>
      <c r="M369" s="31">
        <f t="shared" si="5"/>
        <v>0</v>
      </c>
    </row>
    <row r="370" spans="1:13" x14ac:dyDescent="0.35">
      <c r="A370">
        <f>Result_notebook_retravaill!A370</f>
        <v>2029</v>
      </c>
      <c r="B370" t="str">
        <f>Result_notebook_retravaill!B370</f>
        <v>Cobalt</v>
      </c>
      <c r="C370" t="str">
        <f>Result_notebook_retravaill!C370</f>
        <v>Current Measures</v>
      </c>
      <c r="D370" t="str">
        <f>Result_notebook_retravaill!D370</f>
        <v>Production potential</v>
      </c>
      <c r="E370" t="str">
        <f>Result_notebook_retravaill!E370</f>
        <v>Current shares</v>
      </c>
      <c r="F370" t="str">
        <f>Result_notebook_retravaill!F370</f>
        <v>Expansion Extractive+Circularity</v>
      </c>
      <c r="G370">
        <f>Result_notebook_retravaill!G370</f>
        <v>23796.365693498821</v>
      </c>
      <c r="H370" s="32">
        <f>IF(Result_notebook_retravaill!I370&gt;Result_notebook_retravaill!G370,Result_notebook_retravaill!I370/Result_notebook_retravaill!N370,Result_notebook_retravaill!H370)</f>
        <v>6719.1794773198644</v>
      </c>
      <c r="I370" s="32">
        <f>Result_notebook_retravaill!K370</f>
        <v>47363.469826086548</v>
      </c>
      <c r="J370" s="32">
        <f>MIN(G370,Result_notebook_retravaill!I370)</f>
        <v>2850.1538358599209</v>
      </c>
      <c r="K370" s="32">
        <f>IF(Result_notebook_retravaill!I370&gt;Result_notebook_retravaill!G370,0,IF(Result_notebook_retravaill!I370+Result_notebook_retravaill!J370&gt;Result_notebook_retravaill!G370,Result_notebook_retravaill!G370-Result_notebook_retravaill!I370,Result_notebook_retravaill!J370))</f>
        <v>101.89459173498517</v>
      </c>
      <c r="L370" s="32">
        <f>IF(Result_notebook_retravaill!I370&gt;Result_notebook_retravaill!G370,0,IF(Result_notebook_retravaill!I370+Result_notebook_retravaill!J370&gt;Result_notebook_retravaill!G370,0,Result_notebook_retravaill!M370))</f>
        <v>20844.317265903916</v>
      </c>
      <c r="M370" s="31">
        <f t="shared" si="5"/>
        <v>0</v>
      </c>
    </row>
    <row r="371" spans="1:13" x14ac:dyDescent="0.35">
      <c r="A371">
        <f>Result_notebook_retravaill!A371</f>
        <v>2029</v>
      </c>
      <c r="B371" t="str">
        <f>Result_notebook_retravaill!B371</f>
        <v>Cobalt</v>
      </c>
      <c r="C371" t="str">
        <f>Result_notebook_retravaill!C371</f>
        <v>Current Measures</v>
      </c>
      <c r="D371" t="str">
        <f>Result_notebook_retravaill!D371</f>
        <v>Production potential</v>
      </c>
      <c r="E371" t="str">
        <f>Result_notebook_retravaill!E371</f>
        <v>100% CAN</v>
      </c>
      <c r="F371" t="str">
        <f>Result_notebook_retravaill!F371</f>
        <v>Integrated</v>
      </c>
      <c r="G371">
        <f>Result_notebook_retravaill!G371</f>
        <v>23796.365693498821</v>
      </c>
      <c r="H371" s="32">
        <f>IF(Result_notebook_retravaill!I371&gt;Result_notebook_retravaill!G371,Result_notebook_retravaill!I371/Result_notebook_retravaill!N371,Result_notebook_retravaill!H371)</f>
        <v>6719.1794773198644</v>
      </c>
      <c r="I371" s="32">
        <f>Result_notebook_retravaill!K371</f>
        <v>47363.469826086548</v>
      </c>
      <c r="J371" s="32">
        <f>MIN(G371,Result_notebook_retravaill!I371)</f>
        <v>2952.0484275949088</v>
      </c>
      <c r="K371" s="32">
        <f>IF(Result_notebook_retravaill!I371&gt;Result_notebook_retravaill!G371,0,IF(Result_notebook_retravaill!I371+Result_notebook_retravaill!J371&gt;Result_notebook_retravaill!G371,Result_notebook_retravaill!G371-Result_notebook_retravaill!I371,Result_notebook_retravaill!J371))</f>
        <v>0</v>
      </c>
      <c r="L371" s="32">
        <f>IF(Result_notebook_retravaill!I371&gt;Result_notebook_retravaill!G371,0,IF(Result_notebook_retravaill!I371+Result_notebook_retravaill!J371&gt;Result_notebook_retravaill!G371,0,Result_notebook_retravaill!M371))</f>
        <v>20844.317265903908</v>
      </c>
      <c r="M371" s="31">
        <f t="shared" si="5"/>
        <v>0</v>
      </c>
    </row>
    <row r="372" spans="1:13" x14ac:dyDescent="0.35">
      <c r="A372">
        <f>Result_notebook_retravaill!A372</f>
        <v>2029</v>
      </c>
      <c r="B372" t="str">
        <f>Result_notebook_retravaill!B372</f>
        <v>Cobalt</v>
      </c>
      <c r="C372" t="str">
        <f>Result_notebook_retravaill!C372</f>
        <v>Global Net-zero</v>
      </c>
      <c r="D372" t="str">
        <f>Result_notebook_retravaill!D372</f>
        <v>Existing production</v>
      </c>
      <c r="E372" t="str">
        <f>Result_notebook_retravaill!E372</f>
        <v>Current shares</v>
      </c>
      <c r="F372" t="str">
        <f>Result_notebook_retravaill!F372</f>
        <v>NIMBY</v>
      </c>
      <c r="G372">
        <f>Result_notebook_retravaill!G372</f>
        <v>43478.079891306123</v>
      </c>
      <c r="H372" s="32">
        <f>IF(Result_notebook_retravaill!I372&gt;Result_notebook_retravaill!G372,Result_notebook_retravaill!I372/Result_notebook_retravaill!N372,Result_notebook_retravaill!H372)</f>
        <v>0</v>
      </c>
      <c r="I372" s="32">
        <f>Result_notebook_retravaill!K372</f>
        <v>98813.817934786639</v>
      </c>
      <c r="J372" s="32">
        <f>MIN(G372,Result_notebook_retravaill!I372)</f>
        <v>0</v>
      </c>
      <c r="K372" s="32">
        <f>IF(Result_notebook_retravaill!I372&gt;Result_notebook_retravaill!G372,0,IF(Result_notebook_retravaill!I372+Result_notebook_retravaill!J372&gt;Result_notebook_retravaill!G372,Result_notebook_retravaill!G372-Result_notebook_retravaill!I372,Result_notebook_retravaill!J372))</f>
        <v>0</v>
      </c>
      <c r="L372" s="32">
        <f>IF(Result_notebook_retravaill!I372&gt;Result_notebook_retravaill!G372,0,IF(Result_notebook_retravaill!I372+Result_notebook_retravaill!J372&gt;Result_notebook_retravaill!G372,0,Result_notebook_retravaill!M372))</f>
        <v>43478.079891306123</v>
      </c>
      <c r="M372" s="31">
        <f t="shared" si="5"/>
        <v>0</v>
      </c>
    </row>
    <row r="373" spans="1:13" x14ac:dyDescent="0.35">
      <c r="A373">
        <f>Result_notebook_retravaill!A373</f>
        <v>2029</v>
      </c>
      <c r="B373" t="str">
        <f>Result_notebook_retravaill!B373</f>
        <v>Cobalt</v>
      </c>
      <c r="C373" t="str">
        <f>Result_notebook_retravaill!C373</f>
        <v>Global Net-zero</v>
      </c>
      <c r="D373" t="str">
        <f>Result_notebook_retravaill!D373</f>
        <v>Existing production</v>
      </c>
      <c r="E373" t="str">
        <f>Result_notebook_retravaill!E373</f>
        <v>Current shares</v>
      </c>
      <c r="F373" t="str">
        <f>Result_notebook_retravaill!F373</f>
        <v>Status Quo</v>
      </c>
      <c r="G373">
        <f>Result_notebook_retravaill!G373</f>
        <v>43478.079891306123</v>
      </c>
      <c r="H373" s="32">
        <f>IF(Result_notebook_retravaill!I373&gt;Result_notebook_retravaill!G373,Result_notebook_retravaill!I373/Result_notebook_retravaill!N373,Result_notebook_retravaill!H373)</f>
        <v>3861</v>
      </c>
      <c r="I373" s="32">
        <f>Result_notebook_retravaill!K373</f>
        <v>94952.817934786639</v>
      </c>
      <c r="J373" s="32">
        <f>MIN(G373,Result_notebook_retravaill!I373)</f>
        <v>1637.7660393504759</v>
      </c>
      <c r="K373" s="32">
        <f>IF(Result_notebook_retravaill!I373&gt;Result_notebook_retravaill!G373,0,IF(Result_notebook_retravaill!I373+Result_notebook_retravaill!J373&gt;Result_notebook_retravaill!G373,Result_notebook_retravaill!G373-Result_notebook_retravaill!I373,Result_notebook_retravaill!J373))</f>
        <v>58.551050766946219</v>
      </c>
      <c r="L373" s="32">
        <f>IF(Result_notebook_retravaill!I373&gt;Result_notebook_retravaill!G373,0,IF(Result_notebook_retravaill!I373+Result_notebook_retravaill!J373&gt;Result_notebook_retravaill!G373,0,Result_notebook_retravaill!M373))</f>
        <v>41781.762801188706</v>
      </c>
      <c r="M373" s="31">
        <f t="shared" si="5"/>
        <v>0</v>
      </c>
    </row>
    <row r="374" spans="1:13" x14ac:dyDescent="0.35">
      <c r="A374">
        <f>Result_notebook_retravaill!A374</f>
        <v>2029</v>
      </c>
      <c r="B374" t="str">
        <f>Result_notebook_retravaill!B374</f>
        <v>Cobalt</v>
      </c>
      <c r="C374" t="str">
        <f>Result_notebook_retravaill!C374</f>
        <v>Global Net-zero</v>
      </c>
      <c r="D374" t="str">
        <f>Result_notebook_retravaill!D374</f>
        <v>Production potential</v>
      </c>
      <c r="E374" t="str">
        <f>Result_notebook_retravaill!E374</f>
        <v>Current shares</v>
      </c>
      <c r="F374" t="str">
        <f>Result_notebook_retravaill!F374</f>
        <v>Expansion Extractive</v>
      </c>
      <c r="G374">
        <f>Result_notebook_retravaill!G374</f>
        <v>43478.079891306123</v>
      </c>
      <c r="H374" s="32">
        <f>IF(Result_notebook_retravaill!I374&gt;Result_notebook_retravaill!G374,Result_notebook_retravaill!I374/Result_notebook_retravaill!N374,Result_notebook_retravaill!H374)</f>
        <v>6719.1794773198644</v>
      </c>
      <c r="I374" s="32">
        <f>Result_notebook_retravaill!K374</f>
        <v>92094.638457466775</v>
      </c>
      <c r="J374" s="32">
        <f>MIN(G374,Result_notebook_retravaill!I374)</f>
        <v>2850.1538358599209</v>
      </c>
      <c r="K374" s="32">
        <f>IF(Result_notebook_retravaill!I374&gt;Result_notebook_retravaill!G374,0,IF(Result_notebook_retravaill!I374+Result_notebook_retravaill!J374&gt;Result_notebook_retravaill!G374,Result_notebook_retravaill!G374-Result_notebook_retravaill!I374,Result_notebook_retravaill!J374))</f>
        <v>101.89459173498517</v>
      </c>
      <c r="L374" s="32">
        <f>IF(Result_notebook_retravaill!I374&gt;Result_notebook_retravaill!G374,0,IF(Result_notebook_retravaill!I374+Result_notebook_retravaill!J374&gt;Result_notebook_retravaill!G374,0,Result_notebook_retravaill!M374))</f>
        <v>40526.031463711217</v>
      </c>
      <c r="M374" s="31">
        <f t="shared" si="5"/>
        <v>0</v>
      </c>
    </row>
    <row r="375" spans="1:13" x14ac:dyDescent="0.35">
      <c r="A375">
        <f>Result_notebook_retravaill!A375</f>
        <v>2029</v>
      </c>
      <c r="B375" t="str">
        <f>Result_notebook_retravaill!B375</f>
        <v>Cobalt</v>
      </c>
      <c r="C375" t="str">
        <f>Result_notebook_retravaill!C375</f>
        <v>Global Net-zero</v>
      </c>
      <c r="D375" t="str">
        <f>Result_notebook_retravaill!D375</f>
        <v>Production potential</v>
      </c>
      <c r="E375" t="str">
        <f>Result_notebook_retravaill!E375</f>
        <v>Current shares</v>
      </c>
      <c r="F375" t="str">
        <f>Result_notebook_retravaill!F375</f>
        <v>Expansion Extractive+Circularity</v>
      </c>
      <c r="G375">
        <f>Result_notebook_retravaill!G375</f>
        <v>43478.079891306123</v>
      </c>
      <c r="H375" s="32">
        <f>IF(Result_notebook_retravaill!I375&gt;Result_notebook_retravaill!G375,Result_notebook_retravaill!I375/Result_notebook_retravaill!N375,Result_notebook_retravaill!H375)</f>
        <v>6719.1794773198644</v>
      </c>
      <c r="I375" s="32">
        <f>Result_notebook_retravaill!K375</f>
        <v>92094.638457466775</v>
      </c>
      <c r="J375" s="32">
        <f>MIN(G375,Result_notebook_retravaill!I375)</f>
        <v>2850.1538358599209</v>
      </c>
      <c r="K375" s="32">
        <f>IF(Result_notebook_retravaill!I375&gt;Result_notebook_retravaill!G375,0,IF(Result_notebook_retravaill!I375+Result_notebook_retravaill!J375&gt;Result_notebook_retravaill!G375,Result_notebook_retravaill!G375-Result_notebook_retravaill!I375,Result_notebook_retravaill!J375))</f>
        <v>101.89459173498517</v>
      </c>
      <c r="L375" s="32">
        <f>IF(Result_notebook_retravaill!I375&gt;Result_notebook_retravaill!G375,0,IF(Result_notebook_retravaill!I375+Result_notebook_retravaill!J375&gt;Result_notebook_retravaill!G375,0,Result_notebook_retravaill!M375))</f>
        <v>40526.031463711217</v>
      </c>
      <c r="M375" s="31">
        <f t="shared" si="5"/>
        <v>0</v>
      </c>
    </row>
    <row r="376" spans="1:13" x14ac:dyDescent="0.35">
      <c r="A376">
        <f>Result_notebook_retravaill!A376</f>
        <v>2029</v>
      </c>
      <c r="B376" t="str">
        <f>Result_notebook_retravaill!B376</f>
        <v>Cobalt</v>
      </c>
      <c r="C376" t="str">
        <f>Result_notebook_retravaill!C376</f>
        <v>Global Net-zero</v>
      </c>
      <c r="D376" t="str">
        <f>Result_notebook_retravaill!D376</f>
        <v>Production potential</v>
      </c>
      <c r="E376" t="str">
        <f>Result_notebook_retravaill!E376</f>
        <v>100% CAN</v>
      </c>
      <c r="F376" t="str">
        <f>Result_notebook_retravaill!F376</f>
        <v>Integrated</v>
      </c>
      <c r="G376">
        <f>Result_notebook_retravaill!G376</f>
        <v>43478.079891306123</v>
      </c>
      <c r="H376" s="32">
        <f>IF(Result_notebook_retravaill!I376&gt;Result_notebook_retravaill!G376,Result_notebook_retravaill!I376/Result_notebook_retravaill!N376,Result_notebook_retravaill!H376)</f>
        <v>6719.1794773198644</v>
      </c>
      <c r="I376" s="32">
        <f>Result_notebook_retravaill!K376</f>
        <v>92094.638457466775</v>
      </c>
      <c r="J376" s="32">
        <f>MIN(G376,Result_notebook_retravaill!I376)</f>
        <v>2952.0484275949088</v>
      </c>
      <c r="K376" s="32">
        <f>IF(Result_notebook_retravaill!I376&gt;Result_notebook_retravaill!G376,0,IF(Result_notebook_retravaill!I376+Result_notebook_retravaill!J376&gt;Result_notebook_retravaill!G376,Result_notebook_retravaill!G376-Result_notebook_retravaill!I376,Result_notebook_retravaill!J376))</f>
        <v>0</v>
      </c>
      <c r="L376" s="32">
        <f>IF(Result_notebook_retravaill!I376&gt;Result_notebook_retravaill!G376,0,IF(Result_notebook_retravaill!I376+Result_notebook_retravaill!J376&gt;Result_notebook_retravaill!G376,0,Result_notebook_retravaill!M376))</f>
        <v>40526.031463711217</v>
      </c>
      <c r="M376" s="31">
        <f t="shared" si="5"/>
        <v>0</v>
      </c>
    </row>
    <row r="377" spans="1:13" x14ac:dyDescent="0.35">
      <c r="A377">
        <f>Result_notebook_retravaill!A377</f>
        <v>2029</v>
      </c>
      <c r="B377" t="str">
        <f>Result_notebook_retravaill!B377</f>
        <v>Copper</v>
      </c>
      <c r="C377" t="str">
        <f>Result_notebook_retravaill!C377</f>
        <v>Canada Net-zero</v>
      </c>
      <c r="D377" t="str">
        <f>Result_notebook_retravaill!D377</f>
        <v>Existing production</v>
      </c>
      <c r="E377" t="str">
        <f>Result_notebook_retravaill!E377</f>
        <v>Current shares</v>
      </c>
      <c r="F377" t="str">
        <f>Result_notebook_retravaill!F377</f>
        <v>NIMBY</v>
      </c>
      <c r="G377">
        <f>Result_notebook_retravaill!G377</f>
        <v>955177.18715425662</v>
      </c>
      <c r="H377" s="32">
        <f>IF(Result_notebook_retravaill!I377&gt;Result_notebook_retravaill!G377,Result_notebook_retravaill!I377/Result_notebook_retravaill!N377,Result_notebook_retravaill!H377)</f>
        <v>0</v>
      </c>
      <c r="I377" s="32">
        <f>Result_notebook_retravaill!K377</f>
        <v>1150815.8881376591</v>
      </c>
      <c r="J377" s="32">
        <f>MIN(G377,Result_notebook_retravaill!I377)</f>
        <v>0</v>
      </c>
      <c r="K377" s="32">
        <f>IF(Result_notebook_retravaill!I377&gt;Result_notebook_retravaill!G377,0,IF(Result_notebook_retravaill!I377+Result_notebook_retravaill!J377&gt;Result_notebook_retravaill!G377,Result_notebook_retravaill!G377-Result_notebook_retravaill!I377,Result_notebook_retravaill!J377))</f>
        <v>0</v>
      </c>
      <c r="L377" s="32">
        <f>IF(Result_notebook_retravaill!I377&gt;Result_notebook_retravaill!G377,0,IF(Result_notebook_retravaill!I377+Result_notebook_retravaill!J377&gt;Result_notebook_retravaill!G377,0,Result_notebook_retravaill!M377))</f>
        <v>955177.18715425662</v>
      </c>
      <c r="M377" s="31">
        <f t="shared" si="5"/>
        <v>0</v>
      </c>
    </row>
    <row r="378" spans="1:13" x14ac:dyDescent="0.35">
      <c r="A378">
        <f>Result_notebook_retravaill!A378</f>
        <v>2029</v>
      </c>
      <c r="B378" t="str">
        <f>Result_notebook_retravaill!B378</f>
        <v>Copper</v>
      </c>
      <c r="C378" t="str">
        <f>Result_notebook_retravaill!C378</f>
        <v>Canada Net-zero</v>
      </c>
      <c r="D378" t="str">
        <f>Result_notebook_retravaill!D378</f>
        <v>Existing production</v>
      </c>
      <c r="E378" t="str">
        <f>Result_notebook_retravaill!E378</f>
        <v>Current shares</v>
      </c>
      <c r="F378" t="str">
        <f>Result_notebook_retravaill!F378</f>
        <v>Status Quo</v>
      </c>
      <c r="G378">
        <f>Result_notebook_retravaill!G378</f>
        <v>955177.18715425662</v>
      </c>
      <c r="H378" s="32">
        <f>IF(Result_notebook_retravaill!I378&gt;Result_notebook_retravaill!G378,Result_notebook_retravaill!I378/Result_notebook_retravaill!N378,Result_notebook_retravaill!H378)</f>
        <v>348255</v>
      </c>
      <c r="I378" s="32">
        <f>Result_notebook_retravaill!K378</f>
        <v>802560.88813765859</v>
      </c>
      <c r="J378" s="32">
        <f>MIN(G378,Result_notebook_retravaill!I378)</f>
        <v>183045.85345911881</v>
      </c>
      <c r="K378" s="32">
        <f>IF(Result_notebook_retravaill!I378&gt;Result_notebook_retravaill!G378,0,IF(Result_notebook_retravaill!I378+Result_notebook_retravaill!J378&gt;Result_notebook_retravaill!G378,Result_notebook_retravaill!G378-Result_notebook_retravaill!I378,Result_notebook_retravaill!J378))</f>
        <v>107658.53213410138</v>
      </c>
      <c r="L378" s="32">
        <f>IF(Result_notebook_retravaill!I378&gt;Result_notebook_retravaill!G378,0,IF(Result_notebook_retravaill!I378+Result_notebook_retravaill!J378&gt;Result_notebook_retravaill!G378,0,Result_notebook_retravaill!M378))</f>
        <v>664472.8015610365</v>
      </c>
      <c r="M378" s="31">
        <f t="shared" si="5"/>
        <v>0</v>
      </c>
    </row>
    <row r="379" spans="1:13" x14ac:dyDescent="0.35">
      <c r="A379">
        <f>Result_notebook_retravaill!A379</f>
        <v>2029</v>
      </c>
      <c r="B379" t="str">
        <f>Result_notebook_retravaill!B379</f>
        <v>Copper</v>
      </c>
      <c r="C379" t="str">
        <f>Result_notebook_retravaill!C379</f>
        <v>Canada Net-zero</v>
      </c>
      <c r="D379" t="str">
        <f>Result_notebook_retravaill!D379</f>
        <v>Production potential</v>
      </c>
      <c r="E379" t="str">
        <f>Result_notebook_retravaill!E379</f>
        <v>Current shares</v>
      </c>
      <c r="F379" t="str">
        <f>Result_notebook_retravaill!F379</f>
        <v>Expansion Extractive</v>
      </c>
      <c r="G379">
        <f>Result_notebook_retravaill!G379</f>
        <v>955177.18715425662</v>
      </c>
      <c r="H379" s="32">
        <f>IF(Result_notebook_retravaill!I379&gt;Result_notebook_retravaill!G379,Result_notebook_retravaill!I379/Result_notebook_retravaill!N379,Result_notebook_retravaill!H379)</f>
        <v>652859.49048100598</v>
      </c>
      <c r="I379" s="32">
        <f>Result_notebook_retravaill!K379</f>
        <v>497956.39765665261</v>
      </c>
      <c r="J379" s="32">
        <f>MIN(G379,Result_notebook_retravaill!I379)</f>
        <v>343148.61990202928</v>
      </c>
      <c r="K379" s="32">
        <f>IF(Result_notebook_retravaill!I379&gt;Result_notebook_retravaill!G379,0,IF(Result_notebook_retravaill!I379+Result_notebook_retravaill!J379&gt;Result_notebook_retravaill!G379,Result_notebook_retravaill!G379-Result_notebook_retravaill!I379,Result_notebook_retravaill!J379))</f>
        <v>201823.07342321693</v>
      </c>
      <c r="L379" s="32">
        <f>IF(Result_notebook_retravaill!I379&gt;Result_notebook_retravaill!G379,0,IF(Result_notebook_retravaill!I379+Result_notebook_retravaill!J379&gt;Result_notebook_retravaill!G379,0,Result_notebook_retravaill!M379))</f>
        <v>410205.4938290104</v>
      </c>
      <c r="M379" s="31">
        <f t="shared" si="5"/>
        <v>0</v>
      </c>
    </row>
    <row r="380" spans="1:13" x14ac:dyDescent="0.35">
      <c r="A380">
        <f>Result_notebook_retravaill!A380</f>
        <v>2029</v>
      </c>
      <c r="B380" t="str">
        <f>Result_notebook_retravaill!B380</f>
        <v>Copper</v>
      </c>
      <c r="C380" t="str">
        <f>Result_notebook_retravaill!C380</f>
        <v>Canada Net-zero</v>
      </c>
      <c r="D380" t="str">
        <f>Result_notebook_retravaill!D380</f>
        <v>Production potential</v>
      </c>
      <c r="E380" t="str">
        <f>Result_notebook_retravaill!E380</f>
        <v>Current shares</v>
      </c>
      <c r="F380" t="str">
        <f>Result_notebook_retravaill!F380</f>
        <v>Expansion Extractive+Circularity</v>
      </c>
      <c r="G380">
        <f>Result_notebook_retravaill!G380</f>
        <v>955177.18715425662</v>
      </c>
      <c r="H380" s="32">
        <f>IF(Result_notebook_retravaill!I380&gt;Result_notebook_retravaill!G380,Result_notebook_retravaill!I380/Result_notebook_retravaill!N380,Result_notebook_retravaill!H380)</f>
        <v>652859.49048100598</v>
      </c>
      <c r="I380" s="32">
        <f>Result_notebook_retravaill!K380</f>
        <v>497956.39765665261</v>
      </c>
      <c r="J380" s="32">
        <f>MIN(G380,Result_notebook_retravaill!I380)</f>
        <v>343148.61990202928</v>
      </c>
      <c r="K380" s="32">
        <f>IF(Result_notebook_retravaill!I380&gt;Result_notebook_retravaill!G380,0,IF(Result_notebook_retravaill!I380+Result_notebook_retravaill!J380&gt;Result_notebook_retravaill!G380,Result_notebook_retravaill!G380-Result_notebook_retravaill!I380,Result_notebook_retravaill!J380))</f>
        <v>201823.07342321693</v>
      </c>
      <c r="L380" s="32">
        <f>IF(Result_notebook_retravaill!I380&gt;Result_notebook_retravaill!G380,0,IF(Result_notebook_retravaill!I380+Result_notebook_retravaill!J380&gt;Result_notebook_retravaill!G380,0,Result_notebook_retravaill!M380))</f>
        <v>410205.4938290104</v>
      </c>
      <c r="M380" s="31">
        <f t="shared" si="5"/>
        <v>0</v>
      </c>
    </row>
    <row r="381" spans="1:13" x14ac:dyDescent="0.35">
      <c r="A381">
        <f>Result_notebook_retravaill!A381</f>
        <v>2029</v>
      </c>
      <c r="B381" t="str">
        <f>Result_notebook_retravaill!B381</f>
        <v>Copper</v>
      </c>
      <c r="C381" t="str">
        <f>Result_notebook_retravaill!C381</f>
        <v>Canada Net-zero</v>
      </c>
      <c r="D381" t="str">
        <f>Result_notebook_retravaill!D381</f>
        <v>Production potential</v>
      </c>
      <c r="E381" t="str">
        <f>Result_notebook_retravaill!E381</f>
        <v>100% CAN</v>
      </c>
      <c r="F381" t="str">
        <f>Result_notebook_retravaill!F381</f>
        <v>Integrated</v>
      </c>
      <c r="G381">
        <f>Result_notebook_retravaill!G381</f>
        <v>955177.18715425662</v>
      </c>
      <c r="H381" s="32">
        <f>IF(Result_notebook_retravaill!I381&gt;Result_notebook_retravaill!G381,Result_notebook_retravaill!I381/Result_notebook_retravaill!N381,Result_notebook_retravaill!H381)</f>
        <v>652859.49048100598</v>
      </c>
      <c r="I381" s="32">
        <f>Result_notebook_retravaill!K381</f>
        <v>497956.39765665261</v>
      </c>
      <c r="J381" s="32">
        <f>MIN(G381,Result_notebook_retravaill!I381)</f>
        <v>544971.69332524657</v>
      </c>
      <c r="K381" s="32">
        <f>IF(Result_notebook_retravaill!I381&gt;Result_notebook_retravaill!G381,0,IF(Result_notebook_retravaill!I381+Result_notebook_retravaill!J381&gt;Result_notebook_retravaill!G381,Result_notebook_retravaill!G381-Result_notebook_retravaill!I381,Result_notebook_retravaill!J381))</f>
        <v>0</v>
      </c>
      <c r="L381" s="32">
        <f>IF(Result_notebook_retravaill!I381&gt;Result_notebook_retravaill!G381,0,IF(Result_notebook_retravaill!I381+Result_notebook_retravaill!J381&gt;Result_notebook_retravaill!G381,0,Result_notebook_retravaill!M381))</f>
        <v>410205.49382901011</v>
      </c>
      <c r="M381" s="31">
        <f t="shared" si="5"/>
        <v>0</v>
      </c>
    </row>
    <row r="382" spans="1:13" x14ac:dyDescent="0.35">
      <c r="A382">
        <f>Result_notebook_retravaill!A382</f>
        <v>2029</v>
      </c>
      <c r="B382" t="str">
        <f>Result_notebook_retravaill!B382</f>
        <v>Copper</v>
      </c>
      <c r="C382" t="str">
        <f>Result_notebook_retravaill!C382</f>
        <v>Current Measures</v>
      </c>
      <c r="D382" t="str">
        <f>Result_notebook_retravaill!D382</f>
        <v>Existing production</v>
      </c>
      <c r="E382" t="str">
        <f>Result_notebook_retravaill!E382</f>
        <v>Current shares</v>
      </c>
      <c r="F382" t="str">
        <f>Result_notebook_retravaill!F382</f>
        <v>NIMBY</v>
      </c>
      <c r="G382">
        <f>Result_notebook_retravaill!G382</f>
        <v>914284.5211047167</v>
      </c>
      <c r="H382" s="32">
        <f>IF(Result_notebook_retravaill!I382&gt;Result_notebook_retravaill!G382,Result_notebook_retravaill!I382/Result_notebook_retravaill!N382,Result_notebook_retravaill!H382)</f>
        <v>0</v>
      </c>
      <c r="I382" s="32">
        <f>Result_notebook_retravaill!K382</f>
        <v>1101547.6157888151</v>
      </c>
      <c r="J382" s="32">
        <f>MIN(G382,Result_notebook_retravaill!I382)</f>
        <v>0</v>
      </c>
      <c r="K382" s="32">
        <f>IF(Result_notebook_retravaill!I382&gt;Result_notebook_retravaill!G382,0,IF(Result_notebook_retravaill!I382+Result_notebook_retravaill!J382&gt;Result_notebook_retravaill!G382,Result_notebook_retravaill!G382-Result_notebook_retravaill!I382,Result_notebook_retravaill!J382))</f>
        <v>0</v>
      </c>
      <c r="L382" s="32">
        <f>IF(Result_notebook_retravaill!I382&gt;Result_notebook_retravaill!G382,0,IF(Result_notebook_retravaill!I382+Result_notebook_retravaill!J382&gt;Result_notebook_retravaill!G382,0,Result_notebook_retravaill!M382))</f>
        <v>914284.5211047167</v>
      </c>
      <c r="M382" s="31">
        <f t="shared" si="5"/>
        <v>0</v>
      </c>
    </row>
    <row r="383" spans="1:13" x14ac:dyDescent="0.35">
      <c r="A383">
        <f>Result_notebook_retravaill!A383</f>
        <v>2029</v>
      </c>
      <c r="B383" t="str">
        <f>Result_notebook_retravaill!B383</f>
        <v>Copper</v>
      </c>
      <c r="C383" t="str">
        <f>Result_notebook_retravaill!C383</f>
        <v>Current Measures</v>
      </c>
      <c r="D383" t="str">
        <f>Result_notebook_retravaill!D383</f>
        <v>Existing production</v>
      </c>
      <c r="E383" t="str">
        <f>Result_notebook_retravaill!E383</f>
        <v>Current shares</v>
      </c>
      <c r="F383" t="str">
        <f>Result_notebook_retravaill!F383</f>
        <v>Status Quo</v>
      </c>
      <c r="G383">
        <f>Result_notebook_retravaill!G383</f>
        <v>914284.5211047167</v>
      </c>
      <c r="H383" s="32">
        <f>IF(Result_notebook_retravaill!I383&gt;Result_notebook_retravaill!G383,Result_notebook_retravaill!I383/Result_notebook_retravaill!N383,Result_notebook_retravaill!H383)</f>
        <v>348255</v>
      </c>
      <c r="I383" s="32">
        <f>Result_notebook_retravaill!K383</f>
        <v>753292.61578881531</v>
      </c>
      <c r="J383" s="32">
        <f>MIN(G383,Result_notebook_retravaill!I383)</f>
        <v>183045.85345911881</v>
      </c>
      <c r="K383" s="32">
        <f>IF(Result_notebook_retravaill!I383&gt;Result_notebook_retravaill!G383,0,IF(Result_notebook_retravaill!I383+Result_notebook_retravaill!J383&gt;Result_notebook_retravaill!G383,Result_notebook_retravaill!G383-Result_notebook_retravaill!I383,Result_notebook_retravaill!J383))</f>
        <v>107658.53213410138</v>
      </c>
      <c r="L383" s="32">
        <f>IF(Result_notebook_retravaill!I383&gt;Result_notebook_retravaill!G383,0,IF(Result_notebook_retravaill!I383+Result_notebook_retravaill!J383&gt;Result_notebook_retravaill!G383,0,Result_notebook_retravaill!M383))</f>
        <v>623580.13551149645</v>
      </c>
      <c r="M383" s="31">
        <f t="shared" si="5"/>
        <v>0</v>
      </c>
    </row>
    <row r="384" spans="1:13" x14ac:dyDescent="0.35">
      <c r="A384">
        <f>Result_notebook_retravaill!A384</f>
        <v>2029</v>
      </c>
      <c r="B384" t="str">
        <f>Result_notebook_retravaill!B384</f>
        <v>Copper</v>
      </c>
      <c r="C384" t="str">
        <f>Result_notebook_retravaill!C384</f>
        <v>Current Measures</v>
      </c>
      <c r="D384" t="str">
        <f>Result_notebook_retravaill!D384</f>
        <v>Production potential</v>
      </c>
      <c r="E384" t="str">
        <f>Result_notebook_retravaill!E384</f>
        <v>Current shares</v>
      </c>
      <c r="F384" t="str">
        <f>Result_notebook_retravaill!F384</f>
        <v>Expansion Extractive</v>
      </c>
      <c r="G384">
        <f>Result_notebook_retravaill!G384</f>
        <v>914284.5211047167</v>
      </c>
      <c r="H384" s="32">
        <f>IF(Result_notebook_retravaill!I384&gt;Result_notebook_retravaill!G384,Result_notebook_retravaill!I384/Result_notebook_retravaill!N384,Result_notebook_retravaill!H384)</f>
        <v>652859.49048100598</v>
      </c>
      <c r="I384" s="32">
        <f>Result_notebook_retravaill!K384</f>
        <v>448688.12530780933</v>
      </c>
      <c r="J384" s="32">
        <f>MIN(G384,Result_notebook_retravaill!I384)</f>
        <v>343148.61990202928</v>
      </c>
      <c r="K384" s="32">
        <f>IF(Result_notebook_retravaill!I384&gt;Result_notebook_retravaill!G384,0,IF(Result_notebook_retravaill!I384+Result_notebook_retravaill!J384&gt;Result_notebook_retravaill!G384,Result_notebook_retravaill!G384-Result_notebook_retravaill!I384,Result_notebook_retravaill!J384))</f>
        <v>201823.07342321693</v>
      </c>
      <c r="L384" s="32">
        <f>IF(Result_notebook_retravaill!I384&gt;Result_notebook_retravaill!G384,0,IF(Result_notebook_retravaill!I384+Result_notebook_retravaill!J384&gt;Result_notebook_retravaill!G384,0,Result_notebook_retravaill!M384))</f>
        <v>369312.82777947048</v>
      </c>
      <c r="M384" s="31">
        <f t="shared" si="5"/>
        <v>0</v>
      </c>
    </row>
    <row r="385" spans="1:13" x14ac:dyDescent="0.35">
      <c r="A385">
        <f>Result_notebook_retravaill!A385</f>
        <v>2029</v>
      </c>
      <c r="B385" t="str">
        <f>Result_notebook_retravaill!B385</f>
        <v>Copper</v>
      </c>
      <c r="C385" t="str">
        <f>Result_notebook_retravaill!C385</f>
        <v>Current Measures</v>
      </c>
      <c r="D385" t="str">
        <f>Result_notebook_retravaill!D385</f>
        <v>Production potential</v>
      </c>
      <c r="E385" t="str">
        <f>Result_notebook_retravaill!E385</f>
        <v>Current shares</v>
      </c>
      <c r="F385" t="str">
        <f>Result_notebook_retravaill!F385</f>
        <v>Expansion Extractive+Circularity</v>
      </c>
      <c r="G385">
        <f>Result_notebook_retravaill!G385</f>
        <v>914284.5211047167</v>
      </c>
      <c r="H385" s="32">
        <f>IF(Result_notebook_retravaill!I385&gt;Result_notebook_retravaill!G385,Result_notebook_retravaill!I385/Result_notebook_retravaill!N385,Result_notebook_retravaill!H385)</f>
        <v>652859.49048100598</v>
      </c>
      <c r="I385" s="32">
        <f>Result_notebook_retravaill!K385</f>
        <v>448688.12530780933</v>
      </c>
      <c r="J385" s="32">
        <f>MIN(G385,Result_notebook_retravaill!I385)</f>
        <v>343148.61990202928</v>
      </c>
      <c r="K385" s="32">
        <f>IF(Result_notebook_retravaill!I385&gt;Result_notebook_retravaill!G385,0,IF(Result_notebook_retravaill!I385+Result_notebook_retravaill!J385&gt;Result_notebook_retravaill!G385,Result_notebook_retravaill!G385-Result_notebook_retravaill!I385,Result_notebook_retravaill!J385))</f>
        <v>201823.07342321693</v>
      </c>
      <c r="L385" s="32">
        <f>IF(Result_notebook_retravaill!I385&gt;Result_notebook_retravaill!G385,0,IF(Result_notebook_retravaill!I385+Result_notebook_retravaill!J385&gt;Result_notebook_retravaill!G385,0,Result_notebook_retravaill!M385))</f>
        <v>369312.82777947048</v>
      </c>
      <c r="M385" s="31">
        <f t="shared" si="5"/>
        <v>0</v>
      </c>
    </row>
    <row r="386" spans="1:13" x14ac:dyDescent="0.35">
      <c r="A386">
        <f>Result_notebook_retravaill!A386</f>
        <v>2029</v>
      </c>
      <c r="B386" t="str">
        <f>Result_notebook_retravaill!B386</f>
        <v>Copper</v>
      </c>
      <c r="C386" t="str">
        <f>Result_notebook_retravaill!C386</f>
        <v>Current Measures</v>
      </c>
      <c r="D386" t="str">
        <f>Result_notebook_retravaill!D386</f>
        <v>Production potential</v>
      </c>
      <c r="E386" t="str">
        <f>Result_notebook_retravaill!E386</f>
        <v>100% CAN</v>
      </c>
      <c r="F386" t="str">
        <f>Result_notebook_retravaill!F386</f>
        <v>Integrated</v>
      </c>
      <c r="G386">
        <f>Result_notebook_retravaill!G386</f>
        <v>914284.5211047167</v>
      </c>
      <c r="H386" s="32">
        <f>IF(Result_notebook_retravaill!I386&gt;Result_notebook_retravaill!G386,Result_notebook_retravaill!I386/Result_notebook_retravaill!N386,Result_notebook_retravaill!H386)</f>
        <v>652859.49048100598</v>
      </c>
      <c r="I386" s="32">
        <f>Result_notebook_retravaill!K386</f>
        <v>448688.12530780933</v>
      </c>
      <c r="J386" s="32">
        <f>MIN(G386,Result_notebook_retravaill!I386)</f>
        <v>544971.69332524657</v>
      </c>
      <c r="K386" s="32">
        <f>IF(Result_notebook_retravaill!I386&gt;Result_notebook_retravaill!G386,0,IF(Result_notebook_retravaill!I386+Result_notebook_retravaill!J386&gt;Result_notebook_retravaill!G386,Result_notebook_retravaill!G386-Result_notebook_retravaill!I386,Result_notebook_retravaill!J386))</f>
        <v>0</v>
      </c>
      <c r="L386" s="32">
        <f>IF(Result_notebook_retravaill!I386&gt;Result_notebook_retravaill!G386,0,IF(Result_notebook_retravaill!I386+Result_notebook_retravaill!J386&gt;Result_notebook_retravaill!G386,0,Result_notebook_retravaill!M386))</f>
        <v>369312.82777947013</v>
      </c>
      <c r="M386" s="31">
        <f t="shared" si="5"/>
        <v>0</v>
      </c>
    </row>
    <row r="387" spans="1:13" x14ac:dyDescent="0.35">
      <c r="A387">
        <f>Result_notebook_retravaill!A387</f>
        <v>2029</v>
      </c>
      <c r="B387" t="str">
        <f>Result_notebook_retravaill!B387</f>
        <v>Copper</v>
      </c>
      <c r="C387" t="str">
        <f>Result_notebook_retravaill!C387</f>
        <v>Global Net-zero</v>
      </c>
      <c r="D387" t="str">
        <f>Result_notebook_retravaill!D387</f>
        <v>Existing production</v>
      </c>
      <c r="E387" t="str">
        <f>Result_notebook_retravaill!E387</f>
        <v>Current shares</v>
      </c>
      <c r="F387" t="str">
        <f>Result_notebook_retravaill!F387</f>
        <v>NIMBY</v>
      </c>
      <c r="G387">
        <f>Result_notebook_retravaill!G387</f>
        <v>930438.48177642538</v>
      </c>
      <c r="H387" s="32">
        <f>IF(Result_notebook_retravaill!I387&gt;Result_notebook_retravaill!G387,Result_notebook_retravaill!I387/Result_notebook_retravaill!N387,Result_notebook_retravaill!H387)</f>
        <v>0</v>
      </c>
      <c r="I387" s="32">
        <f>Result_notebook_retravaill!K387</f>
        <v>1121010.219007741</v>
      </c>
      <c r="J387" s="32">
        <f>MIN(G387,Result_notebook_retravaill!I387)</f>
        <v>0</v>
      </c>
      <c r="K387" s="32">
        <f>IF(Result_notebook_retravaill!I387&gt;Result_notebook_retravaill!G387,0,IF(Result_notebook_retravaill!I387+Result_notebook_retravaill!J387&gt;Result_notebook_retravaill!G387,Result_notebook_retravaill!G387-Result_notebook_retravaill!I387,Result_notebook_retravaill!J387))</f>
        <v>0</v>
      </c>
      <c r="L387" s="32">
        <f>IF(Result_notebook_retravaill!I387&gt;Result_notebook_retravaill!G387,0,IF(Result_notebook_retravaill!I387+Result_notebook_retravaill!J387&gt;Result_notebook_retravaill!G387,0,Result_notebook_retravaill!M387))</f>
        <v>930438.48177642538</v>
      </c>
      <c r="M387" s="31">
        <f t="shared" ref="M387:M450" si="6">SUM(J387:L387)-G387</f>
        <v>0</v>
      </c>
    </row>
    <row r="388" spans="1:13" x14ac:dyDescent="0.35">
      <c r="A388">
        <f>Result_notebook_retravaill!A388</f>
        <v>2029</v>
      </c>
      <c r="B388" t="str">
        <f>Result_notebook_retravaill!B388</f>
        <v>Copper</v>
      </c>
      <c r="C388" t="str">
        <f>Result_notebook_retravaill!C388</f>
        <v>Global Net-zero</v>
      </c>
      <c r="D388" t="str">
        <f>Result_notebook_retravaill!D388</f>
        <v>Existing production</v>
      </c>
      <c r="E388" t="str">
        <f>Result_notebook_retravaill!E388</f>
        <v>Current shares</v>
      </c>
      <c r="F388" t="str">
        <f>Result_notebook_retravaill!F388</f>
        <v>Status Quo</v>
      </c>
      <c r="G388">
        <f>Result_notebook_retravaill!G388</f>
        <v>930438.48177642538</v>
      </c>
      <c r="H388" s="32">
        <f>IF(Result_notebook_retravaill!I388&gt;Result_notebook_retravaill!G388,Result_notebook_retravaill!I388/Result_notebook_retravaill!N388,Result_notebook_retravaill!H388)</f>
        <v>348255</v>
      </c>
      <c r="I388" s="32">
        <f>Result_notebook_retravaill!K388</f>
        <v>772755.21900774143</v>
      </c>
      <c r="J388" s="32">
        <f>MIN(G388,Result_notebook_retravaill!I388)</f>
        <v>183045.85345911881</v>
      </c>
      <c r="K388" s="32">
        <f>IF(Result_notebook_retravaill!I388&gt;Result_notebook_retravaill!G388,0,IF(Result_notebook_retravaill!I388+Result_notebook_retravaill!J388&gt;Result_notebook_retravaill!G388,Result_notebook_retravaill!G388-Result_notebook_retravaill!I388,Result_notebook_retravaill!J388))</f>
        <v>107658.53213410138</v>
      </c>
      <c r="L388" s="32">
        <f>IF(Result_notebook_retravaill!I388&gt;Result_notebook_retravaill!G388,0,IF(Result_notebook_retravaill!I388+Result_notebook_retravaill!J388&gt;Result_notebook_retravaill!G388,0,Result_notebook_retravaill!M388))</f>
        <v>639734.09618320514</v>
      </c>
      <c r="M388" s="31">
        <f t="shared" si="6"/>
        <v>0</v>
      </c>
    </row>
    <row r="389" spans="1:13" x14ac:dyDescent="0.35">
      <c r="A389">
        <f>Result_notebook_retravaill!A389</f>
        <v>2029</v>
      </c>
      <c r="B389" t="str">
        <f>Result_notebook_retravaill!B389</f>
        <v>Copper</v>
      </c>
      <c r="C389" t="str">
        <f>Result_notebook_retravaill!C389</f>
        <v>Global Net-zero</v>
      </c>
      <c r="D389" t="str">
        <f>Result_notebook_retravaill!D389</f>
        <v>Production potential</v>
      </c>
      <c r="E389" t="str">
        <f>Result_notebook_retravaill!E389</f>
        <v>Current shares</v>
      </c>
      <c r="F389" t="str">
        <f>Result_notebook_retravaill!F389</f>
        <v>Expansion Extractive</v>
      </c>
      <c r="G389">
        <f>Result_notebook_retravaill!G389</f>
        <v>930438.48177642538</v>
      </c>
      <c r="H389" s="32">
        <f>IF(Result_notebook_retravaill!I389&gt;Result_notebook_retravaill!G389,Result_notebook_retravaill!I389/Result_notebook_retravaill!N389,Result_notebook_retravaill!H389)</f>
        <v>652859.49048100598</v>
      </c>
      <c r="I389" s="32">
        <f>Result_notebook_retravaill!K389</f>
        <v>468150.72852673539</v>
      </c>
      <c r="J389" s="32">
        <f>MIN(G389,Result_notebook_retravaill!I389)</f>
        <v>343148.61990202928</v>
      </c>
      <c r="K389" s="32">
        <f>IF(Result_notebook_retravaill!I389&gt;Result_notebook_retravaill!G389,0,IF(Result_notebook_retravaill!I389+Result_notebook_retravaill!J389&gt;Result_notebook_retravaill!G389,Result_notebook_retravaill!G389-Result_notebook_retravaill!I389,Result_notebook_retravaill!J389))</f>
        <v>201823.07342321693</v>
      </c>
      <c r="L389" s="32">
        <f>IF(Result_notebook_retravaill!I389&gt;Result_notebook_retravaill!G389,0,IF(Result_notebook_retravaill!I389+Result_notebook_retravaill!J389&gt;Result_notebook_retravaill!G389,0,Result_notebook_retravaill!M389))</f>
        <v>385466.78845117916</v>
      </c>
      <c r="M389" s="31">
        <f t="shared" si="6"/>
        <v>0</v>
      </c>
    </row>
    <row r="390" spans="1:13" x14ac:dyDescent="0.35">
      <c r="A390">
        <f>Result_notebook_retravaill!A390</f>
        <v>2029</v>
      </c>
      <c r="B390" t="str">
        <f>Result_notebook_retravaill!B390</f>
        <v>Copper</v>
      </c>
      <c r="C390" t="str">
        <f>Result_notebook_retravaill!C390</f>
        <v>Global Net-zero</v>
      </c>
      <c r="D390" t="str">
        <f>Result_notebook_retravaill!D390</f>
        <v>Production potential</v>
      </c>
      <c r="E390" t="str">
        <f>Result_notebook_retravaill!E390</f>
        <v>Current shares</v>
      </c>
      <c r="F390" t="str">
        <f>Result_notebook_retravaill!F390</f>
        <v>Expansion Extractive+Circularity</v>
      </c>
      <c r="G390">
        <f>Result_notebook_retravaill!G390</f>
        <v>930438.48177642538</v>
      </c>
      <c r="H390" s="32">
        <f>IF(Result_notebook_retravaill!I390&gt;Result_notebook_retravaill!G390,Result_notebook_retravaill!I390/Result_notebook_retravaill!N390,Result_notebook_retravaill!H390)</f>
        <v>652859.49048100598</v>
      </c>
      <c r="I390" s="32">
        <f>Result_notebook_retravaill!K390</f>
        <v>468150.72852673539</v>
      </c>
      <c r="J390" s="32">
        <f>MIN(G390,Result_notebook_retravaill!I390)</f>
        <v>343148.61990202928</v>
      </c>
      <c r="K390" s="32">
        <f>IF(Result_notebook_retravaill!I390&gt;Result_notebook_retravaill!G390,0,IF(Result_notebook_retravaill!I390+Result_notebook_retravaill!J390&gt;Result_notebook_retravaill!G390,Result_notebook_retravaill!G390-Result_notebook_retravaill!I390,Result_notebook_retravaill!J390))</f>
        <v>201823.07342321693</v>
      </c>
      <c r="L390" s="32">
        <f>IF(Result_notebook_retravaill!I390&gt;Result_notebook_retravaill!G390,0,IF(Result_notebook_retravaill!I390+Result_notebook_retravaill!J390&gt;Result_notebook_retravaill!G390,0,Result_notebook_retravaill!M390))</f>
        <v>385466.78845117916</v>
      </c>
      <c r="M390" s="31">
        <f t="shared" si="6"/>
        <v>0</v>
      </c>
    </row>
    <row r="391" spans="1:13" x14ac:dyDescent="0.35">
      <c r="A391">
        <f>Result_notebook_retravaill!A391</f>
        <v>2029</v>
      </c>
      <c r="B391" t="str">
        <f>Result_notebook_retravaill!B391</f>
        <v>Copper</v>
      </c>
      <c r="C391" t="str">
        <f>Result_notebook_retravaill!C391</f>
        <v>Global Net-zero</v>
      </c>
      <c r="D391" t="str">
        <f>Result_notebook_retravaill!D391</f>
        <v>Production potential</v>
      </c>
      <c r="E391" t="str">
        <f>Result_notebook_retravaill!E391</f>
        <v>100% CAN</v>
      </c>
      <c r="F391" t="str">
        <f>Result_notebook_retravaill!F391</f>
        <v>Integrated</v>
      </c>
      <c r="G391">
        <f>Result_notebook_retravaill!G391</f>
        <v>930438.48177642538</v>
      </c>
      <c r="H391" s="32">
        <f>IF(Result_notebook_retravaill!I391&gt;Result_notebook_retravaill!G391,Result_notebook_retravaill!I391/Result_notebook_retravaill!N391,Result_notebook_retravaill!H391)</f>
        <v>652859.49048100598</v>
      </c>
      <c r="I391" s="32">
        <f>Result_notebook_retravaill!K391</f>
        <v>468150.72852673539</v>
      </c>
      <c r="J391" s="32">
        <f>MIN(G391,Result_notebook_retravaill!I391)</f>
        <v>544971.69332524657</v>
      </c>
      <c r="K391" s="32">
        <f>IF(Result_notebook_retravaill!I391&gt;Result_notebook_retravaill!G391,0,IF(Result_notebook_retravaill!I391+Result_notebook_retravaill!J391&gt;Result_notebook_retravaill!G391,Result_notebook_retravaill!G391-Result_notebook_retravaill!I391,Result_notebook_retravaill!J391))</f>
        <v>0</v>
      </c>
      <c r="L391" s="32">
        <f>IF(Result_notebook_retravaill!I391&gt;Result_notebook_retravaill!G391,0,IF(Result_notebook_retravaill!I391+Result_notebook_retravaill!J391&gt;Result_notebook_retravaill!G391,0,Result_notebook_retravaill!M391))</f>
        <v>385466.78845117881</v>
      </c>
      <c r="M391" s="31">
        <f t="shared" si="6"/>
        <v>0</v>
      </c>
    </row>
    <row r="392" spans="1:13" x14ac:dyDescent="0.35">
      <c r="A392">
        <f>Result_notebook_retravaill!A392</f>
        <v>2029</v>
      </c>
      <c r="B392" t="str">
        <f>Result_notebook_retravaill!B392</f>
        <v>Neodymium</v>
      </c>
      <c r="C392" t="str">
        <f>Result_notebook_retravaill!C392</f>
        <v>Canada Net-zero</v>
      </c>
      <c r="D392" t="str">
        <f>Result_notebook_retravaill!D392</f>
        <v>Existing production</v>
      </c>
      <c r="E392" t="str">
        <f>Result_notebook_retravaill!E392</f>
        <v>Current shares</v>
      </c>
      <c r="F392" t="str">
        <f>Result_notebook_retravaill!F392</f>
        <v>NIMBY</v>
      </c>
      <c r="G392">
        <f>Result_notebook_retravaill!G392</f>
        <v>1697.8123851929049</v>
      </c>
      <c r="H392" s="32">
        <f>IF(Result_notebook_retravaill!I392&gt;Result_notebook_retravaill!G392,Result_notebook_retravaill!I392/Result_notebook_retravaill!N392,Result_notebook_retravaill!H392)</f>
        <v>0</v>
      </c>
      <c r="I392" s="32">
        <f>Result_notebook_retravaill!K392</f>
        <v>2829.6873086548421</v>
      </c>
      <c r="J392" s="32">
        <f>MIN(G392,Result_notebook_retravaill!I392)</f>
        <v>0</v>
      </c>
      <c r="K392" s="32">
        <f>IF(Result_notebook_retravaill!I392&gt;Result_notebook_retravaill!G392,0,IF(Result_notebook_retravaill!I392+Result_notebook_retravaill!J392&gt;Result_notebook_retravaill!G392,Result_notebook_retravaill!G392-Result_notebook_retravaill!I392,Result_notebook_retravaill!J392))</f>
        <v>0</v>
      </c>
      <c r="L392" s="32">
        <f>IF(Result_notebook_retravaill!I392&gt;Result_notebook_retravaill!G392,0,IF(Result_notebook_retravaill!I392+Result_notebook_retravaill!J392&gt;Result_notebook_retravaill!G392,0,Result_notebook_retravaill!M392))</f>
        <v>1697.8123851929049</v>
      </c>
      <c r="M392" s="31">
        <f t="shared" si="6"/>
        <v>0</v>
      </c>
    </row>
    <row r="393" spans="1:13" x14ac:dyDescent="0.35">
      <c r="A393">
        <f>Result_notebook_retravaill!A393</f>
        <v>2029</v>
      </c>
      <c r="B393" t="str">
        <f>Result_notebook_retravaill!B393</f>
        <v>Neodymium</v>
      </c>
      <c r="C393" t="str">
        <f>Result_notebook_retravaill!C393</f>
        <v>Canada Net-zero</v>
      </c>
      <c r="D393" t="str">
        <f>Result_notebook_retravaill!D393</f>
        <v>Existing production</v>
      </c>
      <c r="E393" t="str">
        <f>Result_notebook_retravaill!E393</f>
        <v>Current shares</v>
      </c>
      <c r="F393" t="str">
        <f>Result_notebook_retravaill!F393</f>
        <v>Status Quo</v>
      </c>
      <c r="G393">
        <f>Result_notebook_retravaill!G393</f>
        <v>1697.8123851929049</v>
      </c>
      <c r="H393" s="32">
        <f>IF(Result_notebook_retravaill!I393&gt;Result_notebook_retravaill!G393,Result_notebook_retravaill!I393/Result_notebook_retravaill!N393,Result_notebook_retravaill!H393)</f>
        <v>0</v>
      </c>
      <c r="I393" s="32">
        <f>Result_notebook_retravaill!K393</f>
        <v>2829.6873086548421</v>
      </c>
      <c r="J393" s="32">
        <f>MIN(G393,Result_notebook_retravaill!I393)</f>
        <v>0</v>
      </c>
      <c r="K393" s="32">
        <f>IF(Result_notebook_retravaill!I393&gt;Result_notebook_retravaill!G393,0,IF(Result_notebook_retravaill!I393+Result_notebook_retravaill!J393&gt;Result_notebook_retravaill!G393,Result_notebook_retravaill!G393-Result_notebook_retravaill!I393,Result_notebook_retravaill!J393))</f>
        <v>0</v>
      </c>
      <c r="L393" s="32">
        <f>IF(Result_notebook_retravaill!I393&gt;Result_notebook_retravaill!G393,0,IF(Result_notebook_retravaill!I393+Result_notebook_retravaill!J393&gt;Result_notebook_retravaill!G393,0,Result_notebook_retravaill!M393))</f>
        <v>1697.8123851929049</v>
      </c>
      <c r="M393" s="31">
        <f t="shared" si="6"/>
        <v>0</v>
      </c>
    </row>
    <row r="394" spans="1:13" x14ac:dyDescent="0.35">
      <c r="A394">
        <f>Result_notebook_retravaill!A394</f>
        <v>2029</v>
      </c>
      <c r="B394" t="str">
        <f>Result_notebook_retravaill!B394</f>
        <v>Neodymium</v>
      </c>
      <c r="C394" t="str">
        <f>Result_notebook_retravaill!C394</f>
        <v>Canada Net-zero</v>
      </c>
      <c r="D394" t="str">
        <f>Result_notebook_retravaill!D394</f>
        <v>Production potential</v>
      </c>
      <c r="E394" t="str">
        <f>Result_notebook_retravaill!E394</f>
        <v>Current shares</v>
      </c>
      <c r="F394" t="str">
        <f>Result_notebook_retravaill!F394</f>
        <v>Expansion Extractive</v>
      </c>
      <c r="G394">
        <f>Result_notebook_retravaill!G394</f>
        <v>1697.8123851929049</v>
      </c>
      <c r="H394" s="32">
        <f>IF(Result_notebook_retravaill!I394&gt;Result_notebook_retravaill!G394,Result_notebook_retravaill!I394/Result_notebook_retravaill!N394,Result_notebook_retravaill!H394)</f>
        <v>10.588294957512471</v>
      </c>
      <c r="I394" s="32">
        <f>Result_notebook_retravaill!K394</f>
        <v>2819.0990136973292</v>
      </c>
      <c r="J394" s="32">
        <f>MIN(G394,Result_notebook_retravaill!I394)</f>
        <v>6.3375595063497547</v>
      </c>
      <c r="K394" s="32">
        <f>IF(Result_notebook_retravaill!I394&gt;Result_notebook_retravaill!G394,0,IF(Result_notebook_retravaill!I394+Result_notebook_retravaill!J394&gt;Result_notebook_retravaill!G394,Result_notebook_retravaill!G394-Result_notebook_retravaill!I394,Result_notebook_retravaill!J394))</f>
        <v>4.2507354511627158</v>
      </c>
      <c r="L394" s="32">
        <f>IF(Result_notebook_retravaill!I394&gt;Result_notebook_retravaill!G394,0,IF(Result_notebook_retravaill!I394+Result_notebook_retravaill!J394&gt;Result_notebook_retravaill!G394,0,Result_notebook_retravaill!M394))</f>
        <v>1687.2240902353924</v>
      </c>
      <c r="M394" s="31">
        <f t="shared" si="6"/>
        <v>0</v>
      </c>
    </row>
    <row r="395" spans="1:13" x14ac:dyDescent="0.35">
      <c r="A395">
        <f>Result_notebook_retravaill!A395</f>
        <v>2029</v>
      </c>
      <c r="B395" t="str">
        <f>Result_notebook_retravaill!B395</f>
        <v>Neodymium</v>
      </c>
      <c r="C395" t="str">
        <f>Result_notebook_retravaill!C395</f>
        <v>Canada Net-zero</v>
      </c>
      <c r="D395" t="str">
        <f>Result_notebook_retravaill!D395</f>
        <v>Production potential</v>
      </c>
      <c r="E395" t="str">
        <f>Result_notebook_retravaill!E395</f>
        <v>Current shares</v>
      </c>
      <c r="F395" t="str">
        <f>Result_notebook_retravaill!F395</f>
        <v>Expansion Extractive+Circularity</v>
      </c>
      <c r="G395">
        <f>Result_notebook_retravaill!G395</f>
        <v>1697.8123851929049</v>
      </c>
      <c r="H395" s="32">
        <f>IF(Result_notebook_retravaill!I395&gt;Result_notebook_retravaill!G395,Result_notebook_retravaill!I395/Result_notebook_retravaill!N395,Result_notebook_retravaill!H395)</f>
        <v>10.588294957512471</v>
      </c>
      <c r="I395" s="32">
        <f>Result_notebook_retravaill!K395</f>
        <v>2819.0990136973292</v>
      </c>
      <c r="J395" s="32">
        <f>MIN(G395,Result_notebook_retravaill!I395)</f>
        <v>6.3375595063497547</v>
      </c>
      <c r="K395" s="32">
        <f>IF(Result_notebook_retravaill!I395&gt;Result_notebook_retravaill!G395,0,IF(Result_notebook_retravaill!I395+Result_notebook_retravaill!J395&gt;Result_notebook_retravaill!G395,Result_notebook_retravaill!G395-Result_notebook_retravaill!I395,Result_notebook_retravaill!J395))</f>
        <v>4.2507354511627158</v>
      </c>
      <c r="L395" s="32">
        <f>IF(Result_notebook_retravaill!I395&gt;Result_notebook_retravaill!G395,0,IF(Result_notebook_retravaill!I395+Result_notebook_retravaill!J395&gt;Result_notebook_retravaill!G395,0,Result_notebook_retravaill!M395))</f>
        <v>1687.2240902353924</v>
      </c>
      <c r="M395" s="31">
        <f t="shared" si="6"/>
        <v>0</v>
      </c>
    </row>
    <row r="396" spans="1:13" x14ac:dyDescent="0.35">
      <c r="A396">
        <f>Result_notebook_retravaill!A396</f>
        <v>2029</v>
      </c>
      <c r="B396" t="str">
        <f>Result_notebook_retravaill!B396</f>
        <v>Neodymium</v>
      </c>
      <c r="C396" t="str">
        <f>Result_notebook_retravaill!C396</f>
        <v>Canada Net-zero</v>
      </c>
      <c r="D396" t="str">
        <f>Result_notebook_retravaill!D396</f>
        <v>Production potential</v>
      </c>
      <c r="E396" t="str">
        <f>Result_notebook_retravaill!E396</f>
        <v>100% CAN</v>
      </c>
      <c r="F396" t="str">
        <f>Result_notebook_retravaill!F396</f>
        <v>Integrated</v>
      </c>
      <c r="G396">
        <f>Result_notebook_retravaill!G396</f>
        <v>1697.8123851929049</v>
      </c>
      <c r="H396" s="32">
        <f>IF(Result_notebook_retravaill!I396&gt;Result_notebook_retravaill!G396,Result_notebook_retravaill!I396/Result_notebook_retravaill!N396,Result_notebook_retravaill!H396)</f>
        <v>10.588294957512471</v>
      </c>
      <c r="I396" s="32">
        <f>Result_notebook_retravaill!K396</f>
        <v>2819.0990136973292</v>
      </c>
      <c r="J396" s="32">
        <f>MIN(G396,Result_notebook_retravaill!I396)</f>
        <v>6.3375595063497547</v>
      </c>
      <c r="K396" s="32">
        <f>IF(Result_notebook_retravaill!I396&gt;Result_notebook_retravaill!G396,0,IF(Result_notebook_retravaill!I396+Result_notebook_retravaill!J396&gt;Result_notebook_retravaill!G396,Result_notebook_retravaill!G396-Result_notebook_retravaill!I396,Result_notebook_retravaill!J396))</f>
        <v>4.2507354511627158</v>
      </c>
      <c r="L396" s="32">
        <f>IF(Result_notebook_retravaill!I396&gt;Result_notebook_retravaill!G396,0,IF(Result_notebook_retravaill!I396+Result_notebook_retravaill!J396&gt;Result_notebook_retravaill!G396,0,Result_notebook_retravaill!M396))</f>
        <v>1687.2240902353924</v>
      </c>
      <c r="M396" s="31">
        <f t="shared" si="6"/>
        <v>0</v>
      </c>
    </row>
    <row r="397" spans="1:13" x14ac:dyDescent="0.35">
      <c r="A397">
        <f>Result_notebook_retravaill!A397</f>
        <v>2029</v>
      </c>
      <c r="B397" t="str">
        <f>Result_notebook_retravaill!B397</f>
        <v>Neodymium</v>
      </c>
      <c r="C397" t="str">
        <f>Result_notebook_retravaill!C397</f>
        <v>Current Measures</v>
      </c>
      <c r="D397" t="str">
        <f>Result_notebook_retravaill!D397</f>
        <v>Existing production</v>
      </c>
      <c r="E397" t="str">
        <f>Result_notebook_retravaill!E397</f>
        <v>Current shares</v>
      </c>
      <c r="F397" t="str">
        <f>Result_notebook_retravaill!F397</f>
        <v>NIMBY</v>
      </c>
      <c r="G397">
        <f>Result_notebook_retravaill!G397</f>
        <v>741.81027247215718</v>
      </c>
      <c r="H397" s="32">
        <f>IF(Result_notebook_retravaill!I397&gt;Result_notebook_retravaill!G397,Result_notebook_retravaill!I397/Result_notebook_retravaill!N397,Result_notebook_retravaill!H397)</f>
        <v>0</v>
      </c>
      <c r="I397" s="32">
        <f>Result_notebook_retravaill!K397</f>
        <v>1236.3504541202619</v>
      </c>
      <c r="J397" s="32">
        <f>MIN(G397,Result_notebook_retravaill!I397)</f>
        <v>0</v>
      </c>
      <c r="K397" s="32">
        <f>IF(Result_notebook_retravaill!I397&gt;Result_notebook_retravaill!G397,0,IF(Result_notebook_retravaill!I397+Result_notebook_retravaill!J397&gt;Result_notebook_retravaill!G397,Result_notebook_retravaill!G397-Result_notebook_retravaill!I397,Result_notebook_retravaill!J397))</f>
        <v>0</v>
      </c>
      <c r="L397" s="32">
        <f>IF(Result_notebook_retravaill!I397&gt;Result_notebook_retravaill!G397,0,IF(Result_notebook_retravaill!I397+Result_notebook_retravaill!J397&gt;Result_notebook_retravaill!G397,0,Result_notebook_retravaill!M397))</f>
        <v>741.81027247215718</v>
      </c>
      <c r="M397" s="31">
        <f t="shared" si="6"/>
        <v>0</v>
      </c>
    </row>
    <row r="398" spans="1:13" x14ac:dyDescent="0.35">
      <c r="A398">
        <f>Result_notebook_retravaill!A398</f>
        <v>2029</v>
      </c>
      <c r="B398" t="str">
        <f>Result_notebook_retravaill!B398</f>
        <v>Neodymium</v>
      </c>
      <c r="C398" t="str">
        <f>Result_notebook_retravaill!C398</f>
        <v>Current Measures</v>
      </c>
      <c r="D398" t="str">
        <f>Result_notebook_retravaill!D398</f>
        <v>Existing production</v>
      </c>
      <c r="E398" t="str">
        <f>Result_notebook_retravaill!E398</f>
        <v>Current shares</v>
      </c>
      <c r="F398" t="str">
        <f>Result_notebook_retravaill!F398</f>
        <v>Status Quo</v>
      </c>
      <c r="G398">
        <f>Result_notebook_retravaill!G398</f>
        <v>741.81027247215718</v>
      </c>
      <c r="H398" s="32">
        <f>IF(Result_notebook_retravaill!I398&gt;Result_notebook_retravaill!G398,Result_notebook_retravaill!I398/Result_notebook_retravaill!N398,Result_notebook_retravaill!H398)</f>
        <v>0</v>
      </c>
      <c r="I398" s="32">
        <f>Result_notebook_retravaill!K398</f>
        <v>1236.3504541202619</v>
      </c>
      <c r="J398" s="32">
        <f>MIN(G398,Result_notebook_retravaill!I398)</f>
        <v>0</v>
      </c>
      <c r="K398" s="32">
        <f>IF(Result_notebook_retravaill!I398&gt;Result_notebook_retravaill!G398,0,IF(Result_notebook_retravaill!I398+Result_notebook_retravaill!J398&gt;Result_notebook_retravaill!G398,Result_notebook_retravaill!G398-Result_notebook_retravaill!I398,Result_notebook_retravaill!J398))</f>
        <v>0</v>
      </c>
      <c r="L398" s="32">
        <f>IF(Result_notebook_retravaill!I398&gt;Result_notebook_retravaill!G398,0,IF(Result_notebook_retravaill!I398+Result_notebook_retravaill!J398&gt;Result_notebook_retravaill!G398,0,Result_notebook_retravaill!M398))</f>
        <v>741.81027247215718</v>
      </c>
      <c r="M398" s="31">
        <f t="shared" si="6"/>
        <v>0</v>
      </c>
    </row>
    <row r="399" spans="1:13" x14ac:dyDescent="0.35">
      <c r="A399">
        <f>Result_notebook_retravaill!A399</f>
        <v>2029</v>
      </c>
      <c r="B399" t="str">
        <f>Result_notebook_retravaill!B399</f>
        <v>Neodymium</v>
      </c>
      <c r="C399" t="str">
        <f>Result_notebook_retravaill!C399</f>
        <v>Current Measures</v>
      </c>
      <c r="D399" t="str">
        <f>Result_notebook_retravaill!D399</f>
        <v>Production potential</v>
      </c>
      <c r="E399" t="str">
        <f>Result_notebook_retravaill!E399</f>
        <v>Current shares</v>
      </c>
      <c r="F399" t="str">
        <f>Result_notebook_retravaill!F399</f>
        <v>Expansion Extractive</v>
      </c>
      <c r="G399">
        <f>Result_notebook_retravaill!G399</f>
        <v>741.81027247215718</v>
      </c>
      <c r="H399" s="32">
        <f>IF(Result_notebook_retravaill!I399&gt;Result_notebook_retravaill!G399,Result_notebook_retravaill!I399/Result_notebook_retravaill!N399,Result_notebook_retravaill!H399)</f>
        <v>10.588294957512471</v>
      </c>
      <c r="I399" s="32">
        <f>Result_notebook_retravaill!K399</f>
        <v>1225.762159162749</v>
      </c>
      <c r="J399" s="32">
        <f>MIN(G399,Result_notebook_retravaill!I399)</f>
        <v>6.3375595063497547</v>
      </c>
      <c r="K399" s="32">
        <f>IF(Result_notebook_retravaill!I399&gt;Result_notebook_retravaill!G399,0,IF(Result_notebook_retravaill!I399+Result_notebook_retravaill!J399&gt;Result_notebook_retravaill!G399,Result_notebook_retravaill!G399-Result_notebook_retravaill!I399,Result_notebook_retravaill!J399))</f>
        <v>4.2507354511627158</v>
      </c>
      <c r="L399" s="32">
        <f>IF(Result_notebook_retravaill!I399&gt;Result_notebook_retravaill!G399,0,IF(Result_notebook_retravaill!I399+Result_notebook_retravaill!J399&gt;Result_notebook_retravaill!G399,0,Result_notebook_retravaill!M399))</f>
        <v>731.22197751464466</v>
      </c>
      <c r="M399" s="31">
        <f t="shared" si="6"/>
        <v>0</v>
      </c>
    </row>
    <row r="400" spans="1:13" x14ac:dyDescent="0.35">
      <c r="A400">
        <f>Result_notebook_retravaill!A400</f>
        <v>2029</v>
      </c>
      <c r="B400" t="str">
        <f>Result_notebook_retravaill!B400</f>
        <v>Neodymium</v>
      </c>
      <c r="C400" t="str">
        <f>Result_notebook_retravaill!C400</f>
        <v>Current Measures</v>
      </c>
      <c r="D400" t="str">
        <f>Result_notebook_retravaill!D400</f>
        <v>Production potential</v>
      </c>
      <c r="E400" t="str">
        <f>Result_notebook_retravaill!E400</f>
        <v>Current shares</v>
      </c>
      <c r="F400" t="str">
        <f>Result_notebook_retravaill!F400</f>
        <v>Expansion Extractive+Circularity</v>
      </c>
      <c r="G400">
        <f>Result_notebook_retravaill!G400</f>
        <v>741.81027247215718</v>
      </c>
      <c r="H400" s="32">
        <f>IF(Result_notebook_retravaill!I400&gt;Result_notebook_retravaill!G400,Result_notebook_retravaill!I400/Result_notebook_retravaill!N400,Result_notebook_retravaill!H400)</f>
        <v>10.588294957512471</v>
      </c>
      <c r="I400" s="32">
        <f>Result_notebook_retravaill!K400</f>
        <v>1225.762159162749</v>
      </c>
      <c r="J400" s="32">
        <f>MIN(G400,Result_notebook_retravaill!I400)</f>
        <v>6.3375595063497547</v>
      </c>
      <c r="K400" s="32">
        <f>IF(Result_notebook_retravaill!I400&gt;Result_notebook_retravaill!G400,0,IF(Result_notebook_retravaill!I400+Result_notebook_retravaill!J400&gt;Result_notebook_retravaill!G400,Result_notebook_retravaill!G400-Result_notebook_retravaill!I400,Result_notebook_retravaill!J400))</f>
        <v>4.2507354511627158</v>
      </c>
      <c r="L400" s="32">
        <f>IF(Result_notebook_retravaill!I400&gt;Result_notebook_retravaill!G400,0,IF(Result_notebook_retravaill!I400+Result_notebook_retravaill!J400&gt;Result_notebook_retravaill!G400,0,Result_notebook_retravaill!M400))</f>
        <v>731.22197751464466</v>
      </c>
      <c r="M400" s="31">
        <f t="shared" si="6"/>
        <v>0</v>
      </c>
    </row>
    <row r="401" spans="1:13" x14ac:dyDescent="0.35">
      <c r="A401">
        <f>Result_notebook_retravaill!A401</f>
        <v>2029</v>
      </c>
      <c r="B401" t="str">
        <f>Result_notebook_retravaill!B401</f>
        <v>Neodymium</v>
      </c>
      <c r="C401" t="str">
        <f>Result_notebook_retravaill!C401</f>
        <v>Current Measures</v>
      </c>
      <c r="D401" t="str">
        <f>Result_notebook_retravaill!D401</f>
        <v>Production potential</v>
      </c>
      <c r="E401" t="str">
        <f>Result_notebook_retravaill!E401</f>
        <v>100% CAN</v>
      </c>
      <c r="F401" t="str">
        <f>Result_notebook_retravaill!F401</f>
        <v>Integrated</v>
      </c>
      <c r="G401">
        <f>Result_notebook_retravaill!G401</f>
        <v>741.81027247215718</v>
      </c>
      <c r="H401" s="32">
        <f>IF(Result_notebook_retravaill!I401&gt;Result_notebook_retravaill!G401,Result_notebook_retravaill!I401/Result_notebook_retravaill!N401,Result_notebook_retravaill!H401)</f>
        <v>10.588294957512471</v>
      </c>
      <c r="I401" s="32">
        <f>Result_notebook_retravaill!K401</f>
        <v>1225.762159162749</v>
      </c>
      <c r="J401" s="32">
        <f>MIN(G401,Result_notebook_retravaill!I401)</f>
        <v>6.3375595063497547</v>
      </c>
      <c r="K401" s="32">
        <f>IF(Result_notebook_retravaill!I401&gt;Result_notebook_retravaill!G401,0,IF(Result_notebook_retravaill!I401+Result_notebook_retravaill!J401&gt;Result_notebook_retravaill!G401,Result_notebook_retravaill!G401-Result_notebook_retravaill!I401,Result_notebook_retravaill!J401))</f>
        <v>4.2507354511627158</v>
      </c>
      <c r="L401" s="32">
        <f>IF(Result_notebook_retravaill!I401&gt;Result_notebook_retravaill!G401,0,IF(Result_notebook_retravaill!I401+Result_notebook_retravaill!J401&gt;Result_notebook_retravaill!G401,0,Result_notebook_retravaill!M401))</f>
        <v>731.22197751464466</v>
      </c>
      <c r="M401" s="31">
        <f t="shared" si="6"/>
        <v>0</v>
      </c>
    </row>
    <row r="402" spans="1:13" x14ac:dyDescent="0.35">
      <c r="A402">
        <f>Result_notebook_retravaill!A402</f>
        <v>2029</v>
      </c>
      <c r="B402" t="str">
        <f>Result_notebook_retravaill!B402</f>
        <v>Neodymium</v>
      </c>
      <c r="C402" t="str">
        <f>Result_notebook_retravaill!C402</f>
        <v>Global Net-zero</v>
      </c>
      <c r="D402" t="str">
        <f>Result_notebook_retravaill!D402</f>
        <v>Existing production</v>
      </c>
      <c r="E402" t="str">
        <f>Result_notebook_retravaill!E402</f>
        <v>Current shares</v>
      </c>
      <c r="F402" t="str">
        <f>Result_notebook_retravaill!F402</f>
        <v>NIMBY</v>
      </c>
      <c r="G402">
        <f>Result_notebook_retravaill!G402</f>
        <v>1635.953671845974</v>
      </c>
      <c r="H402" s="32">
        <f>IF(Result_notebook_retravaill!I402&gt;Result_notebook_retravaill!G402,Result_notebook_retravaill!I402/Result_notebook_retravaill!N402,Result_notebook_retravaill!H402)</f>
        <v>0</v>
      </c>
      <c r="I402" s="32">
        <f>Result_notebook_retravaill!K402</f>
        <v>2726.5894530766241</v>
      </c>
      <c r="J402" s="32">
        <f>MIN(G402,Result_notebook_retravaill!I402)</f>
        <v>0</v>
      </c>
      <c r="K402" s="32">
        <f>IF(Result_notebook_retravaill!I402&gt;Result_notebook_retravaill!G402,0,IF(Result_notebook_retravaill!I402+Result_notebook_retravaill!J402&gt;Result_notebook_retravaill!G402,Result_notebook_retravaill!G402-Result_notebook_retravaill!I402,Result_notebook_retravaill!J402))</f>
        <v>0</v>
      </c>
      <c r="L402" s="32">
        <f>IF(Result_notebook_retravaill!I402&gt;Result_notebook_retravaill!G402,0,IF(Result_notebook_retravaill!I402+Result_notebook_retravaill!J402&gt;Result_notebook_retravaill!G402,0,Result_notebook_retravaill!M402))</f>
        <v>1635.953671845974</v>
      </c>
      <c r="M402" s="31">
        <f t="shared" si="6"/>
        <v>0</v>
      </c>
    </row>
    <row r="403" spans="1:13" x14ac:dyDescent="0.35">
      <c r="A403">
        <f>Result_notebook_retravaill!A403</f>
        <v>2029</v>
      </c>
      <c r="B403" t="str">
        <f>Result_notebook_retravaill!B403</f>
        <v>Neodymium</v>
      </c>
      <c r="C403" t="str">
        <f>Result_notebook_retravaill!C403</f>
        <v>Global Net-zero</v>
      </c>
      <c r="D403" t="str">
        <f>Result_notebook_retravaill!D403</f>
        <v>Existing production</v>
      </c>
      <c r="E403" t="str">
        <f>Result_notebook_retravaill!E403</f>
        <v>Current shares</v>
      </c>
      <c r="F403" t="str">
        <f>Result_notebook_retravaill!F403</f>
        <v>Status Quo</v>
      </c>
      <c r="G403">
        <f>Result_notebook_retravaill!G403</f>
        <v>1635.953671845974</v>
      </c>
      <c r="H403" s="32">
        <f>IF(Result_notebook_retravaill!I403&gt;Result_notebook_retravaill!G403,Result_notebook_retravaill!I403/Result_notebook_retravaill!N403,Result_notebook_retravaill!H403)</f>
        <v>0</v>
      </c>
      <c r="I403" s="32">
        <f>Result_notebook_retravaill!K403</f>
        <v>2726.5894530766241</v>
      </c>
      <c r="J403" s="32">
        <f>MIN(G403,Result_notebook_retravaill!I403)</f>
        <v>0</v>
      </c>
      <c r="K403" s="32">
        <f>IF(Result_notebook_retravaill!I403&gt;Result_notebook_retravaill!G403,0,IF(Result_notebook_retravaill!I403+Result_notebook_retravaill!J403&gt;Result_notebook_retravaill!G403,Result_notebook_retravaill!G403-Result_notebook_retravaill!I403,Result_notebook_retravaill!J403))</f>
        <v>0</v>
      </c>
      <c r="L403" s="32">
        <f>IF(Result_notebook_retravaill!I403&gt;Result_notebook_retravaill!G403,0,IF(Result_notebook_retravaill!I403+Result_notebook_retravaill!J403&gt;Result_notebook_retravaill!G403,0,Result_notebook_retravaill!M403))</f>
        <v>1635.953671845974</v>
      </c>
      <c r="M403" s="31">
        <f t="shared" si="6"/>
        <v>0</v>
      </c>
    </row>
    <row r="404" spans="1:13" x14ac:dyDescent="0.35">
      <c r="A404">
        <f>Result_notebook_retravaill!A404</f>
        <v>2029</v>
      </c>
      <c r="B404" t="str">
        <f>Result_notebook_retravaill!B404</f>
        <v>Neodymium</v>
      </c>
      <c r="C404" t="str">
        <f>Result_notebook_retravaill!C404</f>
        <v>Global Net-zero</v>
      </c>
      <c r="D404" t="str">
        <f>Result_notebook_retravaill!D404</f>
        <v>Production potential</v>
      </c>
      <c r="E404" t="str">
        <f>Result_notebook_retravaill!E404</f>
        <v>Current shares</v>
      </c>
      <c r="F404" t="str">
        <f>Result_notebook_retravaill!F404</f>
        <v>Expansion Extractive</v>
      </c>
      <c r="G404">
        <f>Result_notebook_retravaill!G404</f>
        <v>1635.953671845974</v>
      </c>
      <c r="H404" s="32">
        <f>IF(Result_notebook_retravaill!I404&gt;Result_notebook_retravaill!G404,Result_notebook_retravaill!I404/Result_notebook_retravaill!N404,Result_notebook_retravaill!H404)</f>
        <v>10.588294957512471</v>
      </c>
      <c r="I404" s="32">
        <f>Result_notebook_retravaill!K404</f>
        <v>2716.0011581191111</v>
      </c>
      <c r="J404" s="32">
        <f>MIN(G404,Result_notebook_retravaill!I404)</f>
        <v>6.3375595063497547</v>
      </c>
      <c r="K404" s="32">
        <f>IF(Result_notebook_retravaill!I404&gt;Result_notebook_retravaill!G404,0,IF(Result_notebook_retravaill!I404+Result_notebook_retravaill!J404&gt;Result_notebook_retravaill!G404,Result_notebook_retravaill!G404-Result_notebook_retravaill!I404,Result_notebook_retravaill!J404))</f>
        <v>4.2507354511627158</v>
      </c>
      <c r="L404" s="32">
        <f>IF(Result_notebook_retravaill!I404&gt;Result_notebook_retravaill!G404,0,IF(Result_notebook_retravaill!I404+Result_notebook_retravaill!J404&gt;Result_notebook_retravaill!G404,0,Result_notebook_retravaill!M404))</f>
        <v>1625.3653768884612</v>
      </c>
      <c r="M404" s="31">
        <f t="shared" si="6"/>
        <v>0</v>
      </c>
    </row>
    <row r="405" spans="1:13" x14ac:dyDescent="0.35">
      <c r="A405">
        <f>Result_notebook_retravaill!A405</f>
        <v>2029</v>
      </c>
      <c r="B405" t="str">
        <f>Result_notebook_retravaill!B405</f>
        <v>Neodymium</v>
      </c>
      <c r="C405" t="str">
        <f>Result_notebook_retravaill!C405</f>
        <v>Global Net-zero</v>
      </c>
      <c r="D405" t="str">
        <f>Result_notebook_retravaill!D405</f>
        <v>Production potential</v>
      </c>
      <c r="E405" t="str">
        <f>Result_notebook_retravaill!E405</f>
        <v>Current shares</v>
      </c>
      <c r="F405" t="str">
        <f>Result_notebook_retravaill!F405</f>
        <v>Expansion Extractive+Circularity</v>
      </c>
      <c r="G405">
        <f>Result_notebook_retravaill!G405</f>
        <v>1635.953671845974</v>
      </c>
      <c r="H405" s="32">
        <f>IF(Result_notebook_retravaill!I405&gt;Result_notebook_retravaill!G405,Result_notebook_retravaill!I405/Result_notebook_retravaill!N405,Result_notebook_retravaill!H405)</f>
        <v>10.588294957512471</v>
      </c>
      <c r="I405" s="32">
        <f>Result_notebook_retravaill!K405</f>
        <v>2716.0011581191111</v>
      </c>
      <c r="J405" s="32">
        <f>MIN(G405,Result_notebook_retravaill!I405)</f>
        <v>6.3375595063497547</v>
      </c>
      <c r="K405" s="32">
        <f>IF(Result_notebook_retravaill!I405&gt;Result_notebook_retravaill!G405,0,IF(Result_notebook_retravaill!I405+Result_notebook_retravaill!J405&gt;Result_notebook_retravaill!G405,Result_notebook_retravaill!G405-Result_notebook_retravaill!I405,Result_notebook_retravaill!J405))</f>
        <v>4.2507354511627158</v>
      </c>
      <c r="L405" s="32">
        <f>IF(Result_notebook_retravaill!I405&gt;Result_notebook_retravaill!G405,0,IF(Result_notebook_retravaill!I405+Result_notebook_retravaill!J405&gt;Result_notebook_retravaill!G405,0,Result_notebook_retravaill!M405))</f>
        <v>1625.3653768884612</v>
      </c>
      <c r="M405" s="31">
        <f t="shared" si="6"/>
        <v>0</v>
      </c>
    </row>
    <row r="406" spans="1:13" x14ac:dyDescent="0.35">
      <c r="A406">
        <f>Result_notebook_retravaill!A406</f>
        <v>2029</v>
      </c>
      <c r="B406" t="str">
        <f>Result_notebook_retravaill!B406</f>
        <v>Neodymium</v>
      </c>
      <c r="C406" t="str">
        <f>Result_notebook_retravaill!C406</f>
        <v>Global Net-zero</v>
      </c>
      <c r="D406" t="str">
        <f>Result_notebook_retravaill!D406</f>
        <v>Production potential</v>
      </c>
      <c r="E406" t="str">
        <f>Result_notebook_retravaill!E406</f>
        <v>100% CAN</v>
      </c>
      <c r="F406" t="str">
        <f>Result_notebook_retravaill!F406</f>
        <v>Integrated</v>
      </c>
      <c r="G406">
        <f>Result_notebook_retravaill!G406</f>
        <v>1635.953671845974</v>
      </c>
      <c r="H406" s="32">
        <f>IF(Result_notebook_retravaill!I406&gt;Result_notebook_retravaill!G406,Result_notebook_retravaill!I406/Result_notebook_retravaill!N406,Result_notebook_retravaill!H406)</f>
        <v>10.588294957512471</v>
      </c>
      <c r="I406" s="32">
        <f>Result_notebook_retravaill!K406</f>
        <v>2716.0011581191111</v>
      </c>
      <c r="J406" s="32">
        <f>MIN(G406,Result_notebook_retravaill!I406)</f>
        <v>6.3375595063497547</v>
      </c>
      <c r="K406" s="32">
        <f>IF(Result_notebook_retravaill!I406&gt;Result_notebook_retravaill!G406,0,IF(Result_notebook_retravaill!I406+Result_notebook_retravaill!J406&gt;Result_notebook_retravaill!G406,Result_notebook_retravaill!G406-Result_notebook_retravaill!I406,Result_notebook_retravaill!J406))</f>
        <v>4.2507354511627158</v>
      </c>
      <c r="L406" s="32">
        <f>IF(Result_notebook_retravaill!I406&gt;Result_notebook_retravaill!G406,0,IF(Result_notebook_retravaill!I406+Result_notebook_retravaill!J406&gt;Result_notebook_retravaill!G406,0,Result_notebook_retravaill!M406))</f>
        <v>1625.3653768884612</v>
      </c>
      <c r="M406" s="31">
        <f t="shared" si="6"/>
        <v>0</v>
      </c>
    </row>
    <row r="407" spans="1:13" x14ac:dyDescent="0.35">
      <c r="A407">
        <f>Result_notebook_retravaill!A407</f>
        <v>2029</v>
      </c>
      <c r="B407" t="str">
        <f>Result_notebook_retravaill!B407</f>
        <v>Nickel</v>
      </c>
      <c r="C407" t="str">
        <f>Result_notebook_retravaill!C407</f>
        <v>Canada Net-zero</v>
      </c>
      <c r="D407" t="str">
        <f>Result_notebook_retravaill!D407</f>
        <v>Existing production</v>
      </c>
      <c r="E407" t="str">
        <f>Result_notebook_retravaill!E407</f>
        <v>Current shares</v>
      </c>
      <c r="F407" t="str">
        <f>Result_notebook_retravaill!F407</f>
        <v>NIMBY</v>
      </c>
      <c r="G407">
        <f>Result_notebook_retravaill!G407</f>
        <v>64370.502916696467</v>
      </c>
      <c r="H407" s="32">
        <f>IF(Result_notebook_retravaill!I407&gt;Result_notebook_retravaill!G407,Result_notebook_retravaill!I407/Result_notebook_retravaill!N407,Result_notebook_retravaill!H407)</f>
        <v>0</v>
      </c>
      <c r="I407" s="32">
        <f>Result_notebook_retravaill!K407</f>
        <v>81481.649261641098</v>
      </c>
      <c r="J407" s="32">
        <f>MIN(G407,Result_notebook_retravaill!I407)</f>
        <v>0</v>
      </c>
      <c r="K407" s="32">
        <f>IF(Result_notebook_retravaill!I407&gt;Result_notebook_retravaill!G407,0,IF(Result_notebook_retravaill!I407+Result_notebook_retravaill!J407&gt;Result_notebook_retravaill!G407,Result_notebook_retravaill!G407-Result_notebook_retravaill!I407,Result_notebook_retravaill!J407))</f>
        <v>0</v>
      </c>
      <c r="L407" s="32">
        <f>IF(Result_notebook_retravaill!I407&gt;Result_notebook_retravaill!G407,0,IF(Result_notebook_retravaill!I407+Result_notebook_retravaill!J407&gt;Result_notebook_retravaill!G407,0,Result_notebook_retravaill!M407))</f>
        <v>64370.502916696467</v>
      </c>
      <c r="M407" s="31">
        <f t="shared" si="6"/>
        <v>0</v>
      </c>
    </row>
    <row r="408" spans="1:13" x14ac:dyDescent="0.35">
      <c r="A408">
        <f>Result_notebook_retravaill!A408</f>
        <v>2029</v>
      </c>
      <c r="B408" t="str">
        <f>Result_notebook_retravaill!B408</f>
        <v>Nickel</v>
      </c>
      <c r="C408" t="str">
        <f>Result_notebook_retravaill!C408</f>
        <v>Canada Net-zero</v>
      </c>
      <c r="D408" t="str">
        <f>Result_notebook_retravaill!D408</f>
        <v>Existing production</v>
      </c>
      <c r="E408" t="str">
        <f>Result_notebook_retravaill!E408</f>
        <v>Current shares</v>
      </c>
      <c r="F408" t="str">
        <f>Result_notebook_retravaill!F408</f>
        <v>Status Quo</v>
      </c>
      <c r="G408">
        <f>Result_notebook_retravaill!G408</f>
        <v>64370.502916696467</v>
      </c>
      <c r="H408" s="32">
        <f>IF(Result_notebook_retravaill!I408&gt;Result_notebook_retravaill!G408,Result_notebook_retravaill!I408/Result_notebook_retravaill!N408,Result_notebook_retravaill!H408)</f>
        <v>121994.95715313317</v>
      </c>
      <c r="I408" s="32">
        <f>Result_notebook_retravaill!K408</f>
        <v>0</v>
      </c>
      <c r="J408" s="32">
        <f>MIN(G408,Result_notebook_retravaill!I408)</f>
        <v>64370.502916696467</v>
      </c>
      <c r="K408" s="32">
        <f>IF(Result_notebook_retravaill!I408&gt;Result_notebook_retravaill!G408,0,IF(Result_notebook_retravaill!I408+Result_notebook_retravaill!J408&gt;Result_notebook_retravaill!G408,Result_notebook_retravaill!G408-Result_notebook_retravaill!I408,Result_notebook_retravaill!J408))</f>
        <v>0</v>
      </c>
      <c r="L408" s="32">
        <f>IF(Result_notebook_retravaill!I408&gt;Result_notebook_retravaill!G408,0,IF(Result_notebook_retravaill!I408+Result_notebook_retravaill!J408&gt;Result_notebook_retravaill!G408,0,Result_notebook_retravaill!M408))</f>
        <v>0</v>
      </c>
      <c r="M408" s="31">
        <f t="shared" si="6"/>
        <v>0</v>
      </c>
    </row>
    <row r="409" spans="1:13" x14ac:dyDescent="0.35">
      <c r="A409">
        <f>Result_notebook_retravaill!A409</f>
        <v>2029</v>
      </c>
      <c r="B409" t="str">
        <f>Result_notebook_retravaill!B409</f>
        <v>Nickel</v>
      </c>
      <c r="C409" t="str">
        <f>Result_notebook_retravaill!C409</f>
        <v>Canada Net-zero</v>
      </c>
      <c r="D409" t="str">
        <f>Result_notebook_retravaill!D409</f>
        <v>Production potential</v>
      </c>
      <c r="E409" t="str">
        <f>Result_notebook_retravaill!E409</f>
        <v>Current shares</v>
      </c>
      <c r="F409" t="str">
        <f>Result_notebook_retravaill!F409</f>
        <v>Expansion Extractive</v>
      </c>
      <c r="G409">
        <f>Result_notebook_retravaill!G409</f>
        <v>64370.502916696467</v>
      </c>
      <c r="H409" s="32">
        <f>IF(Result_notebook_retravaill!I409&gt;Result_notebook_retravaill!G409,Result_notebook_retravaill!I409/Result_notebook_retravaill!N409,Result_notebook_retravaill!H409)</f>
        <v>153000.29070106777</v>
      </c>
      <c r="I409" s="32">
        <f>Result_notebook_retravaill!K409</f>
        <v>0</v>
      </c>
      <c r="J409" s="32">
        <f>MIN(G409,Result_notebook_retravaill!I409)</f>
        <v>64370.502916696467</v>
      </c>
      <c r="K409" s="32">
        <f>IF(Result_notebook_retravaill!I409&gt;Result_notebook_retravaill!G409,0,IF(Result_notebook_retravaill!I409+Result_notebook_retravaill!J409&gt;Result_notebook_retravaill!G409,Result_notebook_retravaill!G409-Result_notebook_retravaill!I409,Result_notebook_retravaill!J409))</f>
        <v>0</v>
      </c>
      <c r="L409" s="32">
        <f>IF(Result_notebook_retravaill!I409&gt;Result_notebook_retravaill!G409,0,IF(Result_notebook_retravaill!I409+Result_notebook_retravaill!J409&gt;Result_notebook_retravaill!G409,0,Result_notebook_retravaill!M409))</f>
        <v>0</v>
      </c>
      <c r="M409" s="31">
        <f t="shared" si="6"/>
        <v>0</v>
      </c>
    </row>
    <row r="410" spans="1:13" x14ac:dyDescent="0.35">
      <c r="A410">
        <f>Result_notebook_retravaill!A410</f>
        <v>2029</v>
      </c>
      <c r="B410" t="str">
        <f>Result_notebook_retravaill!B410</f>
        <v>Nickel</v>
      </c>
      <c r="C410" t="str">
        <f>Result_notebook_retravaill!C410</f>
        <v>Canada Net-zero</v>
      </c>
      <c r="D410" t="str">
        <f>Result_notebook_retravaill!D410</f>
        <v>Production potential</v>
      </c>
      <c r="E410" t="str">
        <f>Result_notebook_retravaill!E410</f>
        <v>Current shares</v>
      </c>
      <c r="F410" t="str">
        <f>Result_notebook_retravaill!F410</f>
        <v>Expansion Extractive+Circularity</v>
      </c>
      <c r="G410">
        <f>Result_notebook_retravaill!G410</f>
        <v>64370.502916696467</v>
      </c>
      <c r="H410" s="32">
        <f>IF(Result_notebook_retravaill!I410&gt;Result_notebook_retravaill!G410,Result_notebook_retravaill!I410/Result_notebook_retravaill!N410,Result_notebook_retravaill!H410)</f>
        <v>153000.29070106777</v>
      </c>
      <c r="I410" s="32">
        <f>Result_notebook_retravaill!K410</f>
        <v>0</v>
      </c>
      <c r="J410" s="32">
        <f>MIN(G410,Result_notebook_retravaill!I410)</f>
        <v>64370.502916696467</v>
      </c>
      <c r="K410" s="32">
        <f>IF(Result_notebook_retravaill!I410&gt;Result_notebook_retravaill!G410,0,IF(Result_notebook_retravaill!I410+Result_notebook_retravaill!J410&gt;Result_notebook_retravaill!G410,Result_notebook_retravaill!G410-Result_notebook_retravaill!I410,Result_notebook_retravaill!J410))</f>
        <v>0</v>
      </c>
      <c r="L410" s="32">
        <f>IF(Result_notebook_retravaill!I410&gt;Result_notebook_retravaill!G410,0,IF(Result_notebook_retravaill!I410+Result_notebook_retravaill!J410&gt;Result_notebook_retravaill!G410,0,Result_notebook_retravaill!M410))</f>
        <v>0</v>
      </c>
      <c r="M410" s="31">
        <f t="shared" si="6"/>
        <v>0</v>
      </c>
    </row>
    <row r="411" spans="1:13" x14ac:dyDescent="0.35">
      <c r="A411">
        <f>Result_notebook_retravaill!A411</f>
        <v>2029</v>
      </c>
      <c r="B411" t="str">
        <f>Result_notebook_retravaill!B411</f>
        <v>Nickel</v>
      </c>
      <c r="C411" t="str">
        <f>Result_notebook_retravaill!C411</f>
        <v>Canada Net-zero</v>
      </c>
      <c r="D411" t="str">
        <f>Result_notebook_retravaill!D411</f>
        <v>Production potential</v>
      </c>
      <c r="E411" t="str">
        <f>Result_notebook_retravaill!E411</f>
        <v>100% CAN</v>
      </c>
      <c r="F411" t="str">
        <f>Result_notebook_retravaill!F411</f>
        <v>Integrated</v>
      </c>
      <c r="G411">
        <f>Result_notebook_retravaill!G411</f>
        <v>64370.502916696467</v>
      </c>
      <c r="H411" s="32">
        <f>IF(Result_notebook_retravaill!I411&gt;Result_notebook_retravaill!G411,Result_notebook_retravaill!I411/Result_notebook_retravaill!N411,Result_notebook_retravaill!H411)</f>
        <v>214834.07190227447</v>
      </c>
      <c r="I411" s="32">
        <f>Result_notebook_retravaill!K411</f>
        <v>0</v>
      </c>
      <c r="J411" s="32">
        <f>MIN(G411,Result_notebook_retravaill!I411)</f>
        <v>64370.502916696467</v>
      </c>
      <c r="K411" s="32">
        <f>IF(Result_notebook_retravaill!I411&gt;Result_notebook_retravaill!G411,0,IF(Result_notebook_retravaill!I411+Result_notebook_retravaill!J411&gt;Result_notebook_retravaill!G411,Result_notebook_retravaill!G411-Result_notebook_retravaill!I411,Result_notebook_retravaill!J411))</f>
        <v>0</v>
      </c>
      <c r="L411" s="32">
        <f>IF(Result_notebook_retravaill!I411&gt;Result_notebook_retravaill!G411,0,IF(Result_notebook_retravaill!I411+Result_notebook_retravaill!J411&gt;Result_notebook_retravaill!G411,0,Result_notebook_retravaill!M411))</f>
        <v>0</v>
      </c>
      <c r="M411" s="31">
        <f t="shared" si="6"/>
        <v>0</v>
      </c>
    </row>
    <row r="412" spans="1:13" x14ac:dyDescent="0.35">
      <c r="A412">
        <f>Result_notebook_retravaill!A412</f>
        <v>2029</v>
      </c>
      <c r="B412" t="str">
        <f>Result_notebook_retravaill!B412</f>
        <v>Nickel</v>
      </c>
      <c r="C412" t="str">
        <f>Result_notebook_retravaill!C412</f>
        <v>Current Measures</v>
      </c>
      <c r="D412" t="str">
        <f>Result_notebook_retravaill!D412</f>
        <v>Existing production</v>
      </c>
      <c r="E412" t="str">
        <f>Result_notebook_retravaill!E412</f>
        <v>Current shares</v>
      </c>
      <c r="F412" t="str">
        <f>Result_notebook_retravaill!F412</f>
        <v>NIMBY</v>
      </c>
      <c r="G412">
        <f>Result_notebook_retravaill!G412</f>
        <v>37163.881136711549</v>
      </c>
      <c r="H412" s="32">
        <f>IF(Result_notebook_retravaill!I412&gt;Result_notebook_retravaill!G412,Result_notebook_retravaill!I412/Result_notebook_retravaill!N412,Result_notebook_retravaill!H412)</f>
        <v>0</v>
      </c>
      <c r="I412" s="32">
        <f>Result_notebook_retravaill!K412</f>
        <v>47042.887514824753</v>
      </c>
      <c r="J412" s="32">
        <f>MIN(G412,Result_notebook_retravaill!I412)</f>
        <v>0</v>
      </c>
      <c r="K412" s="32">
        <f>IF(Result_notebook_retravaill!I412&gt;Result_notebook_retravaill!G412,0,IF(Result_notebook_retravaill!I412+Result_notebook_retravaill!J412&gt;Result_notebook_retravaill!G412,Result_notebook_retravaill!G412-Result_notebook_retravaill!I412,Result_notebook_retravaill!J412))</f>
        <v>0</v>
      </c>
      <c r="L412" s="32">
        <f>IF(Result_notebook_retravaill!I412&gt;Result_notebook_retravaill!G412,0,IF(Result_notebook_retravaill!I412+Result_notebook_retravaill!J412&gt;Result_notebook_retravaill!G412,0,Result_notebook_retravaill!M412))</f>
        <v>37163.881136711549</v>
      </c>
      <c r="M412" s="31">
        <f t="shared" si="6"/>
        <v>0</v>
      </c>
    </row>
    <row r="413" spans="1:13" x14ac:dyDescent="0.35">
      <c r="A413">
        <f>Result_notebook_retravaill!A413</f>
        <v>2029</v>
      </c>
      <c r="B413" t="str">
        <f>Result_notebook_retravaill!B413</f>
        <v>Nickel</v>
      </c>
      <c r="C413" t="str">
        <f>Result_notebook_retravaill!C413</f>
        <v>Current Measures</v>
      </c>
      <c r="D413" t="str">
        <f>Result_notebook_retravaill!D413</f>
        <v>Existing production</v>
      </c>
      <c r="E413" t="str">
        <f>Result_notebook_retravaill!E413</f>
        <v>Current shares</v>
      </c>
      <c r="F413" t="str">
        <f>Result_notebook_retravaill!F413</f>
        <v>Status Quo</v>
      </c>
      <c r="G413">
        <f>Result_notebook_retravaill!G413</f>
        <v>37163.881136711549</v>
      </c>
      <c r="H413" s="32">
        <f>IF(Result_notebook_retravaill!I413&gt;Result_notebook_retravaill!G413,Result_notebook_retravaill!I413/Result_notebook_retravaill!N413,Result_notebook_retravaill!H413)</f>
        <v>121994.95715313317</v>
      </c>
      <c r="I413" s="32">
        <f>Result_notebook_retravaill!K413</f>
        <v>0</v>
      </c>
      <c r="J413" s="32">
        <f>MIN(G413,Result_notebook_retravaill!I413)</f>
        <v>37163.881136711549</v>
      </c>
      <c r="K413" s="32">
        <f>IF(Result_notebook_retravaill!I413&gt;Result_notebook_retravaill!G413,0,IF(Result_notebook_retravaill!I413+Result_notebook_retravaill!J413&gt;Result_notebook_retravaill!G413,Result_notebook_retravaill!G413-Result_notebook_retravaill!I413,Result_notebook_retravaill!J413))</f>
        <v>0</v>
      </c>
      <c r="L413" s="32">
        <f>IF(Result_notebook_retravaill!I413&gt;Result_notebook_retravaill!G413,0,IF(Result_notebook_retravaill!I413+Result_notebook_retravaill!J413&gt;Result_notebook_retravaill!G413,0,Result_notebook_retravaill!M413))</f>
        <v>0</v>
      </c>
      <c r="M413" s="31">
        <f t="shared" si="6"/>
        <v>0</v>
      </c>
    </row>
    <row r="414" spans="1:13" x14ac:dyDescent="0.35">
      <c r="A414">
        <f>Result_notebook_retravaill!A414</f>
        <v>2029</v>
      </c>
      <c r="B414" t="str">
        <f>Result_notebook_retravaill!B414</f>
        <v>Nickel</v>
      </c>
      <c r="C414" t="str">
        <f>Result_notebook_retravaill!C414</f>
        <v>Current Measures</v>
      </c>
      <c r="D414" t="str">
        <f>Result_notebook_retravaill!D414</f>
        <v>Production potential</v>
      </c>
      <c r="E414" t="str">
        <f>Result_notebook_retravaill!E414</f>
        <v>Current shares</v>
      </c>
      <c r="F414" t="str">
        <f>Result_notebook_retravaill!F414</f>
        <v>Expansion Extractive</v>
      </c>
      <c r="G414">
        <f>Result_notebook_retravaill!G414</f>
        <v>37163.881136711549</v>
      </c>
      <c r="H414" s="32">
        <f>IF(Result_notebook_retravaill!I414&gt;Result_notebook_retravaill!G414,Result_notebook_retravaill!I414/Result_notebook_retravaill!N414,Result_notebook_retravaill!H414)</f>
        <v>153000.29070106777</v>
      </c>
      <c r="I414" s="32">
        <f>Result_notebook_retravaill!K414</f>
        <v>0</v>
      </c>
      <c r="J414" s="32">
        <f>MIN(G414,Result_notebook_retravaill!I414)</f>
        <v>37163.881136711549</v>
      </c>
      <c r="K414" s="32">
        <f>IF(Result_notebook_retravaill!I414&gt;Result_notebook_retravaill!G414,0,IF(Result_notebook_retravaill!I414+Result_notebook_retravaill!J414&gt;Result_notebook_retravaill!G414,Result_notebook_retravaill!G414-Result_notebook_retravaill!I414,Result_notebook_retravaill!J414))</f>
        <v>0</v>
      </c>
      <c r="L414" s="32">
        <f>IF(Result_notebook_retravaill!I414&gt;Result_notebook_retravaill!G414,0,IF(Result_notebook_retravaill!I414+Result_notebook_retravaill!J414&gt;Result_notebook_retravaill!G414,0,Result_notebook_retravaill!M414))</f>
        <v>0</v>
      </c>
      <c r="M414" s="31">
        <f t="shared" si="6"/>
        <v>0</v>
      </c>
    </row>
    <row r="415" spans="1:13" x14ac:dyDescent="0.35">
      <c r="A415">
        <f>Result_notebook_retravaill!A415</f>
        <v>2029</v>
      </c>
      <c r="B415" t="str">
        <f>Result_notebook_retravaill!B415</f>
        <v>Nickel</v>
      </c>
      <c r="C415" t="str">
        <f>Result_notebook_retravaill!C415</f>
        <v>Current Measures</v>
      </c>
      <c r="D415" t="str">
        <f>Result_notebook_retravaill!D415</f>
        <v>Production potential</v>
      </c>
      <c r="E415" t="str">
        <f>Result_notebook_retravaill!E415</f>
        <v>Current shares</v>
      </c>
      <c r="F415" t="str">
        <f>Result_notebook_retravaill!F415</f>
        <v>Expansion Extractive+Circularity</v>
      </c>
      <c r="G415">
        <f>Result_notebook_retravaill!G415</f>
        <v>37163.881136711549</v>
      </c>
      <c r="H415" s="32">
        <f>IF(Result_notebook_retravaill!I415&gt;Result_notebook_retravaill!G415,Result_notebook_retravaill!I415/Result_notebook_retravaill!N415,Result_notebook_retravaill!H415)</f>
        <v>153000.29070106777</v>
      </c>
      <c r="I415" s="32">
        <f>Result_notebook_retravaill!K415</f>
        <v>0</v>
      </c>
      <c r="J415" s="32">
        <f>MIN(G415,Result_notebook_retravaill!I415)</f>
        <v>37163.881136711549</v>
      </c>
      <c r="K415" s="32">
        <f>IF(Result_notebook_retravaill!I415&gt;Result_notebook_retravaill!G415,0,IF(Result_notebook_retravaill!I415+Result_notebook_retravaill!J415&gt;Result_notebook_retravaill!G415,Result_notebook_retravaill!G415-Result_notebook_retravaill!I415,Result_notebook_retravaill!J415))</f>
        <v>0</v>
      </c>
      <c r="L415" s="32">
        <f>IF(Result_notebook_retravaill!I415&gt;Result_notebook_retravaill!G415,0,IF(Result_notebook_retravaill!I415+Result_notebook_retravaill!J415&gt;Result_notebook_retravaill!G415,0,Result_notebook_retravaill!M415))</f>
        <v>0</v>
      </c>
      <c r="M415" s="31">
        <f t="shared" si="6"/>
        <v>0</v>
      </c>
    </row>
    <row r="416" spans="1:13" x14ac:dyDescent="0.35">
      <c r="A416">
        <f>Result_notebook_retravaill!A416</f>
        <v>2029</v>
      </c>
      <c r="B416" t="str">
        <f>Result_notebook_retravaill!B416</f>
        <v>Nickel</v>
      </c>
      <c r="C416" t="str">
        <f>Result_notebook_retravaill!C416</f>
        <v>Current Measures</v>
      </c>
      <c r="D416" t="str">
        <f>Result_notebook_retravaill!D416</f>
        <v>Production potential</v>
      </c>
      <c r="E416" t="str">
        <f>Result_notebook_retravaill!E416</f>
        <v>100% CAN</v>
      </c>
      <c r="F416" t="str">
        <f>Result_notebook_retravaill!F416</f>
        <v>Integrated</v>
      </c>
      <c r="G416">
        <f>Result_notebook_retravaill!G416</f>
        <v>37163.881136711549</v>
      </c>
      <c r="H416" s="32">
        <f>IF(Result_notebook_retravaill!I416&gt;Result_notebook_retravaill!G416,Result_notebook_retravaill!I416/Result_notebook_retravaill!N416,Result_notebook_retravaill!H416)</f>
        <v>214834.07190227447</v>
      </c>
      <c r="I416" s="32">
        <f>Result_notebook_retravaill!K416</f>
        <v>0</v>
      </c>
      <c r="J416" s="32">
        <f>MIN(G416,Result_notebook_retravaill!I416)</f>
        <v>37163.881136711549</v>
      </c>
      <c r="K416" s="32">
        <f>IF(Result_notebook_retravaill!I416&gt;Result_notebook_retravaill!G416,0,IF(Result_notebook_retravaill!I416+Result_notebook_retravaill!J416&gt;Result_notebook_retravaill!G416,Result_notebook_retravaill!G416-Result_notebook_retravaill!I416,Result_notebook_retravaill!J416))</f>
        <v>0</v>
      </c>
      <c r="L416" s="32">
        <f>IF(Result_notebook_retravaill!I416&gt;Result_notebook_retravaill!G416,0,IF(Result_notebook_retravaill!I416+Result_notebook_retravaill!J416&gt;Result_notebook_retravaill!G416,0,Result_notebook_retravaill!M416))</f>
        <v>0</v>
      </c>
      <c r="M416" s="31">
        <f t="shared" si="6"/>
        <v>0</v>
      </c>
    </row>
    <row r="417" spans="1:13" x14ac:dyDescent="0.35">
      <c r="A417">
        <f>Result_notebook_retravaill!A417</f>
        <v>2029</v>
      </c>
      <c r="B417" t="str">
        <f>Result_notebook_retravaill!B417</f>
        <v>Nickel</v>
      </c>
      <c r="C417" t="str">
        <f>Result_notebook_retravaill!C417</f>
        <v>Global Net-zero</v>
      </c>
      <c r="D417" t="str">
        <f>Result_notebook_retravaill!D417</f>
        <v>Existing production</v>
      </c>
      <c r="E417" t="str">
        <f>Result_notebook_retravaill!E417</f>
        <v>Current shares</v>
      </c>
      <c r="F417" t="str">
        <f>Result_notebook_retravaill!F417</f>
        <v>NIMBY</v>
      </c>
      <c r="G417">
        <f>Result_notebook_retravaill!G417</f>
        <v>61092.529648571137</v>
      </c>
      <c r="H417" s="32">
        <f>IF(Result_notebook_retravaill!I417&gt;Result_notebook_retravaill!G417,Result_notebook_retravaill!I417/Result_notebook_retravaill!N417,Result_notebook_retravaill!H417)</f>
        <v>0</v>
      </c>
      <c r="I417" s="32">
        <f>Result_notebook_retravaill!K417</f>
        <v>77332.316010849536</v>
      </c>
      <c r="J417" s="32">
        <f>MIN(G417,Result_notebook_retravaill!I417)</f>
        <v>0</v>
      </c>
      <c r="K417" s="32">
        <f>IF(Result_notebook_retravaill!I417&gt;Result_notebook_retravaill!G417,0,IF(Result_notebook_retravaill!I417+Result_notebook_retravaill!J417&gt;Result_notebook_retravaill!G417,Result_notebook_retravaill!G417-Result_notebook_retravaill!I417,Result_notebook_retravaill!J417))</f>
        <v>0</v>
      </c>
      <c r="L417" s="32">
        <f>IF(Result_notebook_retravaill!I417&gt;Result_notebook_retravaill!G417,0,IF(Result_notebook_retravaill!I417+Result_notebook_retravaill!J417&gt;Result_notebook_retravaill!G417,0,Result_notebook_retravaill!M417))</f>
        <v>61092.529648571137</v>
      </c>
      <c r="M417" s="31">
        <f t="shared" si="6"/>
        <v>0</v>
      </c>
    </row>
    <row r="418" spans="1:13" x14ac:dyDescent="0.35">
      <c r="A418">
        <f>Result_notebook_retravaill!A418</f>
        <v>2029</v>
      </c>
      <c r="B418" t="str">
        <f>Result_notebook_retravaill!B418</f>
        <v>Nickel</v>
      </c>
      <c r="C418" t="str">
        <f>Result_notebook_retravaill!C418</f>
        <v>Global Net-zero</v>
      </c>
      <c r="D418" t="str">
        <f>Result_notebook_retravaill!D418</f>
        <v>Existing production</v>
      </c>
      <c r="E418" t="str">
        <f>Result_notebook_retravaill!E418</f>
        <v>Current shares</v>
      </c>
      <c r="F418" t="str">
        <f>Result_notebook_retravaill!F418</f>
        <v>Status Quo</v>
      </c>
      <c r="G418">
        <f>Result_notebook_retravaill!G418</f>
        <v>61092.529648571137</v>
      </c>
      <c r="H418" s="32">
        <f>IF(Result_notebook_retravaill!I418&gt;Result_notebook_retravaill!G418,Result_notebook_retravaill!I418/Result_notebook_retravaill!N418,Result_notebook_retravaill!H418)</f>
        <v>121994.95715313317</v>
      </c>
      <c r="I418" s="32">
        <f>Result_notebook_retravaill!K418</f>
        <v>0</v>
      </c>
      <c r="J418" s="32">
        <f>MIN(G418,Result_notebook_retravaill!I418)</f>
        <v>61092.529648571137</v>
      </c>
      <c r="K418" s="32">
        <f>IF(Result_notebook_retravaill!I418&gt;Result_notebook_retravaill!G418,0,IF(Result_notebook_retravaill!I418+Result_notebook_retravaill!J418&gt;Result_notebook_retravaill!G418,Result_notebook_retravaill!G418-Result_notebook_retravaill!I418,Result_notebook_retravaill!J418))</f>
        <v>0</v>
      </c>
      <c r="L418" s="32">
        <f>IF(Result_notebook_retravaill!I418&gt;Result_notebook_retravaill!G418,0,IF(Result_notebook_retravaill!I418+Result_notebook_retravaill!J418&gt;Result_notebook_retravaill!G418,0,Result_notebook_retravaill!M418))</f>
        <v>0</v>
      </c>
      <c r="M418" s="31">
        <f t="shared" si="6"/>
        <v>0</v>
      </c>
    </row>
    <row r="419" spans="1:13" x14ac:dyDescent="0.35">
      <c r="A419">
        <f>Result_notebook_retravaill!A419</f>
        <v>2029</v>
      </c>
      <c r="B419" t="str">
        <f>Result_notebook_retravaill!B419</f>
        <v>Nickel</v>
      </c>
      <c r="C419" t="str">
        <f>Result_notebook_retravaill!C419</f>
        <v>Global Net-zero</v>
      </c>
      <c r="D419" t="str">
        <f>Result_notebook_retravaill!D419</f>
        <v>Production potential</v>
      </c>
      <c r="E419" t="str">
        <f>Result_notebook_retravaill!E419</f>
        <v>Current shares</v>
      </c>
      <c r="F419" t="str">
        <f>Result_notebook_retravaill!F419</f>
        <v>Expansion Extractive</v>
      </c>
      <c r="G419">
        <f>Result_notebook_retravaill!G419</f>
        <v>61092.529648571137</v>
      </c>
      <c r="H419" s="32">
        <f>IF(Result_notebook_retravaill!I419&gt;Result_notebook_retravaill!G419,Result_notebook_retravaill!I419/Result_notebook_retravaill!N419,Result_notebook_retravaill!H419)</f>
        <v>153000.29070106777</v>
      </c>
      <c r="I419" s="32">
        <f>Result_notebook_retravaill!K419</f>
        <v>0</v>
      </c>
      <c r="J419" s="32">
        <f>MIN(G419,Result_notebook_retravaill!I419)</f>
        <v>61092.529648571137</v>
      </c>
      <c r="K419" s="32">
        <f>IF(Result_notebook_retravaill!I419&gt;Result_notebook_retravaill!G419,0,IF(Result_notebook_retravaill!I419+Result_notebook_retravaill!J419&gt;Result_notebook_retravaill!G419,Result_notebook_retravaill!G419-Result_notebook_retravaill!I419,Result_notebook_retravaill!J419))</f>
        <v>0</v>
      </c>
      <c r="L419" s="32">
        <f>IF(Result_notebook_retravaill!I419&gt;Result_notebook_retravaill!G419,0,IF(Result_notebook_retravaill!I419+Result_notebook_retravaill!J419&gt;Result_notebook_retravaill!G419,0,Result_notebook_retravaill!M419))</f>
        <v>0</v>
      </c>
      <c r="M419" s="31">
        <f t="shared" si="6"/>
        <v>0</v>
      </c>
    </row>
    <row r="420" spans="1:13" x14ac:dyDescent="0.35">
      <c r="A420">
        <f>Result_notebook_retravaill!A420</f>
        <v>2029</v>
      </c>
      <c r="B420" t="str">
        <f>Result_notebook_retravaill!B420</f>
        <v>Nickel</v>
      </c>
      <c r="C420" t="str">
        <f>Result_notebook_retravaill!C420</f>
        <v>Global Net-zero</v>
      </c>
      <c r="D420" t="str">
        <f>Result_notebook_retravaill!D420</f>
        <v>Production potential</v>
      </c>
      <c r="E420" t="str">
        <f>Result_notebook_retravaill!E420</f>
        <v>Current shares</v>
      </c>
      <c r="F420" t="str">
        <f>Result_notebook_retravaill!F420</f>
        <v>Expansion Extractive+Circularity</v>
      </c>
      <c r="G420">
        <f>Result_notebook_retravaill!G420</f>
        <v>61092.529648571137</v>
      </c>
      <c r="H420" s="32">
        <f>IF(Result_notebook_retravaill!I420&gt;Result_notebook_retravaill!G420,Result_notebook_retravaill!I420/Result_notebook_retravaill!N420,Result_notebook_retravaill!H420)</f>
        <v>153000.29070106777</v>
      </c>
      <c r="I420" s="32">
        <f>Result_notebook_retravaill!K420</f>
        <v>0</v>
      </c>
      <c r="J420" s="32">
        <f>MIN(G420,Result_notebook_retravaill!I420)</f>
        <v>61092.529648571137</v>
      </c>
      <c r="K420" s="32">
        <f>IF(Result_notebook_retravaill!I420&gt;Result_notebook_retravaill!G420,0,IF(Result_notebook_retravaill!I420+Result_notebook_retravaill!J420&gt;Result_notebook_retravaill!G420,Result_notebook_retravaill!G420-Result_notebook_retravaill!I420,Result_notebook_retravaill!J420))</f>
        <v>0</v>
      </c>
      <c r="L420" s="32">
        <f>IF(Result_notebook_retravaill!I420&gt;Result_notebook_retravaill!G420,0,IF(Result_notebook_retravaill!I420+Result_notebook_retravaill!J420&gt;Result_notebook_retravaill!G420,0,Result_notebook_retravaill!M420))</f>
        <v>0</v>
      </c>
      <c r="M420" s="31">
        <f t="shared" si="6"/>
        <v>0</v>
      </c>
    </row>
    <row r="421" spans="1:13" x14ac:dyDescent="0.35">
      <c r="A421">
        <f>Result_notebook_retravaill!A421</f>
        <v>2029</v>
      </c>
      <c r="B421" t="str">
        <f>Result_notebook_retravaill!B421</f>
        <v>Nickel</v>
      </c>
      <c r="C421" t="str">
        <f>Result_notebook_retravaill!C421</f>
        <v>Global Net-zero</v>
      </c>
      <c r="D421" t="str">
        <f>Result_notebook_retravaill!D421</f>
        <v>Production potential</v>
      </c>
      <c r="E421" t="str">
        <f>Result_notebook_retravaill!E421</f>
        <v>100% CAN</v>
      </c>
      <c r="F421" t="str">
        <f>Result_notebook_retravaill!F421</f>
        <v>Integrated</v>
      </c>
      <c r="G421">
        <f>Result_notebook_retravaill!G421</f>
        <v>61092.529648571137</v>
      </c>
      <c r="H421" s="32">
        <f>IF(Result_notebook_retravaill!I421&gt;Result_notebook_retravaill!G421,Result_notebook_retravaill!I421/Result_notebook_retravaill!N421,Result_notebook_retravaill!H421)</f>
        <v>214834.07190227447</v>
      </c>
      <c r="I421" s="32">
        <f>Result_notebook_retravaill!K421</f>
        <v>0</v>
      </c>
      <c r="J421" s="32">
        <f>MIN(G421,Result_notebook_retravaill!I421)</f>
        <v>61092.529648571137</v>
      </c>
      <c r="K421" s="32">
        <f>IF(Result_notebook_retravaill!I421&gt;Result_notebook_retravaill!G421,0,IF(Result_notebook_retravaill!I421+Result_notebook_retravaill!J421&gt;Result_notebook_retravaill!G421,Result_notebook_retravaill!G421-Result_notebook_retravaill!I421,Result_notebook_retravaill!J421))</f>
        <v>0</v>
      </c>
      <c r="L421" s="32">
        <f>IF(Result_notebook_retravaill!I421&gt;Result_notebook_retravaill!G421,0,IF(Result_notebook_retravaill!I421+Result_notebook_retravaill!J421&gt;Result_notebook_retravaill!G421,0,Result_notebook_retravaill!M421))</f>
        <v>0</v>
      </c>
      <c r="M421" s="31">
        <f t="shared" si="6"/>
        <v>0</v>
      </c>
    </row>
    <row r="422" spans="1:13" x14ac:dyDescent="0.35">
      <c r="A422">
        <f>Result_notebook_retravaill!A422</f>
        <v>2029</v>
      </c>
      <c r="B422" t="str">
        <f>Result_notebook_retravaill!B422</f>
        <v>Graphite</v>
      </c>
      <c r="C422" t="str">
        <f>Result_notebook_retravaill!C422</f>
        <v>Canada Net-zero</v>
      </c>
      <c r="D422" t="str">
        <f>Result_notebook_retravaill!D422</f>
        <v>Existing production</v>
      </c>
      <c r="E422" t="str">
        <f>Result_notebook_retravaill!E422</f>
        <v>Current shares</v>
      </c>
      <c r="F422" t="str">
        <f>Result_notebook_retravaill!F422</f>
        <v>NIMBY</v>
      </c>
      <c r="G422">
        <f>Result_notebook_retravaill!G422</f>
        <v>1524.695210353849</v>
      </c>
      <c r="H422" s="32">
        <f>IF(Result_notebook_retravaill!I422&gt;Result_notebook_retravaill!G422,Result_notebook_retravaill!I422/Result_notebook_retravaill!N422,Result_notebook_retravaill!H422)</f>
        <v>0</v>
      </c>
      <c r="I422" s="32">
        <f>Result_notebook_retravaill!K422</f>
        <v>1524.695210353849</v>
      </c>
      <c r="J422" s="32">
        <f>MIN(G422,Result_notebook_retravaill!I422)</f>
        <v>0</v>
      </c>
      <c r="K422" s="32">
        <f>IF(Result_notebook_retravaill!I422&gt;Result_notebook_retravaill!G422,0,IF(Result_notebook_retravaill!I422+Result_notebook_retravaill!J422&gt;Result_notebook_retravaill!G422,Result_notebook_retravaill!G422-Result_notebook_retravaill!I422,Result_notebook_retravaill!J422))</f>
        <v>0</v>
      </c>
      <c r="L422" s="32">
        <f>IF(Result_notebook_retravaill!I422&gt;Result_notebook_retravaill!G422,0,IF(Result_notebook_retravaill!I422+Result_notebook_retravaill!J422&gt;Result_notebook_retravaill!G422,0,Result_notebook_retravaill!M422))</f>
        <v>1524.695210353849</v>
      </c>
      <c r="M422" s="31">
        <f t="shared" si="6"/>
        <v>0</v>
      </c>
    </row>
    <row r="423" spans="1:13" x14ac:dyDescent="0.35">
      <c r="A423">
        <f>Result_notebook_retravaill!A423</f>
        <v>2029</v>
      </c>
      <c r="B423" t="str">
        <f>Result_notebook_retravaill!B423</f>
        <v>Graphite</v>
      </c>
      <c r="C423" t="str">
        <f>Result_notebook_retravaill!C423</f>
        <v>Canada Net-zero</v>
      </c>
      <c r="D423" t="str">
        <f>Result_notebook_retravaill!D423</f>
        <v>Existing production</v>
      </c>
      <c r="E423" t="str">
        <f>Result_notebook_retravaill!E423</f>
        <v>Current shares</v>
      </c>
      <c r="F423" t="str">
        <f>Result_notebook_retravaill!F423</f>
        <v>Status Quo</v>
      </c>
      <c r="G423">
        <f>Result_notebook_retravaill!G423</f>
        <v>1524.695210353849</v>
      </c>
      <c r="H423" s="32">
        <f>IF(Result_notebook_retravaill!I423&gt;Result_notebook_retravaill!G423,Result_notebook_retravaill!I423/Result_notebook_retravaill!N423,Result_notebook_retravaill!H423)</f>
        <v>0</v>
      </c>
      <c r="I423" s="32">
        <f>Result_notebook_retravaill!K423</f>
        <v>1524.695210353849</v>
      </c>
      <c r="J423" s="32">
        <f>MIN(G423,Result_notebook_retravaill!I423)</f>
        <v>0</v>
      </c>
      <c r="K423" s="32">
        <f>IF(Result_notebook_retravaill!I423&gt;Result_notebook_retravaill!G423,0,IF(Result_notebook_retravaill!I423+Result_notebook_retravaill!J423&gt;Result_notebook_retravaill!G423,Result_notebook_retravaill!G423-Result_notebook_retravaill!I423,Result_notebook_retravaill!J423))</f>
        <v>0</v>
      </c>
      <c r="L423" s="32">
        <f>IF(Result_notebook_retravaill!I423&gt;Result_notebook_retravaill!G423,0,IF(Result_notebook_retravaill!I423+Result_notebook_retravaill!J423&gt;Result_notebook_retravaill!G423,0,Result_notebook_retravaill!M423))</f>
        <v>1524.695210353849</v>
      </c>
      <c r="M423" s="31">
        <f t="shared" si="6"/>
        <v>0</v>
      </c>
    </row>
    <row r="424" spans="1:13" x14ac:dyDescent="0.35">
      <c r="A424">
        <f>Result_notebook_retravaill!A424</f>
        <v>2029</v>
      </c>
      <c r="B424" t="str">
        <f>Result_notebook_retravaill!B424</f>
        <v>Graphite</v>
      </c>
      <c r="C424" t="str">
        <f>Result_notebook_retravaill!C424</f>
        <v>Canada Net-zero</v>
      </c>
      <c r="D424" t="str">
        <f>Result_notebook_retravaill!D424</f>
        <v>Production potential</v>
      </c>
      <c r="E424" t="str">
        <f>Result_notebook_retravaill!E424</f>
        <v>Current shares</v>
      </c>
      <c r="F424" t="str">
        <f>Result_notebook_retravaill!F424</f>
        <v>Expansion Extractive</v>
      </c>
      <c r="G424">
        <f>Result_notebook_retravaill!G424</f>
        <v>1524.695210353849</v>
      </c>
      <c r="H424" s="32">
        <f>IF(Result_notebook_retravaill!I424&gt;Result_notebook_retravaill!G424,Result_notebook_retravaill!I424/Result_notebook_retravaill!N424,Result_notebook_retravaill!H424)</f>
        <v>54865.848991909421</v>
      </c>
      <c r="I424" s="32">
        <f>Result_notebook_retravaill!K424</f>
        <v>0</v>
      </c>
      <c r="J424" s="32">
        <f>MIN(G424,Result_notebook_retravaill!I424)</f>
        <v>1524.695210353849</v>
      </c>
      <c r="K424" s="32">
        <f>IF(Result_notebook_retravaill!I424&gt;Result_notebook_retravaill!G424,0,IF(Result_notebook_retravaill!I424+Result_notebook_retravaill!J424&gt;Result_notebook_retravaill!G424,Result_notebook_retravaill!G424-Result_notebook_retravaill!I424,Result_notebook_retravaill!J424))</f>
        <v>0</v>
      </c>
      <c r="L424" s="32">
        <f>IF(Result_notebook_retravaill!I424&gt;Result_notebook_retravaill!G424,0,IF(Result_notebook_retravaill!I424+Result_notebook_retravaill!J424&gt;Result_notebook_retravaill!G424,0,Result_notebook_retravaill!M424))</f>
        <v>0</v>
      </c>
      <c r="M424" s="31">
        <f t="shared" si="6"/>
        <v>0</v>
      </c>
    </row>
    <row r="425" spans="1:13" x14ac:dyDescent="0.35">
      <c r="A425">
        <f>Result_notebook_retravaill!A425</f>
        <v>2029</v>
      </c>
      <c r="B425" t="str">
        <f>Result_notebook_retravaill!B425</f>
        <v>Graphite</v>
      </c>
      <c r="C425" t="str">
        <f>Result_notebook_retravaill!C425</f>
        <v>Canada Net-zero</v>
      </c>
      <c r="D425" t="str">
        <f>Result_notebook_retravaill!D425</f>
        <v>Production potential</v>
      </c>
      <c r="E425" t="str">
        <f>Result_notebook_retravaill!E425</f>
        <v>Current shares</v>
      </c>
      <c r="F425" t="str">
        <f>Result_notebook_retravaill!F425</f>
        <v>Expansion Extractive+Circularity</v>
      </c>
      <c r="G425">
        <f>Result_notebook_retravaill!G425</f>
        <v>1524.695210353849</v>
      </c>
      <c r="H425" s="32">
        <f>IF(Result_notebook_retravaill!I425&gt;Result_notebook_retravaill!G425,Result_notebook_retravaill!I425/Result_notebook_retravaill!N425,Result_notebook_retravaill!H425)</f>
        <v>54865.848991909421</v>
      </c>
      <c r="I425" s="32">
        <f>Result_notebook_retravaill!K425</f>
        <v>0</v>
      </c>
      <c r="J425" s="32">
        <f>MIN(G425,Result_notebook_retravaill!I425)</f>
        <v>1524.695210353849</v>
      </c>
      <c r="K425" s="32">
        <f>IF(Result_notebook_retravaill!I425&gt;Result_notebook_retravaill!G425,0,IF(Result_notebook_retravaill!I425+Result_notebook_retravaill!J425&gt;Result_notebook_retravaill!G425,Result_notebook_retravaill!G425-Result_notebook_retravaill!I425,Result_notebook_retravaill!J425))</f>
        <v>0</v>
      </c>
      <c r="L425" s="32">
        <f>IF(Result_notebook_retravaill!I425&gt;Result_notebook_retravaill!G425,0,IF(Result_notebook_retravaill!I425+Result_notebook_retravaill!J425&gt;Result_notebook_retravaill!G425,0,Result_notebook_retravaill!M425))</f>
        <v>0</v>
      </c>
      <c r="M425" s="31">
        <f t="shared" si="6"/>
        <v>0</v>
      </c>
    </row>
    <row r="426" spans="1:13" x14ac:dyDescent="0.35">
      <c r="A426">
        <f>Result_notebook_retravaill!A426</f>
        <v>2029</v>
      </c>
      <c r="B426" t="str">
        <f>Result_notebook_retravaill!B426</f>
        <v>Graphite</v>
      </c>
      <c r="C426" t="str">
        <f>Result_notebook_retravaill!C426</f>
        <v>Canada Net-zero</v>
      </c>
      <c r="D426" t="str">
        <f>Result_notebook_retravaill!D426</f>
        <v>Production potential</v>
      </c>
      <c r="E426" t="str">
        <f>Result_notebook_retravaill!E426</f>
        <v>100% CAN</v>
      </c>
      <c r="F426" t="str">
        <f>Result_notebook_retravaill!F426</f>
        <v>Integrated</v>
      </c>
      <c r="G426">
        <f>Result_notebook_retravaill!G426</f>
        <v>1524.695210353849</v>
      </c>
      <c r="H426" s="32">
        <f>IF(Result_notebook_retravaill!I426&gt;Result_notebook_retravaill!G426,Result_notebook_retravaill!I426/Result_notebook_retravaill!N426,Result_notebook_retravaill!H426)</f>
        <v>54865.848991909421</v>
      </c>
      <c r="I426" s="32">
        <f>Result_notebook_retravaill!K426</f>
        <v>0</v>
      </c>
      <c r="J426" s="32">
        <f>MIN(G426,Result_notebook_retravaill!I426)</f>
        <v>1524.695210353849</v>
      </c>
      <c r="K426" s="32">
        <f>IF(Result_notebook_retravaill!I426&gt;Result_notebook_retravaill!G426,0,IF(Result_notebook_retravaill!I426+Result_notebook_retravaill!J426&gt;Result_notebook_retravaill!G426,Result_notebook_retravaill!G426-Result_notebook_retravaill!I426,Result_notebook_retravaill!J426))</f>
        <v>0</v>
      </c>
      <c r="L426" s="32">
        <f>IF(Result_notebook_retravaill!I426&gt;Result_notebook_retravaill!G426,0,IF(Result_notebook_retravaill!I426+Result_notebook_retravaill!J426&gt;Result_notebook_retravaill!G426,0,Result_notebook_retravaill!M426))</f>
        <v>0</v>
      </c>
      <c r="M426" s="31">
        <f t="shared" si="6"/>
        <v>0</v>
      </c>
    </row>
    <row r="427" spans="1:13" x14ac:dyDescent="0.35">
      <c r="A427">
        <f>Result_notebook_retravaill!A427</f>
        <v>2029</v>
      </c>
      <c r="B427" t="str">
        <f>Result_notebook_retravaill!B427</f>
        <v>Graphite</v>
      </c>
      <c r="C427" t="str">
        <f>Result_notebook_retravaill!C427</f>
        <v>Current Measures</v>
      </c>
      <c r="D427" t="str">
        <f>Result_notebook_retravaill!D427</f>
        <v>Existing production</v>
      </c>
      <c r="E427" t="str">
        <f>Result_notebook_retravaill!E427</f>
        <v>Current shares</v>
      </c>
      <c r="F427" t="str">
        <f>Result_notebook_retravaill!F427</f>
        <v>NIMBY</v>
      </c>
      <c r="G427">
        <f>Result_notebook_retravaill!G427</f>
        <v>774.14440896765586</v>
      </c>
      <c r="H427" s="32">
        <f>IF(Result_notebook_retravaill!I427&gt;Result_notebook_retravaill!G427,Result_notebook_retravaill!I427/Result_notebook_retravaill!N427,Result_notebook_retravaill!H427)</f>
        <v>0</v>
      </c>
      <c r="I427" s="32">
        <f>Result_notebook_retravaill!K427</f>
        <v>774.14440896765586</v>
      </c>
      <c r="J427" s="32">
        <f>MIN(G427,Result_notebook_retravaill!I427)</f>
        <v>0</v>
      </c>
      <c r="K427" s="32">
        <f>IF(Result_notebook_retravaill!I427&gt;Result_notebook_retravaill!G427,0,IF(Result_notebook_retravaill!I427+Result_notebook_retravaill!J427&gt;Result_notebook_retravaill!G427,Result_notebook_retravaill!G427-Result_notebook_retravaill!I427,Result_notebook_retravaill!J427))</f>
        <v>0</v>
      </c>
      <c r="L427" s="32">
        <f>IF(Result_notebook_retravaill!I427&gt;Result_notebook_retravaill!G427,0,IF(Result_notebook_retravaill!I427+Result_notebook_retravaill!J427&gt;Result_notebook_retravaill!G427,0,Result_notebook_retravaill!M427))</f>
        <v>774.14440896765586</v>
      </c>
      <c r="M427" s="31">
        <f t="shared" si="6"/>
        <v>0</v>
      </c>
    </row>
    <row r="428" spans="1:13" x14ac:dyDescent="0.35">
      <c r="A428">
        <f>Result_notebook_retravaill!A428</f>
        <v>2029</v>
      </c>
      <c r="B428" t="str">
        <f>Result_notebook_retravaill!B428</f>
        <v>Graphite</v>
      </c>
      <c r="C428" t="str">
        <f>Result_notebook_retravaill!C428</f>
        <v>Current Measures</v>
      </c>
      <c r="D428" t="str">
        <f>Result_notebook_retravaill!D428</f>
        <v>Existing production</v>
      </c>
      <c r="E428" t="str">
        <f>Result_notebook_retravaill!E428</f>
        <v>Current shares</v>
      </c>
      <c r="F428" t="str">
        <f>Result_notebook_retravaill!F428</f>
        <v>Status Quo</v>
      </c>
      <c r="G428">
        <f>Result_notebook_retravaill!G428</f>
        <v>774.14440896765586</v>
      </c>
      <c r="H428" s="32">
        <f>IF(Result_notebook_retravaill!I428&gt;Result_notebook_retravaill!G428,Result_notebook_retravaill!I428/Result_notebook_retravaill!N428,Result_notebook_retravaill!H428)</f>
        <v>0</v>
      </c>
      <c r="I428" s="32">
        <f>Result_notebook_retravaill!K428</f>
        <v>774.14440896765586</v>
      </c>
      <c r="J428" s="32">
        <f>MIN(G428,Result_notebook_retravaill!I428)</f>
        <v>0</v>
      </c>
      <c r="K428" s="32">
        <f>IF(Result_notebook_retravaill!I428&gt;Result_notebook_retravaill!G428,0,IF(Result_notebook_retravaill!I428+Result_notebook_retravaill!J428&gt;Result_notebook_retravaill!G428,Result_notebook_retravaill!G428-Result_notebook_retravaill!I428,Result_notebook_retravaill!J428))</f>
        <v>0</v>
      </c>
      <c r="L428" s="32">
        <f>IF(Result_notebook_retravaill!I428&gt;Result_notebook_retravaill!G428,0,IF(Result_notebook_retravaill!I428+Result_notebook_retravaill!J428&gt;Result_notebook_retravaill!G428,0,Result_notebook_retravaill!M428))</f>
        <v>774.14440896765586</v>
      </c>
      <c r="M428" s="31">
        <f t="shared" si="6"/>
        <v>0</v>
      </c>
    </row>
    <row r="429" spans="1:13" x14ac:dyDescent="0.35">
      <c r="A429">
        <f>Result_notebook_retravaill!A429</f>
        <v>2029</v>
      </c>
      <c r="B429" t="str">
        <f>Result_notebook_retravaill!B429</f>
        <v>Graphite</v>
      </c>
      <c r="C429" t="str">
        <f>Result_notebook_retravaill!C429</f>
        <v>Current Measures</v>
      </c>
      <c r="D429" t="str">
        <f>Result_notebook_retravaill!D429</f>
        <v>Production potential</v>
      </c>
      <c r="E429" t="str">
        <f>Result_notebook_retravaill!E429</f>
        <v>Current shares</v>
      </c>
      <c r="F429" t="str">
        <f>Result_notebook_retravaill!F429</f>
        <v>Expansion Extractive</v>
      </c>
      <c r="G429">
        <f>Result_notebook_retravaill!G429</f>
        <v>774.14440896765586</v>
      </c>
      <c r="H429" s="32">
        <f>IF(Result_notebook_retravaill!I429&gt;Result_notebook_retravaill!G429,Result_notebook_retravaill!I429/Result_notebook_retravaill!N429,Result_notebook_retravaill!H429)</f>
        <v>54865.848991909421</v>
      </c>
      <c r="I429" s="32">
        <f>Result_notebook_retravaill!K429</f>
        <v>0</v>
      </c>
      <c r="J429" s="32">
        <f>MIN(G429,Result_notebook_retravaill!I429)</f>
        <v>774.14440896765586</v>
      </c>
      <c r="K429" s="32">
        <f>IF(Result_notebook_retravaill!I429&gt;Result_notebook_retravaill!G429,0,IF(Result_notebook_retravaill!I429+Result_notebook_retravaill!J429&gt;Result_notebook_retravaill!G429,Result_notebook_retravaill!G429-Result_notebook_retravaill!I429,Result_notebook_retravaill!J429))</f>
        <v>0</v>
      </c>
      <c r="L429" s="32">
        <f>IF(Result_notebook_retravaill!I429&gt;Result_notebook_retravaill!G429,0,IF(Result_notebook_retravaill!I429+Result_notebook_retravaill!J429&gt;Result_notebook_retravaill!G429,0,Result_notebook_retravaill!M429))</f>
        <v>0</v>
      </c>
      <c r="M429" s="31">
        <f t="shared" si="6"/>
        <v>0</v>
      </c>
    </row>
    <row r="430" spans="1:13" x14ac:dyDescent="0.35">
      <c r="A430">
        <f>Result_notebook_retravaill!A430</f>
        <v>2029</v>
      </c>
      <c r="B430" t="str">
        <f>Result_notebook_retravaill!B430</f>
        <v>Graphite</v>
      </c>
      <c r="C430" t="str">
        <f>Result_notebook_retravaill!C430</f>
        <v>Current Measures</v>
      </c>
      <c r="D430" t="str">
        <f>Result_notebook_retravaill!D430</f>
        <v>Production potential</v>
      </c>
      <c r="E430" t="str">
        <f>Result_notebook_retravaill!E430</f>
        <v>Current shares</v>
      </c>
      <c r="F430" t="str">
        <f>Result_notebook_retravaill!F430</f>
        <v>Expansion Extractive+Circularity</v>
      </c>
      <c r="G430">
        <f>Result_notebook_retravaill!G430</f>
        <v>774.14440896765586</v>
      </c>
      <c r="H430" s="32">
        <f>IF(Result_notebook_retravaill!I430&gt;Result_notebook_retravaill!G430,Result_notebook_retravaill!I430/Result_notebook_retravaill!N430,Result_notebook_retravaill!H430)</f>
        <v>54865.848991909421</v>
      </c>
      <c r="I430" s="32">
        <f>Result_notebook_retravaill!K430</f>
        <v>0</v>
      </c>
      <c r="J430" s="32">
        <f>MIN(G430,Result_notebook_retravaill!I430)</f>
        <v>774.14440896765586</v>
      </c>
      <c r="K430" s="32">
        <f>IF(Result_notebook_retravaill!I430&gt;Result_notebook_retravaill!G430,0,IF(Result_notebook_retravaill!I430+Result_notebook_retravaill!J430&gt;Result_notebook_retravaill!G430,Result_notebook_retravaill!G430-Result_notebook_retravaill!I430,Result_notebook_retravaill!J430))</f>
        <v>0</v>
      </c>
      <c r="L430" s="32">
        <f>IF(Result_notebook_retravaill!I430&gt;Result_notebook_retravaill!G430,0,IF(Result_notebook_retravaill!I430+Result_notebook_retravaill!J430&gt;Result_notebook_retravaill!G430,0,Result_notebook_retravaill!M430))</f>
        <v>0</v>
      </c>
      <c r="M430" s="31">
        <f t="shared" si="6"/>
        <v>0</v>
      </c>
    </row>
    <row r="431" spans="1:13" x14ac:dyDescent="0.35">
      <c r="A431">
        <f>Result_notebook_retravaill!A431</f>
        <v>2029</v>
      </c>
      <c r="B431" t="str">
        <f>Result_notebook_retravaill!B431</f>
        <v>Graphite</v>
      </c>
      <c r="C431" t="str">
        <f>Result_notebook_retravaill!C431</f>
        <v>Current Measures</v>
      </c>
      <c r="D431" t="str">
        <f>Result_notebook_retravaill!D431</f>
        <v>Production potential</v>
      </c>
      <c r="E431" t="str">
        <f>Result_notebook_retravaill!E431</f>
        <v>100% CAN</v>
      </c>
      <c r="F431" t="str">
        <f>Result_notebook_retravaill!F431</f>
        <v>Integrated</v>
      </c>
      <c r="G431">
        <f>Result_notebook_retravaill!G431</f>
        <v>774.14440896765586</v>
      </c>
      <c r="H431" s="32">
        <f>IF(Result_notebook_retravaill!I431&gt;Result_notebook_retravaill!G431,Result_notebook_retravaill!I431/Result_notebook_retravaill!N431,Result_notebook_retravaill!H431)</f>
        <v>54865.848991909421</v>
      </c>
      <c r="I431" s="32">
        <f>Result_notebook_retravaill!K431</f>
        <v>0</v>
      </c>
      <c r="J431" s="32">
        <f>MIN(G431,Result_notebook_retravaill!I431)</f>
        <v>774.14440896765586</v>
      </c>
      <c r="K431" s="32">
        <f>IF(Result_notebook_retravaill!I431&gt;Result_notebook_retravaill!G431,0,IF(Result_notebook_retravaill!I431+Result_notebook_retravaill!J431&gt;Result_notebook_retravaill!G431,Result_notebook_retravaill!G431-Result_notebook_retravaill!I431,Result_notebook_retravaill!J431))</f>
        <v>0</v>
      </c>
      <c r="L431" s="32">
        <f>IF(Result_notebook_retravaill!I431&gt;Result_notebook_retravaill!G431,0,IF(Result_notebook_retravaill!I431+Result_notebook_retravaill!J431&gt;Result_notebook_retravaill!G431,0,Result_notebook_retravaill!M431))</f>
        <v>0</v>
      </c>
      <c r="M431" s="31">
        <f t="shared" si="6"/>
        <v>0</v>
      </c>
    </row>
    <row r="432" spans="1:13" x14ac:dyDescent="0.35">
      <c r="A432">
        <f>Result_notebook_retravaill!A432</f>
        <v>2029</v>
      </c>
      <c r="B432" t="str">
        <f>Result_notebook_retravaill!B432</f>
        <v>Graphite</v>
      </c>
      <c r="C432" t="str">
        <f>Result_notebook_retravaill!C432</f>
        <v>Global Net-zero</v>
      </c>
      <c r="D432" t="str">
        <f>Result_notebook_retravaill!D432</f>
        <v>Existing production</v>
      </c>
      <c r="E432" t="str">
        <f>Result_notebook_retravaill!E432</f>
        <v>Current shares</v>
      </c>
      <c r="F432" t="str">
        <f>Result_notebook_retravaill!F432</f>
        <v>NIMBY</v>
      </c>
      <c r="G432">
        <f>Result_notebook_retravaill!G432</f>
        <v>1460.140190208509</v>
      </c>
      <c r="H432" s="32">
        <f>IF(Result_notebook_retravaill!I432&gt;Result_notebook_retravaill!G432,Result_notebook_retravaill!I432/Result_notebook_retravaill!N432,Result_notebook_retravaill!H432)</f>
        <v>0</v>
      </c>
      <c r="I432" s="32">
        <f>Result_notebook_retravaill!K432</f>
        <v>1460.140190208509</v>
      </c>
      <c r="J432" s="32">
        <f>MIN(G432,Result_notebook_retravaill!I432)</f>
        <v>0</v>
      </c>
      <c r="K432" s="32">
        <f>IF(Result_notebook_retravaill!I432&gt;Result_notebook_retravaill!G432,0,IF(Result_notebook_retravaill!I432+Result_notebook_retravaill!J432&gt;Result_notebook_retravaill!G432,Result_notebook_retravaill!G432-Result_notebook_retravaill!I432,Result_notebook_retravaill!J432))</f>
        <v>0</v>
      </c>
      <c r="L432" s="32">
        <f>IF(Result_notebook_retravaill!I432&gt;Result_notebook_retravaill!G432,0,IF(Result_notebook_retravaill!I432+Result_notebook_retravaill!J432&gt;Result_notebook_retravaill!G432,0,Result_notebook_retravaill!M432))</f>
        <v>1460.140190208509</v>
      </c>
      <c r="M432" s="31">
        <f t="shared" si="6"/>
        <v>0</v>
      </c>
    </row>
    <row r="433" spans="1:13" x14ac:dyDescent="0.35">
      <c r="A433">
        <f>Result_notebook_retravaill!A433</f>
        <v>2029</v>
      </c>
      <c r="B433" t="str">
        <f>Result_notebook_retravaill!B433</f>
        <v>Graphite</v>
      </c>
      <c r="C433" t="str">
        <f>Result_notebook_retravaill!C433</f>
        <v>Global Net-zero</v>
      </c>
      <c r="D433" t="str">
        <f>Result_notebook_retravaill!D433</f>
        <v>Existing production</v>
      </c>
      <c r="E433" t="str">
        <f>Result_notebook_retravaill!E433</f>
        <v>Current shares</v>
      </c>
      <c r="F433" t="str">
        <f>Result_notebook_retravaill!F433</f>
        <v>Status Quo</v>
      </c>
      <c r="G433">
        <f>Result_notebook_retravaill!G433</f>
        <v>1460.140190208509</v>
      </c>
      <c r="H433" s="32">
        <f>IF(Result_notebook_retravaill!I433&gt;Result_notebook_retravaill!G433,Result_notebook_retravaill!I433/Result_notebook_retravaill!N433,Result_notebook_retravaill!H433)</f>
        <v>0</v>
      </c>
      <c r="I433" s="32">
        <f>Result_notebook_retravaill!K433</f>
        <v>1460.140190208509</v>
      </c>
      <c r="J433" s="32">
        <f>MIN(G433,Result_notebook_retravaill!I433)</f>
        <v>0</v>
      </c>
      <c r="K433" s="32">
        <f>IF(Result_notebook_retravaill!I433&gt;Result_notebook_retravaill!G433,0,IF(Result_notebook_retravaill!I433+Result_notebook_retravaill!J433&gt;Result_notebook_retravaill!G433,Result_notebook_retravaill!G433-Result_notebook_retravaill!I433,Result_notebook_retravaill!J433))</f>
        <v>0</v>
      </c>
      <c r="L433" s="32">
        <f>IF(Result_notebook_retravaill!I433&gt;Result_notebook_retravaill!G433,0,IF(Result_notebook_retravaill!I433+Result_notebook_retravaill!J433&gt;Result_notebook_retravaill!G433,0,Result_notebook_retravaill!M433))</f>
        <v>1460.140190208509</v>
      </c>
      <c r="M433" s="31">
        <f t="shared" si="6"/>
        <v>0</v>
      </c>
    </row>
    <row r="434" spans="1:13" x14ac:dyDescent="0.35">
      <c r="A434">
        <f>Result_notebook_retravaill!A434</f>
        <v>2029</v>
      </c>
      <c r="B434" t="str">
        <f>Result_notebook_retravaill!B434</f>
        <v>Graphite</v>
      </c>
      <c r="C434" t="str">
        <f>Result_notebook_retravaill!C434</f>
        <v>Global Net-zero</v>
      </c>
      <c r="D434" t="str">
        <f>Result_notebook_retravaill!D434</f>
        <v>Production potential</v>
      </c>
      <c r="E434" t="str">
        <f>Result_notebook_retravaill!E434</f>
        <v>Current shares</v>
      </c>
      <c r="F434" t="str">
        <f>Result_notebook_retravaill!F434</f>
        <v>Expansion Extractive</v>
      </c>
      <c r="G434">
        <f>Result_notebook_retravaill!G434</f>
        <v>1460.140190208509</v>
      </c>
      <c r="H434" s="32">
        <f>IF(Result_notebook_retravaill!I434&gt;Result_notebook_retravaill!G434,Result_notebook_retravaill!I434/Result_notebook_retravaill!N434,Result_notebook_retravaill!H434)</f>
        <v>54865.848991909421</v>
      </c>
      <c r="I434" s="32">
        <f>Result_notebook_retravaill!K434</f>
        <v>0</v>
      </c>
      <c r="J434" s="32">
        <f>MIN(G434,Result_notebook_retravaill!I434)</f>
        <v>1460.140190208509</v>
      </c>
      <c r="K434" s="32">
        <f>IF(Result_notebook_retravaill!I434&gt;Result_notebook_retravaill!G434,0,IF(Result_notebook_retravaill!I434+Result_notebook_retravaill!J434&gt;Result_notebook_retravaill!G434,Result_notebook_retravaill!G434-Result_notebook_retravaill!I434,Result_notebook_retravaill!J434))</f>
        <v>0</v>
      </c>
      <c r="L434" s="32">
        <f>IF(Result_notebook_retravaill!I434&gt;Result_notebook_retravaill!G434,0,IF(Result_notebook_retravaill!I434+Result_notebook_retravaill!J434&gt;Result_notebook_retravaill!G434,0,Result_notebook_retravaill!M434))</f>
        <v>0</v>
      </c>
      <c r="M434" s="31">
        <f t="shared" si="6"/>
        <v>0</v>
      </c>
    </row>
    <row r="435" spans="1:13" x14ac:dyDescent="0.35">
      <c r="A435">
        <f>Result_notebook_retravaill!A435</f>
        <v>2029</v>
      </c>
      <c r="B435" t="str">
        <f>Result_notebook_retravaill!B435</f>
        <v>Graphite</v>
      </c>
      <c r="C435" t="str">
        <f>Result_notebook_retravaill!C435</f>
        <v>Global Net-zero</v>
      </c>
      <c r="D435" t="str">
        <f>Result_notebook_retravaill!D435</f>
        <v>Production potential</v>
      </c>
      <c r="E435" t="str">
        <f>Result_notebook_retravaill!E435</f>
        <v>Current shares</v>
      </c>
      <c r="F435" t="str">
        <f>Result_notebook_retravaill!F435</f>
        <v>Expansion Extractive+Circularity</v>
      </c>
      <c r="G435">
        <f>Result_notebook_retravaill!G435</f>
        <v>1460.140190208509</v>
      </c>
      <c r="H435" s="32">
        <f>IF(Result_notebook_retravaill!I435&gt;Result_notebook_retravaill!G435,Result_notebook_retravaill!I435/Result_notebook_retravaill!N435,Result_notebook_retravaill!H435)</f>
        <v>54865.848991909421</v>
      </c>
      <c r="I435" s="32">
        <f>Result_notebook_retravaill!K435</f>
        <v>0</v>
      </c>
      <c r="J435" s="32">
        <f>MIN(G435,Result_notebook_retravaill!I435)</f>
        <v>1460.140190208509</v>
      </c>
      <c r="K435" s="32">
        <f>IF(Result_notebook_retravaill!I435&gt;Result_notebook_retravaill!G435,0,IF(Result_notebook_retravaill!I435+Result_notebook_retravaill!J435&gt;Result_notebook_retravaill!G435,Result_notebook_retravaill!G435-Result_notebook_retravaill!I435,Result_notebook_retravaill!J435))</f>
        <v>0</v>
      </c>
      <c r="L435" s="32">
        <f>IF(Result_notebook_retravaill!I435&gt;Result_notebook_retravaill!G435,0,IF(Result_notebook_retravaill!I435+Result_notebook_retravaill!J435&gt;Result_notebook_retravaill!G435,0,Result_notebook_retravaill!M435))</f>
        <v>0</v>
      </c>
      <c r="M435" s="31">
        <f t="shared" si="6"/>
        <v>0</v>
      </c>
    </row>
    <row r="436" spans="1:13" x14ac:dyDescent="0.35">
      <c r="A436">
        <f>Result_notebook_retravaill!A436</f>
        <v>2029</v>
      </c>
      <c r="B436" t="str">
        <f>Result_notebook_retravaill!B436</f>
        <v>Graphite</v>
      </c>
      <c r="C436" t="str">
        <f>Result_notebook_retravaill!C436</f>
        <v>Global Net-zero</v>
      </c>
      <c r="D436" t="str">
        <f>Result_notebook_retravaill!D436</f>
        <v>Production potential</v>
      </c>
      <c r="E436" t="str">
        <f>Result_notebook_retravaill!E436</f>
        <v>100% CAN</v>
      </c>
      <c r="F436" t="str">
        <f>Result_notebook_retravaill!F436</f>
        <v>Integrated</v>
      </c>
      <c r="G436">
        <f>Result_notebook_retravaill!G436</f>
        <v>1460.140190208509</v>
      </c>
      <c r="H436" s="32">
        <f>IF(Result_notebook_retravaill!I436&gt;Result_notebook_retravaill!G436,Result_notebook_retravaill!I436/Result_notebook_retravaill!N436,Result_notebook_retravaill!H436)</f>
        <v>54865.848991909421</v>
      </c>
      <c r="I436" s="32">
        <f>Result_notebook_retravaill!K436</f>
        <v>0</v>
      </c>
      <c r="J436" s="32">
        <f>MIN(G436,Result_notebook_retravaill!I436)</f>
        <v>1460.140190208509</v>
      </c>
      <c r="K436" s="32">
        <f>IF(Result_notebook_retravaill!I436&gt;Result_notebook_retravaill!G436,0,IF(Result_notebook_retravaill!I436+Result_notebook_retravaill!J436&gt;Result_notebook_retravaill!G436,Result_notebook_retravaill!G436-Result_notebook_retravaill!I436,Result_notebook_retravaill!J436))</f>
        <v>0</v>
      </c>
      <c r="L436" s="32">
        <f>IF(Result_notebook_retravaill!I436&gt;Result_notebook_retravaill!G436,0,IF(Result_notebook_retravaill!I436+Result_notebook_retravaill!J436&gt;Result_notebook_retravaill!G436,0,Result_notebook_retravaill!M436))</f>
        <v>0</v>
      </c>
      <c r="M436" s="31">
        <f t="shared" si="6"/>
        <v>0</v>
      </c>
    </row>
    <row r="437" spans="1:13" x14ac:dyDescent="0.35">
      <c r="A437">
        <f>Result_notebook_retravaill!A437</f>
        <v>2029</v>
      </c>
      <c r="B437" t="str">
        <f>Result_notebook_retravaill!B437</f>
        <v>Lithium</v>
      </c>
      <c r="C437" t="str">
        <f>Result_notebook_retravaill!C437</f>
        <v>Canada Net-zero</v>
      </c>
      <c r="D437" t="str">
        <f>Result_notebook_retravaill!D437</f>
        <v>Existing production</v>
      </c>
      <c r="E437" t="str">
        <f>Result_notebook_retravaill!E437</f>
        <v>Current shares</v>
      </c>
      <c r="F437" t="str">
        <f>Result_notebook_retravaill!F437</f>
        <v>NIMBY</v>
      </c>
      <c r="G437">
        <f>Result_notebook_retravaill!G437</f>
        <v>24655.859039949839</v>
      </c>
      <c r="H437" s="32">
        <f>IF(Result_notebook_retravaill!I437&gt;Result_notebook_retravaill!G437,Result_notebook_retravaill!I437/Result_notebook_retravaill!N437,Result_notebook_retravaill!H437)</f>
        <v>0</v>
      </c>
      <c r="I437" s="32">
        <f>Result_notebook_retravaill!K437</f>
        <v>35222.655771356913</v>
      </c>
      <c r="J437" s="32">
        <f>MIN(G437,Result_notebook_retravaill!I437)</f>
        <v>0</v>
      </c>
      <c r="K437" s="32">
        <f>IF(Result_notebook_retravaill!I437&gt;Result_notebook_retravaill!G437,0,IF(Result_notebook_retravaill!I437+Result_notebook_retravaill!J437&gt;Result_notebook_retravaill!G437,Result_notebook_retravaill!G437-Result_notebook_retravaill!I437,Result_notebook_retravaill!J437))</f>
        <v>0</v>
      </c>
      <c r="L437" s="32">
        <f>IF(Result_notebook_retravaill!I437&gt;Result_notebook_retravaill!G437,0,IF(Result_notebook_retravaill!I437+Result_notebook_retravaill!J437&gt;Result_notebook_retravaill!G437,0,Result_notebook_retravaill!M437))</f>
        <v>24655.859039949839</v>
      </c>
      <c r="M437" s="31">
        <f t="shared" si="6"/>
        <v>0</v>
      </c>
    </row>
    <row r="438" spans="1:13" x14ac:dyDescent="0.35">
      <c r="A438">
        <f>Result_notebook_retravaill!A438</f>
        <v>2029</v>
      </c>
      <c r="B438" t="str">
        <f>Result_notebook_retravaill!B438</f>
        <v>Lithium</v>
      </c>
      <c r="C438" t="str">
        <f>Result_notebook_retravaill!C438</f>
        <v>Canada Net-zero</v>
      </c>
      <c r="D438" t="str">
        <f>Result_notebook_retravaill!D438</f>
        <v>Existing production</v>
      </c>
      <c r="E438" t="str">
        <f>Result_notebook_retravaill!E438</f>
        <v>Current shares</v>
      </c>
      <c r="F438" t="str">
        <f>Result_notebook_retravaill!F438</f>
        <v>Status Quo</v>
      </c>
      <c r="G438">
        <f>Result_notebook_retravaill!G438</f>
        <v>24655.859039949839</v>
      </c>
      <c r="H438" s="32">
        <f>IF(Result_notebook_retravaill!I438&gt;Result_notebook_retravaill!G438,Result_notebook_retravaill!I438/Result_notebook_retravaill!N438,Result_notebook_retravaill!H438)</f>
        <v>33652.830782301367</v>
      </c>
      <c r="I438" s="32">
        <f>Result_notebook_retravaill!K438</f>
        <v>0</v>
      </c>
      <c r="J438" s="32">
        <f>MIN(G438,Result_notebook_retravaill!I438)</f>
        <v>24655.859039949839</v>
      </c>
      <c r="K438" s="32">
        <f>IF(Result_notebook_retravaill!I438&gt;Result_notebook_retravaill!G438,0,IF(Result_notebook_retravaill!I438+Result_notebook_retravaill!J438&gt;Result_notebook_retravaill!G438,Result_notebook_retravaill!G438-Result_notebook_retravaill!I438,Result_notebook_retravaill!J438))</f>
        <v>0</v>
      </c>
      <c r="L438" s="32">
        <f>IF(Result_notebook_retravaill!I438&gt;Result_notebook_retravaill!G438,0,IF(Result_notebook_retravaill!I438+Result_notebook_retravaill!J438&gt;Result_notebook_retravaill!G438,0,Result_notebook_retravaill!M438))</f>
        <v>0</v>
      </c>
      <c r="M438" s="31">
        <f t="shared" si="6"/>
        <v>0</v>
      </c>
    </row>
    <row r="439" spans="1:13" x14ac:dyDescent="0.35">
      <c r="A439">
        <f>Result_notebook_retravaill!A439</f>
        <v>2029</v>
      </c>
      <c r="B439" t="str">
        <f>Result_notebook_retravaill!B439</f>
        <v>Lithium</v>
      </c>
      <c r="C439" t="str">
        <f>Result_notebook_retravaill!C439</f>
        <v>Canada Net-zero</v>
      </c>
      <c r="D439" t="str">
        <f>Result_notebook_retravaill!D439</f>
        <v>Production potential</v>
      </c>
      <c r="E439" t="str">
        <f>Result_notebook_retravaill!E439</f>
        <v>Current shares</v>
      </c>
      <c r="F439" t="str">
        <f>Result_notebook_retravaill!F439</f>
        <v>Expansion Extractive</v>
      </c>
      <c r="G439">
        <f>Result_notebook_retravaill!G439</f>
        <v>24655.859039949839</v>
      </c>
      <c r="H439" s="32">
        <f>IF(Result_notebook_retravaill!I439&gt;Result_notebook_retravaill!G439,Result_notebook_retravaill!I439/Result_notebook_retravaill!N439,Result_notebook_retravaill!H439)</f>
        <v>135664.22252266339</v>
      </c>
      <c r="I439" s="32">
        <f>Result_notebook_retravaill!K439</f>
        <v>0</v>
      </c>
      <c r="J439" s="32">
        <f>MIN(G439,Result_notebook_retravaill!I439)</f>
        <v>24655.859039949839</v>
      </c>
      <c r="K439" s="32">
        <f>IF(Result_notebook_retravaill!I439&gt;Result_notebook_retravaill!G439,0,IF(Result_notebook_retravaill!I439+Result_notebook_retravaill!J439&gt;Result_notebook_retravaill!G439,Result_notebook_retravaill!G439-Result_notebook_retravaill!I439,Result_notebook_retravaill!J439))</f>
        <v>0</v>
      </c>
      <c r="L439" s="32">
        <f>IF(Result_notebook_retravaill!I439&gt;Result_notebook_retravaill!G439,0,IF(Result_notebook_retravaill!I439+Result_notebook_retravaill!J439&gt;Result_notebook_retravaill!G439,0,Result_notebook_retravaill!M439))</f>
        <v>0</v>
      </c>
      <c r="M439" s="31">
        <f t="shared" si="6"/>
        <v>0</v>
      </c>
    </row>
    <row r="440" spans="1:13" x14ac:dyDescent="0.35">
      <c r="A440">
        <f>Result_notebook_retravaill!A440</f>
        <v>2029</v>
      </c>
      <c r="B440" t="str">
        <f>Result_notebook_retravaill!B440</f>
        <v>Lithium</v>
      </c>
      <c r="C440" t="str">
        <f>Result_notebook_retravaill!C440</f>
        <v>Canada Net-zero</v>
      </c>
      <c r="D440" t="str">
        <f>Result_notebook_retravaill!D440</f>
        <v>Production potential</v>
      </c>
      <c r="E440" t="str">
        <f>Result_notebook_retravaill!E440</f>
        <v>Current shares</v>
      </c>
      <c r="F440" t="str">
        <f>Result_notebook_retravaill!F440</f>
        <v>Expansion Extractive+Circularity</v>
      </c>
      <c r="G440">
        <f>Result_notebook_retravaill!G440</f>
        <v>24655.859039949839</v>
      </c>
      <c r="H440" s="32">
        <f>IF(Result_notebook_retravaill!I440&gt;Result_notebook_retravaill!G440,Result_notebook_retravaill!I440/Result_notebook_retravaill!N440,Result_notebook_retravaill!H440)</f>
        <v>135664.22252266339</v>
      </c>
      <c r="I440" s="32">
        <f>Result_notebook_retravaill!K440</f>
        <v>0</v>
      </c>
      <c r="J440" s="32">
        <f>MIN(G440,Result_notebook_retravaill!I440)</f>
        <v>24655.859039949839</v>
      </c>
      <c r="K440" s="32">
        <f>IF(Result_notebook_retravaill!I440&gt;Result_notebook_retravaill!G440,0,IF(Result_notebook_retravaill!I440+Result_notebook_retravaill!J440&gt;Result_notebook_retravaill!G440,Result_notebook_retravaill!G440-Result_notebook_retravaill!I440,Result_notebook_retravaill!J440))</f>
        <v>0</v>
      </c>
      <c r="L440" s="32">
        <f>IF(Result_notebook_retravaill!I440&gt;Result_notebook_retravaill!G440,0,IF(Result_notebook_retravaill!I440+Result_notebook_retravaill!J440&gt;Result_notebook_retravaill!G440,0,Result_notebook_retravaill!M440))</f>
        <v>0</v>
      </c>
      <c r="M440" s="31">
        <f t="shared" si="6"/>
        <v>0</v>
      </c>
    </row>
    <row r="441" spans="1:13" x14ac:dyDescent="0.35">
      <c r="A441">
        <f>Result_notebook_retravaill!A441</f>
        <v>2029</v>
      </c>
      <c r="B441" t="str">
        <f>Result_notebook_retravaill!B441</f>
        <v>Lithium</v>
      </c>
      <c r="C441" t="str">
        <f>Result_notebook_retravaill!C441</f>
        <v>Canada Net-zero</v>
      </c>
      <c r="D441" t="str">
        <f>Result_notebook_retravaill!D441</f>
        <v>Production potential</v>
      </c>
      <c r="E441" t="str">
        <f>Result_notebook_retravaill!E441</f>
        <v>100% CAN</v>
      </c>
      <c r="F441" t="str">
        <f>Result_notebook_retravaill!F441</f>
        <v>Integrated</v>
      </c>
      <c r="G441">
        <f>Result_notebook_retravaill!G441</f>
        <v>24655.859039949839</v>
      </c>
      <c r="H441" s="32">
        <f>IF(Result_notebook_retravaill!I441&gt;Result_notebook_retravaill!G441,Result_notebook_retravaill!I441/Result_notebook_retravaill!N441,Result_notebook_retravaill!H441)</f>
        <v>135664.22252266339</v>
      </c>
      <c r="I441" s="32">
        <f>Result_notebook_retravaill!K441</f>
        <v>0</v>
      </c>
      <c r="J441" s="32">
        <f>MIN(G441,Result_notebook_retravaill!I441)</f>
        <v>24655.859039949839</v>
      </c>
      <c r="K441" s="32">
        <f>IF(Result_notebook_retravaill!I441&gt;Result_notebook_retravaill!G441,0,IF(Result_notebook_retravaill!I441+Result_notebook_retravaill!J441&gt;Result_notebook_retravaill!G441,Result_notebook_retravaill!G441-Result_notebook_retravaill!I441,Result_notebook_retravaill!J441))</f>
        <v>0</v>
      </c>
      <c r="L441" s="32">
        <f>IF(Result_notebook_retravaill!I441&gt;Result_notebook_retravaill!G441,0,IF(Result_notebook_retravaill!I441+Result_notebook_retravaill!J441&gt;Result_notebook_retravaill!G441,0,Result_notebook_retravaill!M441))</f>
        <v>0</v>
      </c>
      <c r="M441" s="31">
        <f t="shared" si="6"/>
        <v>0</v>
      </c>
    </row>
    <row r="442" spans="1:13" x14ac:dyDescent="0.35">
      <c r="A442">
        <f>Result_notebook_retravaill!A442</f>
        <v>2029</v>
      </c>
      <c r="B442" t="str">
        <f>Result_notebook_retravaill!B442</f>
        <v>Lithium</v>
      </c>
      <c r="C442" t="str">
        <f>Result_notebook_retravaill!C442</f>
        <v>Current Measures</v>
      </c>
      <c r="D442" t="str">
        <f>Result_notebook_retravaill!D442</f>
        <v>Existing production</v>
      </c>
      <c r="E442" t="str">
        <f>Result_notebook_retravaill!E442</f>
        <v>Current shares</v>
      </c>
      <c r="F442" t="str">
        <f>Result_notebook_retravaill!F442</f>
        <v>NIMBY</v>
      </c>
      <c r="G442">
        <f>Result_notebook_retravaill!G442</f>
        <v>12518.69573305871</v>
      </c>
      <c r="H442" s="32">
        <f>IF(Result_notebook_retravaill!I442&gt;Result_notebook_retravaill!G442,Result_notebook_retravaill!I442/Result_notebook_retravaill!N442,Result_notebook_retravaill!H442)</f>
        <v>0</v>
      </c>
      <c r="I442" s="32">
        <f>Result_notebook_retravaill!K442</f>
        <v>17883.85104722673</v>
      </c>
      <c r="J442" s="32">
        <f>MIN(G442,Result_notebook_retravaill!I442)</f>
        <v>0</v>
      </c>
      <c r="K442" s="32">
        <f>IF(Result_notebook_retravaill!I442&gt;Result_notebook_retravaill!G442,0,IF(Result_notebook_retravaill!I442+Result_notebook_retravaill!J442&gt;Result_notebook_retravaill!G442,Result_notebook_retravaill!G442-Result_notebook_retravaill!I442,Result_notebook_retravaill!J442))</f>
        <v>0</v>
      </c>
      <c r="L442" s="32">
        <f>IF(Result_notebook_retravaill!I442&gt;Result_notebook_retravaill!G442,0,IF(Result_notebook_retravaill!I442+Result_notebook_retravaill!J442&gt;Result_notebook_retravaill!G442,0,Result_notebook_retravaill!M442))</f>
        <v>12518.69573305871</v>
      </c>
      <c r="M442" s="31">
        <f t="shared" si="6"/>
        <v>0</v>
      </c>
    </row>
    <row r="443" spans="1:13" x14ac:dyDescent="0.35">
      <c r="A443">
        <f>Result_notebook_retravaill!A443</f>
        <v>2029</v>
      </c>
      <c r="B443" t="str">
        <f>Result_notebook_retravaill!B443</f>
        <v>Lithium</v>
      </c>
      <c r="C443" t="str">
        <f>Result_notebook_retravaill!C443</f>
        <v>Current Measures</v>
      </c>
      <c r="D443" t="str">
        <f>Result_notebook_retravaill!D443</f>
        <v>Existing production</v>
      </c>
      <c r="E443" t="str">
        <f>Result_notebook_retravaill!E443</f>
        <v>Current shares</v>
      </c>
      <c r="F443" t="str">
        <f>Result_notebook_retravaill!F443</f>
        <v>Status Quo</v>
      </c>
      <c r="G443">
        <f>Result_notebook_retravaill!G443</f>
        <v>12518.69573305871</v>
      </c>
      <c r="H443" s="32">
        <f>IF(Result_notebook_retravaill!I443&gt;Result_notebook_retravaill!G443,Result_notebook_retravaill!I443/Result_notebook_retravaill!N443,Result_notebook_retravaill!H443)</f>
        <v>33652.830782301367</v>
      </c>
      <c r="I443" s="32">
        <f>Result_notebook_retravaill!K443</f>
        <v>0</v>
      </c>
      <c r="J443" s="32">
        <f>MIN(G443,Result_notebook_retravaill!I443)</f>
        <v>12518.69573305871</v>
      </c>
      <c r="K443" s="32">
        <f>IF(Result_notebook_retravaill!I443&gt;Result_notebook_retravaill!G443,0,IF(Result_notebook_retravaill!I443+Result_notebook_retravaill!J443&gt;Result_notebook_retravaill!G443,Result_notebook_retravaill!G443-Result_notebook_retravaill!I443,Result_notebook_retravaill!J443))</f>
        <v>0</v>
      </c>
      <c r="L443" s="32">
        <f>IF(Result_notebook_retravaill!I443&gt;Result_notebook_retravaill!G443,0,IF(Result_notebook_retravaill!I443+Result_notebook_retravaill!J443&gt;Result_notebook_retravaill!G443,0,Result_notebook_retravaill!M443))</f>
        <v>0</v>
      </c>
      <c r="M443" s="31">
        <f t="shared" si="6"/>
        <v>0</v>
      </c>
    </row>
    <row r="444" spans="1:13" x14ac:dyDescent="0.35">
      <c r="A444">
        <f>Result_notebook_retravaill!A444</f>
        <v>2029</v>
      </c>
      <c r="B444" t="str">
        <f>Result_notebook_retravaill!B444</f>
        <v>Lithium</v>
      </c>
      <c r="C444" t="str">
        <f>Result_notebook_retravaill!C444</f>
        <v>Current Measures</v>
      </c>
      <c r="D444" t="str">
        <f>Result_notebook_retravaill!D444</f>
        <v>Production potential</v>
      </c>
      <c r="E444" t="str">
        <f>Result_notebook_retravaill!E444</f>
        <v>Current shares</v>
      </c>
      <c r="F444" t="str">
        <f>Result_notebook_retravaill!F444</f>
        <v>Expansion Extractive</v>
      </c>
      <c r="G444">
        <f>Result_notebook_retravaill!G444</f>
        <v>12518.69573305871</v>
      </c>
      <c r="H444" s="32">
        <f>IF(Result_notebook_retravaill!I444&gt;Result_notebook_retravaill!G444,Result_notebook_retravaill!I444/Result_notebook_retravaill!N444,Result_notebook_retravaill!H444)</f>
        <v>135664.22252266339</v>
      </c>
      <c r="I444" s="32">
        <f>Result_notebook_retravaill!K444</f>
        <v>0</v>
      </c>
      <c r="J444" s="32">
        <f>MIN(G444,Result_notebook_retravaill!I444)</f>
        <v>12518.69573305871</v>
      </c>
      <c r="K444" s="32">
        <f>IF(Result_notebook_retravaill!I444&gt;Result_notebook_retravaill!G444,0,IF(Result_notebook_retravaill!I444+Result_notebook_retravaill!J444&gt;Result_notebook_retravaill!G444,Result_notebook_retravaill!G444-Result_notebook_retravaill!I444,Result_notebook_retravaill!J444))</f>
        <v>0</v>
      </c>
      <c r="L444" s="32">
        <f>IF(Result_notebook_retravaill!I444&gt;Result_notebook_retravaill!G444,0,IF(Result_notebook_retravaill!I444+Result_notebook_retravaill!J444&gt;Result_notebook_retravaill!G444,0,Result_notebook_retravaill!M444))</f>
        <v>0</v>
      </c>
      <c r="M444" s="31">
        <f t="shared" si="6"/>
        <v>0</v>
      </c>
    </row>
    <row r="445" spans="1:13" x14ac:dyDescent="0.35">
      <c r="A445">
        <f>Result_notebook_retravaill!A445</f>
        <v>2029</v>
      </c>
      <c r="B445" t="str">
        <f>Result_notebook_retravaill!B445</f>
        <v>Lithium</v>
      </c>
      <c r="C445" t="str">
        <f>Result_notebook_retravaill!C445</f>
        <v>Current Measures</v>
      </c>
      <c r="D445" t="str">
        <f>Result_notebook_retravaill!D445</f>
        <v>Production potential</v>
      </c>
      <c r="E445" t="str">
        <f>Result_notebook_retravaill!E445</f>
        <v>Current shares</v>
      </c>
      <c r="F445" t="str">
        <f>Result_notebook_retravaill!F445</f>
        <v>Expansion Extractive+Circularity</v>
      </c>
      <c r="G445">
        <f>Result_notebook_retravaill!G445</f>
        <v>12518.69573305871</v>
      </c>
      <c r="H445" s="32">
        <f>IF(Result_notebook_retravaill!I445&gt;Result_notebook_retravaill!G445,Result_notebook_retravaill!I445/Result_notebook_retravaill!N445,Result_notebook_retravaill!H445)</f>
        <v>135664.22252266339</v>
      </c>
      <c r="I445" s="32">
        <f>Result_notebook_retravaill!K445</f>
        <v>0</v>
      </c>
      <c r="J445" s="32">
        <f>MIN(G445,Result_notebook_retravaill!I445)</f>
        <v>12518.69573305871</v>
      </c>
      <c r="K445" s="32">
        <f>IF(Result_notebook_retravaill!I445&gt;Result_notebook_retravaill!G445,0,IF(Result_notebook_retravaill!I445+Result_notebook_retravaill!J445&gt;Result_notebook_retravaill!G445,Result_notebook_retravaill!G445-Result_notebook_retravaill!I445,Result_notebook_retravaill!J445))</f>
        <v>0</v>
      </c>
      <c r="L445" s="32">
        <f>IF(Result_notebook_retravaill!I445&gt;Result_notebook_retravaill!G445,0,IF(Result_notebook_retravaill!I445+Result_notebook_retravaill!J445&gt;Result_notebook_retravaill!G445,0,Result_notebook_retravaill!M445))</f>
        <v>0</v>
      </c>
      <c r="M445" s="31">
        <f t="shared" si="6"/>
        <v>0</v>
      </c>
    </row>
    <row r="446" spans="1:13" x14ac:dyDescent="0.35">
      <c r="A446">
        <f>Result_notebook_retravaill!A446</f>
        <v>2029</v>
      </c>
      <c r="B446" t="str">
        <f>Result_notebook_retravaill!B446</f>
        <v>Lithium</v>
      </c>
      <c r="C446" t="str">
        <f>Result_notebook_retravaill!C446</f>
        <v>Current Measures</v>
      </c>
      <c r="D446" t="str">
        <f>Result_notebook_retravaill!D446</f>
        <v>Production potential</v>
      </c>
      <c r="E446" t="str">
        <f>Result_notebook_retravaill!E446</f>
        <v>100% CAN</v>
      </c>
      <c r="F446" t="str">
        <f>Result_notebook_retravaill!F446</f>
        <v>Integrated</v>
      </c>
      <c r="G446">
        <f>Result_notebook_retravaill!G446</f>
        <v>12518.69573305871</v>
      </c>
      <c r="H446" s="32">
        <f>IF(Result_notebook_retravaill!I446&gt;Result_notebook_retravaill!G446,Result_notebook_retravaill!I446/Result_notebook_retravaill!N446,Result_notebook_retravaill!H446)</f>
        <v>135664.22252266339</v>
      </c>
      <c r="I446" s="32">
        <f>Result_notebook_retravaill!K446</f>
        <v>0</v>
      </c>
      <c r="J446" s="32">
        <f>MIN(G446,Result_notebook_retravaill!I446)</f>
        <v>12518.69573305871</v>
      </c>
      <c r="K446" s="32">
        <f>IF(Result_notebook_retravaill!I446&gt;Result_notebook_retravaill!G446,0,IF(Result_notebook_retravaill!I446+Result_notebook_retravaill!J446&gt;Result_notebook_retravaill!G446,Result_notebook_retravaill!G446-Result_notebook_retravaill!I446,Result_notebook_retravaill!J446))</f>
        <v>0</v>
      </c>
      <c r="L446" s="32">
        <f>IF(Result_notebook_retravaill!I446&gt;Result_notebook_retravaill!G446,0,IF(Result_notebook_retravaill!I446+Result_notebook_retravaill!J446&gt;Result_notebook_retravaill!G446,0,Result_notebook_retravaill!M446))</f>
        <v>0</v>
      </c>
      <c r="M446" s="31">
        <f t="shared" si="6"/>
        <v>0</v>
      </c>
    </row>
    <row r="447" spans="1:13" x14ac:dyDescent="0.35">
      <c r="A447">
        <f>Result_notebook_retravaill!A447</f>
        <v>2029</v>
      </c>
      <c r="B447" t="str">
        <f>Result_notebook_retravaill!B447</f>
        <v>Lithium</v>
      </c>
      <c r="C447" t="str">
        <f>Result_notebook_retravaill!C447</f>
        <v>Global Net-zero</v>
      </c>
      <c r="D447" t="str">
        <f>Result_notebook_retravaill!D447</f>
        <v>Existing production</v>
      </c>
      <c r="E447" t="str">
        <f>Result_notebook_retravaill!E447</f>
        <v>Current shares</v>
      </c>
      <c r="F447" t="str">
        <f>Result_notebook_retravaill!F447</f>
        <v>NIMBY</v>
      </c>
      <c r="G447">
        <f>Result_notebook_retravaill!G447</f>
        <v>23611.939267515339</v>
      </c>
      <c r="H447" s="32">
        <f>IF(Result_notebook_retravaill!I447&gt;Result_notebook_retravaill!G447,Result_notebook_retravaill!I447/Result_notebook_retravaill!N447,Result_notebook_retravaill!H447)</f>
        <v>0</v>
      </c>
      <c r="I447" s="32">
        <f>Result_notebook_retravaill!K447</f>
        <v>33731.341810736201</v>
      </c>
      <c r="J447" s="32">
        <f>MIN(G447,Result_notebook_retravaill!I447)</f>
        <v>0</v>
      </c>
      <c r="K447" s="32">
        <f>IF(Result_notebook_retravaill!I447&gt;Result_notebook_retravaill!G447,0,IF(Result_notebook_retravaill!I447+Result_notebook_retravaill!J447&gt;Result_notebook_retravaill!G447,Result_notebook_retravaill!G447-Result_notebook_retravaill!I447,Result_notebook_retravaill!J447))</f>
        <v>0</v>
      </c>
      <c r="L447" s="32">
        <f>IF(Result_notebook_retravaill!I447&gt;Result_notebook_retravaill!G447,0,IF(Result_notebook_retravaill!I447+Result_notebook_retravaill!J447&gt;Result_notebook_retravaill!G447,0,Result_notebook_retravaill!M447))</f>
        <v>23611.939267515339</v>
      </c>
      <c r="M447" s="31">
        <f t="shared" si="6"/>
        <v>0</v>
      </c>
    </row>
    <row r="448" spans="1:13" x14ac:dyDescent="0.35">
      <c r="A448">
        <f>Result_notebook_retravaill!A448</f>
        <v>2029</v>
      </c>
      <c r="B448" t="str">
        <f>Result_notebook_retravaill!B448</f>
        <v>Lithium</v>
      </c>
      <c r="C448" t="str">
        <f>Result_notebook_retravaill!C448</f>
        <v>Global Net-zero</v>
      </c>
      <c r="D448" t="str">
        <f>Result_notebook_retravaill!D448</f>
        <v>Existing production</v>
      </c>
      <c r="E448" t="str">
        <f>Result_notebook_retravaill!E448</f>
        <v>Current shares</v>
      </c>
      <c r="F448" t="str">
        <f>Result_notebook_retravaill!F448</f>
        <v>Status Quo</v>
      </c>
      <c r="G448">
        <f>Result_notebook_retravaill!G448</f>
        <v>23611.939267515339</v>
      </c>
      <c r="H448" s="32">
        <f>IF(Result_notebook_retravaill!I448&gt;Result_notebook_retravaill!G448,Result_notebook_retravaill!I448/Result_notebook_retravaill!N448,Result_notebook_retravaill!H448)</f>
        <v>33652.830782301367</v>
      </c>
      <c r="I448" s="32">
        <f>Result_notebook_retravaill!K448</f>
        <v>0</v>
      </c>
      <c r="J448" s="32">
        <f>MIN(G448,Result_notebook_retravaill!I448)</f>
        <v>23611.939267515339</v>
      </c>
      <c r="K448" s="32">
        <f>IF(Result_notebook_retravaill!I448&gt;Result_notebook_retravaill!G448,0,IF(Result_notebook_retravaill!I448+Result_notebook_retravaill!J448&gt;Result_notebook_retravaill!G448,Result_notebook_retravaill!G448-Result_notebook_retravaill!I448,Result_notebook_retravaill!J448))</f>
        <v>0</v>
      </c>
      <c r="L448" s="32">
        <f>IF(Result_notebook_retravaill!I448&gt;Result_notebook_retravaill!G448,0,IF(Result_notebook_retravaill!I448+Result_notebook_retravaill!J448&gt;Result_notebook_retravaill!G448,0,Result_notebook_retravaill!M448))</f>
        <v>0</v>
      </c>
      <c r="M448" s="31">
        <f t="shared" si="6"/>
        <v>0</v>
      </c>
    </row>
    <row r="449" spans="1:13" x14ac:dyDescent="0.35">
      <c r="A449">
        <f>Result_notebook_retravaill!A449</f>
        <v>2029</v>
      </c>
      <c r="B449" t="str">
        <f>Result_notebook_retravaill!B449</f>
        <v>Lithium</v>
      </c>
      <c r="C449" t="str">
        <f>Result_notebook_retravaill!C449</f>
        <v>Global Net-zero</v>
      </c>
      <c r="D449" t="str">
        <f>Result_notebook_retravaill!D449</f>
        <v>Production potential</v>
      </c>
      <c r="E449" t="str">
        <f>Result_notebook_retravaill!E449</f>
        <v>Current shares</v>
      </c>
      <c r="F449" t="str">
        <f>Result_notebook_retravaill!F449</f>
        <v>Expansion Extractive</v>
      </c>
      <c r="G449">
        <f>Result_notebook_retravaill!G449</f>
        <v>23611.939267515339</v>
      </c>
      <c r="H449" s="32">
        <f>IF(Result_notebook_retravaill!I449&gt;Result_notebook_retravaill!G449,Result_notebook_retravaill!I449/Result_notebook_retravaill!N449,Result_notebook_retravaill!H449)</f>
        <v>135664.22252266339</v>
      </c>
      <c r="I449" s="32">
        <f>Result_notebook_retravaill!K449</f>
        <v>0</v>
      </c>
      <c r="J449" s="32">
        <f>MIN(G449,Result_notebook_retravaill!I449)</f>
        <v>23611.939267515339</v>
      </c>
      <c r="K449" s="32">
        <f>IF(Result_notebook_retravaill!I449&gt;Result_notebook_retravaill!G449,0,IF(Result_notebook_retravaill!I449+Result_notebook_retravaill!J449&gt;Result_notebook_retravaill!G449,Result_notebook_retravaill!G449-Result_notebook_retravaill!I449,Result_notebook_retravaill!J449))</f>
        <v>0</v>
      </c>
      <c r="L449" s="32">
        <f>IF(Result_notebook_retravaill!I449&gt;Result_notebook_retravaill!G449,0,IF(Result_notebook_retravaill!I449+Result_notebook_retravaill!J449&gt;Result_notebook_retravaill!G449,0,Result_notebook_retravaill!M449))</f>
        <v>0</v>
      </c>
      <c r="M449" s="31">
        <f t="shared" si="6"/>
        <v>0</v>
      </c>
    </row>
    <row r="450" spans="1:13" x14ac:dyDescent="0.35">
      <c r="A450">
        <f>Result_notebook_retravaill!A450</f>
        <v>2029</v>
      </c>
      <c r="B450" t="str">
        <f>Result_notebook_retravaill!B450</f>
        <v>Lithium</v>
      </c>
      <c r="C450" t="str">
        <f>Result_notebook_retravaill!C450</f>
        <v>Global Net-zero</v>
      </c>
      <c r="D450" t="str">
        <f>Result_notebook_retravaill!D450</f>
        <v>Production potential</v>
      </c>
      <c r="E450" t="str">
        <f>Result_notebook_retravaill!E450</f>
        <v>Current shares</v>
      </c>
      <c r="F450" t="str">
        <f>Result_notebook_retravaill!F450</f>
        <v>Expansion Extractive+Circularity</v>
      </c>
      <c r="G450">
        <f>Result_notebook_retravaill!G450</f>
        <v>23611.939267515339</v>
      </c>
      <c r="H450" s="32">
        <f>IF(Result_notebook_retravaill!I450&gt;Result_notebook_retravaill!G450,Result_notebook_retravaill!I450/Result_notebook_retravaill!N450,Result_notebook_retravaill!H450)</f>
        <v>135664.22252266339</v>
      </c>
      <c r="I450" s="32">
        <f>Result_notebook_retravaill!K450</f>
        <v>0</v>
      </c>
      <c r="J450" s="32">
        <f>MIN(G450,Result_notebook_retravaill!I450)</f>
        <v>23611.939267515339</v>
      </c>
      <c r="K450" s="32">
        <f>IF(Result_notebook_retravaill!I450&gt;Result_notebook_retravaill!G450,0,IF(Result_notebook_retravaill!I450+Result_notebook_retravaill!J450&gt;Result_notebook_retravaill!G450,Result_notebook_retravaill!G450-Result_notebook_retravaill!I450,Result_notebook_retravaill!J450))</f>
        <v>0</v>
      </c>
      <c r="L450" s="32">
        <f>IF(Result_notebook_retravaill!I450&gt;Result_notebook_retravaill!G450,0,IF(Result_notebook_retravaill!I450+Result_notebook_retravaill!J450&gt;Result_notebook_retravaill!G450,0,Result_notebook_retravaill!M450))</f>
        <v>0</v>
      </c>
      <c r="M450" s="31">
        <f t="shared" si="6"/>
        <v>0</v>
      </c>
    </row>
    <row r="451" spans="1:13" x14ac:dyDescent="0.35">
      <c r="A451">
        <f>Result_notebook_retravaill!A451</f>
        <v>2029</v>
      </c>
      <c r="B451" t="str">
        <f>Result_notebook_retravaill!B451</f>
        <v>Lithium</v>
      </c>
      <c r="C451" t="str">
        <f>Result_notebook_retravaill!C451</f>
        <v>Global Net-zero</v>
      </c>
      <c r="D451" t="str">
        <f>Result_notebook_retravaill!D451</f>
        <v>Production potential</v>
      </c>
      <c r="E451" t="str">
        <f>Result_notebook_retravaill!E451</f>
        <v>100% CAN</v>
      </c>
      <c r="F451" t="str">
        <f>Result_notebook_retravaill!F451</f>
        <v>Integrated</v>
      </c>
      <c r="G451">
        <f>Result_notebook_retravaill!G451</f>
        <v>23611.939267515339</v>
      </c>
      <c r="H451" s="32">
        <f>IF(Result_notebook_retravaill!I451&gt;Result_notebook_retravaill!G451,Result_notebook_retravaill!I451/Result_notebook_retravaill!N451,Result_notebook_retravaill!H451)</f>
        <v>135664.22252266339</v>
      </c>
      <c r="I451" s="32">
        <f>Result_notebook_retravaill!K451</f>
        <v>0</v>
      </c>
      <c r="J451" s="32">
        <f>MIN(G451,Result_notebook_retravaill!I451)</f>
        <v>23611.939267515339</v>
      </c>
      <c r="K451" s="32">
        <f>IF(Result_notebook_retravaill!I451&gt;Result_notebook_retravaill!G451,0,IF(Result_notebook_retravaill!I451+Result_notebook_retravaill!J451&gt;Result_notebook_retravaill!G451,Result_notebook_retravaill!G451-Result_notebook_retravaill!I451,Result_notebook_retravaill!J451))</f>
        <v>0</v>
      </c>
      <c r="L451" s="32">
        <f>IF(Result_notebook_retravaill!I451&gt;Result_notebook_retravaill!G451,0,IF(Result_notebook_retravaill!I451+Result_notebook_retravaill!J451&gt;Result_notebook_retravaill!G451,0,Result_notebook_retravaill!M451))</f>
        <v>0</v>
      </c>
      <c r="M451" s="31">
        <f t="shared" ref="M451:M514" si="7">SUM(J451:L451)-G451</f>
        <v>0</v>
      </c>
    </row>
    <row r="452" spans="1:13" x14ac:dyDescent="0.35">
      <c r="A452">
        <f>Result_notebook_retravaill!A452</f>
        <v>2030</v>
      </c>
      <c r="B452" t="str">
        <f>Result_notebook_retravaill!B452</f>
        <v>Cobalt</v>
      </c>
      <c r="C452" t="str">
        <f>Result_notebook_retravaill!C452</f>
        <v>Canada Net-zero</v>
      </c>
      <c r="D452" t="str">
        <f>Result_notebook_retravaill!D452</f>
        <v>Existing production</v>
      </c>
      <c r="E452" t="str">
        <f>Result_notebook_retravaill!E452</f>
        <v>Current shares</v>
      </c>
      <c r="F452" t="str">
        <f>Result_notebook_retravaill!F452</f>
        <v>NIMBY</v>
      </c>
      <c r="G452">
        <f>Result_notebook_retravaill!G452</f>
        <v>58753.881043988476</v>
      </c>
      <c r="H452" s="32">
        <f>IF(Result_notebook_retravaill!I452&gt;Result_notebook_retravaill!G452,Result_notebook_retravaill!I452/Result_notebook_retravaill!N452,Result_notebook_retravaill!H452)</f>
        <v>0</v>
      </c>
      <c r="I452" s="32">
        <f>Result_notebook_retravaill!K452</f>
        <v>133531.54782724651</v>
      </c>
      <c r="J452" s="32">
        <f>MIN(G452,Result_notebook_retravaill!I452)</f>
        <v>0</v>
      </c>
      <c r="K452" s="32">
        <f>IF(Result_notebook_retravaill!I452&gt;Result_notebook_retravaill!G452,0,IF(Result_notebook_retravaill!I452+Result_notebook_retravaill!J452&gt;Result_notebook_retravaill!G452,Result_notebook_retravaill!G452-Result_notebook_retravaill!I452,Result_notebook_retravaill!J452))</f>
        <v>0</v>
      </c>
      <c r="L452" s="32">
        <f>IF(Result_notebook_retravaill!I452&gt;Result_notebook_retravaill!G452,0,IF(Result_notebook_retravaill!I452+Result_notebook_retravaill!J452&gt;Result_notebook_retravaill!G452,0,Result_notebook_retravaill!M452))</f>
        <v>58753.881043988476</v>
      </c>
      <c r="M452" s="31">
        <f t="shared" si="7"/>
        <v>0</v>
      </c>
    </row>
    <row r="453" spans="1:13" x14ac:dyDescent="0.35">
      <c r="A453">
        <f>Result_notebook_retravaill!A453</f>
        <v>2030</v>
      </c>
      <c r="B453" t="str">
        <f>Result_notebook_retravaill!B453</f>
        <v>Cobalt</v>
      </c>
      <c r="C453" t="str">
        <f>Result_notebook_retravaill!C453</f>
        <v>Canada Net-zero</v>
      </c>
      <c r="D453" t="str">
        <f>Result_notebook_retravaill!D453</f>
        <v>Existing production</v>
      </c>
      <c r="E453" t="str">
        <f>Result_notebook_retravaill!E453</f>
        <v>Current shares</v>
      </c>
      <c r="F453" t="str">
        <f>Result_notebook_retravaill!F453</f>
        <v>Status Quo</v>
      </c>
      <c r="G453">
        <f>Result_notebook_retravaill!G453</f>
        <v>58753.881043988476</v>
      </c>
      <c r="H453" s="32">
        <f>IF(Result_notebook_retravaill!I453&gt;Result_notebook_retravaill!G453,Result_notebook_retravaill!I453/Result_notebook_retravaill!N453,Result_notebook_retravaill!H453)</f>
        <v>3861</v>
      </c>
      <c r="I453" s="32">
        <f>Result_notebook_retravaill!K453</f>
        <v>129670.5478272465</v>
      </c>
      <c r="J453" s="32">
        <f>MIN(G453,Result_notebook_retravaill!I453)</f>
        <v>1637.7660393504759</v>
      </c>
      <c r="K453" s="32">
        <f>IF(Result_notebook_retravaill!I453&gt;Result_notebook_retravaill!G453,0,IF(Result_notebook_retravaill!I453+Result_notebook_retravaill!J453&gt;Result_notebook_retravaill!G453,Result_notebook_retravaill!G453-Result_notebook_retravaill!I453,Result_notebook_retravaill!J453))</f>
        <v>58.551050766946219</v>
      </c>
      <c r="L453" s="32">
        <f>IF(Result_notebook_retravaill!I453&gt;Result_notebook_retravaill!G453,0,IF(Result_notebook_retravaill!I453+Result_notebook_retravaill!J453&gt;Result_notebook_retravaill!G453,0,Result_notebook_retravaill!M453))</f>
        <v>57057.563953871053</v>
      </c>
      <c r="M453" s="31">
        <f t="shared" si="7"/>
        <v>0</v>
      </c>
    </row>
    <row r="454" spans="1:13" x14ac:dyDescent="0.35">
      <c r="A454">
        <f>Result_notebook_retravaill!A454</f>
        <v>2030</v>
      </c>
      <c r="B454" t="str">
        <f>Result_notebook_retravaill!B454</f>
        <v>Cobalt</v>
      </c>
      <c r="C454" t="str">
        <f>Result_notebook_retravaill!C454</f>
        <v>Canada Net-zero</v>
      </c>
      <c r="D454" t="str">
        <f>Result_notebook_retravaill!D454</f>
        <v>Production potential</v>
      </c>
      <c r="E454" t="str">
        <f>Result_notebook_retravaill!E454</f>
        <v>Current shares</v>
      </c>
      <c r="F454" t="str">
        <f>Result_notebook_retravaill!F454</f>
        <v>Expansion Extractive</v>
      </c>
      <c r="G454">
        <f>Result_notebook_retravaill!G454</f>
        <v>58753.881043988476</v>
      </c>
      <c r="H454" s="32">
        <f>IF(Result_notebook_retravaill!I454&gt;Result_notebook_retravaill!G454,Result_notebook_retravaill!I454/Result_notebook_retravaill!N454,Result_notebook_retravaill!H454)</f>
        <v>7722.69119676847</v>
      </c>
      <c r="I454" s="32">
        <f>Result_notebook_retravaill!K454</f>
        <v>125808.8566304781</v>
      </c>
      <c r="J454" s="32">
        <f>MIN(G454,Result_notebook_retravaill!I454)</f>
        <v>3275.825271809967</v>
      </c>
      <c r="K454" s="32">
        <f>IF(Result_notebook_retravaill!I454&gt;Result_notebook_retravaill!G454,0,IF(Result_notebook_retravaill!I454+Result_notebook_retravaill!J454&gt;Result_notebook_retravaill!G454,Result_notebook_retravaill!G454-Result_notebook_retravaill!I454,Result_notebook_retravaill!J454))</f>
        <v>117.11258335131834</v>
      </c>
      <c r="L454" s="32">
        <f>IF(Result_notebook_retravaill!I454&gt;Result_notebook_retravaill!G454,0,IF(Result_notebook_retravaill!I454+Result_notebook_retravaill!J454&gt;Result_notebook_retravaill!G454,0,Result_notebook_retravaill!M454))</f>
        <v>55360.943188827187</v>
      </c>
      <c r="M454" s="31">
        <f t="shared" si="7"/>
        <v>0</v>
      </c>
    </row>
    <row r="455" spans="1:13" x14ac:dyDescent="0.35">
      <c r="A455">
        <f>Result_notebook_retravaill!A455</f>
        <v>2030</v>
      </c>
      <c r="B455" t="str">
        <f>Result_notebook_retravaill!B455</f>
        <v>Cobalt</v>
      </c>
      <c r="C455" t="str">
        <f>Result_notebook_retravaill!C455</f>
        <v>Canada Net-zero</v>
      </c>
      <c r="D455" t="str">
        <f>Result_notebook_retravaill!D455</f>
        <v>Production potential</v>
      </c>
      <c r="E455" t="str">
        <f>Result_notebook_retravaill!E455</f>
        <v>Current shares</v>
      </c>
      <c r="F455" t="str">
        <f>Result_notebook_retravaill!F455</f>
        <v>Expansion Extractive+Circularity</v>
      </c>
      <c r="G455">
        <f>Result_notebook_retravaill!G455</f>
        <v>58753.881043988476</v>
      </c>
      <c r="H455" s="32">
        <f>IF(Result_notebook_retravaill!I455&gt;Result_notebook_retravaill!G455,Result_notebook_retravaill!I455/Result_notebook_retravaill!N455,Result_notebook_retravaill!H455)</f>
        <v>7722.69119676847</v>
      </c>
      <c r="I455" s="32">
        <f>Result_notebook_retravaill!K455</f>
        <v>125808.8566304781</v>
      </c>
      <c r="J455" s="32">
        <f>MIN(G455,Result_notebook_retravaill!I455)</f>
        <v>3275.825271809967</v>
      </c>
      <c r="K455" s="32">
        <f>IF(Result_notebook_retravaill!I455&gt;Result_notebook_retravaill!G455,0,IF(Result_notebook_retravaill!I455+Result_notebook_retravaill!J455&gt;Result_notebook_retravaill!G455,Result_notebook_retravaill!G455-Result_notebook_retravaill!I455,Result_notebook_retravaill!J455))</f>
        <v>117.11258335131834</v>
      </c>
      <c r="L455" s="32">
        <f>IF(Result_notebook_retravaill!I455&gt;Result_notebook_retravaill!G455,0,IF(Result_notebook_retravaill!I455+Result_notebook_retravaill!J455&gt;Result_notebook_retravaill!G455,0,Result_notebook_retravaill!M455))</f>
        <v>55360.943188827187</v>
      </c>
      <c r="M455" s="31">
        <f t="shared" si="7"/>
        <v>0</v>
      </c>
    </row>
    <row r="456" spans="1:13" x14ac:dyDescent="0.35">
      <c r="A456">
        <f>Result_notebook_retravaill!A456</f>
        <v>2030</v>
      </c>
      <c r="B456" t="str">
        <f>Result_notebook_retravaill!B456</f>
        <v>Cobalt</v>
      </c>
      <c r="C456" t="str">
        <f>Result_notebook_retravaill!C456</f>
        <v>Canada Net-zero</v>
      </c>
      <c r="D456" t="str">
        <f>Result_notebook_retravaill!D456</f>
        <v>Production potential</v>
      </c>
      <c r="E456" t="str">
        <f>Result_notebook_retravaill!E456</f>
        <v>100% CAN</v>
      </c>
      <c r="F456" t="str">
        <f>Result_notebook_retravaill!F456</f>
        <v>Integrated</v>
      </c>
      <c r="G456">
        <f>Result_notebook_retravaill!G456</f>
        <v>58753.881043988476</v>
      </c>
      <c r="H456" s="32">
        <f>IF(Result_notebook_retravaill!I456&gt;Result_notebook_retravaill!G456,Result_notebook_retravaill!I456/Result_notebook_retravaill!N456,Result_notebook_retravaill!H456)</f>
        <v>7722.69119676847</v>
      </c>
      <c r="I456" s="32">
        <f>Result_notebook_retravaill!K456</f>
        <v>125808.8566304781</v>
      </c>
      <c r="J456" s="32">
        <f>MIN(G456,Result_notebook_retravaill!I456)</f>
        <v>3392.937855161289</v>
      </c>
      <c r="K456" s="32">
        <f>IF(Result_notebook_retravaill!I456&gt;Result_notebook_retravaill!G456,0,IF(Result_notebook_retravaill!I456+Result_notebook_retravaill!J456&gt;Result_notebook_retravaill!G456,Result_notebook_retravaill!G456-Result_notebook_retravaill!I456,Result_notebook_retravaill!J456))</f>
        <v>-3.637978807091713E-12</v>
      </c>
      <c r="L456" s="32">
        <f>IF(Result_notebook_retravaill!I456&gt;Result_notebook_retravaill!G456,0,IF(Result_notebook_retravaill!I456+Result_notebook_retravaill!J456&gt;Result_notebook_retravaill!G456,0,Result_notebook_retravaill!M456))</f>
        <v>55360.943188827194</v>
      </c>
      <c r="M456" s="31">
        <f t="shared" si="7"/>
        <v>0</v>
      </c>
    </row>
    <row r="457" spans="1:13" x14ac:dyDescent="0.35">
      <c r="A457">
        <f>Result_notebook_retravaill!A457</f>
        <v>2030</v>
      </c>
      <c r="B457" t="str">
        <f>Result_notebook_retravaill!B457</f>
        <v>Cobalt</v>
      </c>
      <c r="C457" t="str">
        <f>Result_notebook_retravaill!C457</f>
        <v>Current Measures</v>
      </c>
      <c r="D457" t="str">
        <f>Result_notebook_retravaill!D457</f>
        <v>Existing production</v>
      </c>
      <c r="E457" t="str">
        <f>Result_notebook_retravaill!E457</f>
        <v>Current shares</v>
      </c>
      <c r="F457" t="str">
        <f>Result_notebook_retravaill!F457</f>
        <v>NIMBY</v>
      </c>
      <c r="G457">
        <f>Result_notebook_retravaill!G457</f>
        <v>28359.41743748487</v>
      </c>
      <c r="H457" s="32">
        <f>IF(Result_notebook_retravaill!I457&gt;Result_notebook_retravaill!G457,Result_notebook_retravaill!I457/Result_notebook_retravaill!N457,Result_notebook_retravaill!H457)</f>
        <v>0</v>
      </c>
      <c r="I457" s="32">
        <f>Result_notebook_retravaill!K457</f>
        <v>64453.221448829252</v>
      </c>
      <c r="J457" s="32">
        <f>MIN(G457,Result_notebook_retravaill!I457)</f>
        <v>0</v>
      </c>
      <c r="K457" s="32">
        <f>IF(Result_notebook_retravaill!I457&gt;Result_notebook_retravaill!G457,0,IF(Result_notebook_retravaill!I457+Result_notebook_retravaill!J457&gt;Result_notebook_retravaill!G457,Result_notebook_retravaill!G457-Result_notebook_retravaill!I457,Result_notebook_retravaill!J457))</f>
        <v>0</v>
      </c>
      <c r="L457" s="32">
        <f>IF(Result_notebook_retravaill!I457&gt;Result_notebook_retravaill!G457,0,IF(Result_notebook_retravaill!I457+Result_notebook_retravaill!J457&gt;Result_notebook_retravaill!G457,0,Result_notebook_retravaill!M457))</f>
        <v>28359.41743748487</v>
      </c>
      <c r="M457" s="31">
        <f t="shared" si="7"/>
        <v>0</v>
      </c>
    </row>
    <row r="458" spans="1:13" x14ac:dyDescent="0.35">
      <c r="A458">
        <f>Result_notebook_retravaill!A458</f>
        <v>2030</v>
      </c>
      <c r="B458" t="str">
        <f>Result_notebook_retravaill!B458</f>
        <v>Cobalt</v>
      </c>
      <c r="C458" t="str">
        <f>Result_notebook_retravaill!C458</f>
        <v>Current Measures</v>
      </c>
      <c r="D458" t="str">
        <f>Result_notebook_retravaill!D458</f>
        <v>Existing production</v>
      </c>
      <c r="E458" t="str">
        <f>Result_notebook_retravaill!E458</f>
        <v>Current shares</v>
      </c>
      <c r="F458" t="str">
        <f>Result_notebook_retravaill!F458</f>
        <v>Status Quo</v>
      </c>
      <c r="G458">
        <f>Result_notebook_retravaill!G458</f>
        <v>28359.41743748487</v>
      </c>
      <c r="H458" s="32">
        <f>IF(Result_notebook_retravaill!I458&gt;Result_notebook_retravaill!G458,Result_notebook_retravaill!I458/Result_notebook_retravaill!N458,Result_notebook_retravaill!H458)</f>
        <v>3861</v>
      </c>
      <c r="I458" s="32">
        <f>Result_notebook_retravaill!K458</f>
        <v>60592.221448829252</v>
      </c>
      <c r="J458" s="32">
        <f>MIN(G458,Result_notebook_retravaill!I458)</f>
        <v>1637.7660393504759</v>
      </c>
      <c r="K458" s="32">
        <f>IF(Result_notebook_retravaill!I458&gt;Result_notebook_retravaill!G458,0,IF(Result_notebook_retravaill!I458+Result_notebook_retravaill!J458&gt;Result_notebook_retravaill!G458,Result_notebook_retravaill!G458-Result_notebook_retravaill!I458,Result_notebook_retravaill!J458))</f>
        <v>58.551050766946219</v>
      </c>
      <c r="L458" s="32">
        <f>IF(Result_notebook_retravaill!I458&gt;Result_notebook_retravaill!G458,0,IF(Result_notebook_retravaill!I458+Result_notebook_retravaill!J458&gt;Result_notebook_retravaill!G458,0,Result_notebook_retravaill!M458))</f>
        <v>26663.100347367443</v>
      </c>
      <c r="M458" s="31">
        <f t="shared" si="7"/>
        <v>0</v>
      </c>
    </row>
    <row r="459" spans="1:13" x14ac:dyDescent="0.35">
      <c r="A459">
        <f>Result_notebook_retravaill!A459</f>
        <v>2030</v>
      </c>
      <c r="B459" t="str">
        <f>Result_notebook_retravaill!B459</f>
        <v>Cobalt</v>
      </c>
      <c r="C459" t="str">
        <f>Result_notebook_retravaill!C459</f>
        <v>Current Measures</v>
      </c>
      <c r="D459" t="str">
        <f>Result_notebook_retravaill!D459</f>
        <v>Production potential</v>
      </c>
      <c r="E459" t="str">
        <f>Result_notebook_retravaill!E459</f>
        <v>Current shares</v>
      </c>
      <c r="F459" t="str">
        <f>Result_notebook_retravaill!F459</f>
        <v>Expansion Extractive</v>
      </c>
      <c r="G459">
        <f>Result_notebook_retravaill!G459</f>
        <v>28359.41743748487</v>
      </c>
      <c r="H459" s="32">
        <f>IF(Result_notebook_retravaill!I459&gt;Result_notebook_retravaill!G459,Result_notebook_retravaill!I459/Result_notebook_retravaill!N459,Result_notebook_retravaill!H459)</f>
        <v>7722.69119676847</v>
      </c>
      <c r="I459" s="32">
        <f>Result_notebook_retravaill!K459</f>
        <v>56730.53025206078</v>
      </c>
      <c r="J459" s="32">
        <f>MIN(G459,Result_notebook_retravaill!I459)</f>
        <v>3275.825271809967</v>
      </c>
      <c r="K459" s="32">
        <f>IF(Result_notebook_retravaill!I459&gt;Result_notebook_retravaill!G459,0,IF(Result_notebook_retravaill!I459+Result_notebook_retravaill!J459&gt;Result_notebook_retravaill!G459,Result_notebook_retravaill!G459-Result_notebook_retravaill!I459,Result_notebook_retravaill!J459))</f>
        <v>117.11258335131834</v>
      </c>
      <c r="L459" s="32">
        <f>IF(Result_notebook_retravaill!I459&gt;Result_notebook_retravaill!G459,0,IF(Result_notebook_retravaill!I459+Result_notebook_retravaill!J459&gt;Result_notebook_retravaill!G459,0,Result_notebook_retravaill!M459))</f>
        <v>24966.479582323584</v>
      </c>
      <c r="M459" s="31">
        <f t="shared" si="7"/>
        <v>0</v>
      </c>
    </row>
    <row r="460" spans="1:13" x14ac:dyDescent="0.35">
      <c r="A460">
        <f>Result_notebook_retravaill!A460</f>
        <v>2030</v>
      </c>
      <c r="B460" t="str">
        <f>Result_notebook_retravaill!B460</f>
        <v>Cobalt</v>
      </c>
      <c r="C460" t="str">
        <f>Result_notebook_retravaill!C460</f>
        <v>Current Measures</v>
      </c>
      <c r="D460" t="str">
        <f>Result_notebook_retravaill!D460</f>
        <v>Production potential</v>
      </c>
      <c r="E460" t="str">
        <f>Result_notebook_retravaill!E460</f>
        <v>Current shares</v>
      </c>
      <c r="F460" t="str">
        <f>Result_notebook_retravaill!F460</f>
        <v>Expansion Extractive+Circularity</v>
      </c>
      <c r="G460">
        <f>Result_notebook_retravaill!G460</f>
        <v>28359.41743748487</v>
      </c>
      <c r="H460" s="32">
        <f>IF(Result_notebook_retravaill!I460&gt;Result_notebook_retravaill!G460,Result_notebook_retravaill!I460/Result_notebook_retravaill!N460,Result_notebook_retravaill!H460)</f>
        <v>7722.69119676847</v>
      </c>
      <c r="I460" s="32">
        <f>Result_notebook_retravaill!K460</f>
        <v>56730.53025206078</v>
      </c>
      <c r="J460" s="32">
        <f>MIN(G460,Result_notebook_retravaill!I460)</f>
        <v>3275.825271809967</v>
      </c>
      <c r="K460" s="32">
        <f>IF(Result_notebook_retravaill!I460&gt;Result_notebook_retravaill!G460,0,IF(Result_notebook_retravaill!I460+Result_notebook_retravaill!J460&gt;Result_notebook_retravaill!G460,Result_notebook_retravaill!G460-Result_notebook_retravaill!I460,Result_notebook_retravaill!J460))</f>
        <v>117.11258335131834</v>
      </c>
      <c r="L460" s="32">
        <f>IF(Result_notebook_retravaill!I460&gt;Result_notebook_retravaill!G460,0,IF(Result_notebook_retravaill!I460+Result_notebook_retravaill!J460&gt;Result_notebook_retravaill!G460,0,Result_notebook_retravaill!M460))</f>
        <v>24966.479582323584</v>
      </c>
      <c r="M460" s="31">
        <f t="shared" si="7"/>
        <v>0</v>
      </c>
    </row>
    <row r="461" spans="1:13" x14ac:dyDescent="0.35">
      <c r="A461">
        <f>Result_notebook_retravaill!A461</f>
        <v>2030</v>
      </c>
      <c r="B461" t="str">
        <f>Result_notebook_retravaill!B461</f>
        <v>Cobalt</v>
      </c>
      <c r="C461" t="str">
        <f>Result_notebook_retravaill!C461</f>
        <v>Current Measures</v>
      </c>
      <c r="D461" t="str">
        <f>Result_notebook_retravaill!D461</f>
        <v>Production potential</v>
      </c>
      <c r="E461" t="str">
        <f>Result_notebook_retravaill!E461</f>
        <v>100% CAN</v>
      </c>
      <c r="F461" t="str">
        <f>Result_notebook_retravaill!F461</f>
        <v>Integrated</v>
      </c>
      <c r="G461">
        <f>Result_notebook_retravaill!G461</f>
        <v>28359.41743748487</v>
      </c>
      <c r="H461" s="32">
        <f>IF(Result_notebook_retravaill!I461&gt;Result_notebook_retravaill!G461,Result_notebook_retravaill!I461/Result_notebook_retravaill!N461,Result_notebook_retravaill!H461)</f>
        <v>7722.69119676847</v>
      </c>
      <c r="I461" s="32">
        <f>Result_notebook_retravaill!K461</f>
        <v>56730.53025206078</v>
      </c>
      <c r="J461" s="32">
        <f>MIN(G461,Result_notebook_retravaill!I461)</f>
        <v>3392.937855161289</v>
      </c>
      <c r="K461" s="32">
        <f>IF(Result_notebook_retravaill!I461&gt;Result_notebook_retravaill!G461,0,IF(Result_notebook_retravaill!I461+Result_notebook_retravaill!J461&gt;Result_notebook_retravaill!G461,Result_notebook_retravaill!G461-Result_notebook_retravaill!I461,Result_notebook_retravaill!J461))</f>
        <v>-3.637978807091713E-12</v>
      </c>
      <c r="L461" s="32">
        <f>IF(Result_notebook_retravaill!I461&gt;Result_notebook_retravaill!G461,0,IF(Result_notebook_retravaill!I461+Result_notebook_retravaill!J461&gt;Result_notebook_retravaill!G461,0,Result_notebook_retravaill!M461))</f>
        <v>24966.479582323584</v>
      </c>
      <c r="M461" s="31">
        <f t="shared" si="7"/>
        <v>0</v>
      </c>
    </row>
    <row r="462" spans="1:13" x14ac:dyDescent="0.35">
      <c r="A462">
        <f>Result_notebook_retravaill!A462</f>
        <v>2030</v>
      </c>
      <c r="B462" t="str">
        <f>Result_notebook_retravaill!B462</f>
        <v>Cobalt</v>
      </c>
      <c r="C462" t="str">
        <f>Result_notebook_retravaill!C462</f>
        <v>Global Net-zero</v>
      </c>
      <c r="D462" t="str">
        <f>Result_notebook_retravaill!D462</f>
        <v>Existing production</v>
      </c>
      <c r="E462" t="str">
        <f>Result_notebook_retravaill!E462</f>
        <v>Current shares</v>
      </c>
      <c r="F462" t="str">
        <f>Result_notebook_retravaill!F462</f>
        <v>NIMBY</v>
      </c>
      <c r="G462">
        <f>Result_notebook_retravaill!G462</f>
        <v>55644.976100679487</v>
      </c>
      <c r="H462" s="32">
        <f>IF(Result_notebook_retravaill!I462&gt;Result_notebook_retravaill!G462,Result_notebook_retravaill!I462/Result_notebook_retravaill!N462,Result_notebook_retravaill!H462)</f>
        <v>0</v>
      </c>
      <c r="I462" s="32">
        <f>Result_notebook_retravaill!K462</f>
        <v>126465.8547742716</v>
      </c>
      <c r="J462" s="32">
        <f>MIN(G462,Result_notebook_retravaill!I462)</f>
        <v>0</v>
      </c>
      <c r="K462" s="32">
        <f>IF(Result_notebook_retravaill!I462&gt;Result_notebook_retravaill!G462,0,IF(Result_notebook_retravaill!I462+Result_notebook_retravaill!J462&gt;Result_notebook_retravaill!G462,Result_notebook_retravaill!G462-Result_notebook_retravaill!I462,Result_notebook_retravaill!J462))</f>
        <v>0</v>
      </c>
      <c r="L462" s="32">
        <f>IF(Result_notebook_retravaill!I462&gt;Result_notebook_retravaill!G462,0,IF(Result_notebook_retravaill!I462+Result_notebook_retravaill!J462&gt;Result_notebook_retravaill!G462,0,Result_notebook_retravaill!M462))</f>
        <v>55644.976100679487</v>
      </c>
      <c r="M462" s="31">
        <f t="shared" si="7"/>
        <v>0</v>
      </c>
    </row>
    <row r="463" spans="1:13" x14ac:dyDescent="0.35">
      <c r="A463">
        <f>Result_notebook_retravaill!A463</f>
        <v>2030</v>
      </c>
      <c r="B463" t="str">
        <f>Result_notebook_retravaill!B463</f>
        <v>Cobalt</v>
      </c>
      <c r="C463" t="str">
        <f>Result_notebook_retravaill!C463</f>
        <v>Global Net-zero</v>
      </c>
      <c r="D463" t="str">
        <f>Result_notebook_retravaill!D463</f>
        <v>Existing production</v>
      </c>
      <c r="E463" t="str">
        <f>Result_notebook_retravaill!E463</f>
        <v>Current shares</v>
      </c>
      <c r="F463" t="str">
        <f>Result_notebook_retravaill!F463</f>
        <v>Status Quo</v>
      </c>
      <c r="G463">
        <f>Result_notebook_retravaill!G463</f>
        <v>55644.976100679487</v>
      </c>
      <c r="H463" s="32">
        <f>IF(Result_notebook_retravaill!I463&gt;Result_notebook_retravaill!G463,Result_notebook_retravaill!I463/Result_notebook_retravaill!N463,Result_notebook_retravaill!H463)</f>
        <v>3861</v>
      </c>
      <c r="I463" s="32">
        <f>Result_notebook_retravaill!K463</f>
        <v>122604.8547742716</v>
      </c>
      <c r="J463" s="32">
        <f>MIN(G463,Result_notebook_retravaill!I463)</f>
        <v>1637.7660393504759</v>
      </c>
      <c r="K463" s="32">
        <f>IF(Result_notebook_retravaill!I463&gt;Result_notebook_retravaill!G463,0,IF(Result_notebook_retravaill!I463+Result_notebook_retravaill!J463&gt;Result_notebook_retravaill!G463,Result_notebook_retravaill!G463-Result_notebook_retravaill!I463,Result_notebook_retravaill!J463))</f>
        <v>58.551050766946219</v>
      </c>
      <c r="L463" s="32">
        <f>IF(Result_notebook_retravaill!I463&gt;Result_notebook_retravaill!G463,0,IF(Result_notebook_retravaill!I463+Result_notebook_retravaill!J463&gt;Result_notebook_retravaill!G463,0,Result_notebook_retravaill!M463))</f>
        <v>53948.659010562063</v>
      </c>
      <c r="M463" s="31">
        <f t="shared" si="7"/>
        <v>0</v>
      </c>
    </row>
    <row r="464" spans="1:13" x14ac:dyDescent="0.35">
      <c r="A464">
        <f>Result_notebook_retravaill!A464</f>
        <v>2030</v>
      </c>
      <c r="B464" t="str">
        <f>Result_notebook_retravaill!B464</f>
        <v>Cobalt</v>
      </c>
      <c r="C464" t="str">
        <f>Result_notebook_retravaill!C464</f>
        <v>Global Net-zero</v>
      </c>
      <c r="D464" t="str">
        <f>Result_notebook_retravaill!D464</f>
        <v>Production potential</v>
      </c>
      <c r="E464" t="str">
        <f>Result_notebook_retravaill!E464</f>
        <v>Current shares</v>
      </c>
      <c r="F464" t="str">
        <f>Result_notebook_retravaill!F464</f>
        <v>Expansion Extractive</v>
      </c>
      <c r="G464">
        <f>Result_notebook_retravaill!G464</f>
        <v>55644.976100679487</v>
      </c>
      <c r="H464" s="32">
        <f>IF(Result_notebook_retravaill!I464&gt;Result_notebook_retravaill!G464,Result_notebook_retravaill!I464/Result_notebook_retravaill!N464,Result_notebook_retravaill!H464)</f>
        <v>7722.69119676847</v>
      </c>
      <c r="I464" s="32">
        <f>Result_notebook_retravaill!K464</f>
        <v>118743.1635775031</v>
      </c>
      <c r="J464" s="32">
        <f>MIN(G464,Result_notebook_retravaill!I464)</f>
        <v>3275.825271809967</v>
      </c>
      <c r="K464" s="32">
        <f>IF(Result_notebook_retravaill!I464&gt;Result_notebook_retravaill!G464,0,IF(Result_notebook_retravaill!I464+Result_notebook_retravaill!J464&gt;Result_notebook_retravaill!G464,Result_notebook_retravaill!G464-Result_notebook_retravaill!I464,Result_notebook_retravaill!J464))</f>
        <v>117.11258335131834</v>
      </c>
      <c r="L464" s="32">
        <f>IF(Result_notebook_retravaill!I464&gt;Result_notebook_retravaill!G464,0,IF(Result_notebook_retravaill!I464+Result_notebook_retravaill!J464&gt;Result_notebook_retravaill!G464,0,Result_notebook_retravaill!M464))</f>
        <v>52252.038245518197</v>
      </c>
      <c r="M464" s="31">
        <f t="shared" si="7"/>
        <v>0</v>
      </c>
    </row>
    <row r="465" spans="1:13" x14ac:dyDescent="0.35">
      <c r="A465">
        <f>Result_notebook_retravaill!A465</f>
        <v>2030</v>
      </c>
      <c r="B465" t="str">
        <f>Result_notebook_retravaill!B465</f>
        <v>Cobalt</v>
      </c>
      <c r="C465" t="str">
        <f>Result_notebook_retravaill!C465</f>
        <v>Global Net-zero</v>
      </c>
      <c r="D465" t="str">
        <f>Result_notebook_retravaill!D465</f>
        <v>Production potential</v>
      </c>
      <c r="E465" t="str">
        <f>Result_notebook_retravaill!E465</f>
        <v>Current shares</v>
      </c>
      <c r="F465" t="str">
        <f>Result_notebook_retravaill!F465</f>
        <v>Expansion Extractive+Circularity</v>
      </c>
      <c r="G465">
        <f>Result_notebook_retravaill!G465</f>
        <v>55644.976100679487</v>
      </c>
      <c r="H465" s="32">
        <f>IF(Result_notebook_retravaill!I465&gt;Result_notebook_retravaill!G465,Result_notebook_retravaill!I465/Result_notebook_retravaill!N465,Result_notebook_retravaill!H465)</f>
        <v>7722.69119676847</v>
      </c>
      <c r="I465" s="32">
        <f>Result_notebook_retravaill!K465</f>
        <v>118743.1635775031</v>
      </c>
      <c r="J465" s="32">
        <f>MIN(G465,Result_notebook_retravaill!I465)</f>
        <v>3275.825271809967</v>
      </c>
      <c r="K465" s="32">
        <f>IF(Result_notebook_retravaill!I465&gt;Result_notebook_retravaill!G465,0,IF(Result_notebook_retravaill!I465+Result_notebook_retravaill!J465&gt;Result_notebook_retravaill!G465,Result_notebook_retravaill!G465-Result_notebook_retravaill!I465,Result_notebook_retravaill!J465))</f>
        <v>117.11258335131834</v>
      </c>
      <c r="L465" s="32">
        <f>IF(Result_notebook_retravaill!I465&gt;Result_notebook_retravaill!G465,0,IF(Result_notebook_retravaill!I465+Result_notebook_retravaill!J465&gt;Result_notebook_retravaill!G465,0,Result_notebook_retravaill!M465))</f>
        <v>52252.038245518197</v>
      </c>
      <c r="M465" s="31">
        <f t="shared" si="7"/>
        <v>0</v>
      </c>
    </row>
    <row r="466" spans="1:13" x14ac:dyDescent="0.35">
      <c r="A466">
        <f>Result_notebook_retravaill!A466</f>
        <v>2030</v>
      </c>
      <c r="B466" t="str">
        <f>Result_notebook_retravaill!B466</f>
        <v>Cobalt</v>
      </c>
      <c r="C466" t="str">
        <f>Result_notebook_retravaill!C466</f>
        <v>Global Net-zero</v>
      </c>
      <c r="D466" t="str">
        <f>Result_notebook_retravaill!D466</f>
        <v>Production potential</v>
      </c>
      <c r="E466" t="str">
        <f>Result_notebook_retravaill!E466</f>
        <v>100% CAN</v>
      </c>
      <c r="F466" t="str">
        <f>Result_notebook_retravaill!F466</f>
        <v>Integrated</v>
      </c>
      <c r="G466">
        <f>Result_notebook_retravaill!G466</f>
        <v>55644.976100679487</v>
      </c>
      <c r="H466" s="32">
        <f>IF(Result_notebook_retravaill!I466&gt;Result_notebook_retravaill!G466,Result_notebook_retravaill!I466/Result_notebook_retravaill!N466,Result_notebook_retravaill!H466)</f>
        <v>7722.69119676847</v>
      </c>
      <c r="I466" s="32">
        <f>Result_notebook_retravaill!K466</f>
        <v>118743.1635775031</v>
      </c>
      <c r="J466" s="32">
        <f>MIN(G466,Result_notebook_retravaill!I466)</f>
        <v>3392.937855161289</v>
      </c>
      <c r="K466" s="32">
        <f>IF(Result_notebook_retravaill!I466&gt;Result_notebook_retravaill!G466,0,IF(Result_notebook_retravaill!I466+Result_notebook_retravaill!J466&gt;Result_notebook_retravaill!G466,Result_notebook_retravaill!G466-Result_notebook_retravaill!I466,Result_notebook_retravaill!J466))</f>
        <v>-3.637978807091713E-12</v>
      </c>
      <c r="L466" s="32">
        <f>IF(Result_notebook_retravaill!I466&gt;Result_notebook_retravaill!G466,0,IF(Result_notebook_retravaill!I466+Result_notebook_retravaill!J466&gt;Result_notebook_retravaill!G466,0,Result_notebook_retravaill!M466))</f>
        <v>52252.038245518197</v>
      </c>
      <c r="M466" s="31">
        <f t="shared" si="7"/>
        <v>0</v>
      </c>
    </row>
    <row r="467" spans="1:13" x14ac:dyDescent="0.35">
      <c r="A467">
        <f>Result_notebook_retravaill!A467</f>
        <v>2030</v>
      </c>
      <c r="B467" t="str">
        <f>Result_notebook_retravaill!B467</f>
        <v>Copper</v>
      </c>
      <c r="C467" t="str">
        <f>Result_notebook_retravaill!C467</f>
        <v>Canada Net-zero</v>
      </c>
      <c r="D467" t="str">
        <f>Result_notebook_retravaill!D467</f>
        <v>Existing production</v>
      </c>
      <c r="E467" t="str">
        <f>Result_notebook_retravaill!E467</f>
        <v>Current shares</v>
      </c>
      <c r="F467" t="str">
        <f>Result_notebook_retravaill!F467</f>
        <v>NIMBY</v>
      </c>
      <c r="G467">
        <f>Result_notebook_retravaill!G467</f>
        <v>999788.1668806962</v>
      </c>
      <c r="H467" s="32">
        <f>IF(Result_notebook_retravaill!I467&gt;Result_notebook_retravaill!G467,Result_notebook_retravaill!I467/Result_notebook_retravaill!N467,Result_notebook_retravaill!H467)</f>
        <v>0</v>
      </c>
      <c r="I467" s="32">
        <f>Result_notebook_retravaill!K467</f>
        <v>1204564.056482767</v>
      </c>
      <c r="J467" s="32">
        <f>MIN(G467,Result_notebook_retravaill!I467)</f>
        <v>0</v>
      </c>
      <c r="K467" s="32">
        <f>IF(Result_notebook_retravaill!I467&gt;Result_notebook_retravaill!G467,0,IF(Result_notebook_retravaill!I467+Result_notebook_retravaill!J467&gt;Result_notebook_retravaill!G467,Result_notebook_retravaill!G467-Result_notebook_retravaill!I467,Result_notebook_retravaill!J467))</f>
        <v>0</v>
      </c>
      <c r="L467" s="32">
        <f>IF(Result_notebook_retravaill!I467&gt;Result_notebook_retravaill!G467,0,IF(Result_notebook_retravaill!I467+Result_notebook_retravaill!J467&gt;Result_notebook_retravaill!G467,0,Result_notebook_retravaill!M467))</f>
        <v>999788.1668806962</v>
      </c>
      <c r="M467" s="31">
        <f t="shared" si="7"/>
        <v>0</v>
      </c>
    </row>
    <row r="468" spans="1:13" x14ac:dyDescent="0.35">
      <c r="A468">
        <f>Result_notebook_retravaill!A468</f>
        <v>2030</v>
      </c>
      <c r="B468" t="str">
        <f>Result_notebook_retravaill!B468</f>
        <v>Copper</v>
      </c>
      <c r="C468" t="str">
        <f>Result_notebook_retravaill!C468</f>
        <v>Canada Net-zero</v>
      </c>
      <c r="D468" t="str">
        <f>Result_notebook_retravaill!D468</f>
        <v>Existing production</v>
      </c>
      <c r="E468" t="str">
        <f>Result_notebook_retravaill!E468</f>
        <v>Current shares</v>
      </c>
      <c r="F468" t="str">
        <f>Result_notebook_retravaill!F468</f>
        <v>Status Quo</v>
      </c>
      <c r="G468">
        <f>Result_notebook_retravaill!G468</f>
        <v>999788.1668806962</v>
      </c>
      <c r="H468" s="32">
        <f>IF(Result_notebook_retravaill!I468&gt;Result_notebook_retravaill!G468,Result_notebook_retravaill!I468/Result_notebook_retravaill!N468,Result_notebook_retravaill!H468)</f>
        <v>331738</v>
      </c>
      <c r="I468" s="32">
        <f>Result_notebook_retravaill!K468</f>
        <v>872826.05648276652</v>
      </c>
      <c r="J468" s="32">
        <f>MIN(G468,Result_notebook_retravaill!I468)</f>
        <v>174364.3747679751</v>
      </c>
      <c r="K468" s="32">
        <f>IF(Result_notebook_retravaill!I468&gt;Result_notebook_retravaill!G468,0,IF(Result_notebook_retravaill!I468+Result_notebook_retravaill!J468&gt;Result_notebook_retravaill!G468,Result_notebook_retravaill!G468-Result_notebook_retravaill!I468,Result_notebook_retravaill!J468))</f>
        <v>102552.51506253323</v>
      </c>
      <c r="L468" s="32">
        <f>IF(Result_notebook_retravaill!I468&gt;Result_notebook_retravaill!G468,0,IF(Result_notebook_retravaill!I468+Result_notebook_retravaill!J468&gt;Result_notebook_retravaill!G468,0,Result_notebook_retravaill!M468))</f>
        <v>722871.27705018793</v>
      </c>
      <c r="M468" s="31">
        <f t="shared" si="7"/>
        <v>0</v>
      </c>
    </row>
    <row r="469" spans="1:13" x14ac:dyDescent="0.35">
      <c r="A469">
        <f>Result_notebook_retravaill!A469</f>
        <v>2030</v>
      </c>
      <c r="B469" t="str">
        <f>Result_notebook_retravaill!B469</f>
        <v>Copper</v>
      </c>
      <c r="C469" t="str">
        <f>Result_notebook_retravaill!C469</f>
        <v>Canada Net-zero</v>
      </c>
      <c r="D469" t="str">
        <f>Result_notebook_retravaill!D469</f>
        <v>Production potential</v>
      </c>
      <c r="E469" t="str">
        <f>Result_notebook_retravaill!E469</f>
        <v>Current shares</v>
      </c>
      <c r="F469" t="str">
        <f>Result_notebook_retravaill!F469</f>
        <v>Expansion Extractive</v>
      </c>
      <c r="G469">
        <f>Result_notebook_retravaill!G469</f>
        <v>999788.1668806962</v>
      </c>
      <c r="H469" s="32">
        <f>IF(Result_notebook_retravaill!I469&gt;Result_notebook_retravaill!G469,Result_notebook_retravaill!I469/Result_notebook_retravaill!N469,Result_notebook_retravaill!H469)</f>
        <v>686257.18012875051</v>
      </c>
      <c r="I469" s="32">
        <f>Result_notebook_retravaill!K469</f>
        <v>518306.87635401601</v>
      </c>
      <c r="J469" s="32">
        <f>MIN(G469,Result_notebook_retravaill!I469)</f>
        <v>360702.73572271859</v>
      </c>
      <c r="K469" s="32">
        <f>IF(Result_notebook_retravaill!I469&gt;Result_notebook_retravaill!G469,0,IF(Result_notebook_retravaill!I469+Result_notebook_retravaill!J469&gt;Result_notebook_retravaill!G469,Result_notebook_retravaill!G469-Result_notebook_retravaill!I469,Result_notebook_retravaill!J469))</f>
        <v>212147.53752034827</v>
      </c>
      <c r="L469" s="32">
        <f>IF(Result_notebook_retravaill!I469&gt;Result_notebook_retravaill!G469,0,IF(Result_notebook_retravaill!I469+Result_notebook_retravaill!J469&gt;Result_notebook_retravaill!G469,0,Result_notebook_retravaill!M469))</f>
        <v>426937.89363762928</v>
      </c>
      <c r="M469" s="31">
        <f t="shared" si="7"/>
        <v>0</v>
      </c>
    </row>
    <row r="470" spans="1:13" x14ac:dyDescent="0.35">
      <c r="A470">
        <f>Result_notebook_retravaill!A470</f>
        <v>2030</v>
      </c>
      <c r="B470" t="str">
        <f>Result_notebook_retravaill!B470</f>
        <v>Copper</v>
      </c>
      <c r="C470" t="str">
        <f>Result_notebook_retravaill!C470</f>
        <v>Canada Net-zero</v>
      </c>
      <c r="D470" t="str">
        <f>Result_notebook_retravaill!D470</f>
        <v>Production potential</v>
      </c>
      <c r="E470" t="str">
        <f>Result_notebook_retravaill!E470</f>
        <v>Current shares</v>
      </c>
      <c r="F470" t="str">
        <f>Result_notebook_retravaill!F470</f>
        <v>Expansion Extractive+Circularity</v>
      </c>
      <c r="G470">
        <f>Result_notebook_retravaill!G470</f>
        <v>999788.1668806962</v>
      </c>
      <c r="H470" s="32">
        <f>IF(Result_notebook_retravaill!I470&gt;Result_notebook_retravaill!G470,Result_notebook_retravaill!I470/Result_notebook_retravaill!N470,Result_notebook_retravaill!H470)</f>
        <v>686257.18012875051</v>
      </c>
      <c r="I470" s="32">
        <f>Result_notebook_retravaill!K470</f>
        <v>518306.87635401601</v>
      </c>
      <c r="J470" s="32">
        <f>MIN(G470,Result_notebook_retravaill!I470)</f>
        <v>360702.73572271859</v>
      </c>
      <c r="K470" s="32">
        <f>IF(Result_notebook_retravaill!I470&gt;Result_notebook_retravaill!G470,0,IF(Result_notebook_retravaill!I470+Result_notebook_retravaill!J470&gt;Result_notebook_retravaill!G470,Result_notebook_retravaill!G470-Result_notebook_retravaill!I470,Result_notebook_retravaill!J470))</f>
        <v>212147.53752034827</v>
      </c>
      <c r="L470" s="32">
        <f>IF(Result_notebook_retravaill!I470&gt;Result_notebook_retravaill!G470,0,IF(Result_notebook_retravaill!I470+Result_notebook_retravaill!J470&gt;Result_notebook_retravaill!G470,0,Result_notebook_retravaill!M470))</f>
        <v>426937.89363762928</v>
      </c>
      <c r="M470" s="31">
        <f t="shared" si="7"/>
        <v>0</v>
      </c>
    </row>
    <row r="471" spans="1:13" x14ac:dyDescent="0.35">
      <c r="A471">
        <f>Result_notebook_retravaill!A471</f>
        <v>2030</v>
      </c>
      <c r="B471" t="str">
        <f>Result_notebook_retravaill!B471</f>
        <v>Copper</v>
      </c>
      <c r="C471" t="str">
        <f>Result_notebook_retravaill!C471</f>
        <v>Canada Net-zero</v>
      </c>
      <c r="D471" t="str">
        <f>Result_notebook_retravaill!D471</f>
        <v>Production potential</v>
      </c>
      <c r="E471" t="str">
        <f>Result_notebook_retravaill!E471</f>
        <v>100% CAN</v>
      </c>
      <c r="F471" t="str">
        <f>Result_notebook_retravaill!F471</f>
        <v>Integrated</v>
      </c>
      <c r="G471">
        <f>Result_notebook_retravaill!G471</f>
        <v>999788.1668806962</v>
      </c>
      <c r="H471" s="32">
        <f>IF(Result_notebook_retravaill!I471&gt;Result_notebook_retravaill!G471,Result_notebook_retravaill!I471/Result_notebook_retravaill!N471,Result_notebook_retravaill!H471)</f>
        <v>686257.18012875051</v>
      </c>
      <c r="I471" s="32">
        <f>Result_notebook_retravaill!K471</f>
        <v>518306.87635401601</v>
      </c>
      <c r="J471" s="32">
        <f>MIN(G471,Result_notebook_retravaill!I471)</f>
        <v>572850.2732430672</v>
      </c>
      <c r="K471" s="32">
        <f>IF(Result_notebook_retravaill!I471&gt;Result_notebook_retravaill!G471,0,IF(Result_notebook_retravaill!I471+Result_notebook_retravaill!J471&gt;Result_notebook_retravaill!G471,Result_notebook_retravaill!G471-Result_notebook_retravaill!I471,Result_notebook_retravaill!J471))</f>
        <v>0</v>
      </c>
      <c r="L471" s="32">
        <f>IF(Result_notebook_retravaill!I471&gt;Result_notebook_retravaill!G471,0,IF(Result_notebook_retravaill!I471+Result_notebook_retravaill!J471&gt;Result_notebook_retravaill!G471,0,Result_notebook_retravaill!M471))</f>
        <v>426937.89363762899</v>
      </c>
      <c r="M471" s="31">
        <f t="shared" si="7"/>
        <v>0</v>
      </c>
    </row>
    <row r="472" spans="1:13" x14ac:dyDescent="0.35">
      <c r="A472">
        <f>Result_notebook_retravaill!A472</f>
        <v>2030</v>
      </c>
      <c r="B472" t="str">
        <f>Result_notebook_retravaill!B472</f>
        <v>Copper</v>
      </c>
      <c r="C472" t="str">
        <f>Result_notebook_retravaill!C472</f>
        <v>Current Measures</v>
      </c>
      <c r="D472" t="str">
        <f>Result_notebook_retravaill!D472</f>
        <v>Existing production</v>
      </c>
      <c r="E472" t="str">
        <f>Result_notebook_retravaill!E472</f>
        <v>Current shares</v>
      </c>
      <c r="F472" t="str">
        <f>Result_notebook_retravaill!F472</f>
        <v>NIMBY</v>
      </c>
      <c r="G472">
        <f>Result_notebook_retravaill!G472</f>
        <v>938553.71310400078</v>
      </c>
      <c r="H472" s="32">
        <f>IF(Result_notebook_retravaill!I472&gt;Result_notebook_retravaill!G472,Result_notebook_retravaill!I472/Result_notebook_retravaill!N472,Result_notebook_retravaill!H472)</f>
        <v>0</v>
      </c>
      <c r="I472" s="32">
        <f>Result_notebook_retravaill!K472</f>
        <v>1130787.606149398</v>
      </c>
      <c r="J472" s="32">
        <f>MIN(G472,Result_notebook_retravaill!I472)</f>
        <v>0</v>
      </c>
      <c r="K472" s="32">
        <f>IF(Result_notebook_retravaill!I472&gt;Result_notebook_retravaill!G472,0,IF(Result_notebook_retravaill!I472+Result_notebook_retravaill!J472&gt;Result_notebook_retravaill!G472,Result_notebook_retravaill!G472-Result_notebook_retravaill!I472,Result_notebook_retravaill!J472))</f>
        <v>0</v>
      </c>
      <c r="L472" s="32">
        <f>IF(Result_notebook_retravaill!I472&gt;Result_notebook_retravaill!G472,0,IF(Result_notebook_retravaill!I472+Result_notebook_retravaill!J472&gt;Result_notebook_retravaill!G472,0,Result_notebook_retravaill!M472))</f>
        <v>938553.71310400078</v>
      </c>
      <c r="M472" s="31">
        <f t="shared" si="7"/>
        <v>0</v>
      </c>
    </row>
    <row r="473" spans="1:13" x14ac:dyDescent="0.35">
      <c r="A473">
        <f>Result_notebook_retravaill!A473</f>
        <v>2030</v>
      </c>
      <c r="B473" t="str">
        <f>Result_notebook_retravaill!B473</f>
        <v>Copper</v>
      </c>
      <c r="C473" t="str">
        <f>Result_notebook_retravaill!C473</f>
        <v>Current Measures</v>
      </c>
      <c r="D473" t="str">
        <f>Result_notebook_retravaill!D473</f>
        <v>Existing production</v>
      </c>
      <c r="E473" t="str">
        <f>Result_notebook_retravaill!E473</f>
        <v>Current shares</v>
      </c>
      <c r="F473" t="str">
        <f>Result_notebook_retravaill!F473</f>
        <v>Status Quo</v>
      </c>
      <c r="G473">
        <f>Result_notebook_retravaill!G473</f>
        <v>938553.71310400078</v>
      </c>
      <c r="H473" s="32">
        <f>IF(Result_notebook_retravaill!I473&gt;Result_notebook_retravaill!G473,Result_notebook_retravaill!I473/Result_notebook_retravaill!N473,Result_notebook_retravaill!H473)</f>
        <v>331738</v>
      </c>
      <c r="I473" s="32">
        <f>Result_notebook_retravaill!K473</f>
        <v>799049.60614939849</v>
      </c>
      <c r="J473" s="32">
        <f>MIN(G473,Result_notebook_retravaill!I473)</f>
        <v>174364.3747679751</v>
      </c>
      <c r="K473" s="32">
        <f>IF(Result_notebook_retravaill!I473&gt;Result_notebook_retravaill!G473,0,IF(Result_notebook_retravaill!I473+Result_notebook_retravaill!J473&gt;Result_notebook_retravaill!G473,Result_notebook_retravaill!G473-Result_notebook_retravaill!I473,Result_notebook_retravaill!J473))</f>
        <v>102552.51506253323</v>
      </c>
      <c r="L473" s="32">
        <f>IF(Result_notebook_retravaill!I473&gt;Result_notebook_retravaill!G473,0,IF(Result_notebook_retravaill!I473+Result_notebook_retravaill!J473&gt;Result_notebook_retravaill!G473,0,Result_notebook_retravaill!M473))</f>
        <v>661636.82327349251</v>
      </c>
      <c r="M473" s="31">
        <f t="shared" si="7"/>
        <v>0</v>
      </c>
    </row>
    <row r="474" spans="1:13" x14ac:dyDescent="0.35">
      <c r="A474">
        <f>Result_notebook_retravaill!A474</f>
        <v>2030</v>
      </c>
      <c r="B474" t="str">
        <f>Result_notebook_retravaill!B474</f>
        <v>Copper</v>
      </c>
      <c r="C474" t="str">
        <f>Result_notebook_retravaill!C474</f>
        <v>Current Measures</v>
      </c>
      <c r="D474" t="str">
        <f>Result_notebook_retravaill!D474</f>
        <v>Production potential</v>
      </c>
      <c r="E474" t="str">
        <f>Result_notebook_retravaill!E474</f>
        <v>Current shares</v>
      </c>
      <c r="F474" t="str">
        <f>Result_notebook_retravaill!F474</f>
        <v>Expansion Extractive</v>
      </c>
      <c r="G474">
        <f>Result_notebook_retravaill!G474</f>
        <v>938553.71310400078</v>
      </c>
      <c r="H474" s="32">
        <f>IF(Result_notebook_retravaill!I474&gt;Result_notebook_retravaill!G474,Result_notebook_retravaill!I474/Result_notebook_retravaill!N474,Result_notebook_retravaill!H474)</f>
        <v>686257.18012875051</v>
      </c>
      <c r="I474" s="32">
        <f>Result_notebook_retravaill!K474</f>
        <v>444530.42602064798</v>
      </c>
      <c r="J474" s="32">
        <f>MIN(G474,Result_notebook_retravaill!I474)</f>
        <v>360702.73572271859</v>
      </c>
      <c r="K474" s="32">
        <f>IF(Result_notebook_retravaill!I474&gt;Result_notebook_retravaill!G474,0,IF(Result_notebook_retravaill!I474+Result_notebook_retravaill!J474&gt;Result_notebook_retravaill!G474,Result_notebook_retravaill!G474-Result_notebook_retravaill!I474,Result_notebook_retravaill!J474))</f>
        <v>212147.53752034827</v>
      </c>
      <c r="L474" s="32">
        <f>IF(Result_notebook_retravaill!I474&gt;Result_notebook_retravaill!G474,0,IF(Result_notebook_retravaill!I474+Result_notebook_retravaill!J474&gt;Result_notebook_retravaill!G474,0,Result_notebook_retravaill!M474))</f>
        <v>365703.43986093387</v>
      </c>
      <c r="M474" s="31">
        <f t="shared" si="7"/>
        <v>0</v>
      </c>
    </row>
    <row r="475" spans="1:13" x14ac:dyDescent="0.35">
      <c r="A475">
        <f>Result_notebook_retravaill!A475</f>
        <v>2030</v>
      </c>
      <c r="B475" t="str">
        <f>Result_notebook_retravaill!B475</f>
        <v>Copper</v>
      </c>
      <c r="C475" t="str">
        <f>Result_notebook_retravaill!C475</f>
        <v>Current Measures</v>
      </c>
      <c r="D475" t="str">
        <f>Result_notebook_retravaill!D475</f>
        <v>Production potential</v>
      </c>
      <c r="E475" t="str">
        <f>Result_notebook_retravaill!E475</f>
        <v>Current shares</v>
      </c>
      <c r="F475" t="str">
        <f>Result_notebook_retravaill!F475</f>
        <v>Expansion Extractive+Circularity</v>
      </c>
      <c r="G475">
        <f>Result_notebook_retravaill!G475</f>
        <v>938553.71310400078</v>
      </c>
      <c r="H475" s="32">
        <f>IF(Result_notebook_retravaill!I475&gt;Result_notebook_retravaill!G475,Result_notebook_retravaill!I475/Result_notebook_retravaill!N475,Result_notebook_retravaill!H475)</f>
        <v>686257.18012875051</v>
      </c>
      <c r="I475" s="32">
        <f>Result_notebook_retravaill!K475</f>
        <v>444530.42602064798</v>
      </c>
      <c r="J475" s="32">
        <f>MIN(G475,Result_notebook_retravaill!I475)</f>
        <v>360702.73572271859</v>
      </c>
      <c r="K475" s="32">
        <f>IF(Result_notebook_retravaill!I475&gt;Result_notebook_retravaill!G475,0,IF(Result_notebook_retravaill!I475+Result_notebook_retravaill!J475&gt;Result_notebook_retravaill!G475,Result_notebook_retravaill!G475-Result_notebook_retravaill!I475,Result_notebook_retravaill!J475))</f>
        <v>212147.53752034827</v>
      </c>
      <c r="L475" s="32">
        <f>IF(Result_notebook_retravaill!I475&gt;Result_notebook_retravaill!G475,0,IF(Result_notebook_retravaill!I475+Result_notebook_retravaill!J475&gt;Result_notebook_retravaill!G475,0,Result_notebook_retravaill!M475))</f>
        <v>365703.43986093387</v>
      </c>
      <c r="M475" s="31">
        <f t="shared" si="7"/>
        <v>0</v>
      </c>
    </row>
    <row r="476" spans="1:13" x14ac:dyDescent="0.35">
      <c r="A476">
        <f>Result_notebook_retravaill!A476</f>
        <v>2030</v>
      </c>
      <c r="B476" t="str">
        <f>Result_notebook_retravaill!B476</f>
        <v>Copper</v>
      </c>
      <c r="C476" t="str">
        <f>Result_notebook_retravaill!C476</f>
        <v>Current Measures</v>
      </c>
      <c r="D476" t="str">
        <f>Result_notebook_retravaill!D476</f>
        <v>Production potential</v>
      </c>
      <c r="E476" t="str">
        <f>Result_notebook_retravaill!E476</f>
        <v>100% CAN</v>
      </c>
      <c r="F476" t="str">
        <f>Result_notebook_retravaill!F476</f>
        <v>Integrated</v>
      </c>
      <c r="G476">
        <f>Result_notebook_retravaill!G476</f>
        <v>938553.71310400078</v>
      </c>
      <c r="H476" s="32">
        <f>IF(Result_notebook_retravaill!I476&gt;Result_notebook_retravaill!G476,Result_notebook_retravaill!I476/Result_notebook_retravaill!N476,Result_notebook_retravaill!H476)</f>
        <v>686257.18012875051</v>
      </c>
      <c r="I476" s="32">
        <f>Result_notebook_retravaill!K476</f>
        <v>444530.42602064798</v>
      </c>
      <c r="J476" s="32">
        <f>MIN(G476,Result_notebook_retravaill!I476)</f>
        <v>572850.2732430672</v>
      </c>
      <c r="K476" s="32">
        <f>IF(Result_notebook_retravaill!I476&gt;Result_notebook_retravaill!G476,0,IF(Result_notebook_retravaill!I476+Result_notebook_retravaill!J476&gt;Result_notebook_retravaill!G476,Result_notebook_retravaill!G476-Result_notebook_retravaill!I476,Result_notebook_retravaill!J476))</f>
        <v>0</v>
      </c>
      <c r="L476" s="32">
        <f>IF(Result_notebook_retravaill!I476&gt;Result_notebook_retravaill!G476,0,IF(Result_notebook_retravaill!I476+Result_notebook_retravaill!J476&gt;Result_notebook_retravaill!G476,0,Result_notebook_retravaill!M476))</f>
        <v>365703.43986093358</v>
      </c>
      <c r="M476" s="31">
        <f t="shared" si="7"/>
        <v>0</v>
      </c>
    </row>
    <row r="477" spans="1:13" x14ac:dyDescent="0.35">
      <c r="A477">
        <f>Result_notebook_retravaill!A477</f>
        <v>2030</v>
      </c>
      <c r="B477" t="str">
        <f>Result_notebook_retravaill!B477</f>
        <v>Copper</v>
      </c>
      <c r="C477" t="str">
        <f>Result_notebook_retravaill!C477</f>
        <v>Global Net-zero</v>
      </c>
      <c r="D477" t="str">
        <f>Result_notebook_retravaill!D477</f>
        <v>Existing production</v>
      </c>
      <c r="E477" t="str">
        <f>Result_notebook_retravaill!E477</f>
        <v>Current shares</v>
      </c>
      <c r="F477" t="str">
        <f>Result_notebook_retravaill!F477</f>
        <v>NIMBY</v>
      </c>
      <c r="G477">
        <f>Result_notebook_retravaill!G477</f>
        <v>970850.53343822004</v>
      </c>
      <c r="H477" s="32">
        <f>IF(Result_notebook_retravaill!I477&gt;Result_notebook_retravaill!G477,Result_notebook_retravaill!I477/Result_notebook_retravaill!N477,Result_notebook_retravaill!H477)</f>
        <v>0</v>
      </c>
      <c r="I477" s="32">
        <f>Result_notebook_retravaill!K477</f>
        <v>1169699.437877374</v>
      </c>
      <c r="J477" s="32">
        <f>MIN(G477,Result_notebook_retravaill!I477)</f>
        <v>0</v>
      </c>
      <c r="K477" s="32">
        <f>IF(Result_notebook_retravaill!I477&gt;Result_notebook_retravaill!G477,0,IF(Result_notebook_retravaill!I477+Result_notebook_retravaill!J477&gt;Result_notebook_retravaill!G477,Result_notebook_retravaill!G477-Result_notebook_retravaill!I477,Result_notebook_retravaill!J477))</f>
        <v>0</v>
      </c>
      <c r="L477" s="32">
        <f>IF(Result_notebook_retravaill!I477&gt;Result_notebook_retravaill!G477,0,IF(Result_notebook_retravaill!I477+Result_notebook_retravaill!J477&gt;Result_notebook_retravaill!G477,0,Result_notebook_retravaill!M477))</f>
        <v>970850.53343822004</v>
      </c>
      <c r="M477" s="31">
        <f t="shared" si="7"/>
        <v>0</v>
      </c>
    </row>
    <row r="478" spans="1:13" x14ac:dyDescent="0.35">
      <c r="A478">
        <f>Result_notebook_retravaill!A478</f>
        <v>2030</v>
      </c>
      <c r="B478" t="str">
        <f>Result_notebook_retravaill!B478</f>
        <v>Copper</v>
      </c>
      <c r="C478" t="str">
        <f>Result_notebook_retravaill!C478</f>
        <v>Global Net-zero</v>
      </c>
      <c r="D478" t="str">
        <f>Result_notebook_retravaill!D478</f>
        <v>Existing production</v>
      </c>
      <c r="E478" t="str">
        <f>Result_notebook_retravaill!E478</f>
        <v>Current shares</v>
      </c>
      <c r="F478" t="str">
        <f>Result_notebook_retravaill!F478</f>
        <v>Status Quo</v>
      </c>
      <c r="G478">
        <f>Result_notebook_retravaill!G478</f>
        <v>970850.53343822004</v>
      </c>
      <c r="H478" s="32">
        <f>IF(Result_notebook_retravaill!I478&gt;Result_notebook_retravaill!G478,Result_notebook_retravaill!I478/Result_notebook_retravaill!N478,Result_notebook_retravaill!H478)</f>
        <v>331738</v>
      </c>
      <c r="I478" s="32">
        <f>Result_notebook_retravaill!K478</f>
        <v>837961.43787737354</v>
      </c>
      <c r="J478" s="32">
        <f>MIN(G478,Result_notebook_retravaill!I478)</f>
        <v>174364.3747679751</v>
      </c>
      <c r="K478" s="32">
        <f>IF(Result_notebook_retravaill!I478&gt;Result_notebook_retravaill!G478,0,IF(Result_notebook_retravaill!I478+Result_notebook_retravaill!J478&gt;Result_notebook_retravaill!G478,Result_notebook_retravaill!G478-Result_notebook_retravaill!I478,Result_notebook_retravaill!J478))</f>
        <v>102552.51506253323</v>
      </c>
      <c r="L478" s="32">
        <f>IF(Result_notebook_retravaill!I478&gt;Result_notebook_retravaill!G478,0,IF(Result_notebook_retravaill!I478+Result_notebook_retravaill!J478&gt;Result_notebook_retravaill!G478,0,Result_notebook_retravaill!M478))</f>
        <v>693933.64360771177</v>
      </c>
      <c r="M478" s="31">
        <f t="shared" si="7"/>
        <v>0</v>
      </c>
    </row>
    <row r="479" spans="1:13" x14ac:dyDescent="0.35">
      <c r="A479">
        <f>Result_notebook_retravaill!A479</f>
        <v>2030</v>
      </c>
      <c r="B479" t="str">
        <f>Result_notebook_retravaill!B479</f>
        <v>Copper</v>
      </c>
      <c r="C479" t="str">
        <f>Result_notebook_retravaill!C479</f>
        <v>Global Net-zero</v>
      </c>
      <c r="D479" t="str">
        <f>Result_notebook_retravaill!D479</f>
        <v>Production potential</v>
      </c>
      <c r="E479" t="str">
        <f>Result_notebook_retravaill!E479</f>
        <v>Current shares</v>
      </c>
      <c r="F479" t="str">
        <f>Result_notebook_retravaill!F479</f>
        <v>Expansion Extractive</v>
      </c>
      <c r="G479">
        <f>Result_notebook_retravaill!G479</f>
        <v>970850.53343822004</v>
      </c>
      <c r="H479" s="32">
        <f>IF(Result_notebook_retravaill!I479&gt;Result_notebook_retravaill!G479,Result_notebook_retravaill!I479/Result_notebook_retravaill!N479,Result_notebook_retravaill!H479)</f>
        <v>686257.18012875051</v>
      </c>
      <c r="I479" s="32">
        <f>Result_notebook_retravaill!K479</f>
        <v>483442.25774862297</v>
      </c>
      <c r="J479" s="32">
        <f>MIN(G479,Result_notebook_retravaill!I479)</f>
        <v>360702.73572271859</v>
      </c>
      <c r="K479" s="32">
        <f>IF(Result_notebook_retravaill!I479&gt;Result_notebook_retravaill!G479,0,IF(Result_notebook_retravaill!I479+Result_notebook_retravaill!J479&gt;Result_notebook_retravaill!G479,Result_notebook_retravaill!G479-Result_notebook_retravaill!I479,Result_notebook_retravaill!J479))</f>
        <v>212147.53752034827</v>
      </c>
      <c r="L479" s="32">
        <f>IF(Result_notebook_retravaill!I479&gt;Result_notebook_retravaill!G479,0,IF(Result_notebook_retravaill!I479+Result_notebook_retravaill!J479&gt;Result_notebook_retravaill!G479,0,Result_notebook_retravaill!M479))</f>
        <v>398000.26019515313</v>
      </c>
      <c r="M479" s="31">
        <f t="shared" si="7"/>
        <v>0</v>
      </c>
    </row>
    <row r="480" spans="1:13" x14ac:dyDescent="0.35">
      <c r="A480">
        <f>Result_notebook_retravaill!A480</f>
        <v>2030</v>
      </c>
      <c r="B480" t="str">
        <f>Result_notebook_retravaill!B480</f>
        <v>Copper</v>
      </c>
      <c r="C480" t="str">
        <f>Result_notebook_retravaill!C480</f>
        <v>Global Net-zero</v>
      </c>
      <c r="D480" t="str">
        <f>Result_notebook_retravaill!D480</f>
        <v>Production potential</v>
      </c>
      <c r="E480" t="str">
        <f>Result_notebook_retravaill!E480</f>
        <v>Current shares</v>
      </c>
      <c r="F480" t="str">
        <f>Result_notebook_retravaill!F480</f>
        <v>Expansion Extractive+Circularity</v>
      </c>
      <c r="G480">
        <f>Result_notebook_retravaill!G480</f>
        <v>970850.53343822004</v>
      </c>
      <c r="H480" s="32">
        <f>IF(Result_notebook_retravaill!I480&gt;Result_notebook_retravaill!G480,Result_notebook_retravaill!I480/Result_notebook_retravaill!N480,Result_notebook_retravaill!H480)</f>
        <v>686257.18012875051</v>
      </c>
      <c r="I480" s="32">
        <f>Result_notebook_retravaill!K480</f>
        <v>483442.25774862297</v>
      </c>
      <c r="J480" s="32">
        <f>MIN(G480,Result_notebook_retravaill!I480)</f>
        <v>360702.73572271859</v>
      </c>
      <c r="K480" s="32">
        <f>IF(Result_notebook_retravaill!I480&gt;Result_notebook_retravaill!G480,0,IF(Result_notebook_retravaill!I480+Result_notebook_retravaill!J480&gt;Result_notebook_retravaill!G480,Result_notebook_retravaill!G480-Result_notebook_retravaill!I480,Result_notebook_retravaill!J480))</f>
        <v>212147.53752034827</v>
      </c>
      <c r="L480" s="32">
        <f>IF(Result_notebook_retravaill!I480&gt;Result_notebook_retravaill!G480,0,IF(Result_notebook_retravaill!I480+Result_notebook_retravaill!J480&gt;Result_notebook_retravaill!G480,0,Result_notebook_retravaill!M480))</f>
        <v>398000.26019515313</v>
      </c>
      <c r="M480" s="31">
        <f t="shared" si="7"/>
        <v>0</v>
      </c>
    </row>
    <row r="481" spans="1:13" x14ac:dyDescent="0.35">
      <c r="A481">
        <f>Result_notebook_retravaill!A481</f>
        <v>2030</v>
      </c>
      <c r="B481" t="str">
        <f>Result_notebook_retravaill!B481</f>
        <v>Copper</v>
      </c>
      <c r="C481" t="str">
        <f>Result_notebook_retravaill!C481</f>
        <v>Global Net-zero</v>
      </c>
      <c r="D481" t="str">
        <f>Result_notebook_retravaill!D481</f>
        <v>Production potential</v>
      </c>
      <c r="E481" t="str">
        <f>Result_notebook_retravaill!E481</f>
        <v>100% CAN</v>
      </c>
      <c r="F481" t="str">
        <f>Result_notebook_retravaill!F481</f>
        <v>Integrated</v>
      </c>
      <c r="G481">
        <f>Result_notebook_retravaill!G481</f>
        <v>970850.53343822004</v>
      </c>
      <c r="H481" s="32">
        <f>IF(Result_notebook_retravaill!I481&gt;Result_notebook_retravaill!G481,Result_notebook_retravaill!I481/Result_notebook_retravaill!N481,Result_notebook_retravaill!H481)</f>
        <v>686257.18012875051</v>
      </c>
      <c r="I481" s="32">
        <f>Result_notebook_retravaill!K481</f>
        <v>483442.25774862297</v>
      </c>
      <c r="J481" s="32">
        <f>MIN(G481,Result_notebook_retravaill!I481)</f>
        <v>572850.2732430672</v>
      </c>
      <c r="K481" s="32">
        <f>IF(Result_notebook_retravaill!I481&gt;Result_notebook_retravaill!G481,0,IF(Result_notebook_retravaill!I481+Result_notebook_retravaill!J481&gt;Result_notebook_retravaill!G481,Result_notebook_retravaill!G481-Result_notebook_retravaill!I481,Result_notebook_retravaill!J481))</f>
        <v>0</v>
      </c>
      <c r="L481" s="32">
        <f>IF(Result_notebook_retravaill!I481&gt;Result_notebook_retravaill!G481,0,IF(Result_notebook_retravaill!I481+Result_notebook_retravaill!J481&gt;Result_notebook_retravaill!G481,0,Result_notebook_retravaill!M481))</f>
        <v>398000.26019515278</v>
      </c>
      <c r="M481" s="31">
        <f t="shared" si="7"/>
        <v>0</v>
      </c>
    </row>
    <row r="482" spans="1:13" x14ac:dyDescent="0.35">
      <c r="A482">
        <f>Result_notebook_retravaill!A482</f>
        <v>2030</v>
      </c>
      <c r="B482" t="str">
        <f>Result_notebook_retravaill!B482</f>
        <v>Neodymium</v>
      </c>
      <c r="C482" t="str">
        <f>Result_notebook_retravaill!C482</f>
        <v>Canada Net-zero</v>
      </c>
      <c r="D482" t="str">
        <f>Result_notebook_retravaill!D482</f>
        <v>Existing production</v>
      </c>
      <c r="E482" t="str">
        <f>Result_notebook_retravaill!E482</f>
        <v>Current shares</v>
      </c>
      <c r="F482" t="str">
        <f>Result_notebook_retravaill!F482</f>
        <v>NIMBY</v>
      </c>
      <c r="G482">
        <f>Result_notebook_retravaill!G482</f>
        <v>2154.8829337155262</v>
      </c>
      <c r="H482" s="32">
        <f>IF(Result_notebook_retravaill!I482&gt;Result_notebook_retravaill!G482,Result_notebook_retravaill!I482/Result_notebook_retravaill!N482,Result_notebook_retravaill!H482)</f>
        <v>0</v>
      </c>
      <c r="I482" s="32">
        <f>Result_notebook_retravaill!K482</f>
        <v>3591.4715561925441</v>
      </c>
      <c r="J482" s="32">
        <f>MIN(G482,Result_notebook_retravaill!I482)</f>
        <v>0</v>
      </c>
      <c r="K482" s="32">
        <f>IF(Result_notebook_retravaill!I482&gt;Result_notebook_retravaill!G482,0,IF(Result_notebook_retravaill!I482+Result_notebook_retravaill!J482&gt;Result_notebook_retravaill!G482,Result_notebook_retravaill!G482-Result_notebook_retravaill!I482,Result_notebook_retravaill!J482))</f>
        <v>0</v>
      </c>
      <c r="L482" s="32">
        <f>IF(Result_notebook_retravaill!I482&gt;Result_notebook_retravaill!G482,0,IF(Result_notebook_retravaill!I482+Result_notebook_retravaill!J482&gt;Result_notebook_retravaill!G482,0,Result_notebook_retravaill!M482))</f>
        <v>2154.8829337155262</v>
      </c>
      <c r="M482" s="31">
        <f t="shared" si="7"/>
        <v>0</v>
      </c>
    </row>
    <row r="483" spans="1:13" x14ac:dyDescent="0.35">
      <c r="A483">
        <f>Result_notebook_retravaill!A483</f>
        <v>2030</v>
      </c>
      <c r="B483" t="str">
        <f>Result_notebook_retravaill!B483</f>
        <v>Neodymium</v>
      </c>
      <c r="C483" t="str">
        <f>Result_notebook_retravaill!C483</f>
        <v>Canada Net-zero</v>
      </c>
      <c r="D483" t="str">
        <f>Result_notebook_retravaill!D483</f>
        <v>Existing production</v>
      </c>
      <c r="E483" t="str">
        <f>Result_notebook_retravaill!E483</f>
        <v>Current shares</v>
      </c>
      <c r="F483" t="str">
        <f>Result_notebook_retravaill!F483</f>
        <v>Status Quo</v>
      </c>
      <c r="G483">
        <f>Result_notebook_retravaill!G483</f>
        <v>2154.8829337155262</v>
      </c>
      <c r="H483" s="32">
        <f>IF(Result_notebook_retravaill!I483&gt;Result_notebook_retravaill!G483,Result_notebook_retravaill!I483/Result_notebook_retravaill!N483,Result_notebook_retravaill!H483)</f>
        <v>0</v>
      </c>
      <c r="I483" s="32">
        <f>Result_notebook_retravaill!K483</f>
        <v>3591.4715561925441</v>
      </c>
      <c r="J483" s="32">
        <f>MIN(G483,Result_notebook_retravaill!I483)</f>
        <v>0</v>
      </c>
      <c r="K483" s="32">
        <f>IF(Result_notebook_retravaill!I483&gt;Result_notebook_retravaill!G483,0,IF(Result_notebook_retravaill!I483+Result_notebook_retravaill!J483&gt;Result_notebook_retravaill!G483,Result_notebook_retravaill!G483-Result_notebook_retravaill!I483,Result_notebook_retravaill!J483))</f>
        <v>0</v>
      </c>
      <c r="L483" s="32">
        <f>IF(Result_notebook_retravaill!I483&gt;Result_notebook_retravaill!G483,0,IF(Result_notebook_retravaill!I483+Result_notebook_retravaill!J483&gt;Result_notebook_retravaill!G483,0,Result_notebook_retravaill!M483))</f>
        <v>2154.8829337155262</v>
      </c>
      <c r="M483" s="31">
        <f t="shared" si="7"/>
        <v>0</v>
      </c>
    </row>
    <row r="484" spans="1:13" x14ac:dyDescent="0.35">
      <c r="A484">
        <f>Result_notebook_retravaill!A484</f>
        <v>2030</v>
      </c>
      <c r="B484" t="str">
        <f>Result_notebook_retravaill!B484</f>
        <v>Neodymium</v>
      </c>
      <c r="C484" t="str">
        <f>Result_notebook_retravaill!C484</f>
        <v>Canada Net-zero</v>
      </c>
      <c r="D484" t="str">
        <f>Result_notebook_retravaill!D484</f>
        <v>Production potential</v>
      </c>
      <c r="E484" t="str">
        <f>Result_notebook_retravaill!E484</f>
        <v>Current shares</v>
      </c>
      <c r="F484" t="str">
        <f>Result_notebook_retravaill!F484</f>
        <v>Expansion Extractive</v>
      </c>
      <c r="G484">
        <f>Result_notebook_retravaill!G484</f>
        <v>2154.8829337155262</v>
      </c>
      <c r="H484" s="32">
        <f>IF(Result_notebook_retravaill!I484&gt;Result_notebook_retravaill!G484,Result_notebook_retravaill!I484/Result_notebook_retravaill!N484,Result_notebook_retravaill!H484)</f>
        <v>14.8330257144349</v>
      </c>
      <c r="I484" s="32">
        <f>Result_notebook_retravaill!K484</f>
        <v>3576.6385304781088</v>
      </c>
      <c r="J484" s="32">
        <f>MIN(G484,Result_notebook_retravaill!I484)</f>
        <v>8.878217267431701</v>
      </c>
      <c r="K484" s="32">
        <f>IF(Result_notebook_retravaill!I484&gt;Result_notebook_retravaill!G484,0,IF(Result_notebook_retravaill!I484+Result_notebook_retravaill!J484&gt;Result_notebook_retravaill!G484,Result_notebook_retravaill!G484-Result_notebook_retravaill!I484,Result_notebook_retravaill!J484))</f>
        <v>5.9548084470031988</v>
      </c>
      <c r="L484" s="32">
        <f>IF(Result_notebook_retravaill!I484&gt;Result_notebook_retravaill!G484,0,IF(Result_notebook_retravaill!I484+Result_notebook_retravaill!J484&gt;Result_notebook_retravaill!G484,0,Result_notebook_retravaill!M484))</f>
        <v>2140.0499080010904</v>
      </c>
      <c r="M484" s="31">
        <f t="shared" si="7"/>
        <v>0</v>
      </c>
    </row>
    <row r="485" spans="1:13" x14ac:dyDescent="0.35">
      <c r="A485">
        <f>Result_notebook_retravaill!A485</f>
        <v>2030</v>
      </c>
      <c r="B485" t="str">
        <f>Result_notebook_retravaill!B485</f>
        <v>Neodymium</v>
      </c>
      <c r="C485" t="str">
        <f>Result_notebook_retravaill!C485</f>
        <v>Canada Net-zero</v>
      </c>
      <c r="D485" t="str">
        <f>Result_notebook_retravaill!D485</f>
        <v>Production potential</v>
      </c>
      <c r="E485" t="str">
        <f>Result_notebook_retravaill!E485</f>
        <v>Current shares</v>
      </c>
      <c r="F485" t="str">
        <f>Result_notebook_retravaill!F485</f>
        <v>Expansion Extractive+Circularity</v>
      </c>
      <c r="G485">
        <f>Result_notebook_retravaill!G485</f>
        <v>2154.8829337155262</v>
      </c>
      <c r="H485" s="32">
        <f>IF(Result_notebook_retravaill!I485&gt;Result_notebook_retravaill!G485,Result_notebook_retravaill!I485/Result_notebook_retravaill!N485,Result_notebook_retravaill!H485)</f>
        <v>14.8330257144349</v>
      </c>
      <c r="I485" s="32">
        <f>Result_notebook_retravaill!K485</f>
        <v>3576.6385304781088</v>
      </c>
      <c r="J485" s="32">
        <f>MIN(G485,Result_notebook_retravaill!I485)</f>
        <v>8.878217267431701</v>
      </c>
      <c r="K485" s="32">
        <f>IF(Result_notebook_retravaill!I485&gt;Result_notebook_retravaill!G485,0,IF(Result_notebook_retravaill!I485+Result_notebook_retravaill!J485&gt;Result_notebook_retravaill!G485,Result_notebook_retravaill!G485-Result_notebook_retravaill!I485,Result_notebook_retravaill!J485))</f>
        <v>5.9548084470031988</v>
      </c>
      <c r="L485" s="32">
        <f>IF(Result_notebook_retravaill!I485&gt;Result_notebook_retravaill!G485,0,IF(Result_notebook_retravaill!I485+Result_notebook_retravaill!J485&gt;Result_notebook_retravaill!G485,0,Result_notebook_retravaill!M485))</f>
        <v>2140.0499080010904</v>
      </c>
      <c r="M485" s="31">
        <f t="shared" si="7"/>
        <v>0</v>
      </c>
    </row>
    <row r="486" spans="1:13" x14ac:dyDescent="0.35">
      <c r="A486">
        <f>Result_notebook_retravaill!A486</f>
        <v>2030</v>
      </c>
      <c r="B486" t="str">
        <f>Result_notebook_retravaill!B486</f>
        <v>Neodymium</v>
      </c>
      <c r="C486" t="str">
        <f>Result_notebook_retravaill!C486</f>
        <v>Canada Net-zero</v>
      </c>
      <c r="D486" t="str">
        <f>Result_notebook_retravaill!D486</f>
        <v>Production potential</v>
      </c>
      <c r="E486" t="str">
        <f>Result_notebook_retravaill!E486</f>
        <v>100% CAN</v>
      </c>
      <c r="F486" t="str">
        <f>Result_notebook_retravaill!F486</f>
        <v>Integrated</v>
      </c>
      <c r="G486">
        <f>Result_notebook_retravaill!G486</f>
        <v>2154.8829337155262</v>
      </c>
      <c r="H486" s="32">
        <f>IF(Result_notebook_retravaill!I486&gt;Result_notebook_retravaill!G486,Result_notebook_retravaill!I486/Result_notebook_retravaill!N486,Result_notebook_retravaill!H486)</f>
        <v>14.8330257144349</v>
      </c>
      <c r="I486" s="32">
        <f>Result_notebook_retravaill!K486</f>
        <v>3576.6385304781088</v>
      </c>
      <c r="J486" s="32">
        <f>MIN(G486,Result_notebook_retravaill!I486)</f>
        <v>8.878217267431701</v>
      </c>
      <c r="K486" s="32">
        <f>IF(Result_notebook_retravaill!I486&gt;Result_notebook_retravaill!G486,0,IF(Result_notebook_retravaill!I486+Result_notebook_retravaill!J486&gt;Result_notebook_retravaill!G486,Result_notebook_retravaill!G486-Result_notebook_retravaill!I486,Result_notebook_retravaill!J486))</f>
        <v>5.9548084470031988</v>
      </c>
      <c r="L486" s="32">
        <f>IF(Result_notebook_retravaill!I486&gt;Result_notebook_retravaill!G486,0,IF(Result_notebook_retravaill!I486+Result_notebook_retravaill!J486&gt;Result_notebook_retravaill!G486,0,Result_notebook_retravaill!M486))</f>
        <v>2140.0499080010904</v>
      </c>
      <c r="M486" s="31">
        <f t="shared" si="7"/>
        <v>0</v>
      </c>
    </row>
    <row r="487" spans="1:13" x14ac:dyDescent="0.35">
      <c r="A487">
        <f>Result_notebook_retravaill!A487</f>
        <v>2030</v>
      </c>
      <c r="B487" t="str">
        <f>Result_notebook_retravaill!B487</f>
        <v>Neodymium</v>
      </c>
      <c r="C487" t="str">
        <f>Result_notebook_retravaill!C487</f>
        <v>Current Measures</v>
      </c>
      <c r="D487" t="str">
        <f>Result_notebook_retravaill!D487</f>
        <v>Existing production</v>
      </c>
      <c r="E487" t="str">
        <f>Result_notebook_retravaill!E487</f>
        <v>Current shares</v>
      </c>
      <c r="F487" t="str">
        <f>Result_notebook_retravaill!F487</f>
        <v>NIMBY</v>
      </c>
      <c r="G487">
        <f>Result_notebook_retravaill!G487</f>
        <v>874.53250184739602</v>
      </c>
      <c r="H487" s="32">
        <f>IF(Result_notebook_retravaill!I487&gt;Result_notebook_retravaill!G487,Result_notebook_retravaill!I487/Result_notebook_retravaill!N487,Result_notebook_retravaill!H487)</f>
        <v>0</v>
      </c>
      <c r="I487" s="32">
        <f>Result_notebook_retravaill!K487</f>
        <v>1457.5541697456599</v>
      </c>
      <c r="J487" s="32">
        <f>MIN(G487,Result_notebook_retravaill!I487)</f>
        <v>0</v>
      </c>
      <c r="K487" s="32">
        <f>IF(Result_notebook_retravaill!I487&gt;Result_notebook_retravaill!G487,0,IF(Result_notebook_retravaill!I487+Result_notebook_retravaill!J487&gt;Result_notebook_retravaill!G487,Result_notebook_retravaill!G487-Result_notebook_retravaill!I487,Result_notebook_retravaill!J487))</f>
        <v>0</v>
      </c>
      <c r="L487" s="32">
        <f>IF(Result_notebook_retravaill!I487&gt;Result_notebook_retravaill!G487,0,IF(Result_notebook_retravaill!I487+Result_notebook_retravaill!J487&gt;Result_notebook_retravaill!G487,0,Result_notebook_retravaill!M487))</f>
        <v>874.53250184739602</v>
      </c>
      <c r="M487" s="31">
        <f t="shared" si="7"/>
        <v>0</v>
      </c>
    </row>
    <row r="488" spans="1:13" x14ac:dyDescent="0.35">
      <c r="A488">
        <f>Result_notebook_retravaill!A488</f>
        <v>2030</v>
      </c>
      <c r="B488" t="str">
        <f>Result_notebook_retravaill!B488</f>
        <v>Neodymium</v>
      </c>
      <c r="C488" t="str">
        <f>Result_notebook_retravaill!C488</f>
        <v>Current Measures</v>
      </c>
      <c r="D488" t="str">
        <f>Result_notebook_retravaill!D488</f>
        <v>Existing production</v>
      </c>
      <c r="E488" t="str">
        <f>Result_notebook_retravaill!E488</f>
        <v>Current shares</v>
      </c>
      <c r="F488" t="str">
        <f>Result_notebook_retravaill!F488</f>
        <v>Status Quo</v>
      </c>
      <c r="G488">
        <f>Result_notebook_retravaill!G488</f>
        <v>874.53250184739602</v>
      </c>
      <c r="H488" s="32">
        <f>IF(Result_notebook_retravaill!I488&gt;Result_notebook_retravaill!G488,Result_notebook_retravaill!I488/Result_notebook_retravaill!N488,Result_notebook_retravaill!H488)</f>
        <v>0</v>
      </c>
      <c r="I488" s="32">
        <f>Result_notebook_retravaill!K488</f>
        <v>1457.5541697456599</v>
      </c>
      <c r="J488" s="32">
        <f>MIN(G488,Result_notebook_retravaill!I488)</f>
        <v>0</v>
      </c>
      <c r="K488" s="32">
        <f>IF(Result_notebook_retravaill!I488&gt;Result_notebook_retravaill!G488,0,IF(Result_notebook_retravaill!I488+Result_notebook_retravaill!J488&gt;Result_notebook_retravaill!G488,Result_notebook_retravaill!G488-Result_notebook_retravaill!I488,Result_notebook_retravaill!J488))</f>
        <v>0</v>
      </c>
      <c r="L488" s="32">
        <f>IF(Result_notebook_retravaill!I488&gt;Result_notebook_retravaill!G488,0,IF(Result_notebook_retravaill!I488+Result_notebook_retravaill!J488&gt;Result_notebook_retravaill!G488,0,Result_notebook_retravaill!M488))</f>
        <v>874.53250184739602</v>
      </c>
      <c r="M488" s="31">
        <f t="shared" si="7"/>
        <v>0</v>
      </c>
    </row>
    <row r="489" spans="1:13" x14ac:dyDescent="0.35">
      <c r="A489">
        <f>Result_notebook_retravaill!A489</f>
        <v>2030</v>
      </c>
      <c r="B489" t="str">
        <f>Result_notebook_retravaill!B489</f>
        <v>Neodymium</v>
      </c>
      <c r="C489" t="str">
        <f>Result_notebook_retravaill!C489</f>
        <v>Current Measures</v>
      </c>
      <c r="D489" t="str">
        <f>Result_notebook_retravaill!D489</f>
        <v>Production potential</v>
      </c>
      <c r="E489" t="str">
        <f>Result_notebook_retravaill!E489</f>
        <v>Current shares</v>
      </c>
      <c r="F489" t="str">
        <f>Result_notebook_retravaill!F489</f>
        <v>Expansion Extractive</v>
      </c>
      <c r="G489">
        <f>Result_notebook_retravaill!G489</f>
        <v>874.53250184739602</v>
      </c>
      <c r="H489" s="32">
        <f>IF(Result_notebook_retravaill!I489&gt;Result_notebook_retravaill!G489,Result_notebook_retravaill!I489/Result_notebook_retravaill!N489,Result_notebook_retravaill!H489)</f>
        <v>14.8330257144349</v>
      </c>
      <c r="I489" s="32">
        <f>Result_notebook_retravaill!K489</f>
        <v>1442.7211440312251</v>
      </c>
      <c r="J489" s="32">
        <f>MIN(G489,Result_notebook_retravaill!I489)</f>
        <v>8.878217267431701</v>
      </c>
      <c r="K489" s="32">
        <f>IF(Result_notebook_retravaill!I489&gt;Result_notebook_retravaill!G489,0,IF(Result_notebook_retravaill!I489+Result_notebook_retravaill!J489&gt;Result_notebook_retravaill!G489,Result_notebook_retravaill!G489-Result_notebook_retravaill!I489,Result_notebook_retravaill!J489))</f>
        <v>5.9548084470031988</v>
      </c>
      <c r="L489" s="32">
        <f>IF(Result_notebook_retravaill!I489&gt;Result_notebook_retravaill!G489,0,IF(Result_notebook_retravaill!I489+Result_notebook_retravaill!J489&gt;Result_notebook_retravaill!G489,0,Result_notebook_retravaill!M489))</f>
        <v>859.69947613296108</v>
      </c>
      <c r="M489" s="31">
        <f t="shared" si="7"/>
        <v>0</v>
      </c>
    </row>
    <row r="490" spans="1:13" x14ac:dyDescent="0.35">
      <c r="A490">
        <f>Result_notebook_retravaill!A490</f>
        <v>2030</v>
      </c>
      <c r="B490" t="str">
        <f>Result_notebook_retravaill!B490</f>
        <v>Neodymium</v>
      </c>
      <c r="C490" t="str">
        <f>Result_notebook_retravaill!C490</f>
        <v>Current Measures</v>
      </c>
      <c r="D490" t="str">
        <f>Result_notebook_retravaill!D490</f>
        <v>Production potential</v>
      </c>
      <c r="E490" t="str">
        <f>Result_notebook_retravaill!E490</f>
        <v>Current shares</v>
      </c>
      <c r="F490" t="str">
        <f>Result_notebook_retravaill!F490</f>
        <v>Expansion Extractive+Circularity</v>
      </c>
      <c r="G490">
        <f>Result_notebook_retravaill!G490</f>
        <v>874.53250184739602</v>
      </c>
      <c r="H490" s="32">
        <f>IF(Result_notebook_retravaill!I490&gt;Result_notebook_retravaill!G490,Result_notebook_retravaill!I490/Result_notebook_retravaill!N490,Result_notebook_retravaill!H490)</f>
        <v>14.8330257144349</v>
      </c>
      <c r="I490" s="32">
        <f>Result_notebook_retravaill!K490</f>
        <v>1442.7211440312251</v>
      </c>
      <c r="J490" s="32">
        <f>MIN(G490,Result_notebook_retravaill!I490)</f>
        <v>8.878217267431701</v>
      </c>
      <c r="K490" s="32">
        <f>IF(Result_notebook_retravaill!I490&gt;Result_notebook_retravaill!G490,0,IF(Result_notebook_retravaill!I490+Result_notebook_retravaill!J490&gt;Result_notebook_retravaill!G490,Result_notebook_retravaill!G490-Result_notebook_retravaill!I490,Result_notebook_retravaill!J490))</f>
        <v>5.9548084470031988</v>
      </c>
      <c r="L490" s="32">
        <f>IF(Result_notebook_retravaill!I490&gt;Result_notebook_retravaill!G490,0,IF(Result_notebook_retravaill!I490+Result_notebook_retravaill!J490&gt;Result_notebook_retravaill!G490,0,Result_notebook_retravaill!M490))</f>
        <v>859.69947613296108</v>
      </c>
      <c r="M490" s="31">
        <f t="shared" si="7"/>
        <v>0</v>
      </c>
    </row>
    <row r="491" spans="1:13" x14ac:dyDescent="0.35">
      <c r="A491">
        <f>Result_notebook_retravaill!A491</f>
        <v>2030</v>
      </c>
      <c r="B491" t="str">
        <f>Result_notebook_retravaill!B491</f>
        <v>Neodymium</v>
      </c>
      <c r="C491" t="str">
        <f>Result_notebook_retravaill!C491</f>
        <v>Current Measures</v>
      </c>
      <c r="D491" t="str">
        <f>Result_notebook_retravaill!D491</f>
        <v>Production potential</v>
      </c>
      <c r="E491" t="str">
        <f>Result_notebook_retravaill!E491</f>
        <v>100% CAN</v>
      </c>
      <c r="F491" t="str">
        <f>Result_notebook_retravaill!F491</f>
        <v>Integrated</v>
      </c>
      <c r="G491">
        <f>Result_notebook_retravaill!G491</f>
        <v>874.53250184739602</v>
      </c>
      <c r="H491" s="32">
        <f>IF(Result_notebook_retravaill!I491&gt;Result_notebook_retravaill!G491,Result_notebook_retravaill!I491/Result_notebook_retravaill!N491,Result_notebook_retravaill!H491)</f>
        <v>14.8330257144349</v>
      </c>
      <c r="I491" s="32">
        <f>Result_notebook_retravaill!K491</f>
        <v>1442.7211440312251</v>
      </c>
      <c r="J491" s="32">
        <f>MIN(G491,Result_notebook_retravaill!I491)</f>
        <v>8.878217267431701</v>
      </c>
      <c r="K491" s="32">
        <f>IF(Result_notebook_retravaill!I491&gt;Result_notebook_retravaill!G491,0,IF(Result_notebook_retravaill!I491+Result_notebook_retravaill!J491&gt;Result_notebook_retravaill!G491,Result_notebook_retravaill!G491-Result_notebook_retravaill!I491,Result_notebook_retravaill!J491))</f>
        <v>5.9548084470031988</v>
      </c>
      <c r="L491" s="32">
        <f>IF(Result_notebook_retravaill!I491&gt;Result_notebook_retravaill!G491,0,IF(Result_notebook_retravaill!I491+Result_notebook_retravaill!J491&gt;Result_notebook_retravaill!G491,0,Result_notebook_retravaill!M491))</f>
        <v>859.69947613296108</v>
      </c>
      <c r="M491" s="31">
        <f t="shared" si="7"/>
        <v>0</v>
      </c>
    </row>
    <row r="492" spans="1:13" x14ac:dyDescent="0.35">
      <c r="A492">
        <f>Result_notebook_retravaill!A492</f>
        <v>2030</v>
      </c>
      <c r="B492" t="str">
        <f>Result_notebook_retravaill!B492</f>
        <v>Neodymium</v>
      </c>
      <c r="C492" t="str">
        <f>Result_notebook_retravaill!C492</f>
        <v>Global Net-zero</v>
      </c>
      <c r="D492" t="str">
        <f>Result_notebook_retravaill!D492</f>
        <v>Existing production</v>
      </c>
      <c r="E492" t="str">
        <f>Result_notebook_retravaill!E492</f>
        <v>Current shares</v>
      </c>
      <c r="F492" t="str">
        <f>Result_notebook_retravaill!F492</f>
        <v>NIMBY</v>
      </c>
      <c r="G492">
        <f>Result_notebook_retravaill!G492</f>
        <v>2060.9784695548619</v>
      </c>
      <c r="H492" s="32">
        <f>IF(Result_notebook_retravaill!I492&gt;Result_notebook_retravaill!G492,Result_notebook_retravaill!I492/Result_notebook_retravaill!N492,Result_notebook_retravaill!H492)</f>
        <v>0</v>
      </c>
      <c r="I492" s="32">
        <f>Result_notebook_retravaill!K492</f>
        <v>3434.9641159247699</v>
      </c>
      <c r="J492" s="32">
        <f>MIN(G492,Result_notebook_retravaill!I492)</f>
        <v>0</v>
      </c>
      <c r="K492" s="32">
        <f>IF(Result_notebook_retravaill!I492&gt;Result_notebook_retravaill!G492,0,IF(Result_notebook_retravaill!I492+Result_notebook_retravaill!J492&gt;Result_notebook_retravaill!G492,Result_notebook_retravaill!G492-Result_notebook_retravaill!I492,Result_notebook_retravaill!J492))</f>
        <v>0</v>
      </c>
      <c r="L492" s="32">
        <f>IF(Result_notebook_retravaill!I492&gt;Result_notebook_retravaill!G492,0,IF(Result_notebook_retravaill!I492+Result_notebook_retravaill!J492&gt;Result_notebook_retravaill!G492,0,Result_notebook_retravaill!M492))</f>
        <v>2060.9784695548619</v>
      </c>
      <c r="M492" s="31">
        <f t="shared" si="7"/>
        <v>0</v>
      </c>
    </row>
    <row r="493" spans="1:13" x14ac:dyDescent="0.35">
      <c r="A493">
        <f>Result_notebook_retravaill!A493</f>
        <v>2030</v>
      </c>
      <c r="B493" t="str">
        <f>Result_notebook_retravaill!B493</f>
        <v>Neodymium</v>
      </c>
      <c r="C493" t="str">
        <f>Result_notebook_retravaill!C493</f>
        <v>Global Net-zero</v>
      </c>
      <c r="D493" t="str">
        <f>Result_notebook_retravaill!D493</f>
        <v>Existing production</v>
      </c>
      <c r="E493" t="str">
        <f>Result_notebook_retravaill!E493</f>
        <v>Current shares</v>
      </c>
      <c r="F493" t="str">
        <f>Result_notebook_retravaill!F493</f>
        <v>Status Quo</v>
      </c>
      <c r="G493">
        <f>Result_notebook_retravaill!G493</f>
        <v>2060.9784695548619</v>
      </c>
      <c r="H493" s="32">
        <f>IF(Result_notebook_retravaill!I493&gt;Result_notebook_retravaill!G493,Result_notebook_retravaill!I493/Result_notebook_retravaill!N493,Result_notebook_retravaill!H493)</f>
        <v>0</v>
      </c>
      <c r="I493" s="32">
        <f>Result_notebook_retravaill!K493</f>
        <v>3434.9641159247699</v>
      </c>
      <c r="J493" s="32">
        <f>MIN(G493,Result_notebook_retravaill!I493)</f>
        <v>0</v>
      </c>
      <c r="K493" s="32">
        <f>IF(Result_notebook_retravaill!I493&gt;Result_notebook_retravaill!G493,0,IF(Result_notebook_retravaill!I493+Result_notebook_retravaill!J493&gt;Result_notebook_retravaill!G493,Result_notebook_retravaill!G493-Result_notebook_retravaill!I493,Result_notebook_retravaill!J493))</f>
        <v>0</v>
      </c>
      <c r="L493" s="32">
        <f>IF(Result_notebook_retravaill!I493&gt;Result_notebook_retravaill!G493,0,IF(Result_notebook_retravaill!I493+Result_notebook_retravaill!J493&gt;Result_notebook_retravaill!G493,0,Result_notebook_retravaill!M493))</f>
        <v>2060.9784695548619</v>
      </c>
      <c r="M493" s="31">
        <f t="shared" si="7"/>
        <v>0</v>
      </c>
    </row>
    <row r="494" spans="1:13" x14ac:dyDescent="0.35">
      <c r="A494">
        <f>Result_notebook_retravaill!A494</f>
        <v>2030</v>
      </c>
      <c r="B494" t="str">
        <f>Result_notebook_retravaill!B494</f>
        <v>Neodymium</v>
      </c>
      <c r="C494" t="str">
        <f>Result_notebook_retravaill!C494</f>
        <v>Global Net-zero</v>
      </c>
      <c r="D494" t="str">
        <f>Result_notebook_retravaill!D494</f>
        <v>Production potential</v>
      </c>
      <c r="E494" t="str">
        <f>Result_notebook_retravaill!E494</f>
        <v>Current shares</v>
      </c>
      <c r="F494" t="str">
        <f>Result_notebook_retravaill!F494</f>
        <v>Expansion Extractive</v>
      </c>
      <c r="G494">
        <f>Result_notebook_retravaill!G494</f>
        <v>2060.9784695548619</v>
      </c>
      <c r="H494" s="32">
        <f>IF(Result_notebook_retravaill!I494&gt;Result_notebook_retravaill!G494,Result_notebook_retravaill!I494/Result_notebook_retravaill!N494,Result_notebook_retravaill!H494)</f>
        <v>14.8330257144349</v>
      </c>
      <c r="I494" s="32">
        <f>Result_notebook_retravaill!K494</f>
        <v>3420.1310902103351</v>
      </c>
      <c r="J494" s="32">
        <f>MIN(G494,Result_notebook_retravaill!I494)</f>
        <v>8.878217267431701</v>
      </c>
      <c r="K494" s="32">
        <f>IF(Result_notebook_retravaill!I494&gt;Result_notebook_retravaill!G494,0,IF(Result_notebook_retravaill!I494+Result_notebook_retravaill!J494&gt;Result_notebook_retravaill!G494,Result_notebook_retravaill!G494-Result_notebook_retravaill!I494,Result_notebook_retravaill!J494))</f>
        <v>5.9548084470031988</v>
      </c>
      <c r="L494" s="32">
        <f>IF(Result_notebook_retravaill!I494&gt;Result_notebook_retravaill!G494,0,IF(Result_notebook_retravaill!I494+Result_notebook_retravaill!J494&gt;Result_notebook_retravaill!G494,0,Result_notebook_retravaill!M494))</f>
        <v>2046.1454438404269</v>
      </c>
      <c r="M494" s="31">
        <f t="shared" si="7"/>
        <v>0</v>
      </c>
    </row>
    <row r="495" spans="1:13" x14ac:dyDescent="0.35">
      <c r="A495">
        <f>Result_notebook_retravaill!A495</f>
        <v>2030</v>
      </c>
      <c r="B495" t="str">
        <f>Result_notebook_retravaill!B495</f>
        <v>Neodymium</v>
      </c>
      <c r="C495" t="str">
        <f>Result_notebook_retravaill!C495</f>
        <v>Global Net-zero</v>
      </c>
      <c r="D495" t="str">
        <f>Result_notebook_retravaill!D495</f>
        <v>Production potential</v>
      </c>
      <c r="E495" t="str">
        <f>Result_notebook_retravaill!E495</f>
        <v>Current shares</v>
      </c>
      <c r="F495" t="str">
        <f>Result_notebook_retravaill!F495</f>
        <v>Expansion Extractive+Circularity</v>
      </c>
      <c r="G495">
        <f>Result_notebook_retravaill!G495</f>
        <v>2060.9784695548619</v>
      </c>
      <c r="H495" s="32">
        <f>IF(Result_notebook_retravaill!I495&gt;Result_notebook_retravaill!G495,Result_notebook_retravaill!I495/Result_notebook_retravaill!N495,Result_notebook_retravaill!H495)</f>
        <v>14.8330257144349</v>
      </c>
      <c r="I495" s="32">
        <f>Result_notebook_retravaill!K495</f>
        <v>3420.1310902103351</v>
      </c>
      <c r="J495" s="32">
        <f>MIN(G495,Result_notebook_retravaill!I495)</f>
        <v>8.878217267431701</v>
      </c>
      <c r="K495" s="32">
        <f>IF(Result_notebook_retravaill!I495&gt;Result_notebook_retravaill!G495,0,IF(Result_notebook_retravaill!I495+Result_notebook_retravaill!J495&gt;Result_notebook_retravaill!G495,Result_notebook_retravaill!G495-Result_notebook_retravaill!I495,Result_notebook_retravaill!J495))</f>
        <v>5.9548084470031988</v>
      </c>
      <c r="L495" s="32">
        <f>IF(Result_notebook_retravaill!I495&gt;Result_notebook_retravaill!G495,0,IF(Result_notebook_retravaill!I495+Result_notebook_retravaill!J495&gt;Result_notebook_retravaill!G495,0,Result_notebook_retravaill!M495))</f>
        <v>2046.1454438404269</v>
      </c>
      <c r="M495" s="31">
        <f t="shared" si="7"/>
        <v>0</v>
      </c>
    </row>
    <row r="496" spans="1:13" x14ac:dyDescent="0.35">
      <c r="A496">
        <f>Result_notebook_retravaill!A496</f>
        <v>2030</v>
      </c>
      <c r="B496" t="str">
        <f>Result_notebook_retravaill!B496</f>
        <v>Neodymium</v>
      </c>
      <c r="C496" t="str">
        <f>Result_notebook_retravaill!C496</f>
        <v>Global Net-zero</v>
      </c>
      <c r="D496" t="str">
        <f>Result_notebook_retravaill!D496</f>
        <v>Production potential</v>
      </c>
      <c r="E496" t="str">
        <f>Result_notebook_retravaill!E496</f>
        <v>100% CAN</v>
      </c>
      <c r="F496" t="str">
        <f>Result_notebook_retravaill!F496</f>
        <v>Integrated</v>
      </c>
      <c r="G496">
        <f>Result_notebook_retravaill!G496</f>
        <v>2060.9784695548619</v>
      </c>
      <c r="H496" s="32">
        <f>IF(Result_notebook_retravaill!I496&gt;Result_notebook_retravaill!G496,Result_notebook_retravaill!I496/Result_notebook_retravaill!N496,Result_notebook_retravaill!H496)</f>
        <v>14.8330257144349</v>
      </c>
      <c r="I496" s="32">
        <f>Result_notebook_retravaill!K496</f>
        <v>3420.1310902103351</v>
      </c>
      <c r="J496" s="32">
        <f>MIN(G496,Result_notebook_retravaill!I496)</f>
        <v>8.878217267431701</v>
      </c>
      <c r="K496" s="32">
        <f>IF(Result_notebook_retravaill!I496&gt;Result_notebook_retravaill!G496,0,IF(Result_notebook_retravaill!I496+Result_notebook_retravaill!J496&gt;Result_notebook_retravaill!G496,Result_notebook_retravaill!G496-Result_notebook_retravaill!I496,Result_notebook_retravaill!J496))</f>
        <v>5.9548084470031988</v>
      </c>
      <c r="L496" s="32">
        <f>IF(Result_notebook_retravaill!I496&gt;Result_notebook_retravaill!G496,0,IF(Result_notebook_retravaill!I496+Result_notebook_retravaill!J496&gt;Result_notebook_retravaill!G496,0,Result_notebook_retravaill!M496))</f>
        <v>2046.1454438404269</v>
      </c>
      <c r="M496" s="31">
        <f t="shared" si="7"/>
        <v>0</v>
      </c>
    </row>
    <row r="497" spans="1:13" x14ac:dyDescent="0.35">
      <c r="A497">
        <f>Result_notebook_retravaill!A497</f>
        <v>2030</v>
      </c>
      <c r="B497" t="str">
        <f>Result_notebook_retravaill!B497</f>
        <v>Nickel</v>
      </c>
      <c r="C497" t="str">
        <f>Result_notebook_retravaill!C497</f>
        <v>Canada Net-zero</v>
      </c>
      <c r="D497" t="str">
        <f>Result_notebook_retravaill!D497</f>
        <v>Existing production</v>
      </c>
      <c r="E497" t="str">
        <f>Result_notebook_retravaill!E497</f>
        <v>Current shares</v>
      </c>
      <c r="F497" t="str">
        <f>Result_notebook_retravaill!F497</f>
        <v>NIMBY</v>
      </c>
      <c r="G497">
        <f>Result_notebook_retravaill!G497</f>
        <v>78598.837813683815</v>
      </c>
      <c r="H497" s="32">
        <f>IF(Result_notebook_retravaill!I497&gt;Result_notebook_retravaill!G497,Result_notebook_retravaill!I497/Result_notebook_retravaill!N497,Result_notebook_retravaill!H497)</f>
        <v>0</v>
      </c>
      <c r="I497" s="32">
        <f>Result_notebook_retravaill!K497</f>
        <v>99492.199764156729</v>
      </c>
      <c r="J497" s="32">
        <f>MIN(G497,Result_notebook_retravaill!I497)</f>
        <v>0</v>
      </c>
      <c r="K497" s="32">
        <f>IF(Result_notebook_retravaill!I497&gt;Result_notebook_retravaill!G497,0,IF(Result_notebook_retravaill!I497+Result_notebook_retravaill!J497&gt;Result_notebook_retravaill!G497,Result_notebook_retravaill!G497-Result_notebook_retravaill!I497,Result_notebook_retravaill!J497))</f>
        <v>0</v>
      </c>
      <c r="L497" s="32">
        <f>IF(Result_notebook_retravaill!I497&gt;Result_notebook_retravaill!G497,0,IF(Result_notebook_retravaill!I497+Result_notebook_retravaill!J497&gt;Result_notebook_retravaill!G497,0,Result_notebook_retravaill!M497))</f>
        <v>78598.837813683815</v>
      </c>
      <c r="M497" s="31">
        <f t="shared" si="7"/>
        <v>0</v>
      </c>
    </row>
    <row r="498" spans="1:13" x14ac:dyDescent="0.35">
      <c r="A498">
        <f>Result_notebook_retravaill!A498</f>
        <v>2030</v>
      </c>
      <c r="B498" t="str">
        <f>Result_notebook_retravaill!B498</f>
        <v>Nickel</v>
      </c>
      <c r="C498" t="str">
        <f>Result_notebook_retravaill!C498</f>
        <v>Canada Net-zero</v>
      </c>
      <c r="D498" t="str">
        <f>Result_notebook_retravaill!D498</f>
        <v>Existing production</v>
      </c>
      <c r="E498" t="str">
        <f>Result_notebook_retravaill!E498</f>
        <v>Current shares</v>
      </c>
      <c r="F498" t="str">
        <f>Result_notebook_retravaill!F498</f>
        <v>Status Quo</v>
      </c>
      <c r="G498">
        <f>Result_notebook_retravaill!G498</f>
        <v>78598.837813683815</v>
      </c>
      <c r="H498" s="32">
        <f>IF(Result_notebook_retravaill!I498&gt;Result_notebook_retravaill!G498,Result_notebook_retravaill!I498/Result_notebook_retravaill!N498,Result_notebook_retravaill!H498)</f>
        <v>120478.78430952136</v>
      </c>
      <c r="I498" s="32">
        <f>Result_notebook_retravaill!K498</f>
        <v>0</v>
      </c>
      <c r="J498" s="32">
        <f>MIN(G498,Result_notebook_retravaill!I498)</f>
        <v>78598.837813683815</v>
      </c>
      <c r="K498" s="32">
        <f>IF(Result_notebook_retravaill!I498&gt;Result_notebook_retravaill!G498,0,IF(Result_notebook_retravaill!I498+Result_notebook_retravaill!J498&gt;Result_notebook_retravaill!G498,Result_notebook_retravaill!G498-Result_notebook_retravaill!I498,Result_notebook_retravaill!J498))</f>
        <v>0</v>
      </c>
      <c r="L498" s="32">
        <f>IF(Result_notebook_retravaill!I498&gt;Result_notebook_retravaill!G498,0,IF(Result_notebook_retravaill!I498+Result_notebook_retravaill!J498&gt;Result_notebook_retravaill!G498,0,Result_notebook_retravaill!M498))</f>
        <v>0</v>
      </c>
      <c r="M498" s="31">
        <f t="shared" si="7"/>
        <v>0</v>
      </c>
    </row>
    <row r="499" spans="1:13" x14ac:dyDescent="0.35">
      <c r="A499">
        <f>Result_notebook_retravaill!A499</f>
        <v>2030</v>
      </c>
      <c r="B499" t="str">
        <f>Result_notebook_retravaill!B499</f>
        <v>Nickel</v>
      </c>
      <c r="C499" t="str">
        <f>Result_notebook_retravaill!C499</f>
        <v>Canada Net-zero</v>
      </c>
      <c r="D499" t="str">
        <f>Result_notebook_retravaill!D499</f>
        <v>Production potential</v>
      </c>
      <c r="E499" t="str">
        <f>Result_notebook_retravaill!E499</f>
        <v>Current shares</v>
      </c>
      <c r="F499" t="str">
        <f>Result_notebook_retravaill!F499</f>
        <v>Expansion Extractive</v>
      </c>
      <c r="G499">
        <f>Result_notebook_retravaill!G499</f>
        <v>78598.837813683815</v>
      </c>
      <c r="H499" s="32">
        <f>IF(Result_notebook_retravaill!I499&gt;Result_notebook_retravaill!G499,Result_notebook_retravaill!I499/Result_notebook_retravaill!N499,Result_notebook_retravaill!H499)</f>
        <v>154891.09461238669</v>
      </c>
      <c r="I499" s="32">
        <f>Result_notebook_retravaill!K499</f>
        <v>0</v>
      </c>
      <c r="J499" s="32">
        <f>MIN(G499,Result_notebook_retravaill!I499)</f>
        <v>78598.837813683815</v>
      </c>
      <c r="K499" s="32">
        <f>IF(Result_notebook_retravaill!I499&gt;Result_notebook_retravaill!G499,0,IF(Result_notebook_retravaill!I499+Result_notebook_retravaill!J499&gt;Result_notebook_retravaill!G499,Result_notebook_retravaill!G499-Result_notebook_retravaill!I499,Result_notebook_retravaill!J499))</f>
        <v>0</v>
      </c>
      <c r="L499" s="32">
        <f>IF(Result_notebook_retravaill!I499&gt;Result_notebook_retravaill!G499,0,IF(Result_notebook_retravaill!I499+Result_notebook_retravaill!J499&gt;Result_notebook_retravaill!G499,0,Result_notebook_retravaill!M499))</f>
        <v>0</v>
      </c>
      <c r="M499" s="31">
        <f t="shared" si="7"/>
        <v>0</v>
      </c>
    </row>
    <row r="500" spans="1:13" x14ac:dyDescent="0.35">
      <c r="A500">
        <f>Result_notebook_retravaill!A500</f>
        <v>2030</v>
      </c>
      <c r="B500" t="str">
        <f>Result_notebook_retravaill!B500</f>
        <v>Nickel</v>
      </c>
      <c r="C500" t="str">
        <f>Result_notebook_retravaill!C500</f>
        <v>Canada Net-zero</v>
      </c>
      <c r="D500" t="str">
        <f>Result_notebook_retravaill!D500</f>
        <v>Production potential</v>
      </c>
      <c r="E500" t="str">
        <f>Result_notebook_retravaill!E500</f>
        <v>Current shares</v>
      </c>
      <c r="F500" t="str">
        <f>Result_notebook_retravaill!F500</f>
        <v>Expansion Extractive+Circularity</v>
      </c>
      <c r="G500">
        <f>Result_notebook_retravaill!G500</f>
        <v>78598.837813683815</v>
      </c>
      <c r="H500" s="32">
        <f>IF(Result_notebook_retravaill!I500&gt;Result_notebook_retravaill!G500,Result_notebook_retravaill!I500/Result_notebook_retravaill!N500,Result_notebook_retravaill!H500)</f>
        <v>154891.09461238669</v>
      </c>
      <c r="I500" s="32">
        <f>Result_notebook_retravaill!K500</f>
        <v>0</v>
      </c>
      <c r="J500" s="32">
        <f>MIN(G500,Result_notebook_retravaill!I500)</f>
        <v>78598.837813683815</v>
      </c>
      <c r="K500" s="32">
        <f>IF(Result_notebook_retravaill!I500&gt;Result_notebook_retravaill!G500,0,IF(Result_notebook_retravaill!I500+Result_notebook_retravaill!J500&gt;Result_notebook_retravaill!G500,Result_notebook_retravaill!G500-Result_notebook_retravaill!I500,Result_notebook_retravaill!J500))</f>
        <v>0</v>
      </c>
      <c r="L500" s="32">
        <f>IF(Result_notebook_retravaill!I500&gt;Result_notebook_retravaill!G500,0,IF(Result_notebook_retravaill!I500+Result_notebook_retravaill!J500&gt;Result_notebook_retravaill!G500,0,Result_notebook_retravaill!M500))</f>
        <v>0</v>
      </c>
      <c r="M500" s="31">
        <f t="shared" si="7"/>
        <v>0</v>
      </c>
    </row>
    <row r="501" spans="1:13" x14ac:dyDescent="0.35">
      <c r="A501">
        <f>Result_notebook_retravaill!A501</f>
        <v>2030</v>
      </c>
      <c r="B501" t="str">
        <f>Result_notebook_retravaill!B501</f>
        <v>Nickel</v>
      </c>
      <c r="C501" t="str">
        <f>Result_notebook_retravaill!C501</f>
        <v>Canada Net-zero</v>
      </c>
      <c r="D501" t="str">
        <f>Result_notebook_retravaill!D501</f>
        <v>Production potential</v>
      </c>
      <c r="E501" t="str">
        <f>Result_notebook_retravaill!E501</f>
        <v>100% CAN</v>
      </c>
      <c r="F501" t="str">
        <f>Result_notebook_retravaill!F501</f>
        <v>Integrated</v>
      </c>
      <c r="G501">
        <f>Result_notebook_retravaill!G501</f>
        <v>78598.837813683815</v>
      </c>
      <c r="H501" s="32">
        <f>IF(Result_notebook_retravaill!I501&gt;Result_notebook_retravaill!G501,Result_notebook_retravaill!I501/Result_notebook_retravaill!N501,Result_notebook_retravaill!H501)</f>
        <v>217489.02831821403</v>
      </c>
      <c r="I501" s="32">
        <f>Result_notebook_retravaill!K501</f>
        <v>0</v>
      </c>
      <c r="J501" s="32">
        <f>MIN(G501,Result_notebook_retravaill!I501)</f>
        <v>78598.837813683815</v>
      </c>
      <c r="K501" s="32">
        <f>IF(Result_notebook_retravaill!I501&gt;Result_notebook_retravaill!G501,0,IF(Result_notebook_retravaill!I501+Result_notebook_retravaill!J501&gt;Result_notebook_retravaill!G501,Result_notebook_retravaill!G501-Result_notebook_retravaill!I501,Result_notebook_retravaill!J501))</f>
        <v>0</v>
      </c>
      <c r="L501" s="32">
        <f>IF(Result_notebook_retravaill!I501&gt;Result_notebook_retravaill!G501,0,IF(Result_notebook_retravaill!I501+Result_notebook_retravaill!J501&gt;Result_notebook_retravaill!G501,0,Result_notebook_retravaill!M501))</f>
        <v>0</v>
      </c>
      <c r="M501" s="31">
        <f t="shared" si="7"/>
        <v>0</v>
      </c>
    </row>
    <row r="502" spans="1:13" x14ac:dyDescent="0.35">
      <c r="A502">
        <f>Result_notebook_retravaill!A502</f>
        <v>2030</v>
      </c>
      <c r="B502" t="str">
        <f>Result_notebook_retravaill!B502</f>
        <v>Nickel</v>
      </c>
      <c r="C502" t="str">
        <f>Result_notebook_retravaill!C502</f>
        <v>Current Measures</v>
      </c>
      <c r="D502" t="str">
        <f>Result_notebook_retravaill!D502</f>
        <v>Existing production</v>
      </c>
      <c r="E502" t="str">
        <f>Result_notebook_retravaill!E502</f>
        <v>Current shares</v>
      </c>
      <c r="F502" t="str">
        <f>Result_notebook_retravaill!F502</f>
        <v>NIMBY</v>
      </c>
      <c r="G502">
        <f>Result_notebook_retravaill!G502</f>
        <v>41464.346616727722</v>
      </c>
      <c r="H502" s="32">
        <f>IF(Result_notebook_retravaill!I502&gt;Result_notebook_retravaill!G502,Result_notebook_retravaill!I502/Result_notebook_retravaill!N502,Result_notebook_retravaill!H502)</f>
        <v>0</v>
      </c>
      <c r="I502" s="32">
        <f>Result_notebook_retravaill!K502</f>
        <v>52486.514704718633</v>
      </c>
      <c r="J502" s="32">
        <f>MIN(G502,Result_notebook_retravaill!I502)</f>
        <v>0</v>
      </c>
      <c r="K502" s="32">
        <f>IF(Result_notebook_retravaill!I502&gt;Result_notebook_retravaill!G502,0,IF(Result_notebook_retravaill!I502+Result_notebook_retravaill!J502&gt;Result_notebook_retravaill!G502,Result_notebook_retravaill!G502-Result_notebook_retravaill!I502,Result_notebook_retravaill!J502))</f>
        <v>0</v>
      </c>
      <c r="L502" s="32">
        <f>IF(Result_notebook_retravaill!I502&gt;Result_notebook_retravaill!G502,0,IF(Result_notebook_retravaill!I502+Result_notebook_retravaill!J502&gt;Result_notebook_retravaill!G502,0,Result_notebook_retravaill!M502))</f>
        <v>41464.346616727722</v>
      </c>
      <c r="M502" s="31">
        <f t="shared" si="7"/>
        <v>0</v>
      </c>
    </row>
    <row r="503" spans="1:13" x14ac:dyDescent="0.35">
      <c r="A503">
        <f>Result_notebook_retravaill!A503</f>
        <v>2030</v>
      </c>
      <c r="B503" t="str">
        <f>Result_notebook_retravaill!B503</f>
        <v>Nickel</v>
      </c>
      <c r="C503" t="str">
        <f>Result_notebook_retravaill!C503</f>
        <v>Current Measures</v>
      </c>
      <c r="D503" t="str">
        <f>Result_notebook_retravaill!D503</f>
        <v>Existing production</v>
      </c>
      <c r="E503" t="str">
        <f>Result_notebook_retravaill!E503</f>
        <v>Current shares</v>
      </c>
      <c r="F503" t="str">
        <f>Result_notebook_retravaill!F503</f>
        <v>Status Quo</v>
      </c>
      <c r="G503">
        <f>Result_notebook_retravaill!G503</f>
        <v>41464.346616727722</v>
      </c>
      <c r="H503" s="32">
        <f>IF(Result_notebook_retravaill!I503&gt;Result_notebook_retravaill!G503,Result_notebook_retravaill!I503/Result_notebook_retravaill!N503,Result_notebook_retravaill!H503)</f>
        <v>120478.78430952136</v>
      </c>
      <c r="I503" s="32">
        <f>Result_notebook_retravaill!K503</f>
        <v>0</v>
      </c>
      <c r="J503" s="32">
        <f>MIN(G503,Result_notebook_retravaill!I503)</f>
        <v>41464.346616727722</v>
      </c>
      <c r="K503" s="32">
        <f>IF(Result_notebook_retravaill!I503&gt;Result_notebook_retravaill!G503,0,IF(Result_notebook_retravaill!I503+Result_notebook_retravaill!J503&gt;Result_notebook_retravaill!G503,Result_notebook_retravaill!G503-Result_notebook_retravaill!I503,Result_notebook_retravaill!J503))</f>
        <v>0</v>
      </c>
      <c r="L503" s="32">
        <f>IF(Result_notebook_retravaill!I503&gt;Result_notebook_retravaill!G503,0,IF(Result_notebook_retravaill!I503+Result_notebook_retravaill!J503&gt;Result_notebook_retravaill!G503,0,Result_notebook_retravaill!M503))</f>
        <v>0</v>
      </c>
      <c r="M503" s="31">
        <f t="shared" si="7"/>
        <v>0</v>
      </c>
    </row>
    <row r="504" spans="1:13" x14ac:dyDescent="0.35">
      <c r="A504">
        <f>Result_notebook_retravaill!A504</f>
        <v>2030</v>
      </c>
      <c r="B504" t="str">
        <f>Result_notebook_retravaill!B504</f>
        <v>Nickel</v>
      </c>
      <c r="C504" t="str">
        <f>Result_notebook_retravaill!C504</f>
        <v>Current Measures</v>
      </c>
      <c r="D504" t="str">
        <f>Result_notebook_retravaill!D504</f>
        <v>Production potential</v>
      </c>
      <c r="E504" t="str">
        <f>Result_notebook_retravaill!E504</f>
        <v>Current shares</v>
      </c>
      <c r="F504" t="str">
        <f>Result_notebook_retravaill!F504</f>
        <v>Expansion Extractive</v>
      </c>
      <c r="G504">
        <f>Result_notebook_retravaill!G504</f>
        <v>41464.346616727722</v>
      </c>
      <c r="H504" s="32">
        <f>IF(Result_notebook_retravaill!I504&gt;Result_notebook_retravaill!G504,Result_notebook_retravaill!I504/Result_notebook_retravaill!N504,Result_notebook_retravaill!H504)</f>
        <v>154891.09461238669</v>
      </c>
      <c r="I504" s="32">
        <f>Result_notebook_retravaill!K504</f>
        <v>0</v>
      </c>
      <c r="J504" s="32">
        <f>MIN(G504,Result_notebook_retravaill!I504)</f>
        <v>41464.346616727722</v>
      </c>
      <c r="K504" s="32">
        <f>IF(Result_notebook_retravaill!I504&gt;Result_notebook_retravaill!G504,0,IF(Result_notebook_retravaill!I504+Result_notebook_retravaill!J504&gt;Result_notebook_retravaill!G504,Result_notebook_retravaill!G504-Result_notebook_retravaill!I504,Result_notebook_retravaill!J504))</f>
        <v>0</v>
      </c>
      <c r="L504" s="32">
        <f>IF(Result_notebook_retravaill!I504&gt;Result_notebook_retravaill!G504,0,IF(Result_notebook_retravaill!I504+Result_notebook_retravaill!J504&gt;Result_notebook_retravaill!G504,0,Result_notebook_retravaill!M504))</f>
        <v>0</v>
      </c>
      <c r="M504" s="31">
        <f t="shared" si="7"/>
        <v>0</v>
      </c>
    </row>
    <row r="505" spans="1:13" x14ac:dyDescent="0.35">
      <c r="A505">
        <f>Result_notebook_retravaill!A505</f>
        <v>2030</v>
      </c>
      <c r="B505" t="str">
        <f>Result_notebook_retravaill!B505</f>
        <v>Nickel</v>
      </c>
      <c r="C505" t="str">
        <f>Result_notebook_retravaill!C505</f>
        <v>Current Measures</v>
      </c>
      <c r="D505" t="str">
        <f>Result_notebook_retravaill!D505</f>
        <v>Production potential</v>
      </c>
      <c r="E505" t="str">
        <f>Result_notebook_retravaill!E505</f>
        <v>Current shares</v>
      </c>
      <c r="F505" t="str">
        <f>Result_notebook_retravaill!F505</f>
        <v>Expansion Extractive+Circularity</v>
      </c>
      <c r="G505">
        <f>Result_notebook_retravaill!G505</f>
        <v>41464.346616727722</v>
      </c>
      <c r="H505" s="32">
        <f>IF(Result_notebook_retravaill!I505&gt;Result_notebook_retravaill!G505,Result_notebook_retravaill!I505/Result_notebook_retravaill!N505,Result_notebook_retravaill!H505)</f>
        <v>154891.09461238669</v>
      </c>
      <c r="I505" s="32">
        <f>Result_notebook_retravaill!K505</f>
        <v>0</v>
      </c>
      <c r="J505" s="32">
        <f>MIN(G505,Result_notebook_retravaill!I505)</f>
        <v>41464.346616727722</v>
      </c>
      <c r="K505" s="32">
        <f>IF(Result_notebook_retravaill!I505&gt;Result_notebook_retravaill!G505,0,IF(Result_notebook_retravaill!I505+Result_notebook_retravaill!J505&gt;Result_notebook_retravaill!G505,Result_notebook_retravaill!G505-Result_notebook_retravaill!I505,Result_notebook_retravaill!J505))</f>
        <v>0</v>
      </c>
      <c r="L505" s="32">
        <f>IF(Result_notebook_retravaill!I505&gt;Result_notebook_retravaill!G505,0,IF(Result_notebook_retravaill!I505+Result_notebook_retravaill!J505&gt;Result_notebook_retravaill!G505,0,Result_notebook_retravaill!M505))</f>
        <v>0</v>
      </c>
      <c r="M505" s="31">
        <f t="shared" si="7"/>
        <v>0</v>
      </c>
    </row>
    <row r="506" spans="1:13" x14ac:dyDescent="0.35">
      <c r="A506">
        <f>Result_notebook_retravaill!A506</f>
        <v>2030</v>
      </c>
      <c r="B506" t="str">
        <f>Result_notebook_retravaill!B506</f>
        <v>Nickel</v>
      </c>
      <c r="C506" t="str">
        <f>Result_notebook_retravaill!C506</f>
        <v>Current Measures</v>
      </c>
      <c r="D506" t="str">
        <f>Result_notebook_retravaill!D506</f>
        <v>Production potential</v>
      </c>
      <c r="E506" t="str">
        <f>Result_notebook_retravaill!E506</f>
        <v>100% CAN</v>
      </c>
      <c r="F506" t="str">
        <f>Result_notebook_retravaill!F506</f>
        <v>Integrated</v>
      </c>
      <c r="G506">
        <f>Result_notebook_retravaill!G506</f>
        <v>41464.346616727722</v>
      </c>
      <c r="H506" s="32">
        <f>IF(Result_notebook_retravaill!I506&gt;Result_notebook_retravaill!G506,Result_notebook_retravaill!I506/Result_notebook_retravaill!N506,Result_notebook_retravaill!H506)</f>
        <v>217489.02831821403</v>
      </c>
      <c r="I506" s="32">
        <f>Result_notebook_retravaill!K506</f>
        <v>0</v>
      </c>
      <c r="J506" s="32">
        <f>MIN(G506,Result_notebook_retravaill!I506)</f>
        <v>41464.346616727722</v>
      </c>
      <c r="K506" s="32">
        <f>IF(Result_notebook_retravaill!I506&gt;Result_notebook_retravaill!G506,0,IF(Result_notebook_retravaill!I506+Result_notebook_retravaill!J506&gt;Result_notebook_retravaill!G506,Result_notebook_retravaill!G506-Result_notebook_retravaill!I506,Result_notebook_retravaill!J506))</f>
        <v>0</v>
      </c>
      <c r="L506" s="32">
        <f>IF(Result_notebook_retravaill!I506&gt;Result_notebook_retravaill!G506,0,IF(Result_notebook_retravaill!I506+Result_notebook_retravaill!J506&gt;Result_notebook_retravaill!G506,0,Result_notebook_retravaill!M506))</f>
        <v>0</v>
      </c>
      <c r="M506" s="31">
        <f t="shared" si="7"/>
        <v>0</v>
      </c>
    </row>
    <row r="507" spans="1:13" x14ac:dyDescent="0.35">
      <c r="A507">
        <f>Result_notebook_retravaill!A507</f>
        <v>2030</v>
      </c>
      <c r="B507" t="str">
        <f>Result_notebook_retravaill!B507</f>
        <v>Nickel</v>
      </c>
      <c r="C507" t="str">
        <f>Result_notebook_retravaill!C507</f>
        <v>Global Net-zero</v>
      </c>
      <c r="D507" t="str">
        <f>Result_notebook_retravaill!D507</f>
        <v>Existing production</v>
      </c>
      <c r="E507" t="str">
        <f>Result_notebook_retravaill!E507</f>
        <v>Current shares</v>
      </c>
      <c r="F507" t="str">
        <f>Result_notebook_retravaill!F507</f>
        <v>NIMBY</v>
      </c>
      <c r="G507">
        <f>Result_notebook_retravaill!G507</f>
        <v>74062.238097093548</v>
      </c>
      <c r="H507" s="32">
        <f>IF(Result_notebook_retravaill!I507&gt;Result_notebook_retravaill!G507,Result_notebook_retravaill!I507/Result_notebook_retravaill!N507,Result_notebook_retravaill!H507)</f>
        <v>0</v>
      </c>
      <c r="I507" s="32">
        <f>Result_notebook_retravaill!K507</f>
        <v>93749.668477333602</v>
      </c>
      <c r="J507" s="32">
        <f>MIN(G507,Result_notebook_retravaill!I507)</f>
        <v>0</v>
      </c>
      <c r="K507" s="32">
        <f>IF(Result_notebook_retravaill!I507&gt;Result_notebook_retravaill!G507,0,IF(Result_notebook_retravaill!I507+Result_notebook_retravaill!J507&gt;Result_notebook_retravaill!G507,Result_notebook_retravaill!G507-Result_notebook_retravaill!I507,Result_notebook_retravaill!J507))</f>
        <v>0</v>
      </c>
      <c r="L507" s="32">
        <f>IF(Result_notebook_retravaill!I507&gt;Result_notebook_retravaill!G507,0,IF(Result_notebook_retravaill!I507+Result_notebook_retravaill!J507&gt;Result_notebook_retravaill!G507,0,Result_notebook_retravaill!M507))</f>
        <v>74062.238097093548</v>
      </c>
      <c r="M507" s="31">
        <f t="shared" si="7"/>
        <v>0</v>
      </c>
    </row>
    <row r="508" spans="1:13" x14ac:dyDescent="0.35">
      <c r="A508">
        <f>Result_notebook_retravaill!A508</f>
        <v>2030</v>
      </c>
      <c r="B508" t="str">
        <f>Result_notebook_retravaill!B508</f>
        <v>Nickel</v>
      </c>
      <c r="C508" t="str">
        <f>Result_notebook_retravaill!C508</f>
        <v>Global Net-zero</v>
      </c>
      <c r="D508" t="str">
        <f>Result_notebook_retravaill!D508</f>
        <v>Existing production</v>
      </c>
      <c r="E508" t="str">
        <f>Result_notebook_retravaill!E508</f>
        <v>Current shares</v>
      </c>
      <c r="F508" t="str">
        <f>Result_notebook_retravaill!F508</f>
        <v>Status Quo</v>
      </c>
      <c r="G508">
        <f>Result_notebook_retravaill!G508</f>
        <v>74062.238097093548</v>
      </c>
      <c r="H508" s="32">
        <f>IF(Result_notebook_retravaill!I508&gt;Result_notebook_retravaill!G508,Result_notebook_retravaill!I508/Result_notebook_retravaill!N508,Result_notebook_retravaill!H508)</f>
        <v>120478.78430952136</v>
      </c>
      <c r="I508" s="32">
        <f>Result_notebook_retravaill!K508</f>
        <v>0</v>
      </c>
      <c r="J508" s="32">
        <f>MIN(G508,Result_notebook_retravaill!I508)</f>
        <v>74062.238097093548</v>
      </c>
      <c r="K508" s="32">
        <f>IF(Result_notebook_retravaill!I508&gt;Result_notebook_retravaill!G508,0,IF(Result_notebook_retravaill!I508+Result_notebook_retravaill!J508&gt;Result_notebook_retravaill!G508,Result_notebook_retravaill!G508-Result_notebook_retravaill!I508,Result_notebook_retravaill!J508))</f>
        <v>0</v>
      </c>
      <c r="L508" s="32">
        <f>IF(Result_notebook_retravaill!I508&gt;Result_notebook_retravaill!G508,0,IF(Result_notebook_retravaill!I508+Result_notebook_retravaill!J508&gt;Result_notebook_retravaill!G508,0,Result_notebook_retravaill!M508))</f>
        <v>0</v>
      </c>
      <c r="M508" s="31">
        <f t="shared" si="7"/>
        <v>0</v>
      </c>
    </row>
    <row r="509" spans="1:13" x14ac:dyDescent="0.35">
      <c r="A509">
        <f>Result_notebook_retravaill!A509</f>
        <v>2030</v>
      </c>
      <c r="B509" t="str">
        <f>Result_notebook_retravaill!B509</f>
        <v>Nickel</v>
      </c>
      <c r="C509" t="str">
        <f>Result_notebook_retravaill!C509</f>
        <v>Global Net-zero</v>
      </c>
      <c r="D509" t="str">
        <f>Result_notebook_retravaill!D509</f>
        <v>Production potential</v>
      </c>
      <c r="E509" t="str">
        <f>Result_notebook_retravaill!E509</f>
        <v>Current shares</v>
      </c>
      <c r="F509" t="str">
        <f>Result_notebook_retravaill!F509</f>
        <v>Expansion Extractive</v>
      </c>
      <c r="G509">
        <f>Result_notebook_retravaill!G509</f>
        <v>74062.238097093548</v>
      </c>
      <c r="H509" s="32">
        <f>IF(Result_notebook_retravaill!I509&gt;Result_notebook_retravaill!G509,Result_notebook_retravaill!I509/Result_notebook_retravaill!N509,Result_notebook_retravaill!H509)</f>
        <v>154891.09461238669</v>
      </c>
      <c r="I509" s="32">
        <f>Result_notebook_retravaill!K509</f>
        <v>0</v>
      </c>
      <c r="J509" s="32">
        <f>MIN(G509,Result_notebook_retravaill!I509)</f>
        <v>74062.238097093548</v>
      </c>
      <c r="K509" s="32">
        <f>IF(Result_notebook_retravaill!I509&gt;Result_notebook_retravaill!G509,0,IF(Result_notebook_retravaill!I509+Result_notebook_retravaill!J509&gt;Result_notebook_retravaill!G509,Result_notebook_retravaill!G509-Result_notebook_retravaill!I509,Result_notebook_retravaill!J509))</f>
        <v>0</v>
      </c>
      <c r="L509" s="32">
        <f>IF(Result_notebook_retravaill!I509&gt;Result_notebook_retravaill!G509,0,IF(Result_notebook_retravaill!I509+Result_notebook_retravaill!J509&gt;Result_notebook_retravaill!G509,0,Result_notebook_retravaill!M509))</f>
        <v>0</v>
      </c>
      <c r="M509" s="31">
        <f t="shared" si="7"/>
        <v>0</v>
      </c>
    </row>
    <row r="510" spans="1:13" x14ac:dyDescent="0.35">
      <c r="A510">
        <f>Result_notebook_retravaill!A510</f>
        <v>2030</v>
      </c>
      <c r="B510" t="str">
        <f>Result_notebook_retravaill!B510</f>
        <v>Nickel</v>
      </c>
      <c r="C510" t="str">
        <f>Result_notebook_retravaill!C510</f>
        <v>Global Net-zero</v>
      </c>
      <c r="D510" t="str">
        <f>Result_notebook_retravaill!D510</f>
        <v>Production potential</v>
      </c>
      <c r="E510" t="str">
        <f>Result_notebook_retravaill!E510</f>
        <v>Current shares</v>
      </c>
      <c r="F510" t="str">
        <f>Result_notebook_retravaill!F510</f>
        <v>Expansion Extractive+Circularity</v>
      </c>
      <c r="G510">
        <f>Result_notebook_retravaill!G510</f>
        <v>74062.238097093548</v>
      </c>
      <c r="H510" s="32">
        <f>IF(Result_notebook_retravaill!I510&gt;Result_notebook_retravaill!G510,Result_notebook_retravaill!I510/Result_notebook_retravaill!N510,Result_notebook_retravaill!H510)</f>
        <v>154891.09461238669</v>
      </c>
      <c r="I510" s="32">
        <f>Result_notebook_retravaill!K510</f>
        <v>0</v>
      </c>
      <c r="J510" s="32">
        <f>MIN(G510,Result_notebook_retravaill!I510)</f>
        <v>74062.238097093548</v>
      </c>
      <c r="K510" s="32">
        <f>IF(Result_notebook_retravaill!I510&gt;Result_notebook_retravaill!G510,0,IF(Result_notebook_retravaill!I510+Result_notebook_retravaill!J510&gt;Result_notebook_retravaill!G510,Result_notebook_retravaill!G510-Result_notebook_retravaill!I510,Result_notebook_retravaill!J510))</f>
        <v>0</v>
      </c>
      <c r="L510" s="32">
        <f>IF(Result_notebook_retravaill!I510&gt;Result_notebook_retravaill!G510,0,IF(Result_notebook_retravaill!I510+Result_notebook_retravaill!J510&gt;Result_notebook_retravaill!G510,0,Result_notebook_retravaill!M510))</f>
        <v>0</v>
      </c>
      <c r="M510" s="31">
        <f t="shared" si="7"/>
        <v>0</v>
      </c>
    </row>
    <row r="511" spans="1:13" x14ac:dyDescent="0.35">
      <c r="A511">
        <f>Result_notebook_retravaill!A511</f>
        <v>2030</v>
      </c>
      <c r="B511" t="str">
        <f>Result_notebook_retravaill!B511</f>
        <v>Nickel</v>
      </c>
      <c r="C511" t="str">
        <f>Result_notebook_retravaill!C511</f>
        <v>Global Net-zero</v>
      </c>
      <c r="D511" t="str">
        <f>Result_notebook_retravaill!D511</f>
        <v>Production potential</v>
      </c>
      <c r="E511" t="str">
        <f>Result_notebook_retravaill!E511</f>
        <v>100% CAN</v>
      </c>
      <c r="F511" t="str">
        <f>Result_notebook_retravaill!F511</f>
        <v>Integrated</v>
      </c>
      <c r="G511">
        <f>Result_notebook_retravaill!G511</f>
        <v>74062.238097093548</v>
      </c>
      <c r="H511" s="32">
        <f>IF(Result_notebook_retravaill!I511&gt;Result_notebook_retravaill!G511,Result_notebook_retravaill!I511/Result_notebook_retravaill!N511,Result_notebook_retravaill!H511)</f>
        <v>217489.02831821403</v>
      </c>
      <c r="I511" s="32">
        <f>Result_notebook_retravaill!K511</f>
        <v>0</v>
      </c>
      <c r="J511" s="32">
        <f>MIN(G511,Result_notebook_retravaill!I511)</f>
        <v>74062.238097093548</v>
      </c>
      <c r="K511" s="32">
        <f>IF(Result_notebook_retravaill!I511&gt;Result_notebook_retravaill!G511,0,IF(Result_notebook_retravaill!I511+Result_notebook_retravaill!J511&gt;Result_notebook_retravaill!G511,Result_notebook_retravaill!G511-Result_notebook_retravaill!I511,Result_notebook_retravaill!J511))</f>
        <v>0</v>
      </c>
      <c r="L511" s="32">
        <f>IF(Result_notebook_retravaill!I511&gt;Result_notebook_retravaill!G511,0,IF(Result_notebook_retravaill!I511+Result_notebook_retravaill!J511&gt;Result_notebook_retravaill!G511,0,Result_notebook_retravaill!M511))</f>
        <v>0</v>
      </c>
      <c r="M511" s="31">
        <f t="shared" si="7"/>
        <v>0</v>
      </c>
    </row>
    <row r="512" spans="1:13" x14ac:dyDescent="0.35">
      <c r="A512">
        <f>Result_notebook_retravaill!A512</f>
        <v>2030</v>
      </c>
      <c r="B512" t="str">
        <f>Result_notebook_retravaill!B512</f>
        <v>Graphite</v>
      </c>
      <c r="C512" t="str">
        <f>Result_notebook_retravaill!C512</f>
        <v>Canada Net-zero</v>
      </c>
      <c r="D512" t="str">
        <f>Result_notebook_retravaill!D512</f>
        <v>Existing production</v>
      </c>
      <c r="E512" t="str">
        <f>Result_notebook_retravaill!E512</f>
        <v>Current shares</v>
      </c>
      <c r="F512" t="str">
        <f>Result_notebook_retravaill!F512</f>
        <v>NIMBY</v>
      </c>
      <c r="G512">
        <f>Result_notebook_retravaill!G512</f>
        <v>1855.5643647638899</v>
      </c>
      <c r="H512" s="32">
        <f>IF(Result_notebook_retravaill!I512&gt;Result_notebook_retravaill!G512,Result_notebook_retravaill!I512/Result_notebook_retravaill!N512,Result_notebook_retravaill!H512)</f>
        <v>0</v>
      </c>
      <c r="I512" s="32">
        <f>Result_notebook_retravaill!K512</f>
        <v>1855.5643647638899</v>
      </c>
      <c r="J512" s="32">
        <f>MIN(G512,Result_notebook_retravaill!I512)</f>
        <v>0</v>
      </c>
      <c r="K512" s="32">
        <f>IF(Result_notebook_retravaill!I512&gt;Result_notebook_retravaill!G512,0,IF(Result_notebook_retravaill!I512+Result_notebook_retravaill!J512&gt;Result_notebook_retravaill!G512,Result_notebook_retravaill!G512-Result_notebook_retravaill!I512,Result_notebook_retravaill!J512))</f>
        <v>0</v>
      </c>
      <c r="L512" s="32">
        <f>IF(Result_notebook_retravaill!I512&gt;Result_notebook_retravaill!G512,0,IF(Result_notebook_retravaill!I512+Result_notebook_retravaill!J512&gt;Result_notebook_retravaill!G512,0,Result_notebook_retravaill!M512))</f>
        <v>1855.5643647638899</v>
      </c>
      <c r="M512" s="31">
        <f t="shared" si="7"/>
        <v>0</v>
      </c>
    </row>
    <row r="513" spans="1:13" x14ac:dyDescent="0.35">
      <c r="A513">
        <f>Result_notebook_retravaill!A513</f>
        <v>2030</v>
      </c>
      <c r="B513" t="str">
        <f>Result_notebook_retravaill!B513</f>
        <v>Graphite</v>
      </c>
      <c r="C513" t="str">
        <f>Result_notebook_retravaill!C513</f>
        <v>Canada Net-zero</v>
      </c>
      <c r="D513" t="str">
        <f>Result_notebook_retravaill!D513</f>
        <v>Existing production</v>
      </c>
      <c r="E513" t="str">
        <f>Result_notebook_retravaill!E513</f>
        <v>Current shares</v>
      </c>
      <c r="F513" t="str">
        <f>Result_notebook_retravaill!F513</f>
        <v>Status Quo</v>
      </c>
      <c r="G513">
        <f>Result_notebook_retravaill!G513</f>
        <v>1855.5643647638899</v>
      </c>
      <c r="H513" s="32">
        <f>IF(Result_notebook_retravaill!I513&gt;Result_notebook_retravaill!G513,Result_notebook_retravaill!I513/Result_notebook_retravaill!N513,Result_notebook_retravaill!H513)</f>
        <v>0</v>
      </c>
      <c r="I513" s="32">
        <f>Result_notebook_retravaill!K513</f>
        <v>1855.5643647638899</v>
      </c>
      <c r="J513" s="32">
        <f>MIN(G513,Result_notebook_retravaill!I513)</f>
        <v>0</v>
      </c>
      <c r="K513" s="32">
        <f>IF(Result_notebook_retravaill!I513&gt;Result_notebook_retravaill!G513,0,IF(Result_notebook_retravaill!I513+Result_notebook_retravaill!J513&gt;Result_notebook_retravaill!G513,Result_notebook_retravaill!G513-Result_notebook_retravaill!I513,Result_notebook_retravaill!J513))</f>
        <v>0</v>
      </c>
      <c r="L513" s="32">
        <f>IF(Result_notebook_retravaill!I513&gt;Result_notebook_retravaill!G513,0,IF(Result_notebook_retravaill!I513+Result_notebook_retravaill!J513&gt;Result_notebook_retravaill!G513,0,Result_notebook_retravaill!M513))</f>
        <v>1855.5643647638899</v>
      </c>
      <c r="M513" s="31">
        <f t="shared" si="7"/>
        <v>0</v>
      </c>
    </row>
    <row r="514" spans="1:13" x14ac:dyDescent="0.35">
      <c r="A514">
        <f>Result_notebook_retravaill!A514</f>
        <v>2030</v>
      </c>
      <c r="B514" t="str">
        <f>Result_notebook_retravaill!B514</f>
        <v>Graphite</v>
      </c>
      <c r="C514" t="str">
        <f>Result_notebook_retravaill!C514</f>
        <v>Canada Net-zero</v>
      </c>
      <c r="D514" t="str">
        <f>Result_notebook_retravaill!D514</f>
        <v>Production potential</v>
      </c>
      <c r="E514" t="str">
        <f>Result_notebook_retravaill!E514</f>
        <v>Current shares</v>
      </c>
      <c r="F514" t="str">
        <f>Result_notebook_retravaill!F514</f>
        <v>Expansion Extractive</v>
      </c>
      <c r="G514">
        <f>Result_notebook_retravaill!G514</f>
        <v>1855.5643647638899</v>
      </c>
      <c r="H514" s="32">
        <f>IF(Result_notebook_retravaill!I514&gt;Result_notebook_retravaill!G514,Result_notebook_retravaill!I514/Result_notebook_retravaill!N514,Result_notebook_retravaill!H514)</f>
        <v>54975.01391443688</v>
      </c>
      <c r="I514" s="32">
        <f>Result_notebook_retravaill!K514</f>
        <v>0</v>
      </c>
      <c r="J514" s="32">
        <f>MIN(G514,Result_notebook_retravaill!I514)</f>
        <v>1855.5643647638899</v>
      </c>
      <c r="K514" s="32">
        <f>IF(Result_notebook_retravaill!I514&gt;Result_notebook_retravaill!G514,0,IF(Result_notebook_retravaill!I514+Result_notebook_retravaill!J514&gt;Result_notebook_retravaill!G514,Result_notebook_retravaill!G514-Result_notebook_retravaill!I514,Result_notebook_retravaill!J514))</f>
        <v>0</v>
      </c>
      <c r="L514" s="32">
        <f>IF(Result_notebook_retravaill!I514&gt;Result_notebook_retravaill!G514,0,IF(Result_notebook_retravaill!I514+Result_notebook_retravaill!J514&gt;Result_notebook_retravaill!G514,0,Result_notebook_retravaill!M514))</f>
        <v>0</v>
      </c>
      <c r="M514" s="31">
        <f t="shared" si="7"/>
        <v>0</v>
      </c>
    </row>
    <row r="515" spans="1:13" x14ac:dyDescent="0.35">
      <c r="A515">
        <f>Result_notebook_retravaill!A515</f>
        <v>2030</v>
      </c>
      <c r="B515" t="str">
        <f>Result_notebook_retravaill!B515</f>
        <v>Graphite</v>
      </c>
      <c r="C515" t="str">
        <f>Result_notebook_retravaill!C515</f>
        <v>Canada Net-zero</v>
      </c>
      <c r="D515" t="str">
        <f>Result_notebook_retravaill!D515</f>
        <v>Production potential</v>
      </c>
      <c r="E515" t="str">
        <f>Result_notebook_retravaill!E515</f>
        <v>Current shares</v>
      </c>
      <c r="F515" t="str">
        <f>Result_notebook_retravaill!F515</f>
        <v>Expansion Extractive+Circularity</v>
      </c>
      <c r="G515">
        <f>Result_notebook_retravaill!G515</f>
        <v>1855.5643647638899</v>
      </c>
      <c r="H515" s="32">
        <f>IF(Result_notebook_retravaill!I515&gt;Result_notebook_retravaill!G515,Result_notebook_retravaill!I515/Result_notebook_retravaill!N515,Result_notebook_retravaill!H515)</f>
        <v>54975.01391443688</v>
      </c>
      <c r="I515" s="32">
        <f>Result_notebook_retravaill!K515</f>
        <v>0</v>
      </c>
      <c r="J515" s="32">
        <f>MIN(G515,Result_notebook_retravaill!I515)</f>
        <v>1855.5643647638899</v>
      </c>
      <c r="K515" s="32">
        <f>IF(Result_notebook_retravaill!I515&gt;Result_notebook_retravaill!G515,0,IF(Result_notebook_retravaill!I515+Result_notebook_retravaill!J515&gt;Result_notebook_retravaill!G515,Result_notebook_retravaill!G515-Result_notebook_retravaill!I515,Result_notebook_retravaill!J515))</f>
        <v>0</v>
      </c>
      <c r="L515" s="32">
        <f>IF(Result_notebook_retravaill!I515&gt;Result_notebook_retravaill!G515,0,IF(Result_notebook_retravaill!I515+Result_notebook_retravaill!J515&gt;Result_notebook_retravaill!G515,0,Result_notebook_retravaill!M515))</f>
        <v>0</v>
      </c>
      <c r="M515" s="31">
        <f t="shared" ref="M515:M578" si="8">SUM(J515:L515)-G515</f>
        <v>0</v>
      </c>
    </row>
    <row r="516" spans="1:13" x14ac:dyDescent="0.35">
      <c r="A516">
        <f>Result_notebook_retravaill!A516</f>
        <v>2030</v>
      </c>
      <c r="B516" t="str">
        <f>Result_notebook_retravaill!B516</f>
        <v>Graphite</v>
      </c>
      <c r="C516" t="str">
        <f>Result_notebook_retravaill!C516</f>
        <v>Canada Net-zero</v>
      </c>
      <c r="D516" t="str">
        <f>Result_notebook_retravaill!D516</f>
        <v>Production potential</v>
      </c>
      <c r="E516" t="str">
        <f>Result_notebook_retravaill!E516</f>
        <v>100% CAN</v>
      </c>
      <c r="F516" t="str">
        <f>Result_notebook_retravaill!F516</f>
        <v>Integrated</v>
      </c>
      <c r="G516">
        <f>Result_notebook_retravaill!G516</f>
        <v>1855.5643647638899</v>
      </c>
      <c r="H516" s="32">
        <f>IF(Result_notebook_retravaill!I516&gt;Result_notebook_retravaill!G516,Result_notebook_retravaill!I516/Result_notebook_retravaill!N516,Result_notebook_retravaill!H516)</f>
        <v>54975.01391443688</v>
      </c>
      <c r="I516" s="32">
        <f>Result_notebook_retravaill!K516</f>
        <v>0</v>
      </c>
      <c r="J516" s="32">
        <f>MIN(G516,Result_notebook_retravaill!I516)</f>
        <v>1855.5643647638899</v>
      </c>
      <c r="K516" s="32">
        <f>IF(Result_notebook_retravaill!I516&gt;Result_notebook_retravaill!G516,0,IF(Result_notebook_retravaill!I516+Result_notebook_retravaill!J516&gt;Result_notebook_retravaill!G516,Result_notebook_retravaill!G516-Result_notebook_retravaill!I516,Result_notebook_retravaill!J516))</f>
        <v>0</v>
      </c>
      <c r="L516" s="32">
        <f>IF(Result_notebook_retravaill!I516&gt;Result_notebook_retravaill!G516,0,IF(Result_notebook_retravaill!I516+Result_notebook_retravaill!J516&gt;Result_notebook_retravaill!G516,0,Result_notebook_retravaill!M516))</f>
        <v>0</v>
      </c>
      <c r="M516" s="31">
        <f t="shared" si="8"/>
        <v>0</v>
      </c>
    </row>
    <row r="517" spans="1:13" x14ac:dyDescent="0.35">
      <c r="A517">
        <f>Result_notebook_retravaill!A517</f>
        <v>2030</v>
      </c>
      <c r="B517" t="str">
        <f>Result_notebook_retravaill!B517</f>
        <v>Graphite</v>
      </c>
      <c r="C517" t="str">
        <f>Result_notebook_retravaill!C517</f>
        <v>Current Measures</v>
      </c>
      <c r="D517" t="str">
        <f>Result_notebook_retravaill!D517</f>
        <v>Existing production</v>
      </c>
      <c r="E517" t="str">
        <f>Result_notebook_retravaill!E517</f>
        <v>Current shares</v>
      </c>
      <c r="F517" t="str">
        <f>Result_notebook_retravaill!F517</f>
        <v>NIMBY</v>
      </c>
      <c r="G517">
        <f>Result_notebook_retravaill!G517</f>
        <v>872.97124354802133</v>
      </c>
      <c r="H517" s="32">
        <f>IF(Result_notebook_retravaill!I517&gt;Result_notebook_retravaill!G517,Result_notebook_retravaill!I517/Result_notebook_retravaill!N517,Result_notebook_retravaill!H517)</f>
        <v>0</v>
      </c>
      <c r="I517" s="32">
        <f>Result_notebook_retravaill!K517</f>
        <v>872.97124354802133</v>
      </c>
      <c r="J517" s="32">
        <f>MIN(G517,Result_notebook_retravaill!I517)</f>
        <v>0</v>
      </c>
      <c r="K517" s="32">
        <f>IF(Result_notebook_retravaill!I517&gt;Result_notebook_retravaill!G517,0,IF(Result_notebook_retravaill!I517+Result_notebook_retravaill!J517&gt;Result_notebook_retravaill!G517,Result_notebook_retravaill!G517-Result_notebook_retravaill!I517,Result_notebook_retravaill!J517))</f>
        <v>0</v>
      </c>
      <c r="L517" s="32">
        <f>IF(Result_notebook_retravaill!I517&gt;Result_notebook_retravaill!G517,0,IF(Result_notebook_retravaill!I517+Result_notebook_retravaill!J517&gt;Result_notebook_retravaill!G517,0,Result_notebook_retravaill!M517))</f>
        <v>872.97124354802133</v>
      </c>
      <c r="M517" s="31">
        <f t="shared" si="8"/>
        <v>0</v>
      </c>
    </row>
    <row r="518" spans="1:13" x14ac:dyDescent="0.35">
      <c r="A518">
        <f>Result_notebook_retravaill!A518</f>
        <v>2030</v>
      </c>
      <c r="B518" t="str">
        <f>Result_notebook_retravaill!B518</f>
        <v>Graphite</v>
      </c>
      <c r="C518" t="str">
        <f>Result_notebook_retravaill!C518</f>
        <v>Current Measures</v>
      </c>
      <c r="D518" t="str">
        <f>Result_notebook_retravaill!D518</f>
        <v>Existing production</v>
      </c>
      <c r="E518" t="str">
        <f>Result_notebook_retravaill!E518</f>
        <v>Current shares</v>
      </c>
      <c r="F518" t="str">
        <f>Result_notebook_retravaill!F518</f>
        <v>Status Quo</v>
      </c>
      <c r="G518">
        <f>Result_notebook_retravaill!G518</f>
        <v>872.97124354802133</v>
      </c>
      <c r="H518" s="32">
        <f>IF(Result_notebook_retravaill!I518&gt;Result_notebook_retravaill!G518,Result_notebook_retravaill!I518/Result_notebook_retravaill!N518,Result_notebook_retravaill!H518)</f>
        <v>0</v>
      </c>
      <c r="I518" s="32">
        <f>Result_notebook_retravaill!K518</f>
        <v>872.97124354802133</v>
      </c>
      <c r="J518" s="32">
        <f>MIN(G518,Result_notebook_retravaill!I518)</f>
        <v>0</v>
      </c>
      <c r="K518" s="32">
        <f>IF(Result_notebook_retravaill!I518&gt;Result_notebook_retravaill!G518,0,IF(Result_notebook_retravaill!I518+Result_notebook_retravaill!J518&gt;Result_notebook_retravaill!G518,Result_notebook_retravaill!G518-Result_notebook_retravaill!I518,Result_notebook_retravaill!J518))</f>
        <v>0</v>
      </c>
      <c r="L518" s="32">
        <f>IF(Result_notebook_retravaill!I518&gt;Result_notebook_retravaill!G518,0,IF(Result_notebook_retravaill!I518+Result_notebook_retravaill!J518&gt;Result_notebook_retravaill!G518,0,Result_notebook_retravaill!M518))</f>
        <v>872.97124354802133</v>
      </c>
      <c r="M518" s="31">
        <f t="shared" si="8"/>
        <v>0</v>
      </c>
    </row>
    <row r="519" spans="1:13" x14ac:dyDescent="0.35">
      <c r="A519">
        <f>Result_notebook_retravaill!A519</f>
        <v>2030</v>
      </c>
      <c r="B519" t="str">
        <f>Result_notebook_retravaill!B519</f>
        <v>Graphite</v>
      </c>
      <c r="C519" t="str">
        <f>Result_notebook_retravaill!C519</f>
        <v>Current Measures</v>
      </c>
      <c r="D519" t="str">
        <f>Result_notebook_retravaill!D519</f>
        <v>Production potential</v>
      </c>
      <c r="E519" t="str">
        <f>Result_notebook_retravaill!E519</f>
        <v>Current shares</v>
      </c>
      <c r="F519" t="str">
        <f>Result_notebook_retravaill!F519</f>
        <v>Expansion Extractive</v>
      </c>
      <c r="G519">
        <f>Result_notebook_retravaill!G519</f>
        <v>872.97124354802133</v>
      </c>
      <c r="H519" s="32">
        <f>IF(Result_notebook_retravaill!I519&gt;Result_notebook_retravaill!G519,Result_notebook_retravaill!I519/Result_notebook_retravaill!N519,Result_notebook_retravaill!H519)</f>
        <v>54975.01391443688</v>
      </c>
      <c r="I519" s="32">
        <f>Result_notebook_retravaill!K519</f>
        <v>0</v>
      </c>
      <c r="J519" s="32">
        <f>MIN(G519,Result_notebook_retravaill!I519)</f>
        <v>872.97124354802133</v>
      </c>
      <c r="K519" s="32">
        <f>IF(Result_notebook_retravaill!I519&gt;Result_notebook_retravaill!G519,0,IF(Result_notebook_retravaill!I519+Result_notebook_retravaill!J519&gt;Result_notebook_retravaill!G519,Result_notebook_retravaill!G519-Result_notebook_retravaill!I519,Result_notebook_retravaill!J519))</f>
        <v>0</v>
      </c>
      <c r="L519" s="32">
        <f>IF(Result_notebook_retravaill!I519&gt;Result_notebook_retravaill!G519,0,IF(Result_notebook_retravaill!I519+Result_notebook_retravaill!J519&gt;Result_notebook_retravaill!G519,0,Result_notebook_retravaill!M519))</f>
        <v>0</v>
      </c>
      <c r="M519" s="31">
        <f t="shared" si="8"/>
        <v>0</v>
      </c>
    </row>
    <row r="520" spans="1:13" x14ac:dyDescent="0.35">
      <c r="A520">
        <f>Result_notebook_retravaill!A520</f>
        <v>2030</v>
      </c>
      <c r="B520" t="str">
        <f>Result_notebook_retravaill!B520</f>
        <v>Graphite</v>
      </c>
      <c r="C520" t="str">
        <f>Result_notebook_retravaill!C520</f>
        <v>Current Measures</v>
      </c>
      <c r="D520" t="str">
        <f>Result_notebook_retravaill!D520</f>
        <v>Production potential</v>
      </c>
      <c r="E520" t="str">
        <f>Result_notebook_retravaill!E520</f>
        <v>Current shares</v>
      </c>
      <c r="F520" t="str">
        <f>Result_notebook_retravaill!F520</f>
        <v>Expansion Extractive+Circularity</v>
      </c>
      <c r="G520">
        <f>Result_notebook_retravaill!G520</f>
        <v>872.97124354802133</v>
      </c>
      <c r="H520" s="32">
        <f>IF(Result_notebook_retravaill!I520&gt;Result_notebook_retravaill!G520,Result_notebook_retravaill!I520/Result_notebook_retravaill!N520,Result_notebook_retravaill!H520)</f>
        <v>54975.01391443688</v>
      </c>
      <c r="I520" s="32">
        <f>Result_notebook_retravaill!K520</f>
        <v>0</v>
      </c>
      <c r="J520" s="32">
        <f>MIN(G520,Result_notebook_retravaill!I520)</f>
        <v>872.97124354802133</v>
      </c>
      <c r="K520" s="32">
        <f>IF(Result_notebook_retravaill!I520&gt;Result_notebook_retravaill!G520,0,IF(Result_notebook_retravaill!I520+Result_notebook_retravaill!J520&gt;Result_notebook_retravaill!G520,Result_notebook_retravaill!G520-Result_notebook_retravaill!I520,Result_notebook_retravaill!J520))</f>
        <v>0</v>
      </c>
      <c r="L520" s="32">
        <f>IF(Result_notebook_retravaill!I520&gt;Result_notebook_retravaill!G520,0,IF(Result_notebook_retravaill!I520+Result_notebook_retravaill!J520&gt;Result_notebook_retravaill!G520,0,Result_notebook_retravaill!M520))</f>
        <v>0</v>
      </c>
      <c r="M520" s="31">
        <f t="shared" si="8"/>
        <v>0</v>
      </c>
    </row>
    <row r="521" spans="1:13" x14ac:dyDescent="0.35">
      <c r="A521">
        <f>Result_notebook_retravaill!A521</f>
        <v>2030</v>
      </c>
      <c r="B521" t="str">
        <f>Result_notebook_retravaill!B521</f>
        <v>Graphite</v>
      </c>
      <c r="C521" t="str">
        <f>Result_notebook_retravaill!C521</f>
        <v>Current Measures</v>
      </c>
      <c r="D521" t="str">
        <f>Result_notebook_retravaill!D521</f>
        <v>Production potential</v>
      </c>
      <c r="E521" t="str">
        <f>Result_notebook_retravaill!E521</f>
        <v>100% CAN</v>
      </c>
      <c r="F521" t="str">
        <f>Result_notebook_retravaill!F521</f>
        <v>Integrated</v>
      </c>
      <c r="G521">
        <f>Result_notebook_retravaill!G521</f>
        <v>872.97124354802133</v>
      </c>
      <c r="H521" s="32">
        <f>IF(Result_notebook_retravaill!I521&gt;Result_notebook_retravaill!G521,Result_notebook_retravaill!I521/Result_notebook_retravaill!N521,Result_notebook_retravaill!H521)</f>
        <v>54975.01391443688</v>
      </c>
      <c r="I521" s="32">
        <f>Result_notebook_retravaill!K521</f>
        <v>0</v>
      </c>
      <c r="J521" s="32">
        <f>MIN(G521,Result_notebook_retravaill!I521)</f>
        <v>872.97124354802133</v>
      </c>
      <c r="K521" s="32">
        <f>IF(Result_notebook_retravaill!I521&gt;Result_notebook_retravaill!G521,0,IF(Result_notebook_retravaill!I521+Result_notebook_retravaill!J521&gt;Result_notebook_retravaill!G521,Result_notebook_retravaill!G521-Result_notebook_retravaill!I521,Result_notebook_retravaill!J521))</f>
        <v>0</v>
      </c>
      <c r="L521" s="32">
        <f>IF(Result_notebook_retravaill!I521&gt;Result_notebook_retravaill!G521,0,IF(Result_notebook_retravaill!I521+Result_notebook_retravaill!J521&gt;Result_notebook_retravaill!G521,0,Result_notebook_retravaill!M521))</f>
        <v>0</v>
      </c>
      <c r="M521" s="31">
        <f t="shared" si="8"/>
        <v>0</v>
      </c>
    </row>
    <row r="522" spans="1:13" x14ac:dyDescent="0.35">
      <c r="A522">
        <f>Result_notebook_retravaill!A522</f>
        <v>2030</v>
      </c>
      <c r="B522" t="str">
        <f>Result_notebook_retravaill!B522</f>
        <v>Graphite</v>
      </c>
      <c r="C522" t="str">
        <f>Result_notebook_retravaill!C522</f>
        <v>Global Net-zero</v>
      </c>
      <c r="D522" t="str">
        <f>Result_notebook_retravaill!D522</f>
        <v>Existing production</v>
      </c>
      <c r="E522" t="str">
        <f>Result_notebook_retravaill!E522</f>
        <v>Current shares</v>
      </c>
      <c r="F522" t="str">
        <f>Result_notebook_retravaill!F522</f>
        <v>NIMBY</v>
      </c>
      <c r="G522">
        <f>Result_notebook_retravaill!G522</f>
        <v>1761.827543456644</v>
      </c>
      <c r="H522" s="32">
        <f>IF(Result_notebook_retravaill!I522&gt;Result_notebook_retravaill!G522,Result_notebook_retravaill!I522/Result_notebook_retravaill!N522,Result_notebook_retravaill!H522)</f>
        <v>0</v>
      </c>
      <c r="I522" s="32">
        <f>Result_notebook_retravaill!K522</f>
        <v>1761.827543456644</v>
      </c>
      <c r="J522" s="32">
        <f>MIN(G522,Result_notebook_retravaill!I522)</f>
        <v>0</v>
      </c>
      <c r="K522" s="32">
        <f>IF(Result_notebook_retravaill!I522&gt;Result_notebook_retravaill!G522,0,IF(Result_notebook_retravaill!I522+Result_notebook_retravaill!J522&gt;Result_notebook_retravaill!G522,Result_notebook_retravaill!G522-Result_notebook_retravaill!I522,Result_notebook_retravaill!J522))</f>
        <v>0</v>
      </c>
      <c r="L522" s="32">
        <f>IF(Result_notebook_retravaill!I522&gt;Result_notebook_retravaill!G522,0,IF(Result_notebook_retravaill!I522+Result_notebook_retravaill!J522&gt;Result_notebook_retravaill!G522,0,Result_notebook_retravaill!M522))</f>
        <v>1761.827543456644</v>
      </c>
      <c r="M522" s="31">
        <f t="shared" si="8"/>
        <v>0</v>
      </c>
    </row>
    <row r="523" spans="1:13" x14ac:dyDescent="0.35">
      <c r="A523">
        <f>Result_notebook_retravaill!A523</f>
        <v>2030</v>
      </c>
      <c r="B523" t="str">
        <f>Result_notebook_retravaill!B523</f>
        <v>Graphite</v>
      </c>
      <c r="C523" t="str">
        <f>Result_notebook_retravaill!C523</f>
        <v>Global Net-zero</v>
      </c>
      <c r="D523" t="str">
        <f>Result_notebook_retravaill!D523</f>
        <v>Existing production</v>
      </c>
      <c r="E523" t="str">
        <f>Result_notebook_retravaill!E523</f>
        <v>Current shares</v>
      </c>
      <c r="F523" t="str">
        <f>Result_notebook_retravaill!F523</f>
        <v>Status Quo</v>
      </c>
      <c r="G523">
        <f>Result_notebook_retravaill!G523</f>
        <v>1761.827543456644</v>
      </c>
      <c r="H523" s="32">
        <f>IF(Result_notebook_retravaill!I523&gt;Result_notebook_retravaill!G523,Result_notebook_retravaill!I523/Result_notebook_retravaill!N523,Result_notebook_retravaill!H523)</f>
        <v>0</v>
      </c>
      <c r="I523" s="32">
        <f>Result_notebook_retravaill!K523</f>
        <v>1761.827543456644</v>
      </c>
      <c r="J523" s="32">
        <f>MIN(G523,Result_notebook_retravaill!I523)</f>
        <v>0</v>
      </c>
      <c r="K523" s="32">
        <f>IF(Result_notebook_retravaill!I523&gt;Result_notebook_retravaill!G523,0,IF(Result_notebook_retravaill!I523+Result_notebook_retravaill!J523&gt;Result_notebook_retravaill!G523,Result_notebook_retravaill!G523-Result_notebook_retravaill!I523,Result_notebook_retravaill!J523))</f>
        <v>0</v>
      </c>
      <c r="L523" s="32">
        <f>IF(Result_notebook_retravaill!I523&gt;Result_notebook_retravaill!G523,0,IF(Result_notebook_retravaill!I523+Result_notebook_retravaill!J523&gt;Result_notebook_retravaill!G523,0,Result_notebook_retravaill!M523))</f>
        <v>1761.827543456644</v>
      </c>
      <c r="M523" s="31">
        <f t="shared" si="8"/>
        <v>0</v>
      </c>
    </row>
    <row r="524" spans="1:13" x14ac:dyDescent="0.35">
      <c r="A524">
        <f>Result_notebook_retravaill!A524</f>
        <v>2030</v>
      </c>
      <c r="B524" t="str">
        <f>Result_notebook_retravaill!B524</f>
        <v>Graphite</v>
      </c>
      <c r="C524" t="str">
        <f>Result_notebook_retravaill!C524</f>
        <v>Global Net-zero</v>
      </c>
      <c r="D524" t="str">
        <f>Result_notebook_retravaill!D524</f>
        <v>Production potential</v>
      </c>
      <c r="E524" t="str">
        <f>Result_notebook_retravaill!E524</f>
        <v>Current shares</v>
      </c>
      <c r="F524" t="str">
        <f>Result_notebook_retravaill!F524</f>
        <v>Expansion Extractive</v>
      </c>
      <c r="G524">
        <f>Result_notebook_retravaill!G524</f>
        <v>1761.827543456644</v>
      </c>
      <c r="H524" s="32">
        <f>IF(Result_notebook_retravaill!I524&gt;Result_notebook_retravaill!G524,Result_notebook_retravaill!I524/Result_notebook_retravaill!N524,Result_notebook_retravaill!H524)</f>
        <v>54975.01391443688</v>
      </c>
      <c r="I524" s="32">
        <f>Result_notebook_retravaill!K524</f>
        <v>0</v>
      </c>
      <c r="J524" s="32">
        <f>MIN(G524,Result_notebook_retravaill!I524)</f>
        <v>1761.827543456644</v>
      </c>
      <c r="K524" s="32">
        <f>IF(Result_notebook_retravaill!I524&gt;Result_notebook_retravaill!G524,0,IF(Result_notebook_retravaill!I524+Result_notebook_retravaill!J524&gt;Result_notebook_retravaill!G524,Result_notebook_retravaill!G524-Result_notebook_retravaill!I524,Result_notebook_retravaill!J524))</f>
        <v>0</v>
      </c>
      <c r="L524" s="32">
        <f>IF(Result_notebook_retravaill!I524&gt;Result_notebook_retravaill!G524,0,IF(Result_notebook_retravaill!I524+Result_notebook_retravaill!J524&gt;Result_notebook_retravaill!G524,0,Result_notebook_retravaill!M524))</f>
        <v>0</v>
      </c>
      <c r="M524" s="31">
        <f t="shared" si="8"/>
        <v>0</v>
      </c>
    </row>
    <row r="525" spans="1:13" x14ac:dyDescent="0.35">
      <c r="A525">
        <f>Result_notebook_retravaill!A525</f>
        <v>2030</v>
      </c>
      <c r="B525" t="str">
        <f>Result_notebook_retravaill!B525</f>
        <v>Graphite</v>
      </c>
      <c r="C525" t="str">
        <f>Result_notebook_retravaill!C525</f>
        <v>Global Net-zero</v>
      </c>
      <c r="D525" t="str">
        <f>Result_notebook_retravaill!D525</f>
        <v>Production potential</v>
      </c>
      <c r="E525" t="str">
        <f>Result_notebook_retravaill!E525</f>
        <v>Current shares</v>
      </c>
      <c r="F525" t="str">
        <f>Result_notebook_retravaill!F525</f>
        <v>Expansion Extractive+Circularity</v>
      </c>
      <c r="G525">
        <f>Result_notebook_retravaill!G525</f>
        <v>1761.827543456644</v>
      </c>
      <c r="H525" s="32">
        <f>IF(Result_notebook_retravaill!I525&gt;Result_notebook_retravaill!G525,Result_notebook_retravaill!I525/Result_notebook_retravaill!N525,Result_notebook_retravaill!H525)</f>
        <v>54975.01391443688</v>
      </c>
      <c r="I525" s="32">
        <f>Result_notebook_retravaill!K525</f>
        <v>0</v>
      </c>
      <c r="J525" s="32">
        <f>MIN(G525,Result_notebook_retravaill!I525)</f>
        <v>1761.827543456644</v>
      </c>
      <c r="K525" s="32">
        <f>IF(Result_notebook_retravaill!I525&gt;Result_notebook_retravaill!G525,0,IF(Result_notebook_retravaill!I525+Result_notebook_retravaill!J525&gt;Result_notebook_retravaill!G525,Result_notebook_retravaill!G525-Result_notebook_retravaill!I525,Result_notebook_retravaill!J525))</f>
        <v>0</v>
      </c>
      <c r="L525" s="32">
        <f>IF(Result_notebook_retravaill!I525&gt;Result_notebook_retravaill!G525,0,IF(Result_notebook_retravaill!I525+Result_notebook_retravaill!J525&gt;Result_notebook_retravaill!G525,0,Result_notebook_retravaill!M525))</f>
        <v>0</v>
      </c>
      <c r="M525" s="31">
        <f t="shared" si="8"/>
        <v>0</v>
      </c>
    </row>
    <row r="526" spans="1:13" x14ac:dyDescent="0.35">
      <c r="A526">
        <f>Result_notebook_retravaill!A526</f>
        <v>2030</v>
      </c>
      <c r="B526" t="str">
        <f>Result_notebook_retravaill!B526</f>
        <v>Graphite</v>
      </c>
      <c r="C526" t="str">
        <f>Result_notebook_retravaill!C526</f>
        <v>Global Net-zero</v>
      </c>
      <c r="D526" t="str">
        <f>Result_notebook_retravaill!D526</f>
        <v>Production potential</v>
      </c>
      <c r="E526" t="str">
        <f>Result_notebook_retravaill!E526</f>
        <v>100% CAN</v>
      </c>
      <c r="F526" t="str">
        <f>Result_notebook_retravaill!F526</f>
        <v>Integrated</v>
      </c>
      <c r="G526">
        <f>Result_notebook_retravaill!G526</f>
        <v>1761.827543456644</v>
      </c>
      <c r="H526" s="32">
        <f>IF(Result_notebook_retravaill!I526&gt;Result_notebook_retravaill!G526,Result_notebook_retravaill!I526/Result_notebook_retravaill!N526,Result_notebook_retravaill!H526)</f>
        <v>54975.01391443688</v>
      </c>
      <c r="I526" s="32">
        <f>Result_notebook_retravaill!K526</f>
        <v>0</v>
      </c>
      <c r="J526" s="32">
        <f>MIN(G526,Result_notebook_retravaill!I526)</f>
        <v>1761.827543456644</v>
      </c>
      <c r="K526" s="32">
        <f>IF(Result_notebook_retravaill!I526&gt;Result_notebook_retravaill!G526,0,IF(Result_notebook_retravaill!I526+Result_notebook_retravaill!J526&gt;Result_notebook_retravaill!G526,Result_notebook_retravaill!G526-Result_notebook_retravaill!I526,Result_notebook_retravaill!J526))</f>
        <v>0</v>
      </c>
      <c r="L526" s="32">
        <f>IF(Result_notebook_retravaill!I526&gt;Result_notebook_retravaill!G526,0,IF(Result_notebook_retravaill!I526+Result_notebook_retravaill!J526&gt;Result_notebook_retravaill!G526,0,Result_notebook_retravaill!M526))</f>
        <v>0</v>
      </c>
      <c r="M526" s="31">
        <f t="shared" si="8"/>
        <v>0</v>
      </c>
    </row>
    <row r="527" spans="1:13" x14ac:dyDescent="0.35">
      <c r="A527">
        <f>Result_notebook_retravaill!A527</f>
        <v>2030</v>
      </c>
      <c r="B527" t="str">
        <f>Result_notebook_retravaill!B527</f>
        <v>Lithium</v>
      </c>
      <c r="C527" t="str">
        <f>Result_notebook_retravaill!C527</f>
        <v>Canada Net-zero</v>
      </c>
      <c r="D527" t="str">
        <f>Result_notebook_retravaill!D527</f>
        <v>Existing production</v>
      </c>
      <c r="E527" t="str">
        <f>Result_notebook_retravaill!E527</f>
        <v>Current shares</v>
      </c>
      <c r="F527" t="str">
        <f>Result_notebook_retravaill!F527</f>
        <v>NIMBY</v>
      </c>
      <c r="G527">
        <f>Result_notebook_retravaill!G527</f>
        <v>30338.572462274031</v>
      </c>
      <c r="H527" s="32">
        <f>IF(Result_notebook_retravaill!I527&gt;Result_notebook_retravaill!G527,Result_notebook_retravaill!I527/Result_notebook_retravaill!N527,Result_notebook_retravaill!H527)</f>
        <v>0</v>
      </c>
      <c r="I527" s="32">
        <f>Result_notebook_retravaill!K527</f>
        <v>43340.817803248618</v>
      </c>
      <c r="J527" s="32">
        <f>MIN(G527,Result_notebook_retravaill!I527)</f>
        <v>0</v>
      </c>
      <c r="K527" s="32">
        <f>IF(Result_notebook_retravaill!I527&gt;Result_notebook_retravaill!G527,0,IF(Result_notebook_retravaill!I527+Result_notebook_retravaill!J527&gt;Result_notebook_retravaill!G527,Result_notebook_retravaill!G527-Result_notebook_retravaill!I527,Result_notebook_retravaill!J527))</f>
        <v>0</v>
      </c>
      <c r="L527" s="32">
        <f>IF(Result_notebook_retravaill!I527&gt;Result_notebook_retravaill!G527,0,IF(Result_notebook_retravaill!I527+Result_notebook_retravaill!J527&gt;Result_notebook_retravaill!G527,0,Result_notebook_retravaill!M527))</f>
        <v>30338.572462274031</v>
      </c>
      <c r="M527" s="31">
        <f t="shared" si="8"/>
        <v>0</v>
      </c>
    </row>
    <row r="528" spans="1:13" x14ac:dyDescent="0.35">
      <c r="A528">
        <f>Result_notebook_retravaill!A528</f>
        <v>2030</v>
      </c>
      <c r="B528" t="str">
        <f>Result_notebook_retravaill!B528</f>
        <v>Lithium</v>
      </c>
      <c r="C528" t="str">
        <f>Result_notebook_retravaill!C528</f>
        <v>Canada Net-zero</v>
      </c>
      <c r="D528" t="str">
        <f>Result_notebook_retravaill!D528</f>
        <v>Existing production</v>
      </c>
      <c r="E528" t="str">
        <f>Result_notebook_retravaill!E528</f>
        <v>Current shares</v>
      </c>
      <c r="F528" t="str">
        <f>Result_notebook_retravaill!F528</f>
        <v>Status Quo</v>
      </c>
      <c r="G528">
        <f>Result_notebook_retravaill!G528</f>
        <v>30338.572462274031</v>
      </c>
      <c r="H528" s="32">
        <f>IF(Result_notebook_retravaill!I528&gt;Result_notebook_retravaill!G528,Result_notebook_retravaill!I528/Result_notebook_retravaill!N528,Result_notebook_retravaill!H528)</f>
        <v>38979</v>
      </c>
      <c r="I528" s="32">
        <f>Result_notebook_retravaill!K528</f>
        <v>4361.8178032486176</v>
      </c>
      <c r="J528" s="32">
        <f>MIN(G528,Result_notebook_retravaill!I528)</f>
        <v>27252.965785816788</v>
      </c>
      <c r="K528" s="32">
        <f>IF(Result_notebook_retravaill!I528&gt;Result_notebook_retravaill!G528,0,IF(Result_notebook_retravaill!I528+Result_notebook_retravaill!J528&gt;Result_notebook_retravaill!G528,Result_notebook_retravaill!G528-Result_notebook_retravaill!I528,Result_notebook_retravaill!J528))</f>
        <v>3085.6066764572424</v>
      </c>
      <c r="L528" s="32">
        <f>IF(Result_notebook_retravaill!I528&gt;Result_notebook_retravaill!G528,0,IF(Result_notebook_retravaill!I528+Result_notebook_retravaill!J528&gt;Result_notebook_retravaill!G528,0,Result_notebook_retravaill!M528))</f>
        <v>0</v>
      </c>
      <c r="M528" s="31">
        <f t="shared" si="8"/>
        <v>0</v>
      </c>
    </row>
    <row r="529" spans="1:13" x14ac:dyDescent="0.35">
      <c r="A529">
        <f>Result_notebook_retravaill!A529</f>
        <v>2030</v>
      </c>
      <c r="B529" t="str">
        <f>Result_notebook_retravaill!B529</f>
        <v>Lithium</v>
      </c>
      <c r="C529" t="str">
        <f>Result_notebook_retravaill!C529</f>
        <v>Canada Net-zero</v>
      </c>
      <c r="D529" t="str">
        <f>Result_notebook_retravaill!D529</f>
        <v>Production potential</v>
      </c>
      <c r="E529" t="str">
        <f>Result_notebook_retravaill!E529</f>
        <v>Current shares</v>
      </c>
      <c r="F529" t="str">
        <f>Result_notebook_retravaill!F529</f>
        <v>Expansion Extractive</v>
      </c>
      <c r="G529">
        <f>Result_notebook_retravaill!G529</f>
        <v>30338.572462274031</v>
      </c>
      <c r="H529" s="32">
        <f>IF(Result_notebook_retravaill!I529&gt;Result_notebook_retravaill!G529,Result_notebook_retravaill!I529/Result_notebook_retravaill!N529,Result_notebook_retravaill!H529)</f>
        <v>130084.56595615151</v>
      </c>
      <c r="I529" s="32">
        <f>Result_notebook_retravaill!K529</f>
        <v>0</v>
      </c>
      <c r="J529" s="32">
        <f>MIN(G529,Result_notebook_retravaill!I529)</f>
        <v>30338.572462274031</v>
      </c>
      <c r="K529" s="32">
        <f>IF(Result_notebook_retravaill!I529&gt;Result_notebook_retravaill!G529,0,IF(Result_notebook_retravaill!I529+Result_notebook_retravaill!J529&gt;Result_notebook_retravaill!G529,Result_notebook_retravaill!G529-Result_notebook_retravaill!I529,Result_notebook_retravaill!J529))</f>
        <v>0</v>
      </c>
      <c r="L529" s="32">
        <f>IF(Result_notebook_retravaill!I529&gt;Result_notebook_retravaill!G529,0,IF(Result_notebook_retravaill!I529+Result_notebook_retravaill!J529&gt;Result_notebook_retravaill!G529,0,Result_notebook_retravaill!M529))</f>
        <v>0</v>
      </c>
      <c r="M529" s="31">
        <f t="shared" si="8"/>
        <v>0</v>
      </c>
    </row>
    <row r="530" spans="1:13" x14ac:dyDescent="0.35">
      <c r="A530">
        <f>Result_notebook_retravaill!A530</f>
        <v>2030</v>
      </c>
      <c r="B530" t="str">
        <f>Result_notebook_retravaill!B530</f>
        <v>Lithium</v>
      </c>
      <c r="C530" t="str">
        <f>Result_notebook_retravaill!C530</f>
        <v>Canada Net-zero</v>
      </c>
      <c r="D530" t="str">
        <f>Result_notebook_retravaill!D530</f>
        <v>Production potential</v>
      </c>
      <c r="E530" t="str">
        <f>Result_notebook_retravaill!E530</f>
        <v>Current shares</v>
      </c>
      <c r="F530" t="str">
        <f>Result_notebook_retravaill!F530</f>
        <v>Expansion Extractive+Circularity</v>
      </c>
      <c r="G530">
        <f>Result_notebook_retravaill!G530</f>
        <v>30338.572462274031</v>
      </c>
      <c r="H530" s="32">
        <f>IF(Result_notebook_retravaill!I530&gt;Result_notebook_retravaill!G530,Result_notebook_retravaill!I530/Result_notebook_retravaill!N530,Result_notebook_retravaill!H530)</f>
        <v>130084.56595615151</v>
      </c>
      <c r="I530" s="32">
        <f>Result_notebook_retravaill!K530</f>
        <v>0</v>
      </c>
      <c r="J530" s="32">
        <f>MIN(G530,Result_notebook_retravaill!I530)</f>
        <v>30338.572462274031</v>
      </c>
      <c r="K530" s="32">
        <f>IF(Result_notebook_retravaill!I530&gt;Result_notebook_retravaill!G530,0,IF(Result_notebook_retravaill!I530+Result_notebook_retravaill!J530&gt;Result_notebook_retravaill!G530,Result_notebook_retravaill!G530-Result_notebook_retravaill!I530,Result_notebook_retravaill!J530))</f>
        <v>0</v>
      </c>
      <c r="L530" s="32">
        <f>IF(Result_notebook_retravaill!I530&gt;Result_notebook_retravaill!G530,0,IF(Result_notebook_retravaill!I530+Result_notebook_retravaill!J530&gt;Result_notebook_retravaill!G530,0,Result_notebook_retravaill!M530))</f>
        <v>0</v>
      </c>
      <c r="M530" s="31">
        <f t="shared" si="8"/>
        <v>0</v>
      </c>
    </row>
    <row r="531" spans="1:13" x14ac:dyDescent="0.35">
      <c r="A531">
        <f>Result_notebook_retravaill!A531</f>
        <v>2030</v>
      </c>
      <c r="B531" t="str">
        <f>Result_notebook_retravaill!B531</f>
        <v>Lithium</v>
      </c>
      <c r="C531" t="str">
        <f>Result_notebook_retravaill!C531</f>
        <v>Canada Net-zero</v>
      </c>
      <c r="D531" t="str">
        <f>Result_notebook_retravaill!D531</f>
        <v>Production potential</v>
      </c>
      <c r="E531" t="str">
        <f>Result_notebook_retravaill!E531</f>
        <v>100% CAN</v>
      </c>
      <c r="F531" t="str">
        <f>Result_notebook_retravaill!F531</f>
        <v>Integrated</v>
      </c>
      <c r="G531">
        <f>Result_notebook_retravaill!G531</f>
        <v>30338.572462274031</v>
      </c>
      <c r="H531" s="32">
        <f>IF(Result_notebook_retravaill!I531&gt;Result_notebook_retravaill!G531,Result_notebook_retravaill!I531/Result_notebook_retravaill!N531,Result_notebook_retravaill!H531)</f>
        <v>130084.56595615151</v>
      </c>
      <c r="I531" s="32">
        <f>Result_notebook_retravaill!K531</f>
        <v>0</v>
      </c>
      <c r="J531" s="32">
        <f>MIN(G531,Result_notebook_retravaill!I531)</f>
        <v>30338.572462274031</v>
      </c>
      <c r="K531" s="32">
        <f>IF(Result_notebook_retravaill!I531&gt;Result_notebook_retravaill!G531,0,IF(Result_notebook_retravaill!I531+Result_notebook_retravaill!J531&gt;Result_notebook_retravaill!G531,Result_notebook_retravaill!G531-Result_notebook_retravaill!I531,Result_notebook_retravaill!J531))</f>
        <v>0</v>
      </c>
      <c r="L531" s="32">
        <f>IF(Result_notebook_retravaill!I531&gt;Result_notebook_retravaill!G531,0,IF(Result_notebook_retravaill!I531+Result_notebook_retravaill!J531&gt;Result_notebook_retravaill!G531,0,Result_notebook_retravaill!M531))</f>
        <v>0</v>
      </c>
      <c r="M531" s="31">
        <f t="shared" si="8"/>
        <v>0</v>
      </c>
    </row>
    <row r="532" spans="1:13" x14ac:dyDescent="0.35">
      <c r="A532">
        <f>Result_notebook_retravaill!A532</f>
        <v>2030</v>
      </c>
      <c r="B532" t="str">
        <f>Result_notebook_retravaill!B532</f>
        <v>Lithium</v>
      </c>
      <c r="C532" t="str">
        <f>Result_notebook_retravaill!C532</f>
        <v>Current Measures</v>
      </c>
      <c r="D532" t="str">
        <f>Result_notebook_retravaill!D532</f>
        <v>Existing production</v>
      </c>
      <c r="E532" t="str">
        <f>Result_notebook_retravaill!E532</f>
        <v>Current shares</v>
      </c>
      <c r="F532" t="str">
        <f>Result_notebook_retravaill!F532</f>
        <v>NIMBY</v>
      </c>
      <c r="G532">
        <f>Result_notebook_retravaill!G532</f>
        <v>14273.12457212076</v>
      </c>
      <c r="H532" s="32">
        <f>IF(Result_notebook_retravaill!I532&gt;Result_notebook_retravaill!G532,Result_notebook_retravaill!I532/Result_notebook_retravaill!N532,Result_notebook_retravaill!H532)</f>
        <v>0</v>
      </c>
      <c r="I532" s="32">
        <f>Result_notebook_retravaill!K532</f>
        <v>20390.17796017251</v>
      </c>
      <c r="J532" s="32">
        <f>MIN(G532,Result_notebook_retravaill!I532)</f>
        <v>0</v>
      </c>
      <c r="K532" s="32">
        <f>IF(Result_notebook_retravaill!I532&gt;Result_notebook_retravaill!G532,0,IF(Result_notebook_retravaill!I532+Result_notebook_retravaill!J532&gt;Result_notebook_retravaill!G532,Result_notebook_retravaill!G532-Result_notebook_retravaill!I532,Result_notebook_retravaill!J532))</f>
        <v>0</v>
      </c>
      <c r="L532" s="32">
        <f>IF(Result_notebook_retravaill!I532&gt;Result_notebook_retravaill!G532,0,IF(Result_notebook_retravaill!I532+Result_notebook_retravaill!J532&gt;Result_notebook_retravaill!G532,0,Result_notebook_retravaill!M532))</f>
        <v>14273.12457212076</v>
      </c>
      <c r="M532" s="31">
        <f t="shared" si="8"/>
        <v>0</v>
      </c>
    </row>
    <row r="533" spans="1:13" x14ac:dyDescent="0.35">
      <c r="A533">
        <f>Result_notebook_retravaill!A533</f>
        <v>2030</v>
      </c>
      <c r="B533" t="str">
        <f>Result_notebook_retravaill!B533</f>
        <v>Lithium</v>
      </c>
      <c r="C533" t="str">
        <f>Result_notebook_retravaill!C533</f>
        <v>Current Measures</v>
      </c>
      <c r="D533" t="str">
        <f>Result_notebook_retravaill!D533</f>
        <v>Existing production</v>
      </c>
      <c r="E533" t="str">
        <f>Result_notebook_retravaill!E533</f>
        <v>Current shares</v>
      </c>
      <c r="F533" t="str">
        <f>Result_notebook_retravaill!F533</f>
        <v>Status Quo</v>
      </c>
      <c r="G533">
        <f>Result_notebook_retravaill!G533</f>
        <v>14273.12457212076</v>
      </c>
      <c r="H533" s="32">
        <f>IF(Result_notebook_retravaill!I533&gt;Result_notebook_retravaill!G533,Result_notebook_retravaill!I533/Result_notebook_retravaill!N533,Result_notebook_retravaill!H533)</f>
        <v>34604.52399460059</v>
      </c>
      <c r="I533" s="32">
        <f>Result_notebook_retravaill!K533</f>
        <v>0</v>
      </c>
      <c r="J533" s="32">
        <f>MIN(G533,Result_notebook_retravaill!I533)</f>
        <v>14273.12457212076</v>
      </c>
      <c r="K533" s="32">
        <f>IF(Result_notebook_retravaill!I533&gt;Result_notebook_retravaill!G533,0,IF(Result_notebook_retravaill!I533+Result_notebook_retravaill!J533&gt;Result_notebook_retravaill!G533,Result_notebook_retravaill!G533-Result_notebook_retravaill!I533,Result_notebook_retravaill!J533))</f>
        <v>0</v>
      </c>
      <c r="L533" s="32">
        <f>IF(Result_notebook_retravaill!I533&gt;Result_notebook_retravaill!G533,0,IF(Result_notebook_retravaill!I533+Result_notebook_retravaill!J533&gt;Result_notebook_retravaill!G533,0,Result_notebook_retravaill!M533))</f>
        <v>0</v>
      </c>
      <c r="M533" s="31">
        <f t="shared" si="8"/>
        <v>0</v>
      </c>
    </row>
    <row r="534" spans="1:13" x14ac:dyDescent="0.35">
      <c r="A534">
        <f>Result_notebook_retravaill!A534</f>
        <v>2030</v>
      </c>
      <c r="B534" t="str">
        <f>Result_notebook_retravaill!B534</f>
        <v>Lithium</v>
      </c>
      <c r="C534" t="str">
        <f>Result_notebook_retravaill!C534</f>
        <v>Current Measures</v>
      </c>
      <c r="D534" t="str">
        <f>Result_notebook_retravaill!D534</f>
        <v>Production potential</v>
      </c>
      <c r="E534" t="str">
        <f>Result_notebook_retravaill!E534</f>
        <v>Current shares</v>
      </c>
      <c r="F534" t="str">
        <f>Result_notebook_retravaill!F534</f>
        <v>Expansion Extractive</v>
      </c>
      <c r="G534">
        <f>Result_notebook_retravaill!G534</f>
        <v>14273.12457212076</v>
      </c>
      <c r="H534" s="32">
        <f>IF(Result_notebook_retravaill!I534&gt;Result_notebook_retravaill!G534,Result_notebook_retravaill!I534/Result_notebook_retravaill!N534,Result_notebook_retravaill!H534)</f>
        <v>130084.56595615151</v>
      </c>
      <c r="I534" s="32">
        <f>Result_notebook_retravaill!K534</f>
        <v>0</v>
      </c>
      <c r="J534" s="32">
        <f>MIN(G534,Result_notebook_retravaill!I534)</f>
        <v>14273.12457212076</v>
      </c>
      <c r="K534" s="32">
        <f>IF(Result_notebook_retravaill!I534&gt;Result_notebook_retravaill!G534,0,IF(Result_notebook_retravaill!I534+Result_notebook_retravaill!J534&gt;Result_notebook_retravaill!G534,Result_notebook_retravaill!G534-Result_notebook_retravaill!I534,Result_notebook_retravaill!J534))</f>
        <v>0</v>
      </c>
      <c r="L534" s="32">
        <f>IF(Result_notebook_retravaill!I534&gt;Result_notebook_retravaill!G534,0,IF(Result_notebook_retravaill!I534+Result_notebook_retravaill!J534&gt;Result_notebook_retravaill!G534,0,Result_notebook_retravaill!M534))</f>
        <v>0</v>
      </c>
      <c r="M534" s="31">
        <f t="shared" si="8"/>
        <v>0</v>
      </c>
    </row>
    <row r="535" spans="1:13" x14ac:dyDescent="0.35">
      <c r="A535">
        <f>Result_notebook_retravaill!A535</f>
        <v>2030</v>
      </c>
      <c r="B535" t="str">
        <f>Result_notebook_retravaill!B535</f>
        <v>Lithium</v>
      </c>
      <c r="C535" t="str">
        <f>Result_notebook_retravaill!C535</f>
        <v>Current Measures</v>
      </c>
      <c r="D535" t="str">
        <f>Result_notebook_retravaill!D535</f>
        <v>Production potential</v>
      </c>
      <c r="E535" t="str">
        <f>Result_notebook_retravaill!E535</f>
        <v>Current shares</v>
      </c>
      <c r="F535" t="str">
        <f>Result_notebook_retravaill!F535</f>
        <v>Expansion Extractive+Circularity</v>
      </c>
      <c r="G535">
        <f>Result_notebook_retravaill!G535</f>
        <v>14273.12457212076</v>
      </c>
      <c r="H535" s="32">
        <f>IF(Result_notebook_retravaill!I535&gt;Result_notebook_retravaill!G535,Result_notebook_retravaill!I535/Result_notebook_retravaill!N535,Result_notebook_retravaill!H535)</f>
        <v>130084.56595615151</v>
      </c>
      <c r="I535" s="32">
        <f>Result_notebook_retravaill!K535</f>
        <v>0</v>
      </c>
      <c r="J535" s="32">
        <f>MIN(G535,Result_notebook_retravaill!I535)</f>
        <v>14273.12457212076</v>
      </c>
      <c r="K535" s="32">
        <f>IF(Result_notebook_retravaill!I535&gt;Result_notebook_retravaill!G535,0,IF(Result_notebook_retravaill!I535+Result_notebook_retravaill!J535&gt;Result_notebook_retravaill!G535,Result_notebook_retravaill!G535-Result_notebook_retravaill!I535,Result_notebook_retravaill!J535))</f>
        <v>0</v>
      </c>
      <c r="L535" s="32">
        <f>IF(Result_notebook_retravaill!I535&gt;Result_notebook_retravaill!G535,0,IF(Result_notebook_retravaill!I535+Result_notebook_retravaill!J535&gt;Result_notebook_retravaill!G535,0,Result_notebook_retravaill!M535))</f>
        <v>0</v>
      </c>
      <c r="M535" s="31">
        <f t="shared" si="8"/>
        <v>0</v>
      </c>
    </row>
    <row r="536" spans="1:13" x14ac:dyDescent="0.35">
      <c r="A536">
        <f>Result_notebook_retravaill!A536</f>
        <v>2030</v>
      </c>
      <c r="B536" t="str">
        <f>Result_notebook_retravaill!B536</f>
        <v>Lithium</v>
      </c>
      <c r="C536" t="str">
        <f>Result_notebook_retravaill!C536</f>
        <v>Current Measures</v>
      </c>
      <c r="D536" t="str">
        <f>Result_notebook_retravaill!D536</f>
        <v>Production potential</v>
      </c>
      <c r="E536" t="str">
        <f>Result_notebook_retravaill!E536</f>
        <v>100% CAN</v>
      </c>
      <c r="F536" t="str">
        <f>Result_notebook_retravaill!F536</f>
        <v>Integrated</v>
      </c>
      <c r="G536">
        <f>Result_notebook_retravaill!G536</f>
        <v>14273.12457212076</v>
      </c>
      <c r="H536" s="32">
        <f>IF(Result_notebook_retravaill!I536&gt;Result_notebook_retravaill!G536,Result_notebook_retravaill!I536/Result_notebook_retravaill!N536,Result_notebook_retravaill!H536)</f>
        <v>130084.56595615151</v>
      </c>
      <c r="I536" s="32">
        <f>Result_notebook_retravaill!K536</f>
        <v>0</v>
      </c>
      <c r="J536" s="32">
        <f>MIN(G536,Result_notebook_retravaill!I536)</f>
        <v>14273.12457212076</v>
      </c>
      <c r="K536" s="32">
        <f>IF(Result_notebook_retravaill!I536&gt;Result_notebook_retravaill!G536,0,IF(Result_notebook_retravaill!I536+Result_notebook_retravaill!J536&gt;Result_notebook_retravaill!G536,Result_notebook_retravaill!G536-Result_notebook_retravaill!I536,Result_notebook_retravaill!J536))</f>
        <v>0</v>
      </c>
      <c r="L536" s="32">
        <f>IF(Result_notebook_retravaill!I536&gt;Result_notebook_retravaill!G536,0,IF(Result_notebook_retravaill!I536+Result_notebook_retravaill!J536&gt;Result_notebook_retravaill!G536,0,Result_notebook_retravaill!M536))</f>
        <v>0</v>
      </c>
      <c r="M536" s="31">
        <f t="shared" si="8"/>
        <v>0</v>
      </c>
    </row>
    <row r="537" spans="1:13" x14ac:dyDescent="0.35">
      <c r="A537">
        <f>Result_notebook_retravaill!A537</f>
        <v>2030</v>
      </c>
      <c r="B537" t="str">
        <f>Result_notebook_retravaill!B537</f>
        <v>Lithium</v>
      </c>
      <c r="C537" t="str">
        <f>Result_notebook_retravaill!C537</f>
        <v>Global Net-zero</v>
      </c>
      <c r="D537" t="str">
        <f>Result_notebook_retravaill!D537</f>
        <v>Existing production</v>
      </c>
      <c r="E537" t="str">
        <f>Result_notebook_retravaill!E537</f>
        <v>Current shares</v>
      </c>
      <c r="F537" t="str">
        <f>Result_notebook_retravaill!F537</f>
        <v>NIMBY</v>
      </c>
      <c r="G537">
        <f>Result_notebook_retravaill!G537</f>
        <v>28805.97062985264</v>
      </c>
      <c r="H537" s="32">
        <f>IF(Result_notebook_retravaill!I537&gt;Result_notebook_retravaill!G537,Result_notebook_retravaill!I537/Result_notebook_retravaill!N537,Result_notebook_retravaill!H537)</f>
        <v>0</v>
      </c>
      <c r="I537" s="32">
        <f>Result_notebook_retravaill!K537</f>
        <v>41151.3866140752</v>
      </c>
      <c r="J537" s="32">
        <f>MIN(G537,Result_notebook_retravaill!I537)</f>
        <v>0</v>
      </c>
      <c r="K537" s="32">
        <f>IF(Result_notebook_retravaill!I537&gt;Result_notebook_retravaill!G537,0,IF(Result_notebook_retravaill!I537+Result_notebook_retravaill!J537&gt;Result_notebook_retravaill!G537,Result_notebook_retravaill!G537-Result_notebook_retravaill!I537,Result_notebook_retravaill!J537))</f>
        <v>0</v>
      </c>
      <c r="L537" s="32">
        <f>IF(Result_notebook_retravaill!I537&gt;Result_notebook_retravaill!G537,0,IF(Result_notebook_retravaill!I537+Result_notebook_retravaill!J537&gt;Result_notebook_retravaill!G537,0,Result_notebook_retravaill!M537))</f>
        <v>28805.97062985264</v>
      </c>
      <c r="M537" s="31">
        <f t="shared" si="8"/>
        <v>0</v>
      </c>
    </row>
    <row r="538" spans="1:13" x14ac:dyDescent="0.35">
      <c r="A538">
        <f>Result_notebook_retravaill!A538</f>
        <v>2030</v>
      </c>
      <c r="B538" t="str">
        <f>Result_notebook_retravaill!B538</f>
        <v>Lithium</v>
      </c>
      <c r="C538" t="str">
        <f>Result_notebook_retravaill!C538</f>
        <v>Global Net-zero</v>
      </c>
      <c r="D538" t="str">
        <f>Result_notebook_retravaill!D538</f>
        <v>Existing production</v>
      </c>
      <c r="E538" t="str">
        <f>Result_notebook_retravaill!E538</f>
        <v>Current shares</v>
      </c>
      <c r="F538" t="str">
        <f>Result_notebook_retravaill!F538</f>
        <v>Status Quo</v>
      </c>
      <c r="G538">
        <f>Result_notebook_retravaill!G538</f>
        <v>28805.97062985264</v>
      </c>
      <c r="H538" s="32">
        <f>IF(Result_notebook_retravaill!I538&gt;Result_notebook_retravaill!G538,Result_notebook_retravaill!I538/Result_notebook_retravaill!N538,Result_notebook_retravaill!H538)</f>
        <v>38979</v>
      </c>
      <c r="I538" s="32">
        <f>Result_notebook_retravaill!K538</f>
        <v>2172.3866140752002</v>
      </c>
      <c r="J538" s="32">
        <f>MIN(G538,Result_notebook_retravaill!I538)</f>
        <v>27252.965785816788</v>
      </c>
      <c r="K538" s="32">
        <f>IF(Result_notebook_retravaill!I538&gt;Result_notebook_retravaill!G538,0,IF(Result_notebook_retravaill!I538+Result_notebook_retravaill!J538&gt;Result_notebook_retravaill!G538,Result_notebook_retravaill!G538-Result_notebook_retravaill!I538,Result_notebook_retravaill!J538))</f>
        <v>1553.0048440358514</v>
      </c>
      <c r="L538" s="32">
        <f>IF(Result_notebook_retravaill!I538&gt;Result_notebook_retravaill!G538,0,IF(Result_notebook_retravaill!I538+Result_notebook_retravaill!J538&gt;Result_notebook_retravaill!G538,0,Result_notebook_retravaill!M538))</f>
        <v>0</v>
      </c>
      <c r="M538" s="31">
        <f t="shared" si="8"/>
        <v>0</v>
      </c>
    </row>
    <row r="539" spans="1:13" x14ac:dyDescent="0.35">
      <c r="A539">
        <f>Result_notebook_retravaill!A539</f>
        <v>2030</v>
      </c>
      <c r="B539" t="str">
        <f>Result_notebook_retravaill!B539</f>
        <v>Lithium</v>
      </c>
      <c r="C539" t="str">
        <f>Result_notebook_retravaill!C539</f>
        <v>Global Net-zero</v>
      </c>
      <c r="D539" t="str">
        <f>Result_notebook_retravaill!D539</f>
        <v>Production potential</v>
      </c>
      <c r="E539" t="str">
        <f>Result_notebook_retravaill!E539</f>
        <v>Current shares</v>
      </c>
      <c r="F539" t="str">
        <f>Result_notebook_retravaill!F539</f>
        <v>Expansion Extractive</v>
      </c>
      <c r="G539">
        <f>Result_notebook_retravaill!G539</f>
        <v>28805.97062985264</v>
      </c>
      <c r="H539" s="32">
        <f>IF(Result_notebook_retravaill!I539&gt;Result_notebook_retravaill!G539,Result_notebook_retravaill!I539/Result_notebook_retravaill!N539,Result_notebook_retravaill!H539)</f>
        <v>130084.56595615151</v>
      </c>
      <c r="I539" s="32">
        <f>Result_notebook_retravaill!K539</f>
        <v>0</v>
      </c>
      <c r="J539" s="32">
        <f>MIN(G539,Result_notebook_retravaill!I539)</f>
        <v>28805.97062985264</v>
      </c>
      <c r="K539" s="32">
        <f>IF(Result_notebook_retravaill!I539&gt;Result_notebook_retravaill!G539,0,IF(Result_notebook_retravaill!I539+Result_notebook_retravaill!J539&gt;Result_notebook_retravaill!G539,Result_notebook_retravaill!G539-Result_notebook_retravaill!I539,Result_notebook_retravaill!J539))</f>
        <v>0</v>
      </c>
      <c r="L539" s="32">
        <f>IF(Result_notebook_retravaill!I539&gt;Result_notebook_retravaill!G539,0,IF(Result_notebook_retravaill!I539+Result_notebook_retravaill!J539&gt;Result_notebook_retravaill!G539,0,Result_notebook_retravaill!M539))</f>
        <v>0</v>
      </c>
      <c r="M539" s="31">
        <f t="shared" si="8"/>
        <v>0</v>
      </c>
    </row>
    <row r="540" spans="1:13" x14ac:dyDescent="0.35">
      <c r="A540">
        <f>Result_notebook_retravaill!A540</f>
        <v>2030</v>
      </c>
      <c r="B540" t="str">
        <f>Result_notebook_retravaill!B540</f>
        <v>Lithium</v>
      </c>
      <c r="C540" t="str">
        <f>Result_notebook_retravaill!C540</f>
        <v>Global Net-zero</v>
      </c>
      <c r="D540" t="str">
        <f>Result_notebook_retravaill!D540</f>
        <v>Production potential</v>
      </c>
      <c r="E540" t="str">
        <f>Result_notebook_retravaill!E540</f>
        <v>Current shares</v>
      </c>
      <c r="F540" t="str">
        <f>Result_notebook_retravaill!F540</f>
        <v>Expansion Extractive+Circularity</v>
      </c>
      <c r="G540">
        <f>Result_notebook_retravaill!G540</f>
        <v>28805.97062985264</v>
      </c>
      <c r="H540" s="32">
        <f>IF(Result_notebook_retravaill!I540&gt;Result_notebook_retravaill!G540,Result_notebook_retravaill!I540/Result_notebook_retravaill!N540,Result_notebook_retravaill!H540)</f>
        <v>130084.56595615151</v>
      </c>
      <c r="I540" s="32">
        <f>Result_notebook_retravaill!K540</f>
        <v>0</v>
      </c>
      <c r="J540" s="32">
        <f>MIN(G540,Result_notebook_retravaill!I540)</f>
        <v>28805.97062985264</v>
      </c>
      <c r="K540" s="32">
        <f>IF(Result_notebook_retravaill!I540&gt;Result_notebook_retravaill!G540,0,IF(Result_notebook_retravaill!I540+Result_notebook_retravaill!J540&gt;Result_notebook_retravaill!G540,Result_notebook_retravaill!G540-Result_notebook_retravaill!I540,Result_notebook_retravaill!J540))</f>
        <v>0</v>
      </c>
      <c r="L540" s="32">
        <f>IF(Result_notebook_retravaill!I540&gt;Result_notebook_retravaill!G540,0,IF(Result_notebook_retravaill!I540+Result_notebook_retravaill!J540&gt;Result_notebook_retravaill!G540,0,Result_notebook_retravaill!M540))</f>
        <v>0</v>
      </c>
      <c r="M540" s="31">
        <f t="shared" si="8"/>
        <v>0</v>
      </c>
    </row>
    <row r="541" spans="1:13" x14ac:dyDescent="0.35">
      <c r="A541">
        <f>Result_notebook_retravaill!A541</f>
        <v>2030</v>
      </c>
      <c r="B541" t="str">
        <f>Result_notebook_retravaill!B541</f>
        <v>Lithium</v>
      </c>
      <c r="C541" t="str">
        <f>Result_notebook_retravaill!C541</f>
        <v>Global Net-zero</v>
      </c>
      <c r="D541" t="str">
        <f>Result_notebook_retravaill!D541</f>
        <v>Production potential</v>
      </c>
      <c r="E541" t="str">
        <f>Result_notebook_retravaill!E541</f>
        <v>100% CAN</v>
      </c>
      <c r="F541" t="str">
        <f>Result_notebook_retravaill!F541</f>
        <v>Integrated</v>
      </c>
      <c r="G541">
        <f>Result_notebook_retravaill!G541</f>
        <v>28805.97062985264</v>
      </c>
      <c r="H541" s="32">
        <f>IF(Result_notebook_retravaill!I541&gt;Result_notebook_retravaill!G541,Result_notebook_retravaill!I541/Result_notebook_retravaill!N541,Result_notebook_retravaill!H541)</f>
        <v>130084.56595615151</v>
      </c>
      <c r="I541" s="32">
        <f>Result_notebook_retravaill!K541</f>
        <v>0</v>
      </c>
      <c r="J541" s="32">
        <f>MIN(G541,Result_notebook_retravaill!I541)</f>
        <v>28805.97062985264</v>
      </c>
      <c r="K541" s="32">
        <f>IF(Result_notebook_retravaill!I541&gt;Result_notebook_retravaill!G541,0,IF(Result_notebook_retravaill!I541+Result_notebook_retravaill!J541&gt;Result_notebook_retravaill!G541,Result_notebook_retravaill!G541-Result_notebook_retravaill!I541,Result_notebook_retravaill!J541))</f>
        <v>0</v>
      </c>
      <c r="L541" s="32">
        <f>IF(Result_notebook_retravaill!I541&gt;Result_notebook_retravaill!G541,0,IF(Result_notebook_retravaill!I541+Result_notebook_retravaill!J541&gt;Result_notebook_retravaill!G541,0,Result_notebook_retravaill!M541))</f>
        <v>0</v>
      </c>
      <c r="M541" s="31">
        <f t="shared" si="8"/>
        <v>0</v>
      </c>
    </row>
    <row r="542" spans="1:13" x14ac:dyDescent="0.35">
      <c r="A542">
        <f>Result_notebook_retravaill!A542</f>
        <v>2031</v>
      </c>
      <c r="B542" t="str">
        <f>Result_notebook_retravaill!B542</f>
        <v>Cobalt</v>
      </c>
      <c r="C542" t="str">
        <f>Result_notebook_retravaill!C542</f>
        <v>Canada Net-zero</v>
      </c>
      <c r="D542" t="str">
        <f>Result_notebook_retravaill!D542</f>
        <v>Existing production</v>
      </c>
      <c r="E542" t="str">
        <f>Result_notebook_retravaill!E542</f>
        <v>Current shares</v>
      </c>
      <c r="F542" t="str">
        <f>Result_notebook_retravaill!F542</f>
        <v>NIMBY</v>
      </c>
      <c r="G542">
        <f>Result_notebook_retravaill!G542</f>
        <v>74634.661248827935</v>
      </c>
      <c r="H542" s="32">
        <f>IF(Result_notebook_retravaill!I542&gt;Result_notebook_retravaill!G542,Result_notebook_retravaill!I542/Result_notebook_retravaill!N542,Result_notebook_retravaill!H542)</f>
        <v>0</v>
      </c>
      <c r="I542" s="32">
        <f>Result_notebook_retravaill!K542</f>
        <v>169624.2301109726</v>
      </c>
      <c r="J542" s="32">
        <f>MIN(G542,Result_notebook_retravaill!I542)</f>
        <v>0</v>
      </c>
      <c r="K542" s="32">
        <f>IF(Result_notebook_retravaill!I542&gt;Result_notebook_retravaill!G542,0,IF(Result_notebook_retravaill!I542+Result_notebook_retravaill!J542&gt;Result_notebook_retravaill!G542,Result_notebook_retravaill!G542-Result_notebook_retravaill!I542,Result_notebook_retravaill!J542))</f>
        <v>0</v>
      </c>
      <c r="L542" s="32">
        <f>IF(Result_notebook_retravaill!I542&gt;Result_notebook_retravaill!G542,0,IF(Result_notebook_retravaill!I542+Result_notebook_retravaill!J542&gt;Result_notebook_retravaill!G542,0,Result_notebook_retravaill!M542))</f>
        <v>74634.661248827935</v>
      </c>
      <c r="M542" s="31">
        <f t="shared" si="8"/>
        <v>0</v>
      </c>
    </row>
    <row r="543" spans="1:13" x14ac:dyDescent="0.35">
      <c r="A543">
        <f>Result_notebook_retravaill!A543</f>
        <v>2031</v>
      </c>
      <c r="B543" t="str">
        <f>Result_notebook_retravaill!B543</f>
        <v>Cobalt</v>
      </c>
      <c r="C543" t="str">
        <f>Result_notebook_retravaill!C543</f>
        <v>Canada Net-zero</v>
      </c>
      <c r="D543" t="str">
        <f>Result_notebook_retravaill!D543</f>
        <v>Existing production</v>
      </c>
      <c r="E543" t="str">
        <f>Result_notebook_retravaill!E543</f>
        <v>Current shares</v>
      </c>
      <c r="F543" t="str">
        <f>Result_notebook_retravaill!F543</f>
        <v>Status Quo</v>
      </c>
      <c r="G543">
        <f>Result_notebook_retravaill!G543</f>
        <v>74634.661248827935</v>
      </c>
      <c r="H543" s="32">
        <f>IF(Result_notebook_retravaill!I543&gt;Result_notebook_retravaill!G543,Result_notebook_retravaill!I543/Result_notebook_retravaill!N543,Result_notebook_retravaill!H543)</f>
        <v>3707</v>
      </c>
      <c r="I543" s="32">
        <f>Result_notebook_retravaill!K543</f>
        <v>165917.2301109726</v>
      </c>
      <c r="J543" s="32">
        <f>MIN(G543,Result_notebook_retravaill!I543)</f>
        <v>1572.4420377809411</v>
      </c>
      <c r="K543" s="32">
        <f>IF(Result_notebook_retravaill!I543&gt;Result_notebook_retravaill!G543,0,IF(Result_notebook_retravaill!I543+Result_notebook_retravaill!J543&gt;Result_notebook_retravaill!G543,Result_notebook_retravaill!G543-Result_notebook_retravaill!I543,Result_notebook_retravaill!J543))</f>
        <v>56.215681220686292</v>
      </c>
      <c r="L543" s="32">
        <f>IF(Result_notebook_retravaill!I543&gt;Result_notebook_retravaill!G543,0,IF(Result_notebook_retravaill!I543+Result_notebook_retravaill!J543&gt;Result_notebook_retravaill!G543,0,Result_notebook_retravaill!M543))</f>
        <v>73006.00352982631</v>
      </c>
      <c r="M543" s="31">
        <f t="shared" si="8"/>
        <v>0</v>
      </c>
    </row>
    <row r="544" spans="1:13" x14ac:dyDescent="0.35">
      <c r="A544">
        <f>Result_notebook_retravaill!A544</f>
        <v>2031</v>
      </c>
      <c r="B544" t="str">
        <f>Result_notebook_retravaill!B544</f>
        <v>Cobalt</v>
      </c>
      <c r="C544" t="str">
        <f>Result_notebook_retravaill!C544</f>
        <v>Canada Net-zero</v>
      </c>
      <c r="D544" t="str">
        <f>Result_notebook_retravaill!D544</f>
        <v>Production potential</v>
      </c>
      <c r="E544" t="str">
        <f>Result_notebook_retravaill!E544</f>
        <v>Current shares</v>
      </c>
      <c r="F544" t="str">
        <f>Result_notebook_retravaill!F544</f>
        <v>Expansion Extractive</v>
      </c>
      <c r="G544">
        <f>Result_notebook_retravaill!G544</f>
        <v>74634.661248827935</v>
      </c>
      <c r="H544" s="32">
        <f>IF(Result_notebook_retravaill!I544&gt;Result_notebook_retravaill!G544,Result_notebook_retravaill!I544/Result_notebook_retravaill!N544,Result_notebook_retravaill!H544)</f>
        <v>8876.0777297221903</v>
      </c>
      <c r="I544" s="32">
        <f>Result_notebook_retravaill!K544</f>
        <v>160748.1523812504</v>
      </c>
      <c r="J544" s="32">
        <f>MIN(G544,Result_notebook_retravaill!I544)</f>
        <v>3765.070880179765</v>
      </c>
      <c r="K544" s="32">
        <f>IF(Result_notebook_retravaill!I544&gt;Result_notebook_retravaill!G544,0,IF(Result_notebook_retravaill!I544+Result_notebook_retravaill!J544&gt;Result_notebook_retravaill!G544,Result_notebook_retravaill!G544-Result_notebook_retravaill!I544,Result_notebook_retravaill!J544))</f>
        <v>134.60338714434783</v>
      </c>
      <c r="L544" s="32">
        <f>IF(Result_notebook_retravaill!I544&gt;Result_notebook_retravaill!G544,0,IF(Result_notebook_retravaill!I544+Result_notebook_retravaill!J544&gt;Result_notebook_retravaill!G544,0,Result_notebook_retravaill!M544))</f>
        <v>70734.986981503826</v>
      </c>
      <c r="M544" s="31">
        <f t="shared" si="8"/>
        <v>0</v>
      </c>
    </row>
    <row r="545" spans="1:13" x14ac:dyDescent="0.35">
      <c r="A545">
        <f>Result_notebook_retravaill!A545</f>
        <v>2031</v>
      </c>
      <c r="B545" t="str">
        <f>Result_notebook_retravaill!B545</f>
        <v>Cobalt</v>
      </c>
      <c r="C545" t="str">
        <f>Result_notebook_retravaill!C545</f>
        <v>Canada Net-zero</v>
      </c>
      <c r="D545" t="str">
        <f>Result_notebook_retravaill!D545</f>
        <v>Production potential</v>
      </c>
      <c r="E545" t="str">
        <f>Result_notebook_retravaill!E545</f>
        <v>Current shares</v>
      </c>
      <c r="F545" t="str">
        <f>Result_notebook_retravaill!F545</f>
        <v>Expansion Extractive+Circularity</v>
      </c>
      <c r="G545">
        <f>Result_notebook_retravaill!G545</f>
        <v>74634.661248827935</v>
      </c>
      <c r="H545" s="32">
        <f>IF(Result_notebook_retravaill!I545&gt;Result_notebook_retravaill!G545,Result_notebook_retravaill!I545/Result_notebook_retravaill!N545,Result_notebook_retravaill!H545)</f>
        <v>8876.0777297221903</v>
      </c>
      <c r="I545" s="32">
        <f>Result_notebook_retravaill!K545</f>
        <v>160748.1523812504</v>
      </c>
      <c r="J545" s="32">
        <f>MIN(G545,Result_notebook_retravaill!I545)</f>
        <v>3765.070880179765</v>
      </c>
      <c r="K545" s="32">
        <f>IF(Result_notebook_retravaill!I545&gt;Result_notebook_retravaill!G545,0,IF(Result_notebook_retravaill!I545+Result_notebook_retravaill!J545&gt;Result_notebook_retravaill!G545,Result_notebook_retravaill!G545-Result_notebook_retravaill!I545,Result_notebook_retravaill!J545))</f>
        <v>134.60338714434783</v>
      </c>
      <c r="L545" s="32">
        <f>IF(Result_notebook_retravaill!I545&gt;Result_notebook_retravaill!G545,0,IF(Result_notebook_retravaill!I545+Result_notebook_retravaill!J545&gt;Result_notebook_retravaill!G545,0,Result_notebook_retravaill!M545))</f>
        <v>70734.986981503826</v>
      </c>
      <c r="M545" s="31">
        <f t="shared" si="8"/>
        <v>0</v>
      </c>
    </row>
    <row r="546" spans="1:13" x14ac:dyDescent="0.35">
      <c r="A546">
        <f>Result_notebook_retravaill!A546</f>
        <v>2031</v>
      </c>
      <c r="B546" t="str">
        <f>Result_notebook_retravaill!B546</f>
        <v>Cobalt</v>
      </c>
      <c r="C546" t="str">
        <f>Result_notebook_retravaill!C546</f>
        <v>Canada Net-zero</v>
      </c>
      <c r="D546" t="str">
        <f>Result_notebook_retravaill!D546</f>
        <v>Production potential</v>
      </c>
      <c r="E546" t="str">
        <f>Result_notebook_retravaill!E546</f>
        <v>100% CAN</v>
      </c>
      <c r="F546" t="str">
        <f>Result_notebook_retravaill!F546</f>
        <v>Integrated</v>
      </c>
      <c r="G546">
        <f>Result_notebook_retravaill!G546</f>
        <v>74634.661248827935</v>
      </c>
      <c r="H546" s="32">
        <f>IF(Result_notebook_retravaill!I546&gt;Result_notebook_retravaill!G546,Result_notebook_retravaill!I546/Result_notebook_retravaill!N546,Result_notebook_retravaill!H546)</f>
        <v>8876.0777297221903</v>
      </c>
      <c r="I546" s="32">
        <f>Result_notebook_retravaill!K546</f>
        <v>160748.1523812504</v>
      </c>
      <c r="J546" s="32">
        <f>MIN(G546,Result_notebook_retravaill!I546)</f>
        <v>3899.674267324116</v>
      </c>
      <c r="K546" s="32">
        <f>IF(Result_notebook_retravaill!I546&gt;Result_notebook_retravaill!G546,0,IF(Result_notebook_retravaill!I546+Result_notebook_retravaill!J546&gt;Result_notebook_retravaill!G546,Result_notebook_retravaill!G546-Result_notebook_retravaill!I546,Result_notebook_retravaill!J546))</f>
        <v>0</v>
      </c>
      <c r="L546" s="32">
        <f>IF(Result_notebook_retravaill!I546&gt;Result_notebook_retravaill!G546,0,IF(Result_notebook_retravaill!I546+Result_notebook_retravaill!J546&gt;Result_notebook_retravaill!G546,0,Result_notebook_retravaill!M546))</f>
        <v>70734.986981503826</v>
      </c>
      <c r="M546" s="31">
        <f t="shared" si="8"/>
        <v>0</v>
      </c>
    </row>
    <row r="547" spans="1:13" x14ac:dyDescent="0.35">
      <c r="A547">
        <f>Result_notebook_retravaill!A547</f>
        <v>2031</v>
      </c>
      <c r="B547" t="str">
        <f>Result_notebook_retravaill!B547</f>
        <v>Cobalt</v>
      </c>
      <c r="C547" t="str">
        <f>Result_notebook_retravaill!C547</f>
        <v>Current Measures</v>
      </c>
      <c r="D547" t="str">
        <f>Result_notebook_retravaill!D547</f>
        <v>Existing production</v>
      </c>
      <c r="E547" t="str">
        <f>Result_notebook_retravaill!E547</f>
        <v>Current shares</v>
      </c>
      <c r="F547" t="str">
        <f>Result_notebook_retravaill!F547</f>
        <v>NIMBY</v>
      </c>
      <c r="G547">
        <f>Result_notebook_retravaill!G547</f>
        <v>33266.833134093657</v>
      </c>
      <c r="H547" s="32">
        <f>IF(Result_notebook_retravaill!I547&gt;Result_notebook_retravaill!G547,Result_notebook_retravaill!I547/Result_notebook_retravaill!N547,Result_notebook_retravaill!H547)</f>
        <v>0</v>
      </c>
      <c r="I547" s="32">
        <f>Result_notebook_retravaill!K547</f>
        <v>75606.438941121945</v>
      </c>
      <c r="J547" s="32">
        <f>MIN(G547,Result_notebook_retravaill!I547)</f>
        <v>0</v>
      </c>
      <c r="K547" s="32">
        <f>IF(Result_notebook_retravaill!I547&gt;Result_notebook_retravaill!G547,0,IF(Result_notebook_retravaill!I547+Result_notebook_retravaill!J547&gt;Result_notebook_retravaill!G547,Result_notebook_retravaill!G547-Result_notebook_retravaill!I547,Result_notebook_retravaill!J547))</f>
        <v>0</v>
      </c>
      <c r="L547" s="32">
        <f>IF(Result_notebook_retravaill!I547&gt;Result_notebook_retravaill!G547,0,IF(Result_notebook_retravaill!I547+Result_notebook_retravaill!J547&gt;Result_notebook_retravaill!G547,0,Result_notebook_retravaill!M547))</f>
        <v>33266.833134093657</v>
      </c>
      <c r="M547" s="31">
        <f t="shared" si="8"/>
        <v>0</v>
      </c>
    </row>
    <row r="548" spans="1:13" x14ac:dyDescent="0.35">
      <c r="A548">
        <f>Result_notebook_retravaill!A548</f>
        <v>2031</v>
      </c>
      <c r="B548" t="str">
        <f>Result_notebook_retravaill!B548</f>
        <v>Cobalt</v>
      </c>
      <c r="C548" t="str">
        <f>Result_notebook_retravaill!C548</f>
        <v>Current Measures</v>
      </c>
      <c r="D548" t="str">
        <f>Result_notebook_retravaill!D548</f>
        <v>Existing production</v>
      </c>
      <c r="E548" t="str">
        <f>Result_notebook_retravaill!E548</f>
        <v>Current shares</v>
      </c>
      <c r="F548" t="str">
        <f>Result_notebook_retravaill!F548</f>
        <v>Status Quo</v>
      </c>
      <c r="G548">
        <f>Result_notebook_retravaill!G548</f>
        <v>33266.833134093657</v>
      </c>
      <c r="H548" s="32">
        <f>IF(Result_notebook_retravaill!I548&gt;Result_notebook_retravaill!G548,Result_notebook_retravaill!I548/Result_notebook_retravaill!N548,Result_notebook_retravaill!H548)</f>
        <v>3707</v>
      </c>
      <c r="I548" s="32">
        <f>Result_notebook_retravaill!K548</f>
        <v>71899.438941121945</v>
      </c>
      <c r="J548" s="32">
        <f>MIN(G548,Result_notebook_retravaill!I548)</f>
        <v>1572.4420377809411</v>
      </c>
      <c r="K548" s="32">
        <f>IF(Result_notebook_retravaill!I548&gt;Result_notebook_retravaill!G548,0,IF(Result_notebook_retravaill!I548+Result_notebook_retravaill!J548&gt;Result_notebook_retravaill!G548,Result_notebook_retravaill!G548-Result_notebook_retravaill!I548,Result_notebook_retravaill!J548))</f>
        <v>56.215681220686292</v>
      </c>
      <c r="L548" s="32">
        <f>IF(Result_notebook_retravaill!I548&gt;Result_notebook_retravaill!G548,0,IF(Result_notebook_retravaill!I548+Result_notebook_retravaill!J548&gt;Result_notebook_retravaill!G548,0,Result_notebook_retravaill!M548))</f>
        <v>31638.175415092035</v>
      </c>
      <c r="M548" s="31">
        <f t="shared" si="8"/>
        <v>0</v>
      </c>
    </row>
    <row r="549" spans="1:13" x14ac:dyDescent="0.35">
      <c r="A549">
        <f>Result_notebook_retravaill!A549</f>
        <v>2031</v>
      </c>
      <c r="B549" t="str">
        <f>Result_notebook_retravaill!B549</f>
        <v>Cobalt</v>
      </c>
      <c r="C549" t="str">
        <f>Result_notebook_retravaill!C549</f>
        <v>Current Measures</v>
      </c>
      <c r="D549" t="str">
        <f>Result_notebook_retravaill!D549</f>
        <v>Production potential</v>
      </c>
      <c r="E549" t="str">
        <f>Result_notebook_retravaill!E549</f>
        <v>Current shares</v>
      </c>
      <c r="F549" t="str">
        <f>Result_notebook_retravaill!F549</f>
        <v>Expansion Extractive</v>
      </c>
      <c r="G549">
        <f>Result_notebook_retravaill!G549</f>
        <v>33266.833134093657</v>
      </c>
      <c r="H549" s="32">
        <f>IF(Result_notebook_retravaill!I549&gt;Result_notebook_retravaill!G549,Result_notebook_retravaill!I549/Result_notebook_retravaill!N549,Result_notebook_retravaill!H549)</f>
        <v>8876.0777297221903</v>
      </c>
      <c r="I549" s="32">
        <f>Result_notebook_retravaill!K549</f>
        <v>66730.361211399751</v>
      </c>
      <c r="J549" s="32">
        <f>MIN(G549,Result_notebook_retravaill!I549)</f>
        <v>3765.070880179765</v>
      </c>
      <c r="K549" s="32">
        <f>IF(Result_notebook_retravaill!I549&gt;Result_notebook_retravaill!G549,0,IF(Result_notebook_retravaill!I549+Result_notebook_retravaill!J549&gt;Result_notebook_retravaill!G549,Result_notebook_retravaill!G549-Result_notebook_retravaill!I549,Result_notebook_retravaill!J549))</f>
        <v>134.60338714434783</v>
      </c>
      <c r="L549" s="32">
        <f>IF(Result_notebook_retravaill!I549&gt;Result_notebook_retravaill!G549,0,IF(Result_notebook_retravaill!I549+Result_notebook_retravaill!J549&gt;Result_notebook_retravaill!G549,0,Result_notebook_retravaill!M549))</f>
        <v>29367.158866769543</v>
      </c>
      <c r="M549" s="31">
        <f t="shared" si="8"/>
        <v>0</v>
      </c>
    </row>
    <row r="550" spans="1:13" x14ac:dyDescent="0.35">
      <c r="A550">
        <f>Result_notebook_retravaill!A550</f>
        <v>2031</v>
      </c>
      <c r="B550" t="str">
        <f>Result_notebook_retravaill!B550</f>
        <v>Cobalt</v>
      </c>
      <c r="C550" t="str">
        <f>Result_notebook_retravaill!C550</f>
        <v>Current Measures</v>
      </c>
      <c r="D550" t="str">
        <f>Result_notebook_retravaill!D550</f>
        <v>Production potential</v>
      </c>
      <c r="E550" t="str">
        <f>Result_notebook_retravaill!E550</f>
        <v>Current shares</v>
      </c>
      <c r="F550" t="str">
        <f>Result_notebook_retravaill!F550</f>
        <v>Expansion Extractive+Circularity</v>
      </c>
      <c r="G550">
        <f>Result_notebook_retravaill!G550</f>
        <v>33266.833134093657</v>
      </c>
      <c r="H550" s="32">
        <f>IF(Result_notebook_retravaill!I550&gt;Result_notebook_retravaill!G550,Result_notebook_retravaill!I550/Result_notebook_retravaill!N550,Result_notebook_retravaill!H550)</f>
        <v>8876.0777297221903</v>
      </c>
      <c r="I550" s="32">
        <f>Result_notebook_retravaill!K550</f>
        <v>66730.361211399751</v>
      </c>
      <c r="J550" s="32">
        <f>MIN(G550,Result_notebook_retravaill!I550)</f>
        <v>3765.070880179765</v>
      </c>
      <c r="K550" s="32">
        <f>IF(Result_notebook_retravaill!I550&gt;Result_notebook_retravaill!G550,0,IF(Result_notebook_retravaill!I550+Result_notebook_retravaill!J550&gt;Result_notebook_retravaill!G550,Result_notebook_retravaill!G550-Result_notebook_retravaill!I550,Result_notebook_retravaill!J550))</f>
        <v>134.60338714434783</v>
      </c>
      <c r="L550" s="32">
        <f>IF(Result_notebook_retravaill!I550&gt;Result_notebook_retravaill!G550,0,IF(Result_notebook_retravaill!I550+Result_notebook_retravaill!J550&gt;Result_notebook_retravaill!G550,0,Result_notebook_retravaill!M550))</f>
        <v>29367.158866769543</v>
      </c>
      <c r="M550" s="31">
        <f t="shared" si="8"/>
        <v>0</v>
      </c>
    </row>
    <row r="551" spans="1:13" x14ac:dyDescent="0.35">
      <c r="A551">
        <f>Result_notebook_retravaill!A551</f>
        <v>2031</v>
      </c>
      <c r="B551" t="str">
        <f>Result_notebook_retravaill!B551</f>
        <v>Cobalt</v>
      </c>
      <c r="C551" t="str">
        <f>Result_notebook_retravaill!C551</f>
        <v>Current Measures</v>
      </c>
      <c r="D551" t="str">
        <f>Result_notebook_retravaill!D551</f>
        <v>Production potential</v>
      </c>
      <c r="E551" t="str">
        <f>Result_notebook_retravaill!E551</f>
        <v>100% CAN</v>
      </c>
      <c r="F551" t="str">
        <f>Result_notebook_retravaill!F551</f>
        <v>Integrated</v>
      </c>
      <c r="G551">
        <f>Result_notebook_retravaill!G551</f>
        <v>33266.833134093657</v>
      </c>
      <c r="H551" s="32">
        <f>IF(Result_notebook_retravaill!I551&gt;Result_notebook_retravaill!G551,Result_notebook_retravaill!I551/Result_notebook_retravaill!N551,Result_notebook_retravaill!H551)</f>
        <v>8876.0777297221903</v>
      </c>
      <c r="I551" s="32">
        <f>Result_notebook_retravaill!K551</f>
        <v>66730.361211399751</v>
      </c>
      <c r="J551" s="32">
        <f>MIN(G551,Result_notebook_retravaill!I551)</f>
        <v>3899.674267324116</v>
      </c>
      <c r="K551" s="32">
        <f>IF(Result_notebook_retravaill!I551&gt;Result_notebook_retravaill!G551,0,IF(Result_notebook_retravaill!I551+Result_notebook_retravaill!J551&gt;Result_notebook_retravaill!G551,Result_notebook_retravaill!G551-Result_notebook_retravaill!I551,Result_notebook_retravaill!J551))</f>
        <v>0</v>
      </c>
      <c r="L551" s="32">
        <f>IF(Result_notebook_retravaill!I551&gt;Result_notebook_retravaill!G551,0,IF(Result_notebook_retravaill!I551+Result_notebook_retravaill!J551&gt;Result_notebook_retravaill!G551,0,Result_notebook_retravaill!M551))</f>
        <v>29367.15886676954</v>
      </c>
      <c r="M551" s="31">
        <f t="shared" si="8"/>
        <v>0</v>
      </c>
    </row>
    <row r="552" spans="1:13" x14ac:dyDescent="0.35">
      <c r="A552">
        <f>Result_notebook_retravaill!A552</f>
        <v>2031</v>
      </c>
      <c r="B552" t="str">
        <f>Result_notebook_retravaill!B552</f>
        <v>Cobalt</v>
      </c>
      <c r="C552" t="str">
        <f>Result_notebook_retravaill!C552</f>
        <v>Global Net-zero</v>
      </c>
      <c r="D552" t="str">
        <f>Result_notebook_retravaill!D552</f>
        <v>Existing production</v>
      </c>
      <c r="E552" t="str">
        <f>Result_notebook_retravaill!E552</f>
        <v>Current shares</v>
      </c>
      <c r="F552" t="str">
        <f>Result_notebook_retravaill!F552</f>
        <v>NIMBY</v>
      </c>
      <c r="G552">
        <f>Result_notebook_retravaill!G552</f>
        <v>70618.965487702415</v>
      </c>
      <c r="H552" s="32">
        <f>IF(Result_notebook_retravaill!I552&gt;Result_notebook_retravaill!G552,Result_notebook_retravaill!I552/Result_notebook_retravaill!N552,Result_notebook_retravaill!H552)</f>
        <v>0</v>
      </c>
      <c r="I552" s="32">
        <f>Result_notebook_retravaill!K552</f>
        <v>160497.64883568729</v>
      </c>
      <c r="J552" s="32">
        <f>MIN(G552,Result_notebook_retravaill!I552)</f>
        <v>0</v>
      </c>
      <c r="K552" s="32">
        <f>IF(Result_notebook_retravaill!I552&gt;Result_notebook_retravaill!G552,0,IF(Result_notebook_retravaill!I552+Result_notebook_retravaill!J552&gt;Result_notebook_retravaill!G552,Result_notebook_retravaill!G552-Result_notebook_retravaill!I552,Result_notebook_retravaill!J552))</f>
        <v>0</v>
      </c>
      <c r="L552" s="32">
        <f>IF(Result_notebook_retravaill!I552&gt;Result_notebook_retravaill!G552,0,IF(Result_notebook_retravaill!I552+Result_notebook_retravaill!J552&gt;Result_notebook_retravaill!G552,0,Result_notebook_retravaill!M552))</f>
        <v>70618.965487702415</v>
      </c>
      <c r="M552" s="31">
        <f t="shared" si="8"/>
        <v>0</v>
      </c>
    </row>
    <row r="553" spans="1:13" x14ac:dyDescent="0.35">
      <c r="A553">
        <f>Result_notebook_retravaill!A553</f>
        <v>2031</v>
      </c>
      <c r="B553" t="str">
        <f>Result_notebook_retravaill!B553</f>
        <v>Cobalt</v>
      </c>
      <c r="C553" t="str">
        <f>Result_notebook_retravaill!C553</f>
        <v>Global Net-zero</v>
      </c>
      <c r="D553" t="str">
        <f>Result_notebook_retravaill!D553</f>
        <v>Existing production</v>
      </c>
      <c r="E553" t="str">
        <f>Result_notebook_retravaill!E553</f>
        <v>Current shares</v>
      </c>
      <c r="F553" t="str">
        <f>Result_notebook_retravaill!F553</f>
        <v>Status Quo</v>
      </c>
      <c r="G553">
        <f>Result_notebook_retravaill!G553</f>
        <v>70618.965487702415</v>
      </c>
      <c r="H553" s="32">
        <f>IF(Result_notebook_retravaill!I553&gt;Result_notebook_retravaill!G553,Result_notebook_retravaill!I553/Result_notebook_retravaill!N553,Result_notebook_retravaill!H553)</f>
        <v>3707</v>
      </c>
      <c r="I553" s="32">
        <f>Result_notebook_retravaill!K553</f>
        <v>156790.64883568729</v>
      </c>
      <c r="J553" s="32">
        <f>MIN(G553,Result_notebook_retravaill!I553)</f>
        <v>1572.4420377809411</v>
      </c>
      <c r="K553" s="32">
        <f>IF(Result_notebook_retravaill!I553&gt;Result_notebook_retravaill!G553,0,IF(Result_notebook_retravaill!I553+Result_notebook_retravaill!J553&gt;Result_notebook_retravaill!G553,Result_notebook_retravaill!G553-Result_notebook_retravaill!I553,Result_notebook_retravaill!J553))</f>
        <v>56.215681220686292</v>
      </c>
      <c r="L553" s="32">
        <f>IF(Result_notebook_retravaill!I553&gt;Result_notebook_retravaill!G553,0,IF(Result_notebook_retravaill!I553+Result_notebook_retravaill!J553&gt;Result_notebook_retravaill!G553,0,Result_notebook_retravaill!M553))</f>
        <v>68990.30776870079</v>
      </c>
      <c r="M553" s="31">
        <f t="shared" si="8"/>
        <v>0</v>
      </c>
    </row>
    <row r="554" spans="1:13" x14ac:dyDescent="0.35">
      <c r="A554">
        <f>Result_notebook_retravaill!A554</f>
        <v>2031</v>
      </c>
      <c r="B554" t="str">
        <f>Result_notebook_retravaill!B554</f>
        <v>Cobalt</v>
      </c>
      <c r="C554" t="str">
        <f>Result_notebook_retravaill!C554</f>
        <v>Global Net-zero</v>
      </c>
      <c r="D554" t="str">
        <f>Result_notebook_retravaill!D554</f>
        <v>Production potential</v>
      </c>
      <c r="E554" t="str">
        <f>Result_notebook_retravaill!E554</f>
        <v>Current shares</v>
      </c>
      <c r="F554" t="str">
        <f>Result_notebook_retravaill!F554</f>
        <v>Expansion Extractive</v>
      </c>
      <c r="G554">
        <f>Result_notebook_retravaill!G554</f>
        <v>70618.965487702415</v>
      </c>
      <c r="H554" s="32">
        <f>IF(Result_notebook_retravaill!I554&gt;Result_notebook_retravaill!G554,Result_notebook_retravaill!I554/Result_notebook_retravaill!N554,Result_notebook_retravaill!H554)</f>
        <v>8876.0777297221903</v>
      </c>
      <c r="I554" s="32">
        <f>Result_notebook_retravaill!K554</f>
        <v>151621.57110596509</v>
      </c>
      <c r="J554" s="32">
        <f>MIN(G554,Result_notebook_retravaill!I554)</f>
        <v>3765.070880179765</v>
      </c>
      <c r="K554" s="32">
        <f>IF(Result_notebook_retravaill!I554&gt;Result_notebook_retravaill!G554,0,IF(Result_notebook_retravaill!I554+Result_notebook_retravaill!J554&gt;Result_notebook_retravaill!G554,Result_notebook_retravaill!G554-Result_notebook_retravaill!I554,Result_notebook_retravaill!J554))</f>
        <v>134.60338714434783</v>
      </c>
      <c r="L554" s="32">
        <f>IF(Result_notebook_retravaill!I554&gt;Result_notebook_retravaill!G554,0,IF(Result_notebook_retravaill!I554+Result_notebook_retravaill!J554&gt;Result_notebook_retravaill!G554,0,Result_notebook_retravaill!M554))</f>
        <v>66719.291220378305</v>
      </c>
      <c r="M554" s="31">
        <f t="shared" si="8"/>
        <v>0</v>
      </c>
    </row>
    <row r="555" spans="1:13" x14ac:dyDescent="0.35">
      <c r="A555">
        <f>Result_notebook_retravaill!A555</f>
        <v>2031</v>
      </c>
      <c r="B555" t="str">
        <f>Result_notebook_retravaill!B555</f>
        <v>Cobalt</v>
      </c>
      <c r="C555" t="str">
        <f>Result_notebook_retravaill!C555</f>
        <v>Global Net-zero</v>
      </c>
      <c r="D555" t="str">
        <f>Result_notebook_retravaill!D555</f>
        <v>Production potential</v>
      </c>
      <c r="E555" t="str">
        <f>Result_notebook_retravaill!E555</f>
        <v>Current shares</v>
      </c>
      <c r="F555" t="str">
        <f>Result_notebook_retravaill!F555</f>
        <v>Expansion Extractive+Circularity</v>
      </c>
      <c r="G555">
        <f>Result_notebook_retravaill!G555</f>
        <v>70618.965487702415</v>
      </c>
      <c r="H555" s="32">
        <f>IF(Result_notebook_retravaill!I555&gt;Result_notebook_retravaill!G555,Result_notebook_retravaill!I555/Result_notebook_retravaill!N555,Result_notebook_retravaill!H555)</f>
        <v>8876.0777297221903</v>
      </c>
      <c r="I555" s="32">
        <f>Result_notebook_retravaill!K555</f>
        <v>151621.57110596509</v>
      </c>
      <c r="J555" s="32">
        <f>MIN(G555,Result_notebook_retravaill!I555)</f>
        <v>3765.070880179765</v>
      </c>
      <c r="K555" s="32">
        <f>IF(Result_notebook_retravaill!I555&gt;Result_notebook_retravaill!G555,0,IF(Result_notebook_retravaill!I555+Result_notebook_retravaill!J555&gt;Result_notebook_retravaill!G555,Result_notebook_retravaill!G555-Result_notebook_retravaill!I555,Result_notebook_retravaill!J555))</f>
        <v>134.60338714434783</v>
      </c>
      <c r="L555" s="32">
        <f>IF(Result_notebook_retravaill!I555&gt;Result_notebook_retravaill!G555,0,IF(Result_notebook_retravaill!I555+Result_notebook_retravaill!J555&gt;Result_notebook_retravaill!G555,0,Result_notebook_retravaill!M555))</f>
        <v>66719.291220378305</v>
      </c>
      <c r="M555" s="31">
        <f t="shared" si="8"/>
        <v>0</v>
      </c>
    </row>
    <row r="556" spans="1:13" x14ac:dyDescent="0.35">
      <c r="A556">
        <f>Result_notebook_retravaill!A556</f>
        <v>2031</v>
      </c>
      <c r="B556" t="str">
        <f>Result_notebook_retravaill!B556</f>
        <v>Cobalt</v>
      </c>
      <c r="C556" t="str">
        <f>Result_notebook_retravaill!C556</f>
        <v>Global Net-zero</v>
      </c>
      <c r="D556" t="str">
        <f>Result_notebook_retravaill!D556</f>
        <v>Production potential</v>
      </c>
      <c r="E556" t="str">
        <f>Result_notebook_retravaill!E556</f>
        <v>100% CAN</v>
      </c>
      <c r="F556" t="str">
        <f>Result_notebook_retravaill!F556</f>
        <v>Integrated</v>
      </c>
      <c r="G556">
        <f>Result_notebook_retravaill!G556</f>
        <v>70618.965487702415</v>
      </c>
      <c r="H556" s="32">
        <f>IF(Result_notebook_retravaill!I556&gt;Result_notebook_retravaill!G556,Result_notebook_retravaill!I556/Result_notebook_retravaill!N556,Result_notebook_retravaill!H556)</f>
        <v>8876.0777297221903</v>
      </c>
      <c r="I556" s="32">
        <f>Result_notebook_retravaill!K556</f>
        <v>151621.57110596509</v>
      </c>
      <c r="J556" s="32">
        <f>MIN(G556,Result_notebook_retravaill!I556)</f>
        <v>3899.674267324116</v>
      </c>
      <c r="K556" s="32">
        <f>IF(Result_notebook_retravaill!I556&gt;Result_notebook_retravaill!G556,0,IF(Result_notebook_retravaill!I556+Result_notebook_retravaill!J556&gt;Result_notebook_retravaill!G556,Result_notebook_retravaill!G556-Result_notebook_retravaill!I556,Result_notebook_retravaill!J556))</f>
        <v>0</v>
      </c>
      <c r="L556" s="32">
        <f>IF(Result_notebook_retravaill!I556&gt;Result_notebook_retravaill!G556,0,IF(Result_notebook_retravaill!I556+Result_notebook_retravaill!J556&gt;Result_notebook_retravaill!G556,0,Result_notebook_retravaill!M556))</f>
        <v>66719.291220378305</v>
      </c>
      <c r="M556" s="31">
        <f t="shared" si="8"/>
        <v>0</v>
      </c>
    </row>
    <row r="557" spans="1:13" x14ac:dyDescent="0.35">
      <c r="A557">
        <f>Result_notebook_retravaill!A557</f>
        <v>2031</v>
      </c>
      <c r="B557" t="str">
        <f>Result_notebook_retravaill!B557</f>
        <v>Copper</v>
      </c>
      <c r="C557" t="str">
        <f>Result_notebook_retravaill!C557</f>
        <v>Canada Net-zero</v>
      </c>
      <c r="D557" t="str">
        <f>Result_notebook_retravaill!D557</f>
        <v>Existing production</v>
      </c>
      <c r="E557" t="str">
        <f>Result_notebook_retravaill!E557</f>
        <v>Current shares</v>
      </c>
      <c r="F557" t="str">
        <f>Result_notebook_retravaill!F557</f>
        <v>NIMBY</v>
      </c>
      <c r="G557">
        <f>Result_notebook_retravaill!G557</f>
        <v>1075624.1200135939</v>
      </c>
      <c r="H557" s="32">
        <f>IF(Result_notebook_retravaill!I557&gt;Result_notebook_retravaill!G557,Result_notebook_retravaill!I557/Result_notebook_retravaill!N557,Result_notebook_retravaill!H557)</f>
        <v>0</v>
      </c>
      <c r="I557" s="32">
        <f>Result_notebook_retravaill!K557</f>
        <v>1295932.674715173</v>
      </c>
      <c r="J557" s="32">
        <f>MIN(G557,Result_notebook_retravaill!I557)</f>
        <v>0</v>
      </c>
      <c r="K557" s="32">
        <f>IF(Result_notebook_retravaill!I557&gt;Result_notebook_retravaill!G557,0,IF(Result_notebook_retravaill!I557+Result_notebook_retravaill!J557&gt;Result_notebook_retravaill!G557,Result_notebook_retravaill!G557-Result_notebook_retravaill!I557,Result_notebook_retravaill!J557))</f>
        <v>0</v>
      </c>
      <c r="L557" s="32">
        <f>IF(Result_notebook_retravaill!I557&gt;Result_notebook_retravaill!G557,0,IF(Result_notebook_retravaill!I557+Result_notebook_retravaill!J557&gt;Result_notebook_retravaill!G557,0,Result_notebook_retravaill!M557))</f>
        <v>1075624.1200135939</v>
      </c>
      <c r="M557" s="31">
        <f t="shared" si="8"/>
        <v>0</v>
      </c>
    </row>
    <row r="558" spans="1:13" x14ac:dyDescent="0.35">
      <c r="A558">
        <f>Result_notebook_retravaill!A558</f>
        <v>2031</v>
      </c>
      <c r="B558" t="str">
        <f>Result_notebook_retravaill!B558</f>
        <v>Copper</v>
      </c>
      <c r="C558" t="str">
        <f>Result_notebook_retravaill!C558</f>
        <v>Canada Net-zero</v>
      </c>
      <c r="D558" t="str">
        <f>Result_notebook_retravaill!D558</f>
        <v>Existing production</v>
      </c>
      <c r="E558" t="str">
        <f>Result_notebook_retravaill!E558</f>
        <v>Current shares</v>
      </c>
      <c r="F558" t="str">
        <f>Result_notebook_retravaill!F558</f>
        <v>Status Quo</v>
      </c>
      <c r="G558">
        <f>Result_notebook_retravaill!G558</f>
        <v>1075624.1200135939</v>
      </c>
      <c r="H558" s="32">
        <f>IF(Result_notebook_retravaill!I558&gt;Result_notebook_retravaill!G558,Result_notebook_retravaill!I558/Result_notebook_retravaill!N558,Result_notebook_retravaill!H558)</f>
        <v>311145</v>
      </c>
      <c r="I558" s="32">
        <f>Result_notebook_retravaill!K558</f>
        <v>984787.67471517343</v>
      </c>
      <c r="J558" s="32">
        <f>MIN(G558,Result_notebook_retravaill!I558)</f>
        <v>163540.51506665381</v>
      </c>
      <c r="K558" s="32">
        <f>IF(Result_notebook_retravaill!I558&gt;Result_notebook_retravaill!G558,0,IF(Result_notebook_retravaill!I558+Result_notebook_retravaill!J558&gt;Result_notebook_retravaill!G558,Result_notebook_retravaill!G558-Result_notebook_retravaill!I558,Result_notebook_retravaill!J558))</f>
        <v>96186.455272329098</v>
      </c>
      <c r="L558" s="32">
        <f>IF(Result_notebook_retravaill!I558&gt;Result_notebook_retravaill!G558,0,IF(Result_notebook_retravaill!I558+Result_notebook_retravaill!J558&gt;Result_notebook_retravaill!G558,0,Result_notebook_retravaill!M558))</f>
        <v>815897.14967461093</v>
      </c>
      <c r="M558" s="31">
        <f t="shared" si="8"/>
        <v>0</v>
      </c>
    </row>
    <row r="559" spans="1:13" x14ac:dyDescent="0.35">
      <c r="A559">
        <f>Result_notebook_retravaill!A559</f>
        <v>2031</v>
      </c>
      <c r="B559" t="str">
        <f>Result_notebook_retravaill!B559</f>
        <v>Copper</v>
      </c>
      <c r="C559" t="str">
        <f>Result_notebook_retravaill!C559</f>
        <v>Canada Net-zero</v>
      </c>
      <c r="D559" t="str">
        <f>Result_notebook_retravaill!D559</f>
        <v>Production potential</v>
      </c>
      <c r="E559" t="str">
        <f>Result_notebook_retravaill!E559</f>
        <v>Current shares</v>
      </c>
      <c r="F559" t="str">
        <f>Result_notebook_retravaill!F559</f>
        <v>Expansion Extractive</v>
      </c>
      <c r="G559">
        <f>Result_notebook_retravaill!G559</f>
        <v>1075624.1200135939</v>
      </c>
      <c r="H559" s="32">
        <f>IF(Result_notebook_retravaill!I559&gt;Result_notebook_retravaill!G559,Result_notebook_retravaill!I559/Result_notebook_retravaill!N559,Result_notebook_retravaill!H559)</f>
        <v>721363.36247679312</v>
      </c>
      <c r="I559" s="32">
        <f>Result_notebook_retravaill!K559</f>
        <v>574569.31223838031</v>
      </c>
      <c r="J559" s="32">
        <f>MIN(G559,Result_notebook_retravaill!I559)</f>
        <v>379154.85014918452</v>
      </c>
      <c r="K559" s="32">
        <f>IF(Result_notebook_retravaill!I559&gt;Result_notebook_retravaill!G559,0,IF(Result_notebook_retravaill!I559+Result_notebook_retravaill!J559&gt;Result_notebook_retravaill!G559,Result_notebook_retravaill!G559-Result_notebook_retravaill!I559,Result_notebook_retravaill!J559))</f>
        <v>223000.16005390097</v>
      </c>
      <c r="L559" s="32">
        <f>IF(Result_notebook_retravaill!I559&gt;Result_notebook_retravaill!G559,0,IF(Result_notebook_retravaill!I559+Result_notebook_retravaill!J559&gt;Result_notebook_retravaill!G559,0,Result_notebook_retravaill!M559))</f>
        <v>473469.1098105085</v>
      </c>
      <c r="M559" s="31">
        <f t="shared" si="8"/>
        <v>0</v>
      </c>
    </row>
    <row r="560" spans="1:13" x14ac:dyDescent="0.35">
      <c r="A560">
        <f>Result_notebook_retravaill!A560</f>
        <v>2031</v>
      </c>
      <c r="B560" t="str">
        <f>Result_notebook_retravaill!B560</f>
        <v>Copper</v>
      </c>
      <c r="C560" t="str">
        <f>Result_notebook_retravaill!C560</f>
        <v>Canada Net-zero</v>
      </c>
      <c r="D560" t="str">
        <f>Result_notebook_retravaill!D560</f>
        <v>Production potential</v>
      </c>
      <c r="E560" t="str">
        <f>Result_notebook_retravaill!E560</f>
        <v>Current shares</v>
      </c>
      <c r="F560" t="str">
        <f>Result_notebook_retravaill!F560</f>
        <v>Expansion Extractive+Circularity</v>
      </c>
      <c r="G560">
        <f>Result_notebook_retravaill!G560</f>
        <v>1075624.1200135939</v>
      </c>
      <c r="H560" s="32">
        <f>IF(Result_notebook_retravaill!I560&gt;Result_notebook_retravaill!G560,Result_notebook_retravaill!I560/Result_notebook_retravaill!N560,Result_notebook_retravaill!H560)</f>
        <v>721363.36247679312</v>
      </c>
      <c r="I560" s="32">
        <f>Result_notebook_retravaill!K560</f>
        <v>574569.31223838031</v>
      </c>
      <c r="J560" s="32">
        <f>MIN(G560,Result_notebook_retravaill!I560)</f>
        <v>379154.85014918452</v>
      </c>
      <c r="K560" s="32">
        <f>IF(Result_notebook_retravaill!I560&gt;Result_notebook_retravaill!G560,0,IF(Result_notebook_retravaill!I560+Result_notebook_retravaill!J560&gt;Result_notebook_retravaill!G560,Result_notebook_retravaill!G560-Result_notebook_retravaill!I560,Result_notebook_retravaill!J560))</f>
        <v>223000.16005390097</v>
      </c>
      <c r="L560" s="32">
        <f>IF(Result_notebook_retravaill!I560&gt;Result_notebook_retravaill!G560,0,IF(Result_notebook_retravaill!I560+Result_notebook_retravaill!J560&gt;Result_notebook_retravaill!G560,0,Result_notebook_retravaill!M560))</f>
        <v>473469.1098105085</v>
      </c>
      <c r="M560" s="31">
        <f t="shared" si="8"/>
        <v>0</v>
      </c>
    </row>
    <row r="561" spans="1:13" x14ac:dyDescent="0.35">
      <c r="A561">
        <f>Result_notebook_retravaill!A561</f>
        <v>2031</v>
      </c>
      <c r="B561" t="str">
        <f>Result_notebook_retravaill!B561</f>
        <v>Copper</v>
      </c>
      <c r="C561" t="str">
        <f>Result_notebook_retravaill!C561</f>
        <v>Canada Net-zero</v>
      </c>
      <c r="D561" t="str">
        <f>Result_notebook_retravaill!D561</f>
        <v>Production potential</v>
      </c>
      <c r="E561" t="str">
        <f>Result_notebook_retravaill!E561</f>
        <v>100% CAN</v>
      </c>
      <c r="F561" t="str">
        <f>Result_notebook_retravaill!F561</f>
        <v>Integrated</v>
      </c>
      <c r="G561">
        <f>Result_notebook_retravaill!G561</f>
        <v>1075624.1200135939</v>
      </c>
      <c r="H561" s="32">
        <f>IF(Result_notebook_retravaill!I561&gt;Result_notebook_retravaill!G561,Result_notebook_retravaill!I561/Result_notebook_retravaill!N561,Result_notebook_retravaill!H561)</f>
        <v>721363.36247679312</v>
      </c>
      <c r="I561" s="32">
        <f>Result_notebook_retravaill!K561</f>
        <v>574569.31223838031</v>
      </c>
      <c r="J561" s="32">
        <f>MIN(G561,Result_notebook_retravaill!I561)</f>
        <v>602155.01020308572</v>
      </c>
      <c r="K561" s="32">
        <f>IF(Result_notebook_retravaill!I561&gt;Result_notebook_retravaill!G561,0,IF(Result_notebook_retravaill!I561+Result_notebook_retravaill!J561&gt;Result_notebook_retravaill!G561,Result_notebook_retravaill!G561-Result_notebook_retravaill!I561,Result_notebook_retravaill!J561))</f>
        <v>0</v>
      </c>
      <c r="L561" s="32">
        <f>IF(Result_notebook_retravaill!I561&gt;Result_notebook_retravaill!G561,0,IF(Result_notebook_retravaill!I561+Result_notebook_retravaill!J561&gt;Result_notebook_retravaill!G561,0,Result_notebook_retravaill!M561))</f>
        <v>473469.10981050821</v>
      </c>
      <c r="M561" s="31">
        <f t="shared" si="8"/>
        <v>0</v>
      </c>
    </row>
    <row r="562" spans="1:13" x14ac:dyDescent="0.35">
      <c r="A562">
        <f>Result_notebook_retravaill!A562</f>
        <v>2031</v>
      </c>
      <c r="B562" t="str">
        <f>Result_notebook_retravaill!B562</f>
        <v>Copper</v>
      </c>
      <c r="C562" t="str">
        <f>Result_notebook_retravaill!C562</f>
        <v>Current Measures</v>
      </c>
      <c r="D562" t="str">
        <f>Result_notebook_retravaill!D562</f>
        <v>Existing production</v>
      </c>
      <c r="E562" t="str">
        <f>Result_notebook_retravaill!E562</f>
        <v>Current shares</v>
      </c>
      <c r="F562" t="str">
        <f>Result_notebook_retravaill!F562</f>
        <v>NIMBY</v>
      </c>
      <c r="G562">
        <f>Result_notebook_retravaill!G562</f>
        <v>961084.55032117816</v>
      </c>
      <c r="H562" s="32">
        <f>IF(Result_notebook_retravaill!I562&gt;Result_notebook_retravaill!G562,Result_notebook_retravaill!I562/Result_notebook_retravaill!N562,Result_notebook_retravaill!H562)</f>
        <v>0</v>
      </c>
      <c r="I562" s="32">
        <f>Result_notebook_retravaill!K562</f>
        <v>1157933.1931580461</v>
      </c>
      <c r="J562" s="32">
        <f>MIN(G562,Result_notebook_retravaill!I562)</f>
        <v>0</v>
      </c>
      <c r="K562" s="32">
        <f>IF(Result_notebook_retravaill!I562&gt;Result_notebook_retravaill!G562,0,IF(Result_notebook_retravaill!I562+Result_notebook_retravaill!J562&gt;Result_notebook_retravaill!G562,Result_notebook_retravaill!G562-Result_notebook_retravaill!I562,Result_notebook_retravaill!J562))</f>
        <v>0</v>
      </c>
      <c r="L562" s="32">
        <f>IF(Result_notebook_retravaill!I562&gt;Result_notebook_retravaill!G562,0,IF(Result_notebook_retravaill!I562+Result_notebook_retravaill!J562&gt;Result_notebook_retravaill!G562,0,Result_notebook_retravaill!M562))</f>
        <v>961084.55032117816</v>
      </c>
      <c r="M562" s="31">
        <f t="shared" si="8"/>
        <v>0</v>
      </c>
    </row>
    <row r="563" spans="1:13" x14ac:dyDescent="0.35">
      <c r="A563">
        <f>Result_notebook_retravaill!A563</f>
        <v>2031</v>
      </c>
      <c r="B563" t="str">
        <f>Result_notebook_retravaill!B563</f>
        <v>Copper</v>
      </c>
      <c r="C563" t="str">
        <f>Result_notebook_retravaill!C563</f>
        <v>Current Measures</v>
      </c>
      <c r="D563" t="str">
        <f>Result_notebook_retravaill!D563</f>
        <v>Existing production</v>
      </c>
      <c r="E563" t="str">
        <f>Result_notebook_retravaill!E563</f>
        <v>Current shares</v>
      </c>
      <c r="F563" t="str">
        <f>Result_notebook_retravaill!F563</f>
        <v>Status Quo</v>
      </c>
      <c r="G563">
        <f>Result_notebook_retravaill!G563</f>
        <v>961084.55032117816</v>
      </c>
      <c r="H563" s="32">
        <f>IF(Result_notebook_retravaill!I563&gt;Result_notebook_retravaill!G563,Result_notebook_retravaill!I563/Result_notebook_retravaill!N563,Result_notebook_retravaill!H563)</f>
        <v>311145</v>
      </c>
      <c r="I563" s="32">
        <f>Result_notebook_retravaill!K563</f>
        <v>846788.19315804611</v>
      </c>
      <c r="J563" s="32">
        <f>MIN(G563,Result_notebook_retravaill!I563)</f>
        <v>163540.51506665381</v>
      </c>
      <c r="K563" s="32">
        <f>IF(Result_notebook_retravaill!I563&gt;Result_notebook_retravaill!G563,0,IF(Result_notebook_retravaill!I563+Result_notebook_retravaill!J563&gt;Result_notebook_retravaill!G563,Result_notebook_retravaill!G563-Result_notebook_retravaill!I563,Result_notebook_retravaill!J563))</f>
        <v>96186.455272329098</v>
      </c>
      <c r="L563" s="32">
        <f>IF(Result_notebook_retravaill!I563&gt;Result_notebook_retravaill!G563,0,IF(Result_notebook_retravaill!I563+Result_notebook_retravaill!J563&gt;Result_notebook_retravaill!G563,0,Result_notebook_retravaill!M563))</f>
        <v>701357.57998219528</v>
      </c>
      <c r="M563" s="31">
        <f t="shared" si="8"/>
        <v>0</v>
      </c>
    </row>
    <row r="564" spans="1:13" x14ac:dyDescent="0.35">
      <c r="A564">
        <f>Result_notebook_retravaill!A564</f>
        <v>2031</v>
      </c>
      <c r="B564" t="str">
        <f>Result_notebook_retravaill!B564</f>
        <v>Copper</v>
      </c>
      <c r="C564" t="str">
        <f>Result_notebook_retravaill!C564</f>
        <v>Current Measures</v>
      </c>
      <c r="D564" t="str">
        <f>Result_notebook_retravaill!D564</f>
        <v>Production potential</v>
      </c>
      <c r="E564" t="str">
        <f>Result_notebook_retravaill!E564</f>
        <v>Current shares</v>
      </c>
      <c r="F564" t="str">
        <f>Result_notebook_retravaill!F564</f>
        <v>Expansion Extractive</v>
      </c>
      <c r="G564">
        <f>Result_notebook_retravaill!G564</f>
        <v>961084.55032117816</v>
      </c>
      <c r="H564" s="32">
        <f>IF(Result_notebook_retravaill!I564&gt;Result_notebook_retravaill!G564,Result_notebook_retravaill!I564/Result_notebook_retravaill!N564,Result_notebook_retravaill!H564)</f>
        <v>721363.36247679312</v>
      </c>
      <c r="I564" s="32">
        <f>Result_notebook_retravaill!K564</f>
        <v>436569.83068125299</v>
      </c>
      <c r="J564" s="32">
        <f>MIN(G564,Result_notebook_retravaill!I564)</f>
        <v>379154.85014918452</v>
      </c>
      <c r="K564" s="32">
        <f>IF(Result_notebook_retravaill!I564&gt;Result_notebook_retravaill!G564,0,IF(Result_notebook_retravaill!I564+Result_notebook_retravaill!J564&gt;Result_notebook_retravaill!G564,Result_notebook_retravaill!G564-Result_notebook_retravaill!I564,Result_notebook_retravaill!J564))</f>
        <v>223000.16005390097</v>
      </c>
      <c r="L564" s="32">
        <f>IF(Result_notebook_retravaill!I564&gt;Result_notebook_retravaill!G564,0,IF(Result_notebook_retravaill!I564+Result_notebook_retravaill!J564&gt;Result_notebook_retravaill!G564,0,Result_notebook_retravaill!M564))</f>
        <v>358929.54011809261</v>
      </c>
      <c r="M564" s="31">
        <f t="shared" si="8"/>
        <v>0</v>
      </c>
    </row>
    <row r="565" spans="1:13" x14ac:dyDescent="0.35">
      <c r="A565">
        <f>Result_notebook_retravaill!A565</f>
        <v>2031</v>
      </c>
      <c r="B565" t="str">
        <f>Result_notebook_retravaill!B565</f>
        <v>Copper</v>
      </c>
      <c r="C565" t="str">
        <f>Result_notebook_retravaill!C565</f>
        <v>Current Measures</v>
      </c>
      <c r="D565" t="str">
        <f>Result_notebook_retravaill!D565</f>
        <v>Production potential</v>
      </c>
      <c r="E565" t="str">
        <f>Result_notebook_retravaill!E565</f>
        <v>Current shares</v>
      </c>
      <c r="F565" t="str">
        <f>Result_notebook_retravaill!F565</f>
        <v>Expansion Extractive+Circularity</v>
      </c>
      <c r="G565">
        <f>Result_notebook_retravaill!G565</f>
        <v>961084.55032117816</v>
      </c>
      <c r="H565" s="32">
        <f>IF(Result_notebook_retravaill!I565&gt;Result_notebook_retravaill!G565,Result_notebook_retravaill!I565/Result_notebook_retravaill!N565,Result_notebook_retravaill!H565)</f>
        <v>721363.36247679312</v>
      </c>
      <c r="I565" s="32">
        <f>Result_notebook_retravaill!K565</f>
        <v>436569.83068125299</v>
      </c>
      <c r="J565" s="32">
        <f>MIN(G565,Result_notebook_retravaill!I565)</f>
        <v>379154.85014918452</v>
      </c>
      <c r="K565" s="32">
        <f>IF(Result_notebook_retravaill!I565&gt;Result_notebook_retravaill!G565,0,IF(Result_notebook_retravaill!I565+Result_notebook_retravaill!J565&gt;Result_notebook_retravaill!G565,Result_notebook_retravaill!G565-Result_notebook_retravaill!I565,Result_notebook_retravaill!J565))</f>
        <v>223000.16005390097</v>
      </c>
      <c r="L565" s="32">
        <f>IF(Result_notebook_retravaill!I565&gt;Result_notebook_retravaill!G565,0,IF(Result_notebook_retravaill!I565+Result_notebook_retravaill!J565&gt;Result_notebook_retravaill!G565,0,Result_notebook_retravaill!M565))</f>
        <v>358929.54011809261</v>
      </c>
      <c r="M565" s="31">
        <f t="shared" si="8"/>
        <v>0</v>
      </c>
    </row>
    <row r="566" spans="1:13" x14ac:dyDescent="0.35">
      <c r="A566">
        <f>Result_notebook_retravaill!A566</f>
        <v>2031</v>
      </c>
      <c r="B566" t="str">
        <f>Result_notebook_retravaill!B566</f>
        <v>Copper</v>
      </c>
      <c r="C566" t="str">
        <f>Result_notebook_retravaill!C566</f>
        <v>Current Measures</v>
      </c>
      <c r="D566" t="str">
        <f>Result_notebook_retravaill!D566</f>
        <v>Production potential</v>
      </c>
      <c r="E566" t="str">
        <f>Result_notebook_retravaill!E566</f>
        <v>100% CAN</v>
      </c>
      <c r="F566" t="str">
        <f>Result_notebook_retravaill!F566</f>
        <v>Integrated</v>
      </c>
      <c r="G566">
        <f>Result_notebook_retravaill!G566</f>
        <v>961084.55032117816</v>
      </c>
      <c r="H566" s="32">
        <f>IF(Result_notebook_retravaill!I566&gt;Result_notebook_retravaill!G566,Result_notebook_retravaill!I566/Result_notebook_retravaill!N566,Result_notebook_retravaill!H566)</f>
        <v>721363.36247679312</v>
      </c>
      <c r="I566" s="32">
        <f>Result_notebook_retravaill!K566</f>
        <v>436569.83068125299</v>
      </c>
      <c r="J566" s="32">
        <f>MIN(G566,Result_notebook_retravaill!I566)</f>
        <v>602155.01020308572</v>
      </c>
      <c r="K566" s="32">
        <f>IF(Result_notebook_retravaill!I566&gt;Result_notebook_retravaill!G566,0,IF(Result_notebook_retravaill!I566+Result_notebook_retravaill!J566&gt;Result_notebook_retravaill!G566,Result_notebook_retravaill!G566-Result_notebook_retravaill!I566,Result_notebook_retravaill!J566))</f>
        <v>0</v>
      </c>
      <c r="L566" s="32">
        <f>IF(Result_notebook_retravaill!I566&gt;Result_notebook_retravaill!G566,0,IF(Result_notebook_retravaill!I566+Result_notebook_retravaill!J566&gt;Result_notebook_retravaill!G566,0,Result_notebook_retravaill!M566))</f>
        <v>358929.54011809238</v>
      </c>
      <c r="M566" s="31">
        <f t="shared" si="8"/>
        <v>0</v>
      </c>
    </row>
    <row r="567" spans="1:13" x14ac:dyDescent="0.35">
      <c r="A567">
        <f>Result_notebook_retravaill!A567</f>
        <v>2031</v>
      </c>
      <c r="B567" t="str">
        <f>Result_notebook_retravaill!B567</f>
        <v>Copper</v>
      </c>
      <c r="C567" t="str">
        <f>Result_notebook_retravaill!C567</f>
        <v>Global Net-zero</v>
      </c>
      <c r="D567" t="str">
        <f>Result_notebook_retravaill!D567</f>
        <v>Existing production</v>
      </c>
      <c r="E567" t="str">
        <f>Result_notebook_retravaill!E567</f>
        <v>Current shares</v>
      </c>
      <c r="F567" t="str">
        <f>Result_notebook_retravaill!F567</f>
        <v>NIMBY</v>
      </c>
      <c r="G567">
        <f>Result_notebook_retravaill!G567</f>
        <v>1040489.0683717401</v>
      </c>
      <c r="H567" s="32">
        <f>IF(Result_notebook_retravaill!I567&gt;Result_notebook_retravaill!G567,Result_notebook_retravaill!I567/Result_notebook_retravaill!N567,Result_notebook_retravaill!H567)</f>
        <v>0</v>
      </c>
      <c r="I567" s="32">
        <f>Result_notebook_retravaill!K567</f>
        <v>1253601.2871948681</v>
      </c>
      <c r="J567" s="32">
        <f>MIN(G567,Result_notebook_retravaill!I567)</f>
        <v>0</v>
      </c>
      <c r="K567" s="32">
        <f>IF(Result_notebook_retravaill!I567&gt;Result_notebook_retravaill!G567,0,IF(Result_notebook_retravaill!I567+Result_notebook_retravaill!J567&gt;Result_notebook_retravaill!G567,Result_notebook_retravaill!G567-Result_notebook_retravaill!I567,Result_notebook_retravaill!J567))</f>
        <v>0</v>
      </c>
      <c r="L567" s="32">
        <f>IF(Result_notebook_retravaill!I567&gt;Result_notebook_retravaill!G567,0,IF(Result_notebook_retravaill!I567+Result_notebook_retravaill!J567&gt;Result_notebook_retravaill!G567,0,Result_notebook_retravaill!M567))</f>
        <v>1040489.0683717401</v>
      </c>
      <c r="M567" s="31">
        <f t="shared" si="8"/>
        <v>0</v>
      </c>
    </row>
    <row r="568" spans="1:13" x14ac:dyDescent="0.35">
      <c r="A568">
        <f>Result_notebook_retravaill!A568</f>
        <v>2031</v>
      </c>
      <c r="B568" t="str">
        <f>Result_notebook_retravaill!B568</f>
        <v>Copper</v>
      </c>
      <c r="C568" t="str">
        <f>Result_notebook_retravaill!C568</f>
        <v>Global Net-zero</v>
      </c>
      <c r="D568" t="str">
        <f>Result_notebook_retravaill!D568</f>
        <v>Existing production</v>
      </c>
      <c r="E568" t="str">
        <f>Result_notebook_retravaill!E568</f>
        <v>Current shares</v>
      </c>
      <c r="F568" t="str">
        <f>Result_notebook_retravaill!F568</f>
        <v>Status Quo</v>
      </c>
      <c r="G568">
        <f>Result_notebook_retravaill!G568</f>
        <v>1040489.0683717401</v>
      </c>
      <c r="H568" s="32">
        <f>IF(Result_notebook_retravaill!I568&gt;Result_notebook_retravaill!G568,Result_notebook_retravaill!I568/Result_notebook_retravaill!N568,Result_notebook_retravaill!H568)</f>
        <v>311145</v>
      </c>
      <c r="I568" s="32">
        <f>Result_notebook_retravaill!K568</f>
        <v>942456.28719486762</v>
      </c>
      <c r="J568" s="32">
        <f>MIN(G568,Result_notebook_retravaill!I568)</f>
        <v>163540.51506665381</v>
      </c>
      <c r="K568" s="32">
        <f>IF(Result_notebook_retravaill!I568&gt;Result_notebook_retravaill!G568,0,IF(Result_notebook_retravaill!I568+Result_notebook_retravaill!J568&gt;Result_notebook_retravaill!G568,Result_notebook_retravaill!G568-Result_notebook_retravaill!I568,Result_notebook_retravaill!J568))</f>
        <v>96186.455272329098</v>
      </c>
      <c r="L568" s="32">
        <f>IF(Result_notebook_retravaill!I568&gt;Result_notebook_retravaill!G568,0,IF(Result_notebook_retravaill!I568+Result_notebook_retravaill!J568&gt;Result_notebook_retravaill!G568,0,Result_notebook_retravaill!M568))</f>
        <v>780762.09803275717</v>
      </c>
      <c r="M568" s="31">
        <f t="shared" si="8"/>
        <v>0</v>
      </c>
    </row>
    <row r="569" spans="1:13" x14ac:dyDescent="0.35">
      <c r="A569">
        <f>Result_notebook_retravaill!A569</f>
        <v>2031</v>
      </c>
      <c r="B569" t="str">
        <f>Result_notebook_retravaill!B569</f>
        <v>Copper</v>
      </c>
      <c r="C569" t="str">
        <f>Result_notebook_retravaill!C569</f>
        <v>Global Net-zero</v>
      </c>
      <c r="D569" t="str">
        <f>Result_notebook_retravaill!D569</f>
        <v>Production potential</v>
      </c>
      <c r="E569" t="str">
        <f>Result_notebook_retravaill!E569</f>
        <v>Current shares</v>
      </c>
      <c r="F569" t="str">
        <f>Result_notebook_retravaill!F569</f>
        <v>Expansion Extractive</v>
      </c>
      <c r="G569">
        <f>Result_notebook_retravaill!G569</f>
        <v>1040489.0683717401</v>
      </c>
      <c r="H569" s="32">
        <f>IF(Result_notebook_retravaill!I569&gt;Result_notebook_retravaill!G569,Result_notebook_retravaill!I569/Result_notebook_retravaill!N569,Result_notebook_retravaill!H569)</f>
        <v>721363.36247679312</v>
      </c>
      <c r="I569" s="32">
        <f>Result_notebook_retravaill!K569</f>
        <v>532237.9247180745</v>
      </c>
      <c r="J569" s="32">
        <f>MIN(G569,Result_notebook_retravaill!I569)</f>
        <v>379154.85014918452</v>
      </c>
      <c r="K569" s="32">
        <f>IF(Result_notebook_retravaill!I569&gt;Result_notebook_retravaill!G569,0,IF(Result_notebook_retravaill!I569+Result_notebook_retravaill!J569&gt;Result_notebook_retravaill!G569,Result_notebook_retravaill!G569-Result_notebook_retravaill!I569,Result_notebook_retravaill!J569))</f>
        <v>223000.16005390097</v>
      </c>
      <c r="L569" s="32">
        <f>IF(Result_notebook_retravaill!I569&gt;Result_notebook_retravaill!G569,0,IF(Result_notebook_retravaill!I569+Result_notebook_retravaill!J569&gt;Result_notebook_retravaill!G569,0,Result_notebook_retravaill!M569))</f>
        <v>438334.0581686545</v>
      </c>
      <c r="M569" s="31">
        <f t="shared" si="8"/>
        <v>0</v>
      </c>
    </row>
    <row r="570" spans="1:13" x14ac:dyDescent="0.35">
      <c r="A570">
        <f>Result_notebook_retravaill!A570</f>
        <v>2031</v>
      </c>
      <c r="B570" t="str">
        <f>Result_notebook_retravaill!B570</f>
        <v>Copper</v>
      </c>
      <c r="C570" t="str">
        <f>Result_notebook_retravaill!C570</f>
        <v>Global Net-zero</v>
      </c>
      <c r="D570" t="str">
        <f>Result_notebook_retravaill!D570</f>
        <v>Production potential</v>
      </c>
      <c r="E570" t="str">
        <f>Result_notebook_retravaill!E570</f>
        <v>Current shares</v>
      </c>
      <c r="F570" t="str">
        <f>Result_notebook_retravaill!F570</f>
        <v>Expansion Extractive+Circularity</v>
      </c>
      <c r="G570">
        <f>Result_notebook_retravaill!G570</f>
        <v>1040489.0683717401</v>
      </c>
      <c r="H570" s="32">
        <f>IF(Result_notebook_retravaill!I570&gt;Result_notebook_retravaill!G570,Result_notebook_retravaill!I570/Result_notebook_retravaill!N570,Result_notebook_retravaill!H570)</f>
        <v>721363.36247679312</v>
      </c>
      <c r="I570" s="32">
        <f>Result_notebook_retravaill!K570</f>
        <v>532237.9247180745</v>
      </c>
      <c r="J570" s="32">
        <f>MIN(G570,Result_notebook_retravaill!I570)</f>
        <v>379154.85014918452</v>
      </c>
      <c r="K570" s="32">
        <f>IF(Result_notebook_retravaill!I570&gt;Result_notebook_retravaill!G570,0,IF(Result_notebook_retravaill!I570+Result_notebook_retravaill!J570&gt;Result_notebook_retravaill!G570,Result_notebook_retravaill!G570-Result_notebook_retravaill!I570,Result_notebook_retravaill!J570))</f>
        <v>223000.16005390097</v>
      </c>
      <c r="L570" s="32">
        <f>IF(Result_notebook_retravaill!I570&gt;Result_notebook_retravaill!G570,0,IF(Result_notebook_retravaill!I570+Result_notebook_retravaill!J570&gt;Result_notebook_retravaill!G570,0,Result_notebook_retravaill!M570))</f>
        <v>438334.0581686545</v>
      </c>
      <c r="M570" s="31">
        <f t="shared" si="8"/>
        <v>0</v>
      </c>
    </row>
    <row r="571" spans="1:13" x14ac:dyDescent="0.35">
      <c r="A571">
        <f>Result_notebook_retravaill!A571</f>
        <v>2031</v>
      </c>
      <c r="B571" t="str">
        <f>Result_notebook_retravaill!B571</f>
        <v>Copper</v>
      </c>
      <c r="C571" t="str">
        <f>Result_notebook_retravaill!C571</f>
        <v>Global Net-zero</v>
      </c>
      <c r="D571" t="str">
        <f>Result_notebook_retravaill!D571</f>
        <v>Production potential</v>
      </c>
      <c r="E571" t="str">
        <f>Result_notebook_retravaill!E571</f>
        <v>100% CAN</v>
      </c>
      <c r="F571" t="str">
        <f>Result_notebook_retravaill!F571</f>
        <v>Integrated</v>
      </c>
      <c r="G571">
        <f>Result_notebook_retravaill!G571</f>
        <v>1040489.0683717401</v>
      </c>
      <c r="H571" s="32">
        <f>IF(Result_notebook_retravaill!I571&gt;Result_notebook_retravaill!G571,Result_notebook_retravaill!I571/Result_notebook_retravaill!N571,Result_notebook_retravaill!H571)</f>
        <v>721363.36247679312</v>
      </c>
      <c r="I571" s="32">
        <f>Result_notebook_retravaill!K571</f>
        <v>532237.9247180745</v>
      </c>
      <c r="J571" s="32">
        <f>MIN(G571,Result_notebook_retravaill!I571)</f>
        <v>602155.01020308572</v>
      </c>
      <c r="K571" s="32">
        <f>IF(Result_notebook_retravaill!I571&gt;Result_notebook_retravaill!G571,0,IF(Result_notebook_retravaill!I571+Result_notebook_retravaill!J571&gt;Result_notebook_retravaill!G571,Result_notebook_retravaill!G571-Result_notebook_retravaill!I571,Result_notebook_retravaill!J571))</f>
        <v>0</v>
      </c>
      <c r="L571" s="32">
        <f>IF(Result_notebook_retravaill!I571&gt;Result_notebook_retravaill!G571,0,IF(Result_notebook_retravaill!I571+Result_notebook_retravaill!J571&gt;Result_notebook_retravaill!G571,0,Result_notebook_retravaill!M571))</f>
        <v>438334.05816865427</v>
      </c>
      <c r="M571" s="31">
        <f t="shared" si="8"/>
        <v>0</v>
      </c>
    </row>
    <row r="572" spans="1:13" x14ac:dyDescent="0.35">
      <c r="A572">
        <f>Result_notebook_retravaill!A572</f>
        <v>2031</v>
      </c>
      <c r="B572" t="str">
        <f>Result_notebook_retravaill!B572</f>
        <v>Neodymium</v>
      </c>
      <c r="C572" t="str">
        <f>Result_notebook_retravaill!C572</f>
        <v>Canada Net-zero</v>
      </c>
      <c r="D572" t="str">
        <f>Result_notebook_retravaill!D572</f>
        <v>Existing production</v>
      </c>
      <c r="E572" t="str">
        <f>Result_notebook_retravaill!E572</f>
        <v>Current shares</v>
      </c>
      <c r="F572" t="str">
        <f>Result_notebook_retravaill!F572</f>
        <v>NIMBY</v>
      </c>
      <c r="G572">
        <f>Result_notebook_retravaill!G572</f>
        <v>2673.374204195637</v>
      </c>
      <c r="H572" s="32">
        <f>IF(Result_notebook_retravaill!I572&gt;Result_notebook_retravaill!G572,Result_notebook_retravaill!I572/Result_notebook_retravaill!N572,Result_notebook_retravaill!H572)</f>
        <v>0</v>
      </c>
      <c r="I572" s="32">
        <f>Result_notebook_retravaill!K572</f>
        <v>4455.6236736593964</v>
      </c>
      <c r="J572" s="32">
        <f>MIN(G572,Result_notebook_retravaill!I572)</f>
        <v>0</v>
      </c>
      <c r="K572" s="32">
        <f>IF(Result_notebook_retravaill!I572&gt;Result_notebook_retravaill!G572,0,IF(Result_notebook_retravaill!I572+Result_notebook_retravaill!J572&gt;Result_notebook_retravaill!G572,Result_notebook_retravaill!G572-Result_notebook_retravaill!I572,Result_notebook_retravaill!J572))</f>
        <v>0</v>
      </c>
      <c r="L572" s="32">
        <f>IF(Result_notebook_retravaill!I572&gt;Result_notebook_retravaill!G572,0,IF(Result_notebook_retravaill!I572+Result_notebook_retravaill!J572&gt;Result_notebook_retravaill!G572,0,Result_notebook_retravaill!M572))</f>
        <v>2673.374204195637</v>
      </c>
      <c r="M572" s="31">
        <f t="shared" si="8"/>
        <v>0</v>
      </c>
    </row>
    <row r="573" spans="1:13" x14ac:dyDescent="0.35">
      <c r="A573">
        <f>Result_notebook_retravaill!A573</f>
        <v>2031</v>
      </c>
      <c r="B573" t="str">
        <f>Result_notebook_retravaill!B573</f>
        <v>Neodymium</v>
      </c>
      <c r="C573" t="str">
        <f>Result_notebook_retravaill!C573</f>
        <v>Canada Net-zero</v>
      </c>
      <c r="D573" t="str">
        <f>Result_notebook_retravaill!D573</f>
        <v>Existing production</v>
      </c>
      <c r="E573" t="str">
        <f>Result_notebook_retravaill!E573</f>
        <v>Current shares</v>
      </c>
      <c r="F573" t="str">
        <f>Result_notebook_retravaill!F573</f>
        <v>Status Quo</v>
      </c>
      <c r="G573">
        <f>Result_notebook_retravaill!G573</f>
        <v>2673.374204195637</v>
      </c>
      <c r="H573" s="32">
        <f>IF(Result_notebook_retravaill!I573&gt;Result_notebook_retravaill!G573,Result_notebook_retravaill!I573/Result_notebook_retravaill!N573,Result_notebook_retravaill!H573)</f>
        <v>0</v>
      </c>
      <c r="I573" s="32">
        <f>Result_notebook_retravaill!K573</f>
        <v>4455.6236736593964</v>
      </c>
      <c r="J573" s="32">
        <f>MIN(G573,Result_notebook_retravaill!I573)</f>
        <v>0</v>
      </c>
      <c r="K573" s="32">
        <f>IF(Result_notebook_retravaill!I573&gt;Result_notebook_retravaill!G573,0,IF(Result_notebook_retravaill!I573+Result_notebook_retravaill!J573&gt;Result_notebook_retravaill!G573,Result_notebook_retravaill!G573-Result_notebook_retravaill!I573,Result_notebook_retravaill!J573))</f>
        <v>0</v>
      </c>
      <c r="L573" s="32">
        <f>IF(Result_notebook_retravaill!I573&gt;Result_notebook_retravaill!G573,0,IF(Result_notebook_retravaill!I573+Result_notebook_retravaill!J573&gt;Result_notebook_retravaill!G573,0,Result_notebook_retravaill!M573))</f>
        <v>2673.374204195637</v>
      </c>
      <c r="M573" s="31">
        <f t="shared" si="8"/>
        <v>0</v>
      </c>
    </row>
    <row r="574" spans="1:13" x14ac:dyDescent="0.35">
      <c r="A574">
        <f>Result_notebook_retravaill!A574</f>
        <v>2031</v>
      </c>
      <c r="B574" t="str">
        <f>Result_notebook_retravaill!B574</f>
        <v>Neodymium</v>
      </c>
      <c r="C574" t="str">
        <f>Result_notebook_retravaill!C574</f>
        <v>Canada Net-zero</v>
      </c>
      <c r="D574" t="str">
        <f>Result_notebook_retravaill!D574</f>
        <v>Production potential</v>
      </c>
      <c r="E574" t="str">
        <f>Result_notebook_retravaill!E574</f>
        <v>Current shares</v>
      </c>
      <c r="F574" t="str">
        <f>Result_notebook_retravaill!F574</f>
        <v>Expansion Extractive</v>
      </c>
      <c r="G574">
        <f>Result_notebook_retravaill!G574</f>
        <v>2673.374204195637</v>
      </c>
      <c r="H574" s="32">
        <f>IF(Result_notebook_retravaill!I574&gt;Result_notebook_retravaill!G574,Result_notebook_retravaill!I574/Result_notebook_retravaill!N574,Result_notebook_retravaill!H574)</f>
        <v>20.77942225145344</v>
      </c>
      <c r="I574" s="32">
        <f>Result_notebook_retravaill!K574</f>
        <v>4434.8442514079416</v>
      </c>
      <c r="J574" s="32">
        <f>MIN(G574,Result_notebook_retravaill!I574)</f>
        <v>12.437396724835169</v>
      </c>
      <c r="K574" s="32">
        <f>IF(Result_notebook_retravaill!I574&gt;Result_notebook_retravaill!G574,0,IF(Result_notebook_retravaill!I574+Result_notebook_retravaill!J574&gt;Result_notebook_retravaill!G574,Result_notebook_retravaill!G574-Result_notebook_retravaill!I574,Result_notebook_retravaill!J574))</f>
        <v>8.3420255266182703</v>
      </c>
      <c r="L574" s="32">
        <f>IF(Result_notebook_retravaill!I574&gt;Result_notebook_retravaill!G574,0,IF(Result_notebook_retravaill!I574+Result_notebook_retravaill!J574&gt;Result_notebook_retravaill!G574,0,Result_notebook_retravaill!M574))</f>
        <v>2652.5947819441835</v>
      </c>
      <c r="M574" s="31">
        <f t="shared" si="8"/>
        <v>0</v>
      </c>
    </row>
    <row r="575" spans="1:13" x14ac:dyDescent="0.35">
      <c r="A575">
        <f>Result_notebook_retravaill!A575</f>
        <v>2031</v>
      </c>
      <c r="B575" t="str">
        <f>Result_notebook_retravaill!B575</f>
        <v>Neodymium</v>
      </c>
      <c r="C575" t="str">
        <f>Result_notebook_retravaill!C575</f>
        <v>Canada Net-zero</v>
      </c>
      <c r="D575" t="str">
        <f>Result_notebook_retravaill!D575</f>
        <v>Production potential</v>
      </c>
      <c r="E575" t="str">
        <f>Result_notebook_retravaill!E575</f>
        <v>Current shares</v>
      </c>
      <c r="F575" t="str">
        <f>Result_notebook_retravaill!F575</f>
        <v>Expansion Extractive+Circularity</v>
      </c>
      <c r="G575">
        <f>Result_notebook_retravaill!G575</f>
        <v>2673.374204195637</v>
      </c>
      <c r="H575" s="32">
        <f>IF(Result_notebook_retravaill!I575&gt;Result_notebook_retravaill!G575,Result_notebook_retravaill!I575/Result_notebook_retravaill!N575,Result_notebook_retravaill!H575)</f>
        <v>20.77942225145344</v>
      </c>
      <c r="I575" s="32">
        <f>Result_notebook_retravaill!K575</f>
        <v>4434.8442514079416</v>
      </c>
      <c r="J575" s="32">
        <f>MIN(G575,Result_notebook_retravaill!I575)</f>
        <v>12.437396724835169</v>
      </c>
      <c r="K575" s="32">
        <f>IF(Result_notebook_retravaill!I575&gt;Result_notebook_retravaill!G575,0,IF(Result_notebook_retravaill!I575+Result_notebook_retravaill!J575&gt;Result_notebook_retravaill!G575,Result_notebook_retravaill!G575-Result_notebook_retravaill!I575,Result_notebook_retravaill!J575))</f>
        <v>8.3420255266182703</v>
      </c>
      <c r="L575" s="32">
        <f>IF(Result_notebook_retravaill!I575&gt;Result_notebook_retravaill!G575,0,IF(Result_notebook_retravaill!I575+Result_notebook_retravaill!J575&gt;Result_notebook_retravaill!G575,0,Result_notebook_retravaill!M575))</f>
        <v>2652.5947819441835</v>
      </c>
      <c r="M575" s="31">
        <f t="shared" si="8"/>
        <v>0</v>
      </c>
    </row>
    <row r="576" spans="1:13" x14ac:dyDescent="0.35">
      <c r="A576">
        <f>Result_notebook_retravaill!A576</f>
        <v>2031</v>
      </c>
      <c r="B576" t="str">
        <f>Result_notebook_retravaill!B576</f>
        <v>Neodymium</v>
      </c>
      <c r="C576" t="str">
        <f>Result_notebook_retravaill!C576</f>
        <v>Canada Net-zero</v>
      </c>
      <c r="D576" t="str">
        <f>Result_notebook_retravaill!D576</f>
        <v>Production potential</v>
      </c>
      <c r="E576" t="str">
        <f>Result_notebook_retravaill!E576</f>
        <v>100% CAN</v>
      </c>
      <c r="F576" t="str">
        <f>Result_notebook_retravaill!F576</f>
        <v>Integrated</v>
      </c>
      <c r="G576">
        <f>Result_notebook_retravaill!G576</f>
        <v>2673.374204195637</v>
      </c>
      <c r="H576" s="32">
        <f>IF(Result_notebook_retravaill!I576&gt;Result_notebook_retravaill!G576,Result_notebook_retravaill!I576/Result_notebook_retravaill!N576,Result_notebook_retravaill!H576)</f>
        <v>20.77942225145344</v>
      </c>
      <c r="I576" s="32">
        <f>Result_notebook_retravaill!K576</f>
        <v>4434.8442514079416</v>
      </c>
      <c r="J576" s="32">
        <f>MIN(G576,Result_notebook_retravaill!I576)</f>
        <v>12.437396724835169</v>
      </c>
      <c r="K576" s="32">
        <f>IF(Result_notebook_retravaill!I576&gt;Result_notebook_retravaill!G576,0,IF(Result_notebook_retravaill!I576+Result_notebook_retravaill!J576&gt;Result_notebook_retravaill!G576,Result_notebook_retravaill!G576-Result_notebook_retravaill!I576,Result_notebook_retravaill!J576))</f>
        <v>8.3420255266182703</v>
      </c>
      <c r="L576" s="32">
        <f>IF(Result_notebook_retravaill!I576&gt;Result_notebook_retravaill!G576,0,IF(Result_notebook_retravaill!I576+Result_notebook_retravaill!J576&gt;Result_notebook_retravaill!G576,0,Result_notebook_retravaill!M576))</f>
        <v>2652.5947819441835</v>
      </c>
      <c r="M576" s="31">
        <f t="shared" si="8"/>
        <v>0</v>
      </c>
    </row>
    <row r="577" spans="1:13" x14ac:dyDescent="0.35">
      <c r="A577">
        <f>Result_notebook_retravaill!A577</f>
        <v>2031</v>
      </c>
      <c r="B577" t="str">
        <f>Result_notebook_retravaill!B577</f>
        <v>Neodymium</v>
      </c>
      <c r="C577" t="str">
        <f>Result_notebook_retravaill!C577</f>
        <v>Current Measures</v>
      </c>
      <c r="D577" t="str">
        <f>Result_notebook_retravaill!D577</f>
        <v>Existing production</v>
      </c>
      <c r="E577" t="str">
        <f>Result_notebook_retravaill!E577</f>
        <v>Current shares</v>
      </c>
      <c r="F577" t="str">
        <f>Result_notebook_retravaill!F577</f>
        <v>NIMBY</v>
      </c>
      <c r="G577">
        <f>Result_notebook_retravaill!G577</f>
        <v>995.76153396036739</v>
      </c>
      <c r="H577" s="32">
        <f>IF(Result_notebook_retravaill!I577&gt;Result_notebook_retravaill!G577,Result_notebook_retravaill!I577/Result_notebook_retravaill!N577,Result_notebook_retravaill!H577)</f>
        <v>0</v>
      </c>
      <c r="I577" s="32">
        <f>Result_notebook_retravaill!K577</f>
        <v>1659.6025566006119</v>
      </c>
      <c r="J577" s="32">
        <f>MIN(G577,Result_notebook_retravaill!I577)</f>
        <v>0</v>
      </c>
      <c r="K577" s="32">
        <f>IF(Result_notebook_retravaill!I577&gt;Result_notebook_retravaill!G577,0,IF(Result_notebook_retravaill!I577+Result_notebook_retravaill!J577&gt;Result_notebook_retravaill!G577,Result_notebook_retravaill!G577-Result_notebook_retravaill!I577,Result_notebook_retravaill!J577))</f>
        <v>0</v>
      </c>
      <c r="L577" s="32">
        <f>IF(Result_notebook_retravaill!I577&gt;Result_notebook_retravaill!G577,0,IF(Result_notebook_retravaill!I577+Result_notebook_retravaill!J577&gt;Result_notebook_retravaill!G577,0,Result_notebook_retravaill!M577))</f>
        <v>995.76153396036739</v>
      </c>
      <c r="M577" s="31">
        <f t="shared" si="8"/>
        <v>0</v>
      </c>
    </row>
    <row r="578" spans="1:13" x14ac:dyDescent="0.35">
      <c r="A578">
        <f>Result_notebook_retravaill!A578</f>
        <v>2031</v>
      </c>
      <c r="B578" t="str">
        <f>Result_notebook_retravaill!B578</f>
        <v>Neodymium</v>
      </c>
      <c r="C578" t="str">
        <f>Result_notebook_retravaill!C578</f>
        <v>Current Measures</v>
      </c>
      <c r="D578" t="str">
        <f>Result_notebook_retravaill!D578</f>
        <v>Existing production</v>
      </c>
      <c r="E578" t="str">
        <f>Result_notebook_retravaill!E578</f>
        <v>Current shares</v>
      </c>
      <c r="F578" t="str">
        <f>Result_notebook_retravaill!F578</f>
        <v>Status Quo</v>
      </c>
      <c r="G578">
        <f>Result_notebook_retravaill!G578</f>
        <v>995.76153396036739</v>
      </c>
      <c r="H578" s="32">
        <f>IF(Result_notebook_retravaill!I578&gt;Result_notebook_retravaill!G578,Result_notebook_retravaill!I578/Result_notebook_retravaill!N578,Result_notebook_retravaill!H578)</f>
        <v>0</v>
      </c>
      <c r="I578" s="32">
        <f>Result_notebook_retravaill!K578</f>
        <v>1659.6025566006119</v>
      </c>
      <c r="J578" s="32">
        <f>MIN(G578,Result_notebook_retravaill!I578)</f>
        <v>0</v>
      </c>
      <c r="K578" s="32">
        <f>IF(Result_notebook_retravaill!I578&gt;Result_notebook_retravaill!G578,0,IF(Result_notebook_retravaill!I578+Result_notebook_retravaill!J578&gt;Result_notebook_retravaill!G578,Result_notebook_retravaill!G578-Result_notebook_retravaill!I578,Result_notebook_retravaill!J578))</f>
        <v>0</v>
      </c>
      <c r="L578" s="32">
        <f>IF(Result_notebook_retravaill!I578&gt;Result_notebook_retravaill!G578,0,IF(Result_notebook_retravaill!I578+Result_notebook_retravaill!J578&gt;Result_notebook_retravaill!G578,0,Result_notebook_retravaill!M578))</f>
        <v>995.76153396036739</v>
      </c>
      <c r="M578" s="31">
        <f t="shared" si="8"/>
        <v>0</v>
      </c>
    </row>
    <row r="579" spans="1:13" x14ac:dyDescent="0.35">
      <c r="A579">
        <f>Result_notebook_retravaill!A579</f>
        <v>2031</v>
      </c>
      <c r="B579" t="str">
        <f>Result_notebook_retravaill!B579</f>
        <v>Neodymium</v>
      </c>
      <c r="C579" t="str">
        <f>Result_notebook_retravaill!C579</f>
        <v>Current Measures</v>
      </c>
      <c r="D579" t="str">
        <f>Result_notebook_retravaill!D579</f>
        <v>Production potential</v>
      </c>
      <c r="E579" t="str">
        <f>Result_notebook_retravaill!E579</f>
        <v>Current shares</v>
      </c>
      <c r="F579" t="str">
        <f>Result_notebook_retravaill!F579</f>
        <v>Expansion Extractive</v>
      </c>
      <c r="G579">
        <f>Result_notebook_retravaill!G579</f>
        <v>995.76153396036739</v>
      </c>
      <c r="H579" s="32">
        <f>IF(Result_notebook_retravaill!I579&gt;Result_notebook_retravaill!G579,Result_notebook_retravaill!I579/Result_notebook_retravaill!N579,Result_notebook_retravaill!H579)</f>
        <v>20.77942225145344</v>
      </c>
      <c r="I579" s="32">
        <f>Result_notebook_retravaill!K579</f>
        <v>1638.8231343491591</v>
      </c>
      <c r="J579" s="32">
        <f>MIN(G579,Result_notebook_retravaill!I579)</f>
        <v>12.437396724835169</v>
      </c>
      <c r="K579" s="32">
        <f>IF(Result_notebook_retravaill!I579&gt;Result_notebook_retravaill!G579,0,IF(Result_notebook_retravaill!I579+Result_notebook_retravaill!J579&gt;Result_notebook_retravaill!G579,Result_notebook_retravaill!G579-Result_notebook_retravaill!I579,Result_notebook_retravaill!J579))</f>
        <v>8.3420255266182703</v>
      </c>
      <c r="L579" s="32">
        <f>IF(Result_notebook_retravaill!I579&gt;Result_notebook_retravaill!G579,0,IF(Result_notebook_retravaill!I579+Result_notebook_retravaill!J579&gt;Result_notebook_retravaill!G579,0,Result_notebook_retravaill!M579))</f>
        <v>974.98211170891398</v>
      </c>
      <c r="M579" s="31">
        <f t="shared" ref="M579:M642" si="9">SUM(J579:L579)-G579</f>
        <v>0</v>
      </c>
    </row>
    <row r="580" spans="1:13" x14ac:dyDescent="0.35">
      <c r="A580">
        <f>Result_notebook_retravaill!A580</f>
        <v>2031</v>
      </c>
      <c r="B580" t="str">
        <f>Result_notebook_retravaill!B580</f>
        <v>Neodymium</v>
      </c>
      <c r="C580" t="str">
        <f>Result_notebook_retravaill!C580</f>
        <v>Current Measures</v>
      </c>
      <c r="D580" t="str">
        <f>Result_notebook_retravaill!D580</f>
        <v>Production potential</v>
      </c>
      <c r="E580" t="str">
        <f>Result_notebook_retravaill!E580</f>
        <v>Current shares</v>
      </c>
      <c r="F580" t="str">
        <f>Result_notebook_retravaill!F580</f>
        <v>Expansion Extractive+Circularity</v>
      </c>
      <c r="G580">
        <f>Result_notebook_retravaill!G580</f>
        <v>995.76153396036739</v>
      </c>
      <c r="H580" s="32">
        <f>IF(Result_notebook_retravaill!I580&gt;Result_notebook_retravaill!G580,Result_notebook_retravaill!I580/Result_notebook_retravaill!N580,Result_notebook_retravaill!H580)</f>
        <v>20.77942225145344</v>
      </c>
      <c r="I580" s="32">
        <f>Result_notebook_retravaill!K580</f>
        <v>1638.8231343491591</v>
      </c>
      <c r="J580" s="32">
        <f>MIN(G580,Result_notebook_retravaill!I580)</f>
        <v>12.437396724835169</v>
      </c>
      <c r="K580" s="32">
        <f>IF(Result_notebook_retravaill!I580&gt;Result_notebook_retravaill!G580,0,IF(Result_notebook_retravaill!I580+Result_notebook_retravaill!J580&gt;Result_notebook_retravaill!G580,Result_notebook_retravaill!G580-Result_notebook_retravaill!I580,Result_notebook_retravaill!J580))</f>
        <v>8.3420255266182703</v>
      </c>
      <c r="L580" s="32">
        <f>IF(Result_notebook_retravaill!I580&gt;Result_notebook_retravaill!G580,0,IF(Result_notebook_retravaill!I580+Result_notebook_retravaill!J580&gt;Result_notebook_retravaill!G580,0,Result_notebook_retravaill!M580))</f>
        <v>974.98211170891398</v>
      </c>
      <c r="M580" s="31">
        <f t="shared" si="9"/>
        <v>0</v>
      </c>
    </row>
    <row r="581" spans="1:13" x14ac:dyDescent="0.35">
      <c r="A581">
        <f>Result_notebook_retravaill!A581</f>
        <v>2031</v>
      </c>
      <c r="B581" t="str">
        <f>Result_notebook_retravaill!B581</f>
        <v>Neodymium</v>
      </c>
      <c r="C581" t="str">
        <f>Result_notebook_retravaill!C581</f>
        <v>Current Measures</v>
      </c>
      <c r="D581" t="str">
        <f>Result_notebook_retravaill!D581</f>
        <v>Production potential</v>
      </c>
      <c r="E581" t="str">
        <f>Result_notebook_retravaill!E581</f>
        <v>100% CAN</v>
      </c>
      <c r="F581" t="str">
        <f>Result_notebook_retravaill!F581</f>
        <v>Integrated</v>
      </c>
      <c r="G581">
        <f>Result_notebook_retravaill!G581</f>
        <v>995.76153396036739</v>
      </c>
      <c r="H581" s="32">
        <f>IF(Result_notebook_retravaill!I581&gt;Result_notebook_retravaill!G581,Result_notebook_retravaill!I581/Result_notebook_retravaill!N581,Result_notebook_retravaill!H581)</f>
        <v>20.77942225145344</v>
      </c>
      <c r="I581" s="32">
        <f>Result_notebook_retravaill!K581</f>
        <v>1638.8231343491591</v>
      </c>
      <c r="J581" s="32">
        <f>MIN(G581,Result_notebook_retravaill!I581)</f>
        <v>12.437396724835169</v>
      </c>
      <c r="K581" s="32">
        <f>IF(Result_notebook_retravaill!I581&gt;Result_notebook_retravaill!G581,0,IF(Result_notebook_retravaill!I581+Result_notebook_retravaill!J581&gt;Result_notebook_retravaill!G581,Result_notebook_retravaill!G581-Result_notebook_retravaill!I581,Result_notebook_retravaill!J581))</f>
        <v>8.3420255266182703</v>
      </c>
      <c r="L581" s="32">
        <f>IF(Result_notebook_retravaill!I581&gt;Result_notebook_retravaill!G581,0,IF(Result_notebook_retravaill!I581+Result_notebook_retravaill!J581&gt;Result_notebook_retravaill!G581,0,Result_notebook_retravaill!M581))</f>
        <v>974.98211170891398</v>
      </c>
      <c r="M581" s="31">
        <f t="shared" si="9"/>
        <v>0</v>
      </c>
    </row>
    <row r="582" spans="1:13" x14ac:dyDescent="0.35">
      <c r="A582">
        <f>Result_notebook_retravaill!A582</f>
        <v>2031</v>
      </c>
      <c r="B582" t="str">
        <f>Result_notebook_retravaill!B582</f>
        <v>Neodymium</v>
      </c>
      <c r="C582" t="str">
        <f>Result_notebook_retravaill!C582</f>
        <v>Global Net-zero</v>
      </c>
      <c r="D582" t="str">
        <f>Result_notebook_retravaill!D582</f>
        <v>Existing production</v>
      </c>
      <c r="E582" t="str">
        <f>Result_notebook_retravaill!E582</f>
        <v>Current shares</v>
      </c>
      <c r="F582" t="str">
        <f>Result_notebook_retravaill!F582</f>
        <v>NIMBY</v>
      </c>
      <c r="G582">
        <f>Result_notebook_retravaill!G582</f>
        <v>2554.0345257736349</v>
      </c>
      <c r="H582" s="32">
        <f>IF(Result_notebook_retravaill!I582&gt;Result_notebook_retravaill!G582,Result_notebook_retravaill!I582/Result_notebook_retravaill!N582,Result_notebook_retravaill!H582)</f>
        <v>0</v>
      </c>
      <c r="I582" s="32">
        <f>Result_notebook_retravaill!K582</f>
        <v>4256.7242096227246</v>
      </c>
      <c r="J582" s="32">
        <f>MIN(G582,Result_notebook_retravaill!I582)</f>
        <v>0</v>
      </c>
      <c r="K582" s="32">
        <f>IF(Result_notebook_retravaill!I582&gt;Result_notebook_retravaill!G582,0,IF(Result_notebook_retravaill!I582+Result_notebook_retravaill!J582&gt;Result_notebook_retravaill!G582,Result_notebook_retravaill!G582-Result_notebook_retravaill!I582,Result_notebook_retravaill!J582))</f>
        <v>0</v>
      </c>
      <c r="L582" s="32">
        <f>IF(Result_notebook_retravaill!I582&gt;Result_notebook_retravaill!G582,0,IF(Result_notebook_retravaill!I582+Result_notebook_retravaill!J582&gt;Result_notebook_retravaill!G582,0,Result_notebook_retravaill!M582))</f>
        <v>2554.0345257736349</v>
      </c>
      <c r="M582" s="31">
        <f t="shared" si="9"/>
        <v>0</v>
      </c>
    </row>
    <row r="583" spans="1:13" x14ac:dyDescent="0.35">
      <c r="A583">
        <f>Result_notebook_retravaill!A583</f>
        <v>2031</v>
      </c>
      <c r="B583" t="str">
        <f>Result_notebook_retravaill!B583</f>
        <v>Neodymium</v>
      </c>
      <c r="C583" t="str">
        <f>Result_notebook_retravaill!C583</f>
        <v>Global Net-zero</v>
      </c>
      <c r="D583" t="str">
        <f>Result_notebook_retravaill!D583</f>
        <v>Existing production</v>
      </c>
      <c r="E583" t="str">
        <f>Result_notebook_retravaill!E583</f>
        <v>Current shares</v>
      </c>
      <c r="F583" t="str">
        <f>Result_notebook_retravaill!F583</f>
        <v>Status Quo</v>
      </c>
      <c r="G583">
        <f>Result_notebook_retravaill!G583</f>
        <v>2554.0345257736349</v>
      </c>
      <c r="H583" s="32">
        <f>IF(Result_notebook_retravaill!I583&gt;Result_notebook_retravaill!G583,Result_notebook_retravaill!I583/Result_notebook_retravaill!N583,Result_notebook_retravaill!H583)</f>
        <v>0</v>
      </c>
      <c r="I583" s="32">
        <f>Result_notebook_retravaill!K583</f>
        <v>4256.7242096227246</v>
      </c>
      <c r="J583" s="32">
        <f>MIN(G583,Result_notebook_retravaill!I583)</f>
        <v>0</v>
      </c>
      <c r="K583" s="32">
        <f>IF(Result_notebook_retravaill!I583&gt;Result_notebook_retravaill!G583,0,IF(Result_notebook_retravaill!I583+Result_notebook_retravaill!J583&gt;Result_notebook_retravaill!G583,Result_notebook_retravaill!G583-Result_notebook_retravaill!I583,Result_notebook_retravaill!J583))</f>
        <v>0</v>
      </c>
      <c r="L583" s="32">
        <f>IF(Result_notebook_retravaill!I583&gt;Result_notebook_retravaill!G583,0,IF(Result_notebook_retravaill!I583+Result_notebook_retravaill!J583&gt;Result_notebook_retravaill!G583,0,Result_notebook_retravaill!M583))</f>
        <v>2554.0345257736349</v>
      </c>
      <c r="M583" s="31">
        <f t="shared" si="9"/>
        <v>0</v>
      </c>
    </row>
    <row r="584" spans="1:13" x14ac:dyDescent="0.35">
      <c r="A584">
        <f>Result_notebook_retravaill!A584</f>
        <v>2031</v>
      </c>
      <c r="B584" t="str">
        <f>Result_notebook_retravaill!B584</f>
        <v>Neodymium</v>
      </c>
      <c r="C584" t="str">
        <f>Result_notebook_retravaill!C584</f>
        <v>Global Net-zero</v>
      </c>
      <c r="D584" t="str">
        <f>Result_notebook_retravaill!D584</f>
        <v>Production potential</v>
      </c>
      <c r="E584" t="str">
        <f>Result_notebook_retravaill!E584</f>
        <v>Current shares</v>
      </c>
      <c r="F584" t="str">
        <f>Result_notebook_retravaill!F584</f>
        <v>Expansion Extractive</v>
      </c>
      <c r="G584">
        <f>Result_notebook_retravaill!G584</f>
        <v>2554.0345257736349</v>
      </c>
      <c r="H584" s="32">
        <f>IF(Result_notebook_retravaill!I584&gt;Result_notebook_retravaill!G584,Result_notebook_retravaill!I584/Result_notebook_retravaill!N584,Result_notebook_retravaill!H584)</f>
        <v>20.77942225145344</v>
      </c>
      <c r="I584" s="32">
        <f>Result_notebook_retravaill!K584</f>
        <v>4235.9447873712716</v>
      </c>
      <c r="J584" s="32">
        <f>MIN(G584,Result_notebook_retravaill!I584)</f>
        <v>12.437396724835169</v>
      </c>
      <c r="K584" s="32">
        <f>IF(Result_notebook_retravaill!I584&gt;Result_notebook_retravaill!G584,0,IF(Result_notebook_retravaill!I584+Result_notebook_retravaill!J584&gt;Result_notebook_retravaill!G584,Result_notebook_retravaill!G584-Result_notebook_retravaill!I584,Result_notebook_retravaill!J584))</f>
        <v>8.3420255266182703</v>
      </c>
      <c r="L584" s="32">
        <f>IF(Result_notebook_retravaill!I584&gt;Result_notebook_retravaill!G584,0,IF(Result_notebook_retravaill!I584+Result_notebook_retravaill!J584&gt;Result_notebook_retravaill!G584,0,Result_notebook_retravaill!M584))</f>
        <v>2533.2551035221818</v>
      </c>
      <c r="M584" s="31">
        <f t="shared" si="9"/>
        <v>0</v>
      </c>
    </row>
    <row r="585" spans="1:13" x14ac:dyDescent="0.35">
      <c r="A585">
        <f>Result_notebook_retravaill!A585</f>
        <v>2031</v>
      </c>
      <c r="B585" t="str">
        <f>Result_notebook_retravaill!B585</f>
        <v>Neodymium</v>
      </c>
      <c r="C585" t="str">
        <f>Result_notebook_retravaill!C585</f>
        <v>Global Net-zero</v>
      </c>
      <c r="D585" t="str">
        <f>Result_notebook_retravaill!D585</f>
        <v>Production potential</v>
      </c>
      <c r="E585" t="str">
        <f>Result_notebook_retravaill!E585</f>
        <v>Current shares</v>
      </c>
      <c r="F585" t="str">
        <f>Result_notebook_retravaill!F585</f>
        <v>Expansion Extractive+Circularity</v>
      </c>
      <c r="G585">
        <f>Result_notebook_retravaill!G585</f>
        <v>2554.0345257736349</v>
      </c>
      <c r="H585" s="32">
        <f>IF(Result_notebook_retravaill!I585&gt;Result_notebook_retravaill!G585,Result_notebook_retravaill!I585/Result_notebook_retravaill!N585,Result_notebook_retravaill!H585)</f>
        <v>20.77942225145344</v>
      </c>
      <c r="I585" s="32">
        <f>Result_notebook_retravaill!K585</f>
        <v>4235.9447873712716</v>
      </c>
      <c r="J585" s="32">
        <f>MIN(G585,Result_notebook_retravaill!I585)</f>
        <v>12.437396724835169</v>
      </c>
      <c r="K585" s="32">
        <f>IF(Result_notebook_retravaill!I585&gt;Result_notebook_retravaill!G585,0,IF(Result_notebook_retravaill!I585+Result_notebook_retravaill!J585&gt;Result_notebook_retravaill!G585,Result_notebook_retravaill!G585-Result_notebook_retravaill!I585,Result_notebook_retravaill!J585))</f>
        <v>8.3420255266182703</v>
      </c>
      <c r="L585" s="32">
        <f>IF(Result_notebook_retravaill!I585&gt;Result_notebook_retravaill!G585,0,IF(Result_notebook_retravaill!I585+Result_notebook_retravaill!J585&gt;Result_notebook_retravaill!G585,0,Result_notebook_retravaill!M585))</f>
        <v>2533.2551035221818</v>
      </c>
      <c r="M585" s="31">
        <f t="shared" si="9"/>
        <v>0</v>
      </c>
    </row>
    <row r="586" spans="1:13" x14ac:dyDescent="0.35">
      <c r="A586">
        <f>Result_notebook_retravaill!A586</f>
        <v>2031</v>
      </c>
      <c r="B586" t="str">
        <f>Result_notebook_retravaill!B586</f>
        <v>Neodymium</v>
      </c>
      <c r="C586" t="str">
        <f>Result_notebook_retravaill!C586</f>
        <v>Global Net-zero</v>
      </c>
      <c r="D586" t="str">
        <f>Result_notebook_retravaill!D586</f>
        <v>Production potential</v>
      </c>
      <c r="E586" t="str">
        <f>Result_notebook_retravaill!E586</f>
        <v>100% CAN</v>
      </c>
      <c r="F586" t="str">
        <f>Result_notebook_retravaill!F586</f>
        <v>Integrated</v>
      </c>
      <c r="G586">
        <f>Result_notebook_retravaill!G586</f>
        <v>2554.0345257736349</v>
      </c>
      <c r="H586" s="32">
        <f>IF(Result_notebook_retravaill!I586&gt;Result_notebook_retravaill!G586,Result_notebook_retravaill!I586/Result_notebook_retravaill!N586,Result_notebook_retravaill!H586)</f>
        <v>20.77942225145344</v>
      </c>
      <c r="I586" s="32">
        <f>Result_notebook_retravaill!K586</f>
        <v>4235.9447873712716</v>
      </c>
      <c r="J586" s="32">
        <f>MIN(G586,Result_notebook_retravaill!I586)</f>
        <v>12.437396724835169</v>
      </c>
      <c r="K586" s="32">
        <f>IF(Result_notebook_retravaill!I586&gt;Result_notebook_retravaill!G586,0,IF(Result_notebook_retravaill!I586+Result_notebook_retravaill!J586&gt;Result_notebook_retravaill!G586,Result_notebook_retravaill!G586-Result_notebook_retravaill!I586,Result_notebook_retravaill!J586))</f>
        <v>8.3420255266182703</v>
      </c>
      <c r="L586" s="32">
        <f>IF(Result_notebook_retravaill!I586&gt;Result_notebook_retravaill!G586,0,IF(Result_notebook_retravaill!I586+Result_notebook_retravaill!J586&gt;Result_notebook_retravaill!G586,0,Result_notebook_retravaill!M586))</f>
        <v>2533.2551035221818</v>
      </c>
      <c r="M586" s="31">
        <f t="shared" si="9"/>
        <v>0</v>
      </c>
    </row>
    <row r="587" spans="1:13" x14ac:dyDescent="0.35">
      <c r="A587">
        <f>Result_notebook_retravaill!A587</f>
        <v>2031</v>
      </c>
      <c r="B587" t="str">
        <f>Result_notebook_retravaill!B587</f>
        <v>Nickel</v>
      </c>
      <c r="C587" t="str">
        <f>Result_notebook_retravaill!C587</f>
        <v>Canada Net-zero</v>
      </c>
      <c r="D587" t="str">
        <f>Result_notebook_retravaill!D587</f>
        <v>Existing production</v>
      </c>
      <c r="E587" t="str">
        <f>Result_notebook_retravaill!E587</f>
        <v>Current shares</v>
      </c>
      <c r="F587" t="str">
        <f>Result_notebook_retravaill!F587</f>
        <v>NIMBY</v>
      </c>
      <c r="G587">
        <f>Result_notebook_retravaill!G587</f>
        <v>93641.810348820844</v>
      </c>
      <c r="H587" s="32">
        <f>IF(Result_notebook_retravaill!I587&gt;Result_notebook_retravaill!G587,Result_notebook_retravaill!I587/Result_notebook_retravaill!N587,Result_notebook_retravaill!H587)</f>
        <v>0</v>
      </c>
      <c r="I587" s="32">
        <f>Result_notebook_retravaill!K587</f>
        <v>118533.9371504061</v>
      </c>
      <c r="J587" s="32">
        <f>MIN(G587,Result_notebook_retravaill!I587)</f>
        <v>0</v>
      </c>
      <c r="K587" s="32">
        <f>IF(Result_notebook_retravaill!I587&gt;Result_notebook_retravaill!G587,0,IF(Result_notebook_retravaill!I587+Result_notebook_retravaill!J587&gt;Result_notebook_retravaill!G587,Result_notebook_retravaill!G587-Result_notebook_retravaill!I587,Result_notebook_retravaill!J587))</f>
        <v>0</v>
      </c>
      <c r="L587" s="32">
        <f>IF(Result_notebook_retravaill!I587&gt;Result_notebook_retravaill!G587,0,IF(Result_notebook_retravaill!I587+Result_notebook_retravaill!J587&gt;Result_notebook_retravaill!G587,0,Result_notebook_retravaill!M587))</f>
        <v>93641.810348820844</v>
      </c>
      <c r="M587" s="31">
        <f t="shared" si="9"/>
        <v>0</v>
      </c>
    </row>
    <row r="588" spans="1:13" x14ac:dyDescent="0.35">
      <c r="A588">
        <f>Result_notebook_retravaill!A588</f>
        <v>2031</v>
      </c>
      <c r="B588" t="str">
        <f>Result_notebook_retravaill!B588</f>
        <v>Nickel</v>
      </c>
      <c r="C588" t="str">
        <f>Result_notebook_retravaill!C588</f>
        <v>Canada Net-zero</v>
      </c>
      <c r="D588" t="str">
        <f>Result_notebook_retravaill!D588</f>
        <v>Existing production</v>
      </c>
      <c r="E588" t="str">
        <f>Result_notebook_retravaill!E588</f>
        <v>Current shares</v>
      </c>
      <c r="F588" t="str">
        <f>Result_notebook_retravaill!F588</f>
        <v>Status Quo</v>
      </c>
      <c r="G588">
        <f>Result_notebook_retravaill!G588</f>
        <v>93641.810348820844</v>
      </c>
      <c r="H588" s="32">
        <f>IF(Result_notebook_retravaill!I588&gt;Result_notebook_retravaill!G588,Result_notebook_retravaill!I588/Result_notebook_retravaill!N588,Result_notebook_retravaill!H588)</f>
        <v>139278</v>
      </c>
      <c r="I588" s="32">
        <f>Result_notebook_retravaill!K588</f>
        <v>0</v>
      </c>
      <c r="J588" s="32">
        <f>MIN(G588,Result_notebook_retravaill!I588)</f>
        <v>78118.250613288372</v>
      </c>
      <c r="K588" s="32">
        <f>IF(Result_notebook_retravaill!I588&gt;Result_notebook_retravaill!G588,0,IF(Result_notebook_retravaill!I588+Result_notebook_retravaill!J588&gt;Result_notebook_retravaill!G588,Result_notebook_retravaill!G588-Result_notebook_retravaill!I588,Result_notebook_retravaill!J588))</f>
        <v>15523.559735532472</v>
      </c>
      <c r="L588" s="32">
        <f>IF(Result_notebook_retravaill!I588&gt;Result_notebook_retravaill!G588,0,IF(Result_notebook_retravaill!I588+Result_notebook_retravaill!J588&gt;Result_notebook_retravaill!G588,0,Result_notebook_retravaill!M588))</f>
        <v>0</v>
      </c>
      <c r="M588" s="31">
        <f t="shared" si="9"/>
        <v>0</v>
      </c>
    </row>
    <row r="589" spans="1:13" x14ac:dyDescent="0.35">
      <c r="A589">
        <f>Result_notebook_retravaill!A589</f>
        <v>2031</v>
      </c>
      <c r="B589" t="str">
        <f>Result_notebook_retravaill!B589</f>
        <v>Nickel</v>
      </c>
      <c r="C589" t="str">
        <f>Result_notebook_retravaill!C589</f>
        <v>Canada Net-zero</v>
      </c>
      <c r="D589" t="str">
        <f>Result_notebook_retravaill!D589</f>
        <v>Production potential</v>
      </c>
      <c r="E589" t="str">
        <f>Result_notebook_retravaill!E589</f>
        <v>Current shares</v>
      </c>
      <c r="F589" t="str">
        <f>Result_notebook_retravaill!F589</f>
        <v>Expansion Extractive</v>
      </c>
      <c r="G589">
        <f>Result_notebook_retravaill!G589</f>
        <v>93641.810348820844</v>
      </c>
      <c r="H589" s="32">
        <f>IF(Result_notebook_retravaill!I589&gt;Result_notebook_retravaill!G589,Result_notebook_retravaill!I589/Result_notebook_retravaill!N589,Result_notebook_retravaill!H589)</f>
        <v>154668.88303689443</v>
      </c>
      <c r="I589" s="32">
        <f>Result_notebook_retravaill!K589</f>
        <v>0</v>
      </c>
      <c r="J589" s="32">
        <f>MIN(G589,Result_notebook_retravaill!I589)</f>
        <v>93641.810348820844</v>
      </c>
      <c r="K589" s="32">
        <f>IF(Result_notebook_retravaill!I589&gt;Result_notebook_retravaill!G589,0,IF(Result_notebook_retravaill!I589+Result_notebook_retravaill!J589&gt;Result_notebook_retravaill!G589,Result_notebook_retravaill!G589-Result_notebook_retravaill!I589,Result_notebook_retravaill!J589))</f>
        <v>0</v>
      </c>
      <c r="L589" s="32">
        <f>IF(Result_notebook_retravaill!I589&gt;Result_notebook_retravaill!G589,0,IF(Result_notebook_retravaill!I589+Result_notebook_retravaill!J589&gt;Result_notebook_retravaill!G589,0,Result_notebook_retravaill!M589))</f>
        <v>0</v>
      </c>
      <c r="M589" s="31">
        <f t="shared" si="9"/>
        <v>0</v>
      </c>
    </row>
    <row r="590" spans="1:13" x14ac:dyDescent="0.35">
      <c r="A590">
        <f>Result_notebook_retravaill!A590</f>
        <v>2031</v>
      </c>
      <c r="B590" t="str">
        <f>Result_notebook_retravaill!B590</f>
        <v>Nickel</v>
      </c>
      <c r="C590" t="str">
        <f>Result_notebook_retravaill!C590</f>
        <v>Canada Net-zero</v>
      </c>
      <c r="D590" t="str">
        <f>Result_notebook_retravaill!D590</f>
        <v>Production potential</v>
      </c>
      <c r="E590" t="str">
        <f>Result_notebook_retravaill!E590</f>
        <v>Current shares</v>
      </c>
      <c r="F590" t="str">
        <f>Result_notebook_retravaill!F590</f>
        <v>Expansion Extractive+Circularity</v>
      </c>
      <c r="G590">
        <f>Result_notebook_retravaill!G590</f>
        <v>93641.810348820844</v>
      </c>
      <c r="H590" s="32">
        <f>IF(Result_notebook_retravaill!I590&gt;Result_notebook_retravaill!G590,Result_notebook_retravaill!I590/Result_notebook_retravaill!N590,Result_notebook_retravaill!H590)</f>
        <v>154668.88303689443</v>
      </c>
      <c r="I590" s="32">
        <f>Result_notebook_retravaill!K590</f>
        <v>0</v>
      </c>
      <c r="J590" s="32">
        <f>MIN(G590,Result_notebook_retravaill!I590)</f>
        <v>93641.810348820844</v>
      </c>
      <c r="K590" s="32">
        <f>IF(Result_notebook_retravaill!I590&gt;Result_notebook_retravaill!G590,0,IF(Result_notebook_retravaill!I590+Result_notebook_retravaill!J590&gt;Result_notebook_retravaill!G590,Result_notebook_retravaill!G590-Result_notebook_retravaill!I590,Result_notebook_retravaill!J590))</f>
        <v>0</v>
      </c>
      <c r="L590" s="32">
        <f>IF(Result_notebook_retravaill!I590&gt;Result_notebook_retravaill!G590,0,IF(Result_notebook_retravaill!I590+Result_notebook_retravaill!J590&gt;Result_notebook_retravaill!G590,0,Result_notebook_retravaill!M590))</f>
        <v>0</v>
      </c>
      <c r="M590" s="31">
        <f t="shared" si="9"/>
        <v>0</v>
      </c>
    </row>
    <row r="591" spans="1:13" x14ac:dyDescent="0.35">
      <c r="A591">
        <f>Result_notebook_retravaill!A591</f>
        <v>2031</v>
      </c>
      <c r="B591" t="str">
        <f>Result_notebook_retravaill!B591</f>
        <v>Nickel</v>
      </c>
      <c r="C591" t="str">
        <f>Result_notebook_retravaill!C591</f>
        <v>Canada Net-zero</v>
      </c>
      <c r="D591" t="str">
        <f>Result_notebook_retravaill!D591</f>
        <v>Production potential</v>
      </c>
      <c r="E591" t="str">
        <f>Result_notebook_retravaill!E591</f>
        <v>100% CAN</v>
      </c>
      <c r="F591" t="str">
        <f>Result_notebook_retravaill!F591</f>
        <v>Integrated</v>
      </c>
      <c r="G591">
        <f>Result_notebook_retravaill!G591</f>
        <v>93641.810348820844</v>
      </c>
      <c r="H591" s="32">
        <f>IF(Result_notebook_retravaill!I591&gt;Result_notebook_retravaill!G591,Result_notebook_retravaill!I591/Result_notebook_retravaill!N591,Result_notebook_retravaill!H591)</f>
        <v>217177.0118026369</v>
      </c>
      <c r="I591" s="32">
        <f>Result_notebook_retravaill!K591</f>
        <v>0</v>
      </c>
      <c r="J591" s="32">
        <f>MIN(G591,Result_notebook_retravaill!I591)</f>
        <v>93641.810348820844</v>
      </c>
      <c r="K591" s="32">
        <f>IF(Result_notebook_retravaill!I591&gt;Result_notebook_retravaill!G591,0,IF(Result_notebook_retravaill!I591+Result_notebook_retravaill!J591&gt;Result_notebook_retravaill!G591,Result_notebook_retravaill!G591-Result_notebook_retravaill!I591,Result_notebook_retravaill!J591))</f>
        <v>0</v>
      </c>
      <c r="L591" s="32">
        <f>IF(Result_notebook_retravaill!I591&gt;Result_notebook_retravaill!G591,0,IF(Result_notebook_retravaill!I591+Result_notebook_retravaill!J591&gt;Result_notebook_retravaill!G591,0,Result_notebook_retravaill!M591))</f>
        <v>0</v>
      </c>
      <c r="M591" s="31">
        <f t="shared" si="9"/>
        <v>0</v>
      </c>
    </row>
    <row r="592" spans="1:13" x14ac:dyDescent="0.35">
      <c r="A592">
        <f>Result_notebook_retravaill!A592</f>
        <v>2031</v>
      </c>
      <c r="B592" t="str">
        <f>Result_notebook_retravaill!B592</f>
        <v>Nickel</v>
      </c>
      <c r="C592" t="str">
        <f>Result_notebook_retravaill!C592</f>
        <v>Current Measures</v>
      </c>
      <c r="D592" t="str">
        <f>Result_notebook_retravaill!D592</f>
        <v>Existing production</v>
      </c>
      <c r="E592" t="str">
        <f>Result_notebook_retravaill!E592</f>
        <v>Current shares</v>
      </c>
      <c r="F592" t="str">
        <f>Result_notebook_retravaill!F592</f>
        <v>NIMBY</v>
      </c>
      <c r="G592">
        <f>Result_notebook_retravaill!G592</f>
        <v>45309.507358348303</v>
      </c>
      <c r="H592" s="32">
        <f>IF(Result_notebook_retravaill!I592&gt;Result_notebook_retravaill!G592,Result_notebook_retravaill!I592/Result_notebook_retravaill!N592,Result_notebook_retravaill!H592)</f>
        <v>0</v>
      </c>
      <c r="I592" s="32">
        <f>Result_notebook_retravaill!K592</f>
        <v>57353.806782719374</v>
      </c>
      <c r="J592" s="32">
        <f>MIN(G592,Result_notebook_retravaill!I592)</f>
        <v>0</v>
      </c>
      <c r="K592" s="32">
        <f>IF(Result_notebook_retravaill!I592&gt;Result_notebook_retravaill!G592,0,IF(Result_notebook_retravaill!I592+Result_notebook_retravaill!J592&gt;Result_notebook_retravaill!G592,Result_notebook_retravaill!G592-Result_notebook_retravaill!I592,Result_notebook_retravaill!J592))</f>
        <v>0</v>
      </c>
      <c r="L592" s="32">
        <f>IF(Result_notebook_retravaill!I592&gt;Result_notebook_retravaill!G592,0,IF(Result_notebook_retravaill!I592+Result_notebook_retravaill!J592&gt;Result_notebook_retravaill!G592,0,Result_notebook_retravaill!M592))</f>
        <v>45309.507358348303</v>
      </c>
      <c r="M592" s="31">
        <f t="shared" si="9"/>
        <v>0</v>
      </c>
    </row>
    <row r="593" spans="1:13" x14ac:dyDescent="0.35">
      <c r="A593">
        <f>Result_notebook_retravaill!A593</f>
        <v>2031</v>
      </c>
      <c r="B593" t="str">
        <f>Result_notebook_retravaill!B593</f>
        <v>Nickel</v>
      </c>
      <c r="C593" t="str">
        <f>Result_notebook_retravaill!C593</f>
        <v>Current Measures</v>
      </c>
      <c r="D593" t="str">
        <f>Result_notebook_retravaill!D593</f>
        <v>Existing production</v>
      </c>
      <c r="E593" t="str">
        <f>Result_notebook_retravaill!E593</f>
        <v>Current shares</v>
      </c>
      <c r="F593" t="str">
        <f>Result_notebook_retravaill!F593</f>
        <v>Status Quo</v>
      </c>
      <c r="G593">
        <f>Result_notebook_retravaill!G593</f>
        <v>45309.507358348303</v>
      </c>
      <c r="H593" s="32">
        <f>IF(Result_notebook_retravaill!I593&gt;Result_notebook_retravaill!G593,Result_notebook_retravaill!I593/Result_notebook_retravaill!N593,Result_notebook_retravaill!H593)</f>
        <v>111729.90545638361</v>
      </c>
      <c r="I593" s="32">
        <f>Result_notebook_retravaill!K593</f>
        <v>0</v>
      </c>
      <c r="J593" s="32">
        <f>MIN(G593,Result_notebook_retravaill!I593)</f>
        <v>45309.507358348303</v>
      </c>
      <c r="K593" s="32">
        <f>IF(Result_notebook_retravaill!I593&gt;Result_notebook_retravaill!G593,0,IF(Result_notebook_retravaill!I593+Result_notebook_retravaill!J593&gt;Result_notebook_retravaill!G593,Result_notebook_retravaill!G593-Result_notebook_retravaill!I593,Result_notebook_retravaill!J593))</f>
        <v>0</v>
      </c>
      <c r="L593" s="32">
        <f>IF(Result_notebook_retravaill!I593&gt;Result_notebook_retravaill!G593,0,IF(Result_notebook_retravaill!I593+Result_notebook_retravaill!J593&gt;Result_notebook_retravaill!G593,0,Result_notebook_retravaill!M593))</f>
        <v>0</v>
      </c>
      <c r="M593" s="31">
        <f t="shared" si="9"/>
        <v>0</v>
      </c>
    </row>
    <row r="594" spans="1:13" x14ac:dyDescent="0.35">
      <c r="A594">
        <f>Result_notebook_retravaill!A594</f>
        <v>2031</v>
      </c>
      <c r="B594" t="str">
        <f>Result_notebook_retravaill!B594</f>
        <v>Nickel</v>
      </c>
      <c r="C594" t="str">
        <f>Result_notebook_retravaill!C594</f>
        <v>Current Measures</v>
      </c>
      <c r="D594" t="str">
        <f>Result_notebook_retravaill!D594</f>
        <v>Production potential</v>
      </c>
      <c r="E594" t="str">
        <f>Result_notebook_retravaill!E594</f>
        <v>Current shares</v>
      </c>
      <c r="F594" t="str">
        <f>Result_notebook_retravaill!F594</f>
        <v>Expansion Extractive</v>
      </c>
      <c r="G594">
        <f>Result_notebook_retravaill!G594</f>
        <v>45309.507358348303</v>
      </c>
      <c r="H594" s="32">
        <f>IF(Result_notebook_retravaill!I594&gt;Result_notebook_retravaill!G594,Result_notebook_retravaill!I594/Result_notebook_retravaill!N594,Result_notebook_retravaill!H594)</f>
        <v>154668.88303689443</v>
      </c>
      <c r="I594" s="32">
        <f>Result_notebook_retravaill!K594</f>
        <v>0</v>
      </c>
      <c r="J594" s="32">
        <f>MIN(G594,Result_notebook_retravaill!I594)</f>
        <v>45309.507358348303</v>
      </c>
      <c r="K594" s="32">
        <f>IF(Result_notebook_retravaill!I594&gt;Result_notebook_retravaill!G594,0,IF(Result_notebook_retravaill!I594+Result_notebook_retravaill!J594&gt;Result_notebook_retravaill!G594,Result_notebook_retravaill!G594-Result_notebook_retravaill!I594,Result_notebook_retravaill!J594))</f>
        <v>0</v>
      </c>
      <c r="L594" s="32">
        <f>IF(Result_notebook_retravaill!I594&gt;Result_notebook_retravaill!G594,0,IF(Result_notebook_retravaill!I594+Result_notebook_retravaill!J594&gt;Result_notebook_retravaill!G594,0,Result_notebook_retravaill!M594))</f>
        <v>0</v>
      </c>
      <c r="M594" s="31">
        <f t="shared" si="9"/>
        <v>0</v>
      </c>
    </row>
    <row r="595" spans="1:13" x14ac:dyDescent="0.35">
      <c r="A595">
        <f>Result_notebook_retravaill!A595</f>
        <v>2031</v>
      </c>
      <c r="B595" t="str">
        <f>Result_notebook_retravaill!B595</f>
        <v>Nickel</v>
      </c>
      <c r="C595" t="str">
        <f>Result_notebook_retravaill!C595</f>
        <v>Current Measures</v>
      </c>
      <c r="D595" t="str">
        <f>Result_notebook_retravaill!D595</f>
        <v>Production potential</v>
      </c>
      <c r="E595" t="str">
        <f>Result_notebook_retravaill!E595</f>
        <v>Current shares</v>
      </c>
      <c r="F595" t="str">
        <f>Result_notebook_retravaill!F595</f>
        <v>Expansion Extractive+Circularity</v>
      </c>
      <c r="G595">
        <f>Result_notebook_retravaill!G595</f>
        <v>45309.507358348303</v>
      </c>
      <c r="H595" s="32">
        <f>IF(Result_notebook_retravaill!I595&gt;Result_notebook_retravaill!G595,Result_notebook_retravaill!I595/Result_notebook_retravaill!N595,Result_notebook_retravaill!H595)</f>
        <v>154668.88303689443</v>
      </c>
      <c r="I595" s="32">
        <f>Result_notebook_retravaill!K595</f>
        <v>0</v>
      </c>
      <c r="J595" s="32">
        <f>MIN(G595,Result_notebook_retravaill!I595)</f>
        <v>45309.507358348303</v>
      </c>
      <c r="K595" s="32">
        <f>IF(Result_notebook_retravaill!I595&gt;Result_notebook_retravaill!G595,0,IF(Result_notebook_retravaill!I595+Result_notebook_retravaill!J595&gt;Result_notebook_retravaill!G595,Result_notebook_retravaill!G595-Result_notebook_retravaill!I595,Result_notebook_retravaill!J595))</f>
        <v>0</v>
      </c>
      <c r="L595" s="32">
        <f>IF(Result_notebook_retravaill!I595&gt;Result_notebook_retravaill!G595,0,IF(Result_notebook_retravaill!I595+Result_notebook_retravaill!J595&gt;Result_notebook_retravaill!G595,0,Result_notebook_retravaill!M595))</f>
        <v>0</v>
      </c>
      <c r="M595" s="31">
        <f t="shared" si="9"/>
        <v>0</v>
      </c>
    </row>
    <row r="596" spans="1:13" x14ac:dyDescent="0.35">
      <c r="A596">
        <f>Result_notebook_retravaill!A596</f>
        <v>2031</v>
      </c>
      <c r="B596" t="str">
        <f>Result_notebook_retravaill!B596</f>
        <v>Nickel</v>
      </c>
      <c r="C596" t="str">
        <f>Result_notebook_retravaill!C596</f>
        <v>Current Measures</v>
      </c>
      <c r="D596" t="str">
        <f>Result_notebook_retravaill!D596</f>
        <v>Production potential</v>
      </c>
      <c r="E596" t="str">
        <f>Result_notebook_retravaill!E596</f>
        <v>100% CAN</v>
      </c>
      <c r="F596" t="str">
        <f>Result_notebook_retravaill!F596</f>
        <v>Integrated</v>
      </c>
      <c r="G596">
        <f>Result_notebook_retravaill!G596</f>
        <v>45309.507358348303</v>
      </c>
      <c r="H596" s="32">
        <f>IF(Result_notebook_retravaill!I596&gt;Result_notebook_retravaill!G596,Result_notebook_retravaill!I596/Result_notebook_retravaill!N596,Result_notebook_retravaill!H596)</f>
        <v>217177.0118026369</v>
      </c>
      <c r="I596" s="32">
        <f>Result_notebook_retravaill!K596</f>
        <v>0</v>
      </c>
      <c r="J596" s="32">
        <f>MIN(G596,Result_notebook_retravaill!I596)</f>
        <v>45309.507358348303</v>
      </c>
      <c r="K596" s="32">
        <f>IF(Result_notebook_retravaill!I596&gt;Result_notebook_retravaill!G596,0,IF(Result_notebook_retravaill!I596+Result_notebook_retravaill!J596&gt;Result_notebook_retravaill!G596,Result_notebook_retravaill!G596-Result_notebook_retravaill!I596,Result_notebook_retravaill!J596))</f>
        <v>0</v>
      </c>
      <c r="L596" s="32">
        <f>IF(Result_notebook_retravaill!I596&gt;Result_notebook_retravaill!G596,0,IF(Result_notebook_retravaill!I596+Result_notebook_retravaill!J596&gt;Result_notebook_retravaill!G596,0,Result_notebook_retravaill!M596))</f>
        <v>0</v>
      </c>
      <c r="M596" s="31">
        <f t="shared" si="9"/>
        <v>0</v>
      </c>
    </row>
    <row r="597" spans="1:13" x14ac:dyDescent="0.35">
      <c r="A597">
        <f>Result_notebook_retravaill!A597</f>
        <v>2031</v>
      </c>
      <c r="B597" t="str">
        <f>Result_notebook_retravaill!B597</f>
        <v>Nickel</v>
      </c>
      <c r="C597" t="str">
        <f>Result_notebook_retravaill!C597</f>
        <v>Global Net-zero</v>
      </c>
      <c r="D597" t="str">
        <f>Result_notebook_retravaill!D597</f>
        <v>Existing production</v>
      </c>
      <c r="E597" t="str">
        <f>Result_notebook_retravaill!E597</f>
        <v>Current shares</v>
      </c>
      <c r="F597" t="str">
        <f>Result_notebook_retravaill!F597</f>
        <v>NIMBY</v>
      </c>
      <c r="G597">
        <f>Result_notebook_retravaill!G597</f>
        <v>88691.707094776124</v>
      </c>
      <c r="H597" s="32">
        <f>IF(Result_notebook_retravaill!I597&gt;Result_notebook_retravaill!G597,Result_notebook_retravaill!I597/Result_notebook_retravaill!N597,Result_notebook_retravaill!H597)</f>
        <v>0</v>
      </c>
      <c r="I597" s="32">
        <f>Result_notebook_retravaill!K597</f>
        <v>112267.9836642736</v>
      </c>
      <c r="J597" s="32">
        <f>MIN(G597,Result_notebook_retravaill!I597)</f>
        <v>0</v>
      </c>
      <c r="K597" s="32">
        <f>IF(Result_notebook_retravaill!I597&gt;Result_notebook_retravaill!G597,0,IF(Result_notebook_retravaill!I597+Result_notebook_retravaill!J597&gt;Result_notebook_retravaill!G597,Result_notebook_retravaill!G597-Result_notebook_retravaill!I597,Result_notebook_retravaill!J597))</f>
        <v>0</v>
      </c>
      <c r="L597" s="32">
        <f>IF(Result_notebook_retravaill!I597&gt;Result_notebook_retravaill!G597,0,IF(Result_notebook_retravaill!I597+Result_notebook_retravaill!J597&gt;Result_notebook_retravaill!G597,0,Result_notebook_retravaill!M597))</f>
        <v>88691.707094776124</v>
      </c>
      <c r="M597" s="31">
        <f t="shared" si="9"/>
        <v>0</v>
      </c>
    </row>
    <row r="598" spans="1:13" x14ac:dyDescent="0.35">
      <c r="A598">
        <f>Result_notebook_retravaill!A598</f>
        <v>2031</v>
      </c>
      <c r="B598" t="str">
        <f>Result_notebook_retravaill!B598</f>
        <v>Nickel</v>
      </c>
      <c r="C598" t="str">
        <f>Result_notebook_retravaill!C598</f>
        <v>Global Net-zero</v>
      </c>
      <c r="D598" t="str">
        <f>Result_notebook_retravaill!D598</f>
        <v>Existing production</v>
      </c>
      <c r="E598" t="str">
        <f>Result_notebook_retravaill!E598</f>
        <v>Current shares</v>
      </c>
      <c r="F598" t="str">
        <f>Result_notebook_retravaill!F598</f>
        <v>Status Quo</v>
      </c>
      <c r="G598">
        <f>Result_notebook_retravaill!G598</f>
        <v>88691.707094776124</v>
      </c>
      <c r="H598" s="32">
        <f>IF(Result_notebook_retravaill!I598&gt;Result_notebook_retravaill!G598,Result_notebook_retravaill!I598/Result_notebook_retravaill!N598,Result_notebook_retravaill!H598)</f>
        <v>139278</v>
      </c>
      <c r="I598" s="32">
        <f>Result_notebook_retravaill!K598</f>
        <v>0</v>
      </c>
      <c r="J598" s="32">
        <f>MIN(G598,Result_notebook_retravaill!I598)</f>
        <v>78118.250613288372</v>
      </c>
      <c r="K598" s="32">
        <f>IF(Result_notebook_retravaill!I598&gt;Result_notebook_retravaill!G598,0,IF(Result_notebook_retravaill!I598+Result_notebook_retravaill!J598&gt;Result_notebook_retravaill!G598,Result_notebook_retravaill!G598-Result_notebook_retravaill!I598,Result_notebook_retravaill!J598))</f>
        <v>10573.456481487752</v>
      </c>
      <c r="L598" s="32">
        <f>IF(Result_notebook_retravaill!I598&gt;Result_notebook_retravaill!G598,0,IF(Result_notebook_retravaill!I598+Result_notebook_retravaill!J598&gt;Result_notebook_retravaill!G598,0,Result_notebook_retravaill!M598))</f>
        <v>0</v>
      </c>
      <c r="M598" s="31">
        <f t="shared" si="9"/>
        <v>0</v>
      </c>
    </row>
    <row r="599" spans="1:13" x14ac:dyDescent="0.35">
      <c r="A599">
        <f>Result_notebook_retravaill!A599</f>
        <v>2031</v>
      </c>
      <c r="B599" t="str">
        <f>Result_notebook_retravaill!B599</f>
        <v>Nickel</v>
      </c>
      <c r="C599" t="str">
        <f>Result_notebook_retravaill!C599</f>
        <v>Global Net-zero</v>
      </c>
      <c r="D599" t="str">
        <f>Result_notebook_retravaill!D599</f>
        <v>Production potential</v>
      </c>
      <c r="E599" t="str">
        <f>Result_notebook_retravaill!E599</f>
        <v>Current shares</v>
      </c>
      <c r="F599" t="str">
        <f>Result_notebook_retravaill!F599</f>
        <v>Expansion Extractive</v>
      </c>
      <c r="G599">
        <f>Result_notebook_retravaill!G599</f>
        <v>88691.707094776124</v>
      </c>
      <c r="H599" s="32">
        <f>IF(Result_notebook_retravaill!I599&gt;Result_notebook_retravaill!G599,Result_notebook_retravaill!I599/Result_notebook_retravaill!N599,Result_notebook_retravaill!H599)</f>
        <v>154668.88303689443</v>
      </c>
      <c r="I599" s="32">
        <f>Result_notebook_retravaill!K599</f>
        <v>0</v>
      </c>
      <c r="J599" s="32">
        <f>MIN(G599,Result_notebook_retravaill!I599)</f>
        <v>88691.707094776124</v>
      </c>
      <c r="K599" s="32">
        <f>IF(Result_notebook_retravaill!I599&gt;Result_notebook_retravaill!G599,0,IF(Result_notebook_retravaill!I599+Result_notebook_retravaill!J599&gt;Result_notebook_retravaill!G599,Result_notebook_retravaill!G599-Result_notebook_retravaill!I599,Result_notebook_retravaill!J599))</f>
        <v>0</v>
      </c>
      <c r="L599" s="32">
        <f>IF(Result_notebook_retravaill!I599&gt;Result_notebook_retravaill!G599,0,IF(Result_notebook_retravaill!I599+Result_notebook_retravaill!J599&gt;Result_notebook_retravaill!G599,0,Result_notebook_retravaill!M599))</f>
        <v>0</v>
      </c>
      <c r="M599" s="31">
        <f t="shared" si="9"/>
        <v>0</v>
      </c>
    </row>
    <row r="600" spans="1:13" x14ac:dyDescent="0.35">
      <c r="A600">
        <f>Result_notebook_retravaill!A600</f>
        <v>2031</v>
      </c>
      <c r="B600" t="str">
        <f>Result_notebook_retravaill!B600</f>
        <v>Nickel</v>
      </c>
      <c r="C600" t="str">
        <f>Result_notebook_retravaill!C600</f>
        <v>Global Net-zero</v>
      </c>
      <c r="D600" t="str">
        <f>Result_notebook_retravaill!D600</f>
        <v>Production potential</v>
      </c>
      <c r="E600" t="str">
        <f>Result_notebook_retravaill!E600</f>
        <v>Current shares</v>
      </c>
      <c r="F600" t="str">
        <f>Result_notebook_retravaill!F600</f>
        <v>Expansion Extractive+Circularity</v>
      </c>
      <c r="G600">
        <f>Result_notebook_retravaill!G600</f>
        <v>88691.707094776124</v>
      </c>
      <c r="H600" s="32">
        <f>IF(Result_notebook_retravaill!I600&gt;Result_notebook_retravaill!G600,Result_notebook_retravaill!I600/Result_notebook_retravaill!N600,Result_notebook_retravaill!H600)</f>
        <v>154668.88303689443</v>
      </c>
      <c r="I600" s="32">
        <f>Result_notebook_retravaill!K600</f>
        <v>0</v>
      </c>
      <c r="J600" s="32">
        <f>MIN(G600,Result_notebook_retravaill!I600)</f>
        <v>88691.707094776124</v>
      </c>
      <c r="K600" s="32">
        <f>IF(Result_notebook_retravaill!I600&gt;Result_notebook_retravaill!G600,0,IF(Result_notebook_retravaill!I600+Result_notebook_retravaill!J600&gt;Result_notebook_retravaill!G600,Result_notebook_retravaill!G600-Result_notebook_retravaill!I600,Result_notebook_retravaill!J600))</f>
        <v>0</v>
      </c>
      <c r="L600" s="32">
        <f>IF(Result_notebook_retravaill!I600&gt;Result_notebook_retravaill!G600,0,IF(Result_notebook_retravaill!I600+Result_notebook_retravaill!J600&gt;Result_notebook_retravaill!G600,0,Result_notebook_retravaill!M600))</f>
        <v>0</v>
      </c>
      <c r="M600" s="31">
        <f t="shared" si="9"/>
        <v>0</v>
      </c>
    </row>
    <row r="601" spans="1:13" x14ac:dyDescent="0.35">
      <c r="A601">
        <f>Result_notebook_retravaill!A601</f>
        <v>2031</v>
      </c>
      <c r="B601" t="str">
        <f>Result_notebook_retravaill!B601</f>
        <v>Nickel</v>
      </c>
      <c r="C601" t="str">
        <f>Result_notebook_retravaill!C601</f>
        <v>Global Net-zero</v>
      </c>
      <c r="D601" t="str">
        <f>Result_notebook_retravaill!D601</f>
        <v>Production potential</v>
      </c>
      <c r="E601" t="str">
        <f>Result_notebook_retravaill!E601</f>
        <v>100% CAN</v>
      </c>
      <c r="F601" t="str">
        <f>Result_notebook_retravaill!F601</f>
        <v>Integrated</v>
      </c>
      <c r="G601">
        <f>Result_notebook_retravaill!G601</f>
        <v>88691.707094776124</v>
      </c>
      <c r="H601" s="32">
        <f>IF(Result_notebook_retravaill!I601&gt;Result_notebook_retravaill!G601,Result_notebook_retravaill!I601/Result_notebook_retravaill!N601,Result_notebook_retravaill!H601)</f>
        <v>217177.0118026369</v>
      </c>
      <c r="I601" s="32">
        <f>Result_notebook_retravaill!K601</f>
        <v>0</v>
      </c>
      <c r="J601" s="32">
        <f>MIN(G601,Result_notebook_retravaill!I601)</f>
        <v>88691.707094776124</v>
      </c>
      <c r="K601" s="32">
        <f>IF(Result_notebook_retravaill!I601&gt;Result_notebook_retravaill!G601,0,IF(Result_notebook_retravaill!I601+Result_notebook_retravaill!J601&gt;Result_notebook_retravaill!G601,Result_notebook_retravaill!G601-Result_notebook_retravaill!I601,Result_notebook_retravaill!J601))</f>
        <v>0</v>
      </c>
      <c r="L601" s="32">
        <f>IF(Result_notebook_retravaill!I601&gt;Result_notebook_retravaill!G601,0,IF(Result_notebook_retravaill!I601+Result_notebook_retravaill!J601&gt;Result_notebook_retravaill!G601,0,Result_notebook_retravaill!M601))</f>
        <v>0</v>
      </c>
      <c r="M601" s="31">
        <f t="shared" si="9"/>
        <v>0</v>
      </c>
    </row>
    <row r="602" spans="1:13" x14ac:dyDescent="0.35">
      <c r="A602">
        <f>Result_notebook_retravaill!A602</f>
        <v>2031</v>
      </c>
      <c r="B602" t="str">
        <f>Result_notebook_retravaill!B602</f>
        <v>Graphite</v>
      </c>
      <c r="C602" t="str">
        <f>Result_notebook_retravaill!C602</f>
        <v>Canada Net-zero</v>
      </c>
      <c r="D602" t="str">
        <f>Result_notebook_retravaill!D602</f>
        <v>Existing production</v>
      </c>
      <c r="E602" t="str">
        <f>Result_notebook_retravaill!E602</f>
        <v>Current shares</v>
      </c>
      <c r="F602" t="str">
        <f>Result_notebook_retravaill!F602</f>
        <v>NIMBY</v>
      </c>
      <c r="G602">
        <f>Result_notebook_retravaill!G602</f>
        <v>2159.8800640851032</v>
      </c>
      <c r="H602" s="32">
        <f>IF(Result_notebook_retravaill!I602&gt;Result_notebook_retravaill!G602,Result_notebook_retravaill!I602/Result_notebook_retravaill!N602,Result_notebook_retravaill!H602)</f>
        <v>0</v>
      </c>
      <c r="I602" s="32">
        <f>Result_notebook_retravaill!K602</f>
        <v>2159.8800640851032</v>
      </c>
      <c r="J602" s="32">
        <f>MIN(G602,Result_notebook_retravaill!I602)</f>
        <v>0</v>
      </c>
      <c r="K602" s="32">
        <f>IF(Result_notebook_retravaill!I602&gt;Result_notebook_retravaill!G602,0,IF(Result_notebook_retravaill!I602+Result_notebook_retravaill!J602&gt;Result_notebook_retravaill!G602,Result_notebook_retravaill!G602-Result_notebook_retravaill!I602,Result_notebook_retravaill!J602))</f>
        <v>0</v>
      </c>
      <c r="L602" s="32">
        <f>IF(Result_notebook_retravaill!I602&gt;Result_notebook_retravaill!G602,0,IF(Result_notebook_retravaill!I602+Result_notebook_retravaill!J602&gt;Result_notebook_retravaill!G602,0,Result_notebook_retravaill!M602))</f>
        <v>2159.8800640851032</v>
      </c>
      <c r="M602" s="31">
        <f t="shared" si="9"/>
        <v>0</v>
      </c>
    </row>
    <row r="603" spans="1:13" x14ac:dyDescent="0.35">
      <c r="A603">
        <f>Result_notebook_retravaill!A603</f>
        <v>2031</v>
      </c>
      <c r="B603" t="str">
        <f>Result_notebook_retravaill!B603</f>
        <v>Graphite</v>
      </c>
      <c r="C603" t="str">
        <f>Result_notebook_retravaill!C603</f>
        <v>Canada Net-zero</v>
      </c>
      <c r="D603" t="str">
        <f>Result_notebook_retravaill!D603</f>
        <v>Existing production</v>
      </c>
      <c r="E603" t="str">
        <f>Result_notebook_retravaill!E603</f>
        <v>Current shares</v>
      </c>
      <c r="F603" t="str">
        <f>Result_notebook_retravaill!F603</f>
        <v>Status Quo</v>
      </c>
      <c r="G603">
        <f>Result_notebook_retravaill!G603</f>
        <v>2159.8800640851032</v>
      </c>
      <c r="H603" s="32">
        <f>IF(Result_notebook_retravaill!I603&gt;Result_notebook_retravaill!G603,Result_notebook_retravaill!I603/Result_notebook_retravaill!N603,Result_notebook_retravaill!H603)</f>
        <v>0</v>
      </c>
      <c r="I603" s="32">
        <f>Result_notebook_retravaill!K603</f>
        <v>2159.8800640851032</v>
      </c>
      <c r="J603" s="32">
        <f>MIN(G603,Result_notebook_retravaill!I603)</f>
        <v>0</v>
      </c>
      <c r="K603" s="32">
        <f>IF(Result_notebook_retravaill!I603&gt;Result_notebook_retravaill!G603,0,IF(Result_notebook_retravaill!I603+Result_notebook_retravaill!J603&gt;Result_notebook_retravaill!G603,Result_notebook_retravaill!G603-Result_notebook_retravaill!I603,Result_notebook_retravaill!J603))</f>
        <v>0</v>
      </c>
      <c r="L603" s="32">
        <f>IF(Result_notebook_retravaill!I603&gt;Result_notebook_retravaill!G603,0,IF(Result_notebook_retravaill!I603+Result_notebook_retravaill!J603&gt;Result_notebook_retravaill!G603,0,Result_notebook_retravaill!M603))</f>
        <v>2159.8800640851032</v>
      </c>
      <c r="M603" s="31">
        <f t="shared" si="9"/>
        <v>0</v>
      </c>
    </row>
    <row r="604" spans="1:13" x14ac:dyDescent="0.35">
      <c r="A604">
        <f>Result_notebook_retravaill!A604</f>
        <v>2031</v>
      </c>
      <c r="B604" t="str">
        <f>Result_notebook_retravaill!B604</f>
        <v>Graphite</v>
      </c>
      <c r="C604" t="str">
        <f>Result_notebook_retravaill!C604</f>
        <v>Canada Net-zero</v>
      </c>
      <c r="D604" t="str">
        <f>Result_notebook_retravaill!D604</f>
        <v>Production potential</v>
      </c>
      <c r="E604" t="str">
        <f>Result_notebook_retravaill!E604</f>
        <v>Current shares</v>
      </c>
      <c r="F604" t="str">
        <f>Result_notebook_retravaill!F604</f>
        <v>Expansion Extractive</v>
      </c>
      <c r="G604">
        <f>Result_notebook_retravaill!G604</f>
        <v>2159.8800640851032</v>
      </c>
      <c r="H604" s="32">
        <f>IF(Result_notebook_retravaill!I604&gt;Result_notebook_retravaill!G604,Result_notebook_retravaill!I604/Result_notebook_retravaill!N604,Result_notebook_retravaill!H604)</f>
        <v>55049.995881425435</v>
      </c>
      <c r="I604" s="32">
        <f>Result_notebook_retravaill!K604</f>
        <v>0</v>
      </c>
      <c r="J604" s="32">
        <f>MIN(G604,Result_notebook_retravaill!I604)</f>
        <v>2159.8800640851032</v>
      </c>
      <c r="K604" s="32">
        <f>IF(Result_notebook_retravaill!I604&gt;Result_notebook_retravaill!G604,0,IF(Result_notebook_retravaill!I604+Result_notebook_retravaill!J604&gt;Result_notebook_retravaill!G604,Result_notebook_retravaill!G604-Result_notebook_retravaill!I604,Result_notebook_retravaill!J604))</f>
        <v>0</v>
      </c>
      <c r="L604" s="32">
        <f>IF(Result_notebook_retravaill!I604&gt;Result_notebook_retravaill!G604,0,IF(Result_notebook_retravaill!I604+Result_notebook_retravaill!J604&gt;Result_notebook_retravaill!G604,0,Result_notebook_retravaill!M604))</f>
        <v>0</v>
      </c>
      <c r="M604" s="31">
        <f t="shared" si="9"/>
        <v>0</v>
      </c>
    </row>
    <row r="605" spans="1:13" x14ac:dyDescent="0.35">
      <c r="A605">
        <f>Result_notebook_retravaill!A605</f>
        <v>2031</v>
      </c>
      <c r="B605" t="str">
        <f>Result_notebook_retravaill!B605</f>
        <v>Graphite</v>
      </c>
      <c r="C605" t="str">
        <f>Result_notebook_retravaill!C605</f>
        <v>Canada Net-zero</v>
      </c>
      <c r="D605" t="str">
        <f>Result_notebook_retravaill!D605</f>
        <v>Production potential</v>
      </c>
      <c r="E605" t="str">
        <f>Result_notebook_retravaill!E605</f>
        <v>Current shares</v>
      </c>
      <c r="F605" t="str">
        <f>Result_notebook_retravaill!F605</f>
        <v>Expansion Extractive+Circularity</v>
      </c>
      <c r="G605">
        <f>Result_notebook_retravaill!G605</f>
        <v>2159.8800640851032</v>
      </c>
      <c r="H605" s="32">
        <f>IF(Result_notebook_retravaill!I605&gt;Result_notebook_retravaill!G605,Result_notebook_retravaill!I605/Result_notebook_retravaill!N605,Result_notebook_retravaill!H605)</f>
        <v>55049.995881425435</v>
      </c>
      <c r="I605" s="32">
        <f>Result_notebook_retravaill!K605</f>
        <v>0</v>
      </c>
      <c r="J605" s="32">
        <f>MIN(G605,Result_notebook_retravaill!I605)</f>
        <v>2159.8800640851032</v>
      </c>
      <c r="K605" s="32">
        <f>IF(Result_notebook_retravaill!I605&gt;Result_notebook_retravaill!G605,0,IF(Result_notebook_retravaill!I605+Result_notebook_retravaill!J605&gt;Result_notebook_retravaill!G605,Result_notebook_retravaill!G605-Result_notebook_retravaill!I605,Result_notebook_retravaill!J605))</f>
        <v>0</v>
      </c>
      <c r="L605" s="32">
        <f>IF(Result_notebook_retravaill!I605&gt;Result_notebook_retravaill!G605,0,IF(Result_notebook_retravaill!I605+Result_notebook_retravaill!J605&gt;Result_notebook_retravaill!G605,0,Result_notebook_retravaill!M605))</f>
        <v>0</v>
      </c>
      <c r="M605" s="31">
        <f t="shared" si="9"/>
        <v>0</v>
      </c>
    </row>
    <row r="606" spans="1:13" x14ac:dyDescent="0.35">
      <c r="A606">
        <f>Result_notebook_retravaill!A606</f>
        <v>2031</v>
      </c>
      <c r="B606" t="str">
        <f>Result_notebook_retravaill!B606</f>
        <v>Graphite</v>
      </c>
      <c r="C606" t="str">
        <f>Result_notebook_retravaill!C606</f>
        <v>Canada Net-zero</v>
      </c>
      <c r="D606" t="str">
        <f>Result_notebook_retravaill!D606</f>
        <v>Production potential</v>
      </c>
      <c r="E606" t="str">
        <f>Result_notebook_retravaill!E606</f>
        <v>100% CAN</v>
      </c>
      <c r="F606" t="str">
        <f>Result_notebook_retravaill!F606</f>
        <v>Integrated</v>
      </c>
      <c r="G606">
        <f>Result_notebook_retravaill!G606</f>
        <v>2159.8800640851032</v>
      </c>
      <c r="H606" s="32">
        <f>IF(Result_notebook_retravaill!I606&gt;Result_notebook_retravaill!G606,Result_notebook_retravaill!I606/Result_notebook_retravaill!N606,Result_notebook_retravaill!H606)</f>
        <v>55049.995881425435</v>
      </c>
      <c r="I606" s="32">
        <f>Result_notebook_retravaill!K606</f>
        <v>0</v>
      </c>
      <c r="J606" s="32">
        <f>MIN(G606,Result_notebook_retravaill!I606)</f>
        <v>2159.8800640851032</v>
      </c>
      <c r="K606" s="32">
        <f>IF(Result_notebook_retravaill!I606&gt;Result_notebook_retravaill!G606,0,IF(Result_notebook_retravaill!I606+Result_notebook_retravaill!J606&gt;Result_notebook_retravaill!G606,Result_notebook_retravaill!G606-Result_notebook_retravaill!I606,Result_notebook_retravaill!J606))</f>
        <v>0</v>
      </c>
      <c r="L606" s="32">
        <f>IF(Result_notebook_retravaill!I606&gt;Result_notebook_retravaill!G606,0,IF(Result_notebook_retravaill!I606+Result_notebook_retravaill!J606&gt;Result_notebook_retravaill!G606,0,Result_notebook_retravaill!M606))</f>
        <v>0</v>
      </c>
      <c r="M606" s="31">
        <f t="shared" si="9"/>
        <v>0</v>
      </c>
    </row>
    <row r="607" spans="1:13" x14ac:dyDescent="0.35">
      <c r="A607">
        <f>Result_notebook_retravaill!A607</f>
        <v>2031</v>
      </c>
      <c r="B607" t="str">
        <f>Result_notebook_retravaill!B607</f>
        <v>Graphite</v>
      </c>
      <c r="C607" t="str">
        <f>Result_notebook_retravaill!C607</f>
        <v>Current Measures</v>
      </c>
      <c r="D607" t="str">
        <f>Result_notebook_retravaill!D607</f>
        <v>Existing production</v>
      </c>
      <c r="E607" t="str">
        <f>Result_notebook_retravaill!E607</f>
        <v>Current shares</v>
      </c>
      <c r="F607" t="str">
        <f>Result_notebook_retravaill!F607</f>
        <v>NIMBY</v>
      </c>
      <c r="G607">
        <f>Result_notebook_retravaill!G607</f>
        <v>939.76655065013301</v>
      </c>
      <c r="H607" s="32">
        <f>IF(Result_notebook_retravaill!I607&gt;Result_notebook_retravaill!G607,Result_notebook_retravaill!I607/Result_notebook_retravaill!N607,Result_notebook_retravaill!H607)</f>
        <v>0</v>
      </c>
      <c r="I607" s="32">
        <f>Result_notebook_retravaill!K607</f>
        <v>939.76655065013301</v>
      </c>
      <c r="J607" s="32">
        <f>MIN(G607,Result_notebook_retravaill!I607)</f>
        <v>0</v>
      </c>
      <c r="K607" s="32">
        <f>IF(Result_notebook_retravaill!I607&gt;Result_notebook_retravaill!G607,0,IF(Result_notebook_retravaill!I607+Result_notebook_retravaill!J607&gt;Result_notebook_retravaill!G607,Result_notebook_retravaill!G607-Result_notebook_retravaill!I607,Result_notebook_retravaill!J607))</f>
        <v>0</v>
      </c>
      <c r="L607" s="32">
        <f>IF(Result_notebook_retravaill!I607&gt;Result_notebook_retravaill!G607,0,IF(Result_notebook_retravaill!I607+Result_notebook_retravaill!J607&gt;Result_notebook_retravaill!G607,0,Result_notebook_retravaill!M607))</f>
        <v>939.76655065013301</v>
      </c>
      <c r="M607" s="31">
        <f t="shared" si="9"/>
        <v>0</v>
      </c>
    </row>
    <row r="608" spans="1:13" x14ac:dyDescent="0.35">
      <c r="A608">
        <f>Result_notebook_retravaill!A608</f>
        <v>2031</v>
      </c>
      <c r="B608" t="str">
        <f>Result_notebook_retravaill!B608</f>
        <v>Graphite</v>
      </c>
      <c r="C608" t="str">
        <f>Result_notebook_retravaill!C608</f>
        <v>Current Measures</v>
      </c>
      <c r="D608" t="str">
        <f>Result_notebook_retravaill!D608</f>
        <v>Existing production</v>
      </c>
      <c r="E608" t="str">
        <f>Result_notebook_retravaill!E608</f>
        <v>Current shares</v>
      </c>
      <c r="F608" t="str">
        <f>Result_notebook_retravaill!F608</f>
        <v>Status Quo</v>
      </c>
      <c r="G608">
        <f>Result_notebook_retravaill!G608</f>
        <v>939.76655065013301</v>
      </c>
      <c r="H608" s="32">
        <f>IF(Result_notebook_retravaill!I608&gt;Result_notebook_retravaill!G608,Result_notebook_retravaill!I608/Result_notebook_retravaill!N608,Result_notebook_retravaill!H608)</f>
        <v>0</v>
      </c>
      <c r="I608" s="32">
        <f>Result_notebook_retravaill!K608</f>
        <v>939.76655065013301</v>
      </c>
      <c r="J608" s="32">
        <f>MIN(G608,Result_notebook_retravaill!I608)</f>
        <v>0</v>
      </c>
      <c r="K608" s="32">
        <f>IF(Result_notebook_retravaill!I608&gt;Result_notebook_retravaill!G608,0,IF(Result_notebook_retravaill!I608+Result_notebook_retravaill!J608&gt;Result_notebook_retravaill!G608,Result_notebook_retravaill!G608-Result_notebook_retravaill!I608,Result_notebook_retravaill!J608))</f>
        <v>0</v>
      </c>
      <c r="L608" s="32">
        <f>IF(Result_notebook_retravaill!I608&gt;Result_notebook_retravaill!G608,0,IF(Result_notebook_retravaill!I608+Result_notebook_retravaill!J608&gt;Result_notebook_retravaill!G608,0,Result_notebook_retravaill!M608))</f>
        <v>939.76655065013301</v>
      </c>
      <c r="M608" s="31">
        <f t="shared" si="9"/>
        <v>0</v>
      </c>
    </row>
    <row r="609" spans="1:13" x14ac:dyDescent="0.35">
      <c r="A609">
        <f>Result_notebook_retravaill!A609</f>
        <v>2031</v>
      </c>
      <c r="B609" t="str">
        <f>Result_notebook_retravaill!B609</f>
        <v>Graphite</v>
      </c>
      <c r="C609" t="str">
        <f>Result_notebook_retravaill!C609</f>
        <v>Current Measures</v>
      </c>
      <c r="D609" t="str">
        <f>Result_notebook_retravaill!D609</f>
        <v>Production potential</v>
      </c>
      <c r="E609" t="str">
        <f>Result_notebook_retravaill!E609</f>
        <v>Current shares</v>
      </c>
      <c r="F609" t="str">
        <f>Result_notebook_retravaill!F609</f>
        <v>Expansion Extractive</v>
      </c>
      <c r="G609">
        <f>Result_notebook_retravaill!G609</f>
        <v>939.76655065013301</v>
      </c>
      <c r="H609" s="32">
        <f>IF(Result_notebook_retravaill!I609&gt;Result_notebook_retravaill!G609,Result_notebook_retravaill!I609/Result_notebook_retravaill!N609,Result_notebook_retravaill!H609)</f>
        <v>55049.995881425435</v>
      </c>
      <c r="I609" s="32">
        <f>Result_notebook_retravaill!K609</f>
        <v>0</v>
      </c>
      <c r="J609" s="32">
        <f>MIN(G609,Result_notebook_retravaill!I609)</f>
        <v>939.76655065013301</v>
      </c>
      <c r="K609" s="32">
        <f>IF(Result_notebook_retravaill!I609&gt;Result_notebook_retravaill!G609,0,IF(Result_notebook_retravaill!I609+Result_notebook_retravaill!J609&gt;Result_notebook_retravaill!G609,Result_notebook_retravaill!G609-Result_notebook_retravaill!I609,Result_notebook_retravaill!J609))</f>
        <v>0</v>
      </c>
      <c r="L609" s="32">
        <f>IF(Result_notebook_retravaill!I609&gt;Result_notebook_retravaill!G609,0,IF(Result_notebook_retravaill!I609+Result_notebook_retravaill!J609&gt;Result_notebook_retravaill!G609,0,Result_notebook_retravaill!M609))</f>
        <v>0</v>
      </c>
      <c r="M609" s="31">
        <f t="shared" si="9"/>
        <v>0</v>
      </c>
    </row>
    <row r="610" spans="1:13" x14ac:dyDescent="0.35">
      <c r="A610">
        <f>Result_notebook_retravaill!A610</f>
        <v>2031</v>
      </c>
      <c r="B610" t="str">
        <f>Result_notebook_retravaill!B610</f>
        <v>Graphite</v>
      </c>
      <c r="C610" t="str">
        <f>Result_notebook_retravaill!C610</f>
        <v>Current Measures</v>
      </c>
      <c r="D610" t="str">
        <f>Result_notebook_retravaill!D610</f>
        <v>Production potential</v>
      </c>
      <c r="E610" t="str">
        <f>Result_notebook_retravaill!E610</f>
        <v>Current shares</v>
      </c>
      <c r="F610" t="str">
        <f>Result_notebook_retravaill!F610</f>
        <v>Expansion Extractive+Circularity</v>
      </c>
      <c r="G610">
        <f>Result_notebook_retravaill!G610</f>
        <v>939.76655065013301</v>
      </c>
      <c r="H610" s="32">
        <f>IF(Result_notebook_retravaill!I610&gt;Result_notebook_retravaill!G610,Result_notebook_retravaill!I610/Result_notebook_retravaill!N610,Result_notebook_retravaill!H610)</f>
        <v>55049.995881425435</v>
      </c>
      <c r="I610" s="32">
        <f>Result_notebook_retravaill!K610</f>
        <v>0</v>
      </c>
      <c r="J610" s="32">
        <f>MIN(G610,Result_notebook_retravaill!I610)</f>
        <v>939.76655065013301</v>
      </c>
      <c r="K610" s="32">
        <f>IF(Result_notebook_retravaill!I610&gt;Result_notebook_retravaill!G610,0,IF(Result_notebook_retravaill!I610+Result_notebook_retravaill!J610&gt;Result_notebook_retravaill!G610,Result_notebook_retravaill!G610-Result_notebook_retravaill!I610,Result_notebook_retravaill!J610))</f>
        <v>0</v>
      </c>
      <c r="L610" s="32">
        <f>IF(Result_notebook_retravaill!I610&gt;Result_notebook_retravaill!G610,0,IF(Result_notebook_retravaill!I610+Result_notebook_retravaill!J610&gt;Result_notebook_retravaill!G610,0,Result_notebook_retravaill!M610))</f>
        <v>0</v>
      </c>
      <c r="M610" s="31">
        <f t="shared" si="9"/>
        <v>0</v>
      </c>
    </row>
    <row r="611" spans="1:13" x14ac:dyDescent="0.35">
      <c r="A611">
        <f>Result_notebook_retravaill!A611</f>
        <v>2031</v>
      </c>
      <c r="B611" t="str">
        <f>Result_notebook_retravaill!B611</f>
        <v>Graphite</v>
      </c>
      <c r="C611" t="str">
        <f>Result_notebook_retravaill!C611</f>
        <v>Current Measures</v>
      </c>
      <c r="D611" t="str">
        <f>Result_notebook_retravaill!D611</f>
        <v>Production potential</v>
      </c>
      <c r="E611" t="str">
        <f>Result_notebook_retravaill!E611</f>
        <v>100% CAN</v>
      </c>
      <c r="F611" t="str">
        <f>Result_notebook_retravaill!F611</f>
        <v>Integrated</v>
      </c>
      <c r="G611">
        <f>Result_notebook_retravaill!G611</f>
        <v>939.76655065013301</v>
      </c>
      <c r="H611" s="32">
        <f>IF(Result_notebook_retravaill!I611&gt;Result_notebook_retravaill!G611,Result_notebook_retravaill!I611/Result_notebook_retravaill!N611,Result_notebook_retravaill!H611)</f>
        <v>55049.995881425435</v>
      </c>
      <c r="I611" s="32">
        <f>Result_notebook_retravaill!K611</f>
        <v>0</v>
      </c>
      <c r="J611" s="32">
        <f>MIN(G611,Result_notebook_retravaill!I611)</f>
        <v>939.76655065013301</v>
      </c>
      <c r="K611" s="32">
        <f>IF(Result_notebook_retravaill!I611&gt;Result_notebook_retravaill!G611,0,IF(Result_notebook_retravaill!I611+Result_notebook_retravaill!J611&gt;Result_notebook_retravaill!G611,Result_notebook_retravaill!G611-Result_notebook_retravaill!I611,Result_notebook_retravaill!J611))</f>
        <v>0</v>
      </c>
      <c r="L611" s="32">
        <f>IF(Result_notebook_retravaill!I611&gt;Result_notebook_retravaill!G611,0,IF(Result_notebook_retravaill!I611+Result_notebook_retravaill!J611&gt;Result_notebook_retravaill!G611,0,Result_notebook_retravaill!M611))</f>
        <v>0</v>
      </c>
      <c r="M611" s="31">
        <f t="shared" si="9"/>
        <v>0</v>
      </c>
    </row>
    <row r="612" spans="1:13" x14ac:dyDescent="0.35">
      <c r="A612">
        <f>Result_notebook_retravaill!A612</f>
        <v>2031</v>
      </c>
      <c r="B612" t="str">
        <f>Result_notebook_retravaill!B612</f>
        <v>Graphite</v>
      </c>
      <c r="C612" t="str">
        <f>Result_notebook_retravaill!C612</f>
        <v>Global Net-zero</v>
      </c>
      <c r="D612" t="str">
        <f>Result_notebook_retravaill!D612</f>
        <v>Existing production</v>
      </c>
      <c r="E612" t="str">
        <f>Result_notebook_retravaill!E612</f>
        <v>Current shares</v>
      </c>
      <c r="F612" t="str">
        <f>Result_notebook_retravaill!F612</f>
        <v>NIMBY</v>
      </c>
      <c r="G612">
        <f>Result_notebook_retravaill!G612</f>
        <v>2047.251252746828</v>
      </c>
      <c r="H612" s="32">
        <f>IF(Result_notebook_retravaill!I612&gt;Result_notebook_retravaill!G612,Result_notebook_retravaill!I612/Result_notebook_retravaill!N612,Result_notebook_retravaill!H612)</f>
        <v>0</v>
      </c>
      <c r="I612" s="32">
        <f>Result_notebook_retravaill!K612</f>
        <v>2047.251252746828</v>
      </c>
      <c r="J612" s="32">
        <f>MIN(G612,Result_notebook_retravaill!I612)</f>
        <v>0</v>
      </c>
      <c r="K612" s="32">
        <f>IF(Result_notebook_retravaill!I612&gt;Result_notebook_retravaill!G612,0,IF(Result_notebook_retravaill!I612+Result_notebook_retravaill!J612&gt;Result_notebook_retravaill!G612,Result_notebook_retravaill!G612-Result_notebook_retravaill!I612,Result_notebook_retravaill!J612))</f>
        <v>0</v>
      </c>
      <c r="L612" s="32">
        <f>IF(Result_notebook_retravaill!I612&gt;Result_notebook_retravaill!G612,0,IF(Result_notebook_retravaill!I612+Result_notebook_retravaill!J612&gt;Result_notebook_retravaill!G612,0,Result_notebook_retravaill!M612))</f>
        <v>2047.251252746828</v>
      </c>
      <c r="M612" s="31">
        <f t="shared" si="9"/>
        <v>0</v>
      </c>
    </row>
    <row r="613" spans="1:13" x14ac:dyDescent="0.35">
      <c r="A613">
        <f>Result_notebook_retravaill!A613</f>
        <v>2031</v>
      </c>
      <c r="B613" t="str">
        <f>Result_notebook_retravaill!B613</f>
        <v>Graphite</v>
      </c>
      <c r="C613" t="str">
        <f>Result_notebook_retravaill!C613</f>
        <v>Global Net-zero</v>
      </c>
      <c r="D613" t="str">
        <f>Result_notebook_retravaill!D613</f>
        <v>Existing production</v>
      </c>
      <c r="E613" t="str">
        <f>Result_notebook_retravaill!E613</f>
        <v>Current shares</v>
      </c>
      <c r="F613" t="str">
        <f>Result_notebook_retravaill!F613</f>
        <v>Status Quo</v>
      </c>
      <c r="G613">
        <f>Result_notebook_retravaill!G613</f>
        <v>2047.251252746828</v>
      </c>
      <c r="H613" s="32">
        <f>IF(Result_notebook_retravaill!I613&gt;Result_notebook_retravaill!G613,Result_notebook_retravaill!I613/Result_notebook_retravaill!N613,Result_notebook_retravaill!H613)</f>
        <v>0</v>
      </c>
      <c r="I613" s="32">
        <f>Result_notebook_retravaill!K613</f>
        <v>2047.251252746828</v>
      </c>
      <c r="J613" s="32">
        <f>MIN(G613,Result_notebook_retravaill!I613)</f>
        <v>0</v>
      </c>
      <c r="K613" s="32">
        <f>IF(Result_notebook_retravaill!I613&gt;Result_notebook_retravaill!G613,0,IF(Result_notebook_retravaill!I613+Result_notebook_retravaill!J613&gt;Result_notebook_retravaill!G613,Result_notebook_retravaill!G613-Result_notebook_retravaill!I613,Result_notebook_retravaill!J613))</f>
        <v>0</v>
      </c>
      <c r="L613" s="32">
        <f>IF(Result_notebook_retravaill!I613&gt;Result_notebook_retravaill!G613,0,IF(Result_notebook_retravaill!I613+Result_notebook_retravaill!J613&gt;Result_notebook_retravaill!G613,0,Result_notebook_retravaill!M613))</f>
        <v>2047.251252746828</v>
      </c>
      <c r="M613" s="31">
        <f t="shared" si="9"/>
        <v>0</v>
      </c>
    </row>
    <row r="614" spans="1:13" x14ac:dyDescent="0.35">
      <c r="A614">
        <f>Result_notebook_retravaill!A614</f>
        <v>2031</v>
      </c>
      <c r="B614" t="str">
        <f>Result_notebook_retravaill!B614</f>
        <v>Graphite</v>
      </c>
      <c r="C614" t="str">
        <f>Result_notebook_retravaill!C614</f>
        <v>Global Net-zero</v>
      </c>
      <c r="D614" t="str">
        <f>Result_notebook_retravaill!D614</f>
        <v>Production potential</v>
      </c>
      <c r="E614" t="str">
        <f>Result_notebook_retravaill!E614</f>
        <v>Current shares</v>
      </c>
      <c r="F614" t="str">
        <f>Result_notebook_retravaill!F614</f>
        <v>Expansion Extractive</v>
      </c>
      <c r="G614">
        <f>Result_notebook_retravaill!G614</f>
        <v>2047.251252746828</v>
      </c>
      <c r="H614" s="32">
        <f>IF(Result_notebook_retravaill!I614&gt;Result_notebook_retravaill!G614,Result_notebook_retravaill!I614/Result_notebook_retravaill!N614,Result_notebook_retravaill!H614)</f>
        <v>55049.995881425435</v>
      </c>
      <c r="I614" s="32">
        <f>Result_notebook_retravaill!K614</f>
        <v>0</v>
      </c>
      <c r="J614" s="32">
        <f>MIN(G614,Result_notebook_retravaill!I614)</f>
        <v>2047.251252746828</v>
      </c>
      <c r="K614" s="32">
        <f>IF(Result_notebook_retravaill!I614&gt;Result_notebook_retravaill!G614,0,IF(Result_notebook_retravaill!I614+Result_notebook_retravaill!J614&gt;Result_notebook_retravaill!G614,Result_notebook_retravaill!G614-Result_notebook_retravaill!I614,Result_notebook_retravaill!J614))</f>
        <v>0</v>
      </c>
      <c r="L614" s="32">
        <f>IF(Result_notebook_retravaill!I614&gt;Result_notebook_retravaill!G614,0,IF(Result_notebook_retravaill!I614+Result_notebook_retravaill!J614&gt;Result_notebook_retravaill!G614,0,Result_notebook_retravaill!M614))</f>
        <v>0</v>
      </c>
      <c r="M614" s="31">
        <f t="shared" si="9"/>
        <v>0</v>
      </c>
    </row>
    <row r="615" spans="1:13" x14ac:dyDescent="0.35">
      <c r="A615">
        <f>Result_notebook_retravaill!A615</f>
        <v>2031</v>
      </c>
      <c r="B615" t="str">
        <f>Result_notebook_retravaill!B615</f>
        <v>Graphite</v>
      </c>
      <c r="C615" t="str">
        <f>Result_notebook_retravaill!C615</f>
        <v>Global Net-zero</v>
      </c>
      <c r="D615" t="str">
        <f>Result_notebook_retravaill!D615</f>
        <v>Production potential</v>
      </c>
      <c r="E615" t="str">
        <f>Result_notebook_retravaill!E615</f>
        <v>Current shares</v>
      </c>
      <c r="F615" t="str">
        <f>Result_notebook_retravaill!F615</f>
        <v>Expansion Extractive+Circularity</v>
      </c>
      <c r="G615">
        <f>Result_notebook_retravaill!G615</f>
        <v>2047.251252746828</v>
      </c>
      <c r="H615" s="32">
        <f>IF(Result_notebook_retravaill!I615&gt;Result_notebook_retravaill!G615,Result_notebook_retravaill!I615/Result_notebook_retravaill!N615,Result_notebook_retravaill!H615)</f>
        <v>55049.995881425435</v>
      </c>
      <c r="I615" s="32">
        <f>Result_notebook_retravaill!K615</f>
        <v>0</v>
      </c>
      <c r="J615" s="32">
        <f>MIN(G615,Result_notebook_retravaill!I615)</f>
        <v>2047.251252746828</v>
      </c>
      <c r="K615" s="32">
        <f>IF(Result_notebook_retravaill!I615&gt;Result_notebook_retravaill!G615,0,IF(Result_notebook_retravaill!I615+Result_notebook_retravaill!J615&gt;Result_notebook_retravaill!G615,Result_notebook_retravaill!G615-Result_notebook_retravaill!I615,Result_notebook_retravaill!J615))</f>
        <v>0</v>
      </c>
      <c r="L615" s="32">
        <f>IF(Result_notebook_retravaill!I615&gt;Result_notebook_retravaill!G615,0,IF(Result_notebook_retravaill!I615+Result_notebook_retravaill!J615&gt;Result_notebook_retravaill!G615,0,Result_notebook_retravaill!M615))</f>
        <v>0</v>
      </c>
      <c r="M615" s="31">
        <f t="shared" si="9"/>
        <v>0</v>
      </c>
    </row>
    <row r="616" spans="1:13" x14ac:dyDescent="0.35">
      <c r="A616">
        <f>Result_notebook_retravaill!A616</f>
        <v>2031</v>
      </c>
      <c r="B616" t="str">
        <f>Result_notebook_retravaill!B616</f>
        <v>Graphite</v>
      </c>
      <c r="C616" t="str">
        <f>Result_notebook_retravaill!C616</f>
        <v>Global Net-zero</v>
      </c>
      <c r="D616" t="str">
        <f>Result_notebook_retravaill!D616</f>
        <v>Production potential</v>
      </c>
      <c r="E616" t="str">
        <f>Result_notebook_retravaill!E616</f>
        <v>100% CAN</v>
      </c>
      <c r="F616" t="str">
        <f>Result_notebook_retravaill!F616</f>
        <v>Integrated</v>
      </c>
      <c r="G616">
        <f>Result_notebook_retravaill!G616</f>
        <v>2047.251252746828</v>
      </c>
      <c r="H616" s="32">
        <f>IF(Result_notebook_retravaill!I616&gt;Result_notebook_retravaill!G616,Result_notebook_retravaill!I616/Result_notebook_retravaill!N616,Result_notebook_retravaill!H616)</f>
        <v>55049.995881425435</v>
      </c>
      <c r="I616" s="32">
        <f>Result_notebook_retravaill!K616</f>
        <v>0</v>
      </c>
      <c r="J616" s="32">
        <f>MIN(G616,Result_notebook_retravaill!I616)</f>
        <v>2047.251252746828</v>
      </c>
      <c r="K616" s="32">
        <f>IF(Result_notebook_retravaill!I616&gt;Result_notebook_retravaill!G616,0,IF(Result_notebook_retravaill!I616+Result_notebook_retravaill!J616&gt;Result_notebook_retravaill!G616,Result_notebook_retravaill!G616-Result_notebook_retravaill!I616,Result_notebook_retravaill!J616))</f>
        <v>0</v>
      </c>
      <c r="L616" s="32">
        <f>IF(Result_notebook_retravaill!I616&gt;Result_notebook_retravaill!G616,0,IF(Result_notebook_retravaill!I616+Result_notebook_retravaill!J616&gt;Result_notebook_retravaill!G616,0,Result_notebook_retravaill!M616))</f>
        <v>0</v>
      </c>
      <c r="M616" s="31">
        <f t="shared" si="9"/>
        <v>0</v>
      </c>
    </row>
    <row r="617" spans="1:13" x14ac:dyDescent="0.35">
      <c r="A617">
        <f>Result_notebook_retravaill!A617</f>
        <v>2031</v>
      </c>
      <c r="B617" t="str">
        <f>Result_notebook_retravaill!B617</f>
        <v>Lithium</v>
      </c>
      <c r="C617" t="str">
        <f>Result_notebook_retravaill!C617</f>
        <v>Canada Net-zero</v>
      </c>
      <c r="D617" t="str">
        <f>Result_notebook_retravaill!D617</f>
        <v>Existing production</v>
      </c>
      <c r="E617" t="str">
        <f>Result_notebook_retravaill!E617</f>
        <v>Current shares</v>
      </c>
      <c r="F617" t="str">
        <f>Result_notebook_retravaill!F617</f>
        <v>NIMBY</v>
      </c>
      <c r="G617">
        <f>Result_notebook_retravaill!G617</f>
        <v>36619.276210392578</v>
      </c>
      <c r="H617" s="32">
        <f>IF(Result_notebook_retravaill!I617&gt;Result_notebook_retravaill!G617,Result_notebook_retravaill!I617/Result_notebook_retravaill!N617,Result_notebook_retravaill!H617)</f>
        <v>0</v>
      </c>
      <c r="I617" s="32">
        <f>Result_notebook_retravaill!K617</f>
        <v>52313.251729132258</v>
      </c>
      <c r="J617" s="32">
        <f>MIN(G617,Result_notebook_retravaill!I617)</f>
        <v>0</v>
      </c>
      <c r="K617" s="32">
        <f>IF(Result_notebook_retravaill!I617&gt;Result_notebook_retravaill!G617,0,IF(Result_notebook_retravaill!I617+Result_notebook_retravaill!J617&gt;Result_notebook_retravaill!G617,Result_notebook_retravaill!G617-Result_notebook_retravaill!I617,Result_notebook_retravaill!J617))</f>
        <v>0</v>
      </c>
      <c r="L617" s="32">
        <f>IF(Result_notebook_retravaill!I617&gt;Result_notebook_retravaill!G617,0,IF(Result_notebook_retravaill!I617+Result_notebook_retravaill!J617&gt;Result_notebook_retravaill!G617,0,Result_notebook_retravaill!M617))</f>
        <v>36619.276210392578</v>
      </c>
      <c r="M617" s="31">
        <f t="shared" si="9"/>
        <v>0</v>
      </c>
    </row>
    <row r="618" spans="1:13" x14ac:dyDescent="0.35">
      <c r="A618">
        <f>Result_notebook_retravaill!A618</f>
        <v>2031</v>
      </c>
      <c r="B618" t="str">
        <f>Result_notebook_retravaill!B618</f>
        <v>Lithium</v>
      </c>
      <c r="C618" t="str">
        <f>Result_notebook_retravaill!C618</f>
        <v>Canada Net-zero</v>
      </c>
      <c r="D618" t="str">
        <f>Result_notebook_retravaill!D618</f>
        <v>Existing production</v>
      </c>
      <c r="E618" t="str">
        <f>Result_notebook_retravaill!E618</f>
        <v>Current shares</v>
      </c>
      <c r="F618" t="str">
        <f>Result_notebook_retravaill!F618</f>
        <v>Status Quo</v>
      </c>
      <c r="G618">
        <f>Result_notebook_retravaill!G618</f>
        <v>36619.276210392578</v>
      </c>
      <c r="H618" s="32">
        <f>IF(Result_notebook_retravaill!I618&gt;Result_notebook_retravaill!G618,Result_notebook_retravaill!I618/Result_notebook_retravaill!N618,Result_notebook_retravaill!H618)</f>
        <v>38166</v>
      </c>
      <c r="I618" s="32">
        <f>Result_notebook_retravaill!K618</f>
        <v>14147.25172913226</v>
      </c>
      <c r="J618" s="32">
        <f>MIN(G618,Result_notebook_retravaill!I618)</f>
        <v>26684.54019296246</v>
      </c>
      <c r="K618" s="32">
        <f>IF(Result_notebook_retravaill!I618&gt;Result_notebook_retravaill!G618,0,IF(Result_notebook_retravaill!I618+Result_notebook_retravaill!J618&gt;Result_notebook_retravaill!G618,Result_notebook_retravaill!G618-Result_notebook_retravaill!I618,Result_notebook_retravaill!J618))</f>
        <v>3373.2838170940922</v>
      </c>
      <c r="L618" s="32">
        <f>IF(Result_notebook_retravaill!I618&gt;Result_notebook_retravaill!G618,0,IF(Result_notebook_retravaill!I618+Result_notebook_retravaill!J618&gt;Result_notebook_retravaill!G618,0,Result_notebook_retravaill!M618))</f>
        <v>6561.4522003360253</v>
      </c>
      <c r="M618" s="31">
        <f t="shared" si="9"/>
        <v>0</v>
      </c>
    </row>
    <row r="619" spans="1:13" x14ac:dyDescent="0.35">
      <c r="A619">
        <f>Result_notebook_retravaill!A619</f>
        <v>2031</v>
      </c>
      <c r="B619" t="str">
        <f>Result_notebook_retravaill!B619</f>
        <v>Lithium</v>
      </c>
      <c r="C619" t="str">
        <f>Result_notebook_retravaill!C619</f>
        <v>Canada Net-zero</v>
      </c>
      <c r="D619" t="str">
        <f>Result_notebook_retravaill!D619</f>
        <v>Production potential</v>
      </c>
      <c r="E619" t="str">
        <f>Result_notebook_retravaill!E619</f>
        <v>Current shares</v>
      </c>
      <c r="F619" t="str">
        <f>Result_notebook_retravaill!F619</f>
        <v>Expansion Extractive</v>
      </c>
      <c r="G619">
        <f>Result_notebook_retravaill!G619</f>
        <v>36619.276210392578</v>
      </c>
      <c r="H619" s="32">
        <f>IF(Result_notebook_retravaill!I619&gt;Result_notebook_retravaill!G619,Result_notebook_retravaill!I619/Result_notebook_retravaill!N619,Result_notebook_retravaill!H619)</f>
        <v>128659.68945825951</v>
      </c>
      <c r="I619" s="32">
        <f>Result_notebook_retravaill!K619</f>
        <v>0</v>
      </c>
      <c r="J619" s="32">
        <f>MIN(G619,Result_notebook_retravaill!I619)</f>
        <v>36619.276210392578</v>
      </c>
      <c r="K619" s="32">
        <f>IF(Result_notebook_retravaill!I619&gt;Result_notebook_retravaill!G619,0,IF(Result_notebook_retravaill!I619+Result_notebook_retravaill!J619&gt;Result_notebook_retravaill!G619,Result_notebook_retravaill!G619-Result_notebook_retravaill!I619,Result_notebook_retravaill!J619))</f>
        <v>0</v>
      </c>
      <c r="L619" s="32">
        <f>IF(Result_notebook_retravaill!I619&gt;Result_notebook_retravaill!G619,0,IF(Result_notebook_retravaill!I619+Result_notebook_retravaill!J619&gt;Result_notebook_retravaill!G619,0,Result_notebook_retravaill!M619))</f>
        <v>0</v>
      </c>
      <c r="M619" s="31">
        <f t="shared" si="9"/>
        <v>0</v>
      </c>
    </row>
    <row r="620" spans="1:13" x14ac:dyDescent="0.35">
      <c r="A620">
        <f>Result_notebook_retravaill!A620</f>
        <v>2031</v>
      </c>
      <c r="B620" t="str">
        <f>Result_notebook_retravaill!B620</f>
        <v>Lithium</v>
      </c>
      <c r="C620" t="str">
        <f>Result_notebook_retravaill!C620</f>
        <v>Canada Net-zero</v>
      </c>
      <c r="D620" t="str">
        <f>Result_notebook_retravaill!D620</f>
        <v>Production potential</v>
      </c>
      <c r="E620" t="str">
        <f>Result_notebook_retravaill!E620</f>
        <v>Current shares</v>
      </c>
      <c r="F620" t="str">
        <f>Result_notebook_retravaill!F620</f>
        <v>Expansion Extractive+Circularity</v>
      </c>
      <c r="G620">
        <f>Result_notebook_retravaill!G620</f>
        <v>36619.276210392578</v>
      </c>
      <c r="H620" s="32">
        <f>IF(Result_notebook_retravaill!I620&gt;Result_notebook_retravaill!G620,Result_notebook_retravaill!I620/Result_notebook_retravaill!N620,Result_notebook_retravaill!H620)</f>
        <v>128659.68945825951</v>
      </c>
      <c r="I620" s="32">
        <f>Result_notebook_retravaill!K620</f>
        <v>0</v>
      </c>
      <c r="J620" s="32">
        <f>MIN(G620,Result_notebook_retravaill!I620)</f>
        <v>36619.276210392578</v>
      </c>
      <c r="K620" s="32">
        <f>IF(Result_notebook_retravaill!I620&gt;Result_notebook_retravaill!G620,0,IF(Result_notebook_retravaill!I620+Result_notebook_retravaill!J620&gt;Result_notebook_retravaill!G620,Result_notebook_retravaill!G620-Result_notebook_retravaill!I620,Result_notebook_retravaill!J620))</f>
        <v>0</v>
      </c>
      <c r="L620" s="32">
        <f>IF(Result_notebook_retravaill!I620&gt;Result_notebook_retravaill!G620,0,IF(Result_notebook_retravaill!I620+Result_notebook_retravaill!J620&gt;Result_notebook_retravaill!G620,0,Result_notebook_retravaill!M620))</f>
        <v>0</v>
      </c>
      <c r="M620" s="31">
        <f t="shared" si="9"/>
        <v>0</v>
      </c>
    </row>
    <row r="621" spans="1:13" x14ac:dyDescent="0.35">
      <c r="A621">
        <f>Result_notebook_retravaill!A621</f>
        <v>2031</v>
      </c>
      <c r="B621" t="str">
        <f>Result_notebook_retravaill!B621</f>
        <v>Lithium</v>
      </c>
      <c r="C621" t="str">
        <f>Result_notebook_retravaill!C621</f>
        <v>Canada Net-zero</v>
      </c>
      <c r="D621" t="str">
        <f>Result_notebook_retravaill!D621</f>
        <v>Production potential</v>
      </c>
      <c r="E621" t="str">
        <f>Result_notebook_retravaill!E621</f>
        <v>100% CAN</v>
      </c>
      <c r="F621" t="str">
        <f>Result_notebook_retravaill!F621</f>
        <v>Integrated</v>
      </c>
      <c r="G621">
        <f>Result_notebook_retravaill!G621</f>
        <v>36619.276210392578</v>
      </c>
      <c r="H621" s="32">
        <f>IF(Result_notebook_retravaill!I621&gt;Result_notebook_retravaill!G621,Result_notebook_retravaill!I621/Result_notebook_retravaill!N621,Result_notebook_retravaill!H621)</f>
        <v>128659.68945825951</v>
      </c>
      <c r="I621" s="32">
        <f>Result_notebook_retravaill!K621</f>
        <v>0</v>
      </c>
      <c r="J621" s="32">
        <f>MIN(G621,Result_notebook_retravaill!I621)</f>
        <v>36619.276210392578</v>
      </c>
      <c r="K621" s="32">
        <f>IF(Result_notebook_retravaill!I621&gt;Result_notebook_retravaill!G621,0,IF(Result_notebook_retravaill!I621+Result_notebook_retravaill!J621&gt;Result_notebook_retravaill!G621,Result_notebook_retravaill!G621-Result_notebook_retravaill!I621,Result_notebook_retravaill!J621))</f>
        <v>0</v>
      </c>
      <c r="L621" s="32">
        <f>IF(Result_notebook_retravaill!I621&gt;Result_notebook_retravaill!G621,0,IF(Result_notebook_retravaill!I621+Result_notebook_retravaill!J621&gt;Result_notebook_retravaill!G621,0,Result_notebook_retravaill!M621))</f>
        <v>0</v>
      </c>
      <c r="M621" s="31">
        <f t="shared" si="9"/>
        <v>0</v>
      </c>
    </row>
    <row r="622" spans="1:13" x14ac:dyDescent="0.35">
      <c r="A622">
        <f>Result_notebook_retravaill!A622</f>
        <v>2031</v>
      </c>
      <c r="B622" t="str">
        <f>Result_notebook_retravaill!B622</f>
        <v>Lithium</v>
      </c>
      <c r="C622" t="str">
        <f>Result_notebook_retravaill!C622</f>
        <v>Current Measures</v>
      </c>
      <c r="D622" t="str">
        <f>Result_notebook_retravaill!D622</f>
        <v>Existing production</v>
      </c>
      <c r="E622" t="str">
        <f>Result_notebook_retravaill!E622</f>
        <v>Current shares</v>
      </c>
      <c r="F622" t="str">
        <f>Result_notebook_retravaill!F622</f>
        <v>NIMBY</v>
      </c>
      <c r="G622">
        <f>Result_notebook_retravaill!G622</f>
        <v>15933.093445224329</v>
      </c>
      <c r="H622" s="32">
        <f>IF(Result_notebook_retravaill!I622&gt;Result_notebook_retravaill!G622,Result_notebook_retravaill!I622/Result_notebook_retravaill!N622,Result_notebook_retravaill!H622)</f>
        <v>0</v>
      </c>
      <c r="I622" s="32">
        <f>Result_notebook_retravaill!K622</f>
        <v>22761.562064606191</v>
      </c>
      <c r="J622" s="32">
        <f>MIN(G622,Result_notebook_retravaill!I622)</f>
        <v>0</v>
      </c>
      <c r="K622" s="32">
        <f>IF(Result_notebook_retravaill!I622&gt;Result_notebook_retravaill!G622,0,IF(Result_notebook_retravaill!I622+Result_notebook_retravaill!J622&gt;Result_notebook_retravaill!G622,Result_notebook_retravaill!G622-Result_notebook_retravaill!I622,Result_notebook_retravaill!J622))</f>
        <v>0</v>
      </c>
      <c r="L622" s="32">
        <f>IF(Result_notebook_retravaill!I622&gt;Result_notebook_retravaill!G622,0,IF(Result_notebook_retravaill!I622+Result_notebook_retravaill!J622&gt;Result_notebook_retravaill!G622,0,Result_notebook_retravaill!M622))</f>
        <v>15933.093445224329</v>
      </c>
      <c r="M622" s="31">
        <f t="shared" si="9"/>
        <v>0</v>
      </c>
    </row>
    <row r="623" spans="1:13" x14ac:dyDescent="0.35">
      <c r="A623">
        <f>Result_notebook_retravaill!A623</f>
        <v>2031</v>
      </c>
      <c r="B623" t="str">
        <f>Result_notebook_retravaill!B623</f>
        <v>Lithium</v>
      </c>
      <c r="C623" t="str">
        <f>Result_notebook_retravaill!C623</f>
        <v>Current Measures</v>
      </c>
      <c r="D623" t="str">
        <f>Result_notebook_retravaill!D623</f>
        <v>Existing production</v>
      </c>
      <c r="E623" t="str">
        <f>Result_notebook_retravaill!E623</f>
        <v>Current shares</v>
      </c>
      <c r="F623" t="str">
        <f>Result_notebook_retravaill!F623</f>
        <v>Status Quo</v>
      </c>
      <c r="G623">
        <f>Result_notebook_retravaill!G623</f>
        <v>15933.093445224329</v>
      </c>
      <c r="H623" s="32">
        <f>IF(Result_notebook_retravaill!I623&gt;Result_notebook_retravaill!G623,Result_notebook_retravaill!I623/Result_notebook_retravaill!N623,Result_notebook_retravaill!H623)</f>
        <v>33882.764123705747</v>
      </c>
      <c r="I623" s="32">
        <f>Result_notebook_retravaill!K623</f>
        <v>0</v>
      </c>
      <c r="J623" s="32">
        <f>MIN(G623,Result_notebook_retravaill!I623)</f>
        <v>15933.093445224329</v>
      </c>
      <c r="K623" s="32">
        <f>IF(Result_notebook_retravaill!I623&gt;Result_notebook_retravaill!G623,0,IF(Result_notebook_retravaill!I623+Result_notebook_retravaill!J623&gt;Result_notebook_retravaill!G623,Result_notebook_retravaill!G623-Result_notebook_retravaill!I623,Result_notebook_retravaill!J623))</f>
        <v>0</v>
      </c>
      <c r="L623" s="32">
        <f>IF(Result_notebook_retravaill!I623&gt;Result_notebook_retravaill!G623,0,IF(Result_notebook_retravaill!I623+Result_notebook_retravaill!J623&gt;Result_notebook_retravaill!G623,0,Result_notebook_retravaill!M623))</f>
        <v>0</v>
      </c>
      <c r="M623" s="31">
        <f t="shared" si="9"/>
        <v>0</v>
      </c>
    </row>
    <row r="624" spans="1:13" x14ac:dyDescent="0.35">
      <c r="A624">
        <f>Result_notebook_retravaill!A624</f>
        <v>2031</v>
      </c>
      <c r="B624" t="str">
        <f>Result_notebook_retravaill!B624</f>
        <v>Lithium</v>
      </c>
      <c r="C624" t="str">
        <f>Result_notebook_retravaill!C624</f>
        <v>Current Measures</v>
      </c>
      <c r="D624" t="str">
        <f>Result_notebook_retravaill!D624</f>
        <v>Production potential</v>
      </c>
      <c r="E624" t="str">
        <f>Result_notebook_retravaill!E624</f>
        <v>Current shares</v>
      </c>
      <c r="F624" t="str">
        <f>Result_notebook_retravaill!F624</f>
        <v>Expansion Extractive</v>
      </c>
      <c r="G624">
        <f>Result_notebook_retravaill!G624</f>
        <v>15933.093445224329</v>
      </c>
      <c r="H624" s="32">
        <f>IF(Result_notebook_retravaill!I624&gt;Result_notebook_retravaill!G624,Result_notebook_retravaill!I624/Result_notebook_retravaill!N624,Result_notebook_retravaill!H624)</f>
        <v>128659.68945825951</v>
      </c>
      <c r="I624" s="32">
        <f>Result_notebook_retravaill!K624</f>
        <v>0</v>
      </c>
      <c r="J624" s="32">
        <f>MIN(G624,Result_notebook_retravaill!I624)</f>
        <v>15933.093445224329</v>
      </c>
      <c r="K624" s="32">
        <f>IF(Result_notebook_retravaill!I624&gt;Result_notebook_retravaill!G624,0,IF(Result_notebook_retravaill!I624+Result_notebook_retravaill!J624&gt;Result_notebook_retravaill!G624,Result_notebook_retravaill!G624-Result_notebook_retravaill!I624,Result_notebook_retravaill!J624))</f>
        <v>0</v>
      </c>
      <c r="L624" s="32">
        <f>IF(Result_notebook_retravaill!I624&gt;Result_notebook_retravaill!G624,0,IF(Result_notebook_retravaill!I624+Result_notebook_retravaill!J624&gt;Result_notebook_retravaill!G624,0,Result_notebook_retravaill!M624))</f>
        <v>0</v>
      </c>
      <c r="M624" s="31">
        <f t="shared" si="9"/>
        <v>0</v>
      </c>
    </row>
    <row r="625" spans="1:13" x14ac:dyDescent="0.35">
      <c r="A625">
        <f>Result_notebook_retravaill!A625</f>
        <v>2031</v>
      </c>
      <c r="B625" t="str">
        <f>Result_notebook_retravaill!B625</f>
        <v>Lithium</v>
      </c>
      <c r="C625" t="str">
        <f>Result_notebook_retravaill!C625</f>
        <v>Current Measures</v>
      </c>
      <c r="D625" t="str">
        <f>Result_notebook_retravaill!D625</f>
        <v>Production potential</v>
      </c>
      <c r="E625" t="str">
        <f>Result_notebook_retravaill!E625</f>
        <v>Current shares</v>
      </c>
      <c r="F625" t="str">
        <f>Result_notebook_retravaill!F625</f>
        <v>Expansion Extractive+Circularity</v>
      </c>
      <c r="G625">
        <f>Result_notebook_retravaill!G625</f>
        <v>15933.093445224329</v>
      </c>
      <c r="H625" s="32">
        <f>IF(Result_notebook_retravaill!I625&gt;Result_notebook_retravaill!G625,Result_notebook_retravaill!I625/Result_notebook_retravaill!N625,Result_notebook_retravaill!H625)</f>
        <v>128659.68945825951</v>
      </c>
      <c r="I625" s="32">
        <f>Result_notebook_retravaill!K625</f>
        <v>0</v>
      </c>
      <c r="J625" s="32">
        <f>MIN(G625,Result_notebook_retravaill!I625)</f>
        <v>15933.093445224329</v>
      </c>
      <c r="K625" s="32">
        <f>IF(Result_notebook_retravaill!I625&gt;Result_notebook_retravaill!G625,0,IF(Result_notebook_retravaill!I625+Result_notebook_retravaill!J625&gt;Result_notebook_retravaill!G625,Result_notebook_retravaill!G625-Result_notebook_retravaill!I625,Result_notebook_retravaill!J625))</f>
        <v>0</v>
      </c>
      <c r="L625" s="32">
        <f>IF(Result_notebook_retravaill!I625&gt;Result_notebook_retravaill!G625,0,IF(Result_notebook_retravaill!I625+Result_notebook_retravaill!J625&gt;Result_notebook_retravaill!G625,0,Result_notebook_retravaill!M625))</f>
        <v>0</v>
      </c>
      <c r="M625" s="31">
        <f t="shared" si="9"/>
        <v>0</v>
      </c>
    </row>
    <row r="626" spans="1:13" x14ac:dyDescent="0.35">
      <c r="A626">
        <f>Result_notebook_retravaill!A626</f>
        <v>2031</v>
      </c>
      <c r="B626" t="str">
        <f>Result_notebook_retravaill!B626</f>
        <v>Lithium</v>
      </c>
      <c r="C626" t="str">
        <f>Result_notebook_retravaill!C626</f>
        <v>Current Measures</v>
      </c>
      <c r="D626" t="str">
        <f>Result_notebook_retravaill!D626</f>
        <v>Production potential</v>
      </c>
      <c r="E626" t="str">
        <f>Result_notebook_retravaill!E626</f>
        <v>100% CAN</v>
      </c>
      <c r="F626" t="str">
        <f>Result_notebook_retravaill!F626</f>
        <v>Integrated</v>
      </c>
      <c r="G626">
        <f>Result_notebook_retravaill!G626</f>
        <v>15933.093445224329</v>
      </c>
      <c r="H626" s="32">
        <f>IF(Result_notebook_retravaill!I626&gt;Result_notebook_retravaill!G626,Result_notebook_retravaill!I626/Result_notebook_retravaill!N626,Result_notebook_retravaill!H626)</f>
        <v>128659.68945825951</v>
      </c>
      <c r="I626" s="32">
        <f>Result_notebook_retravaill!K626</f>
        <v>0</v>
      </c>
      <c r="J626" s="32">
        <f>MIN(G626,Result_notebook_retravaill!I626)</f>
        <v>15933.093445224329</v>
      </c>
      <c r="K626" s="32">
        <f>IF(Result_notebook_retravaill!I626&gt;Result_notebook_retravaill!G626,0,IF(Result_notebook_retravaill!I626+Result_notebook_retravaill!J626&gt;Result_notebook_retravaill!G626,Result_notebook_retravaill!G626-Result_notebook_retravaill!I626,Result_notebook_retravaill!J626))</f>
        <v>0</v>
      </c>
      <c r="L626" s="32">
        <f>IF(Result_notebook_retravaill!I626&gt;Result_notebook_retravaill!G626,0,IF(Result_notebook_retravaill!I626+Result_notebook_retravaill!J626&gt;Result_notebook_retravaill!G626,0,Result_notebook_retravaill!M626))</f>
        <v>0</v>
      </c>
      <c r="M626" s="31">
        <f t="shared" si="9"/>
        <v>0</v>
      </c>
    </row>
    <row r="627" spans="1:13" x14ac:dyDescent="0.35">
      <c r="A627">
        <f>Result_notebook_retravaill!A627</f>
        <v>2031</v>
      </c>
      <c r="B627" t="str">
        <f>Result_notebook_retravaill!B627</f>
        <v>Lithium</v>
      </c>
      <c r="C627" t="str">
        <f>Result_notebook_retravaill!C627</f>
        <v>Global Net-zero</v>
      </c>
      <c r="D627" t="str">
        <f>Result_notebook_retravaill!D627</f>
        <v>Existing production</v>
      </c>
      <c r="E627" t="str">
        <f>Result_notebook_retravaill!E627</f>
        <v>Current shares</v>
      </c>
      <c r="F627" t="str">
        <f>Result_notebook_retravaill!F627</f>
        <v>NIMBY</v>
      </c>
      <c r="G627">
        <f>Result_notebook_retravaill!G627</f>
        <v>34709.732425890121</v>
      </c>
      <c r="H627" s="32">
        <f>IF(Result_notebook_retravaill!I627&gt;Result_notebook_retravaill!G627,Result_notebook_retravaill!I627/Result_notebook_retravaill!N627,Result_notebook_retravaill!H627)</f>
        <v>0</v>
      </c>
      <c r="I627" s="32">
        <f>Result_notebook_retravaill!K627</f>
        <v>49585.332036985892</v>
      </c>
      <c r="J627" s="32">
        <f>MIN(G627,Result_notebook_retravaill!I627)</f>
        <v>0</v>
      </c>
      <c r="K627" s="32">
        <f>IF(Result_notebook_retravaill!I627&gt;Result_notebook_retravaill!G627,0,IF(Result_notebook_retravaill!I627+Result_notebook_retravaill!J627&gt;Result_notebook_retravaill!G627,Result_notebook_retravaill!G627-Result_notebook_retravaill!I627,Result_notebook_retravaill!J627))</f>
        <v>0</v>
      </c>
      <c r="L627" s="32">
        <f>IF(Result_notebook_retravaill!I627&gt;Result_notebook_retravaill!G627,0,IF(Result_notebook_retravaill!I627+Result_notebook_retravaill!J627&gt;Result_notebook_retravaill!G627,0,Result_notebook_retravaill!M627))</f>
        <v>34709.732425890121</v>
      </c>
      <c r="M627" s="31">
        <f t="shared" si="9"/>
        <v>0</v>
      </c>
    </row>
    <row r="628" spans="1:13" x14ac:dyDescent="0.35">
      <c r="A628">
        <f>Result_notebook_retravaill!A628</f>
        <v>2031</v>
      </c>
      <c r="B628" t="str">
        <f>Result_notebook_retravaill!B628</f>
        <v>Lithium</v>
      </c>
      <c r="C628" t="str">
        <f>Result_notebook_retravaill!C628</f>
        <v>Global Net-zero</v>
      </c>
      <c r="D628" t="str">
        <f>Result_notebook_retravaill!D628</f>
        <v>Existing production</v>
      </c>
      <c r="E628" t="str">
        <f>Result_notebook_retravaill!E628</f>
        <v>Current shares</v>
      </c>
      <c r="F628" t="str">
        <f>Result_notebook_retravaill!F628</f>
        <v>Status Quo</v>
      </c>
      <c r="G628">
        <f>Result_notebook_retravaill!G628</f>
        <v>34709.732425890121</v>
      </c>
      <c r="H628" s="32">
        <f>IF(Result_notebook_retravaill!I628&gt;Result_notebook_retravaill!G628,Result_notebook_retravaill!I628/Result_notebook_retravaill!N628,Result_notebook_retravaill!H628)</f>
        <v>38166</v>
      </c>
      <c r="I628" s="32">
        <f>Result_notebook_retravaill!K628</f>
        <v>11419.33203698589</v>
      </c>
      <c r="J628" s="32">
        <f>MIN(G628,Result_notebook_retravaill!I628)</f>
        <v>26684.54019296246</v>
      </c>
      <c r="K628" s="32">
        <f>IF(Result_notebook_retravaill!I628&gt;Result_notebook_retravaill!G628,0,IF(Result_notebook_retravaill!I628+Result_notebook_retravaill!J628&gt;Result_notebook_retravaill!G628,Result_notebook_retravaill!G628-Result_notebook_retravaill!I628,Result_notebook_retravaill!J628))</f>
        <v>3373.2838170940922</v>
      </c>
      <c r="L628" s="32">
        <f>IF(Result_notebook_retravaill!I628&gt;Result_notebook_retravaill!G628,0,IF(Result_notebook_retravaill!I628+Result_notebook_retravaill!J628&gt;Result_notebook_retravaill!G628,0,Result_notebook_retravaill!M628))</f>
        <v>4651.9084158335681</v>
      </c>
      <c r="M628" s="31">
        <f t="shared" si="9"/>
        <v>0</v>
      </c>
    </row>
    <row r="629" spans="1:13" x14ac:dyDescent="0.35">
      <c r="A629">
        <f>Result_notebook_retravaill!A629</f>
        <v>2031</v>
      </c>
      <c r="B629" t="str">
        <f>Result_notebook_retravaill!B629</f>
        <v>Lithium</v>
      </c>
      <c r="C629" t="str">
        <f>Result_notebook_retravaill!C629</f>
        <v>Global Net-zero</v>
      </c>
      <c r="D629" t="str">
        <f>Result_notebook_retravaill!D629</f>
        <v>Production potential</v>
      </c>
      <c r="E629" t="str">
        <f>Result_notebook_retravaill!E629</f>
        <v>Current shares</v>
      </c>
      <c r="F629" t="str">
        <f>Result_notebook_retravaill!F629</f>
        <v>Expansion Extractive</v>
      </c>
      <c r="G629">
        <f>Result_notebook_retravaill!G629</f>
        <v>34709.732425890121</v>
      </c>
      <c r="H629" s="32">
        <f>IF(Result_notebook_retravaill!I629&gt;Result_notebook_retravaill!G629,Result_notebook_retravaill!I629/Result_notebook_retravaill!N629,Result_notebook_retravaill!H629)</f>
        <v>128659.68945825951</v>
      </c>
      <c r="I629" s="32">
        <f>Result_notebook_retravaill!K629</f>
        <v>0</v>
      </c>
      <c r="J629" s="32">
        <f>MIN(G629,Result_notebook_retravaill!I629)</f>
        <v>34709.732425890121</v>
      </c>
      <c r="K629" s="32">
        <f>IF(Result_notebook_retravaill!I629&gt;Result_notebook_retravaill!G629,0,IF(Result_notebook_retravaill!I629+Result_notebook_retravaill!J629&gt;Result_notebook_retravaill!G629,Result_notebook_retravaill!G629-Result_notebook_retravaill!I629,Result_notebook_retravaill!J629))</f>
        <v>0</v>
      </c>
      <c r="L629" s="32">
        <f>IF(Result_notebook_retravaill!I629&gt;Result_notebook_retravaill!G629,0,IF(Result_notebook_retravaill!I629+Result_notebook_retravaill!J629&gt;Result_notebook_retravaill!G629,0,Result_notebook_retravaill!M629))</f>
        <v>0</v>
      </c>
      <c r="M629" s="31">
        <f t="shared" si="9"/>
        <v>0</v>
      </c>
    </row>
    <row r="630" spans="1:13" x14ac:dyDescent="0.35">
      <c r="A630">
        <f>Result_notebook_retravaill!A630</f>
        <v>2031</v>
      </c>
      <c r="B630" t="str">
        <f>Result_notebook_retravaill!B630</f>
        <v>Lithium</v>
      </c>
      <c r="C630" t="str">
        <f>Result_notebook_retravaill!C630</f>
        <v>Global Net-zero</v>
      </c>
      <c r="D630" t="str">
        <f>Result_notebook_retravaill!D630</f>
        <v>Production potential</v>
      </c>
      <c r="E630" t="str">
        <f>Result_notebook_retravaill!E630</f>
        <v>Current shares</v>
      </c>
      <c r="F630" t="str">
        <f>Result_notebook_retravaill!F630</f>
        <v>Expansion Extractive+Circularity</v>
      </c>
      <c r="G630">
        <f>Result_notebook_retravaill!G630</f>
        <v>34709.732425890121</v>
      </c>
      <c r="H630" s="32">
        <f>IF(Result_notebook_retravaill!I630&gt;Result_notebook_retravaill!G630,Result_notebook_retravaill!I630/Result_notebook_retravaill!N630,Result_notebook_retravaill!H630)</f>
        <v>128659.68945825951</v>
      </c>
      <c r="I630" s="32">
        <f>Result_notebook_retravaill!K630</f>
        <v>0</v>
      </c>
      <c r="J630" s="32">
        <f>MIN(G630,Result_notebook_retravaill!I630)</f>
        <v>34709.732425890121</v>
      </c>
      <c r="K630" s="32">
        <f>IF(Result_notebook_retravaill!I630&gt;Result_notebook_retravaill!G630,0,IF(Result_notebook_retravaill!I630+Result_notebook_retravaill!J630&gt;Result_notebook_retravaill!G630,Result_notebook_retravaill!G630-Result_notebook_retravaill!I630,Result_notebook_retravaill!J630))</f>
        <v>0</v>
      </c>
      <c r="L630" s="32">
        <f>IF(Result_notebook_retravaill!I630&gt;Result_notebook_retravaill!G630,0,IF(Result_notebook_retravaill!I630+Result_notebook_retravaill!J630&gt;Result_notebook_retravaill!G630,0,Result_notebook_retravaill!M630))</f>
        <v>0</v>
      </c>
      <c r="M630" s="31">
        <f t="shared" si="9"/>
        <v>0</v>
      </c>
    </row>
    <row r="631" spans="1:13" x14ac:dyDescent="0.35">
      <c r="A631">
        <f>Result_notebook_retravaill!A631</f>
        <v>2031</v>
      </c>
      <c r="B631" t="str">
        <f>Result_notebook_retravaill!B631</f>
        <v>Lithium</v>
      </c>
      <c r="C631" t="str">
        <f>Result_notebook_retravaill!C631</f>
        <v>Global Net-zero</v>
      </c>
      <c r="D631" t="str">
        <f>Result_notebook_retravaill!D631</f>
        <v>Production potential</v>
      </c>
      <c r="E631" t="str">
        <f>Result_notebook_retravaill!E631</f>
        <v>100% CAN</v>
      </c>
      <c r="F631" t="str">
        <f>Result_notebook_retravaill!F631</f>
        <v>Integrated</v>
      </c>
      <c r="G631">
        <f>Result_notebook_retravaill!G631</f>
        <v>34709.732425890121</v>
      </c>
      <c r="H631" s="32">
        <f>IF(Result_notebook_retravaill!I631&gt;Result_notebook_retravaill!G631,Result_notebook_retravaill!I631/Result_notebook_retravaill!N631,Result_notebook_retravaill!H631)</f>
        <v>128659.68945825951</v>
      </c>
      <c r="I631" s="32">
        <f>Result_notebook_retravaill!K631</f>
        <v>0</v>
      </c>
      <c r="J631" s="32">
        <f>MIN(G631,Result_notebook_retravaill!I631)</f>
        <v>34709.732425890121</v>
      </c>
      <c r="K631" s="32">
        <f>IF(Result_notebook_retravaill!I631&gt;Result_notebook_retravaill!G631,0,IF(Result_notebook_retravaill!I631+Result_notebook_retravaill!J631&gt;Result_notebook_retravaill!G631,Result_notebook_retravaill!G631-Result_notebook_retravaill!I631,Result_notebook_retravaill!J631))</f>
        <v>0</v>
      </c>
      <c r="L631" s="32">
        <f>IF(Result_notebook_retravaill!I631&gt;Result_notebook_retravaill!G631,0,IF(Result_notebook_retravaill!I631+Result_notebook_retravaill!J631&gt;Result_notebook_retravaill!G631,0,Result_notebook_retravaill!M631))</f>
        <v>0</v>
      </c>
      <c r="M631" s="31">
        <f t="shared" si="9"/>
        <v>0</v>
      </c>
    </row>
    <row r="632" spans="1:13" x14ac:dyDescent="0.35">
      <c r="A632">
        <f>Result_notebook_retravaill!A632</f>
        <v>2032</v>
      </c>
      <c r="B632" t="str">
        <f>Result_notebook_retravaill!B632</f>
        <v>Cobalt</v>
      </c>
      <c r="C632" t="str">
        <f>Result_notebook_retravaill!C632</f>
        <v>Canada Net-zero</v>
      </c>
      <c r="D632" t="str">
        <f>Result_notebook_retravaill!D632</f>
        <v>Existing production</v>
      </c>
      <c r="E632" t="str">
        <f>Result_notebook_retravaill!E632</f>
        <v>Current shares</v>
      </c>
      <c r="F632" t="str">
        <f>Result_notebook_retravaill!F632</f>
        <v>NIMBY</v>
      </c>
      <c r="G632">
        <f>Result_notebook_retravaill!G632</f>
        <v>92402.4738250386</v>
      </c>
      <c r="H632" s="32">
        <f>IF(Result_notebook_retravaill!I632&gt;Result_notebook_retravaill!G632,Result_notebook_retravaill!I632/Result_notebook_retravaill!N632,Result_notebook_retravaill!H632)</f>
        <v>0</v>
      </c>
      <c r="I632" s="32">
        <f>Result_notebook_retravaill!K632</f>
        <v>210005.62232963319</v>
      </c>
      <c r="J632" s="32">
        <f>MIN(G632,Result_notebook_retravaill!I632)</f>
        <v>0</v>
      </c>
      <c r="K632" s="32">
        <f>IF(Result_notebook_retravaill!I632&gt;Result_notebook_retravaill!G632,0,IF(Result_notebook_retravaill!I632+Result_notebook_retravaill!J632&gt;Result_notebook_retravaill!G632,Result_notebook_retravaill!G632-Result_notebook_retravaill!I632,Result_notebook_retravaill!J632))</f>
        <v>0</v>
      </c>
      <c r="L632" s="32">
        <f>IF(Result_notebook_retravaill!I632&gt;Result_notebook_retravaill!G632,0,IF(Result_notebook_retravaill!I632+Result_notebook_retravaill!J632&gt;Result_notebook_retravaill!G632,0,Result_notebook_retravaill!M632))</f>
        <v>92402.4738250386</v>
      </c>
      <c r="M632" s="31">
        <f t="shared" si="9"/>
        <v>0</v>
      </c>
    </row>
    <row r="633" spans="1:13" x14ac:dyDescent="0.35">
      <c r="A633">
        <f>Result_notebook_retravaill!A633</f>
        <v>2032</v>
      </c>
      <c r="B633" t="str">
        <f>Result_notebook_retravaill!B633</f>
        <v>Cobalt</v>
      </c>
      <c r="C633" t="str">
        <f>Result_notebook_retravaill!C633</f>
        <v>Canada Net-zero</v>
      </c>
      <c r="D633" t="str">
        <f>Result_notebook_retravaill!D633</f>
        <v>Existing production</v>
      </c>
      <c r="E633" t="str">
        <f>Result_notebook_retravaill!E633</f>
        <v>Current shares</v>
      </c>
      <c r="F633" t="str">
        <f>Result_notebook_retravaill!F633</f>
        <v>Status Quo</v>
      </c>
      <c r="G633">
        <f>Result_notebook_retravaill!G633</f>
        <v>92402.4738250386</v>
      </c>
      <c r="H633" s="32">
        <f>IF(Result_notebook_retravaill!I633&gt;Result_notebook_retravaill!G633,Result_notebook_retravaill!I633/Result_notebook_retravaill!N633,Result_notebook_retravaill!H633)</f>
        <v>3392</v>
      </c>
      <c r="I633" s="32">
        <f>Result_notebook_retravaill!K633</f>
        <v>206613.62232963319</v>
      </c>
      <c r="J633" s="32">
        <f>MIN(G633,Result_notebook_retravaill!I633)</f>
        <v>1438.824761843257</v>
      </c>
      <c r="K633" s="32">
        <f>IF(Result_notebook_retravaill!I633&gt;Result_notebook_retravaill!G633,0,IF(Result_notebook_retravaill!I633+Result_notebook_retravaill!J633&gt;Result_notebook_retravaill!G633,Result_notebook_retravaill!G633-Result_notebook_retravaill!I633,Result_notebook_retravaill!J633))</f>
        <v>51.438788966972425</v>
      </c>
      <c r="L633" s="32">
        <f>IF(Result_notebook_retravaill!I633&gt;Result_notebook_retravaill!G633,0,IF(Result_notebook_retravaill!I633+Result_notebook_retravaill!J633&gt;Result_notebook_retravaill!G633,0,Result_notebook_retravaill!M633))</f>
        <v>90912.210274228375</v>
      </c>
      <c r="M633" s="31">
        <f t="shared" si="9"/>
        <v>0</v>
      </c>
    </row>
    <row r="634" spans="1:13" x14ac:dyDescent="0.35">
      <c r="A634">
        <f>Result_notebook_retravaill!A634</f>
        <v>2032</v>
      </c>
      <c r="B634" t="str">
        <f>Result_notebook_retravaill!B634</f>
        <v>Cobalt</v>
      </c>
      <c r="C634" t="str">
        <f>Result_notebook_retravaill!C634</f>
        <v>Canada Net-zero</v>
      </c>
      <c r="D634" t="str">
        <f>Result_notebook_retravaill!D634</f>
        <v>Production potential</v>
      </c>
      <c r="E634" t="str">
        <f>Result_notebook_retravaill!E634</f>
        <v>Current shares</v>
      </c>
      <c r="F634" t="str">
        <f>Result_notebook_retravaill!F634</f>
        <v>Expansion Extractive</v>
      </c>
      <c r="G634">
        <f>Result_notebook_retravaill!G634</f>
        <v>92402.4738250386</v>
      </c>
      <c r="H634" s="32">
        <f>IF(Result_notebook_retravaill!I634&gt;Result_notebook_retravaill!G634,Result_notebook_retravaill!I634/Result_notebook_retravaill!N634,Result_notebook_retravaill!H634)</f>
        <v>10201.72293008911</v>
      </c>
      <c r="I634" s="32">
        <f>Result_notebook_retravaill!K634</f>
        <v>199803.89939954411</v>
      </c>
      <c r="J634" s="32">
        <f>MIN(G634,Result_notebook_retravaill!I634)</f>
        <v>4327.3854850460966</v>
      </c>
      <c r="K634" s="32">
        <f>IF(Result_notebook_retravaill!I634&gt;Result_notebook_retravaill!G634,0,IF(Result_notebook_retravaill!I634+Result_notebook_retravaill!J634&gt;Result_notebook_retravaill!G634,Result_notebook_retravaill!G634-Result_notebook_retravaill!I634,Result_notebook_retravaill!J634))</f>
        <v>154.70644837864802</v>
      </c>
      <c r="L634" s="32">
        <f>IF(Result_notebook_retravaill!I634&gt;Result_notebook_retravaill!G634,0,IF(Result_notebook_retravaill!I634+Result_notebook_retravaill!J634&gt;Result_notebook_retravaill!G634,0,Result_notebook_retravaill!M634))</f>
        <v>87920.381891613855</v>
      </c>
      <c r="M634" s="31">
        <f t="shared" si="9"/>
        <v>0</v>
      </c>
    </row>
    <row r="635" spans="1:13" x14ac:dyDescent="0.35">
      <c r="A635">
        <f>Result_notebook_retravaill!A635</f>
        <v>2032</v>
      </c>
      <c r="B635" t="str">
        <f>Result_notebook_retravaill!B635</f>
        <v>Cobalt</v>
      </c>
      <c r="C635" t="str">
        <f>Result_notebook_retravaill!C635</f>
        <v>Canada Net-zero</v>
      </c>
      <c r="D635" t="str">
        <f>Result_notebook_retravaill!D635</f>
        <v>Production potential</v>
      </c>
      <c r="E635" t="str">
        <f>Result_notebook_retravaill!E635</f>
        <v>Current shares</v>
      </c>
      <c r="F635" t="str">
        <f>Result_notebook_retravaill!F635</f>
        <v>Expansion Extractive+Circularity</v>
      </c>
      <c r="G635">
        <f>Result_notebook_retravaill!G635</f>
        <v>92402.4738250386</v>
      </c>
      <c r="H635" s="32">
        <f>IF(Result_notebook_retravaill!I635&gt;Result_notebook_retravaill!G635,Result_notebook_retravaill!I635/Result_notebook_retravaill!N635,Result_notebook_retravaill!H635)</f>
        <v>10201.72293008911</v>
      </c>
      <c r="I635" s="32">
        <f>Result_notebook_retravaill!K635</f>
        <v>199803.89939954411</v>
      </c>
      <c r="J635" s="32">
        <f>MIN(G635,Result_notebook_retravaill!I635)</f>
        <v>4327.3854850460966</v>
      </c>
      <c r="K635" s="32">
        <f>IF(Result_notebook_retravaill!I635&gt;Result_notebook_retravaill!G635,0,IF(Result_notebook_retravaill!I635+Result_notebook_retravaill!J635&gt;Result_notebook_retravaill!G635,Result_notebook_retravaill!G635-Result_notebook_retravaill!I635,Result_notebook_retravaill!J635))</f>
        <v>154.70644837864802</v>
      </c>
      <c r="L635" s="32">
        <f>IF(Result_notebook_retravaill!I635&gt;Result_notebook_retravaill!G635,0,IF(Result_notebook_retravaill!I635+Result_notebook_retravaill!J635&gt;Result_notebook_retravaill!G635,0,Result_notebook_retravaill!M635))</f>
        <v>87920.381891613855</v>
      </c>
      <c r="M635" s="31">
        <f t="shared" si="9"/>
        <v>0</v>
      </c>
    </row>
    <row r="636" spans="1:13" x14ac:dyDescent="0.35">
      <c r="A636">
        <f>Result_notebook_retravaill!A636</f>
        <v>2032</v>
      </c>
      <c r="B636" t="str">
        <f>Result_notebook_retravaill!B636</f>
        <v>Cobalt</v>
      </c>
      <c r="C636" t="str">
        <f>Result_notebook_retravaill!C636</f>
        <v>Canada Net-zero</v>
      </c>
      <c r="D636" t="str">
        <f>Result_notebook_retravaill!D636</f>
        <v>Production potential</v>
      </c>
      <c r="E636" t="str">
        <f>Result_notebook_retravaill!E636</f>
        <v>100% CAN</v>
      </c>
      <c r="F636" t="str">
        <f>Result_notebook_retravaill!F636</f>
        <v>Integrated</v>
      </c>
      <c r="G636">
        <f>Result_notebook_retravaill!G636</f>
        <v>92402.4738250386</v>
      </c>
      <c r="H636" s="32">
        <f>IF(Result_notebook_retravaill!I636&gt;Result_notebook_retravaill!G636,Result_notebook_retravaill!I636/Result_notebook_retravaill!N636,Result_notebook_retravaill!H636)</f>
        <v>10201.72293008911</v>
      </c>
      <c r="I636" s="32">
        <f>Result_notebook_retravaill!K636</f>
        <v>199803.89939954411</v>
      </c>
      <c r="J636" s="32">
        <f>MIN(G636,Result_notebook_retravaill!I636)</f>
        <v>4482.0919334247501</v>
      </c>
      <c r="K636" s="32">
        <f>IF(Result_notebook_retravaill!I636&gt;Result_notebook_retravaill!G636,0,IF(Result_notebook_retravaill!I636+Result_notebook_retravaill!J636&gt;Result_notebook_retravaill!G636,Result_notebook_retravaill!G636-Result_notebook_retravaill!I636,Result_notebook_retravaill!J636))</f>
        <v>0</v>
      </c>
      <c r="L636" s="32">
        <f>IF(Result_notebook_retravaill!I636&gt;Result_notebook_retravaill!G636,0,IF(Result_notebook_retravaill!I636+Result_notebook_retravaill!J636&gt;Result_notebook_retravaill!G636,0,Result_notebook_retravaill!M636))</f>
        <v>87920.381891613855</v>
      </c>
      <c r="M636" s="31">
        <f t="shared" si="9"/>
        <v>0</v>
      </c>
    </row>
    <row r="637" spans="1:13" x14ac:dyDescent="0.35">
      <c r="A637">
        <f>Result_notebook_retravaill!A637</f>
        <v>2032</v>
      </c>
      <c r="B637" t="str">
        <f>Result_notebook_retravaill!B637</f>
        <v>Cobalt</v>
      </c>
      <c r="C637" t="str">
        <f>Result_notebook_retravaill!C637</f>
        <v>Current Measures</v>
      </c>
      <c r="D637" t="str">
        <f>Result_notebook_retravaill!D637</f>
        <v>Existing production</v>
      </c>
      <c r="E637" t="str">
        <f>Result_notebook_retravaill!E637</f>
        <v>Current shares</v>
      </c>
      <c r="F637" t="str">
        <f>Result_notebook_retravaill!F637</f>
        <v>NIMBY</v>
      </c>
      <c r="G637">
        <f>Result_notebook_retravaill!G637</f>
        <v>38753.635859275622</v>
      </c>
      <c r="H637" s="32">
        <f>IF(Result_notebook_retravaill!I637&gt;Result_notebook_retravaill!G637,Result_notebook_retravaill!I637/Result_notebook_retravaill!N637,Result_notebook_retravaill!H637)</f>
        <v>0</v>
      </c>
      <c r="I637" s="32">
        <f>Result_notebook_retravaill!K637</f>
        <v>88076.445134717316</v>
      </c>
      <c r="J637" s="32">
        <f>MIN(G637,Result_notebook_retravaill!I637)</f>
        <v>0</v>
      </c>
      <c r="K637" s="32">
        <f>IF(Result_notebook_retravaill!I637&gt;Result_notebook_retravaill!G637,0,IF(Result_notebook_retravaill!I637+Result_notebook_retravaill!J637&gt;Result_notebook_retravaill!G637,Result_notebook_retravaill!G637-Result_notebook_retravaill!I637,Result_notebook_retravaill!J637))</f>
        <v>0</v>
      </c>
      <c r="L637" s="32">
        <f>IF(Result_notebook_retravaill!I637&gt;Result_notebook_retravaill!G637,0,IF(Result_notebook_retravaill!I637+Result_notebook_retravaill!J637&gt;Result_notebook_retravaill!G637,0,Result_notebook_retravaill!M637))</f>
        <v>38753.635859275622</v>
      </c>
      <c r="M637" s="31">
        <f t="shared" si="9"/>
        <v>0</v>
      </c>
    </row>
    <row r="638" spans="1:13" x14ac:dyDescent="0.35">
      <c r="A638">
        <f>Result_notebook_retravaill!A638</f>
        <v>2032</v>
      </c>
      <c r="B638" t="str">
        <f>Result_notebook_retravaill!B638</f>
        <v>Cobalt</v>
      </c>
      <c r="C638" t="str">
        <f>Result_notebook_retravaill!C638</f>
        <v>Current Measures</v>
      </c>
      <c r="D638" t="str">
        <f>Result_notebook_retravaill!D638</f>
        <v>Existing production</v>
      </c>
      <c r="E638" t="str">
        <f>Result_notebook_retravaill!E638</f>
        <v>Current shares</v>
      </c>
      <c r="F638" t="str">
        <f>Result_notebook_retravaill!F638</f>
        <v>Status Quo</v>
      </c>
      <c r="G638">
        <f>Result_notebook_retravaill!G638</f>
        <v>38753.635859275622</v>
      </c>
      <c r="H638" s="32">
        <f>IF(Result_notebook_retravaill!I638&gt;Result_notebook_retravaill!G638,Result_notebook_retravaill!I638/Result_notebook_retravaill!N638,Result_notebook_retravaill!H638)</f>
        <v>3392</v>
      </c>
      <c r="I638" s="32">
        <f>Result_notebook_retravaill!K638</f>
        <v>84684.445134717316</v>
      </c>
      <c r="J638" s="32">
        <f>MIN(G638,Result_notebook_retravaill!I638)</f>
        <v>1438.824761843257</v>
      </c>
      <c r="K638" s="32">
        <f>IF(Result_notebook_retravaill!I638&gt;Result_notebook_retravaill!G638,0,IF(Result_notebook_retravaill!I638+Result_notebook_retravaill!J638&gt;Result_notebook_retravaill!G638,Result_notebook_retravaill!G638-Result_notebook_retravaill!I638,Result_notebook_retravaill!J638))</f>
        <v>51.438788966972425</v>
      </c>
      <c r="L638" s="32">
        <f>IF(Result_notebook_retravaill!I638&gt;Result_notebook_retravaill!G638,0,IF(Result_notebook_retravaill!I638+Result_notebook_retravaill!J638&gt;Result_notebook_retravaill!G638,0,Result_notebook_retravaill!M638))</f>
        <v>37263.372308465383</v>
      </c>
      <c r="M638" s="31">
        <f t="shared" si="9"/>
        <v>0</v>
      </c>
    </row>
    <row r="639" spans="1:13" x14ac:dyDescent="0.35">
      <c r="A639">
        <f>Result_notebook_retravaill!A639</f>
        <v>2032</v>
      </c>
      <c r="B639" t="str">
        <f>Result_notebook_retravaill!B639</f>
        <v>Cobalt</v>
      </c>
      <c r="C639" t="str">
        <f>Result_notebook_retravaill!C639</f>
        <v>Current Measures</v>
      </c>
      <c r="D639" t="str">
        <f>Result_notebook_retravaill!D639</f>
        <v>Production potential</v>
      </c>
      <c r="E639" t="str">
        <f>Result_notebook_retravaill!E639</f>
        <v>Current shares</v>
      </c>
      <c r="F639" t="str">
        <f>Result_notebook_retravaill!F639</f>
        <v>Expansion Extractive</v>
      </c>
      <c r="G639">
        <f>Result_notebook_retravaill!G639</f>
        <v>38753.635859275622</v>
      </c>
      <c r="H639" s="32">
        <f>IF(Result_notebook_retravaill!I639&gt;Result_notebook_retravaill!G639,Result_notebook_retravaill!I639/Result_notebook_retravaill!N639,Result_notebook_retravaill!H639)</f>
        <v>10201.72293008911</v>
      </c>
      <c r="I639" s="32">
        <f>Result_notebook_retravaill!K639</f>
        <v>77874.722204628197</v>
      </c>
      <c r="J639" s="32">
        <f>MIN(G639,Result_notebook_retravaill!I639)</f>
        <v>4327.3854850460966</v>
      </c>
      <c r="K639" s="32">
        <f>IF(Result_notebook_retravaill!I639&gt;Result_notebook_retravaill!G639,0,IF(Result_notebook_retravaill!I639+Result_notebook_retravaill!J639&gt;Result_notebook_retravaill!G639,Result_notebook_retravaill!G639-Result_notebook_retravaill!I639,Result_notebook_retravaill!J639))</f>
        <v>154.70644837864802</v>
      </c>
      <c r="L639" s="32">
        <f>IF(Result_notebook_retravaill!I639&gt;Result_notebook_retravaill!G639,0,IF(Result_notebook_retravaill!I639+Result_notebook_retravaill!J639&gt;Result_notebook_retravaill!G639,0,Result_notebook_retravaill!M639))</f>
        <v>34271.543925850878</v>
      </c>
      <c r="M639" s="31">
        <f t="shared" si="9"/>
        <v>0</v>
      </c>
    </row>
    <row r="640" spans="1:13" x14ac:dyDescent="0.35">
      <c r="A640">
        <f>Result_notebook_retravaill!A640</f>
        <v>2032</v>
      </c>
      <c r="B640" t="str">
        <f>Result_notebook_retravaill!B640</f>
        <v>Cobalt</v>
      </c>
      <c r="C640" t="str">
        <f>Result_notebook_retravaill!C640</f>
        <v>Current Measures</v>
      </c>
      <c r="D640" t="str">
        <f>Result_notebook_retravaill!D640</f>
        <v>Production potential</v>
      </c>
      <c r="E640" t="str">
        <f>Result_notebook_retravaill!E640</f>
        <v>Current shares</v>
      </c>
      <c r="F640" t="str">
        <f>Result_notebook_retravaill!F640</f>
        <v>Expansion Extractive+Circularity</v>
      </c>
      <c r="G640">
        <f>Result_notebook_retravaill!G640</f>
        <v>38753.635859275622</v>
      </c>
      <c r="H640" s="32">
        <f>IF(Result_notebook_retravaill!I640&gt;Result_notebook_retravaill!G640,Result_notebook_retravaill!I640/Result_notebook_retravaill!N640,Result_notebook_retravaill!H640)</f>
        <v>10201.72293008911</v>
      </c>
      <c r="I640" s="32">
        <f>Result_notebook_retravaill!K640</f>
        <v>77874.722204628197</v>
      </c>
      <c r="J640" s="32">
        <f>MIN(G640,Result_notebook_retravaill!I640)</f>
        <v>4327.3854850460966</v>
      </c>
      <c r="K640" s="32">
        <f>IF(Result_notebook_retravaill!I640&gt;Result_notebook_retravaill!G640,0,IF(Result_notebook_retravaill!I640+Result_notebook_retravaill!J640&gt;Result_notebook_retravaill!G640,Result_notebook_retravaill!G640-Result_notebook_retravaill!I640,Result_notebook_retravaill!J640))</f>
        <v>154.70644837864802</v>
      </c>
      <c r="L640" s="32">
        <f>IF(Result_notebook_retravaill!I640&gt;Result_notebook_retravaill!G640,0,IF(Result_notebook_retravaill!I640+Result_notebook_retravaill!J640&gt;Result_notebook_retravaill!G640,0,Result_notebook_retravaill!M640))</f>
        <v>34271.543925850878</v>
      </c>
      <c r="M640" s="31">
        <f t="shared" si="9"/>
        <v>0</v>
      </c>
    </row>
    <row r="641" spans="1:13" x14ac:dyDescent="0.35">
      <c r="A641">
        <f>Result_notebook_retravaill!A641</f>
        <v>2032</v>
      </c>
      <c r="B641" t="str">
        <f>Result_notebook_retravaill!B641</f>
        <v>Cobalt</v>
      </c>
      <c r="C641" t="str">
        <f>Result_notebook_retravaill!C641</f>
        <v>Current Measures</v>
      </c>
      <c r="D641" t="str">
        <f>Result_notebook_retravaill!D641</f>
        <v>Production potential</v>
      </c>
      <c r="E641" t="str">
        <f>Result_notebook_retravaill!E641</f>
        <v>100% CAN</v>
      </c>
      <c r="F641" t="str">
        <f>Result_notebook_retravaill!F641</f>
        <v>Integrated</v>
      </c>
      <c r="G641">
        <f>Result_notebook_retravaill!G641</f>
        <v>38753.635859275622</v>
      </c>
      <c r="H641" s="32">
        <f>IF(Result_notebook_retravaill!I641&gt;Result_notebook_retravaill!G641,Result_notebook_retravaill!I641/Result_notebook_retravaill!N641,Result_notebook_retravaill!H641)</f>
        <v>10201.72293008911</v>
      </c>
      <c r="I641" s="32">
        <f>Result_notebook_retravaill!K641</f>
        <v>77874.722204628197</v>
      </c>
      <c r="J641" s="32">
        <f>MIN(G641,Result_notebook_retravaill!I641)</f>
        <v>4482.0919334247501</v>
      </c>
      <c r="K641" s="32">
        <f>IF(Result_notebook_retravaill!I641&gt;Result_notebook_retravaill!G641,0,IF(Result_notebook_retravaill!I641+Result_notebook_retravaill!J641&gt;Result_notebook_retravaill!G641,Result_notebook_retravaill!G641-Result_notebook_retravaill!I641,Result_notebook_retravaill!J641))</f>
        <v>0</v>
      </c>
      <c r="L641" s="32">
        <f>IF(Result_notebook_retravaill!I641&gt;Result_notebook_retravaill!G641,0,IF(Result_notebook_retravaill!I641+Result_notebook_retravaill!J641&gt;Result_notebook_retravaill!G641,0,Result_notebook_retravaill!M641))</f>
        <v>34271.54392585087</v>
      </c>
      <c r="M641" s="31">
        <f t="shared" si="9"/>
        <v>0</v>
      </c>
    </row>
    <row r="642" spans="1:13" x14ac:dyDescent="0.35">
      <c r="A642">
        <f>Result_notebook_retravaill!A642</f>
        <v>2032</v>
      </c>
      <c r="B642" t="str">
        <f>Result_notebook_retravaill!B642</f>
        <v>Cobalt</v>
      </c>
      <c r="C642" t="str">
        <f>Result_notebook_retravaill!C642</f>
        <v>Global Net-zero</v>
      </c>
      <c r="D642" t="str">
        <f>Result_notebook_retravaill!D642</f>
        <v>Existing production</v>
      </c>
      <c r="E642" t="str">
        <f>Result_notebook_retravaill!E642</f>
        <v>Current shares</v>
      </c>
      <c r="F642" t="str">
        <f>Result_notebook_retravaill!F642</f>
        <v>NIMBY</v>
      </c>
      <c r="G642">
        <f>Result_notebook_retravaill!G642</f>
        <v>87567.768233932453</v>
      </c>
      <c r="H642" s="32">
        <f>IF(Result_notebook_retravaill!I642&gt;Result_notebook_retravaill!G642,Result_notebook_retravaill!I642/Result_notebook_retravaill!N642,Result_notebook_retravaill!H642)</f>
        <v>0</v>
      </c>
      <c r="I642" s="32">
        <f>Result_notebook_retravaill!K642</f>
        <v>199017.65507711921</v>
      </c>
      <c r="J642" s="32">
        <f>MIN(G642,Result_notebook_retravaill!I642)</f>
        <v>0</v>
      </c>
      <c r="K642" s="32">
        <f>IF(Result_notebook_retravaill!I642&gt;Result_notebook_retravaill!G642,0,IF(Result_notebook_retravaill!I642+Result_notebook_retravaill!J642&gt;Result_notebook_retravaill!G642,Result_notebook_retravaill!G642-Result_notebook_retravaill!I642,Result_notebook_retravaill!J642))</f>
        <v>0</v>
      </c>
      <c r="L642" s="32">
        <f>IF(Result_notebook_retravaill!I642&gt;Result_notebook_retravaill!G642,0,IF(Result_notebook_retravaill!I642+Result_notebook_retravaill!J642&gt;Result_notebook_retravaill!G642,0,Result_notebook_retravaill!M642))</f>
        <v>87567.768233932453</v>
      </c>
      <c r="M642" s="31">
        <f t="shared" si="9"/>
        <v>0</v>
      </c>
    </row>
    <row r="643" spans="1:13" x14ac:dyDescent="0.35">
      <c r="A643">
        <f>Result_notebook_retravaill!A643</f>
        <v>2032</v>
      </c>
      <c r="B643" t="str">
        <f>Result_notebook_retravaill!B643</f>
        <v>Cobalt</v>
      </c>
      <c r="C643" t="str">
        <f>Result_notebook_retravaill!C643</f>
        <v>Global Net-zero</v>
      </c>
      <c r="D643" t="str">
        <f>Result_notebook_retravaill!D643</f>
        <v>Existing production</v>
      </c>
      <c r="E643" t="str">
        <f>Result_notebook_retravaill!E643</f>
        <v>Current shares</v>
      </c>
      <c r="F643" t="str">
        <f>Result_notebook_retravaill!F643</f>
        <v>Status Quo</v>
      </c>
      <c r="G643">
        <f>Result_notebook_retravaill!G643</f>
        <v>87567.768233932453</v>
      </c>
      <c r="H643" s="32">
        <f>IF(Result_notebook_retravaill!I643&gt;Result_notebook_retravaill!G643,Result_notebook_retravaill!I643/Result_notebook_retravaill!N643,Result_notebook_retravaill!H643)</f>
        <v>3392</v>
      </c>
      <c r="I643" s="32">
        <f>Result_notebook_retravaill!K643</f>
        <v>195625.65507711921</v>
      </c>
      <c r="J643" s="32">
        <f>MIN(G643,Result_notebook_retravaill!I643)</f>
        <v>1438.824761843257</v>
      </c>
      <c r="K643" s="32">
        <f>IF(Result_notebook_retravaill!I643&gt;Result_notebook_retravaill!G643,0,IF(Result_notebook_retravaill!I643+Result_notebook_retravaill!J643&gt;Result_notebook_retravaill!G643,Result_notebook_retravaill!G643-Result_notebook_retravaill!I643,Result_notebook_retravaill!J643))</f>
        <v>51.438788966972425</v>
      </c>
      <c r="L643" s="32">
        <f>IF(Result_notebook_retravaill!I643&gt;Result_notebook_retravaill!G643,0,IF(Result_notebook_retravaill!I643+Result_notebook_retravaill!J643&gt;Result_notebook_retravaill!G643,0,Result_notebook_retravaill!M643))</f>
        <v>86077.504683122228</v>
      </c>
      <c r="M643" s="31">
        <f t="shared" ref="M643:M706" si="10">SUM(J643:L643)-G643</f>
        <v>0</v>
      </c>
    </row>
    <row r="644" spans="1:13" x14ac:dyDescent="0.35">
      <c r="A644">
        <f>Result_notebook_retravaill!A644</f>
        <v>2032</v>
      </c>
      <c r="B644" t="str">
        <f>Result_notebook_retravaill!B644</f>
        <v>Cobalt</v>
      </c>
      <c r="C644" t="str">
        <f>Result_notebook_retravaill!C644</f>
        <v>Global Net-zero</v>
      </c>
      <c r="D644" t="str">
        <f>Result_notebook_retravaill!D644</f>
        <v>Production potential</v>
      </c>
      <c r="E644" t="str">
        <f>Result_notebook_retravaill!E644</f>
        <v>Current shares</v>
      </c>
      <c r="F644" t="str">
        <f>Result_notebook_retravaill!F644</f>
        <v>Expansion Extractive</v>
      </c>
      <c r="G644">
        <f>Result_notebook_retravaill!G644</f>
        <v>87567.768233932453</v>
      </c>
      <c r="H644" s="32">
        <f>IF(Result_notebook_retravaill!I644&gt;Result_notebook_retravaill!G644,Result_notebook_retravaill!I644/Result_notebook_retravaill!N644,Result_notebook_retravaill!H644)</f>
        <v>10201.72293008911</v>
      </c>
      <c r="I644" s="32">
        <f>Result_notebook_retravaill!K644</f>
        <v>188815.93214703011</v>
      </c>
      <c r="J644" s="32">
        <f>MIN(G644,Result_notebook_retravaill!I644)</f>
        <v>4327.3854850460966</v>
      </c>
      <c r="K644" s="32">
        <f>IF(Result_notebook_retravaill!I644&gt;Result_notebook_retravaill!G644,0,IF(Result_notebook_retravaill!I644+Result_notebook_retravaill!J644&gt;Result_notebook_retravaill!G644,Result_notebook_retravaill!G644-Result_notebook_retravaill!I644,Result_notebook_retravaill!J644))</f>
        <v>154.70644837864802</v>
      </c>
      <c r="L644" s="32">
        <f>IF(Result_notebook_retravaill!I644&gt;Result_notebook_retravaill!G644,0,IF(Result_notebook_retravaill!I644+Result_notebook_retravaill!J644&gt;Result_notebook_retravaill!G644,0,Result_notebook_retravaill!M644))</f>
        <v>83085.676300507708</v>
      </c>
      <c r="M644" s="31">
        <f t="shared" si="10"/>
        <v>0</v>
      </c>
    </row>
    <row r="645" spans="1:13" x14ac:dyDescent="0.35">
      <c r="A645">
        <f>Result_notebook_retravaill!A645</f>
        <v>2032</v>
      </c>
      <c r="B645" t="str">
        <f>Result_notebook_retravaill!B645</f>
        <v>Cobalt</v>
      </c>
      <c r="C645" t="str">
        <f>Result_notebook_retravaill!C645</f>
        <v>Global Net-zero</v>
      </c>
      <c r="D645" t="str">
        <f>Result_notebook_retravaill!D645</f>
        <v>Production potential</v>
      </c>
      <c r="E645" t="str">
        <f>Result_notebook_retravaill!E645</f>
        <v>Current shares</v>
      </c>
      <c r="F645" t="str">
        <f>Result_notebook_retravaill!F645</f>
        <v>Expansion Extractive+Circularity</v>
      </c>
      <c r="G645">
        <f>Result_notebook_retravaill!G645</f>
        <v>87567.768233932453</v>
      </c>
      <c r="H645" s="32">
        <f>IF(Result_notebook_retravaill!I645&gt;Result_notebook_retravaill!G645,Result_notebook_retravaill!I645/Result_notebook_retravaill!N645,Result_notebook_retravaill!H645)</f>
        <v>10201.72293008911</v>
      </c>
      <c r="I645" s="32">
        <f>Result_notebook_retravaill!K645</f>
        <v>188815.93214703011</v>
      </c>
      <c r="J645" s="32">
        <f>MIN(G645,Result_notebook_retravaill!I645)</f>
        <v>4327.3854850460966</v>
      </c>
      <c r="K645" s="32">
        <f>IF(Result_notebook_retravaill!I645&gt;Result_notebook_retravaill!G645,0,IF(Result_notebook_retravaill!I645+Result_notebook_retravaill!J645&gt;Result_notebook_retravaill!G645,Result_notebook_retravaill!G645-Result_notebook_retravaill!I645,Result_notebook_retravaill!J645))</f>
        <v>154.70644837864802</v>
      </c>
      <c r="L645" s="32">
        <f>IF(Result_notebook_retravaill!I645&gt;Result_notebook_retravaill!G645,0,IF(Result_notebook_retravaill!I645+Result_notebook_retravaill!J645&gt;Result_notebook_retravaill!G645,0,Result_notebook_retravaill!M645))</f>
        <v>83085.676300507708</v>
      </c>
      <c r="M645" s="31">
        <f t="shared" si="10"/>
        <v>0</v>
      </c>
    </row>
    <row r="646" spans="1:13" x14ac:dyDescent="0.35">
      <c r="A646">
        <f>Result_notebook_retravaill!A646</f>
        <v>2032</v>
      </c>
      <c r="B646" t="str">
        <f>Result_notebook_retravaill!B646</f>
        <v>Cobalt</v>
      </c>
      <c r="C646" t="str">
        <f>Result_notebook_retravaill!C646</f>
        <v>Global Net-zero</v>
      </c>
      <c r="D646" t="str">
        <f>Result_notebook_retravaill!D646</f>
        <v>Production potential</v>
      </c>
      <c r="E646" t="str">
        <f>Result_notebook_retravaill!E646</f>
        <v>100% CAN</v>
      </c>
      <c r="F646" t="str">
        <f>Result_notebook_retravaill!F646</f>
        <v>Integrated</v>
      </c>
      <c r="G646">
        <f>Result_notebook_retravaill!G646</f>
        <v>87567.768233932453</v>
      </c>
      <c r="H646" s="32">
        <f>IF(Result_notebook_retravaill!I646&gt;Result_notebook_retravaill!G646,Result_notebook_retravaill!I646/Result_notebook_retravaill!N646,Result_notebook_retravaill!H646)</f>
        <v>10201.72293008911</v>
      </c>
      <c r="I646" s="32">
        <f>Result_notebook_retravaill!K646</f>
        <v>188815.93214703011</v>
      </c>
      <c r="J646" s="32">
        <f>MIN(G646,Result_notebook_retravaill!I646)</f>
        <v>4482.0919334247501</v>
      </c>
      <c r="K646" s="32">
        <f>IF(Result_notebook_retravaill!I646&gt;Result_notebook_retravaill!G646,0,IF(Result_notebook_retravaill!I646+Result_notebook_retravaill!J646&gt;Result_notebook_retravaill!G646,Result_notebook_retravaill!G646-Result_notebook_retravaill!I646,Result_notebook_retravaill!J646))</f>
        <v>0</v>
      </c>
      <c r="L646" s="32">
        <f>IF(Result_notebook_retravaill!I646&gt;Result_notebook_retravaill!G646,0,IF(Result_notebook_retravaill!I646+Result_notebook_retravaill!J646&gt;Result_notebook_retravaill!G646,0,Result_notebook_retravaill!M646))</f>
        <v>83085.676300507708</v>
      </c>
      <c r="M646" s="31">
        <f t="shared" si="10"/>
        <v>0</v>
      </c>
    </row>
    <row r="647" spans="1:13" x14ac:dyDescent="0.35">
      <c r="A647">
        <f>Result_notebook_retravaill!A647</f>
        <v>2032</v>
      </c>
      <c r="B647" t="str">
        <f>Result_notebook_retravaill!B647</f>
        <v>Copper</v>
      </c>
      <c r="C647" t="str">
        <f>Result_notebook_retravaill!C647</f>
        <v>Canada Net-zero</v>
      </c>
      <c r="D647" t="str">
        <f>Result_notebook_retravaill!D647</f>
        <v>Existing production</v>
      </c>
      <c r="E647" t="str">
        <f>Result_notebook_retravaill!E647</f>
        <v>Current shares</v>
      </c>
      <c r="F647" t="str">
        <f>Result_notebook_retravaill!F647</f>
        <v>NIMBY</v>
      </c>
      <c r="G647">
        <f>Result_notebook_retravaill!G647</f>
        <v>1157294.299877228</v>
      </c>
      <c r="H647" s="32">
        <f>IF(Result_notebook_retravaill!I647&gt;Result_notebook_retravaill!G647,Result_notebook_retravaill!I647/Result_notebook_retravaill!N647,Result_notebook_retravaill!H647)</f>
        <v>0</v>
      </c>
      <c r="I647" s="32">
        <f>Result_notebook_retravaill!K647</f>
        <v>1394330.481779793</v>
      </c>
      <c r="J647" s="32">
        <f>MIN(G647,Result_notebook_retravaill!I647)</f>
        <v>0</v>
      </c>
      <c r="K647" s="32">
        <f>IF(Result_notebook_retravaill!I647&gt;Result_notebook_retravaill!G647,0,IF(Result_notebook_retravaill!I647+Result_notebook_retravaill!J647&gt;Result_notebook_retravaill!G647,Result_notebook_retravaill!G647-Result_notebook_retravaill!I647,Result_notebook_retravaill!J647))</f>
        <v>0</v>
      </c>
      <c r="L647" s="32">
        <f>IF(Result_notebook_retravaill!I647&gt;Result_notebook_retravaill!G647,0,IF(Result_notebook_retravaill!I647+Result_notebook_retravaill!J647&gt;Result_notebook_retravaill!G647,0,Result_notebook_retravaill!M647))</f>
        <v>1157294.299877228</v>
      </c>
      <c r="M647" s="31">
        <f t="shared" si="10"/>
        <v>0</v>
      </c>
    </row>
    <row r="648" spans="1:13" x14ac:dyDescent="0.35">
      <c r="A648">
        <f>Result_notebook_retravaill!A648</f>
        <v>2032</v>
      </c>
      <c r="B648" t="str">
        <f>Result_notebook_retravaill!B648</f>
        <v>Copper</v>
      </c>
      <c r="C648" t="str">
        <f>Result_notebook_retravaill!C648</f>
        <v>Canada Net-zero</v>
      </c>
      <c r="D648" t="str">
        <f>Result_notebook_retravaill!D648</f>
        <v>Existing production</v>
      </c>
      <c r="E648" t="str">
        <f>Result_notebook_retravaill!E648</f>
        <v>Current shares</v>
      </c>
      <c r="F648" t="str">
        <f>Result_notebook_retravaill!F648</f>
        <v>Status Quo</v>
      </c>
      <c r="G648">
        <f>Result_notebook_retravaill!G648</f>
        <v>1157294.299877228</v>
      </c>
      <c r="H648" s="32">
        <f>IF(Result_notebook_retravaill!I648&gt;Result_notebook_retravaill!G648,Result_notebook_retravaill!I648/Result_notebook_retravaill!N648,Result_notebook_retravaill!H648)</f>
        <v>309453</v>
      </c>
      <c r="I648" s="32">
        <f>Result_notebook_retravaill!K648</f>
        <v>1084877.481779793</v>
      </c>
      <c r="J648" s="32">
        <f>MIN(G648,Result_notebook_retravaill!I648)</f>
        <v>162651.1851674339</v>
      </c>
      <c r="K648" s="32">
        <f>IF(Result_notebook_retravaill!I648&gt;Result_notebook_retravaill!G648,0,IF(Result_notebook_retravaill!I648+Result_notebook_retravaill!J648&gt;Result_notebook_retravaill!G648,Result_notebook_retravaill!G648-Result_notebook_retravaill!I648,Result_notebook_retravaill!J648))</f>
        <v>95663.395341040537</v>
      </c>
      <c r="L648" s="32">
        <f>IF(Result_notebook_retravaill!I648&gt;Result_notebook_retravaill!G648,0,IF(Result_notebook_retravaill!I648+Result_notebook_retravaill!J648&gt;Result_notebook_retravaill!G648,0,Result_notebook_retravaill!M648))</f>
        <v>898979.71936875349</v>
      </c>
      <c r="M648" s="31">
        <f t="shared" si="10"/>
        <v>0</v>
      </c>
    </row>
    <row r="649" spans="1:13" x14ac:dyDescent="0.35">
      <c r="A649">
        <f>Result_notebook_retravaill!A649</f>
        <v>2032</v>
      </c>
      <c r="B649" t="str">
        <f>Result_notebook_retravaill!B649</f>
        <v>Copper</v>
      </c>
      <c r="C649" t="str">
        <f>Result_notebook_retravaill!C649</f>
        <v>Canada Net-zero</v>
      </c>
      <c r="D649" t="str">
        <f>Result_notebook_retravaill!D649</f>
        <v>Production potential</v>
      </c>
      <c r="E649" t="str">
        <f>Result_notebook_retravaill!E649</f>
        <v>Current shares</v>
      </c>
      <c r="F649" t="str">
        <f>Result_notebook_retravaill!F649</f>
        <v>Expansion Extractive</v>
      </c>
      <c r="G649">
        <f>Result_notebook_retravaill!G649</f>
        <v>1157294.299877228</v>
      </c>
      <c r="H649" s="32">
        <f>IF(Result_notebook_retravaill!I649&gt;Result_notebook_retravaill!G649,Result_notebook_retravaill!I649/Result_notebook_retravaill!N649,Result_notebook_retravaill!H649)</f>
        <v>758265.43720270914</v>
      </c>
      <c r="I649" s="32">
        <f>Result_notebook_retravaill!K649</f>
        <v>636065.04457708367</v>
      </c>
      <c r="J649" s="32">
        <f>MIN(G649,Result_notebook_retravaill!I649)</f>
        <v>398550.90121124388</v>
      </c>
      <c r="K649" s="32">
        <f>IF(Result_notebook_retravaill!I649&gt;Result_notebook_retravaill!G649,0,IF(Result_notebook_retravaill!I649+Result_notebook_retravaill!J649&gt;Result_notebook_retravaill!G649,Result_notebook_retravaill!G649-Result_notebook_retravaill!I649,Result_notebook_retravaill!J649))</f>
        <v>234407.95950457657</v>
      </c>
      <c r="L649" s="32">
        <f>IF(Result_notebook_retravaill!I649&gt;Result_notebook_retravaill!G649,0,IF(Result_notebook_retravaill!I649+Result_notebook_retravaill!J649&gt;Result_notebook_retravaill!G649,0,Result_notebook_retravaill!M649))</f>
        <v>524335.43916140753</v>
      </c>
      <c r="M649" s="31">
        <f t="shared" si="10"/>
        <v>0</v>
      </c>
    </row>
    <row r="650" spans="1:13" x14ac:dyDescent="0.35">
      <c r="A650">
        <f>Result_notebook_retravaill!A650</f>
        <v>2032</v>
      </c>
      <c r="B650" t="str">
        <f>Result_notebook_retravaill!B650</f>
        <v>Copper</v>
      </c>
      <c r="C650" t="str">
        <f>Result_notebook_retravaill!C650</f>
        <v>Canada Net-zero</v>
      </c>
      <c r="D650" t="str">
        <f>Result_notebook_retravaill!D650</f>
        <v>Production potential</v>
      </c>
      <c r="E650" t="str">
        <f>Result_notebook_retravaill!E650</f>
        <v>Current shares</v>
      </c>
      <c r="F650" t="str">
        <f>Result_notebook_retravaill!F650</f>
        <v>Expansion Extractive+Circularity</v>
      </c>
      <c r="G650">
        <f>Result_notebook_retravaill!G650</f>
        <v>1157294.299877228</v>
      </c>
      <c r="H650" s="32">
        <f>IF(Result_notebook_retravaill!I650&gt;Result_notebook_retravaill!G650,Result_notebook_retravaill!I650/Result_notebook_retravaill!N650,Result_notebook_retravaill!H650)</f>
        <v>758265.43720270914</v>
      </c>
      <c r="I650" s="32">
        <f>Result_notebook_retravaill!K650</f>
        <v>636065.04457708367</v>
      </c>
      <c r="J650" s="32">
        <f>MIN(G650,Result_notebook_retravaill!I650)</f>
        <v>398550.90121124388</v>
      </c>
      <c r="K650" s="32">
        <f>IF(Result_notebook_retravaill!I650&gt;Result_notebook_retravaill!G650,0,IF(Result_notebook_retravaill!I650+Result_notebook_retravaill!J650&gt;Result_notebook_retravaill!G650,Result_notebook_retravaill!G650-Result_notebook_retravaill!I650,Result_notebook_retravaill!J650))</f>
        <v>234407.95950457657</v>
      </c>
      <c r="L650" s="32">
        <f>IF(Result_notebook_retravaill!I650&gt;Result_notebook_retravaill!G650,0,IF(Result_notebook_retravaill!I650+Result_notebook_retravaill!J650&gt;Result_notebook_retravaill!G650,0,Result_notebook_retravaill!M650))</f>
        <v>524335.43916140753</v>
      </c>
      <c r="M650" s="31">
        <f t="shared" si="10"/>
        <v>0</v>
      </c>
    </row>
    <row r="651" spans="1:13" x14ac:dyDescent="0.35">
      <c r="A651">
        <f>Result_notebook_retravaill!A651</f>
        <v>2032</v>
      </c>
      <c r="B651" t="str">
        <f>Result_notebook_retravaill!B651</f>
        <v>Copper</v>
      </c>
      <c r="C651" t="str">
        <f>Result_notebook_retravaill!C651</f>
        <v>Canada Net-zero</v>
      </c>
      <c r="D651" t="str">
        <f>Result_notebook_retravaill!D651</f>
        <v>Production potential</v>
      </c>
      <c r="E651" t="str">
        <f>Result_notebook_retravaill!E651</f>
        <v>100% CAN</v>
      </c>
      <c r="F651" t="str">
        <f>Result_notebook_retravaill!F651</f>
        <v>Integrated</v>
      </c>
      <c r="G651">
        <f>Result_notebook_retravaill!G651</f>
        <v>1157294.299877228</v>
      </c>
      <c r="H651" s="32">
        <f>IF(Result_notebook_retravaill!I651&gt;Result_notebook_retravaill!G651,Result_notebook_retravaill!I651/Result_notebook_retravaill!N651,Result_notebook_retravaill!H651)</f>
        <v>758265.43720270914</v>
      </c>
      <c r="I651" s="32">
        <f>Result_notebook_retravaill!K651</f>
        <v>636065.04457708367</v>
      </c>
      <c r="J651" s="32">
        <f>MIN(G651,Result_notebook_retravaill!I651)</f>
        <v>632958.8607158208</v>
      </c>
      <c r="K651" s="32">
        <f>IF(Result_notebook_retravaill!I651&gt;Result_notebook_retravaill!G651,0,IF(Result_notebook_retravaill!I651+Result_notebook_retravaill!J651&gt;Result_notebook_retravaill!G651,Result_notebook_retravaill!G651-Result_notebook_retravaill!I651,Result_notebook_retravaill!J651))</f>
        <v>0</v>
      </c>
      <c r="L651" s="32">
        <f>IF(Result_notebook_retravaill!I651&gt;Result_notebook_retravaill!G651,0,IF(Result_notebook_retravaill!I651+Result_notebook_retravaill!J651&gt;Result_notebook_retravaill!G651,0,Result_notebook_retravaill!M651))</f>
        <v>524335.43916140718</v>
      </c>
      <c r="M651" s="31">
        <f t="shared" si="10"/>
        <v>0</v>
      </c>
    </row>
    <row r="652" spans="1:13" x14ac:dyDescent="0.35">
      <c r="A652">
        <f>Result_notebook_retravaill!A652</f>
        <v>2032</v>
      </c>
      <c r="B652" t="str">
        <f>Result_notebook_retravaill!B652</f>
        <v>Copper</v>
      </c>
      <c r="C652" t="str">
        <f>Result_notebook_retravaill!C652</f>
        <v>Current Measures</v>
      </c>
      <c r="D652" t="str">
        <f>Result_notebook_retravaill!D652</f>
        <v>Existing production</v>
      </c>
      <c r="E652" t="str">
        <f>Result_notebook_retravaill!E652</f>
        <v>Current shares</v>
      </c>
      <c r="F652" t="str">
        <f>Result_notebook_retravaill!F652</f>
        <v>NIMBY</v>
      </c>
      <c r="G652">
        <f>Result_notebook_retravaill!G652</f>
        <v>989816.62019349821</v>
      </c>
      <c r="H652" s="32">
        <f>IF(Result_notebook_retravaill!I652&gt;Result_notebook_retravaill!G652,Result_notebook_retravaill!I652/Result_notebook_retravaill!N652,Result_notebook_retravaill!H652)</f>
        <v>0</v>
      </c>
      <c r="I652" s="32">
        <f>Result_notebook_retravaill!K652</f>
        <v>1192550.144811444</v>
      </c>
      <c r="J652" s="32">
        <f>MIN(G652,Result_notebook_retravaill!I652)</f>
        <v>0</v>
      </c>
      <c r="K652" s="32">
        <f>IF(Result_notebook_retravaill!I652&gt;Result_notebook_retravaill!G652,0,IF(Result_notebook_retravaill!I652+Result_notebook_retravaill!J652&gt;Result_notebook_retravaill!G652,Result_notebook_retravaill!G652-Result_notebook_retravaill!I652,Result_notebook_retravaill!J652))</f>
        <v>0</v>
      </c>
      <c r="L652" s="32">
        <f>IF(Result_notebook_retravaill!I652&gt;Result_notebook_retravaill!G652,0,IF(Result_notebook_retravaill!I652+Result_notebook_retravaill!J652&gt;Result_notebook_retravaill!G652,0,Result_notebook_retravaill!M652))</f>
        <v>989816.62019349821</v>
      </c>
      <c r="M652" s="31">
        <f t="shared" si="10"/>
        <v>0</v>
      </c>
    </row>
    <row r="653" spans="1:13" x14ac:dyDescent="0.35">
      <c r="A653">
        <f>Result_notebook_retravaill!A653</f>
        <v>2032</v>
      </c>
      <c r="B653" t="str">
        <f>Result_notebook_retravaill!B653</f>
        <v>Copper</v>
      </c>
      <c r="C653" t="str">
        <f>Result_notebook_retravaill!C653</f>
        <v>Current Measures</v>
      </c>
      <c r="D653" t="str">
        <f>Result_notebook_retravaill!D653</f>
        <v>Existing production</v>
      </c>
      <c r="E653" t="str">
        <f>Result_notebook_retravaill!E653</f>
        <v>Current shares</v>
      </c>
      <c r="F653" t="str">
        <f>Result_notebook_retravaill!F653</f>
        <v>Status Quo</v>
      </c>
      <c r="G653">
        <f>Result_notebook_retravaill!G653</f>
        <v>989816.62019349821</v>
      </c>
      <c r="H653" s="32">
        <f>IF(Result_notebook_retravaill!I653&gt;Result_notebook_retravaill!G653,Result_notebook_retravaill!I653/Result_notebook_retravaill!N653,Result_notebook_retravaill!H653)</f>
        <v>309453</v>
      </c>
      <c r="I653" s="32">
        <f>Result_notebook_retravaill!K653</f>
        <v>883097.14481144375</v>
      </c>
      <c r="J653" s="32">
        <f>MIN(G653,Result_notebook_retravaill!I653)</f>
        <v>162651.1851674339</v>
      </c>
      <c r="K653" s="32">
        <f>IF(Result_notebook_retravaill!I653&gt;Result_notebook_retravaill!G653,0,IF(Result_notebook_retravaill!I653+Result_notebook_retravaill!J653&gt;Result_notebook_retravaill!G653,Result_notebook_retravaill!G653-Result_notebook_retravaill!I653,Result_notebook_retravaill!J653))</f>
        <v>95663.395341040537</v>
      </c>
      <c r="L653" s="32">
        <f>IF(Result_notebook_retravaill!I653&gt;Result_notebook_retravaill!G653,0,IF(Result_notebook_retravaill!I653+Result_notebook_retravaill!J653&gt;Result_notebook_retravaill!G653,0,Result_notebook_retravaill!M653))</f>
        <v>731502.03968502372</v>
      </c>
      <c r="M653" s="31">
        <f t="shared" si="10"/>
        <v>0</v>
      </c>
    </row>
    <row r="654" spans="1:13" x14ac:dyDescent="0.35">
      <c r="A654">
        <f>Result_notebook_retravaill!A654</f>
        <v>2032</v>
      </c>
      <c r="B654" t="str">
        <f>Result_notebook_retravaill!B654</f>
        <v>Copper</v>
      </c>
      <c r="C654" t="str">
        <f>Result_notebook_retravaill!C654</f>
        <v>Current Measures</v>
      </c>
      <c r="D654" t="str">
        <f>Result_notebook_retravaill!D654</f>
        <v>Production potential</v>
      </c>
      <c r="E654" t="str">
        <f>Result_notebook_retravaill!E654</f>
        <v>Current shares</v>
      </c>
      <c r="F654" t="str">
        <f>Result_notebook_retravaill!F654</f>
        <v>Expansion Extractive</v>
      </c>
      <c r="G654">
        <f>Result_notebook_retravaill!G654</f>
        <v>989816.62019349821</v>
      </c>
      <c r="H654" s="32">
        <f>IF(Result_notebook_retravaill!I654&gt;Result_notebook_retravaill!G654,Result_notebook_retravaill!I654/Result_notebook_retravaill!N654,Result_notebook_retravaill!H654)</f>
        <v>758265.43720270914</v>
      </c>
      <c r="I654" s="32">
        <f>Result_notebook_retravaill!K654</f>
        <v>434284.70760873461</v>
      </c>
      <c r="J654" s="32">
        <f>MIN(G654,Result_notebook_retravaill!I654)</f>
        <v>398550.90121124388</v>
      </c>
      <c r="K654" s="32">
        <f>IF(Result_notebook_retravaill!I654&gt;Result_notebook_retravaill!G654,0,IF(Result_notebook_retravaill!I654+Result_notebook_retravaill!J654&gt;Result_notebook_retravaill!G654,Result_notebook_retravaill!G654-Result_notebook_retravaill!I654,Result_notebook_retravaill!J654))</f>
        <v>234407.95950457657</v>
      </c>
      <c r="L654" s="32">
        <f>IF(Result_notebook_retravaill!I654&gt;Result_notebook_retravaill!G654,0,IF(Result_notebook_retravaill!I654+Result_notebook_retravaill!J654&gt;Result_notebook_retravaill!G654,0,Result_notebook_retravaill!M654))</f>
        <v>356857.7594776777</v>
      </c>
      <c r="M654" s="31">
        <f t="shared" si="10"/>
        <v>0</v>
      </c>
    </row>
    <row r="655" spans="1:13" x14ac:dyDescent="0.35">
      <c r="A655">
        <f>Result_notebook_retravaill!A655</f>
        <v>2032</v>
      </c>
      <c r="B655" t="str">
        <f>Result_notebook_retravaill!B655</f>
        <v>Copper</v>
      </c>
      <c r="C655" t="str">
        <f>Result_notebook_retravaill!C655</f>
        <v>Current Measures</v>
      </c>
      <c r="D655" t="str">
        <f>Result_notebook_retravaill!D655</f>
        <v>Production potential</v>
      </c>
      <c r="E655" t="str">
        <f>Result_notebook_retravaill!E655</f>
        <v>Current shares</v>
      </c>
      <c r="F655" t="str">
        <f>Result_notebook_retravaill!F655</f>
        <v>Expansion Extractive+Circularity</v>
      </c>
      <c r="G655">
        <f>Result_notebook_retravaill!G655</f>
        <v>989816.62019349821</v>
      </c>
      <c r="H655" s="32">
        <f>IF(Result_notebook_retravaill!I655&gt;Result_notebook_retravaill!G655,Result_notebook_retravaill!I655/Result_notebook_retravaill!N655,Result_notebook_retravaill!H655)</f>
        <v>758265.43720270914</v>
      </c>
      <c r="I655" s="32">
        <f>Result_notebook_retravaill!K655</f>
        <v>434284.70760873461</v>
      </c>
      <c r="J655" s="32">
        <f>MIN(G655,Result_notebook_retravaill!I655)</f>
        <v>398550.90121124388</v>
      </c>
      <c r="K655" s="32">
        <f>IF(Result_notebook_retravaill!I655&gt;Result_notebook_retravaill!G655,0,IF(Result_notebook_retravaill!I655+Result_notebook_retravaill!J655&gt;Result_notebook_retravaill!G655,Result_notebook_retravaill!G655-Result_notebook_retravaill!I655,Result_notebook_retravaill!J655))</f>
        <v>234407.95950457657</v>
      </c>
      <c r="L655" s="32">
        <f>IF(Result_notebook_retravaill!I655&gt;Result_notebook_retravaill!G655,0,IF(Result_notebook_retravaill!I655+Result_notebook_retravaill!J655&gt;Result_notebook_retravaill!G655,0,Result_notebook_retravaill!M655))</f>
        <v>356857.7594776777</v>
      </c>
      <c r="M655" s="31">
        <f t="shared" si="10"/>
        <v>0</v>
      </c>
    </row>
    <row r="656" spans="1:13" x14ac:dyDescent="0.35">
      <c r="A656">
        <f>Result_notebook_retravaill!A656</f>
        <v>2032</v>
      </c>
      <c r="B656" t="str">
        <f>Result_notebook_retravaill!B656</f>
        <v>Copper</v>
      </c>
      <c r="C656" t="str">
        <f>Result_notebook_retravaill!C656</f>
        <v>Current Measures</v>
      </c>
      <c r="D656" t="str">
        <f>Result_notebook_retravaill!D656</f>
        <v>Production potential</v>
      </c>
      <c r="E656" t="str">
        <f>Result_notebook_retravaill!E656</f>
        <v>100% CAN</v>
      </c>
      <c r="F656" t="str">
        <f>Result_notebook_retravaill!F656</f>
        <v>Integrated</v>
      </c>
      <c r="G656">
        <f>Result_notebook_retravaill!G656</f>
        <v>989816.62019349821</v>
      </c>
      <c r="H656" s="32">
        <f>IF(Result_notebook_retravaill!I656&gt;Result_notebook_retravaill!G656,Result_notebook_retravaill!I656/Result_notebook_retravaill!N656,Result_notebook_retravaill!H656)</f>
        <v>758265.43720270914</v>
      </c>
      <c r="I656" s="32">
        <f>Result_notebook_retravaill!K656</f>
        <v>434284.70760873461</v>
      </c>
      <c r="J656" s="32">
        <f>MIN(G656,Result_notebook_retravaill!I656)</f>
        <v>632958.8607158208</v>
      </c>
      <c r="K656" s="32">
        <f>IF(Result_notebook_retravaill!I656&gt;Result_notebook_retravaill!G656,0,IF(Result_notebook_retravaill!I656+Result_notebook_retravaill!J656&gt;Result_notebook_retravaill!G656,Result_notebook_retravaill!G656-Result_notebook_retravaill!I656,Result_notebook_retravaill!J656))</f>
        <v>0</v>
      </c>
      <c r="L656" s="32">
        <f>IF(Result_notebook_retravaill!I656&gt;Result_notebook_retravaill!G656,0,IF(Result_notebook_retravaill!I656+Result_notebook_retravaill!J656&gt;Result_notebook_retravaill!G656,0,Result_notebook_retravaill!M656))</f>
        <v>356857.75947767741</v>
      </c>
      <c r="M656" s="31">
        <f t="shared" si="10"/>
        <v>0</v>
      </c>
    </row>
    <row r="657" spans="1:13" x14ac:dyDescent="0.35">
      <c r="A657">
        <f>Result_notebook_retravaill!A657</f>
        <v>2032</v>
      </c>
      <c r="B657" t="str">
        <f>Result_notebook_retravaill!B657</f>
        <v>Copper</v>
      </c>
      <c r="C657" t="str">
        <f>Result_notebook_retravaill!C657</f>
        <v>Global Net-zero</v>
      </c>
      <c r="D657" t="str">
        <f>Result_notebook_retravaill!D657</f>
        <v>Existing production</v>
      </c>
      <c r="E657" t="str">
        <f>Result_notebook_retravaill!E657</f>
        <v>Current shares</v>
      </c>
      <c r="F657" t="str">
        <f>Result_notebook_retravaill!F657</f>
        <v>NIMBY</v>
      </c>
      <c r="G657">
        <f>Result_notebook_retravaill!G657</f>
        <v>1117400.391829256</v>
      </c>
      <c r="H657" s="32">
        <f>IF(Result_notebook_retravaill!I657&gt;Result_notebook_retravaill!G657,Result_notebook_retravaill!I657/Result_notebook_retravaill!N657,Result_notebook_retravaill!H657)</f>
        <v>0</v>
      </c>
      <c r="I657" s="32">
        <f>Result_notebook_retravaill!K657</f>
        <v>1346265.5323244049</v>
      </c>
      <c r="J657" s="32">
        <f>MIN(G657,Result_notebook_retravaill!I657)</f>
        <v>0</v>
      </c>
      <c r="K657" s="32">
        <f>IF(Result_notebook_retravaill!I657&gt;Result_notebook_retravaill!G657,0,IF(Result_notebook_retravaill!I657+Result_notebook_retravaill!J657&gt;Result_notebook_retravaill!G657,Result_notebook_retravaill!G657-Result_notebook_retravaill!I657,Result_notebook_retravaill!J657))</f>
        <v>0</v>
      </c>
      <c r="L657" s="32">
        <f>IF(Result_notebook_retravaill!I657&gt;Result_notebook_retravaill!G657,0,IF(Result_notebook_retravaill!I657+Result_notebook_retravaill!J657&gt;Result_notebook_retravaill!G657,0,Result_notebook_retravaill!M657))</f>
        <v>1117400.391829256</v>
      </c>
      <c r="M657" s="31">
        <f t="shared" si="10"/>
        <v>0</v>
      </c>
    </row>
    <row r="658" spans="1:13" x14ac:dyDescent="0.35">
      <c r="A658">
        <f>Result_notebook_retravaill!A658</f>
        <v>2032</v>
      </c>
      <c r="B658" t="str">
        <f>Result_notebook_retravaill!B658</f>
        <v>Copper</v>
      </c>
      <c r="C658" t="str">
        <f>Result_notebook_retravaill!C658</f>
        <v>Global Net-zero</v>
      </c>
      <c r="D658" t="str">
        <f>Result_notebook_retravaill!D658</f>
        <v>Existing production</v>
      </c>
      <c r="E658" t="str">
        <f>Result_notebook_retravaill!E658</f>
        <v>Current shares</v>
      </c>
      <c r="F658" t="str">
        <f>Result_notebook_retravaill!F658</f>
        <v>Status Quo</v>
      </c>
      <c r="G658">
        <f>Result_notebook_retravaill!G658</f>
        <v>1117400.391829256</v>
      </c>
      <c r="H658" s="32">
        <f>IF(Result_notebook_retravaill!I658&gt;Result_notebook_retravaill!G658,Result_notebook_retravaill!I658/Result_notebook_retravaill!N658,Result_notebook_retravaill!H658)</f>
        <v>309453</v>
      </c>
      <c r="I658" s="32">
        <f>Result_notebook_retravaill!K658</f>
        <v>1036812.532324405</v>
      </c>
      <c r="J658" s="32">
        <f>MIN(G658,Result_notebook_retravaill!I658)</f>
        <v>162651.1851674339</v>
      </c>
      <c r="K658" s="32">
        <f>IF(Result_notebook_retravaill!I658&gt;Result_notebook_retravaill!G658,0,IF(Result_notebook_retravaill!I658+Result_notebook_retravaill!J658&gt;Result_notebook_retravaill!G658,Result_notebook_retravaill!G658-Result_notebook_retravaill!I658,Result_notebook_retravaill!J658))</f>
        <v>95663.395341040537</v>
      </c>
      <c r="L658" s="32">
        <f>IF(Result_notebook_retravaill!I658&gt;Result_notebook_retravaill!G658,0,IF(Result_notebook_retravaill!I658+Result_notebook_retravaill!J658&gt;Result_notebook_retravaill!G658,0,Result_notebook_retravaill!M658))</f>
        <v>859085.81132078147</v>
      </c>
      <c r="M658" s="31">
        <f t="shared" si="10"/>
        <v>0</v>
      </c>
    </row>
    <row r="659" spans="1:13" x14ac:dyDescent="0.35">
      <c r="A659">
        <f>Result_notebook_retravaill!A659</f>
        <v>2032</v>
      </c>
      <c r="B659" t="str">
        <f>Result_notebook_retravaill!B659</f>
        <v>Copper</v>
      </c>
      <c r="C659" t="str">
        <f>Result_notebook_retravaill!C659</f>
        <v>Global Net-zero</v>
      </c>
      <c r="D659" t="str">
        <f>Result_notebook_retravaill!D659</f>
        <v>Production potential</v>
      </c>
      <c r="E659" t="str">
        <f>Result_notebook_retravaill!E659</f>
        <v>Current shares</v>
      </c>
      <c r="F659" t="str">
        <f>Result_notebook_retravaill!F659</f>
        <v>Expansion Extractive</v>
      </c>
      <c r="G659">
        <f>Result_notebook_retravaill!G659</f>
        <v>1117400.391829256</v>
      </c>
      <c r="H659" s="32">
        <f>IF(Result_notebook_retravaill!I659&gt;Result_notebook_retravaill!G659,Result_notebook_retravaill!I659/Result_notebook_retravaill!N659,Result_notebook_retravaill!H659)</f>
        <v>758265.43720270914</v>
      </c>
      <c r="I659" s="32">
        <f>Result_notebook_retravaill!K659</f>
        <v>588000.09512169578</v>
      </c>
      <c r="J659" s="32">
        <f>MIN(G659,Result_notebook_retravaill!I659)</f>
        <v>398550.90121124388</v>
      </c>
      <c r="K659" s="32">
        <f>IF(Result_notebook_retravaill!I659&gt;Result_notebook_retravaill!G659,0,IF(Result_notebook_retravaill!I659+Result_notebook_retravaill!J659&gt;Result_notebook_retravaill!G659,Result_notebook_retravaill!G659-Result_notebook_retravaill!I659,Result_notebook_retravaill!J659))</f>
        <v>234407.95950457657</v>
      </c>
      <c r="L659" s="32">
        <f>IF(Result_notebook_retravaill!I659&gt;Result_notebook_retravaill!G659,0,IF(Result_notebook_retravaill!I659+Result_notebook_retravaill!J659&gt;Result_notebook_retravaill!G659,0,Result_notebook_retravaill!M659))</f>
        <v>484441.53111343546</v>
      </c>
      <c r="M659" s="31">
        <f t="shared" si="10"/>
        <v>0</v>
      </c>
    </row>
    <row r="660" spans="1:13" x14ac:dyDescent="0.35">
      <c r="A660">
        <f>Result_notebook_retravaill!A660</f>
        <v>2032</v>
      </c>
      <c r="B660" t="str">
        <f>Result_notebook_retravaill!B660</f>
        <v>Copper</v>
      </c>
      <c r="C660" t="str">
        <f>Result_notebook_retravaill!C660</f>
        <v>Global Net-zero</v>
      </c>
      <c r="D660" t="str">
        <f>Result_notebook_retravaill!D660</f>
        <v>Production potential</v>
      </c>
      <c r="E660" t="str">
        <f>Result_notebook_retravaill!E660</f>
        <v>Current shares</v>
      </c>
      <c r="F660" t="str">
        <f>Result_notebook_retravaill!F660</f>
        <v>Expansion Extractive+Circularity</v>
      </c>
      <c r="G660">
        <f>Result_notebook_retravaill!G660</f>
        <v>1117400.391829256</v>
      </c>
      <c r="H660" s="32">
        <f>IF(Result_notebook_retravaill!I660&gt;Result_notebook_retravaill!G660,Result_notebook_retravaill!I660/Result_notebook_retravaill!N660,Result_notebook_retravaill!H660)</f>
        <v>758265.43720270914</v>
      </c>
      <c r="I660" s="32">
        <f>Result_notebook_retravaill!K660</f>
        <v>588000.09512169578</v>
      </c>
      <c r="J660" s="32">
        <f>MIN(G660,Result_notebook_retravaill!I660)</f>
        <v>398550.90121124388</v>
      </c>
      <c r="K660" s="32">
        <f>IF(Result_notebook_retravaill!I660&gt;Result_notebook_retravaill!G660,0,IF(Result_notebook_retravaill!I660+Result_notebook_retravaill!J660&gt;Result_notebook_retravaill!G660,Result_notebook_retravaill!G660-Result_notebook_retravaill!I660,Result_notebook_retravaill!J660))</f>
        <v>234407.95950457657</v>
      </c>
      <c r="L660" s="32">
        <f>IF(Result_notebook_retravaill!I660&gt;Result_notebook_retravaill!G660,0,IF(Result_notebook_retravaill!I660+Result_notebook_retravaill!J660&gt;Result_notebook_retravaill!G660,0,Result_notebook_retravaill!M660))</f>
        <v>484441.53111343546</v>
      </c>
      <c r="M660" s="31">
        <f t="shared" si="10"/>
        <v>0</v>
      </c>
    </row>
    <row r="661" spans="1:13" x14ac:dyDescent="0.35">
      <c r="A661">
        <f>Result_notebook_retravaill!A661</f>
        <v>2032</v>
      </c>
      <c r="B661" t="str">
        <f>Result_notebook_retravaill!B661</f>
        <v>Copper</v>
      </c>
      <c r="C661" t="str">
        <f>Result_notebook_retravaill!C661</f>
        <v>Global Net-zero</v>
      </c>
      <c r="D661" t="str">
        <f>Result_notebook_retravaill!D661</f>
        <v>Production potential</v>
      </c>
      <c r="E661" t="str">
        <f>Result_notebook_retravaill!E661</f>
        <v>100% CAN</v>
      </c>
      <c r="F661" t="str">
        <f>Result_notebook_retravaill!F661</f>
        <v>Integrated</v>
      </c>
      <c r="G661">
        <f>Result_notebook_retravaill!G661</f>
        <v>1117400.391829256</v>
      </c>
      <c r="H661" s="32">
        <f>IF(Result_notebook_retravaill!I661&gt;Result_notebook_retravaill!G661,Result_notebook_retravaill!I661/Result_notebook_retravaill!N661,Result_notebook_retravaill!H661)</f>
        <v>758265.43720270914</v>
      </c>
      <c r="I661" s="32">
        <f>Result_notebook_retravaill!K661</f>
        <v>588000.09512169578</v>
      </c>
      <c r="J661" s="32">
        <f>MIN(G661,Result_notebook_retravaill!I661)</f>
        <v>632958.8607158208</v>
      </c>
      <c r="K661" s="32">
        <f>IF(Result_notebook_retravaill!I661&gt;Result_notebook_retravaill!G661,0,IF(Result_notebook_retravaill!I661+Result_notebook_retravaill!J661&gt;Result_notebook_retravaill!G661,Result_notebook_retravaill!G661-Result_notebook_retravaill!I661,Result_notebook_retravaill!J661))</f>
        <v>0</v>
      </c>
      <c r="L661" s="32">
        <f>IF(Result_notebook_retravaill!I661&gt;Result_notebook_retravaill!G661,0,IF(Result_notebook_retravaill!I661+Result_notebook_retravaill!J661&gt;Result_notebook_retravaill!G661,0,Result_notebook_retravaill!M661))</f>
        <v>484441.53111343522</v>
      </c>
      <c r="M661" s="31">
        <f t="shared" si="10"/>
        <v>0</v>
      </c>
    </row>
    <row r="662" spans="1:13" x14ac:dyDescent="0.35">
      <c r="A662">
        <f>Result_notebook_retravaill!A662</f>
        <v>2032</v>
      </c>
      <c r="B662" t="str">
        <f>Result_notebook_retravaill!B662</f>
        <v>Neodymium</v>
      </c>
      <c r="C662" t="str">
        <f>Result_notebook_retravaill!C662</f>
        <v>Canada Net-zero</v>
      </c>
      <c r="D662" t="str">
        <f>Result_notebook_retravaill!D662</f>
        <v>Existing production</v>
      </c>
      <c r="E662" t="str">
        <f>Result_notebook_retravaill!E662</f>
        <v>Current shares</v>
      </c>
      <c r="F662" t="str">
        <f>Result_notebook_retravaill!F662</f>
        <v>NIMBY</v>
      </c>
      <c r="G662">
        <f>Result_notebook_retravaill!G662</f>
        <v>3229.5787882307568</v>
      </c>
      <c r="H662" s="32">
        <f>IF(Result_notebook_retravaill!I662&gt;Result_notebook_retravaill!G662,Result_notebook_retravaill!I662/Result_notebook_retravaill!N662,Result_notebook_retravaill!H662)</f>
        <v>0</v>
      </c>
      <c r="I662" s="32">
        <f>Result_notebook_retravaill!K662</f>
        <v>5382.6313137179286</v>
      </c>
      <c r="J662" s="32">
        <f>MIN(G662,Result_notebook_retravaill!I662)</f>
        <v>0</v>
      </c>
      <c r="K662" s="32">
        <f>IF(Result_notebook_retravaill!I662&gt;Result_notebook_retravaill!G662,0,IF(Result_notebook_retravaill!I662+Result_notebook_retravaill!J662&gt;Result_notebook_retravaill!G662,Result_notebook_retravaill!G662-Result_notebook_retravaill!I662,Result_notebook_retravaill!J662))</f>
        <v>0</v>
      </c>
      <c r="L662" s="32">
        <f>IF(Result_notebook_retravaill!I662&gt;Result_notebook_retravaill!G662,0,IF(Result_notebook_retravaill!I662+Result_notebook_retravaill!J662&gt;Result_notebook_retravaill!G662,0,Result_notebook_retravaill!M662))</f>
        <v>3229.5787882307568</v>
      </c>
      <c r="M662" s="31">
        <f t="shared" si="10"/>
        <v>0</v>
      </c>
    </row>
    <row r="663" spans="1:13" x14ac:dyDescent="0.35">
      <c r="A663">
        <f>Result_notebook_retravaill!A663</f>
        <v>2032</v>
      </c>
      <c r="B663" t="str">
        <f>Result_notebook_retravaill!B663</f>
        <v>Neodymium</v>
      </c>
      <c r="C663" t="str">
        <f>Result_notebook_retravaill!C663</f>
        <v>Canada Net-zero</v>
      </c>
      <c r="D663" t="str">
        <f>Result_notebook_retravaill!D663</f>
        <v>Existing production</v>
      </c>
      <c r="E663" t="str">
        <f>Result_notebook_retravaill!E663</f>
        <v>Current shares</v>
      </c>
      <c r="F663" t="str">
        <f>Result_notebook_retravaill!F663</f>
        <v>Status Quo</v>
      </c>
      <c r="G663">
        <f>Result_notebook_retravaill!G663</f>
        <v>3229.5787882307568</v>
      </c>
      <c r="H663" s="32">
        <f>IF(Result_notebook_retravaill!I663&gt;Result_notebook_retravaill!G663,Result_notebook_retravaill!I663/Result_notebook_retravaill!N663,Result_notebook_retravaill!H663)</f>
        <v>0</v>
      </c>
      <c r="I663" s="32">
        <f>Result_notebook_retravaill!K663</f>
        <v>5382.6313137179286</v>
      </c>
      <c r="J663" s="32">
        <f>MIN(G663,Result_notebook_retravaill!I663)</f>
        <v>0</v>
      </c>
      <c r="K663" s="32">
        <f>IF(Result_notebook_retravaill!I663&gt;Result_notebook_retravaill!G663,0,IF(Result_notebook_retravaill!I663+Result_notebook_retravaill!J663&gt;Result_notebook_retravaill!G663,Result_notebook_retravaill!G663-Result_notebook_retravaill!I663,Result_notebook_retravaill!J663))</f>
        <v>0</v>
      </c>
      <c r="L663" s="32">
        <f>IF(Result_notebook_retravaill!I663&gt;Result_notebook_retravaill!G663,0,IF(Result_notebook_retravaill!I663+Result_notebook_retravaill!J663&gt;Result_notebook_retravaill!G663,0,Result_notebook_retravaill!M663))</f>
        <v>3229.5787882307568</v>
      </c>
      <c r="M663" s="31">
        <f t="shared" si="10"/>
        <v>0</v>
      </c>
    </row>
    <row r="664" spans="1:13" x14ac:dyDescent="0.35">
      <c r="A664">
        <f>Result_notebook_retravaill!A664</f>
        <v>2032</v>
      </c>
      <c r="B664" t="str">
        <f>Result_notebook_retravaill!B664</f>
        <v>Neodymium</v>
      </c>
      <c r="C664" t="str">
        <f>Result_notebook_retravaill!C664</f>
        <v>Canada Net-zero</v>
      </c>
      <c r="D664" t="str">
        <f>Result_notebook_retravaill!D664</f>
        <v>Production potential</v>
      </c>
      <c r="E664" t="str">
        <f>Result_notebook_retravaill!E664</f>
        <v>Current shares</v>
      </c>
      <c r="F664" t="str">
        <f>Result_notebook_retravaill!F664</f>
        <v>Expansion Extractive</v>
      </c>
      <c r="G664">
        <f>Result_notebook_retravaill!G664</f>
        <v>3229.5787882307568</v>
      </c>
      <c r="H664" s="32">
        <f>IF(Result_notebook_retravaill!I664&gt;Result_notebook_retravaill!G664,Result_notebook_retravaill!I664/Result_notebook_retravaill!N664,Result_notebook_retravaill!H664)</f>
        <v>29.109663626080231</v>
      </c>
      <c r="I664" s="32">
        <f>Result_notebook_retravaill!K664</f>
        <v>5353.5216500918486</v>
      </c>
      <c r="J664" s="32">
        <f>MIN(G664,Result_notebook_retravaill!I664)</f>
        <v>17.42341200168546</v>
      </c>
      <c r="K664" s="32">
        <f>IF(Result_notebook_retravaill!I664&gt;Result_notebook_retravaill!G664,0,IF(Result_notebook_retravaill!I664+Result_notebook_retravaill!J664&gt;Result_notebook_retravaill!G664,Result_notebook_retravaill!G664-Result_notebook_retravaill!I664,Result_notebook_retravaill!J664))</f>
        <v>11.686251624394771</v>
      </c>
      <c r="L664" s="32">
        <f>IF(Result_notebook_retravaill!I664&gt;Result_notebook_retravaill!G664,0,IF(Result_notebook_retravaill!I664+Result_notebook_retravaill!J664&gt;Result_notebook_retravaill!G664,0,Result_notebook_retravaill!M664))</f>
        <v>3200.4691246046764</v>
      </c>
      <c r="M664" s="31">
        <f t="shared" si="10"/>
        <v>0</v>
      </c>
    </row>
    <row r="665" spans="1:13" x14ac:dyDescent="0.35">
      <c r="A665">
        <f>Result_notebook_retravaill!A665</f>
        <v>2032</v>
      </c>
      <c r="B665" t="str">
        <f>Result_notebook_retravaill!B665</f>
        <v>Neodymium</v>
      </c>
      <c r="C665" t="str">
        <f>Result_notebook_retravaill!C665</f>
        <v>Canada Net-zero</v>
      </c>
      <c r="D665" t="str">
        <f>Result_notebook_retravaill!D665</f>
        <v>Production potential</v>
      </c>
      <c r="E665" t="str">
        <f>Result_notebook_retravaill!E665</f>
        <v>Current shares</v>
      </c>
      <c r="F665" t="str">
        <f>Result_notebook_retravaill!F665</f>
        <v>Expansion Extractive+Circularity</v>
      </c>
      <c r="G665">
        <f>Result_notebook_retravaill!G665</f>
        <v>3229.5787882307568</v>
      </c>
      <c r="H665" s="32">
        <f>IF(Result_notebook_retravaill!I665&gt;Result_notebook_retravaill!G665,Result_notebook_retravaill!I665/Result_notebook_retravaill!N665,Result_notebook_retravaill!H665)</f>
        <v>29.109663626080231</v>
      </c>
      <c r="I665" s="32">
        <f>Result_notebook_retravaill!K665</f>
        <v>5353.5216500918486</v>
      </c>
      <c r="J665" s="32">
        <f>MIN(G665,Result_notebook_retravaill!I665)</f>
        <v>17.42341200168546</v>
      </c>
      <c r="K665" s="32">
        <f>IF(Result_notebook_retravaill!I665&gt;Result_notebook_retravaill!G665,0,IF(Result_notebook_retravaill!I665+Result_notebook_retravaill!J665&gt;Result_notebook_retravaill!G665,Result_notebook_retravaill!G665-Result_notebook_retravaill!I665,Result_notebook_retravaill!J665))</f>
        <v>11.686251624394771</v>
      </c>
      <c r="L665" s="32">
        <f>IF(Result_notebook_retravaill!I665&gt;Result_notebook_retravaill!G665,0,IF(Result_notebook_retravaill!I665+Result_notebook_retravaill!J665&gt;Result_notebook_retravaill!G665,0,Result_notebook_retravaill!M665))</f>
        <v>3200.4691246046764</v>
      </c>
      <c r="M665" s="31">
        <f t="shared" si="10"/>
        <v>0</v>
      </c>
    </row>
    <row r="666" spans="1:13" x14ac:dyDescent="0.35">
      <c r="A666">
        <f>Result_notebook_retravaill!A666</f>
        <v>2032</v>
      </c>
      <c r="B666" t="str">
        <f>Result_notebook_retravaill!B666</f>
        <v>Neodymium</v>
      </c>
      <c r="C666" t="str">
        <f>Result_notebook_retravaill!C666</f>
        <v>Canada Net-zero</v>
      </c>
      <c r="D666" t="str">
        <f>Result_notebook_retravaill!D666</f>
        <v>Production potential</v>
      </c>
      <c r="E666" t="str">
        <f>Result_notebook_retravaill!E666</f>
        <v>100% CAN</v>
      </c>
      <c r="F666" t="str">
        <f>Result_notebook_retravaill!F666</f>
        <v>Integrated</v>
      </c>
      <c r="G666">
        <f>Result_notebook_retravaill!G666</f>
        <v>3229.5787882307568</v>
      </c>
      <c r="H666" s="32">
        <f>IF(Result_notebook_retravaill!I666&gt;Result_notebook_retravaill!G666,Result_notebook_retravaill!I666/Result_notebook_retravaill!N666,Result_notebook_retravaill!H666)</f>
        <v>29.109663626080231</v>
      </c>
      <c r="I666" s="32">
        <f>Result_notebook_retravaill!K666</f>
        <v>5353.5216500918486</v>
      </c>
      <c r="J666" s="32">
        <f>MIN(G666,Result_notebook_retravaill!I666)</f>
        <v>17.42341200168546</v>
      </c>
      <c r="K666" s="32">
        <f>IF(Result_notebook_retravaill!I666&gt;Result_notebook_retravaill!G666,0,IF(Result_notebook_retravaill!I666+Result_notebook_retravaill!J666&gt;Result_notebook_retravaill!G666,Result_notebook_retravaill!G666-Result_notebook_retravaill!I666,Result_notebook_retravaill!J666))</f>
        <v>11.686251624394771</v>
      </c>
      <c r="L666" s="32">
        <f>IF(Result_notebook_retravaill!I666&gt;Result_notebook_retravaill!G666,0,IF(Result_notebook_retravaill!I666+Result_notebook_retravaill!J666&gt;Result_notebook_retravaill!G666,0,Result_notebook_retravaill!M666))</f>
        <v>3200.4691246046764</v>
      </c>
      <c r="M666" s="31">
        <f t="shared" si="10"/>
        <v>0</v>
      </c>
    </row>
    <row r="667" spans="1:13" x14ac:dyDescent="0.35">
      <c r="A667">
        <f>Result_notebook_retravaill!A667</f>
        <v>2032</v>
      </c>
      <c r="B667" t="str">
        <f>Result_notebook_retravaill!B667</f>
        <v>Neodymium</v>
      </c>
      <c r="C667" t="str">
        <f>Result_notebook_retravaill!C667</f>
        <v>Current Measures</v>
      </c>
      <c r="D667" t="str">
        <f>Result_notebook_retravaill!D667</f>
        <v>Existing production</v>
      </c>
      <c r="E667" t="str">
        <f>Result_notebook_retravaill!E667</f>
        <v>Current shares</v>
      </c>
      <c r="F667" t="str">
        <f>Result_notebook_retravaill!F667</f>
        <v>NIMBY</v>
      </c>
      <c r="G667">
        <f>Result_notebook_retravaill!G667</f>
        <v>1128.9836988018969</v>
      </c>
      <c r="H667" s="32">
        <f>IF(Result_notebook_retravaill!I667&gt;Result_notebook_retravaill!G667,Result_notebook_retravaill!I667/Result_notebook_retravaill!N667,Result_notebook_retravaill!H667)</f>
        <v>0</v>
      </c>
      <c r="I667" s="32">
        <f>Result_notebook_retravaill!K667</f>
        <v>1881.6394980031621</v>
      </c>
      <c r="J667" s="32">
        <f>MIN(G667,Result_notebook_retravaill!I667)</f>
        <v>0</v>
      </c>
      <c r="K667" s="32">
        <f>IF(Result_notebook_retravaill!I667&gt;Result_notebook_retravaill!G667,0,IF(Result_notebook_retravaill!I667+Result_notebook_retravaill!J667&gt;Result_notebook_retravaill!G667,Result_notebook_retravaill!G667-Result_notebook_retravaill!I667,Result_notebook_retravaill!J667))</f>
        <v>0</v>
      </c>
      <c r="L667" s="32">
        <f>IF(Result_notebook_retravaill!I667&gt;Result_notebook_retravaill!G667,0,IF(Result_notebook_retravaill!I667+Result_notebook_retravaill!J667&gt;Result_notebook_retravaill!G667,0,Result_notebook_retravaill!M667))</f>
        <v>1128.9836988018969</v>
      </c>
      <c r="M667" s="31">
        <f t="shared" si="10"/>
        <v>0</v>
      </c>
    </row>
    <row r="668" spans="1:13" x14ac:dyDescent="0.35">
      <c r="A668">
        <f>Result_notebook_retravaill!A668</f>
        <v>2032</v>
      </c>
      <c r="B668" t="str">
        <f>Result_notebook_retravaill!B668</f>
        <v>Neodymium</v>
      </c>
      <c r="C668" t="str">
        <f>Result_notebook_retravaill!C668</f>
        <v>Current Measures</v>
      </c>
      <c r="D668" t="str">
        <f>Result_notebook_retravaill!D668</f>
        <v>Existing production</v>
      </c>
      <c r="E668" t="str">
        <f>Result_notebook_retravaill!E668</f>
        <v>Current shares</v>
      </c>
      <c r="F668" t="str">
        <f>Result_notebook_retravaill!F668</f>
        <v>Status Quo</v>
      </c>
      <c r="G668">
        <f>Result_notebook_retravaill!G668</f>
        <v>1128.9836988018969</v>
      </c>
      <c r="H668" s="32">
        <f>IF(Result_notebook_retravaill!I668&gt;Result_notebook_retravaill!G668,Result_notebook_retravaill!I668/Result_notebook_retravaill!N668,Result_notebook_retravaill!H668)</f>
        <v>0</v>
      </c>
      <c r="I668" s="32">
        <f>Result_notebook_retravaill!K668</f>
        <v>1881.6394980031621</v>
      </c>
      <c r="J668" s="32">
        <f>MIN(G668,Result_notebook_retravaill!I668)</f>
        <v>0</v>
      </c>
      <c r="K668" s="32">
        <f>IF(Result_notebook_retravaill!I668&gt;Result_notebook_retravaill!G668,0,IF(Result_notebook_retravaill!I668+Result_notebook_retravaill!J668&gt;Result_notebook_retravaill!G668,Result_notebook_retravaill!G668-Result_notebook_retravaill!I668,Result_notebook_retravaill!J668))</f>
        <v>0</v>
      </c>
      <c r="L668" s="32">
        <f>IF(Result_notebook_retravaill!I668&gt;Result_notebook_retravaill!G668,0,IF(Result_notebook_retravaill!I668+Result_notebook_retravaill!J668&gt;Result_notebook_retravaill!G668,0,Result_notebook_retravaill!M668))</f>
        <v>1128.9836988018969</v>
      </c>
      <c r="M668" s="31">
        <f t="shared" si="10"/>
        <v>0</v>
      </c>
    </row>
    <row r="669" spans="1:13" x14ac:dyDescent="0.35">
      <c r="A669">
        <f>Result_notebook_retravaill!A669</f>
        <v>2032</v>
      </c>
      <c r="B669" t="str">
        <f>Result_notebook_retravaill!B669</f>
        <v>Neodymium</v>
      </c>
      <c r="C669" t="str">
        <f>Result_notebook_retravaill!C669</f>
        <v>Current Measures</v>
      </c>
      <c r="D669" t="str">
        <f>Result_notebook_retravaill!D669</f>
        <v>Production potential</v>
      </c>
      <c r="E669" t="str">
        <f>Result_notebook_retravaill!E669</f>
        <v>Current shares</v>
      </c>
      <c r="F669" t="str">
        <f>Result_notebook_retravaill!F669</f>
        <v>Expansion Extractive</v>
      </c>
      <c r="G669">
        <f>Result_notebook_retravaill!G669</f>
        <v>1128.9836988018969</v>
      </c>
      <c r="H669" s="32">
        <f>IF(Result_notebook_retravaill!I669&gt;Result_notebook_retravaill!G669,Result_notebook_retravaill!I669/Result_notebook_retravaill!N669,Result_notebook_retravaill!H669)</f>
        <v>29.109663626080231</v>
      </c>
      <c r="I669" s="32">
        <f>Result_notebook_retravaill!K669</f>
        <v>1852.529834377081</v>
      </c>
      <c r="J669" s="32">
        <f>MIN(G669,Result_notebook_retravaill!I669)</f>
        <v>17.42341200168546</v>
      </c>
      <c r="K669" s="32">
        <f>IF(Result_notebook_retravaill!I669&gt;Result_notebook_retravaill!G669,0,IF(Result_notebook_retravaill!I669+Result_notebook_retravaill!J669&gt;Result_notebook_retravaill!G669,Result_notebook_retravaill!G669-Result_notebook_retravaill!I669,Result_notebook_retravaill!J669))</f>
        <v>11.686251624394771</v>
      </c>
      <c r="L669" s="32">
        <f>IF(Result_notebook_retravaill!I669&gt;Result_notebook_retravaill!G669,0,IF(Result_notebook_retravaill!I669+Result_notebook_retravaill!J669&gt;Result_notebook_retravaill!G669,0,Result_notebook_retravaill!M669))</f>
        <v>1099.8740351758172</v>
      </c>
      <c r="M669" s="31">
        <f t="shared" si="10"/>
        <v>0</v>
      </c>
    </row>
    <row r="670" spans="1:13" x14ac:dyDescent="0.35">
      <c r="A670">
        <f>Result_notebook_retravaill!A670</f>
        <v>2032</v>
      </c>
      <c r="B670" t="str">
        <f>Result_notebook_retravaill!B670</f>
        <v>Neodymium</v>
      </c>
      <c r="C670" t="str">
        <f>Result_notebook_retravaill!C670</f>
        <v>Current Measures</v>
      </c>
      <c r="D670" t="str">
        <f>Result_notebook_retravaill!D670</f>
        <v>Production potential</v>
      </c>
      <c r="E670" t="str">
        <f>Result_notebook_retravaill!E670</f>
        <v>Current shares</v>
      </c>
      <c r="F670" t="str">
        <f>Result_notebook_retravaill!F670</f>
        <v>Expansion Extractive+Circularity</v>
      </c>
      <c r="G670">
        <f>Result_notebook_retravaill!G670</f>
        <v>1128.9836988018969</v>
      </c>
      <c r="H670" s="32">
        <f>IF(Result_notebook_retravaill!I670&gt;Result_notebook_retravaill!G670,Result_notebook_retravaill!I670/Result_notebook_retravaill!N670,Result_notebook_retravaill!H670)</f>
        <v>29.109663626080231</v>
      </c>
      <c r="I670" s="32">
        <f>Result_notebook_retravaill!K670</f>
        <v>1852.529834377081</v>
      </c>
      <c r="J670" s="32">
        <f>MIN(G670,Result_notebook_retravaill!I670)</f>
        <v>17.42341200168546</v>
      </c>
      <c r="K670" s="32">
        <f>IF(Result_notebook_retravaill!I670&gt;Result_notebook_retravaill!G670,0,IF(Result_notebook_retravaill!I670+Result_notebook_retravaill!J670&gt;Result_notebook_retravaill!G670,Result_notebook_retravaill!G670-Result_notebook_retravaill!I670,Result_notebook_retravaill!J670))</f>
        <v>11.686251624394771</v>
      </c>
      <c r="L670" s="32">
        <f>IF(Result_notebook_retravaill!I670&gt;Result_notebook_retravaill!G670,0,IF(Result_notebook_retravaill!I670+Result_notebook_retravaill!J670&gt;Result_notebook_retravaill!G670,0,Result_notebook_retravaill!M670))</f>
        <v>1099.8740351758172</v>
      </c>
      <c r="M670" s="31">
        <f t="shared" si="10"/>
        <v>0</v>
      </c>
    </row>
    <row r="671" spans="1:13" x14ac:dyDescent="0.35">
      <c r="A671">
        <f>Result_notebook_retravaill!A671</f>
        <v>2032</v>
      </c>
      <c r="B671" t="str">
        <f>Result_notebook_retravaill!B671</f>
        <v>Neodymium</v>
      </c>
      <c r="C671" t="str">
        <f>Result_notebook_retravaill!C671</f>
        <v>Current Measures</v>
      </c>
      <c r="D671" t="str">
        <f>Result_notebook_retravaill!D671</f>
        <v>Production potential</v>
      </c>
      <c r="E671" t="str">
        <f>Result_notebook_retravaill!E671</f>
        <v>100% CAN</v>
      </c>
      <c r="F671" t="str">
        <f>Result_notebook_retravaill!F671</f>
        <v>Integrated</v>
      </c>
      <c r="G671">
        <f>Result_notebook_retravaill!G671</f>
        <v>1128.9836988018969</v>
      </c>
      <c r="H671" s="32">
        <f>IF(Result_notebook_retravaill!I671&gt;Result_notebook_retravaill!G671,Result_notebook_retravaill!I671/Result_notebook_retravaill!N671,Result_notebook_retravaill!H671)</f>
        <v>29.109663626080231</v>
      </c>
      <c r="I671" s="32">
        <f>Result_notebook_retravaill!K671</f>
        <v>1852.529834377081</v>
      </c>
      <c r="J671" s="32">
        <f>MIN(G671,Result_notebook_retravaill!I671)</f>
        <v>17.42341200168546</v>
      </c>
      <c r="K671" s="32">
        <f>IF(Result_notebook_retravaill!I671&gt;Result_notebook_retravaill!G671,0,IF(Result_notebook_retravaill!I671+Result_notebook_retravaill!J671&gt;Result_notebook_retravaill!G671,Result_notebook_retravaill!G671-Result_notebook_retravaill!I671,Result_notebook_retravaill!J671))</f>
        <v>11.686251624394771</v>
      </c>
      <c r="L671" s="32">
        <f>IF(Result_notebook_retravaill!I671&gt;Result_notebook_retravaill!G671,0,IF(Result_notebook_retravaill!I671+Result_notebook_retravaill!J671&gt;Result_notebook_retravaill!G671,0,Result_notebook_retravaill!M671))</f>
        <v>1099.8740351758172</v>
      </c>
      <c r="M671" s="31">
        <f t="shared" si="10"/>
        <v>0</v>
      </c>
    </row>
    <row r="672" spans="1:13" x14ac:dyDescent="0.35">
      <c r="A672">
        <f>Result_notebook_retravaill!A672</f>
        <v>2032</v>
      </c>
      <c r="B672" t="str">
        <f>Result_notebook_retravaill!B672</f>
        <v>Neodymium</v>
      </c>
      <c r="C672" t="str">
        <f>Result_notebook_retravaill!C672</f>
        <v>Global Net-zero</v>
      </c>
      <c r="D672" t="str">
        <f>Result_notebook_retravaill!D672</f>
        <v>Existing production</v>
      </c>
      <c r="E672" t="str">
        <f>Result_notebook_retravaill!E672</f>
        <v>Current shares</v>
      </c>
      <c r="F672" t="str">
        <f>Result_notebook_retravaill!F672</f>
        <v>NIMBY</v>
      </c>
      <c r="G672">
        <f>Result_notebook_retravaill!G672</f>
        <v>3088.6760232568031</v>
      </c>
      <c r="H672" s="32">
        <f>IF(Result_notebook_retravaill!I672&gt;Result_notebook_retravaill!G672,Result_notebook_retravaill!I672/Result_notebook_retravaill!N672,Result_notebook_retravaill!H672)</f>
        <v>0</v>
      </c>
      <c r="I672" s="32">
        <f>Result_notebook_retravaill!K672</f>
        <v>5147.7933720946721</v>
      </c>
      <c r="J672" s="32">
        <f>MIN(G672,Result_notebook_retravaill!I672)</f>
        <v>0</v>
      </c>
      <c r="K672" s="32">
        <f>IF(Result_notebook_retravaill!I672&gt;Result_notebook_retravaill!G672,0,IF(Result_notebook_retravaill!I672+Result_notebook_retravaill!J672&gt;Result_notebook_retravaill!G672,Result_notebook_retravaill!G672-Result_notebook_retravaill!I672,Result_notebook_retravaill!J672))</f>
        <v>0</v>
      </c>
      <c r="L672" s="32">
        <f>IF(Result_notebook_retravaill!I672&gt;Result_notebook_retravaill!G672,0,IF(Result_notebook_retravaill!I672+Result_notebook_retravaill!J672&gt;Result_notebook_retravaill!G672,0,Result_notebook_retravaill!M672))</f>
        <v>3088.6760232568031</v>
      </c>
      <c r="M672" s="31">
        <f t="shared" si="10"/>
        <v>0</v>
      </c>
    </row>
    <row r="673" spans="1:13" x14ac:dyDescent="0.35">
      <c r="A673">
        <f>Result_notebook_retravaill!A673</f>
        <v>2032</v>
      </c>
      <c r="B673" t="str">
        <f>Result_notebook_retravaill!B673</f>
        <v>Neodymium</v>
      </c>
      <c r="C673" t="str">
        <f>Result_notebook_retravaill!C673</f>
        <v>Global Net-zero</v>
      </c>
      <c r="D673" t="str">
        <f>Result_notebook_retravaill!D673</f>
        <v>Existing production</v>
      </c>
      <c r="E673" t="str">
        <f>Result_notebook_retravaill!E673</f>
        <v>Current shares</v>
      </c>
      <c r="F673" t="str">
        <f>Result_notebook_retravaill!F673</f>
        <v>Status Quo</v>
      </c>
      <c r="G673">
        <f>Result_notebook_retravaill!G673</f>
        <v>3088.6760232568031</v>
      </c>
      <c r="H673" s="32">
        <f>IF(Result_notebook_retravaill!I673&gt;Result_notebook_retravaill!G673,Result_notebook_retravaill!I673/Result_notebook_retravaill!N673,Result_notebook_retravaill!H673)</f>
        <v>0</v>
      </c>
      <c r="I673" s="32">
        <f>Result_notebook_retravaill!K673</f>
        <v>5147.7933720946721</v>
      </c>
      <c r="J673" s="32">
        <f>MIN(G673,Result_notebook_retravaill!I673)</f>
        <v>0</v>
      </c>
      <c r="K673" s="32">
        <f>IF(Result_notebook_retravaill!I673&gt;Result_notebook_retravaill!G673,0,IF(Result_notebook_retravaill!I673+Result_notebook_retravaill!J673&gt;Result_notebook_retravaill!G673,Result_notebook_retravaill!G673-Result_notebook_retravaill!I673,Result_notebook_retravaill!J673))</f>
        <v>0</v>
      </c>
      <c r="L673" s="32">
        <f>IF(Result_notebook_retravaill!I673&gt;Result_notebook_retravaill!G673,0,IF(Result_notebook_retravaill!I673+Result_notebook_retravaill!J673&gt;Result_notebook_retravaill!G673,0,Result_notebook_retravaill!M673))</f>
        <v>3088.6760232568031</v>
      </c>
      <c r="M673" s="31">
        <f t="shared" si="10"/>
        <v>0</v>
      </c>
    </row>
    <row r="674" spans="1:13" x14ac:dyDescent="0.35">
      <c r="A674">
        <f>Result_notebook_retravaill!A674</f>
        <v>2032</v>
      </c>
      <c r="B674" t="str">
        <f>Result_notebook_retravaill!B674</f>
        <v>Neodymium</v>
      </c>
      <c r="C674" t="str">
        <f>Result_notebook_retravaill!C674</f>
        <v>Global Net-zero</v>
      </c>
      <c r="D674" t="str">
        <f>Result_notebook_retravaill!D674</f>
        <v>Production potential</v>
      </c>
      <c r="E674" t="str">
        <f>Result_notebook_retravaill!E674</f>
        <v>Current shares</v>
      </c>
      <c r="F674" t="str">
        <f>Result_notebook_retravaill!F674</f>
        <v>Expansion Extractive</v>
      </c>
      <c r="G674">
        <f>Result_notebook_retravaill!G674</f>
        <v>3088.6760232568031</v>
      </c>
      <c r="H674" s="32">
        <f>IF(Result_notebook_retravaill!I674&gt;Result_notebook_retravaill!G674,Result_notebook_retravaill!I674/Result_notebook_retravaill!N674,Result_notebook_retravaill!H674)</f>
        <v>29.109663626080231</v>
      </c>
      <c r="I674" s="32">
        <f>Result_notebook_retravaill!K674</f>
        <v>5118.6837084685922</v>
      </c>
      <c r="J674" s="32">
        <f>MIN(G674,Result_notebook_retravaill!I674)</f>
        <v>17.42341200168546</v>
      </c>
      <c r="K674" s="32">
        <f>IF(Result_notebook_retravaill!I674&gt;Result_notebook_retravaill!G674,0,IF(Result_notebook_retravaill!I674+Result_notebook_retravaill!J674&gt;Result_notebook_retravaill!G674,Result_notebook_retravaill!G674-Result_notebook_retravaill!I674,Result_notebook_retravaill!J674))</f>
        <v>11.686251624394771</v>
      </c>
      <c r="L674" s="32">
        <f>IF(Result_notebook_retravaill!I674&gt;Result_notebook_retravaill!G674,0,IF(Result_notebook_retravaill!I674+Result_notebook_retravaill!J674&gt;Result_notebook_retravaill!G674,0,Result_notebook_retravaill!M674))</f>
        <v>3059.5663596307236</v>
      </c>
      <c r="M674" s="31">
        <f t="shared" si="10"/>
        <v>0</v>
      </c>
    </row>
    <row r="675" spans="1:13" x14ac:dyDescent="0.35">
      <c r="A675">
        <f>Result_notebook_retravaill!A675</f>
        <v>2032</v>
      </c>
      <c r="B675" t="str">
        <f>Result_notebook_retravaill!B675</f>
        <v>Neodymium</v>
      </c>
      <c r="C675" t="str">
        <f>Result_notebook_retravaill!C675</f>
        <v>Global Net-zero</v>
      </c>
      <c r="D675" t="str">
        <f>Result_notebook_retravaill!D675</f>
        <v>Production potential</v>
      </c>
      <c r="E675" t="str">
        <f>Result_notebook_retravaill!E675</f>
        <v>Current shares</v>
      </c>
      <c r="F675" t="str">
        <f>Result_notebook_retravaill!F675</f>
        <v>Expansion Extractive+Circularity</v>
      </c>
      <c r="G675">
        <f>Result_notebook_retravaill!G675</f>
        <v>3088.6760232568031</v>
      </c>
      <c r="H675" s="32">
        <f>IF(Result_notebook_retravaill!I675&gt;Result_notebook_retravaill!G675,Result_notebook_retravaill!I675/Result_notebook_retravaill!N675,Result_notebook_retravaill!H675)</f>
        <v>29.109663626080231</v>
      </c>
      <c r="I675" s="32">
        <f>Result_notebook_retravaill!K675</f>
        <v>5118.6837084685922</v>
      </c>
      <c r="J675" s="32">
        <f>MIN(G675,Result_notebook_retravaill!I675)</f>
        <v>17.42341200168546</v>
      </c>
      <c r="K675" s="32">
        <f>IF(Result_notebook_retravaill!I675&gt;Result_notebook_retravaill!G675,0,IF(Result_notebook_retravaill!I675+Result_notebook_retravaill!J675&gt;Result_notebook_retravaill!G675,Result_notebook_retravaill!G675-Result_notebook_retravaill!I675,Result_notebook_retravaill!J675))</f>
        <v>11.686251624394771</v>
      </c>
      <c r="L675" s="32">
        <f>IF(Result_notebook_retravaill!I675&gt;Result_notebook_retravaill!G675,0,IF(Result_notebook_retravaill!I675+Result_notebook_retravaill!J675&gt;Result_notebook_retravaill!G675,0,Result_notebook_retravaill!M675))</f>
        <v>3059.5663596307236</v>
      </c>
      <c r="M675" s="31">
        <f t="shared" si="10"/>
        <v>0</v>
      </c>
    </row>
    <row r="676" spans="1:13" x14ac:dyDescent="0.35">
      <c r="A676">
        <f>Result_notebook_retravaill!A676</f>
        <v>2032</v>
      </c>
      <c r="B676" t="str">
        <f>Result_notebook_retravaill!B676</f>
        <v>Neodymium</v>
      </c>
      <c r="C676" t="str">
        <f>Result_notebook_retravaill!C676</f>
        <v>Global Net-zero</v>
      </c>
      <c r="D676" t="str">
        <f>Result_notebook_retravaill!D676</f>
        <v>Production potential</v>
      </c>
      <c r="E676" t="str">
        <f>Result_notebook_retravaill!E676</f>
        <v>100% CAN</v>
      </c>
      <c r="F676" t="str">
        <f>Result_notebook_retravaill!F676</f>
        <v>Integrated</v>
      </c>
      <c r="G676">
        <f>Result_notebook_retravaill!G676</f>
        <v>3088.6760232568031</v>
      </c>
      <c r="H676" s="32">
        <f>IF(Result_notebook_retravaill!I676&gt;Result_notebook_retravaill!G676,Result_notebook_retravaill!I676/Result_notebook_retravaill!N676,Result_notebook_retravaill!H676)</f>
        <v>29.109663626080231</v>
      </c>
      <c r="I676" s="32">
        <f>Result_notebook_retravaill!K676</f>
        <v>5118.6837084685922</v>
      </c>
      <c r="J676" s="32">
        <f>MIN(G676,Result_notebook_retravaill!I676)</f>
        <v>17.42341200168546</v>
      </c>
      <c r="K676" s="32">
        <f>IF(Result_notebook_retravaill!I676&gt;Result_notebook_retravaill!G676,0,IF(Result_notebook_retravaill!I676+Result_notebook_retravaill!J676&gt;Result_notebook_retravaill!G676,Result_notebook_retravaill!G676-Result_notebook_retravaill!I676,Result_notebook_retravaill!J676))</f>
        <v>11.686251624394771</v>
      </c>
      <c r="L676" s="32">
        <f>IF(Result_notebook_retravaill!I676&gt;Result_notebook_retravaill!G676,0,IF(Result_notebook_retravaill!I676+Result_notebook_retravaill!J676&gt;Result_notebook_retravaill!G676,0,Result_notebook_retravaill!M676))</f>
        <v>3059.5663596307236</v>
      </c>
      <c r="M676" s="31">
        <f t="shared" si="10"/>
        <v>0</v>
      </c>
    </row>
    <row r="677" spans="1:13" x14ac:dyDescent="0.35">
      <c r="A677">
        <f>Result_notebook_retravaill!A677</f>
        <v>2032</v>
      </c>
      <c r="B677" t="str">
        <f>Result_notebook_retravaill!B677</f>
        <v>Nickel</v>
      </c>
      <c r="C677" t="str">
        <f>Result_notebook_retravaill!C677</f>
        <v>Canada Net-zero</v>
      </c>
      <c r="D677" t="str">
        <f>Result_notebook_retravaill!D677</f>
        <v>Existing production</v>
      </c>
      <c r="E677" t="str">
        <f>Result_notebook_retravaill!E677</f>
        <v>Current shares</v>
      </c>
      <c r="F677" t="str">
        <f>Result_notebook_retravaill!F677</f>
        <v>NIMBY</v>
      </c>
      <c r="G677">
        <f>Result_notebook_retravaill!G677</f>
        <v>108954.6041363616</v>
      </c>
      <c r="H677" s="32">
        <f>IF(Result_notebook_retravaill!I677&gt;Result_notebook_retravaill!G677,Result_notebook_retravaill!I677/Result_notebook_retravaill!N677,Result_notebook_retravaill!H677)</f>
        <v>0</v>
      </c>
      <c r="I677" s="32">
        <f>Result_notebook_retravaill!K677</f>
        <v>137917.2204257742</v>
      </c>
      <c r="J677" s="32">
        <f>MIN(G677,Result_notebook_retravaill!I677)</f>
        <v>0</v>
      </c>
      <c r="K677" s="32">
        <f>IF(Result_notebook_retravaill!I677&gt;Result_notebook_retravaill!G677,0,IF(Result_notebook_retravaill!I677+Result_notebook_retravaill!J677&gt;Result_notebook_retravaill!G677,Result_notebook_retravaill!G677-Result_notebook_retravaill!I677,Result_notebook_retravaill!J677))</f>
        <v>0</v>
      </c>
      <c r="L677" s="32">
        <f>IF(Result_notebook_retravaill!I677&gt;Result_notebook_retravaill!G677,0,IF(Result_notebook_retravaill!I677+Result_notebook_retravaill!J677&gt;Result_notebook_retravaill!G677,0,Result_notebook_retravaill!M677))</f>
        <v>108954.6041363616</v>
      </c>
      <c r="M677" s="31">
        <f t="shared" si="10"/>
        <v>0</v>
      </c>
    </row>
    <row r="678" spans="1:13" x14ac:dyDescent="0.35">
      <c r="A678">
        <f>Result_notebook_retravaill!A678</f>
        <v>2032</v>
      </c>
      <c r="B678" t="str">
        <f>Result_notebook_retravaill!B678</f>
        <v>Nickel</v>
      </c>
      <c r="C678" t="str">
        <f>Result_notebook_retravaill!C678</f>
        <v>Canada Net-zero</v>
      </c>
      <c r="D678" t="str">
        <f>Result_notebook_retravaill!D678</f>
        <v>Existing production</v>
      </c>
      <c r="E678" t="str">
        <f>Result_notebook_retravaill!E678</f>
        <v>Current shares</v>
      </c>
      <c r="F678" t="str">
        <f>Result_notebook_retravaill!F678</f>
        <v>Status Quo</v>
      </c>
      <c r="G678">
        <f>Result_notebook_retravaill!G678</f>
        <v>108954.6041363616</v>
      </c>
      <c r="H678" s="32">
        <f>IF(Result_notebook_retravaill!I678&gt;Result_notebook_retravaill!G678,Result_notebook_retravaill!I678/Result_notebook_retravaill!N678,Result_notebook_retravaill!H678)</f>
        <v>139278</v>
      </c>
      <c r="I678" s="32">
        <f>Result_notebook_retravaill!K678</f>
        <v>0</v>
      </c>
      <c r="J678" s="32">
        <f>MIN(G678,Result_notebook_retravaill!I678)</f>
        <v>78118.250613288372</v>
      </c>
      <c r="K678" s="32">
        <f>IF(Result_notebook_retravaill!I678&gt;Result_notebook_retravaill!G678,0,IF(Result_notebook_retravaill!I678+Result_notebook_retravaill!J678&gt;Result_notebook_retravaill!G678,Result_notebook_retravaill!G678-Result_notebook_retravaill!I678,Result_notebook_retravaill!J678))</f>
        <v>19260.814234886071</v>
      </c>
      <c r="L678" s="32">
        <f>IF(Result_notebook_retravaill!I678&gt;Result_notebook_retravaill!G678,0,IF(Result_notebook_retravaill!I678+Result_notebook_retravaill!J678&gt;Result_notebook_retravaill!G678,0,Result_notebook_retravaill!M678))</f>
        <v>11575.539288187148</v>
      </c>
      <c r="M678" s="31">
        <f t="shared" si="10"/>
        <v>0</v>
      </c>
    </row>
    <row r="679" spans="1:13" x14ac:dyDescent="0.35">
      <c r="A679">
        <f>Result_notebook_retravaill!A679</f>
        <v>2032</v>
      </c>
      <c r="B679" t="str">
        <f>Result_notebook_retravaill!B679</f>
        <v>Nickel</v>
      </c>
      <c r="C679" t="str">
        <f>Result_notebook_retravaill!C679</f>
        <v>Canada Net-zero</v>
      </c>
      <c r="D679" t="str">
        <f>Result_notebook_retravaill!D679</f>
        <v>Production potential</v>
      </c>
      <c r="E679" t="str">
        <f>Result_notebook_retravaill!E679</f>
        <v>Current shares</v>
      </c>
      <c r="F679" t="str">
        <f>Result_notebook_retravaill!F679</f>
        <v>Expansion Extractive</v>
      </c>
      <c r="G679">
        <f>Result_notebook_retravaill!G679</f>
        <v>108954.6041363616</v>
      </c>
      <c r="H679" s="32">
        <f>IF(Result_notebook_retravaill!I679&gt;Result_notebook_retravaill!G679,Result_notebook_retravaill!I679/Result_notebook_retravaill!N679,Result_notebook_retravaill!H679)</f>
        <v>158501.98428456089</v>
      </c>
      <c r="I679" s="32">
        <f>Result_notebook_retravaill!K679</f>
        <v>0</v>
      </c>
      <c r="J679" s="32">
        <f>MIN(G679,Result_notebook_retravaill!I679)</f>
        <v>108954.6041363616</v>
      </c>
      <c r="K679" s="32">
        <f>IF(Result_notebook_retravaill!I679&gt;Result_notebook_retravaill!G679,0,IF(Result_notebook_retravaill!I679+Result_notebook_retravaill!J679&gt;Result_notebook_retravaill!G679,Result_notebook_retravaill!G679-Result_notebook_retravaill!I679,Result_notebook_retravaill!J679))</f>
        <v>0</v>
      </c>
      <c r="L679" s="32">
        <f>IF(Result_notebook_retravaill!I679&gt;Result_notebook_retravaill!G679,0,IF(Result_notebook_retravaill!I679+Result_notebook_retravaill!J679&gt;Result_notebook_retravaill!G679,0,Result_notebook_retravaill!M679))</f>
        <v>0</v>
      </c>
      <c r="M679" s="31">
        <f t="shared" si="10"/>
        <v>0</v>
      </c>
    </row>
    <row r="680" spans="1:13" x14ac:dyDescent="0.35">
      <c r="A680">
        <f>Result_notebook_retravaill!A680</f>
        <v>2032</v>
      </c>
      <c r="B680" t="str">
        <f>Result_notebook_retravaill!B680</f>
        <v>Nickel</v>
      </c>
      <c r="C680" t="str">
        <f>Result_notebook_retravaill!C680</f>
        <v>Canada Net-zero</v>
      </c>
      <c r="D680" t="str">
        <f>Result_notebook_retravaill!D680</f>
        <v>Production potential</v>
      </c>
      <c r="E680" t="str">
        <f>Result_notebook_retravaill!E680</f>
        <v>Current shares</v>
      </c>
      <c r="F680" t="str">
        <f>Result_notebook_retravaill!F680</f>
        <v>Expansion Extractive+Circularity</v>
      </c>
      <c r="G680">
        <f>Result_notebook_retravaill!G680</f>
        <v>108954.6041363616</v>
      </c>
      <c r="H680" s="32">
        <f>IF(Result_notebook_retravaill!I680&gt;Result_notebook_retravaill!G680,Result_notebook_retravaill!I680/Result_notebook_retravaill!N680,Result_notebook_retravaill!H680)</f>
        <v>158501.98428456089</v>
      </c>
      <c r="I680" s="32">
        <f>Result_notebook_retravaill!K680</f>
        <v>0</v>
      </c>
      <c r="J680" s="32">
        <f>MIN(G680,Result_notebook_retravaill!I680)</f>
        <v>108954.6041363616</v>
      </c>
      <c r="K680" s="32">
        <f>IF(Result_notebook_retravaill!I680&gt;Result_notebook_retravaill!G680,0,IF(Result_notebook_retravaill!I680+Result_notebook_retravaill!J680&gt;Result_notebook_retravaill!G680,Result_notebook_retravaill!G680-Result_notebook_retravaill!I680,Result_notebook_retravaill!J680))</f>
        <v>0</v>
      </c>
      <c r="L680" s="32">
        <f>IF(Result_notebook_retravaill!I680&gt;Result_notebook_retravaill!G680,0,IF(Result_notebook_retravaill!I680+Result_notebook_retravaill!J680&gt;Result_notebook_retravaill!G680,0,Result_notebook_retravaill!M680))</f>
        <v>0</v>
      </c>
      <c r="M680" s="31">
        <f t="shared" si="10"/>
        <v>0</v>
      </c>
    </row>
    <row r="681" spans="1:13" x14ac:dyDescent="0.35">
      <c r="A681">
        <f>Result_notebook_retravaill!A681</f>
        <v>2032</v>
      </c>
      <c r="B681" t="str">
        <f>Result_notebook_retravaill!B681</f>
        <v>Nickel</v>
      </c>
      <c r="C681" t="str">
        <f>Result_notebook_retravaill!C681</f>
        <v>Canada Net-zero</v>
      </c>
      <c r="D681" t="str">
        <f>Result_notebook_retravaill!D681</f>
        <v>Production potential</v>
      </c>
      <c r="E681" t="str">
        <f>Result_notebook_retravaill!E681</f>
        <v>100% CAN</v>
      </c>
      <c r="F681" t="str">
        <f>Result_notebook_retravaill!F681</f>
        <v>Integrated</v>
      </c>
      <c r="G681">
        <f>Result_notebook_retravaill!G681</f>
        <v>108954.6041363616</v>
      </c>
      <c r="H681" s="32">
        <f>IF(Result_notebook_retravaill!I681&gt;Result_notebook_retravaill!G681,Result_notebook_retravaill!I681/Result_notebook_retravaill!N681,Result_notebook_retravaill!H681)</f>
        <v>222559.22869436015</v>
      </c>
      <c r="I681" s="32">
        <f>Result_notebook_retravaill!K681</f>
        <v>0</v>
      </c>
      <c r="J681" s="32">
        <f>MIN(G681,Result_notebook_retravaill!I681)</f>
        <v>108954.6041363616</v>
      </c>
      <c r="K681" s="32">
        <f>IF(Result_notebook_retravaill!I681&gt;Result_notebook_retravaill!G681,0,IF(Result_notebook_retravaill!I681+Result_notebook_retravaill!J681&gt;Result_notebook_retravaill!G681,Result_notebook_retravaill!G681-Result_notebook_retravaill!I681,Result_notebook_retravaill!J681))</f>
        <v>0</v>
      </c>
      <c r="L681" s="32">
        <f>IF(Result_notebook_retravaill!I681&gt;Result_notebook_retravaill!G681,0,IF(Result_notebook_retravaill!I681+Result_notebook_retravaill!J681&gt;Result_notebook_retravaill!G681,0,Result_notebook_retravaill!M681))</f>
        <v>0</v>
      </c>
      <c r="M681" s="31">
        <f t="shared" si="10"/>
        <v>0</v>
      </c>
    </row>
    <row r="682" spans="1:13" x14ac:dyDescent="0.35">
      <c r="A682">
        <f>Result_notebook_retravaill!A682</f>
        <v>2032</v>
      </c>
      <c r="B682" t="str">
        <f>Result_notebook_retravaill!B682</f>
        <v>Nickel</v>
      </c>
      <c r="C682" t="str">
        <f>Result_notebook_retravaill!C682</f>
        <v>Current Measures</v>
      </c>
      <c r="D682" t="str">
        <f>Result_notebook_retravaill!D682</f>
        <v>Existing production</v>
      </c>
      <c r="E682" t="str">
        <f>Result_notebook_retravaill!E682</f>
        <v>Current shares</v>
      </c>
      <c r="F682" t="str">
        <f>Result_notebook_retravaill!F682</f>
        <v>NIMBY</v>
      </c>
      <c r="G682">
        <f>Result_notebook_retravaill!G682</f>
        <v>49277.628426306859</v>
      </c>
      <c r="H682" s="32">
        <f>IF(Result_notebook_retravaill!I682&gt;Result_notebook_retravaill!G682,Result_notebook_retravaill!I682/Result_notebook_retravaill!N682,Result_notebook_retravaill!H682)</f>
        <v>0</v>
      </c>
      <c r="I682" s="32">
        <f>Result_notebook_retravaill!K682</f>
        <v>62376.744843426401</v>
      </c>
      <c r="J682" s="32">
        <f>MIN(G682,Result_notebook_retravaill!I682)</f>
        <v>0</v>
      </c>
      <c r="K682" s="32">
        <f>IF(Result_notebook_retravaill!I682&gt;Result_notebook_retravaill!G682,0,IF(Result_notebook_retravaill!I682+Result_notebook_retravaill!J682&gt;Result_notebook_retravaill!G682,Result_notebook_retravaill!G682-Result_notebook_retravaill!I682,Result_notebook_retravaill!J682))</f>
        <v>0</v>
      </c>
      <c r="L682" s="32">
        <f>IF(Result_notebook_retravaill!I682&gt;Result_notebook_retravaill!G682,0,IF(Result_notebook_retravaill!I682+Result_notebook_retravaill!J682&gt;Result_notebook_retravaill!G682,0,Result_notebook_retravaill!M682))</f>
        <v>49277.628426306859</v>
      </c>
      <c r="M682" s="31">
        <f t="shared" si="10"/>
        <v>0</v>
      </c>
    </row>
    <row r="683" spans="1:13" x14ac:dyDescent="0.35">
      <c r="A683">
        <f>Result_notebook_retravaill!A683</f>
        <v>2032</v>
      </c>
      <c r="B683" t="str">
        <f>Result_notebook_retravaill!B683</f>
        <v>Nickel</v>
      </c>
      <c r="C683" t="str">
        <f>Result_notebook_retravaill!C683</f>
        <v>Current Measures</v>
      </c>
      <c r="D683" t="str">
        <f>Result_notebook_retravaill!D683</f>
        <v>Existing production</v>
      </c>
      <c r="E683" t="str">
        <f>Result_notebook_retravaill!E683</f>
        <v>Current shares</v>
      </c>
      <c r="F683" t="str">
        <f>Result_notebook_retravaill!F683</f>
        <v>Status Quo</v>
      </c>
      <c r="G683">
        <f>Result_notebook_retravaill!G683</f>
        <v>49277.628426306859</v>
      </c>
      <c r="H683" s="32">
        <f>IF(Result_notebook_retravaill!I683&gt;Result_notebook_retravaill!G683,Result_notebook_retravaill!I683/Result_notebook_retravaill!N683,Result_notebook_retravaill!H683)</f>
        <v>111729.90545638361</v>
      </c>
      <c r="I683" s="32">
        <f>Result_notebook_retravaill!K683</f>
        <v>0</v>
      </c>
      <c r="J683" s="32">
        <f>MIN(G683,Result_notebook_retravaill!I683)</f>
        <v>49277.628426306859</v>
      </c>
      <c r="K683" s="32">
        <f>IF(Result_notebook_retravaill!I683&gt;Result_notebook_retravaill!G683,0,IF(Result_notebook_retravaill!I683+Result_notebook_retravaill!J683&gt;Result_notebook_retravaill!G683,Result_notebook_retravaill!G683-Result_notebook_retravaill!I683,Result_notebook_retravaill!J683))</f>
        <v>0</v>
      </c>
      <c r="L683" s="32">
        <f>IF(Result_notebook_retravaill!I683&gt;Result_notebook_retravaill!G683,0,IF(Result_notebook_retravaill!I683+Result_notebook_retravaill!J683&gt;Result_notebook_retravaill!G683,0,Result_notebook_retravaill!M683))</f>
        <v>0</v>
      </c>
      <c r="M683" s="31">
        <f t="shared" si="10"/>
        <v>0</v>
      </c>
    </row>
    <row r="684" spans="1:13" x14ac:dyDescent="0.35">
      <c r="A684">
        <f>Result_notebook_retravaill!A684</f>
        <v>2032</v>
      </c>
      <c r="B684" t="str">
        <f>Result_notebook_retravaill!B684</f>
        <v>Nickel</v>
      </c>
      <c r="C684" t="str">
        <f>Result_notebook_retravaill!C684</f>
        <v>Current Measures</v>
      </c>
      <c r="D684" t="str">
        <f>Result_notebook_retravaill!D684</f>
        <v>Production potential</v>
      </c>
      <c r="E684" t="str">
        <f>Result_notebook_retravaill!E684</f>
        <v>Current shares</v>
      </c>
      <c r="F684" t="str">
        <f>Result_notebook_retravaill!F684</f>
        <v>Expansion Extractive</v>
      </c>
      <c r="G684">
        <f>Result_notebook_retravaill!G684</f>
        <v>49277.628426306859</v>
      </c>
      <c r="H684" s="32">
        <f>IF(Result_notebook_retravaill!I684&gt;Result_notebook_retravaill!G684,Result_notebook_retravaill!I684/Result_notebook_retravaill!N684,Result_notebook_retravaill!H684)</f>
        <v>158501.98428456089</v>
      </c>
      <c r="I684" s="32">
        <f>Result_notebook_retravaill!K684</f>
        <v>0</v>
      </c>
      <c r="J684" s="32">
        <f>MIN(G684,Result_notebook_retravaill!I684)</f>
        <v>49277.628426306859</v>
      </c>
      <c r="K684" s="32">
        <f>IF(Result_notebook_retravaill!I684&gt;Result_notebook_retravaill!G684,0,IF(Result_notebook_retravaill!I684+Result_notebook_retravaill!J684&gt;Result_notebook_retravaill!G684,Result_notebook_retravaill!G684-Result_notebook_retravaill!I684,Result_notebook_retravaill!J684))</f>
        <v>0</v>
      </c>
      <c r="L684" s="32">
        <f>IF(Result_notebook_retravaill!I684&gt;Result_notebook_retravaill!G684,0,IF(Result_notebook_retravaill!I684+Result_notebook_retravaill!J684&gt;Result_notebook_retravaill!G684,0,Result_notebook_retravaill!M684))</f>
        <v>0</v>
      </c>
      <c r="M684" s="31">
        <f t="shared" si="10"/>
        <v>0</v>
      </c>
    </row>
    <row r="685" spans="1:13" x14ac:dyDescent="0.35">
      <c r="A685">
        <f>Result_notebook_retravaill!A685</f>
        <v>2032</v>
      </c>
      <c r="B685" t="str">
        <f>Result_notebook_retravaill!B685</f>
        <v>Nickel</v>
      </c>
      <c r="C685" t="str">
        <f>Result_notebook_retravaill!C685</f>
        <v>Current Measures</v>
      </c>
      <c r="D685" t="str">
        <f>Result_notebook_retravaill!D685</f>
        <v>Production potential</v>
      </c>
      <c r="E685" t="str">
        <f>Result_notebook_retravaill!E685</f>
        <v>Current shares</v>
      </c>
      <c r="F685" t="str">
        <f>Result_notebook_retravaill!F685</f>
        <v>Expansion Extractive+Circularity</v>
      </c>
      <c r="G685">
        <f>Result_notebook_retravaill!G685</f>
        <v>49277.628426306859</v>
      </c>
      <c r="H685" s="32">
        <f>IF(Result_notebook_retravaill!I685&gt;Result_notebook_retravaill!G685,Result_notebook_retravaill!I685/Result_notebook_retravaill!N685,Result_notebook_retravaill!H685)</f>
        <v>158501.98428456089</v>
      </c>
      <c r="I685" s="32">
        <f>Result_notebook_retravaill!K685</f>
        <v>0</v>
      </c>
      <c r="J685" s="32">
        <f>MIN(G685,Result_notebook_retravaill!I685)</f>
        <v>49277.628426306859</v>
      </c>
      <c r="K685" s="32">
        <f>IF(Result_notebook_retravaill!I685&gt;Result_notebook_retravaill!G685,0,IF(Result_notebook_retravaill!I685+Result_notebook_retravaill!J685&gt;Result_notebook_retravaill!G685,Result_notebook_retravaill!G685-Result_notebook_retravaill!I685,Result_notebook_retravaill!J685))</f>
        <v>0</v>
      </c>
      <c r="L685" s="32">
        <f>IF(Result_notebook_retravaill!I685&gt;Result_notebook_retravaill!G685,0,IF(Result_notebook_retravaill!I685+Result_notebook_retravaill!J685&gt;Result_notebook_retravaill!G685,0,Result_notebook_retravaill!M685))</f>
        <v>0</v>
      </c>
      <c r="M685" s="31">
        <f t="shared" si="10"/>
        <v>0</v>
      </c>
    </row>
    <row r="686" spans="1:13" x14ac:dyDescent="0.35">
      <c r="A686">
        <f>Result_notebook_retravaill!A686</f>
        <v>2032</v>
      </c>
      <c r="B686" t="str">
        <f>Result_notebook_retravaill!B686</f>
        <v>Nickel</v>
      </c>
      <c r="C686" t="str">
        <f>Result_notebook_retravaill!C686</f>
        <v>Current Measures</v>
      </c>
      <c r="D686" t="str">
        <f>Result_notebook_retravaill!D686</f>
        <v>Production potential</v>
      </c>
      <c r="E686" t="str">
        <f>Result_notebook_retravaill!E686</f>
        <v>100% CAN</v>
      </c>
      <c r="F686" t="str">
        <f>Result_notebook_retravaill!F686</f>
        <v>Integrated</v>
      </c>
      <c r="G686">
        <f>Result_notebook_retravaill!G686</f>
        <v>49277.628426306859</v>
      </c>
      <c r="H686" s="32">
        <f>IF(Result_notebook_retravaill!I686&gt;Result_notebook_retravaill!G686,Result_notebook_retravaill!I686/Result_notebook_retravaill!N686,Result_notebook_retravaill!H686)</f>
        <v>222559.22869436015</v>
      </c>
      <c r="I686" s="32">
        <f>Result_notebook_retravaill!K686</f>
        <v>0</v>
      </c>
      <c r="J686" s="32">
        <f>MIN(G686,Result_notebook_retravaill!I686)</f>
        <v>49277.628426306859</v>
      </c>
      <c r="K686" s="32">
        <f>IF(Result_notebook_retravaill!I686&gt;Result_notebook_retravaill!G686,0,IF(Result_notebook_retravaill!I686+Result_notebook_retravaill!J686&gt;Result_notebook_retravaill!G686,Result_notebook_retravaill!G686-Result_notebook_retravaill!I686,Result_notebook_retravaill!J686))</f>
        <v>0</v>
      </c>
      <c r="L686" s="32">
        <f>IF(Result_notebook_retravaill!I686&gt;Result_notebook_retravaill!G686,0,IF(Result_notebook_retravaill!I686+Result_notebook_retravaill!J686&gt;Result_notebook_retravaill!G686,0,Result_notebook_retravaill!M686))</f>
        <v>0</v>
      </c>
      <c r="M686" s="31">
        <f t="shared" si="10"/>
        <v>0</v>
      </c>
    </row>
    <row r="687" spans="1:13" x14ac:dyDescent="0.35">
      <c r="A687">
        <f>Result_notebook_retravaill!A687</f>
        <v>2032</v>
      </c>
      <c r="B687" t="str">
        <f>Result_notebook_retravaill!B687</f>
        <v>Nickel</v>
      </c>
      <c r="C687" t="str">
        <f>Result_notebook_retravaill!C687</f>
        <v>Global Net-zero</v>
      </c>
      <c r="D687" t="str">
        <f>Result_notebook_retravaill!D687</f>
        <v>Existing production</v>
      </c>
      <c r="E687" t="str">
        <f>Result_notebook_retravaill!E687</f>
        <v>Current shares</v>
      </c>
      <c r="F687" t="str">
        <f>Result_notebook_retravaill!F687</f>
        <v>NIMBY</v>
      </c>
      <c r="G687">
        <f>Result_notebook_retravaill!G687</f>
        <v>103780.1262842799</v>
      </c>
      <c r="H687" s="32">
        <f>IF(Result_notebook_retravaill!I687&gt;Result_notebook_retravaill!G687,Result_notebook_retravaill!I687/Result_notebook_retravaill!N687,Result_notebook_retravaill!H687)</f>
        <v>0</v>
      </c>
      <c r="I687" s="32">
        <f>Result_notebook_retravaill!K687</f>
        <v>131367.24846111381</v>
      </c>
      <c r="J687" s="32">
        <f>MIN(G687,Result_notebook_retravaill!I687)</f>
        <v>0</v>
      </c>
      <c r="K687" s="32">
        <f>IF(Result_notebook_retravaill!I687&gt;Result_notebook_retravaill!G687,0,IF(Result_notebook_retravaill!I687+Result_notebook_retravaill!J687&gt;Result_notebook_retravaill!G687,Result_notebook_retravaill!G687-Result_notebook_retravaill!I687,Result_notebook_retravaill!J687))</f>
        <v>0</v>
      </c>
      <c r="L687" s="32">
        <f>IF(Result_notebook_retravaill!I687&gt;Result_notebook_retravaill!G687,0,IF(Result_notebook_retravaill!I687+Result_notebook_retravaill!J687&gt;Result_notebook_retravaill!G687,0,Result_notebook_retravaill!M687))</f>
        <v>103780.1262842799</v>
      </c>
      <c r="M687" s="31">
        <f t="shared" si="10"/>
        <v>0</v>
      </c>
    </row>
    <row r="688" spans="1:13" x14ac:dyDescent="0.35">
      <c r="A688">
        <f>Result_notebook_retravaill!A688</f>
        <v>2032</v>
      </c>
      <c r="B688" t="str">
        <f>Result_notebook_retravaill!B688</f>
        <v>Nickel</v>
      </c>
      <c r="C688" t="str">
        <f>Result_notebook_retravaill!C688</f>
        <v>Global Net-zero</v>
      </c>
      <c r="D688" t="str">
        <f>Result_notebook_retravaill!D688</f>
        <v>Existing production</v>
      </c>
      <c r="E688" t="str">
        <f>Result_notebook_retravaill!E688</f>
        <v>Current shares</v>
      </c>
      <c r="F688" t="str">
        <f>Result_notebook_retravaill!F688</f>
        <v>Status Quo</v>
      </c>
      <c r="G688">
        <f>Result_notebook_retravaill!G688</f>
        <v>103780.1262842799</v>
      </c>
      <c r="H688" s="32">
        <f>IF(Result_notebook_retravaill!I688&gt;Result_notebook_retravaill!G688,Result_notebook_retravaill!I688/Result_notebook_retravaill!N688,Result_notebook_retravaill!H688)</f>
        <v>139278</v>
      </c>
      <c r="I688" s="32">
        <f>Result_notebook_retravaill!K688</f>
        <v>0</v>
      </c>
      <c r="J688" s="32">
        <f>MIN(G688,Result_notebook_retravaill!I688)</f>
        <v>78118.250613288372</v>
      </c>
      <c r="K688" s="32">
        <f>IF(Result_notebook_retravaill!I688&gt;Result_notebook_retravaill!G688,0,IF(Result_notebook_retravaill!I688+Result_notebook_retravaill!J688&gt;Result_notebook_retravaill!G688,Result_notebook_retravaill!G688-Result_notebook_retravaill!I688,Result_notebook_retravaill!J688))</f>
        <v>19260.814234886071</v>
      </c>
      <c r="L688" s="32">
        <f>IF(Result_notebook_retravaill!I688&gt;Result_notebook_retravaill!G688,0,IF(Result_notebook_retravaill!I688+Result_notebook_retravaill!J688&gt;Result_notebook_retravaill!G688,0,Result_notebook_retravaill!M688))</f>
        <v>6401.0614361054577</v>
      </c>
      <c r="M688" s="31">
        <f t="shared" si="10"/>
        <v>0</v>
      </c>
    </row>
    <row r="689" spans="1:13" x14ac:dyDescent="0.35">
      <c r="A689">
        <f>Result_notebook_retravaill!A689</f>
        <v>2032</v>
      </c>
      <c r="B689" t="str">
        <f>Result_notebook_retravaill!B689</f>
        <v>Nickel</v>
      </c>
      <c r="C689" t="str">
        <f>Result_notebook_retravaill!C689</f>
        <v>Global Net-zero</v>
      </c>
      <c r="D689" t="str">
        <f>Result_notebook_retravaill!D689</f>
        <v>Production potential</v>
      </c>
      <c r="E689" t="str">
        <f>Result_notebook_retravaill!E689</f>
        <v>Current shares</v>
      </c>
      <c r="F689" t="str">
        <f>Result_notebook_retravaill!F689</f>
        <v>Expansion Extractive</v>
      </c>
      <c r="G689">
        <f>Result_notebook_retravaill!G689</f>
        <v>103780.1262842799</v>
      </c>
      <c r="H689" s="32">
        <f>IF(Result_notebook_retravaill!I689&gt;Result_notebook_retravaill!G689,Result_notebook_retravaill!I689/Result_notebook_retravaill!N689,Result_notebook_retravaill!H689)</f>
        <v>158501.98428456089</v>
      </c>
      <c r="I689" s="32">
        <f>Result_notebook_retravaill!K689</f>
        <v>0</v>
      </c>
      <c r="J689" s="32">
        <f>MIN(G689,Result_notebook_retravaill!I689)</f>
        <v>103780.1262842799</v>
      </c>
      <c r="K689" s="32">
        <f>IF(Result_notebook_retravaill!I689&gt;Result_notebook_retravaill!G689,0,IF(Result_notebook_retravaill!I689+Result_notebook_retravaill!J689&gt;Result_notebook_retravaill!G689,Result_notebook_retravaill!G689-Result_notebook_retravaill!I689,Result_notebook_retravaill!J689))</f>
        <v>0</v>
      </c>
      <c r="L689" s="32">
        <f>IF(Result_notebook_retravaill!I689&gt;Result_notebook_retravaill!G689,0,IF(Result_notebook_retravaill!I689+Result_notebook_retravaill!J689&gt;Result_notebook_retravaill!G689,0,Result_notebook_retravaill!M689))</f>
        <v>0</v>
      </c>
      <c r="M689" s="31">
        <f t="shared" si="10"/>
        <v>0</v>
      </c>
    </row>
    <row r="690" spans="1:13" x14ac:dyDescent="0.35">
      <c r="A690">
        <f>Result_notebook_retravaill!A690</f>
        <v>2032</v>
      </c>
      <c r="B690" t="str">
        <f>Result_notebook_retravaill!B690</f>
        <v>Nickel</v>
      </c>
      <c r="C690" t="str">
        <f>Result_notebook_retravaill!C690</f>
        <v>Global Net-zero</v>
      </c>
      <c r="D690" t="str">
        <f>Result_notebook_retravaill!D690</f>
        <v>Production potential</v>
      </c>
      <c r="E690" t="str">
        <f>Result_notebook_retravaill!E690</f>
        <v>Current shares</v>
      </c>
      <c r="F690" t="str">
        <f>Result_notebook_retravaill!F690</f>
        <v>Expansion Extractive+Circularity</v>
      </c>
      <c r="G690">
        <f>Result_notebook_retravaill!G690</f>
        <v>103780.1262842799</v>
      </c>
      <c r="H690" s="32">
        <f>IF(Result_notebook_retravaill!I690&gt;Result_notebook_retravaill!G690,Result_notebook_retravaill!I690/Result_notebook_retravaill!N690,Result_notebook_retravaill!H690)</f>
        <v>158501.98428456089</v>
      </c>
      <c r="I690" s="32">
        <f>Result_notebook_retravaill!K690</f>
        <v>0</v>
      </c>
      <c r="J690" s="32">
        <f>MIN(G690,Result_notebook_retravaill!I690)</f>
        <v>103780.1262842799</v>
      </c>
      <c r="K690" s="32">
        <f>IF(Result_notebook_retravaill!I690&gt;Result_notebook_retravaill!G690,0,IF(Result_notebook_retravaill!I690+Result_notebook_retravaill!J690&gt;Result_notebook_retravaill!G690,Result_notebook_retravaill!G690-Result_notebook_retravaill!I690,Result_notebook_retravaill!J690))</f>
        <v>0</v>
      </c>
      <c r="L690" s="32">
        <f>IF(Result_notebook_retravaill!I690&gt;Result_notebook_retravaill!G690,0,IF(Result_notebook_retravaill!I690+Result_notebook_retravaill!J690&gt;Result_notebook_retravaill!G690,0,Result_notebook_retravaill!M690))</f>
        <v>0</v>
      </c>
      <c r="M690" s="31">
        <f t="shared" si="10"/>
        <v>0</v>
      </c>
    </row>
    <row r="691" spans="1:13" x14ac:dyDescent="0.35">
      <c r="A691">
        <f>Result_notebook_retravaill!A691</f>
        <v>2032</v>
      </c>
      <c r="B691" t="str">
        <f>Result_notebook_retravaill!B691</f>
        <v>Nickel</v>
      </c>
      <c r="C691" t="str">
        <f>Result_notebook_retravaill!C691</f>
        <v>Global Net-zero</v>
      </c>
      <c r="D691" t="str">
        <f>Result_notebook_retravaill!D691</f>
        <v>Production potential</v>
      </c>
      <c r="E691" t="str">
        <f>Result_notebook_retravaill!E691</f>
        <v>100% CAN</v>
      </c>
      <c r="F691" t="str">
        <f>Result_notebook_retravaill!F691</f>
        <v>Integrated</v>
      </c>
      <c r="G691">
        <f>Result_notebook_retravaill!G691</f>
        <v>103780.1262842799</v>
      </c>
      <c r="H691" s="32">
        <f>IF(Result_notebook_retravaill!I691&gt;Result_notebook_retravaill!G691,Result_notebook_retravaill!I691/Result_notebook_retravaill!N691,Result_notebook_retravaill!H691)</f>
        <v>222559.22869436015</v>
      </c>
      <c r="I691" s="32">
        <f>Result_notebook_retravaill!K691</f>
        <v>0</v>
      </c>
      <c r="J691" s="32">
        <f>MIN(G691,Result_notebook_retravaill!I691)</f>
        <v>103780.1262842799</v>
      </c>
      <c r="K691" s="32">
        <f>IF(Result_notebook_retravaill!I691&gt;Result_notebook_retravaill!G691,0,IF(Result_notebook_retravaill!I691+Result_notebook_retravaill!J691&gt;Result_notebook_retravaill!G691,Result_notebook_retravaill!G691-Result_notebook_retravaill!I691,Result_notebook_retravaill!J691))</f>
        <v>0</v>
      </c>
      <c r="L691" s="32">
        <f>IF(Result_notebook_retravaill!I691&gt;Result_notebook_retravaill!G691,0,IF(Result_notebook_retravaill!I691+Result_notebook_retravaill!J691&gt;Result_notebook_retravaill!G691,0,Result_notebook_retravaill!M691))</f>
        <v>0</v>
      </c>
      <c r="M691" s="31">
        <f t="shared" si="10"/>
        <v>0</v>
      </c>
    </row>
    <row r="692" spans="1:13" x14ac:dyDescent="0.35">
      <c r="A692">
        <f>Result_notebook_retravaill!A692</f>
        <v>2032</v>
      </c>
      <c r="B692" t="str">
        <f>Result_notebook_retravaill!B692</f>
        <v>Graphite</v>
      </c>
      <c r="C692" t="str">
        <f>Result_notebook_retravaill!C692</f>
        <v>Canada Net-zero</v>
      </c>
      <c r="D692" t="str">
        <f>Result_notebook_retravaill!D692</f>
        <v>Existing production</v>
      </c>
      <c r="E692" t="str">
        <f>Result_notebook_retravaill!E692</f>
        <v>Current shares</v>
      </c>
      <c r="F692" t="str">
        <f>Result_notebook_retravaill!F692</f>
        <v>NIMBY</v>
      </c>
      <c r="G692">
        <f>Result_notebook_retravaill!G692</f>
        <v>2450.943187437073</v>
      </c>
      <c r="H692" s="32">
        <f>IF(Result_notebook_retravaill!I692&gt;Result_notebook_retravaill!G692,Result_notebook_retravaill!I692/Result_notebook_retravaill!N692,Result_notebook_retravaill!H692)</f>
        <v>0</v>
      </c>
      <c r="I692" s="32">
        <f>Result_notebook_retravaill!K692</f>
        <v>2450.943187437073</v>
      </c>
      <c r="J692" s="32">
        <f>MIN(G692,Result_notebook_retravaill!I692)</f>
        <v>0</v>
      </c>
      <c r="K692" s="32">
        <f>IF(Result_notebook_retravaill!I692&gt;Result_notebook_retravaill!G692,0,IF(Result_notebook_retravaill!I692+Result_notebook_retravaill!J692&gt;Result_notebook_retravaill!G692,Result_notebook_retravaill!G692-Result_notebook_retravaill!I692,Result_notebook_retravaill!J692))</f>
        <v>0</v>
      </c>
      <c r="L692" s="32">
        <f>IF(Result_notebook_retravaill!I692&gt;Result_notebook_retravaill!G692,0,IF(Result_notebook_retravaill!I692+Result_notebook_retravaill!J692&gt;Result_notebook_retravaill!G692,0,Result_notebook_retravaill!M692))</f>
        <v>2450.943187437073</v>
      </c>
      <c r="M692" s="31">
        <f t="shared" si="10"/>
        <v>0</v>
      </c>
    </row>
    <row r="693" spans="1:13" x14ac:dyDescent="0.35">
      <c r="A693">
        <f>Result_notebook_retravaill!A693</f>
        <v>2032</v>
      </c>
      <c r="B693" t="str">
        <f>Result_notebook_retravaill!B693</f>
        <v>Graphite</v>
      </c>
      <c r="C693" t="str">
        <f>Result_notebook_retravaill!C693</f>
        <v>Canada Net-zero</v>
      </c>
      <c r="D693" t="str">
        <f>Result_notebook_retravaill!D693</f>
        <v>Existing production</v>
      </c>
      <c r="E693" t="str">
        <f>Result_notebook_retravaill!E693</f>
        <v>Current shares</v>
      </c>
      <c r="F693" t="str">
        <f>Result_notebook_retravaill!F693</f>
        <v>Status Quo</v>
      </c>
      <c r="G693">
        <f>Result_notebook_retravaill!G693</f>
        <v>2450.943187437073</v>
      </c>
      <c r="H693" s="32">
        <f>IF(Result_notebook_retravaill!I693&gt;Result_notebook_retravaill!G693,Result_notebook_retravaill!I693/Result_notebook_retravaill!N693,Result_notebook_retravaill!H693)</f>
        <v>0</v>
      </c>
      <c r="I693" s="32">
        <f>Result_notebook_retravaill!K693</f>
        <v>2450.943187437073</v>
      </c>
      <c r="J693" s="32">
        <f>MIN(G693,Result_notebook_retravaill!I693)</f>
        <v>0</v>
      </c>
      <c r="K693" s="32">
        <f>IF(Result_notebook_retravaill!I693&gt;Result_notebook_retravaill!G693,0,IF(Result_notebook_retravaill!I693+Result_notebook_retravaill!J693&gt;Result_notebook_retravaill!G693,Result_notebook_retravaill!G693-Result_notebook_retravaill!I693,Result_notebook_retravaill!J693))</f>
        <v>0</v>
      </c>
      <c r="L693" s="32">
        <f>IF(Result_notebook_retravaill!I693&gt;Result_notebook_retravaill!G693,0,IF(Result_notebook_retravaill!I693+Result_notebook_retravaill!J693&gt;Result_notebook_retravaill!G693,0,Result_notebook_retravaill!M693))</f>
        <v>2450.943187437073</v>
      </c>
      <c r="M693" s="31">
        <f t="shared" si="10"/>
        <v>0</v>
      </c>
    </row>
    <row r="694" spans="1:13" x14ac:dyDescent="0.35">
      <c r="A694">
        <f>Result_notebook_retravaill!A694</f>
        <v>2032</v>
      </c>
      <c r="B694" t="str">
        <f>Result_notebook_retravaill!B694</f>
        <v>Graphite</v>
      </c>
      <c r="C694" t="str">
        <f>Result_notebook_retravaill!C694</f>
        <v>Canada Net-zero</v>
      </c>
      <c r="D694" t="str">
        <f>Result_notebook_retravaill!D694</f>
        <v>Production potential</v>
      </c>
      <c r="E694" t="str">
        <f>Result_notebook_retravaill!E694</f>
        <v>Current shares</v>
      </c>
      <c r="F694" t="str">
        <f>Result_notebook_retravaill!F694</f>
        <v>Expansion Extractive</v>
      </c>
      <c r="G694">
        <f>Result_notebook_retravaill!G694</f>
        <v>2450.943187437073</v>
      </c>
      <c r="H694" s="32">
        <f>IF(Result_notebook_retravaill!I694&gt;Result_notebook_retravaill!G694,Result_notebook_retravaill!I694/Result_notebook_retravaill!N694,Result_notebook_retravaill!H694)</f>
        <v>49033.820374727635</v>
      </c>
      <c r="I694" s="32">
        <f>Result_notebook_retravaill!K694</f>
        <v>0</v>
      </c>
      <c r="J694" s="32">
        <f>MIN(G694,Result_notebook_retravaill!I694)</f>
        <v>2450.943187437073</v>
      </c>
      <c r="K694" s="32">
        <f>IF(Result_notebook_retravaill!I694&gt;Result_notebook_retravaill!G694,0,IF(Result_notebook_retravaill!I694+Result_notebook_retravaill!J694&gt;Result_notebook_retravaill!G694,Result_notebook_retravaill!G694-Result_notebook_retravaill!I694,Result_notebook_retravaill!J694))</f>
        <v>0</v>
      </c>
      <c r="L694" s="32">
        <f>IF(Result_notebook_retravaill!I694&gt;Result_notebook_retravaill!G694,0,IF(Result_notebook_retravaill!I694+Result_notebook_retravaill!J694&gt;Result_notebook_retravaill!G694,0,Result_notebook_retravaill!M694))</f>
        <v>0</v>
      </c>
      <c r="M694" s="31">
        <f t="shared" si="10"/>
        <v>0</v>
      </c>
    </row>
    <row r="695" spans="1:13" x14ac:dyDescent="0.35">
      <c r="A695">
        <f>Result_notebook_retravaill!A695</f>
        <v>2032</v>
      </c>
      <c r="B695" t="str">
        <f>Result_notebook_retravaill!B695</f>
        <v>Graphite</v>
      </c>
      <c r="C695" t="str">
        <f>Result_notebook_retravaill!C695</f>
        <v>Canada Net-zero</v>
      </c>
      <c r="D695" t="str">
        <f>Result_notebook_retravaill!D695</f>
        <v>Production potential</v>
      </c>
      <c r="E695" t="str">
        <f>Result_notebook_retravaill!E695</f>
        <v>Current shares</v>
      </c>
      <c r="F695" t="str">
        <f>Result_notebook_retravaill!F695</f>
        <v>Expansion Extractive+Circularity</v>
      </c>
      <c r="G695">
        <f>Result_notebook_retravaill!G695</f>
        <v>2450.943187437073</v>
      </c>
      <c r="H695" s="32">
        <f>IF(Result_notebook_retravaill!I695&gt;Result_notebook_retravaill!G695,Result_notebook_retravaill!I695/Result_notebook_retravaill!N695,Result_notebook_retravaill!H695)</f>
        <v>49033.820374727635</v>
      </c>
      <c r="I695" s="32">
        <f>Result_notebook_retravaill!K695</f>
        <v>0</v>
      </c>
      <c r="J695" s="32">
        <f>MIN(G695,Result_notebook_retravaill!I695)</f>
        <v>2450.943187437073</v>
      </c>
      <c r="K695" s="32">
        <f>IF(Result_notebook_retravaill!I695&gt;Result_notebook_retravaill!G695,0,IF(Result_notebook_retravaill!I695+Result_notebook_retravaill!J695&gt;Result_notebook_retravaill!G695,Result_notebook_retravaill!G695-Result_notebook_retravaill!I695,Result_notebook_retravaill!J695))</f>
        <v>0</v>
      </c>
      <c r="L695" s="32">
        <f>IF(Result_notebook_retravaill!I695&gt;Result_notebook_retravaill!G695,0,IF(Result_notebook_retravaill!I695+Result_notebook_retravaill!J695&gt;Result_notebook_retravaill!G695,0,Result_notebook_retravaill!M695))</f>
        <v>0</v>
      </c>
      <c r="M695" s="31">
        <f t="shared" si="10"/>
        <v>0</v>
      </c>
    </row>
    <row r="696" spans="1:13" x14ac:dyDescent="0.35">
      <c r="A696">
        <f>Result_notebook_retravaill!A696</f>
        <v>2032</v>
      </c>
      <c r="B696" t="str">
        <f>Result_notebook_retravaill!B696</f>
        <v>Graphite</v>
      </c>
      <c r="C696" t="str">
        <f>Result_notebook_retravaill!C696</f>
        <v>Canada Net-zero</v>
      </c>
      <c r="D696" t="str">
        <f>Result_notebook_retravaill!D696</f>
        <v>Production potential</v>
      </c>
      <c r="E696" t="str">
        <f>Result_notebook_retravaill!E696</f>
        <v>100% CAN</v>
      </c>
      <c r="F696" t="str">
        <f>Result_notebook_retravaill!F696</f>
        <v>Integrated</v>
      </c>
      <c r="G696">
        <f>Result_notebook_retravaill!G696</f>
        <v>2450.943187437073</v>
      </c>
      <c r="H696" s="32">
        <f>IF(Result_notebook_retravaill!I696&gt;Result_notebook_retravaill!G696,Result_notebook_retravaill!I696/Result_notebook_retravaill!N696,Result_notebook_retravaill!H696)</f>
        <v>49033.820374727635</v>
      </c>
      <c r="I696" s="32">
        <f>Result_notebook_retravaill!K696</f>
        <v>0</v>
      </c>
      <c r="J696" s="32">
        <f>MIN(G696,Result_notebook_retravaill!I696)</f>
        <v>2450.943187437073</v>
      </c>
      <c r="K696" s="32">
        <f>IF(Result_notebook_retravaill!I696&gt;Result_notebook_retravaill!G696,0,IF(Result_notebook_retravaill!I696+Result_notebook_retravaill!J696&gt;Result_notebook_retravaill!G696,Result_notebook_retravaill!G696-Result_notebook_retravaill!I696,Result_notebook_retravaill!J696))</f>
        <v>0</v>
      </c>
      <c r="L696" s="32">
        <f>IF(Result_notebook_retravaill!I696&gt;Result_notebook_retravaill!G696,0,IF(Result_notebook_retravaill!I696+Result_notebook_retravaill!J696&gt;Result_notebook_retravaill!G696,0,Result_notebook_retravaill!M696))</f>
        <v>0</v>
      </c>
      <c r="M696" s="31">
        <f t="shared" si="10"/>
        <v>0</v>
      </c>
    </row>
    <row r="697" spans="1:13" x14ac:dyDescent="0.35">
      <c r="A697">
        <f>Result_notebook_retravaill!A697</f>
        <v>2032</v>
      </c>
      <c r="B697" t="str">
        <f>Result_notebook_retravaill!B697</f>
        <v>Graphite</v>
      </c>
      <c r="C697" t="str">
        <f>Result_notebook_retravaill!C697</f>
        <v>Current Measures</v>
      </c>
      <c r="D697" t="str">
        <f>Result_notebook_retravaill!D697</f>
        <v>Existing production</v>
      </c>
      <c r="E697" t="str">
        <f>Result_notebook_retravaill!E697</f>
        <v>Current shares</v>
      </c>
      <c r="F697" t="str">
        <f>Result_notebook_retravaill!F697</f>
        <v>NIMBY</v>
      </c>
      <c r="G697">
        <f>Result_notebook_retravaill!G697</f>
        <v>1004.026198286667</v>
      </c>
      <c r="H697" s="32">
        <f>IF(Result_notebook_retravaill!I697&gt;Result_notebook_retravaill!G697,Result_notebook_retravaill!I697/Result_notebook_retravaill!N697,Result_notebook_retravaill!H697)</f>
        <v>0</v>
      </c>
      <c r="I697" s="32">
        <f>Result_notebook_retravaill!K697</f>
        <v>1004.026198286667</v>
      </c>
      <c r="J697" s="32">
        <f>MIN(G697,Result_notebook_retravaill!I697)</f>
        <v>0</v>
      </c>
      <c r="K697" s="32">
        <f>IF(Result_notebook_retravaill!I697&gt;Result_notebook_retravaill!G697,0,IF(Result_notebook_retravaill!I697+Result_notebook_retravaill!J697&gt;Result_notebook_retravaill!G697,Result_notebook_retravaill!G697-Result_notebook_retravaill!I697,Result_notebook_retravaill!J697))</f>
        <v>0</v>
      </c>
      <c r="L697" s="32">
        <f>IF(Result_notebook_retravaill!I697&gt;Result_notebook_retravaill!G697,0,IF(Result_notebook_retravaill!I697+Result_notebook_retravaill!J697&gt;Result_notebook_retravaill!G697,0,Result_notebook_retravaill!M697))</f>
        <v>1004.026198286667</v>
      </c>
      <c r="M697" s="31">
        <f t="shared" si="10"/>
        <v>0</v>
      </c>
    </row>
    <row r="698" spans="1:13" x14ac:dyDescent="0.35">
      <c r="A698">
        <f>Result_notebook_retravaill!A698</f>
        <v>2032</v>
      </c>
      <c r="B698" t="str">
        <f>Result_notebook_retravaill!B698</f>
        <v>Graphite</v>
      </c>
      <c r="C698" t="str">
        <f>Result_notebook_retravaill!C698</f>
        <v>Current Measures</v>
      </c>
      <c r="D698" t="str">
        <f>Result_notebook_retravaill!D698</f>
        <v>Existing production</v>
      </c>
      <c r="E698" t="str">
        <f>Result_notebook_retravaill!E698</f>
        <v>Current shares</v>
      </c>
      <c r="F698" t="str">
        <f>Result_notebook_retravaill!F698</f>
        <v>Status Quo</v>
      </c>
      <c r="G698">
        <f>Result_notebook_retravaill!G698</f>
        <v>1004.026198286667</v>
      </c>
      <c r="H698" s="32">
        <f>IF(Result_notebook_retravaill!I698&gt;Result_notebook_retravaill!G698,Result_notebook_retravaill!I698/Result_notebook_retravaill!N698,Result_notebook_retravaill!H698)</f>
        <v>0</v>
      </c>
      <c r="I698" s="32">
        <f>Result_notebook_retravaill!K698</f>
        <v>1004.026198286667</v>
      </c>
      <c r="J698" s="32">
        <f>MIN(G698,Result_notebook_retravaill!I698)</f>
        <v>0</v>
      </c>
      <c r="K698" s="32">
        <f>IF(Result_notebook_retravaill!I698&gt;Result_notebook_retravaill!G698,0,IF(Result_notebook_retravaill!I698+Result_notebook_retravaill!J698&gt;Result_notebook_retravaill!G698,Result_notebook_retravaill!G698-Result_notebook_retravaill!I698,Result_notebook_retravaill!J698))</f>
        <v>0</v>
      </c>
      <c r="L698" s="32">
        <f>IF(Result_notebook_retravaill!I698&gt;Result_notebook_retravaill!G698,0,IF(Result_notebook_retravaill!I698+Result_notebook_retravaill!J698&gt;Result_notebook_retravaill!G698,0,Result_notebook_retravaill!M698))</f>
        <v>1004.026198286667</v>
      </c>
      <c r="M698" s="31">
        <f t="shared" si="10"/>
        <v>0</v>
      </c>
    </row>
    <row r="699" spans="1:13" x14ac:dyDescent="0.35">
      <c r="A699">
        <f>Result_notebook_retravaill!A699</f>
        <v>2032</v>
      </c>
      <c r="B699" t="str">
        <f>Result_notebook_retravaill!B699</f>
        <v>Graphite</v>
      </c>
      <c r="C699" t="str">
        <f>Result_notebook_retravaill!C699</f>
        <v>Current Measures</v>
      </c>
      <c r="D699" t="str">
        <f>Result_notebook_retravaill!D699</f>
        <v>Production potential</v>
      </c>
      <c r="E699" t="str">
        <f>Result_notebook_retravaill!E699</f>
        <v>Current shares</v>
      </c>
      <c r="F699" t="str">
        <f>Result_notebook_retravaill!F699</f>
        <v>Expansion Extractive</v>
      </c>
      <c r="G699">
        <f>Result_notebook_retravaill!G699</f>
        <v>1004.026198286667</v>
      </c>
      <c r="H699" s="32">
        <f>IF(Result_notebook_retravaill!I699&gt;Result_notebook_retravaill!G699,Result_notebook_retravaill!I699/Result_notebook_retravaill!N699,Result_notebook_retravaill!H699)</f>
        <v>49033.820374727635</v>
      </c>
      <c r="I699" s="32">
        <f>Result_notebook_retravaill!K699</f>
        <v>0</v>
      </c>
      <c r="J699" s="32">
        <f>MIN(G699,Result_notebook_retravaill!I699)</f>
        <v>1004.026198286667</v>
      </c>
      <c r="K699" s="32">
        <f>IF(Result_notebook_retravaill!I699&gt;Result_notebook_retravaill!G699,0,IF(Result_notebook_retravaill!I699+Result_notebook_retravaill!J699&gt;Result_notebook_retravaill!G699,Result_notebook_retravaill!G699-Result_notebook_retravaill!I699,Result_notebook_retravaill!J699))</f>
        <v>0</v>
      </c>
      <c r="L699" s="32">
        <f>IF(Result_notebook_retravaill!I699&gt;Result_notebook_retravaill!G699,0,IF(Result_notebook_retravaill!I699+Result_notebook_retravaill!J699&gt;Result_notebook_retravaill!G699,0,Result_notebook_retravaill!M699))</f>
        <v>0</v>
      </c>
      <c r="M699" s="31">
        <f t="shared" si="10"/>
        <v>0</v>
      </c>
    </row>
    <row r="700" spans="1:13" x14ac:dyDescent="0.35">
      <c r="A700">
        <f>Result_notebook_retravaill!A700</f>
        <v>2032</v>
      </c>
      <c r="B700" t="str">
        <f>Result_notebook_retravaill!B700</f>
        <v>Graphite</v>
      </c>
      <c r="C700" t="str">
        <f>Result_notebook_retravaill!C700</f>
        <v>Current Measures</v>
      </c>
      <c r="D700" t="str">
        <f>Result_notebook_retravaill!D700</f>
        <v>Production potential</v>
      </c>
      <c r="E700" t="str">
        <f>Result_notebook_retravaill!E700</f>
        <v>Current shares</v>
      </c>
      <c r="F700" t="str">
        <f>Result_notebook_retravaill!F700</f>
        <v>Expansion Extractive+Circularity</v>
      </c>
      <c r="G700">
        <f>Result_notebook_retravaill!G700</f>
        <v>1004.026198286667</v>
      </c>
      <c r="H700" s="32">
        <f>IF(Result_notebook_retravaill!I700&gt;Result_notebook_retravaill!G700,Result_notebook_retravaill!I700/Result_notebook_retravaill!N700,Result_notebook_retravaill!H700)</f>
        <v>49033.820374727635</v>
      </c>
      <c r="I700" s="32">
        <f>Result_notebook_retravaill!K700</f>
        <v>0</v>
      </c>
      <c r="J700" s="32">
        <f>MIN(G700,Result_notebook_retravaill!I700)</f>
        <v>1004.026198286667</v>
      </c>
      <c r="K700" s="32">
        <f>IF(Result_notebook_retravaill!I700&gt;Result_notebook_retravaill!G700,0,IF(Result_notebook_retravaill!I700+Result_notebook_retravaill!J700&gt;Result_notebook_retravaill!G700,Result_notebook_retravaill!G700-Result_notebook_retravaill!I700,Result_notebook_retravaill!J700))</f>
        <v>0</v>
      </c>
      <c r="L700" s="32">
        <f>IF(Result_notebook_retravaill!I700&gt;Result_notebook_retravaill!G700,0,IF(Result_notebook_retravaill!I700+Result_notebook_retravaill!J700&gt;Result_notebook_retravaill!G700,0,Result_notebook_retravaill!M700))</f>
        <v>0</v>
      </c>
      <c r="M700" s="31">
        <f t="shared" si="10"/>
        <v>0</v>
      </c>
    </row>
    <row r="701" spans="1:13" x14ac:dyDescent="0.35">
      <c r="A701">
        <f>Result_notebook_retravaill!A701</f>
        <v>2032</v>
      </c>
      <c r="B701" t="str">
        <f>Result_notebook_retravaill!B701</f>
        <v>Graphite</v>
      </c>
      <c r="C701" t="str">
        <f>Result_notebook_retravaill!C701</f>
        <v>Current Measures</v>
      </c>
      <c r="D701" t="str">
        <f>Result_notebook_retravaill!D701</f>
        <v>Production potential</v>
      </c>
      <c r="E701" t="str">
        <f>Result_notebook_retravaill!E701</f>
        <v>100% CAN</v>
      </c>
      <c r="F701" t="str">
        <f>Result_notebook_retravaill!F701</f>
        <v>Integrated</v>
      </c>
      <c r="G701">
        <f>Result_notebook_retravaill!G701</f>
        <v>1004.026198286667</v>
      </c>
      <c r="H701" s="32">
        <f>IF(Result_notebook_retravaill!I701&gt;Result_notebook_retravaill!G701,Result_notebook_retravaill!I701/Result_notebook_retravaill!N701,Result_notebook_retravaill!H701)</f>
        <v>49033.820374727635</v>
      </c>
      <c r="I701" s="32">
        <f>Result_notebook_retravaill!K701</f>
        <v>0</v>
      </c>
      <c r="J701" s="32">
        <f>MIN(G701,Result_notebook_retravaill!I701)</f>
        <v>1004.026198286667</v>
      </c>
      <c r="K701" s="32">
        <f>IF(Result_notebook_retravaill!I701&gt;Result_notebook_retravaill!G701,0,IF(Result_notebook_retravaill!I701+Result_notebook_retravaill!J701&gt;Result_notebook_retravaill!G701,Result_notebook_retravaill!G701-Result_notebook_retravaill!I701,Result_notebook_retravaill!J701))</f>
        <v>0</v>
      </c>
      <c r="L701" s="32">
        <f>IF(Result_notebook_retravaill!I701&gt;Result_notebook_retravaill!G701,0,IF(Result_notebook_retravaill!I701+Result_notebook_retravaill!J701&gt;Result_notebook_retravaill!G701,0,Result_notebook_retravaill!M701))</f>
        <v>0</v>
      </c>
      <c r="M701" s="31">
        <f t="shared" si="10"/>
        <v>0</v>
      </c>
    </row>
    <row r="702" spans="1:13" x14ac:dyDescent="0.35">
      <c r="A702">
        <f>Result_notebook_retravaill!A702</f>
        <v>2032</v>
      </c>
      <c r="B702" t="str">
        <f>Result_notebook_retravaill!B702</f>
        <v>Graphite</v>
      </c>
      <c r="C702" t="str">
        <f>Result_notebook_retravaill!C702</f>
        <v>Global Net-zero</v>
      </c>
      <c r="D702" t="str">
        <f>Result_notebook_retravaill!D702</f>
        <v>Existing production</v>
      </c>
      <c r="E702" t="str">
        <f>Result_notebook_retravaill!E702</f>
        <v>Current shares</v>
      </c>
      <c r="F702" t="str">
        <f>Result_notebook_retravaill!F702</f>
        <v>NIMBY</v>
      </c>
      <c r="G702">
        <f>Result_notebook_retravaill!G702</f>
        <v>2325.6357382728388</v>
      </c>
      <c r="H702" s="32">
        <f>IF(Result_notebook_retravaill!I702&gt;Result_notebook_retravaill!G702,Result_notebook_retravaill!I702/Result_notebook_retravaill!N702,Result_notebook_retravaill!H702)</f>
        <v>0</v>
      </c>
      <c r="I702" s="32">
        <f>Result_notebook_retravaill!K702</f>
        <v>2325.6357382728388</v>
      </c>
      <c r="J702" s="32">
        <f>MIN(G702,Result_notebook_retravaill!I702)</f>
        <v>0</v>
      </c>
      <c r="K702" s="32">
        <f>IF(Result_notebook_retravaill!I702&gt;Result_notebook_retravaill!G702,0,IF(Result_notebook_retravaill!I702+Result_notebook_retravaill!J702&gt;Result_notebook_retravaill!G702,Result_notebook_retravaill!G702-Result_notebook_retravaill!I702,Result_notebook_retravaill!J702))</f>
        <v>0</v>
      </c>
      <c r="L702" s="32">
        <f>IF(Result_notebook_retravaill!I702&gt;Result_notebook_retravaill!G702,0,IF(Result_notebook_retravaill!I702+Result_notebook_retravaill!J702&gt;Result_notebook_retravaill!G702,0,Result_notebook_retravaill!M702))</f>
        <v>2325.6357382728388</v>
      </c>
      <c r="M702" s="31">
        <f t="shared" si="10"/>
        <v>0</v>
      </c>
    </row>
    <row r="703" spans="1:13" x14ac:dyDescent="0.35">
      <c r="A703">
        <f>Result_notebook_retravaill!A703</f>
        <v>2032</v>
      </c>
      <c r="B703" t="str">
        <f>Result_notebook_retravaill!B703</f>
        <v>Graphite</v>
      </c>
      <c r="C703" t="str">
        <f>Result_notebook_retravaill!C703</f>
        <v>Global Net-zero</v>
      </c>
      <c r="D703" t="str">
        <f>Result_notebook_retravaill!D703</f>
        <v>Existing production</v>
      </c>
      <c r="E703" t="str">
        <f>Result_notebook_retravaill!E703</f>
        <v>Current shares</v>
      </c>
      <c r="F703" t="str">
        <f>Result_notebook_retravaill!F703</f>
        <v>Status Quo</v>
      </c>
      <c r="G703">
        <f>Result_notebook_retravaill!G703</f>
        <v>2325.6357382728388</v>
      </c>
      <c r="H703" s="32">
        <f>IF(Result_notebook_retravaill!I703&gt;Result_notebook_retravaill!G703,Result_notebook_retravaill!I703/Result_notebook_retravaill!N703,Result_notebook_retravaill!H703)</f>
        <v>0</v>
      </c>
      <c r="I703" s="32">
        <f>Result_notebook_retravaill!K703</f>
        <v>2325.6357382728388</v>
      </c>
      <c r="J703" s="32">
        <f>MIN(G703,Result_notebook_retravaill!I703)</f>
        <v>0</v>
      </c>
      <c r="K703" s="32">
        <f>IF(Result_notebook_retravaill!I703&gt;Result_notebook_retravaill!G703,0,IF(Result_notebook_retravaill!I703+Result_notebook_retravaill!J703&gt;Result_notebook_retravaill!G703,Result_notebook_retravaill!G703-Result_notebook_retravaill!I703,Result_notebook_retravaill!J703))</f>
        <v>0</v>
      </c>
      <c r="L703" s="32">
        <f>IF(Result_notebook_retravaill!I703&gt;Result_notebook_retravaill!G703,0,IF(Result_notebook_retravaill!I703+Result_notebook_retravaill!J703&gt;Result_notebook_retravaill!G703,0,Result_notebook_retravaill!M703))</f>
        <v>2325.6357382728388</v>
      </c>
      <c r="M703" s="31">
        <f t="shared" si="10"/>
        <v>0</v>
      </c>
    </row>
    <row r="704" spans="1:13" x14ac:dyDescent="0.35">
      <c r="A704">
        <f>Result_notebook_retravaill!A704</f>
        <v>2032</v>
      </c>
      <c r="B704" t="str">
        <f>Result_notebook_retravaill!B704</f>
        <v>Graphite</v>
      </c>
      <c r="C704" t="str">
        <f>Result_notebook_retravaill!C704</f>
        <v>Global Net-zero</v>
      </c>
      <c r="D704" t="str">
        <f>Result_notebook_retravaill!D704</f>
        <v>Production potential</v>
      </c>
      <c r="E704" t="str">
        <f>Result_notebook_retravaill!E704</f>
        <v>Current shares</v>
      </c>
      <c r="F704" t="str">
        <f>Result_notebook_retravaill!F704</f>
        <v>Expansion Extractive</v>
      </c>
      <c r="G704">
        <f>Result_notebook_retravaill!G704</f>
        <v>2325.6357382728388</v>
      </c>
      <c r="H704" s="32">
        <f>IF(Result_notebook_retravaill!I704&gt;Result_notebook_retravaill!G704,Result_notebook_retravaill!I704/Result_notebook_retravaill!N704,Result_notebook_retravaill!H704)</f>
        <v>49033.820374727635</v>
      </c>
      <c r="I704" s="32">
        <f>Result_notebook_retravaill!K704</f>
        <v>0</v>
      </c>
      <c r="J704" s="32">
        <f>MIN(G704,Result_notebook_retravaill!I704)</f>
        <v>2325.6357382728388</v>
      </c>
      <c r="K704" s="32">
        <f>IF(Result_notebook_retravaill!I704&gt;Result_notebook_retravaill!G704,0,IF(Result_notebook_retravaill!I704+Result_notebook_retravaill!J704&gt;Result_notebook_retravaill!G704,Result_notebook_retravaill!G704-Result_notebook_retravaill!I704,Result_notebook_retravaill!J704))</f>
        <v>0</v>
      </c>
      <c r="L704" s="32">
        <f>IF(Result_notebook_retravaill!I704&gt;Result_notebook_retravaill!G704,0,IF(Result_notebook_retravaill!I704+Result_notebook_retravaill!J704&gt;Result_notebook_retravaill!G704,0,Result_notebook_retravaill!M704))</f>
        <v>0</v>
      </c>
      <c r="M704" s="31">
        <f t="shared" si="10"/>
        <v>0</v>
      </c>
    </row>
    <row r="705" spans="1:13" x14ac:dyDescent="0.35">
      <c r="A705">
        <f>Result_notebook_retravaill!A705</f>
        <v>2032</v>
      </c>
      <c r="B705" t="str">
        <f>Result_notebook_retravaill!B705</f>
        <v>Graphite</v>
      </c>
      <c r="C705" t="str">
        <f>Result_notebook_retravaill!C705</f>
        <v>Global Net-zero</v>
      </c>
      <c r="D705" t="str">
        <f>Result_notebook_retravaill!D705</f>
        <v>Production potential</v>
      </c>
      <c r="E705" t="str">
        <f>Result_notebook_retravaill!E705</f>
        <v>Current shares</v>
      </c>
      <c r="F705" t="str">
        <f>Result_notebook_retravaill!F705</f>
        <v>Expansion Extractive+Circularity</v>
      </c>
      <c r="G705">
        <f>Result_notebook_retravaill!G705</f>
        <v>2325.6357382728388</v>
      </c>
      <c r="H705" s="32">
        <f>IF(Result_notebook_retravaill!I705&gt;Result_notebook_retravaill!G705,Result_notebook_retravaill!I705/Result_notebook_retravaill!N705,Result_notebook_retravaill!H705)</f>
        <v>49033.820374727635</v>
      </c>
      <c r="I705" s="32">
        <f>Result_notebook_retravaill!K705</f>
        <v>0</v>
      </c>
      <c r="J705" s="32">
        <f>MIN(G705,Result_notebook_retravaill!I705)</f>
        <v>2325.6357382728388</v>
      </c>
      <c r="K705" s="32">
        <f>IF(Result_notebook_retravaill!I705&gt;Result_notebook_retravaill!G705,0,IF(Result_notebook_retravaill!I705+Result_notebook_retravaill!J705&gt;Result_notebook_retravaill!G705,Result_notebook_retravaill!G705-Result_notebook_retravaill!I705,Result_notebook_retravaill!J705))</f>
        <v>0</v>
      </c>
      <c r="L705" s="32">
        <f>IF(Result_notebook_retravaill!I705&gt;Result_notebook_retravaill!G705,0,IF(Result_notebook_retravaill!I705+Result_notebook_retravaill!J705&gt;Result_notebook_retravaill!G705,0,Result_notebook_retravaill!M705))</f>
        <v>0</v>
      </c>
      <c r="M705" s="31">
        <f t="shared" si="10"/>
        <v>0</v>
      </c>
    </row>
    <row r="706" spans="1:13" x14ac:dyDescent="0.35">
      <c r="A706">
        <f>Result_notebook_retravaill!A706</f>
        <v>2032</v>
      </c>
      <c r="B706" t="str">
        <f>Result_notebook_retravaill!B706</f>
        <v>Graphite</v>
      </c>
      <c r="C706" t="str">
        <f>Result_notebook_retravaill!C706</f>
        <v>Global Net-zero</v>
      </c>
      <c r="D706" t="str">
        <f>Result_notebook_retravaill!D706</f>
        <v>Production potential</v>
      </c>
      <c r="E706" t="str">
        <f>Result_notebook_retravaill!E706</f>
        <v>100% CAN</v>
      </c>
      <c r="F706" t="str">
        <f>Result_notebook_retravaill!F706</f>
        <v>Integrated</v>
      </c>
      <c r="G706">
        <f>Result_notebook_retravaill!G706</f>
        <v>2325.6357382728388</v>
      </c>
      <c r="H706" s="32">
        <f>IF(Result_notebook_retravaill!I706&gt;Result_notebook_retravaill!G706,Result_notebook_retravaill!I706/Result_notebook_retravaill!N706,Result_notebook_retravaill!H706)</f>
        <v>49033.820374727635</v>
      </c>
      <c r="I706" s="32">
        <f>Result_notebook_retravaill!K706</f>
        <v>0</v>
      </c>
      <c r="J706" s="32">
        <f>MIN(G706,Result_notebook_retravaill!I706)</f>
        <v>2325.6357382728388</v>
      </c>
      <c r="K706" s="32">
        <f>IF(Result_notebook_retravaill!I706&gt;Result_notebook_retravaill!G706,0,IF(Result_notebook_retravaill!I706+Result_notebook_retravaill!J706&gt;Result_notebook_retravaill!G706,Result_notebook_retravaill!G706-Result_notebook_retravaill!I706,Result_notebook_retravaill!J706))</f>
        <v>0</v>
      </c>
      <c r="L706" s="32">
        <f>IF(Result_notebook_retravaill!I706&gt;Result_notebook_retravaill!G706,0,IF(Result_notebook_retravaill!I706+Result_notebook_retravaill!J706&gt;Result_notebook_retravaill!G706,0,Result_notebook_retravaill!M706))</f>
        <v>0</v>
      </c>
      <c r="M706" s="31">
        <f t="shared" si="10"/>
        <v>0</v>
      </c>
    </row>
    <row r="707" spans="1:13" x14ac:dyDescent="0.35">
      <c r="A707">
        <f>Result_notebook_retravaill!A707</f>
        <v>2032</v>
      </c>
      <c r="B707" t="str">
        <f>Result_notebook_retravaill!B707</f>
        <v>Lithium</v>
      </c>
      <c r="C707" t="str">
        <f>Result_notebook_retravaill!C707</f>
        <v>Canada Net-zero</v>
      </c>
      <c r="D707" t="str">
        <f>Result_notebook_retravaill!D707</f>
        <v>Existing production</v>
      </c>
      <c r="E707" t="str">
        <f>Result_notebook_retravaill!E707</f>
        <v>Current shares</v>
      </c>
      <c r="F707" t="str">
        <f>Result_notebook_retravaill!F707</f>
        <v>NIMBY</v>
      </c>
      <c r="G707">
        <f>Result_notebook_retravaill!G707</f>
        <v>43216.40196908595</v>
      </c>
      <c r="H707" s="32">
        <f>IF(Result_notebook_retravaill!I707&gt;Result_notebook_retravaill!G707,Result_notebook_retravaill!I707/Result_notebook_retravaill!N707,Result_notebook_retravaill!H707)</f>
        <v>0</v>
      </c>
      <c r="I707" s="32">
        <f>Result_notebook_retravaill!K707</f>
        <v>61737.717098694207</v>
      </c>
      <c r="J707" s="32">
        <f>MIN(G707,Result_notebook_retravaill!I707)</f>
        <v>0</v>
      </c>
      <c r="K707" s="32">
        <f>IF(Result_notebook_retravaill!I707&gt;Result_notebook_retravaill!G707,0,IF(Result_notebook_retravaill!I707+Result_notebook_retravaill!J707&gt;Result_notebook_retravaill!G707,Result_notebook_retravaill!G707-Result_notebook_retravaill!I707,Result_notebook_retravaill!J707))</f>
        <v>0</v>
      </c>
      <c r="L707" s="32">
        <f>IF(Result_notebook_retravaill!I707&gt;Result_notebook_retravaill!G707,0,IF(Result_notebook_retravaill!I707+Result_notebook_retravaill!J707&gt;Result_notebook_retravaill!G707,0,Result_notebook_retravaill!M707))</f>
        <v>43216.40196908595</v>
      </c>
      <c r="M707" s="31">
        <f t="shared" ref="M707:M770" si="11">SUM(J707:L707)-G707</f>
        <v>0</v>
      </c>
    </row>
    <row r="708" spans="1:13" x14ac:dyDescent="0.35">
      <c r="A708">
        <f>Result_notebook_retravaill!A708</f>
        <v>2032</v>
      </c>
      <c r="B708" t="str">
        <f>Result_notebook_retravaill!B708</f>
        <v>Lithium</v>
      </c>
      <c r="C708" t="str">
        <f>Result_notebook_retravaill!C708</f>
        <v>Canada Net-zero</v>
      </c>
      <c r="D708" t="str">
        <f>Result_notebook_retravaill!D708</f>
        <v>Existing production</v>
      </c>
      <c r="E708" t="str">
        <f>Result_notebook_retravaill!E708</f>
        <v>Current shares</v>
      </c>
      <c r="F708" t="str">
        <f>Result_notebook_retravaill!F708</f>
        <v>Status Quo</v>
      </c>
      <c r="G708">
        <f>Result_notebook_retravaill!G708</f>
        <v>43216.40196908595</v>
      </c>
      <c r="H708" s="32">
        <f>IF(Result_notebook_retravaill!I708&gt;Result_notebook_retravaill!G708,Result_notebook_retravaill!I708/Result_notebook_retravaill!N708,Result_notebook_retravaill!H708)</f>
        <v>40610</v>
      </c>
      <c r="I708" s="32">
        <f>Result_notebook_retravaill!K708</f>
        <v>21127.717098694211</v>
      </c>
      <c r="J708" s="32">
        <f>MIN(G708,Result_notebook_retravaill!I708)</f>
        <v>28393.312823880038</v>
      </c>
      <c r="K708" s="32">
        <f>IF(Result_notebook_retravaill!I708&gt;Result_notebook_retravaill!G708,0,IF(Result_notebook_retravaill!I708+Result_notebook_retravaill!J708&gt;Result_notebook_retravaill!G708,Result_notebook_retravaill!G708-Result_notebook_retravaill!I708,Result_notebook_retravaill!J708))</f>
        <v>3589.2955984958098</v>
      </c>
      <c r="L708" s="32">
        <f>IF(Result_notebook_retravaill!I708&gt;Result_notebook_retravaill!G708,0,IF(Result_notebook_retravaill!I708+Result_notebook_retravaill!J708&gt;Result_notebook_retravaill!G708,0,Result_notebook_retravaill!M708))</f>
        <v>11233.7935467101</v>
      </c>
      <c r="M708" s="31">
        <f t="shared" si="11"/>
        <v>0</v>
      </c>
    </row>
    <row r="709" spans="1:13" x14ac:dyDescent="0.35">
      <c r="A709">
        <f>Result_notebook_retravaill!A709</f>
        <v>2032</v>
      </c>
      <c r="B709" t="str">
        <f>Result_notebook_retravaill!B709</f>
        <v>Lithium</v>
      </c>
      <c r="C709" t="str">
        <f>Result_notebook_retravaill!C709</f>
        <v>Canada Net-zero</v>
      </c>
      <c r="D709" t="str">
        <f>Result_notebook_retravaill!D709</f>
        <v>Production potential</v>
      </c>
      <c r="E709" t="str">
        <f>Result_notebook_retravaill!E709</f>
        <v>Current shares</v>
      </c>
      <c r="F709" t="str">
        <f>Result_notebook_retravaill!F709</f>
        <v>Expansion Extractive</v>
      </c>
      <c r="G709">
        <f>Result_notebook_retravaill!G709</f>
        <v>43216.40196908595</v>
      </c>
      <c r="H709" s="32">
        <f>IF(Result_notebook_retravaill!I709&gt;Result_notebook_retravaill!G709,Result_notebook_retravaill!I709/Result_notebook_retravaill!N709,Result_notebook_retravaill!H709)</f>
        <v>130730.86507793679</v>
      </c>
      <c r="I709" s="32">
        <f>Result_notebook_retravaill!K709</f>
        <v>0</v>
      </c>
      <c r="J709" s="32">
        <f>MIN(G709,Result_notebook_retravaill!I709)</f>
        <v>43216.40196908595</v>
      </c>
      <c r="K709" s="32">
        <f>IF(Result_notebook_retravaill!I709&gt;Result_notebook_retravaill!G709,0,IF(Result_notebook_retravaill!I709+Result_notebook_retravaill!J709&gt;Result_notebook_retravaill!G709,Result_notebook_retravaill!G709-Result_notebook_retravaill!I709,Result_notebook_retravaill!J709))</f>
        <v>0</v>
      </c>
      <c r="L709" s="32">
        <f>IF(Result_notebook_retravaill!I709&gt;Result_notebook_retravaill!G709,0,IF(Result_notebook_retravaill!I709+Result_notebook_retravaill!J709&gt;Result_notebook_retravaill!G709,0,Result_notebook_retravaill!M709))</f>
        <v>0</v>
      </c>
      <c r="M709" s="31">
        <f t="shared" si="11"/>
        <v>0</v>
      </c>
    </row>
    <row r="710" spans="1:13" x14ac:dyDescent="0.35">
      <c r="A710">
        <f>Result_notebook_retravaill!A710</f>
        <v>2032</v>
      </c>
      <c r="B710" t="str">
        <f>Result_notebook_retravaill!B710</f>
        <v>Lithium</v>
      </c>
      <c r="C710" t="str">
        <f>Result_notebook_retravaill!C710</f>
        <v>Canada Net-zero</v>
      </c>
      <c r="D710" t="str">
        <f>Result_notebook_retravaill!D710</f>
        <v>Production potential</v>
      </c>
      <c r="E710" t="str">
        <f>Result_notebook_retravaill!E710</f>
        <v>Current shares</v>
      </c>
      <c r="F710" t="str">
        <f>Result_notebook_retravaill!F710</f>
        <v>Expansion Extractive+Circularity</v>
      </c>
      <c r="G710">
        <f>Result_notebook_retravaill!G710</f>
        <v>43216.40196908595</v>
      </c>
      <c r="H710" s="32">
        <f>IF(Result_notebook_retravaill!I710&gt;Result_notebook_retravaill!G710,Result_notebook_retravaill!I710/Result_notebook_retravaill!N710,Result_notebook_retravaill!H710)</f>
        <v>130730.86507793679</v>
      </c>
      <c r="I710" s="32">
        <f>Result_notebook_retravaill!K710</f>
        <v>0</v>
      </c>
      <c r="J710" s="32">
        <f>MIN(G710,Result_notebook_retravaill!I710)</f>
        <v>43216.40196908595</v>
      </c>
      <c r="K710" s="32">
        <f>IF(Result_notebook_retravaill!I710&gt;Result_notebook_retravaill!G710,0,IF(Result_notebook_retravaill!I710+Result_notebook_retravaill!J710&gt;Result_notebook_retravaill!G710,Result_notebook_retravaill!G710-Result_notebook_retravaill!I710,Result_notebook_retravaill!J710))</f>
        <v>0</v>
      </c>
      <c r="L710" s="32">
        <f>IF(Result_notebook_retravaill!I710&gt;Result_notebook_retravaill!G710,0,IF(Result_notebook_retravaill!I710+Result_notebook_retravaill!J710&gt;Result_notebook_retravaill!G710,0,Result_notebook_retravaill!M710))</f>
        <v>0</v>
      </c>
      <c r="M710" s="31">
        <f t="shared" si="11"/>
        <v>0</v>
      </c>
    </row>
    <row r="711" spans="1:13" x14ac:dyDescent="0.35">
      <c r="A711">
        <f>Result_notebook_retravaill!A711</f>
        <v>2032</v>
      </c>
      <c r="B711" t="str">
        <f>Result_notebook_retravaill!B711</f>
        <v>Lithium</v>
      </c>
      <c r="C711" t="str">
        <f>Result_notebook_retravaill!C711</f>
        <v>Canada Net-zero</v>
      </c>
      <c r="D711" t="str">
        <f>Result_notebook_retravaill!D711</f>
        <v>Production potential</v>
      </c>
      <c r="E711" t="str">
        <f>Result_notebook_retravaill!E711</f>
        <v>100% CAN</v>
      </c>
      <c r="F711" t="str">
        <f>Result_notebook_retravaill!F711</f>
        <v>Integrated</v>
      </c>
      <c r="G711">
        <f>Result_notebook_retravaill!G711</f>
        <v>43216.40196908595</v>
      </c>
      <c r="H711" s="32">
        <f>IF(Result_notebook_retravaill!I711&gt;Result_notebook_retravaill!G711,Result_notebook_retravaill!I711/Result_notebook_retravaill!N711,Result_notebook_retravaill!H711)</f>
        <v>130730.86507793679</v>
      </c>
      <c r="I711" s="32">
        <f>Result_notebook_retravaill!K711</f>
        <v>0</v>
      </c>
      <c r="J711" s="32">
        <f>MIN(G711,Result_notebook_retravaill!I711)</f>
        <v>43216.40196908595</v>
      </c>
      <c r="K711" s="32">
        <f>IF(Result_notebook_retravaill!I711&gt;Result_notebook_retravaill!G711,0,IF(Result_notebook_retravaill!I711+Result_notebook_retravaill!J711&gt;Result_notebook_retravaill!G711,Result_notebook_retravaill!G711-Result_notebook_retravaill!I711,Result_notebook_retravaill!J711))</f>
        <v>0</v>
      </c>
      <c r="L711" s="32">
        <f>IF(Result_notebook_retravaill!I711&gt;Result_notebook_retravaill!G711,0,IF(Result_notebook_retravaill!I711+Result_notebook_retravaill!J711&gt;Result_notebook_retravaill!G711,0,Result_notebook_retravaill!M711))</f>
        <v>0</v>
      </c>
      <c r="M711" s="31">
        <f t="shared" si="11"/>
        <v>0</v>
      </c>
    </row>
    <row r="712" spans="1:13" x14ac:dyDescent="0.35">
      <c r="A712">
        <f>Result_notebook_retravaill!A712</f>
        <v>2032</v>
      </c>
      <c r="B712" t="str">
        <f>Result_notebook_retravaill!B712</f>
        <v>Lithium</v>
      </c>
      <c r="C712" t="str">
        <f>Result_notebook_retravaill!C712</f>
        <v>Current Measures</v>
      </c>
      <c r="D712" t="str">
        <f>Result_notebook_retravaill!D712</f>
        <v>Existing production</v>
      </c>
      <c r="E712" t="str">
        <f>Result_notebook_retravaill!E712</f>
        <v>Current shares</v>
      </c>
      <c r="F712" t="str">
        <f>Result_notebook_retravaill!F712</f>
        <v>NIMBY</v>
      </c>
      <c r="G712">
        <f>Result_notebook_retravaill!G712</f>
        <v>17703.55183876073</v>
      </c>
      <c r="H712" s="32">
        <f>IF(Result_notebook_retravaill!I712&gt;Result_notebook_retravaill!G712,Result_notebook_retravaill!I712/Result_notebook_retravaill!N712,Result_notebook_retravaill!H712)</f>
        <v>0</v>
      </c>
      <c r="I712" s="32">
        <f>Result_notebook_retravaill!K712</f>
        <v>25290.788341086762</v>
      </c>
      <c r="J712" s="32">
        <f>MIN(G712,Result_notebook_retravaill!I712)</f>
        <v>0</v>
      </c>
      <c r="K712" s="32">
        <f>IF(Result_notebook_retravaill!I712&gt;Result_notebook_retravaill!G712,0,IF(Result_notebook_retravaill!I712+Result_notebook_retravaill!J712&gt;Result_notebook_retravaill!G712,Result_notebook_retravaill!G712-Result_notebook_retravaill!I712,Result_notebook_retravaill!J712))</f>
        <v>0</v>
      </c>
      <c r="L712" s="32">
        <f>IF(Result_notebook_retravaill!I712&gt;Result_notebook_retravaill!G712,0,IF(Result_notebook_retravaill!I712+Result_notebook_retravaill!J712&gt;Result_notebook_retravaill!G712,0,Result_notebook_retravaill!M712))</f>
        <v>17703.55183876073</v>
      </c>
      <c r="M712" s="31">
        <f t="shared" si="11"/>
        <v>0</v>
      </c>
    </row>
    <row r="713" spans="1:13" x14ac:dyDescent="0.35">
      <c r="A713">
        <f>Result_notebook_retravaill!A713</f>
        <v>2032</v>
      </c>
      <c r="B713" t="str">
        <f>Result_notebook_retravaill!B713</f>
        <v>Lithium</v>
      </c>
      <c r="C713" t="str">
        <f>Result_notebook_retravaill!C713</f>
        <v>Current Measures</v>
      </c>
      <c r="D713" t="str">
        <f>Result_notebook_retravaill!D713</f>
        <v>Existing production</v>
      </c>
      <c r="E713" t="str">
        <f>Result_notebook_retravaill!E713</f>
        <v>Current shares</v>
      </c>
      <c r="F713" t="str">
        <f>Result_notebook_retravaill!F713</f>
        <v>Status Quo</v>
      </c>
      <c r="G713">
        <f>Result_notebook_retravaill!G713</f>
        <v>17703.55183876073</v>
      </c>
      <c r="H713" s="32">
        <f>IF(Result_notebook_retravaill!I713&gt;Result_notebook_retravaill!G713,Result_notebook_retravaill!I713/Result_notebook_retravaill!N713,Result_notebook_retravaill!H713)</f>
        <v>36052.482603984972</v>
      </c>
      <c r="I713" s="32">
        <f>Result_notebook_retravaill!K713</f>
        <v>0</v>
      </c>
      <c r="J713" s="32">
        <f>MIN(G713,Result_notebook_retravaill!I713)</f>
        <v>17703.55183876073</v>
      </c>
      <c r="K713" s="32">
        <f>IF(Result_notebook_retravaill!I713&gt;Result_notebook_retravaill!G713,0,IF(Result_notebook_retravaill!I713+Result_notebook_retravaill!J713&gt;Result_notebook_retravaill!G713,Result_notebook_retravaill!G713-Result_notebook_retravaill!I713,Result_notebook_retravaill!J713))</f>
        <v>0</v>
      </c>
      <c r="L713" s="32">
        <f>IF(Result_notebook_retravaill!I713&gt;Result_notebook_retravaill!G713,0,IF(Result_notebook_retravaill!I713+Result_notebook_retravaill!J713&gt;Result_notebook_retravaill!G713,0,Result_notebook_retravaill!M713))</f>
        <v>0</v>
      </c>
      <c r="M713" s="31">
        <f t="shared" si="11"/>
        <v>0</v>
      </c>
    </row>
    <row r="714" spans="1:13" x14ac:dyDescent="0.35">
      <c r="A714">
        <f>Result_notebook_retravaill!A714</f>
        <v>2032</v>
      </c>
      <c r="B714" t="str">
        <f>Result_notebook_retravaill!B714</f>
        <v>Lithium</v>
      </c>
      <c r="C714" t="str">
        <f>Result_notebook_retravaill!C714</f>
        <v>Current Measures</v>
      </c>
      <c r="D714" t="str">
        <f>Result_notebook_retravaill!D714</f>
        <v>Production potential</v>
      </c>
      <c r="E714" t="str">
        <f>Result_notebook_retravaill!E714</f>
        <v>Current shares</v>
      </c>
      <c r="F714" t="str">
        <f>Result_notebook_retravaill!F714</f>
        <v>Expansion Extractive</v>
      </c>
      <c r="G714">
        <f>Result_notebook_retravaill!G714</f>
        <v>17703.55183876073</v>
      </c>
      <c r="H714" s="32">
        <f>IF(Result_notebook_retravaill!I714&gt;Result_notebook_retravaill!G714,Result_notebook_retravaill!I714/Result_notebook_retravaill!N714,Result_notebook_retravaill!H714)</f>
        <v>130730.86507793679</v>
      </c>
      <c r="I714" s="32">
        <f>Result_notebook_retravaill!K714</f>
        <v>0</v>
      </c>
      <c r="J714" s="32">
        <f>MIN(G714,Result_notebook_retravaill!I714)</f>
        <v>17703.55183876073</v>
      </c>
      <c r="K714" s="32">
        <f>IF(Result_notebook_retravaill!I714&gt;Result_notebook_retravaill!G714,0,IF(Result_notebook_retravaill!I714+Result_notebook_retravaill!J714&gt;Result_notebook_retravaill!G714,Result_notebook_retravaill!G714-Result_notebook_retravaill!I714,Result_notebook_retravaill!J714))</f>
        <v>0</v>
      </c>
      <c r="L714" s="32">
        <f>IF(Result_notebook_retravaill!I714&gt;Result_notebook_retravaill!G714,0,IF(Result_notebook_retravaill!I714+Result_notebook_retravaill!J714&gt;Result_notebook_retravaill!G714,0,Result_notebook_retravaill!M714))</f>
        <v>0</v>
      </c>
      <c r="M714" s="31">
        <f t="shared" si="11"/>
        <v>0</v>
      </c>
    </row>
    <row r="715" spans="1:13" x14ac:dyDescent="0.35">
      <c r="A715">
        <f>Result_notebook_retravaill!A715</f>
        <v>2032</v>
      </c>
      <c r="B715" t="str">
        <f>Result_notebook_retravaill!B715</f>
        <v>Lithium</v>
      </c>
      <c r="C715" t="str">
        <f>Result_notebook_retravaill!C715</f>
        <v>Current Measures</v>
      </c>
      <c r="D715" t="str">
        <f>Result_notebook_retravaill!D715</f>
        <v>Production potential</v>
      </c>
      <c r="E715" t="str">
        <f>Result_notebook_retravaill!E715</f>
        <v>Current shares</v>
      </c>
      <c r="F715" t="str">
        <f>Result_notebook_retravaill!F715</f>
        <v>Expansion Extractive+Circularity</v>
      </c>
      <c r="G715">
        <f>Result_notebook_retravaill!G715</f>
        <v>17703.55183876073</v>
      </c>
      <c r="H715" s="32">
        <f>IF(Result_notebook_retravaill!I715&gt;Result_notebook_retravaill!G715,Result_notebook_retravaill!I715/Result_notebook_retravaill!N715,Result_notebook_retravaill!H715)</f>
        <v>130730.86507793679</v>
      </c>
      <c r="I715" s="32">
        <f>Result_notebook_retravaill!K715</f>
        <v>0</v>
      </c>
      <c r="J715" s="32">
        <f>MIN(G715,Result_notebook_retravaill!I715)</f>
        <v>17703.55183876073</v>
      </c>
      <c r="K715" s="32">
        <f>IF(Result_notebook_retravaill!I715&gt;Result_notebook_retravaill!G715,0,IF(Result_notebook_retravaill!I715+Result_notebook_retravaill!J715&gt;Result_notebook_retravaill!G715,Result_notebook_retravaill!G715-Result_notebook_retravaill!I715,Result_notebook_retravaill!J715))</f>
        <v>0</v>
      </c>
      <c r="L715" s="32">
        <f>IF(Result_notebook_retravaill!I715&gt;Result_notebook_retravaill!G715,0,IF(Result_notebook_retravaill!I715+Result_notebook_retravaill!J715&gt;Result_notebook_retravaill!G715,0,Result_notebook_retravaill!M715))</f>
        <v>0</v>
      </c>
      <c r="M715" s="31">
        <f t="shared" si="11"/>
        <v>0</v>
      </c>
    </row>
    <row r="716" spans="1:13" x14ac:dyDescent="0.35">
      <c r="A716">
        <f>Result_notebook_retravaill!A716</f>
        <v>2032</v>
      </c>
      <c r="B716" t="str">
        <f>Result_notebook_retravaill!B716</f>
        <v>Lithium</v>
      </c>
      <c r="C716" t="str">
        <f>Result_notebook_retravaill!C716</f>
        <v>Current Measures</v>
      </c>
      <c r="D716" t="str">
        <f>Result_notebook_retravaill!D716</f>
        <v>Production potential</v>
      </c>
      <c r="E716" t="str">
        <f>Result_notebook_retravaill!E716</f>
        <v>100% CAN</v>
      </c>
      <c r="F716" t="str">
        <f>Result_notebook_retravaill!F716</f>
        <v>Integrated</v>
      </c>
      <c r="G716">
        <f>Result_notebook_retravaill!G716</f>
        <v>17703.55183876073</v>
      </c>
      <c r="H716" s="32">
        <f>IF(Result_notebook_retravaill!I716&gt;Result_notebook_retravaill!G716,Result_notebook_retravaill!I716/Result_notebook_retravaill!N716,Result_notebook_retravaill!H716)</f>
        <v>130730.86507793679</v>
      </c>
      <c r="I716" s="32">
        <f>Result_notebook_retravaill!K716</f>
        <v>0</v>
      </c>
      <c r="J716" s="32">
        <f>MIN(G716,Result_notebook_retravaill!I716)</f>
        <v>17703.55183876073</v>
      </c>
      <c r="K716" s="32">
        <f>IF(Result_notebook_retravaill!I716&gt;Result_notebook_retravaill!G716,0,IF(Result_notebook_retravaill!I716+Result_notebook_retravaill!J716&gt;Result_notebook_retravaill!G716,Result_notebook_retravaill!G716-Result_notebook_retravaill!I716,Result_notebook_retravaill!J716))</f>
        <v>0</v>
      </c>
      <c r="L716" s="32">
        <f>IF(Result_notebook_retravaill!I716&gt;Result_notebook_retravaill!G716,0,IF(Result_notebook_retravaill!I716+Result_notebook_retravaill!J716&gt;Result_notebook_retravaill!G716,0,Result_notebook_retravaill!M716))</f>
        <v>0</v>
      </c>
      <c r="M716" s="31">
        <f t="shared" si="11"/>
        <v>0</v>
      </c>
    </row>
    <row r="717" spans="1:13" x14ac:dyDescent="0.35">
      <c r="A717">
        <f>Result_notebook_retravaill!A717</f>
        <v>2032</v>
      </c>
      <c r="B717" t="str">
        <f>Result_notebook_retravaill!B717</f>
        <v>Lithium</v>
      </c>
      <c r="C717" t="str">
        <f>Result_notebook_retravaill!C717</f>
        <v>Global Net-zero</v>
      </c>
      <c r="D717" t="str">
        <f>Result_notebook_retravaill!D717</f>
        <v>Existing production</v>
      </c>
      <c r="E717" t="str">
        <f>Result_notebook_retravaill!E717</f>
        <v>Current shares</v>
      </c>
      <c r="F717" t="str">
        <f>Result_notebook_retravaill!F717</f>
        <v>NIMBY</v>
      </c>
      <c r="G717">
        <f>Result_notebook_retravaill!G717</f>
        <v>41006.910896196001</v>
      </c>
      <c r="H717" s="32">
        <f>IF(Result_notebook_retravaill!I717&gt;Result_notebook_retravaill!G717,Result_notebook_retravaill!I717/Result_notebook_retravaill!N717,Result_notebook_retravaill!H717)</f>
        <v>0</v>
      </c>
      <c r="I717" s="32">
        <f>Result_notebook_retravaill!K717</f>
        <v>58581.301280280008</v>
      </c>
      <c r="J717" s="32">
        <f>MIN(G717,Result_notebook_retravaill!I717)</f>
        <v>0</v>
      </c>
      <c r="K717" s="32">
        <f>IF(Result_notebook_retravaill!I717&gt;Result_notebook_retravaill!G717,0,IF(Result_notebook_retravaill!I717+Result_notebook_retravaill!J717&gt;Result_notebook_retravaill!G717,Result_notebook_retravaill!G717-Result_notebook_retravaill!I717,Result_notebook_retravaill!J717))</f>
        <v>0</v>
      </c>
      <c r="L717" s="32">
        <f>IF(Result_notebook_retravaill!I717&gt;Result_notebook_retravaill!G717,0,IF(Result_notebook_retravaill!I717+Result_notebook_retravaill!J717&gt;Result_notebook_retravaill!G717,0,Result_notebook_retravaill!M717))</f>
        <v>41006.910896196001</v>
      </c>
      <c r="M717" s="31">
        <f t="shared" si="11"/>
        <v>0</v>
      </c>
    </row>
    <row r="718" spans="1:13" x14ac:dyDescent="0.35">
      <c r="A718">
        <f>Result_notebook_retravaill!A718</f>
        <v>2032</v>
      </c>
      <c r="B718" t="str">
        <f>Result_notebook_retravaill!B718</f>
        <v>Lithium</v>
      </c>
      <c r="C718" t="str">
        <f>Result_notebook_retravaill!C718</f>
        <v>Global Net-zero</v>
      </c>
      <c r="D718" t="str">
        <f>Result_notebook_retravaill!D718</f>
        <v>Existing production</v>
      </c>
      <c r="E718" t="str">
        <f>Result_notebook_retravaill!E718</f>
        <v>Current shares</v>
      </c>
      <c r="F718" t="str">
        <f>Result_notebook_retravaill!F718</f>
        <v>Status Quo</v>
      </c>
      <c r="G718">
        <f>Result_notebook_retravaill!G718</f>
        <v>41006.910896196001</v>
      </c>
      <c r="H718" s="32">
        <f>IF(Result_notebook_retravaill!I718&gt;Result_notebook_retravaill!G718,Result_notebook_retravaill!I718/Result_notebook_retravaill!N718,Result_notebook_retravaill!H718)</f>
        <v>40610</v>
      </c>
      <c r="I718" s="32">
        <f>Result_notebook_retravaill!K718</f>
        <v>17971.301280280011</v>
      </c>
      <c r="J718" s="32">
        <f>MIN(G718,Result_notebook_retravaill!I718)</f>
        <v>28393.312823880038</v>
      </c>
      <c r="K718" s="32">
        <f>IF(Result_notebook_retravaill!I718&gt;Result_notebook_retravaill!G718,0,IF(Result_notebook_retravaill!I718+Result_notebook_retravaill!J718&gt;Result_notebook_retravaill!G718,Result_notebook_retravaill!G718-Result_notebook_retravaill!I718,Result_notebook_retravaill!J718))</f>
        <v>3589.2955984958098</v>
      </c>
      <c r="L718" s="32">
        <f>IF(Result_notebook_retravaill!I718&gt;Result_notebook_retravaill!G718,0,IF(Result_notebook_retravaill!I718+Result_notebook_retravaill!J718&gt;Result_notebook_retravaill!G718,0,Result_notebook_retravaill!M718))</f>
        <v>9024.3024738201493</v>
      </c>
      <c r="M718" s="31">
        <f t="shared" si="11"/>
        <v>0</v>
      </c>
    </row>
    <row r="719" spans="1:13" x14ac:dyDescent="0.35">
      <c r="A719">
        <f>Result_notebook_retravaill!A719</f>
        <v>2032</v>
      </c>
      <c r="B719" t="str">
        <f>Result_notebook_retravaill!B719</f>
        <v>Lithium</v>
      </c>
      <c r="C719" t="str">
        <f>Result_notebook_retravaill!C719</f>
        <v>Global Net-zero</v>
      </c>
      <c r="D719" t="str">
        <f>Result_notebook_retravaill!D719</f>
        <v>Production potential</v>
      </c>
      <c r="E719" t="str">
        <f>Result_notebook_retravaill!E719</f>
        <v>Current shares</v>
      </c>
      <c r="F719" t="str">
        <f>Result_notebook_retravaill!F719</f>
        <v>Expansion Extractive</v>
      </c>
      <c r="G719">
        <f>Result_notebook_retravaill!G719</f>
        <v>41006.910896196001</v>
      </c>
      <c r="H719" s="32">
        <f>IF(Result_notebook_retravaill!I719&gt;Result_notebook_retravaill!G719,Result_notebook_retravaill!I719/Result_notebook_retravaill!N719,Result_notebook_retravaill!H719)</f>
        <v>130730.86507793679</v>
      </c>
      <c r="I719" s="32">
        <f>Result_notebook_retravaill!K719</f>
        <v>0</v>
      </c>
      <c r="J719" s="32">
        <f>MIN(G719,Result_notebook_retravaill!I719)</f>
        <v>41006.910896196001</v>
      </c>
      <c r="K719" s="32">
        <f>IF(Result_notebook_retravaill!I719&gt;Result_notebook_retravaill!G719,0,IF(Result_notebook_retravaill!I719+Result_notebook_retravaill!J719&gt;Result_notebook_retravaill!G719,Result_notebook_retravaill!G719-Result_notebook_retravaill!I719,Result_notebook_retravaill!J719))</f>
        <v>0</v>
      </c>
      <c r="L719" s="32">
        <f>IF(Result_notebook_retravaill!I719&gt;Result_notebook_retravaill!G719,0,IF(Result_notebook_retravaill!I719+Result_notebook_retravaill!J719&gt;Result_notebook_retravaill!G719,0,Result_notebook_retravaill!M719))</f>
        <v>0</v>
      </c>
      <c r="M719" s="31">
        <f t="shared" si="11"/>
        <v>0</v>
      </c>
    </row>
    <row r="720" spans="1:13" x14ac:dyDescent="0.35">
      <c r="A720">
        <f>Result_notebook_retravaill!A720</f>
        <v>2032</v>
      </c>
      <c r="B720" t="str">
        <f>Result_notebook_retravaill!B720</f>
        <v>Lithium</v>
      </c>
      <c r="C720" t="str">
        <f>Result_notebook_retravaill!C720</f>
        <v>Global Net-zero</v>
      </c>
      <c r="D720" t="str">
        <f>Result_notebook_retravaill!D720</f>
        <v>Production potential</v>
      </c>
      <c r="E720" t="str">
        <f>Result_notebook_retravaill!E720</f>
        <v>Current shares</v>
      </c>
      <c r="F720" t="str">
        <f>Result_notebook_retravaill!F720</f>
        <v>Expansion Extractive+Circularity</v>
      </c>
      <c r="G720">
        <f>Result_notebook_retravaill!G720</f>
        <v>41006.910896196001</v>
      </c>
      <c r="H720" s="32">
        <f>IF(Result_notebook_retravaill!I720&gt;Result_notebook_retravaill!G720,Result_notebook_retravaill!I720/Result_notebook_retravaill!N720,Result_notebook_retravaill!H720)</f>
        <v>130730.86507793679</v>
      </c>
      <c r="I720" s="32">
        <f>Result_notebook_retravaill!K720</f>
        <v>0</v>
      </c>
      <c r="J720" s="32">
        <f>MIN(G720,Result_notebook_retravaill!I720)</f>
        <v>41006.910896196001</v>
      </c>
      <c r="K720" s="32">
        <f>IF(Result_notebook_retravaill!I720&gt;Result_notebook_retravaill!G720,0,IF(Result_notebook_retravaill!I720+Result_notebook_retravaill!J720&gt;Result_notebook_retravaill!G720,Result_notebook_retravaill!G720-Result_notebook_retravaill!I720,Result_notebook_retravaill!J720))</f>
        <v>0</v>
      </c>
      <c r="L720" s="32">
        <f>IF(Result_notebook_retravaill!I720&gt;Result_notebook_retravaill!G720,0,IF(Result_notebook_retravaill!I720+Result_notebook_retravaill!J720&gt;Result_notebook_retravaill!G720,0,Result_notebook_retravaill!M720))</f>
        <v>0</v>
      </c>
      <c r="M720" s="31">
        <f t="shared" si="11"/>
        <v>0</v>
      </c>
    </row>
    <row r="721" spans="1:13" x14ac:dyDescent="0.35">
      <c r="A721">
        <f>Result_notebook_retravaill!A721</f>
        <v>2032</v>
      </c>
      <c r="B721" t="str">
        <f>Result_notebook_retravaill!B721</f>
        <v>Lithium</v>
      </c>
      <c r="C721" t="str">
        <f>Result_notebook_retravaill!C721</f>
        <v>Global Net-zero</v>
      </c>
      <c r="D721" t="str">
        <f>Result_notebook_retravaill!D721</f>
        <v>Production potential</v>
      </c>
      <c r="E721" t="str">
        <f>Result_notebook_retravaill!E721</f>
        <v>100% CAN</v>
      </c>
      <c r="F721" t="str">
        <f>Result_notebook_retravaill!F721</f>
        <v>Integrated</v>
      </c>
      <c r="G721">
        <f>Result_notebook_retravaill!G721</f>
        <v>41006.910896196001</v>
      </c>
      <c r="H721" s="32">
        <f>IF(Result_notebook_retravaill!I721&gt;Result_notebook_retravaill!G721,Result_notebook_retravaill!I721/Result_notebook_retravaill!N721,Result_notebook_retravaill!H721)</f>
        <v>130730.86507793679</v>
      </c>
      <c r="I721" s="32">
        <f>Result_notebook_retravaill!K721</f>
        <v>0</v>
      </c>
      <c r="J721" s="32">
        <f>MIN(G721,Result_notebook_retravaill!I721)</f>
        <v>41006.910896196001</v>
      </c>
      <c r="K721" s="32">
        <f>IF(Result_notebook_retravaill!I721&gt;Result_notebook_retravaill!G721,0,IF(Result_notebook_retravaill!I721+Result_notebook_retravaill!J721&gt;Result_notebook_retravaill!G721,Result_notebook_retravaill!G721-Result_notebook_retravaill!I721,Result_notebook_retravaill!J721))</f>
        <v>0</v>
      </c>
      <c r="L721" s="32">
        <f>IF(Result_notebook_retravaill!I721&gt;Result_notebook_retravaill!G721,0,IF(Result_notebook_retravaill!I721+Result_notebook_retravaill!J721&gt;Result_notebook_retravaill!G721,0,Result_notebook_retravaill!M721))</f>
        <v>0</v>
      </c>
      <c r="M721" s="31">
        <f t="shared" si="11"/>
        <v>0</v>
      </c>
    </row>
    <row r="722" spans="1:13" x14ac:dyDescent="0.35">
      <c r="A722">
        <f>Result_notebook_retravaill!A722</f>
        <v>2033</v>
      </c>
      <c r="B722" t="str">
        <f>Result_notebook_retravaill!B722</f>
        <v>Cobalt</v>
      </c>
      <c r="C722" t="str">
        <f>Result_notebook_retravaill!C722</f>
        <v>Canada Net-zero</v>
      </c>
      <c r="D722" t="str">
        <f>Result_notebook_retravaill!D722</f>
        <v>Existing production</v>
      </c>
      <c r="E722" t="str">
        <f>Result_notebook_retravaill!E722</f>
        <v>Current shares</v>
      </c>
      <c r="F722" t="str">
        <f>Result_notebook_retravaill!F722</f>
        <v>NIMBY</v>
      </c>
      <c r="G722">
        <f>Result_notebook_retravaill!G722</f>
        <v>111767.924194804</v>
      </c>
      <c r="H722" s="32">
        <f>IF(Result_notebook_retravaill!I722&gt;Result_notebook_retravaill!G722,Result_notebook_retravaill!I722/Result_notebook_retravaill!N722,Result_notebook_retravaill!H722)</f>
        <v>0</v>
      </c>
      <c r="I722" s="32">
        <f>Result_notebook_retravaill!K722</f>
        <v>254018.00953364541</v>
      </c>
      <c r="J722" s="32">
        <f>MIN(G722,Result_notebook_retravaill!I722)</f>
        <v>0</v>
      </c>
      <c r="K722" s="32">
        <f>IF(Result_notebook_retravaill!I722&gt;Result_notebook_retravaill!G722,0,IF(Result_notebook_retravaill!I722+Result_notebook_retravaill!J722&gt;Result_notebook_retravaill!G722,Result_notebook_retravaill!G722-Result_notebook_retravaill!I722,Result_notebook_retravaill!J722))</f>
        <v>0</v>
      </c>
      <c r="L722" s="32">
        <f>IF(Result_notebook_retravaill!I722&gt;Result_notebook_retravaill!G722,0,IF(Result_notebook_retravaill!I722+Result_notebook_retravaill!J722&gt;Result_notebook_retravaill!G722,0,Result_notebook_retravaill!M722))</f>
        <v>111767.924194804</v>
      </c>
      <c r="M722" s="31">
        <f t="shared" si="11"/>
        <v>0</v>
      </c>
    </row>
    <row r="723" spans="1:13" x14ac:dyDescent="0.35">
      <c r="A723">
        <f>Result_notebook_retravaill!A723</f>
        <v>2033</v>
      </c>
      <c r="B723" t="str">
        <f>Result_notebook_retravaill!B723</f>
        <v>Cobalt</v>
      </c>
      <c r="C723" t="str">
        <f>Result_notebook_retravaill!C723</f>
        <v>Canada Net-zero</v>
      </c>
      <c r="D723" t="str">
        <f>Result_notebook_retravaill!D723</f>
        <v>Existing production</v>
      </c>
      <c r="E723" t="str">
        <f>Result_notebook_retravaill!E723</f>
        <v>Current shares</v>
      </c>
      <c r="F723" t="str">
        <f>Result_notebook_retravaill!F723</f>
        <v>Status Quo</v>
      </c>
      <c r="G723">
        <f>Result_notebook_retravaill!G723</f>
        <v>111767.924194804</v>
      </c>
      <c r="H723" s="32">
        <f>IF(Result_notebook_retravaill!I723&gt;Result_notebook_retravaill!G723,Result_notebook_retravaill!I723/Result_notebook_retravaill!N723,Result_notebook_retravaill!H723)</f>
        <v>3079</v>
      </c>
      <c r="I723" s="32">
        <f>Result_notebook_retravaill!K723</f>
        <v>250939.00953364541</v>
      </c>
      <c r="J723" s="32">
        <f>MIN(G723,Result_notebook_retravaill!I723)</f>
        <v>1306.05584956232</v>
      </c>
      <c r="K723" s="32">
        <f>IF(Result_notebook_retravaill!I723&gt;Result_notebook_retravaill!G723,0,IF(Result_notebook_retravaill!I723+Result_notebook_retravaill!J723&gt;Result_notebook_retravaill!G723,Result_notebook_retravaill!G723-Result_notebook_retravaill!I723,Result_notebook_retravaill!J723))</f>
        <v>46.692226187885353</v>
      </c>
      <c r="L723" s="32">
        <f>IF(Result_notebook_retravaill!I723&gt;Result_notebook_retravaill!G723,0,IF(Result_notebook_retravaill!I723+Result_notebook_retravaill!J723&gt;Result_notebook_retravaill!G723,0,Result_notebook_retravaill!M723))</f>
        <v>110415.17611905382</v>
      </c>
      <c r="M723" s="31">
        <f t="shared" si="11"/>
        <v>0</v>
      </c>
    </row>
    <row r="724" spans="1:13" x14ac:dyDescent="0.35">
      <c r="A724">
        <f>Result_notebook_retravaill!A724</f>
        <v>2033</v>
      </c>
      <c r="B724" t="str">
        <f>Result_notebook_retravaill!B724</f>
        <v>Cobalt</v>
      </c>
      <c r="C724" t="str">
        <f>Result_notebook_retravaill!C724</f>
        <v>Canada Net-zero</v>
      </c>
      <c r="D724" t="str">
        <f>Result_notebook_retravaill!D724</f>
        <v>Production potential</v>
      </c>
      <c r="E724" t="str">
        <f>Result_notebook_retravaill!E724</f>
        <v>Current shares</v>
      </c>
      <c r="F724" t="str">
        <f>Result_notebook_retravaill!F724</f>
        <v>Expansion Extractive</v>
      </c>
      <c r="G724">
        <f>Result_notebook_retravaill!G724</f>
        <v>111767.924194804</v>
      </c>
      <c r="H724" s="32">
        <f>IF(Result_notebook_retravaill!I724&gt;Result_notebook_retravaill!G724,Result_notebook_retravaill!I724/Result_notebook_retravaill!N724,Result_notebook_retravaill!H724)</f>
        <v>11725.35368790235</v>
      </c>
      <c r="I724" s="32">
        <f>Result_notebook_retravaill!K724</f>
        <v>242292.65584574311</v>
      </c>
      <c r="J724" s="32">
        <f>MIN(G724,Result_notebook_retravaill!I724)</f>
        <v>4973.6819656615726</v>
      </c>
      <c r="K724" s="32">
        <f>IF(Result_notebook_retravaill!I724&gt;Result_notebook_retravaill!G724,0,IF(Result_notebook_retravaill!I724+Result_notebook_retravaill!J724&gt;Result_notebook_retravaill!G724,Result_notebook_retravaill!G724-Result_notebook_retravaill!I724,Result_notebook_retravaill!J724))</f>
        <v>177.8119085834669</v>
      </c>
      <c r="L724" s="32">
        <f>IF(Result_notebook_retravaill!I724&gt;Result_notebook_retravaill!G724,0,IF(Result_notebook_retravaill!I724+Result_notebook_retravaill!J724&gt;Result_notebook_retravaill!G724,0,Result_notebook_retravaill!M724))</f>
        <v>106616.43032055894</v>
      </c>
      <c r="M724" s="31">
        <f t="shared" si="11"/>
        <v>0</v>
      </c>
    </row>
    <row r="725" spans="1:13" x14ac:dyDescent="0.35">
      <c r="A725">
        <f>Result_notebook_retravaill!A725</f>
        <v>2033</v>
      </c>
      <c r="B725" t="str">
        <f>Result_notebook_retravaill!B725</f>
        <v>Cobalt</v>
      </c>
      <c r="C725" t="str">
        <f>Result_notebook_retravaill!C725</f>
        <v>Canada Net-zero</v>
      </c>
      <c r="D725" t="str">
        <f>Result_notebook_retravaill!D725</f>
        <v>Production potential</v>
      </c>
      <c r="E725" t="str">
        <f>Result_notebook_retravaill!E725</f>
        <v>Current shares</v>
      </c>
      <c r="F725" t="str">
        <f>Result_notebook_retravaill!F725</f>
        <v>Expansion Extractive+Circularity</v>
      </c>
      <c r="G725">
        <f>Result_notebook_retravaill!G725</f>
        <v>111767.924194804</v>
      </c>
      <c r="H725" s="32">
        <f>IF(Result_notebook_retravaill!I725&gt;Result_notebook_retravaill!G725,Result_notebook_retravaill!I725/Result_notebook_retravaill!N725,Result_notebook_retravaill!H725)</f>
        <v>11725.35368790235</v>
      </c>
      <c r="I725" s="32">
        <f>Result_notebook_retravaill!K725</f>
        <v>242292.65584574311</v>
      </c>
      <c r="J725" s="32">
        <f>MIN(G725,Result_notebook_retravaill!I725)</f>
        <v>4973.6819656615726</v>
      </c>
      <c r="K725" s="32">
        <f>IF(Result_notebook_retravaill!I725&gt;Result_notebook_retravaill!G725,0,IF(Result_notebook_retravaill!I725+Result_notebook_retravaill!J725&gt;Result_notebook_retravaill!G725,Result_notebook_retravaill!G725-Result_notebook_retravaill!I725,Result_notebook_retravaill!J725))</f>
        <v>177.8119085834669</v>
      </c>
      <c r="L725" s="32">
        <f>IF(Result_notebook_retravaill!I725&gt;Result_notebook_retravaill!G725,0,IF(Result_notebook_retravaill!I725+Result_notebook_retravaill!J725&gt;Result_notebook_retravaill!G725,0,Result_notebook_retravaill!M725))</f>
        <v>106616.43032055894</v>
      </c>
      <c r="M725" s="31">
        <f t="shared" si="11"/>
        <v>0</v>
      </c>
    </row>
    <row r="726" spans="1:13" x14ac:dyDescent="0.35">
      <c r="A726">
        <f>Result_notebook_retravaill!A726</f>
        <v>2033</v>
      </c>
      <c r="B726" t="str">
        <f>Result_notebook_retravaill!B726</f>
        <v>Cobalt</v>
      </c>
      <c r="C726" t="str">
        <f>Result_notebook_retravaill!C726</f>
        <v>Canada Net-zero</v>
      </c>
      <c r="D726" t="str">
        <f>Result_notebook_retravaill!D726</f>
        <v>Production potential</v>
      </c>
      <c r="E726" t="str">
        <f>Result_notebook_retravaill!E726</f>
        <v>100% CAN</v>
      </c>
      <c r="F726" t="str">
        <f>Result_notebook_retravaill!F726</f>
        <v>Integrated</v>
      </c>
      <c r="G726">
        <f>Result_notebook_retravaill!G726</f>
        <v>111767.924194804</v>
      </c>
      <c r="H726" s="32">
        <f>IF(Result_notebook_retravaill!I726&gt;Result_notebook_retravaill!G726,Result_notebook_retravaill!I726/Result_notebook_retravaill!N726,Result_notebook_retravaill!H726)</f>
        <v>11725.35368790235</v>
      </c>
      <c r="I726" s="32">
        <f>Result_notebook_retravaill!K726</f>
        <v>242292.65584574311</v>
      </c>
      <c r="J726" s="32">
        <f>MIN(G726,Result_notebook_retravaill!I726)</f>
        <v>5151.4938742450449</v>
      </c>
      <c r="K726" s="32">
        <f>IF(Result_notebook_retravaill!I726&gt;Result_notebook_retravaill!G726,0,IF(Result_notebook_retravaill!I726+Result_notebook_retravaill!J726&gt;Result_notebook_retravaill!G726,Result_notebook_retravaill!G726-Result_notebook_retravaill!I726,Result_notebook_retravaill!J726))</f>
        <v>0</v>
      </c>
      <c r="L726" s="32">
        <f>IF(Result_notebook_retravaill!I726&gt;Result_notebook_retravaill!G726,0,IF(Result_notebook_retravaill!I726+Result_notebook_retravaill!J726&gt;Result_notebook_retravaill!G726,0,Result_notebook_retravaill!M726))</f>
        <v>106616.430320559</v>
      </c>
      <c r="M726" s="31">
        <f t="shared" si="11"/>
        <v>0</v>
      </c>
    </row>
    <row r="727" spans="1:13" x14ac:dyDescent="0.35">
      <c r="A727">
        <f>Result_notebook_retravaill!A727</f>
        <v>2033</v>
      </c>
      <c r="B727" t="str">
        <f>Result_notebook_retravaill!B727</f>
        <v>Cobalt</v>
      </c>
      <c r="C727" t="str">
        <f>Result_notebook_retravaill!C727</f>
        <v>Current Measures</v>
      </c>
      <c r="D727" t="str">
        <f>Result_notebook_retravaill!D727</f>
        <v>Existing production</v>
      </c>
      <c r="E727" t="str">
        <f>Result_notebook_retravaill!E727</f>
        <v>Current shares</v>
      </c>
      <c r="F727" t="str">
        <f>Result_notebook_retravaill!F727</f>
        <v>NIMBY</v>
      </c>
      <c r="G727">
        <f>Result_notebook_retravaill!G727</f>
        <v>44810.916790988493</v>
      </c>
      <c r="H727" s="32">
        <f>IF(Result_notebook_retravaill!I727&gt;Result_notebook_retravaill!G727,Result_notebook_retravaill!I727/Result_notebook_retravaill!N727,Result_notebook_retravaill!H727)</f>
        <v>0</v>
      </c>
      <c r="I727" s="32">
        <f>Result_notebook_retravaill!K727</f>
        <v>101842.99270679201</v>
      </c>
      <c r="J727" s="32">
        <f>MIN(G727,Result_notebook_retravaill!I727)</f>
        <v>0</v>
      </c>
      <c r="K727" s="32">
        <f>IF(Result_notebook_retravaill!I727&gt;Result_notebook_retravaill!G727,0,IF(Result_notebook_retravaill!I727+Result_notebook_retravaill!J727&gt;Result_notebook_retravaill!G727,Result_notebook_retravaill!G727-Result_notebook_retravaill!I727,Result_notebook_retravaill!J727))</f>
        <v>0</v>
      </c>
      <c r="L727" s="32">
        <f>IF(Result_notebook_retravaill!I727&gt;Result_notebook_retravaill!G727,0,IF(Result_notebook_retravaill!I727+Result_notebook_retravaill!J727&gt;Result_notebook_retravaill!G727,0,Result_notebook_retravaill!M727))</f>
        <v>44810.916790988493</v>
      </c>
      <c r="M727" s="31">
        <f t="shared" si="11"/>
        <v>0</v>
      </c>
    </row>
    <row r="728" spans="1:13" x14ac:dyDescent="0.35">
      <c r="A728">
        <f>Result_notebook_retravaill!A728</f>
        <v>2033</v>
      </c>
      <c r="B728" t="str">
        <f>Result_notebook_retravaill!B728</f>
        <v>Cobalt</v>
      </c>
      <c r="C728" t="str">
        <f>Result_notebook_retravaill!C728</f>
        <v>Current Measures</v>
      </c>
      <c r="D728" t="str">
        <f>Result_notebook_retravaill!D728</f>
        <v>Existing production</v>
      </c>
      <c r="E728" t="str">
        <f>Result_notebook_retravaill!E728</f>
        <v>Current shares</v>
      </c>
      <c r="F728" t="str">
        <f>Result_notebook_retravaill!F728</f>
        <v>Status Quo</v>
      </c>
      <c r="G728">
        <f>Result_notebook_retravaill!G728</f>
        <v>44810.916790988493</v>
      </c>
      <c r="H728" s="32">
        <f>IF(Result_notebook_retravaill!I728&gt;Result_notebook_retravaill!G728,Result_notebook_retravaill!I728/Result_notebook_retravaill!N728,Result_notebook_retravaill!H728)</f>
        <v>3079</v>
      </c>
      <c r="I728" s="32">
        <f>Result_notebook_retravaill!K728</f>
        <v>98763.992706792022</v>
      </c>
      <c r="J728" s="32">
        <f>MIN(G728,Result_notebook_retravaill!I728)</f>
        <v>1306.05584956232</v>
      </c>
      <c r="K728" s="32">
        <f>IF(Result_notebook_retravaill!I728&gt;Result_notebook_retravaill!G728,0,IF(Result_notebook_retravaill!I728+Result_notebook_retravaill!J728&gt;Result_notebook_retravaill!G728,Result_notebook_retravaill!G728-Result_notebook_retravaill!I728,Result_notebook_retravaill!J728))</f>
        <v>46.692226187885353</v>
      </c>
      <c r="L728" s="32">
        <f>IF(Result_notebook_retravaill!I728&gt;Result_notebook_retravaill!G728,0,IF(Result_notebook_retravaill!I728+Result_notebook_retravaill!J728&gt;Result_notebook_retravaill!G728,0,Result_notebook_retravaill!M728))</f>
        <v>43458.16871523828</v>
      </c>
      <c r="M728" s="31">
        <f t="shared" si="11"/>
        <v>0</v>
      </c>
    </row>
    <row r="729" spans="1:13" x14ac:dyDescent="0.35">
      <c r="A729">
        <f>Result_notebook_retravaill!A729</f>
        <v>2033</v>
      </c>
      <c r="B729" t="str">
        <f>Result_notebook_retravaill!B729</f>
        <v>Cobalt</v>
      </c>
      <c r="C729" t="str">
        <f>Result_notebook_retravaill!C729</f>
        <v>Current Measures</v>
      </c>
      <c r="D729" t="str">
        <f>Result_notebook_retravaill!D729</f>
        <v>Production potential</v>
      </c>
      <c r="E729" t="str">
        <f>Result_notebook_retravaill!E729</f>
        <v>Current shares</v>
      </c>
      <c r="F729" t="str">
        <f>Result_notebook_retravaill!F729</f>
        <v>Expansion Extractive</v>
      </c>
      <c r="G729">
        <f>Result_notebook_retravaill!G729</f>
        <v>44810.916790988493</v>
      </c>
      <c r="H729" s="32">
        <f>IF(Result_notebook_retravaill!I729&gt;Result_notebook_retravaill!G729,Result_notebook_retravaill!I729/Result_notebook_retravaill!N729,Result_notebook_retravaill!H729)</f>
        <v>11725.35368790235</v>
      </c>
      <c r="I729" s="32">
        <f>Result_notebook_retravaill!K729</f>
        <v>90117.639018889662</v>
      </c>
      <c r="J729" s="32">
        <f>MIN(G729,Result_notebook_retravaill!I729)</f>
        <v>4973.6819656615726</v>
      </c>
      <c r="K729" s="32">
        <f>IF(Result_notebook_retravaill!I729&gt;Result_notebook_retravaill!G729,0,IF(Result_notebook_retravaill!I729+Result_notebook_retravaill!J729&gt;Result_notebook_retravaill!G729,Result_notebook_retravaill!G729-Result_notebook_retravaill!I729,Result_notebook_retravaill!J729))</f>
        <v>177.8119085834669</v>
      </c>
      <c r="L729" s="32">
        <f>IF(Result_notebook_retravaill!I729&gt;Result_notebook_retravaill!G729,0,IF(Result_notebook_retravaill!I729+Result_notebook_retravaill!J729&gt;Result_notebook_retravaill!G729,0,Result_notebook_retravaill!M729))</f>
        <v>39659.422916743453</v>
      </c>
      <c r="M729" s="31">
        <f t="shared" si="11"/>
        <v>0</v>
      </c>
    </row>
    <row r="730" spans="1:13" x14ac:dyDescent="0.35">
      <c r="A730">
        <f>Result_notebook_retravaill!A730</f>
        <v>2033</v>
      </c>
      <c r="B730" t="str">
        <f>Result_notebook_retravaill!B730</f>
        <v>Cobalt</v>
      </c>
      <c r="C730" t="str">
        <f>Result_notebook_retravaill!C730</f>
        <v>Current Measures</v>
      </c>
      <c r="D730" t="str">
        <f>Result_notebook_retravaill!D730</f>
        <v>Production potential</v>
      </c>
      <c r="E730" t="str">
        <f>Result_notebook_retravaill!E730</f>
        <v>Current shares</v>
      </c>
      <c r="F730" t="str">
        <f>Result_notebook_retravaill!F730</f>
        <v>Expansion Extractive+Circularity</v>
      </c>
      <c r="G730">
        <f>Result_notebook_retravaill!G730</f>
        <v>44810.916790988493</v>
      </c>
      <c r="H730" s="32">
        <f>IF(Result_notebook_retravaill!I730&gt;Result_notebook_retravaill!G730,Result_notebook_retravaill!I730/Result_notebook_retravaill!N730,Result_notebook_retravaill!H730)</f>
        <v>11725.35368790235</v>
      </c>
      <c r="I730" s="32">
        <f>Result_notebook_retravaill!K730</f>
        <v>90117.639018889662</v>
      </c>
      <c r="J730" s="32">
        <f>MIN(G730,Result_notebook_retravaill!I730)</f>
        <v>4973.6819656615726</v>
      </c>
      <c r="K730" s="32">
        <f>IF(Result_notebook_retravaill!I730&gt;Result_notebook_retravaill!G730,0,IF(Result_notebook_retravaill!I730+Result_notebook_retravaill!J730&gt;Result_notebook_retravaill!G730,Result_notebook_retravaill!G730-Result_notebook_retravaill!I730,Result_notebook_retravaill!J730))</f>
        <v>177.8119085834669</v>
      </c>
      <c r="L730" s="32">
        <f>IF(Result_notebook_retravaill!I730&gt;Result_notebook_retravaill!G730,0,IF(Result_notebook_retravaill!I730+Result_notebook_retravaill!J730&gt;Result_notebook_retravaill!G730,0,Result_notebook_retravaill!M730))</f>
        <v>39659.422916743453</v>
      </c>
      <c r="M730" s="31">
        <f t="shared" si="11"/>
        <v>0</v>
      </c>
    </row>
    <row r="731" spans="1:13" x14ac:dyDescent="0.35">
      <c r="A731">
        <f>Result_notebook_retravaill!A731</f>
        <v>2033</v>
      </c>
      <c r="B731" t="str">
        <f>Result_notebook_retravaill!B731</f>
        <v>Cobalt</v>
      </c>
      <c r="C731" t="str">
        <f>Result_notebook_retravaill!C731</f>
        <v>Current Measures</v>
      </c>
      <c r="D731" t="str">
        <f>Result_notebook_retravaill!D731</f>
        <v>Production potential</v>
      </c>
      <c r="E731" t="str">
        <f>Result_notebook_retravaill!E731</f>
        <v>100% CAN</v>
      </c>
      <c r="F731" t="str">
        <f>Result_notebook_retravaill!F731</f>
        <v>Integrated</v>
      </c>
      <c r="G731">
        <f>Result_notebook_retravaill!G731</f>
        <v>44810.916790988493</v>
      </c>
      <c r="H731" s="32">
        <f>IF(Result_notebook_retravaill!I731&gt;Result_notebook_retravaill!G731,Result_notebook_retravaill!I731/Result_notebook_retravaill!N731,Result_notebook_retravaill!H731)</f>
        <v>11725.35368790235</v>
      </c>
      <c r="I731" s="32">
        <f>Result_notebook_retravaill!K731</f>
        <v>90117.639018889662</v>
      </c>
      <c r="J731" s="32">
        <f>MIN(G731,Result_notebook_retravaill!I731)</f>
        <v>5151.4938742450449</v>
      </c>
      <c r="K731" s="32">
        <f>IF(Result_notebook_retravaill!I731&gt;Result_notebook_retravaill!G731,0,IF(Result_notebook_retravaill!I731+Result_notebook_retravaill!J731&gt;Result_notebook_retravaill!G731,Result_notebook_retravaill!G731-Result_notebook_retravaill!I731,Result_notebook_retravaill!J731))</f>
        <v>0</v>
      </c>
      <c r="L731" s="32">
        <f>IF(Result_notebook_retravaill!I731&gt;Result_notebook_retravaill!G731,0,IF(Result_notebook_retravaill!I731+Result_notebook_retravaill!J731&gt;Result_notebook_retravaill!G731,0,Result_notebook_retravaill!M731))</f>
        <v>39659.422916743453</v>
      </c>
      <c r="M731" s="31">
        <f t="shared" si="11"/>
        <v>0</v>
      </c>
    </row>
    <row r="732" spans="1:13" x14ac:dyDescent="0.35">
      <c r="A732">
        <f>Result_notebook_retravaill!A732</f>
        <v>2033</v>
      </c>
      <c r="B732" t="str">
        <f>Result_notebook_retravaill!B732</f>
        <v>Cobalt</v>
      </c>
      <c r="C732" t="str">
        <f>Result_notebook_retravaill!C732</f>
        <v>Global Net-zero</v>
      </c>
      <c r="D732" t="str">
        <f>Result_notebook_retravaill!D732</f>
        <v>Existing production</v>
      </c>
      <c r="E732" t="str">
        <f>Result_notebook_retravaill!E732</f>
        <v>Current shares</v>
      </c>
      <c r="F732" t="str">
        <f>Result_notebook_retravaill!F732</f>
        <v>NIMBY</v>
      </c>
      <c r="G732">
        <f>Result_notebook_retravaill!G732</f>
        <v>106145.67716186729</v>
      </c>
      <c r="H732" s="32">
        <f>IF(Result_notebook_retravaill!I732&gt;Result_notebook_retravaill!G732,Result_notebook_retravaill!I732/Result_notebook_retravaill!N732,Result_notebook_retravaill!H732)</f>
        <v>0</v>
      </c>
      <c r="I732" s="32">
        <f>Result_notebook_retravaill!K732</f>
        <v>241240.17536788021</v>
      </c>
      <c r="J732" s="32">
        <f>MIN(G732,Result_notebook_retravaill!I732)</f>
        <v>0</v>
      </c>
      <c r="K732" s="32">
        <f>IF(Result_notebook_retravaill!I732&gt;Result_notebook_retravaill!G732,0,IF(Result_notebook_retravaill!I732+Result_notebook_retravaill!J732&gt;Result_notebook_retravaill!G732,Result_notebook_retravaill!G732-Result_notebook_retravaill!I732,Result_notebook_retravaill!J732))</f>
        <v>0</v>
      </c>
      <c r="L732" s="32">
        <f>IF(Result_notebook_retravaill!I732&gt;Result_notebook_retravaill!G732,0,IF(Result_notebook_retravaill!I732+Result_notebook_retravaill!J732&gt;Result_notebook_retravaill!G732,0,Result_notebook_retravaill!M732))</f>
        <v>106145.67716186729</v>
      </c>
      <c r="M732" s="31">
        <f t="shared" si="11"/>
        <v>0</v>
      </c>
    </row>
    <row r="733" spans="1:13" x14ac:dyDescent="0.35">
      <c r="A733">
        <f>Result_notebook_retravaill!A733</f>
        <v>2033</v>
      </c>
      <c r="B733" t="str">
        <f>Result_notebook_retravaill!B733</f>
        <v>Cobalt</v>
      </c>
      <c r="C733" t="str">
        <f>Result_notebook_retravaill!C733</f>
        <v>Global Net-zero</v>
      </c>
      <c r="D733" t="str">
        <f>Result_notebook_retravaill!D733</f>
        <v>Existing production</v>
      </c>
      <c r="E733" t="str">
        <f>Result_notebook_retravaill!E733</f>
        <v>Current shares</v>
      </c>
      <c r="F733" t="str">
        <f>Result_notebook_retravaill!F733</f>
        <v>Status Quo</v>
      </c>
      <c r="G733">
        <f>Result_notebook_retravaill!G733</f>
        <v>106145.67716186729</v>
      </c>
      <c r="H733" s="32">
        <f>IF(Result_notebook_retravaill!I733&gt;Result_notebook_retravaill!G733,Result_notebook_retravaill!I733/Result_notebook_retravaill!N733,Result_notebook_retravaill!H733)</f>
        <v>3079</v>
      </c>
      <c r="I733" s="32">
        <f>Result_notebook_retravaill!K733</f>
        <v>238161.17536788021</v>
      </c>
      <c r="J733" s="32">
        <f>MIN(G733,Result_notebook_retravaill!I733)</f>
        <v>1306.05584956232</v>
      </c>
      <c r="K733" s="32">
        <f>IF(Result_notebook_retravaill!I733&gt;Result_notebook_retravaill!G733,0,IF(Result_notebook_retravaill!I733+Result_notebook_retravaill!J733&gt;Result_notebook_retravaill!G733,Result_notebook_retravaill!G733-Result_notebook_retravaill!I733,Result_notebook_retravaill!J733))</f>
        <v>46.692226187885353</v>
      </c>
      <c r="L733" s="32">
        <f>IF(Result_notebook_retravaill!I733&gt;Result_notebook_retravaill!G733,0,IF(Result_notebook_retravaill!I733+Result_notebook_retravaill!J733&gt;Result_notebook_retravaill!G733,0,Result_notebook_retravaill!M733))</f>
        <v>104792.92908611712</v>
      </c>
      <c r="M733" s="31">
        <f t="shared" si="11"/>
        <v>0</v>
      </c>
    </row>
    <row r="734" spans="1:13" x14ac:dyDescent="0.35">
      <c r="A734">
        <f>Result_notebook_retravaill!A734</f>
        <v>2033</v>
      </c>
      <c r="B734" t="str">
        <f>Result_notebook_retravaill!B734</f>
        <v>Cobalt</v>
      </c>
      <c r="C734" t="str">
        <f>Result_notebook_retravaill!C734</f>
        <v>Global Net-zero</v>
      </c>
      <c r="D734" t="str">
        <f>Result_notebook_retravaill!D734</f>
        <v>Production potential</v>
      </c>
      <c r="E734" t="str">
        <f>Result_notebook_retravaill!E734</f>
        <v>Current shares</v>
      </c>
      <c r="F734" t="str">
        <f>Result_notebook_retravaill!F734</f>
        <v>Expansion Extractive</v>
      </c>
      <c r="G734">
        <f>Result_notebook_retravaill!G734</f>
        <v>106145.67716186729</v>
      </c>
      <c r="H734" s="32">
        <f>IF(Result_notebook_retravaill!I734&gt;Result_notebook_retravaill!G734,Result_notebook_retravaill!I734/Result_notebook_retravaill!N734,Result_notebook_retravaill!H734)</f>
        <v>11725.35368790235</v>
      </c>
      <c r="I734" s="32">
        <f>Result_notebook_retravaill!K734</f>
        <v>229514.82167997779</v>
      </c>
      <c r="J734" s="32">
        <f>MIN(G734,Result_notebook_retravaill!I734)</f>
        <v>4973.6819656615726</v>
      </c>
      <c r="K734" s="32">
        <f>IF(Result_notebook_retravaill!I734&gt;Result_notebook_retravaill!G734,0,IF(Result_notebook_retravaill!I734+Result_notebook_retravaill!J734&gt;Result_notebook_retravaill!G734,Result_notebook_retravaill!G734-Result_notebook_retravaill!I734,Result_notebook_retravaill!J734))</f>
        <v>177.8119085834669</v>
      </c>
      <c r="L734" s="32">
        <f>IF(Result_notebook_retravaill!I734&gt;Result_notebook_retravaill!G734,0,IF(Result_notebook_retravaill!I734+Result_notebook_retravaill!J734&gt;Result_notebook_retravaill!G734,0,Result_notebook_retravaill!M734))</f>
        <v>100994.18328762223</v>
      </c>
      <c r="M734" s="31">
        <f t="shared" si="11"/>
        <v>0</v>
      </c>
    </row>
    <row r="735" spans="1:13" x14ac:dyDescent="0.35">
      <c r="A735">
        <f>Result_notebook_retravaill!A735</f>
        <v>2033</v>
      </c>
      <c r="B735" t="str">
        <f>Result_notebook_retravaill!B735</f>
        <v>Cobalt</v>
      </c>
      <c r="C735" t="str">
        <f>Result_notebook_retravaill!C735</f>
        <v>Global Net-zero</v>
      </c>
      <c r="D735" t="str">
        <f>Result_notebook_retravaill!D735</f>
        <v>Production potential</v>
      </c>
      <c r="E735" t="str">
        <f>Result_notebook_retravaill!E735</f>
        <v>Current shares</v>
      </c>
      <c r="F735" t="str">
        <f>Result_notebook_retravaill!F735</f>
        <v>Expansion Extractive+Circularity</v>
      </c>
      <c r="G735">
        <f>Result_notebook_retravaill!G735</f>
        <v>106145.67716186729</v>
      </c>
      <c r="H735" s="32">
        <f>IF(Result_notebook_retravaill!I735&gt;Result_notebook_retravaill!G735,Result_notebook_retravaill!I735/Result_notebook_retravaill!N735,Result_notebook_retravaill!H735)</f>
        <v>11725.35368790235</v>
      </c>
      <c r="I735" s="32">
        <f>Result_notebook_retravaill!K735</f>
        <v>229514.82167997779</v>
      </c>
      <c r="J735" s="32">
        <f>MIN(G735,Result_notebook_retravaill!I735)</f>
        <v>4973.6819656615726</v>
      </c>
      <c r="K735" s="32">
        <f>IF(Result_notebook_retravaill!I735&gt;Result_notebook_retravaill!G735,0,IF(Result_notebook_retravaill!I735+Result_notebook_retravaill!J735&gt;Result_notebook_retravaill!G735,Result_notebook_retravaill!G735-Result_notebook_retravaill!I735,Result_notebook_retravaill!J735))</f>
        <v>177.8119085834669</v>
      </c>
      <c r="L735" s="32">
        <f>IF(Result_notebook_retravaill!I735&gt;Result_notebook_retravaill!G735,0,IF(Result_notebook_retravaill!I735+Result_notebook_retravaill!J735&gt;Result_notebook_retravaill!G735,0,Result_notebook_retravaill!M735))</f>
        <v>100994.18328762223</v>
      </c>
      <c r="M735" s="31">
        <f t="shared" si="11"/>
        <v>0</v>
      </c>
    </row>
    <row r="736" spans="1:13" x14ac:dyDescent="0.35">
      <c r="A736">
        <f>Result_notebook_retravaill!A736</f>
        <v>2033</v>
      </c>
      <c r="B736" t="str">
        <f>Result_notebook_retravaill!B736</f>
        <v>Cobalt</v>
      </c>
      <c r="C736" t="str">
        <f>Result_notebook_retravaill!C736</f>
        <v>Global Net-zero</v>
      </c>
      <c r="D736" t="str">
        <f>Result_notebook_retravaill!D736</f>
        <v>Production potential</v>
      </c>
      <c r="E736" t="str">
        <f>Result_notebook_retravaill!E736</f>
        <v>100% CAN</v>
      </c>
      <c r="F736" t="str">
        <f>Result_notebook_retravaill!F736</f>
        <v>Integrated</v>
      </c>
      <c r="G736">
        <f>Result_notebook_retravaill!G736</f>
        <v>106145.67716186729</v>
      </c>
      <c r="H736" s="32">
        <f>IF(Result_notebook_retravaill!I736&gt;Result_notebook_retravaill!G736,Result_notebook_retravaill!I736/Result_notebook_retravaill!N736,Result_notebook_retravaill!H736)</f>
        <v>11725.35368790235</v>
      </c>
      <c r="I736" s="32">
        <f>Result_notebook_retravaill!K736</f>
        <v>229514.82167997779</v>
      </c>
      <c r="J736" s="32">
        <f>MIN(G736,Result_notebook_retravaill!I736)</f>
        <v>5151.4938742450449</v>
      </c>
      <c r="K736" s="32">
        <f>IF(Result_notebook_retravaill!I736&gt;Result_notebook_retravaill!G736,0,IF(Result_notebook_retravaill!I736+Result_notebook_retravaill!J736&gt;Result_notebook_retravaill!G736,Result_notebook_retravaill!G736-Result_notebook_retravaill!I736,Result_notebook_retravaill!J736))</f>
        <v>0</v>
      </c>
      <c r="L736" s="32">
        <f>IF(Result_notebook_retravaill!I736&gt;Result_notebook_retravaill!G736,0,IF(Result_notebook_retravaill!I736+Result_notebook_retravaill!J736&gt;Result_notebook_retravaill!G736,0,Result_notebook_retravaill!M736))</f>
        <v>100994.1832876222</v>
      </c>
      <c r="M736" s="31">
        <f t="shared" si="11"/>
        <v>0</v>
      </c>
    </row>
    <row r="737" spans="1:13" x14ac:dyDescent="0.35">
      <c r="A737">
        <f>Result_notebook_retravaill!A737</f>
        <v>2033</v>
      </c>
      <c r="B737" t="str">
        <f>Result_notebook_retravaill!B737</f>
        <v>Copper</v>
      </c>
      <c r="C737" t="str">
        <f>Result_notebook_retravaill!C737</f>
        <v>Canada Net-zero</v>
      </c>
      <c r="D737" t="str">
        <f>Result_notebook_retravaill!D737</f>
        <v>Existing production</v>
      </c>
      <c r="E737" t="str">
        <f>Result_notebook_retravaill!E737</f>
        <v>Current shares</v>
      </c>
      <c r="F737" t="str">
        <f>Result_notebook_retravaill!F737</f>
        <v>NIMBY</v>
      </c>
      <c r="G737">
        <f>Result_notebook_retravaill!G737</f>
        <v>1239302.9775620999</v>
      </c>
      <c r="H737" s="32">
        <f>IF(Result_notebook_retravaill!I737&gt;Result_notebook_retravaill!G737,Result_notebook_retravaill!I737/Result_notebook_retravaill!N737,Result_notebook_retravaill!H737)</f>
        <v>0</v>
      </c>
      <c r="I737" s="32">
        <f>Result_notebook_retravaill!K737</f>
        <v>1493136.117544699</v>
      </c>
      <c r="J737" s="32">
        <f>MIN(G737,Result_notebook_retravaill!I737)</f>
        <v>0</v>
      </c>
      <c r="K737" s="32">
        <f>IF(Result_notebook_retravaill!I737&gt;Result_notebook_retravaill!G737,0,IF(Result_notebook_retravaill!I737+Result_notebook_retravaill!J737&gt;Result_notebook_retravaill!G737,Result_notebook_retravaill!G737-Result_notebook_retravaill!I737,Result_notebook_retravaill!J737))</f>
        <v>0</v>
      </c>
      <c r="L737" s="32">
        <f>IF(Result_notebook_retravaill!I737&gt;Result_notebook_retravaill!G737,0,IF(Result_notebook_retravaill!I737+Result_notebook_retravaill!J737&gt;Result_notebook_retravaill!G737,0,Result_notebook_retravaill!M737))</f>
        <v>1239302.9775620999</v>
      </c>
      <c r="M737" s="31">
        <f t="shared" si="11"/>
        <v>0</v>
      </c>
    </row>
    <row r="738" spans="1:13" x14ac:dyDescent="0.35">
      <c r="A738">
        <f>Result_notebook_retravaill!A738</f>
        <v>2033</v>
      </c>
      <c r="B738" t="str">
        <f>Result_notebook_retravaill!B738</f>
        <v>Copper</v>
      </c>
      <c r="C738" t="str">
        <f>Result_notebook_retravaill!C738</f>
        <v>Canada Net-zero</v>
      </c>
      <c r="D738" t="str">
        <f>Result_notebook_retravaill!D738</f>
        <v>Existing production</v>
      </c>
      <c r="E738" t="str">
        <f>Result_notebook_retravaill!E738</f>
        <v>Current shares</v>
      </c>
      <c r="F738" t="str">
        <f>Result_notebook_retravaill!F738</f>
        <v>Status Quo</v>
      </c>
      <c r="G738">
        <f>Result_notebook_retravaill!G738</f>
        <v>1239302.9775620999</v>
      </c>
      <c r="H738" s="32">
        <f>IF(Result_notebook_retravaill!I738&gt;Result_notebook_retravaill!G738,Result_notebook_retravaill!I738/Result_notebook_retravaill!N738,Result_notebook_retravaill!H738)</f>
        <v>276878</v>
      </c>
      <c r="I738" s="32">
        <f>Result_notebook_retravaill!K738</f>
        <v>1216258.117544699</v>
      </c>
      <c r="J738" s="32">
        <f>MIN(G738,Result_notebook_retravaill!I738)</f>
        <v>145529.48217270081</v>
      </c>
      <c r="K738" s="32">
        <f>IF(Result_notebook_retravaill!I738&gt;Result_notebook_retravaill!G738,0,IF(Result_notebook_retravaill!I738+Result_notebook_retravaill!J738&gt;Result_notebook_retravaill!G738,Result_notebook_retravaill!G738-Result_notebook_retravaill!I738,Result_notebook_retravaill!J738))</f>
        <v>85593.255115434673</v>
      </c>
      <c r="L738" s="32">
        <f>IF(Result_notebook_retravaill!I738&gt;Result_notebook_retravaill!G738,0,IF(Result_notebook_retravaill!I738+Result_notebook_retravaill!J738&gt;Result_notebook_retravaill!G738,0,Result_notebook_retravaill!M738))</f>
        <v>1008180.2402739642</v>
      </c>
      <c r="M738" s="31">
        <f t="shared" si="11"/>
        <v>0</v>
      </c>
    </row>
    <row r="739" spans="1:13" x14ac:dyDescent="0.35">
      <c r="A739">
        <f>Result_notebook_retravaill!A739</f>
        <v>2033</v>
      </c>
      <c r="B739" t="str">
        <f>Result_notebook_retravaill!B739</f>
        <v>Copper</v>
      </c>
      <c r="C739" t="str">
        <f>Result_notebook_retravaill!C739</f>
        <v>Canada Net-zero</v>
      </c>
      <c r="D739" t="str">
        <f>Result_notebook_retravaill!D739</f>
        <v>Production potential</v>
      </c>
      <c r="E739" t="str">
        <f>Result_notebook_retravaill!E739</f>
        <v>Current shares</v>
      </c>
      <c r="F739" t="str">
        <f>Result_notebook_retravaill!F739</f>
        <v>Expansion Extractive</v>
      </c>
      <c r="G739">
        <f>Result_notebook_retravaill!G739</f>
        <v>1239302.9775620999</v>
      </c>
      <c r="H739" s="32">
        <f>IF(Result_notebook_retravaill!I739&gt;Result_notebook_retravaill!G739,Result_notebook_retravaill!I739/Result_notebook_retravaill!N739,Result_notebook_retravaill!H739)</f>
        <v>797055.2750032586</v>
      </c>
      <c r="I739" s="32">
        <f>Result_notebook_retravaill!K739</f>
        <v>696080.84254144016</v>
      </c>
      <c r="J739" s="32">
        <f>MIN(G739,Result_notebook_retravaill!I739)</f>
        <v>418939.17694523872</v>
      </c>
      <c r="K739" s="32">
        <f>IF(Result_notebook_retravaill!I739&gt;Result_notebook_retravaill!G739,0,IF(Result_notebook_retravaill!I739+Result_notebook_retravaill!J739&gt;Result_notebook_retravaill!G739,Result_notebook_retravaill!G739-Result_notebook_retravaill!I739,Result_notebook_retravaill!J739))</f>
        <v>246399.33651087084</v>
      </c>
      <c r="L739" s="32">
        <f>IF(Result_notebook_retravaill!I739&gt;Result_notebook_retravaill!G739,0,IF(Result_notebook_retravaill!I739+Result_notebook_retravaill!J739&gt;Result_notebook_retravaill!G739,0,Result_notebook_retravaill!M739))</f>
        <v>573964.46410599037</v>
      </c>
      <c r="M739" s="31">
        <f t="shared" si="11"/>
        <v>0</v>
      </c>
    </row>
    <row r="740" spans="1:13" x14ac:dyDescent="0.35">
      <c r="A740">
        <f>Result_notebook_retravaill!A740</f>
        <v>2033</v>
      </c>
      <c r="B740" t="str">
        <f>Result_notebook_retravaill!B740</f>
        <v>Copper</v>
      </c>
      <c r="C740" t="str">
        <f>Result_notebook_retravaill!C740</f>
        <v>Canada Net-zero</v>
      </c>
      <c r="D740" t="str">
        <f>Result_notebook_retravaill!D740</f>
        <v>Production potential</v>
      </c>
      <c r="E740" t="str">
        <f>Result_notebook_retravaill!E740</f>
        <v>Current shares</v>
      </c>
      <c r="F740" t="str">
        <f>Result_notebook_retravaill!F740</f>
        <v>Expansion Extractive+Circularity</v>
      </c>
      <c r="G740">
        <f>Result_notebook_retravaill!G740</f>
        <v>1239302.9775620999</v>
      </c>
      <c r="H740" s="32">
        <f>IF(Result_notebook_retravaill!I740&gt;Result_notebook_retravaill!G740,Result_notebook_retravaill!I740/Result_notebook_retravaill!N740,Result_notebook_retravaill!H740)</f>
        <v>797055.2750032586</v>
      </c>
      <c r="I740" s="32">
        <f>Result_notebook_retravaill!K740</f>
        <v>696080.84254144016</v>
      </c>
      <c r="J740" s="32">
        <f>MIN(G740,Result_notebook_retravaill!I740)</f>
        <v>418939.17694523872</v>
      </c>
      <c r="K740" s="32">
        <f>IF(Result_notebook_retravaill!I740&gt;Result_notebook_retravaill!G740,0,IF(Result_notebook_retravaill!I740+Result_notebook_retravaill!J740&gt;Result_notebook_retravaill!G740,Result_notebook_retravaill!G740-Result_notebook_retravaill!I740,Result_notebook_retravaill!J740))</f>
        <v>246399.33651087084</v>
      </c>
      <c r="L740" s="32">
        <f>IF(Result_notebook_retravaill!I740&gt;Result_notebook_retravaill!G740,0,IF(Result_notebook_retravaill!I740+Result_notebook_retravaill!J740&gt;Result_notebook_retravaill!G740,0,Result_notebook_retravaill!M740))</f>
        <v>573964.46410599037</v>
      </c>
      <c r="M740" s="31">
        <f t="shared" si="11"/>
        <v>0</v>
      </c>
    </row>
    <row r="741" spans="1:13" x14ac:dyDescent="0.35">
      <c r="A741">
        <f>Result_notebook_retravaill!A741</f>
        <v>2033</v>
      </c>
      <c r="B741" t="str">
        <f>Result_notebook_retravaill!B741</f>
        <v>Copper</v>
      </c>
      <c r="C741" t="str">
        <f>Result_notebook_retravaill!C741</f>
        <v>Canada Net-zero</v>
      </c>
      <c r="D741" t="str">
        <f>Result_notebook_retravaill!D741</f>
        <v>Production potential</v>
      </c>
      <c r="E741" t="str">
        <f>Result_notebook_retravaill!E741</f>
        <v>100% CAN</v>
      </c>
      <c r="F741" t="str">
        <f>Result_notebook_retravaill!F741</f>
        <v>Integrated</v>
      </c>
      <c r="G741">
        <f>Result_notebook_retravaill!G741</f>
        <v>1239302.9775620999</v>
      </c>
      <c r="H741" s="32">
        <f>IF(Result_notebook_retravaill!I741&gt;Result_notebook_retravaill!G741,Result_notebook_retravaill!I741/Result_notebook_retravaill!N741,Result_notebook_retravaill!H741)</f>
        <v>797055.2750032586</v>
      </c>
      <c r="I741" s="32">
        <f>Result_notebook_retravaill!K741</f>
        <v>696080.84254144016</v>
      </c>
      <c r="J741" s="32">
        <f>MIN(G741,Result_notebook_retravaill!I741)</f>
        <v>665338.51345610991</v>
      </c>
      <c r="K741" s="32">
        <f>IF(Result_notebook_retravaill!I741&gt;Result_notebook_retravaill!G741,0,IF(Result_notebook_retravaill!I741+Result_notebook_retravaill!J741&gt;Result_notebook_retravaill!G741,Result_notebook_retravaill!G741-Result_notebook_retravaill!I741,Result_notebook_retravaill!J741))</f>
        <v>0</v>
      </c>
      <c r="L741" s="32">
        <f>IF(Result_notebook_retravaill!I741&gt;Result_notebook_retravaill!G741,0,IF(Result_notebook_retravaill!I741+Result_notebook_retravaill!J741&gt;Result_notebook_retravaill!G741,0,Result_notebook_retravaill!M741))</f>
        <v>573964.46410599002</v>
      </c>
      <c r="M741" s="31">
        <f t="shared" si="11"/>
        <v>0</v>
      </c>
    </row>
    <row r="742" spans="1:13" x14ac:dyDescent="0.35">
      <c r="A742">
        <f>Result_notebook_retravaill!A742</f>
        <v>2033</v>
      </c>
      <c r="B742" t="str">
        <f>Result_notebook_retravaill!B742</f>
        <v>Copper</v>
      </c>
      <c r="C742" t="str">
        <f>Result_notebook_retravaill!C742</f>
        <v>Current Measures</v>
      </c>
      <c r="D742" t="str">
        <f>Result_notebook_retravaill!D742</f>
        <v>Existing production</v>
      </c>
      <c r="E742" t="str">
        <f>Result_notebook_retravaill!E742</f>
        <v>Current shares</v>
      </c>
      <c r="F742" t="str">
        <f>Result_notebook_retravaill!F742</f>
        <v>NIMBY</v>
      </c>
      <c r="G742">
        <f>Result_notebook_retravaill!G742</f>
        <v>1017419.138443246</v>
      </c>
      <c r="H742" s="32">
        <f>IF(Result_notebook_retravaill!I742&gt;Result_notebook_retravaill!G742,Result_notebook_retravaill!I742/Result_notebook_retravaill!N742,Result_notebook_retravaill!H742)</f>
        <v>0</v>
      </c>
      <c r="I742" s="32">
        <f>Result_notebook_retravaill!K742</f>
        <v>1225806.1908954771</v>
      </c>
      <c r="J742" s="32">
        <f>MIN(G742,Result_notebook_retravaill!I742)</f>
        <v>0</v>
      </c>
      <c r="K742" s="32">
        <f>IF(Result_notebook_retravaill!I742&gt;Result_notebook_retravaill!G742,0,IF(Result_notebook_retravaill!I742+Result_notebook_retravaill!J742&gt;Result_notebook_retravaill!G742,Result_notebook_retravaill!G742-Result_notebook_retravaill!I742,Result_notebook_retravaill!J742))</f>
        <v>0</v>
      </c>
      <c r="L742" s="32">
        <f>IF(Result_notebook_retravaill!I742&gt;Result_notebook_retravaill!G742,0,IF(Result_notebook_retravaill!I742+Result_notebook_retravaill!J742&gt;Result_notebook_retravaill!G742,0,Result_notebook_retravaill!M742))</f>
        <v>1017419.138443246</v>
      </c>
      <c r="M742" s="31">
        <f t="shared" si="11"/>
        <v>0</v>
      </c>
    </row>
    <row r="743" spans="1:13" x14ac:dyDescent="0.35">
      <c r="A743">
        <f>Result_notebook_retravaill!A743</f>
        <v>2033</v>
      </c>
      <c r="B743" t="str">
        <f>Result_notebook_retravaill!B743</f>
        <v>Copper</v>
      </c>
      <c r="C743" t="str">
        <f>Result_notebook_retravaill!C743</f>
        <v>Current Measures</v>
      </c>
      <c r="D743" t="str">
        <f>Result_notebook_retravaill!D743</f>
        <v>Existing production</v>
      </c>
      <c r="E743" t="str">
        <f>Result_notebook_retravaill!E743</f>
        <v>Current shares</v>
      </c>
      <c r="F743" t="str">
        <f>Result_notebook_retravaill!F743</f>
        <v>Status Quo</v>
      </c>
      <c r="G743">
        <f>Result_notebook_retravaill!G743</f>
        <v>1017419.138443246</v>
      </c>
      <c r="H743" s="32">
        <f>IF(Result_notebook_retravaill!I743&gt;Result_notebook_retravaill!G743,Result_notebook_retravaill!I743/Result_notebook_retravaill!N743,Result_notebook_retravaill!H743)</f>
        <v>276878</v>
      </c>
      <c r="I743" s="32">
        <f>Result_notebook_retravaill!K743</f>
        <v>948928.19089547708</v>
      </c>
      <c r="J743" s="32">
        <f>MIN(G743,Result_notebook_retravaill!I743)</f>
        <v>145529.48217270081</v>
      </c>
      <c r="K743" s="32">
        <f>IF(Result_notebook_retravaill!I743&gt;Result_notebook_retravaill!G743,0,IF(Result_notebook_retravaill!I743+Result_notebook_retravaill!J743&gt;Result_notebook_retravaill!G743,Result_notebook_retravaill!G743-Result_notebook_retravaill!I743,Result_notebook_retravaill!J743))</f>
        <v>85593.255115434673</v>
      </c>
      <c r="L743" s="32">
        <f>IF(Result_notebook_retravaill!I743&gt;Result_notebook_retravaill!G743,0,IF(Result_notebook_retravaill!I743+Result_notebook_retravaill!J743&gt;Result_notebook_retravaill!G743,0,Result_notebook_retravaill!M743))</f>
        <v>786296.40115511057</v>
      </c>
      <c r="M743" s="31">
        <f t="shared" si="11"/>
        <v>0</v>
      </c>
    </row>
    <row r="744" spans="1:13" x14ac:dyDescent="0.35">
      <c r="A744">
        <f>Result_notebook_retravaill!A744</f>
        <v>2033</v>
      </c>
      <c r="B744" t="str">
        <f>Result_notebook_retravaill!B744</f>
        <v>Copper</v>
      </c>
      <c r="C744" t="str">
        <f>Result_notebook_retravaill!C744</f>
        <v>Current Measures</v>
      </c>
      <c r="D744" t="str">
        <f>Result_notebook_retravaill!D744</f>
        <v>Production potential</v>
      </c>
      <c r="E744" t="str">
        <f>Result_notebook_retravaill!E744</f>
        <v>Current shares</v>
      </c>
      <c r="F744" t="str">
        <f>Result_notebook_retravaill!F744</f>
        <v>Expansion Extractive</v>
      </c>
      <c r="G744">
        <f>Result_notebook_retravaill!G744</f>
        <v>1017419.138443246</v>
      </c>
      <c r="H744" s="32">
        <f>IF(Result_notebook_retravaill!I744&gt;Result_notebook_retravaill!G744,Result_notebook_retravaill!I744/Result_notebook_retravaill!N744,Result_notebook_retravaill!H744)</f>
        <v>797055.2750032586</v>
      </c>
      <c r="I744" s="32">
        <f>Result_notebook_retravaill!K744</f>
        <v>428750.91589221847</v>
      </c>
      <c r="J744" s="32">
        <f>MIN(G744,Result_notebook_retravaill!I744)</f>
        <v>418939.17694523872</v>
      </c>
      <c r="K744" s="32">
        <f>IF(Result_notebook_retravaill!I744&gt;Result_notebook_retravaill!G744,0,IF(Result_notebook_retravaill!I744+Result_notebook_retravaill!J744&gt;Result_notebook_retravaill!G744,Result_notebook_retravaill!G744-Result_notebook_retravaill!I744,Result_notebook_retravaill!J744))</f>
        <v>246399.33651087084</v>
      </c>
      <c r="L744" s="32">
        <f>IF(Result_notebook_retravaill!I744&gt;Result_notebook_retravaill!G744,0,IF(Result_notebook_retravaill!I744+Result_notebook_retravaill!J744&gt;Result_notebook_retravaill!G744,0,Result_notebook_retravaill!M744))</f>
        <v>352080.62498713646</v>
      </c>
      <c r="M744" s="31">
        <f t="shared" si="11"/>
        <v>0</v>
      </c>
    </row>
    <row r="745" spans="1:13" x14ac:dyDescent="0.35">
      <c r="A745">
        <f>Result_notebook_retravaill!A745</f>
        <v>2033</v>
      </c>
      <c r="B745" t="str">
        <f>Result_notebook_retravaill!B745</f>
        <v>Copper</v>
      </c>
      <c r="C745" t="str">
        <f>Result_notebook_retravaill!C745</f>
        <v>Current Measures</v>
      </c>
      <c r="D745" t="str">
        <f>Result_notebook_retravaill!D745</f>
        <v>Production potential</v>
      </c>
      <c r="E745" t="str">
        <f>Result_notebook_retravaill!E745</f>
        <v>Current shares</v>
      </c>
      <c r="F745" t="str">
        <f>Result_notebook_retravaill!F745</f>
        <v>Expansion Extractive+Circularity</v>
      </c>
      <c r="G745">
        <f>Result_notebook_retravaill!G745</f>
        <v>1017419.138443246</v>
      </c>
      <c r="H745" s="32">
        <f>IF(Result_notebook_retravaill!I745&gt;Result_notebook_retravaill!G745,Result_notebook_retravaill!I745/Result_notebook_retravaill!N745,Result_notebook_retravaill!H745)</f>
        <v>797055.2750032586</v>
      </c>
      <c r="I745" s="32">
        <f>Result_notebook_retravaill!K745</f>
        <v>428750.91589221847</v>
      </c>
      <c r="J745" s="32">
        <f>MIN(G745,Result_notebook_retravaill!I745)</f>
        <v>418939.17694523872</v>
      </c>
      <c r="K745" s="32">
        <f>IF(Result_notebook_retravaill!I745&gt;Result_notebook_retravaill!G745,0,IF(Result_notebook_retravaill!I745+Result_notebook_retravaill!J745&gt;Result_notebook_retravaill!G745,Result_notebook_retravaill!G745-Result_notebook_retravaill!I745,Result_notebook_retravaill!J745))</f>
        <v>246399.33651087084</v>
      </c>
      <c r="L745" s="32">
        <f>IF(Result_notebook_retravaill!I745&gt;Result_notebook_retravaill!G745,0,IF(Result_notebook_retravaill!I745+Result_notebook_retravaill!J745&gt;Result_notebook_retravaill!G745,0,Result_notebook_retravaill!M745))</f>
        <v>352080.62498713646</v>
      </c>
      <c r="M745" s="31">
        <f t="shared" si="11"/>
        <v>0</v>
      </c>
    </row>
    <row r="746" spans="1:13" x14ac:dyDescent="0.35">
      <c r="A746">
        <f>Result_notebook_retravaill!A746</f>
        <v>2033</v>
      </c>
      <c r="B746" t="str">
        <f>Result_notebook_retravaill!B746</f>
        <v>Copper</v>
      </c>
      <c r="C746" t="str">
        <f>Result_notebook_retravaill!C746</f>
        <v>Current Measures</v>
      </c>
      <c r="D746" t="str">
        <f>Result_notebook_retravaill!D746</f>
        <v>Production potential</v>
      </c>
      <c r="E746" t="str">
        <f>Result_notebook_retravaill!E746</f>
        <v>100% CAN</v>
      </c>
      <c r="F746" t="str">
        <f>Result_notebook_retravaill!F746</f>
        <v>Integrated</v>
      </c>
      <c r="G746">
        <f>Result_notebook_retravaill!G746</f>
        <v>1017419.138443246</v>
      </c>
      <c r="H746" s="32">
        <f>IF(Result_notebook_retravaill!I746&gt;Result_notebook_retravaill!G746,Result_notebook_retravaill!I746/Result_notebook_retravaill!N746,Result_notebook_retravaill!H746)</f>
        <v>797055.2750032586</v>
      </c>
      <c r="I746" s="32">
        <f>Result_notebook_retravaill!K746</f>
        <v>428750.91589221847</v>
      </c>
      <c r="J746" s="32">
        <f>MIN(G746,Result_notebook_retravaill!I746)</f>
        <v>665338.51345610991</v>
      </c>
      <c r="K746" s="32">
        <f>IF(Result_notebook_retravaill!I746&gt;Result_notebook_retravaill!G746,0,IF(Result_notebook_retravaill!I746+Result_notebook_retravaill!J746&gt;Result_notebook_retravaill!G746,Result_notebook_retravaill!G746-Result_notebook_retravaill!I746,Result_notebook_retravaill!J746))</f>
        <v>0</v>
      </c>
      <c r="L746" s="32">
        <f>IF(Result_notebook_retravaill!I746&gt;Result_notebook_retravaill!G746,0,IF(Result_notebook_retravaill!I746+Result_notebook_retravaill!J746&gt;Result_notebook_retravaill!G746,0,Result_notebook_retravaill!M746))</f>
        <v>352080.62498713611</v>
      </c>
      <c r="M746" s="31">
        <f t="shared" si="11"/>
        <v>0</v>
      </c>
    </row>
    <row r="747" spans="1:13" x14ac:dyDescent="0.35">
      <c r="A747">
        <f>Result_notebook_retravaill!A747</f>
        <v>2033</v>
      </c>
      <c r="B747" t="str">
        <f>Result_notebook_retravaill!B747</f>
        <v>Copper</v>
      </c>
      <c r="C747" t="str">
        <f>Result_notebook_retravaill!C747</f>
        <v>Global Net-zero</v>
      </c>
      <c r="D747" t="str">
        <f>Result_notebook_retravaill!D747</f>
        <v>Existing production</v>
      </c>
      <c r="E747" t="str">
        <f>Result_notebook_retravaill!E747</f>
        <v>Current shares</v>
      </c>
      <c r="F747" t="str">
        <f>Result_notebook_retravaill!F747</f>
        <v>NIMBY</v>
      </c>
      <c r="G747">
        <f>Result_notebook_retravaill!G747</f>
        <v>1193828.75003416</v>
      </c>
      <c r="H747" s="32">
        <f>IF(Result_notebook_retravaill!I747&gt;Result_notebook_retravaill!G747,Result_notebook_retravaill!I747/Result_notebook_retravaill!N747,Result_notebook_retravaill!H747)</f>
        <v>0</v>
      </c>
      <c r="I747" s="32">
        <f>Result_notebook_retravaill!K747</f>
        <v>1438347.8916074219</v>
      </c>
      <c r="J747" s="32">
        <f>MIN(G747,Result_notebook_retravaill!I747)</f>
        <v>0</v>
      </c>
      <c r="K747" s="32">
        <f>IF(Result_notebook_retravaill!I747&gt;Result_notebook_retravaill!G747,0,IF(Result_notebook_retravaill!I747+Result_notebook_retravaill!J747&gt;Result_notebook_retravaill!G747,Result_notebook_retravaill!G747-Result_notebook_retravaill!I747,Result_notebook_retravaill!J747))</f>
        <v>0</v>
      </c>
      <c r="L747" s="32">
        <f>IF(Result_notebook_retravaill!I747&gt;Result_notebook_retravaill!G747,0,IF(Result_notebook_retravaill!I747+Result_notebook_retravaill!J747&gt;Result_notebook_retravaill!G747,0,Result_notebook_retravaill!M747))</f>
        <v>1193828.75003416</v>
      </c>
      <c r="M747" s="31">
        <f t="shared" si="11"/>
        <v>0</v>
      </c>
    </row>
    <row r="748" spans="1:13" x14ac:dyDescent="0.35">
      <c r="A748">
        <f>Result_notebook_retravaill!A748</f>
        <v>2033</v>
      </c>
      <c r="B748" t="str">
        <f>Result_notebook_retravaill!B748</f>
        <v>Copper</v>
      </c>
      <c r="C748" t="str">
        <f>Result_notebook_retravaill!C748</f>
        <v>Global Net-zero</v>
      </c>
      <c r="D748" t="str">
        <f>Result_notebook_retravaill!D748</f>
        <v>Existing production</v>
      </c>
      <c r="E748" t="str">
        <f>Result_notebook_retravaill!E748</f>
        <v>Current shares</v>
      </c>
      <c r="F748" t="str">
        <f>Result_notebook_retravaill!F748</f>
        <v>Status Quo</v>
      </c>
      <c r="G748">
        <f>Result_notebook_retravaill!G748</f>
        <v>1193828.75003416</v>
      </c>
      <c r="H748" s="32">
        <f>IF(Result_notebook_retravaill!I748&gt;Result_notebook_retravaill!G748,Result_notebook_retravaill!I748/Result_notebook_retravaill!N748,Result_notebook_retravaill!H748)</f>
        <v>276878</v>
      </c>
      <c r="I748" s="32">
        <f>Result_notebook_retravaill!K748</f>
        <v>1161469.8916074219</v>
      </c>
      <c r="J748" s="32">
        <f>MIN(G748,Result_notebook_retravaill!I748)</f>
        <v>145529.48217270081</v>
      </c>
      <c r="K748" s="32">
        <f>IF(Result_notebook_retravaill!I748&gt;Result_notebook_retravaill!G748,0,IF(Result_notebook_retravaill!I748+Result_notebook_retravaill!J748&gt;Result_notebook_retravaill!G748,Result_notebook_retravaill!G748-Result_notebook_retravaill!I748,Result_notebook_retravaill!J748))</f>
        <v>85593.255115434673</v>
      </c>
      <c r="L748" s="32">
        <f>IF(Result_notebook_retravaill!I748&gt;Result_notebook_retravaill!G748,0,IF(Result_notebook_retravaill!I748+Result_notebook_retravaill!J748&gt;Result_notebook_retravaill!G748,0,Result_notebook_retravaill!M748))</f>
        <v>962706.01274602441</v>
      </c>
      <c r="M748" s="31">
        <f t="shared" si="11"/>
        <v>0</v>
      </c>
    </row>
    <row r="749" spans="1:13" x14ac:dyDescent="0.35">
      <c r="A749">
        <f>Result_notebook_retravaill!A749</f>
        <v>2033</v>
      </c>
      <c r="B749" t="str">
        <f>Result_notebook_retravaill!B749</f>
        <v>Copper</v>
      </c>
      <c r="C749" t="str">
        <f>Result_notebook_retravaill!C749</f>
        <v>Global Net-zero</v>
      </c>
      <c r="D749" t="str">
        <f>Result_notebook_retravaill!D749</f>
        <v>Production potential</v>
      </c>
      <c r="E749" t="str">
        <f>Result_notebook_retravaill!E749</f>
        <v>Current shares</v>
      </c>
      <c r="F749" t="str">
        <f>Result_notebook_retravaill!F749</f>
        <v>Expansion Extractive</v>
      </c>
      <c r="G749">
        <f>Result_notebook_retravaill!G749</f>
        <v>1193828.75003416</v>
      </c>
      <c r="H749" s="32">
        <f>IF(Result_notebook_retravaill!I749&gt;Result_notebook_retravaill!G749,Result_notebook_retravaill!I749/Result_notebook_retravaill!N749,Result_notebook_retravaill!H749)</f>
        <v>797055.2750032586</v>
      </c>
      <c r="I749" s="32">
        <f>Result_notebook_retravaill!K749</f>
        <v>641292.61660416308</v>
      </c>
      <c r="J749" s="32">
        <f>MIN(G749,Result_notebook_retravaill!I749)</f>
        <v>418939.17694523872</v>
      </c>
      <c r="K749" s="32">
        <f>IF(Result_notebook_retravaill!I749&gt;Result_notebook_retravaill!G749,0,IF(Result_notebook_retravaill!I749+Result_notebook_retravaill!J749&gt;Result_notebook_retravaill!G749,Result_notebook_retravaill!G749-Result_notebook_retravaill!I749,Result_notebook_retravaill!J749))</f>
        <v>246399.33651087084</v>
      </c>
      <c r="L749" s="32">
        <f>IF(Result_notebook_retravaill!I749&gt;Result_notebook_retravaill!G749,0,IF(Result_notebook_retravaill!I749+Result_notebook_retravaill!J749&gt;Result_notebook_retravaill!G749,0,Result_notebook_retravaill!M749))</f>
        <v>528490.23657805042</v>
      </c>
      <c r="M749" s="31">
        <f t="shared" si="11"/>
        <v>0</v>
      </c>
    </row>
    <row r="750" spans="1:13" x14ac:dyDescent="0.35">
      <c r="A750">
        <f>Result_notebook_retravaill!A750</f>
        <v>2033</v>
      </c>
      <c r="B750" t="str">
        <f>Result_notebook_retravaill!B750</f>
        <v>Copper</v>
      </c>
      <c r="C750" t="str">
        <f>Result_notebook_retravaill!C750</f>
        <v>Global Net-zero</v>
      </c>
      <c r="D750" t="str">
        <f>Result_notebook_retravaill!D750</f>
        <v>Production potential</v>
      </c>
      <c r="E750" t="str">
        <f>Result_notebook_retravaill!E750</f>
        <v>Current shares</v>
      </c>
      <c r="F750" t="str">
        <f>Result_notebook_retravaill!F750</f>
        <v>Expansion Extractive+Circularity</v>
      </c>
      <c r="G750">
        <f>Result_notebook_retravaill!G750</f>
        <v>1193828.75003416</v>
      </c>
      <c r="H750" s="32">
        <f>IF(Result_notebook_retravaill!I750&gt;Result_notebook_retravaill!G750,Result_notebook_retravaill!I750/Result_notebook_retravaill!N750,Result_notebook_retravaill!H750)</f>
        <v>797055.2750032586</v>
      </c>
      <c r="I750" s="32">
        <f>Result_notebook_retravaill!K750</f>
        <v>641292.61660416308</v>
      </c>
      <c r="J750" s="32">
        <f>MIN(G750,Result_notebook_retravaill!I750)</f>
        <v>418939.17694523872</v>
      </c>
      <c r="K750" s="32">
        <f>IF(Result_notebook_retravaill!I750&gt;Result_notebook_retravaill!G750,0,IF(Result_notebook_retravaill!I750+Result_notebook_retravaill!J750&gt;Result_notebook_retravaill!G750,Result_notebook_retravaill!G750-Result_notebook_retravaill!I750,Result_notebook_retravaill!J750))</f>
        <v>246399.33651087084</v>
      </c>
      <c r="L750" s="32">
        <f>IF(Result_notebook_retravaill!I750&gt;Result_notebook_retravaill!G750,0,IF(Result_notebook_retravaill!I750+Result_notebook_retravaill!J750&gt;Result_notebook_retravaill!G750,0,Result_notebook_retravaill!M750))</f>
        <v>528490.23657805042</v>
      </c>
      <c r="M750" s="31">
        <f t="shared" si="11"/>
        <v>0</v>
      </c>
    </row>
    <row r="751" spans="1:13" x14ac:dyDescent="0.35">
      <c r="A751">
        <f>Result_notebook_retravaill!A751</f>
        <v>2033</v>
      </c>
      <c r="B751" t="str">
        <f>Result_notebook_retravaill!B751</f>
        <v>Copper</v>
      </c>
      <c r="C751" t="str">
        <f>Result_notebook_retravaill!C751</f>
        <v>Global Net-zero</v>
      </c>
      <c r="D751" t="str">
        <f>Result_notebook_retravaill!D751</f>
        <v>Production potential</v>
      </c>
      <c r="E751" t="str">
        <f>Result_notebook_retravaill!E751</f>
        <v>100% CAN</v>
      </c>
      <c r="F751" t="str">
        <f>Result_notebook_retravaill!F751</f>
        <v>Integrated</v>
      </c>
      <c r="G751">
        <f>Result_notebook_retravaill!G751</f>
        <v>1193828.75003416</v>
      </c>
      <c r="H751" s="32">
        <f>IF(Result_notebook_retravaill!I751&gt;Result_notebook_retravaill!G751,Result_notebook_retravaill!I751/Result_notebook_retravaill!N751,Result_notebook_retravaill!H751)</f>
        <v>797055.2750032586</v>
      </c>
      <c r="I751" s="32">
        <f>Result_notebook_retravaill!K751</f>
        <v>641292.61660416308</v>
      </c>
      <c r="J751" s="32">
        <f>MIN(G751,Result_notebook_retravaill!I751)</f>
        <v>665338.51345610991</v>
      </c>
      <c r="K751" s="32">
        <f>IF(Result_notebook_retravaill!I751&gt;Result_notebook_retravaill!G751,0,IF(Result_notebook_retravaill!I751+Result_notebook_retravaill!J751&gt;Result_notebook_retravaill!G751,Result_notebook_retravaill!G751-Result_notebook_retravaill!I751,Result_notebook_retravaill!J751))</f>
        <v>0</v>
      </c>
      <c r="L751" s="32">
        <f>IF(Result_notebook_retravaill!I751&gt;Result_notebook_retravaill!G751,0,IF(Result_notebook_retravaill!I751+Result_notebook_retravaill!J751&gt;Result_notebook_retravaill!G751,0,Result_notebook_retravaill!M751))</f>
        <v>528490.23657805007</v>
      </c>
      <c r="M751" s="31">
        <f t="shared" si="11"/>
        <v>0</v>
      </c>
    </row>
    <row r="752" spans="1:13" x14ac:dyDescent="0.35">
      <c r="A752">
        <f>Result_notebook_retravaill!A752</f>
        <v>2033</v>
      </c>
      <c r="B752" t="str">
        <f>Result_notebook_retravaill!B752</f>
        <v>Neodymium</v>
      </c>
      <c r="C752" t="str">
        <f>Result_notebook_retravaill!C752</f>
        <v>Canada Net-zero</v>
      </c>
      <c r="D752" t="str">
        <f>Result_notebook_retravaill!D752</f>
        <v>Existing production</v>
      </c>
      <c r="E752" t="str">
        <f>Result_notebook_retravaill!E752</f>
        <v>Current shares</v>
      </c>
      <c r="F752" t="str">
        <f>Result_notebook_retravaill!F752</f>
        <v>NIMBY</v>
      </c>
      <c r="G752">
        <f>Result_notebook_retravaill!G752</f>
        <v>3811.6436184189829</v>
      </c>
      <c r="H752" s="32">
        <f>IF(Result_notebook_retravaill!I752&gt;Result_notebook_retravaill!G752,Result_notebook_retravaill!I752/Result_notebook_retravaill!N752,Result_notebook_retravaill!H752)</f>
        <v>0</v>
      </c>
      <c r="I752" s="32">
        <f>Result_notebook_retravaill!K752</f>
        <v>6352.7393640316386</v>
      </c>
      <c r="J752" s="32">
        <f>MIN(G752,Result_notebook_retravaill!I752)</f>
        <v>0</v>
      </c>
      <c r="K752" s="32">
        <f>IF(Result_notebook_retravaill!I752&gt;Result_notebook_retravaill!G752,0,IF(Result_notebook_retravaill!I752+Result_notebook_retravaill!J752&gt;Result_notebook_retravaill!G752,Result_notebook_retravaill!G752-Result_notebook_retravaill!I752,Result_notebook_retravaill!J752))</f>
        <v>0</v>
      </c>
      <c r="L752" s="32">
        <f>IF(Result_notebook_retravaill!I752&gt;Result_notebook_retravaill!G752,0,IF(Result_notebook_retravaill!I752+Result_notebook_retravaill!J752&gt;Result_notebook_retravaill!G752,0,Result_notebook_retravaill!M752))</f>
        <v>3811.6436184189829</v>
      </c>
      <c r="M752" s="31">
        <f t="shared" si="11"/>
        <v>0</v>
      </c>
    </row>
    <row r="753" spans="1:13" x14ac:dyDescent="0.35">
      <c r="A753">
        <f>Result_notebook_retravaill!A753</f>
        <v>2033</v>
      </c>
      <c r="B753" t="str">
        <f>Result_notebook_retravaill!B753</f>
        <v>Neodymium</v>
      </c>
      <c r="C753" t="str">
        <f>Result_notebook_retravaill!C753</f>
        <v>Canada Net-zero</v>
      </c>
      <c r="D753" t="str">
        <f>Result_notebook_retravaill!D753</f>
        <v>Existing production</v>
      </c>
      <c r="E753" t="str">
        <f>Result_notebook_retravaill!E753</f>
        <v>Current shares</v>
      </c>
      <c r="F753" t="str">
        <f>Result_notebook_retravaill!F753</f>
        <v>Status Quo</v>
      </c>
      <c r="G753">
        <f>Result_notebook_retravaill!G753</f>
        <v>3811.6436184189829</v>
      </c>
      <c r="H753" s="32">
        <f>IF(Result_notebook_retravaill!I753&gt;Result_notebook_retravaill!G753,Result_notebook_retravaill!I753/Result_notebook_retravaill!N753,Result_notebook_retravaill!H753)</f>
        <v>0</v>
      </c>
      <c r="I753" s="32">
        <f>Result_notebook_retravaill!K753</f>
        <v>6352.7393640316386</v>
      </c>
      <c r="J753" s="32">
        <f>MIN(G753,Result_notebook_retravaill!I753)</f>
        <v>0</v>
      </c>
      <c r="K753" s="32">
        <f>IF(Result_notebook_retravaill!I753&gt;Result_notebook_retravaill!G753,0,IF(Result_notebook_retravaill!I753+Result_notebook_retravaill!J753&gt;Result_notebook_retravaill!G753,Result_notebook_retravaill!G753-Result_notebook_retravaill!I753,Result_notebook_retravaill!J753))</f>
        <v>0</v>
      </c>
      <c r="L753" s="32">
        <f>IF(Result_notebook_retravaill!I753&gt;Result_notebook_retravaill!G753,0,IF(Result_notebook_retravaill!I753+Result_notebook_retravaill!J753&gt;Result_notebook_retravaill!G753,0,Result_notebook_retravaill!M753))</f>
        <v>3811.6436184189829</v>
      </c>
      <c r="M753" s="31">
        <f t="shared" si="11"/>
        <v>0</v>
      </c>
    </row>
    <row r="754" spans="1:13" x14ac:dyDescent="0.35">
      <c r="A754">
        <f>Result_notebook_retravaill!A754</f>
        <v>2033</v>
      </c>
      <c r="B754" t="str">
        <f>Result_notebook_retravaill!B754</f>
        <v>Neodymium</v>
      </c>
      <c r="C754" t="str">
        <f>Result_notebook_retravaill!C754</f>
        <v>Canada Net-zero</v>
      </c>
      <c r="D754" t="str">
        <f>Result_notebook_retravaill!D754</f>
        <v>Production potential</v>
      </c>
      <c r="E754" t="str">
        <f>Result_notebook_retravaill!E754</f>
        <v>Current shares</v>
      </c>
      <c r="F754" t="str">
        <f>Result_notebook_retravaill!F754</f>
        <v>Expansion Extractive</v>
      </c>
      <c r="G754">
        <f>Result_notebook_retravaill!G754</f>
        <v>3811.6436184189829</v>
      </c>
      <c r="H754" s="32">
        <f>IF(Result_notebook_retravaill!I754&gt;Result_notebook_retravaill!G754,Result_notebook_retravaill!I754/Result_notebook_retravaill!N754,Result_notebook_retravaill!H754)</f>
        <v>40.779406961821003</v>
      </c>
      <c r="I754" s="32">
        <f>Result_notebook_retravaill!K754</f>
        <v>6311.9599570698174</v>
      </c>
      <c r="J754" s="32">
        <f>MIN(G754,Result_notebook_retravaill!I754)</f>
        <v>24.408265853118081</v>
      </c>
      <c r="K754" s="32">
        <f>IF(Result_notebook_retravaill!I754&gt;Result_notebook_retravaill!G754,0,IF(Result_notebook_retravaill!I754+Result_notebook_retravaill!J754&gt;Result_notebook_retravaill!G754,Result_notebook_retravaill!G754-Result_notebook_retravaill!I754,Result_notebook_retravaill!J754))</f>
        <v>16.371141108702922</v>
      </c>
      <c r="L754" s="32">
        <f>IF(Result_notebook_retravaill!I754&gt;Result_notebook_retravaill!G754,0,IF(Result_notebook_retravaill!I754+Result_notebook_retravaill!J754&gt;Result_notebook_retravaill!G754,0,Result_notebook_retravaill!M754))</f>
        <v>3770.8642114571621</v>
      </c>
      <c r="M754" s="31">
        <f t="shared" si="11"/>
        <v>0</v>
      </c>
    </row>
    <row r="755" spans="1:13" x14ac:dyDescent="0.35">
      <c r="A755">
        <f>Result_notebook_retravaill!A755</f>
        <v>2033</v>
      </c>
      <c r="B755" t="str">
        <f>Result_notebook_retravaill!B755</f>
        <v>Neodymium</v>
      </c>
      <c r="C755" t="str">
        <f>Result_notebook_retravaill!C755</f>
        <v>Canada Net-zero</v>
      </c>
      <c r="D755" t="str">
        <f>Result_notebook_retravaill!D755</f>
        <v>Production potential</v>
      </c>
      <c r="E755" t="str">
        <f>Result_notebook_retravaill!E755</f>
        <v>Current shares</v>
      </c>
      <c r="F755" t="str">
        <f>Result_notebook_retravaill!F755</f>
        <v>Expansion Extractive+Circularity</v>
      </c>
      <c r="G755">
        <f>Result_notebook_retravaill!G755</f>
        <v>3811.6436184189829</v>
      </c>
      <c r="H755" s="32">
        <f>IF(Result_notebook_retravaill!I755&gt;Result_notebook_retravaill!G755,Result_notebook_retravaill!I755/Result_notebook_retravaill!N755,Result_notebook_retravaill!H755)</f>
        <v>40.779406961821003</v>
      </c>
      <c r="I755" s="32">
        <f>Result_notebook_retravaill!K755</f>
        <v>6311.9599570698174</v>
      </c>
      <c r="J755" s="32">
        <f>MIN(G755,Result_notebook_retravaill!I755)</f>
        <v>24.408265853118081</v>
      </c>
      <c r="K755" s="32">
        <f>IF(Result_notebook_retravaill!I755&gt;Result_notebook_retravaill!G755,0,IF(Result_notebook_retravaill!I755+Result_notebook_retravaill!J755&gt;Result_notebook_retravaill!G755,Result_notebook_retravaill!G755-Result_notebook_retravaill!I755,Result_notebook_retravaill!J755))</f>
        <v>16.371141108702922</v>
      </c>
      <c r="L755" s="32">
        <f>IF(Result_notebook_retravaill!I755&gt;Result_notebook_retravaill!G755,0,IF(Result_notebook_retravaill!I755+Result_notebook_retravaill!J755&gt;Result_notebook_retravaill!G755,0,Result_notebook_retravaill!M755))</f>
        <v>3770.8642114571621</v>
      </c>
      <c r="M755" s="31">
        <f t="shared" si="11"/>
        <v>0</v>
      </c>
    </row>
    <row r="756" spans="1:13" x14ac:dyDescent="0.35">
      <c r="A756">
        <f>Result_notebook_retravaill!A756</f>
        <v>2033</v>
      </c>
      <c r="B756" t="str">
        <f>Result_notebook_retravaill!B756</f>
        <v>Neodymium</v>
      </c>
      <c r="C756" t="str">
        <f>Result_notebook_retravaill!C756</f>
        <v>Canada Net-zero</v>
      </c>
      <c r="D756" t="str">
        <f>Result_notebook_retravaill!D756</f>
        <v>Production potential</v>
      </c>
      <c r="E756" t="str">
        <f>Result_notebook_retravaill!E756</f>
        <v>100% CAN</v>
      </c>
      <c r="F756" t="str">
        <f>Result_notebook_retravaill!F756</f>
        <v>Integrated</v>
      </c>
      <c r="G756">
        <f>Result_notebook_retravaill!G756</f>
        <v>3811.6436184189829</v>
      </c>
      <c r="H756" s="32">
        <f>IF(Result_notebook_retravaill!I756&gt;Result_notebook_retravaill!G756,Result_notebook_retravaill!I756/Result_notebook_retravaill!N756,Result_notebook_retravaill!H756)</f>
        <v>40.779406961821003</v>
      </c>
      <c r="I756" s="32">
        <f>Result_notebook_retravaill!K756</f>
        <v>6311.9599570698174</v>
      </c>
      <c r="J756" s="32">
        <f>MIN(G756,Result_notebook_retravaill!I756)</f>
        <v>24.408265853118081</v>
      </c>
      <c r="K756" s="32">
        <f>IF(Result_notebook_retravaill!I756&gt;Result_notebook_retravaill!G756,0,IF(Result_notebook_retravaill!I756+Result_notebook_retravaill!J756&gt;Result_notebook_retravaill!G756,Result_notebook_retravaill!G756-Result_notebook_retravaill!I756,Result_notebook_retravaill!J756))</f>
        <v>16.371141108702922</v>
      </c>
      <c r="L756" s="32">
        <f>IF(Result_notebook_retravaill!I756&gt;Result_notebook_retravaill!G756,0,IF(Result_notebook_retravaill!I756+Result_notebook_retravaill!J756&gt;Result_notebook_retravaill!G756,0,Result_notebook_retravaill!M756))</f>
        <v>3770.8642114571621</v>
      </c>
      <c r="M756" s="31">
        <f t="shared" si="11"/>
        <v>0</v>
      </c>
    </row>
    <row r="757" spans="1:13" x14ac:dyDescent="0.35">
      <c r="A757">
        <f>Result_notebook_retravaill!A757</f>
        <v>2033</v>
      </c>
      <c r="B757" t="str">
        <f>Result_notebook_retravaill!B757</f>
        <v>Neodymium</v>
      </c>
      <c r="C757" t="str">
        <f>Result_notebook_retravaill!C757</f>
        <v>Current Measures</v>
      </c>
      <c r="D757" t="str">
        <f>Result_notebook_retravaill!D757</f>
        <v>Existing production</v>
      </c>
      <c r="E757" t="str">
        <f>Result_notebook_retravaill!E757</f>
        <v>Current shares</v>
      </c>
      <c r="F757" t="str">
        <f>Result_notebook_retravaill!F757</f>
        <v>NIMBY</v>
      </c>
      <c r="G757">
        <f>Result_notebook_retravaill!G757</f>
        <v>1273.1494864569349</v>
      </c>
      <c r="H757" s="32">
        <f>IF(Result_notebook_retravaill!I757&gt;Result_notebook_retravaill!G757,Result_notebook_retravaill!I757/Result_notebook_retravaill!N757,Result_notebook_retravaill!H757)</f>
        <v>0</v>
      </c>
      <c r="I757" s="32">
        <f>Result_notebook_retravaill!K757</f>
        <v>2121.915810761559</v>
      </c>
      <c r="J757" s="32">
        <f>MIN(G757,Result_notebook_retravaill!I757)</f>
        <v>0</v>
      </c>
      <c r="K757" s="32">
        <f>IF(Result_notebook_retravaill!I757&gt;Result_notebook_retravaill!G757,0,IF(Result_notebook_retravaill!I757+Result_notebook_retravaill!J757&gt;Result_notebook_retravaill!G757,Result_notebook_retravaill!G757-Result_notebook_retravaill!I757,Result_notebook_retravaill!J757))</f>
        <v>0</v>
      </c>
      <c r="L757" s="32">
        <f>IF(Result_notebook_retravaill!I757&gt;Result_notebook_retravaill!G757,0,IF(Result_notebook_retravaill!I757+Result_notebook_retravaill!J757&gt;Result_notebook_retravaill!G757,0,Result_notebook_retravaill!M757))</f>
        <v>1273.1494864569349</v>
      </c>
      <c r="M757" s="31">
        <f t="shared" si="11"/>
        <v>0</v>
      </c>
    </row>
    <row r="758" spans="1:13" x14ac:dyDescent="0.35">
      <c r="A758">
        <f>Result_notebook_retravaill!A758</f>
        <v>2033</v>
      </c>
      <c r="B758" t="str">
        <f>Result_notebook_retravaill!B758</f>
        <v>Neodymium</v>
      </c>
      <c r="C758" t="str">
        <f>Result_notebook_retravaill!C758</f>
        <v>Current Measures</v>
      </c>
      <c r="D758" t="str">
        <f>Result_notebook_retravaill!D758</f>
        <v>Existing production</v>
      </c>
      <c r="E758" t="str">
        <f>Result_notebook_retravaill!E758</f>
        <v>Current shares</v>
      </c>
      <c r="F758" t="str">
        <f>Result_notebook_retravaill!F758</f>
        <v>Status Quo</v>
      </c>
      <c r="G758">
        <f>Result_notebook_retravaill!G758</f>
        <v>1273.1494864569349</v>
      </c>
      <c r="H758" s="32">
        <f>IF(Result_notebook_retravaill!I758&gt;Result_notebook_retravaill!G758,Result_notebook_retravaill!I758/Result_notebook_retravaill!N758,Result_notebook_retravaill!H758)</f>
        <v>0</v>
      </c>
      <c r="I758" s="32">
        <f>Result_notebook_retravaill!K758</f>
        <v>2121.915810761559</v>
      </c>
      <c r="J758" s="32">
        <f>MIN(G758,Result_notebook_retravaill!I758)</f>
        <v>0</v>
      </c>
      <c r="K758" s="32">
        <f>IF(Result_notebook_retravaill!I758&gt;Result_notebook_retravaill!G758,0,IF(Result_notebook_retravaill!I758+Result_notebook_retravaill!J758&gt;Result_notebook_retravaill!G758,Result_notebook_retravaill!G758-Result_notebook_retravaill!I758,Result_notebook_retravaill!J758))</f>
        <v>0</v>
      </c>
      <c r="L758" s="32">
        <f>IF(Result_notebook_retravaill!I758&gt;Result_notebook_retravaill!G758,0,IF(Result_notebook_retravaill!I758+Result_notebook_retravaill!J758&gt;Result_notebook_retravaill!G758,0,Result_notebook_retravaill!M758))</f>
        <v>1273.1494864569349</v>
      </c>
      <c r="M758" s="31">
        <f t="shared" si="11"/>
        <v>0</v>
      </c>
    </row>
    <row r="759" spans="1:13" x14ac:dyDescent="0.35">
      <c r="A759">
        <f>Result_notebook_retravaill!A759</f>
        <v>2033</v>
      </c>
      <c r="B759" t="str">
        <f>Result_notebook_retravaill!B759</f>
        <v>Neodymium</v>
      </c>
      <c r="C759" t="str">
        <f>Result_notebook_retravaill!C759</f>
        <v>Current Measures</v>
      </c>
      <c r="D759" t="str">
        <f>Result_notebook_retravaill!D759</f>
        <v>Production potential</v>
      </c>
      <c r="E759" t="str">
        <f>Result_notebook_retravaill!E759</f>
        <v>Current shares</v>
      </c>
      <c r="F759" t="str">
        <f>Result_notebook_retravaill!F759</f>
        <v>Expansion Extractive</v>
      </c>
      <c r="G759">
        <f>Result_notebook_retravaill!G759</f>
        <v>1273.1494864569349</v>
      </c>
      <c r="H759" s="32">
        <f>IF(Result_notebook_retravaill!I759&gt;Result_notebook_retravaill!G759,Result_notebook_retravaill!I759/Result_notebook_retravaill!N759,Result_notebook_retravaill!H759)</f>
        <v>40.779406961821003</v>
      </c>
      <c r="I759" s="32">
        <f>Result_notebook_retravaill!K759</f>
        <v>2081.1364037997369</v>
      </c>
      <c r="J759" s="32">
        <f>MIN(G759,Result_notebook_retravaill!I759)</f>
        <v>24.408265853118081</v>
      </c>
      <c r="K759" s="32">
        <f>IF(Result_notebook_retravaill!I759&gt;Result_notebook_retravaill!G759,0,IF(Result_notebook_retravaill!I759+Result_notebook_retravaill!J759&gt;Result_notebook_retravaill!G759,Result_notebook_retravaill!G759-Result_notebook_retravaill!I759,Result_notebook_retravaill!J759))</f>
        <v>16.371141108702922</v>
      </c>
      <c r="L759" s="32">
        <f>IF(Result_notebook_retravaill!I759&gt;Result_notebook_retravaill!G759,0,IF(Result_notebook_retravaill!I759+Result_notebook_retravaill!J759&gt;Result_notebook_retravaill!G759,0,Result_notebook_retravaill!M759))</f>
        <v>1232.3700794951142</v>
      </c>
      <c r="M759" s="31">
        <f t="shared" si="11"/>
        <v>0</v>
      </c>
    </row>
    <row r="760" spans="1:13" x14ac:dyDescent="0.35">
      <c r="A760">
        <f>Result_notebook_retravaill!A760</f>
        <v>2033</v>
      </c>
      <c r="B760" t="str">
        <f>Result_notebook_retravaill!B760</f>
        <v>Neodymium</v>
      </c>
      <c r="C760" t="str">
        <f>Result_notebook_retravaill!C760</f>
        <v>Current Measures</v>
      </c>
      <c r="D760" t="str">
        <f>Result_notebook_retravaill!D760</f>
        <v>Production potential</v>
      </c>
      <c r="E760" t="str">
        <f>Result_notebook_retravaill!E760</f>
        <v>Current shares</v>
      </c>
      <c r="F760" t="str">
        <f>Result_notebook_retravaill!F760</f>
        <v>Expansion Extractive+Circularity</v>
      </c>
      <c r="G760">
        <f>Result_notebook_retravaill!G760</f>
        <v>1273.1494864569349</v>
      </c>
      <c r="H760" s="32">
        <f>IF(Result_notebook_retravaill!I760&gt;Result_notebook_retravaill!G760,Result_notebook_retravaill!I760/Result_notebook_retravaill!N760,Result_notebook_retravaill!H760)</f>
        <v>40.779406961821003</v>
      </c>
      <c r="I760" s="32">
        <f>Result_notebook_retravaill!K760</f>
        <v>2081.1364037997369</v>
      </c>
      <c r="J760" s="32">
        <f>MIN(G760,Result_notebook_retravaill!I760)</f>
        <v>24.408265853118081</v>
      </c>
      <c r="K760" s="32">
        <f>IF(Result_notebook_retravaill!I760&gt;Result_notebook_retravaill!G760,0,IF(Result_notebook_retravaill!I760+Result_notebook_retravaill!J760&gt;Result_notebook_retravaill!G760,Result_notebook_retravaill!G760-Result_notebook_retravaill!I760,Result_notebook_retravaill!J760))</f>
        <v>16.371141108702922</v>
      </c>
      <c r="L760" s="32">
        <f>IF(Result_notebook_retravaill!I760&gt;Result_notebook_retravaill!G760,0,IF(Result_notebook_retravaill!I760+Result_notebook_retravaill!J760&gt;Result_notebook_retravaill!G760,0,Result_notebook_retravaill!M760))</f>
        <v>1232.3700794951142</v>
      </c>
      <c r="M760" s="31">
        <f t="shared" si="11"/>
        <v>0</v>
      </c>
    </row>
    <row r="761" spans="1:13" x14ac:dyDescent="0.35">
      <c r="A761">
        <f>Result_notebook_retravaill!A761</f>
        <v>2033</v>
      </c>
      <c r="B761" t="str">
        <f>Result_notebook_retravaill!B761</f>
        <v>Neodymium</v>
      </c>
      <c r="C761" t="str">
        <f>Result_notebook_retravaill!C761</f>
        <v>Current Measures</v>
      </c>
      <c r="D761" t="str">
        <f>Result_notebook_retravaill!D761</f>
        <v>Production potential</v>
      </c>
      <c r="E761" t="str">
        <f>Result_notebook_retravaill!E761</f>
        <v>100% CAN</v>
      </c>
      <c r="F761" t="str">
        <f>Result_notebook_retravaill!F761</f>
        <v>Integrated</v>
      </c>
      <c r="G761">
        <f>Result_notebook_retravaill!G761</f>
        <v>1273.1494864569349</v>
      </c>
      <c r="H761" s="32">
        <f>IF(Result_notebook_retravaill!I761&gt;Result_notebook_retravaill!G761,Result_notebook_retravaill!I761/Result_notebook_retravaill!N761,Result_notebook_retravaill!H761)</f>
        <v>40.779406961821003</v>
      </c>
      <c r="I761" s="32">
        <f>Result_notebook_retravaill!K761</f>
        <v>2081.1364037997369</v>
      </c>
      <c r="J761" s="32">
        <f>MIN(G761,Result_notebook_retravaill!I761)</f>
        <v>24.408265853118081</v>
      </c>
      <c r="K761" s="32">
        <f>IF(Result_notebook_retravaill!I761&gt;Result_notebook_retravaill!G761,0,IF(Result_notebook_retravaill!I761+Result_notebook_retravaill!J761&gt;Result_notebook_retravaill!G761,Result_notebook_retravaill!G761-Result_notebook_retravaill!I761,Result_notebook_retravaill!J761))</f>
        <v>16.371141108702922</v>
      </c>
      <c r="L761" s="32">
        <f>IF(Result_notebook_retravaill!I761&gt;Result_notebook_retravaill!G761,0,IF(Result_notebook_retravaill!I761+Result_notebook_retravaill!J761&gt;Result_notebook_retravaill!G761,0,Result_notebook_retravaill!M761))</f>
        <v>1232.3700794951142</v>
      </c>
      <c r="M761" s="31">
        <f t="shared" si="11"/>
        <v>0</v>
      </c>
    </row>
    <row r="762" spans="1:13" x14ac:dyDescent="0.35">
      <c r="A762">
        <f>Result_notebook_retravaill!A762</f>
        <v>2033</v>
      </c>
      <c r="B762" t="str">
        <f>Result_notebook_retravaill!B762</f>
        <v>Neodymium</v>
      </c>
      <c r="C762" t="str">
        <f>Result_notebook_retravaill!C762</f>
        <v>Global Net-zero</v>
      </c>
      <c r="D762" t="str">
        <f>Result_notebook_retravaill!D762</f>
        <v>Existing production</v>
      </c>
      <c r="E762" t="str">
        <f>Result_notebook_retravaill!E762</f>
        <v>Current shares</v>
      </c>
      <c r="F762" t="str">
        <f>Result_notebook_retravaill!F762</f>
        <v>NIMBY</v>
      </c>
      <c r="G762">
        <f>Result_notebook_retravaill!G762</f>
        <v>3651.300473373256</v>
      </c>
      <c r="H762" s="32">
        <f>IF(Result_notebook_retravaill!I762&gt;Result_notebook_retravaill!G762,Result_notebook_retravaill!I762/Result_notebook_retravaill!N762,Result_notebook_retravaill!H762)</f>
        <v>0</v>
      </c>
      <c r="I762" s="32">
        <f>Result_notebook_retravaill!K762</f>
        <v>6085.5007889554272</v>
      </c>
      <c r="J762" s="32">
        <f>MIN(G762,Result_notebook_retravaill!I762)</f>
        <v>0</v>
      </c>
      <c r="K762" s="32">
        <f>IF(Result_notebook_retravaill!I762&gt;Result_notebook_retravaill!G762,0,IF(Result_notebook_retravaill!I762+Result_notebook_retravaill!J762&gt;Result_notebook_retravaill!G762,Result_notebook_retravaill!G762-Result_notebook_retravaill!I762,Result_notebook_retravaill!J762))</f>
        <v>0</v>
      </c>
      <c r="L762" s="32">
        <f>IF(Result_notebook_retravaill!I762&gt;Result_notebook_retravaill!G762,0,IF(Result_notebook_retravaill!I762+Result_notebook_retravaill!J762&gt;Result_notebook_retravaill!G762,0,Result_notebook_retravaill!M762))</f>
        <v>3651.300473373256</v>
      </c>
      <c r="M762" s="31">
        <f t="shared" si="11"/>
        <v>0</v>
      </c>
    </row>
    <row r="763" spans="1:13" x14ac:dyDescent="0.35">
      <c r="A763">
        <f>Result_notebook_retravaill!A763</f>
        <v>2033</v>
      </c>
      <c r="B763" t="str">
        <f>Result_notebook_retravaill!B763</f>
        <v>Neodymium</v>
      </c>
      <c r="C763" t="str">
        <f>Result_notebook_retravaill!C763</f>
        <v>Global Net-zero</v>
      </c>
      <c r="D763" t="str">
        <f>Result_notebook_retravaill!D763</f>
        <v>Existing production</v>
      </c>
      <c r="E763" t="str">
        <f>Result_notebook_retravaill!E763</f>
        <v>Current shares</v>
      </c>
      <c r="F763" t="str">
        <f>Result_notebook_retravaill!F763</f>
        <v>Status Quo</v>
      </c>
      <c r="G763">
        <f>Result_notebook_retravaill!G763</f>
        <v>3651.300473373256</v>
      </c>
      <c r="H763" s="32">
        <f>IF(Result_notebook_retravaill!I763&gt;Result_notebook_retravaill!G763,Result_notebook_retravaill!I763/Result_notebook_retravaill!N763,Result_notebook_retravaill!H763)</f>
        <v>0</v>
      </c>
      <c r="I763" s="32">
        <f>Result_notebook_retravaill!K763</f>
        <v>6085.5007889554272</v>
      </c>
      <c r="J763" s="32">
        <f>MIN(G763,Result_notebook_retravaill!I763)</f>
        <v>0</v>
      </c>
      <c r="K763" s="32">
        <f>IF(Result_notebook_retravaill!I763&gt;Result_notebook_retravaill!G763,0,IF(Result_notebook_retravaill!I763+Result_notebook_retravaill!J763&gt;Result_notebook_retravaill!G763,Result_notebook_retravaill!G763-Result_notebook_retravaill!I763,Result_notebook_retravaill!J763))</f>
        <v>0</v>
      </c>
      <c r="L763" s="32">
        <f>IF(Result_notebook_retravaill!I763&gt;Result_notebook_retravaill!G763,0,IF(Result_notebook_retravaill!I763+Result_notebook_retravaill!J763&gt;Result_notebook_retravaill!G763,0,Result_notebook_retravaill!M763))</f>
        <v>3651.300473373256</v>
      </c>
      <c r="M763" s="31">
        <f t="shared" si="11"/>
        <v>0</v>
      </c>
    </row>
    <row r="764" spans="1:13" x14ac:dyDescent="0.35">
      <c r="A764">
        <f>Result_notebook_retravaill!A764</f>
        <v>2033</v>
      </c>
      <c r="B764" t="str">
        <f>Result_notebook_retravaill!B764</f>
        <v>Neodymium</v>
      </c>
      <c r="C764" t="str">
        <f>Result_notebook_retravaill!C764</f>
        <v>Global Net-zero</v>
      </c>
      <c r="D764" t="str">
        <f>Result_notebook_retravaill!D764</f>
        <v>Production potential</v>
      </c>
      <c r="E764" t="str">
        <f>Result_notebook_retravaill!E764</f>
        <v>Current shares</v>
      </c>
      <c r="F764" t="str">
        <f>Result_notebook_retravaill!F764</f>
        <v>Expansion Extractive</v>
      </c>
      <c r="G764">
        <f>Result_notebook_retravaill!G764</f>
        <v>3651.300473373256</v>
      </c>
      <c r="H764" s="32">
        <f>IF(Result_notebook_retravaill!I764&gt;Result_notebook_retravaill!G764,Result_notebook_retravaill!I764/Result_notebook_retravaill!N764,Result_notebook_retravaill!H764)</f>
        <v>40.779406961821003</v>
      </c>
      <c r="I764" s="32">
        <f>Result_notebook_retravaill!K764</f>
        <v>6044.721381993606</v>
      </c>
      <c r="J764" s="32">
        <f>MIN(G764,Result_notebook_retravaill!I764)</f>
        <v>24.408265853118081</v>
      </c>
      <c r="K764" s="32">
        <f>IF(Result_notebook_retravaill!I764&gt;Result_notebook_retravaill!G764,0,IF(Result_notebook_retravaill!I764+Result_notebook_retravaill!J764&gt;Result_notebook_retravaill!G764,Result_notebook_retravaill!G764-Result_notebook_retravaill!I764,Result_notebook_retravaill!J764))</f>
        <v>16.371141108702922</v>
      </c>
      <c r="L764" s="32">
        <f>IF(Result_notebook_retravaill!I764&gt;Result_notebook_retravaill!G764,0,IF(Result_notebook_retravaill!I764+Result_notebook_retravaill!J764&gt;Result_notebook_retravaill!G764,0,Result_notebook_retravaill!M764))</f>
        <v>3610.5210664114352</v>
      </c>
      <c r="M764" s="31">
        <f t="shared" si="11"/>
        <v>0</v>
      </c>
    </row>
    <row r="765" spans="1:13" x14ac:dyDescent="0.35">
      <c r="A765">
        <f>Result_notebook_retravaill!A765</f>
        <v>2033</v>
      </c>
      <c r="B765" t="str">
        <f>Result_notebook_retravaill!B765</f>
        <v>Neodymium</v>
      </c>
      <c r="C765" t="str">
        <f>Result_notebook_retravaill!C765</f>
        <v>Global Net-zero</v>
      </c>
      <c r="D765" t="str">
        <f>Result_notebook_retravaill!D765</f>
        <v>Production potential</v>
      </c>
      <c r="E765" t="str">
        <f>Result_notebook_retravaill!E765</f>
        <v>Current shares</v>
      </c>
      <c r="F765" t="str">
        <f>Result_notebook_retravaill!F765</f>
        <v>Expansion Extractive+Circularity</v>
      </c>
      <c r="G765">
        <f>Result_notebook_retravaill!G765</f>
        <v>3651.300473373256</v>
      </c>
      <c r="H765" s="32">
        <f>IF(Result_notebook_retravaill!I765&gt;Result_notebook_retravaill!G765,Result_notebook_retravaill!I765/Result_notebook_retravaill!N765,Result_notebook_retravaill!H765)</f>
        <v>40.779406961821003</v>
      </c>
      <c r="I765" s="32">
        <f>Result_notebook_retravaill!K765</f>
        <v>6044.721381993606</v>
      </c>
      <c r="J765" s="32">
        <f>MIN(G765,Result_notebook_retravaill!I765)</f>
        <v>24.408265853118081</v>
      </c>
      <c r="K765" s="32">
        <f>IF(Result_notebook_retravaill!I765&gt;Result_notebook_retravaill!G765,0,IF(Result_notebook_retravaill!I765+Result_notebook_retravaill!J765&gt;Result_notebook_retravaill!G765,Result_notebook_retravaill!G765-Result_notebook_retravaill!I765,Result_notebook_retravaill!J765))</f>
        <v>16.371141108702922</v>
      </c>
      <c r="L765" s="32">
        <f>IF(Result_notebook_retravaill!I765&gt;Result_notebook_retravaill!G765,0,IF(Result_notebook_retravaill!I765+Result_notebook_retravaill!J765&gt;Result_notebook_retravaill!G765,0,Result_notebook_retravaill!M765))</f>
        <v>3610.5210664114352</v>
      </c>
      <c r="M765" s="31">
        <f t="shared" si="11"/>
        <v>0</v>
      </c>
    </row>
    <row r="766" spans="1:13" x14ac:dyDescent="0.35">
      <c r="A766">
        <f>Result_notebook_retravaill!A766</f>
        <v>2033</v>
      </c>
      <c r="B766" t="str">
        <f>Result_notebook_retravaill!B766</f>
        <v>Neodymium</v>
      </c>
      <c r="C766" t="str">
        <f>Result_notebook_retravaill!C766</f>
        <v>Global Net-zero</v>
      </c>
      <c r="D766" t="str">
        <f>Result_notebook_retravaill!D766</f>
        <v>Production potential</v>
      </c>
      <c r="E766" t="str">
        <f>Result_notebook_retravaill!E766</f>
        <v>100% CAN</v>
      </c>
      <c r="F766" t="str">
        <f>Result_notebook_retravaill!F766</f>
        <v>Integrated</v>
      </c>
      <c r="G766">
        <f>Result_notebook_retravaill!G766</f>
        <v>3651.300473373256</v>
      </c>
      <c r="H766" s="32">
        <f>IF(Result_notebook_retravaill!I766&gt;Result_notebook_retravaill!G766,Result_notebook_retravaill!I766/Result_notebook_retravaill!N766,Result_notebook_retravaill!H766)</f>
        <v>40.779406961821003</v>
      </c>
      <c r="I766" s="32">
        <f>Result_notebook_retravaill!K766</f>
        <v>6044.721381993606</v>
      </c>
      <c r="J766" s="32">
        <f>MIN(G766,Result_notebook_retravaill!I766)</f>
        <v>24.408265853118081</v>
      </c>
      <c r="K766" s="32">
        <f>IF(Result_notebook_retravaill!I766&gt;Result_notebook_retravaill!G766,0,IF(Result_notebook_retravaill!I766+Result_notebook_retravaill!J766&gt;Result_notebook_retravaill!G766,Result_notebook_retravaill!G766-Result_notebook_retravaill!I766,Result_notebook_retravaill!J766))</f>
        <v>16.371141108702922</v>
      </c>
      <c r="L766" s="32">
        <f>IF(Result_notebook_retravaill!I766&gt;Result_notebook_retravaill!G766,0,IF(Result_notebook_retravaill!I766+Result_notebook_retravaill!J766&gt;Result_notebook_retravaill!G766,0,Result_notebook_retravaill!M766))</f>
        <v>3610.5210664114352</v>
      </c>
      <c r="M766" s="31">
        <f t="shared" si="11"/>
        <v>0</v>
      </c>
    </row>
    <row r="767" spans="1:13" x14ac:dyDescent="0.35">
      <c r="A767">
        <f>Result_notebook_retravaill!A767</f>
        <v>2033</v>
      </c>
      <c r="B767" t="str">
        <f>Result_notebook_retravaill!B767</f>
        <v>Nickel</v>
      </c>
      <c r="C767" t="str">
        <f>Result_notebook_retravaill!C767</f>
        <v>Canada Net-zero</v>
      </c>
      <c r="D767" t="str">
        <f>Result_notebook_retravaill!D767</f>
        <v>Existing production</v>
      </c>
      <c r="E767" t="str">
        <f>Result_notebook_retravaill!E767</f>
        <v>Current shares</v>
      </c>
      <c r="F767" t="str">
        <f>Result_notebook_retravaill!F767</f>
        <v>NIMBY</v>
      </c>
      <c r="G767">
        <f>Result_notebook_retravaill!G767</f>
        <v>124090.4972141906</v>
      </c>
      <c r="H767" s="32">
        <f>IF(Result_notebook_retravaill!I767&gt;Result_notebook_retravaill!G767,Result_notebook_retravaill!I767/Result_notebook_retravaill!N767,Result_notebook_retravaill!H767)</f>
        <v>0</v>
      </c>
      <c r="I767" s="32">
        <f>Result_notebook_retravaill!K767</f>
        <v>157076.57875213999</v>
      </c>
      <c r="J767" s="32">
        <f>MIN(G767,Result_notebook_retravaill!I767)</f>
        <v>0</v>
      </c>
      <c r="K767" s="32">
        <f>IF(Result_notebook_retravaill!I767&gt;Result_notebook_retravaill!G767,0,IF(Result_notebook_retravaill!I767+Result_notebook_retravaill!J767&gt;Result_notebook_retravaill!G767,Result_notebook_retravaill!G767-Result_notebook_retravaill!I767,Result_notebook_retravaill!J767))</f>
        <v>0</v>
      </c>
      <c r="L767" s="32">
        <f>IF(Result_notebook_retravaill!I767&gt;Result_notebook_retravaill!G767,0,IF(Result_notebook_retravaill!I767+Result_notebook_retravaill!J767&gt;Result_notebook_retravaill!G767,0,Result_notebook_retravaill!M767))</f>
        <v>124090.4972141906</v>
      </c>
      <c r="M767" s="31">
        <f t="shared" si="11"/>
        <v>0</v>
      </c>
    </row>
    <row r="768" spans="1:13" x14ac:dyDescent="0.35">
      <c r="A768">
        <f>Result_notebook_retravaill!A768</f>
        <v>2033</v>
      </c>
      <c r="B768" t="str">
        <f>Result_notebook_retravaill!B768</f>
        <v>Nickel</v>
      </c>
      <c r="C768" t="str">
        <f>Result_notebook_retravaill!C768</f>
        <v>Canada Net-zero</v>
      </c>
      <c r="D768" t="str">
        <f>Result_notebook_retravaill!D768</f>
        <v>Existing production</v>
      </c>
      <c r="E768" t="str">
        <f>Result_notebook_retravaill!E768</f>
        <v>Current shares</v>
      </c>
      <c r="F768" t="str">
        <f>Result_notebook_retravaill!F768</f>
        <v>Status Quo</v>
      </c>
      <c r="G768">
        <f>Result_notebook_retravaill!G768</f>
        <v>124090.4972141906</v>
      </c>
      <c r="H768" s="32">
        <f>IF(Result_notebook_retravaill!I768&gt;Result_notebook_retravaill!G768,Result_notebook_retravaill!I768/Result_notebook_retravaill!N768,Result_notebook_retravaill!H768)</f>
        <v>120288</v>
      </c>
      <c r="I768" s="32">
        <f>Result_notebook_retravaill!K768</f>
        <v>36788.578752139991</v>
      </c>
      <c r="J768" s="32">
        <f>MIN(G768,Result_notebook_retravaill!I768)</f>
        <v>67467.138598854319</v>
      </c>
      <c r="K768" s="32">
        <f>IF(Result_notebook_retravaill!I768&gt;Result_notebook_retravaill!G768,0,IF(Result_notebook_retravaill!I768+Result_notebook_retravaill!J768&gt;Result_notebook_retravaill!G768,Result_notebook_retravaill!G768-Result_notebook_retravaill!I768,Result_notebook_retravaill!J768))</f>
        <v>16634.679006634033</v>
      </c>
      <c r="L768" s="32">
        <f>IF(Result_notebook_retravaill!I768&gt;Result_notebook_retravaill!G768,0,IF(Result_notebook_retravaill!I768+Result_notebook_retravaill!J768&gt;Result_notebook_retravaill!G768,0,Result_notebook_retravaill!M768))</f>
        <v>39988.679608702245</v>
      </c>
      <c r="M768" s="31">
        <f t="shared" si="11"/>
        <v>0</v>
      </c>
    </row>
    <row r="769" spans="1:13" x14ac:dyDescent="0.35">
      <c r="A769">
        <f>Result_notebook_retravaill!A769</f>
        <v>2033</v>
      </c>
      <c r="B769" t="str">
        <f>Result_notebook_retravaill!B769</f>
        <v>Nickel</v>
      </c>
      <c r="C769" t="str">
        <f>Result_notebook_retravaill!C769</f>
        <v>Canada Net-zero</v>
      </c>
      <c r="D769" t="str">
        <f>Result_notebook_retravaill!D769</f>
        <v>Production potential</v>
      </c>
      <c r="E769" t="str">
        <f>Result_notebook_retravaill!E769</f>
        <v>Current shares</v>
      </c>
      <c r="F769" t="str">
        <f>Result_notebook_retravaill!F769</f>
        <v>Expansion Extractive</v>
      </c>
      <c r="G769">
        <f>Result_notebook_retravaill!G769</f>
        <v>124090.4972141906</v>
      </c>
      <c r="H769" s="32">
        <f>IF(Result_notebook_retravaill!I769&gt;Result_notebook_retravaill!G769,Result_notebook_retravaill!I769/Result_notebook_retravaill!N769,Result_notebook_retravaill!H769)</f>
        <v>206578.6229524189</v>
      </c>
      <c r="I769" s="32">
        <f>Result_notebook_retravaill!K769</f>
        <v>0</v>
      </c>
      <c r="J769" s="32">
        <f>MIN(G769,Result_notebook_retravaill!I769)</f>
        <v>115865.8269011981</v>
      </c>
      <c r="K769" s="32">
        <f>IF(Result_notebook_retravaill!I769&gt;Result_notebook_retravaill!G769,0,IF(Result_notebook_retravaill!I769+Result_notebook_retravaill!J769&gt;Result_notebook_retravaill!G769,Result_notebook_retravaill!G769-Result_notebook_retravaill!I769,Result_notebook_retravaill!J769))</f>
        <v>8224.6703129925008</v>
      </c>
      <c r="L769" s="32">
        <f>IF(Result_notebook_retravaill!I769&gt;Result_notebook_retravaill!G769,0,IF(Result_notebook_retravaill!I769+Result_notebook_retravaill!J769&gt;Result_notebook_retravaill!G769,0,Result_notebook_retravaill!M769))</f>
        <v>0</v>
      </c>
      <c r="M769" s="31">
        <f t="shared" si="11"/>
        <v>0</v>
      </c>
    </row>
    <row r="770" spans="1:13" x14ac:dyDescent="0.35">
      <c r="A770">
        <f>Result_notebook_retravaill!A770</f>
        <v>2033</v>
      </c>
      <c r="B770" t="str">
        <f>Result_notebook_retravaill!B770</f>
        <v>Nickel</v>
      </c>
      <c r="C770" t="str">
        <f>Result_notebook_retravaill!C770</f>
        <v>Canada Net-zero</v>
      </c>
      <c r="D770" t="str">
        <f>Result_notebook_retravaill!D770</f>
        <v>Production potential</v>
      </c>
      <c r="E770" t="str">
        <f>Result_notebook_retravaill!E770</f>
        <v>Current shares</v>
      </c>
      <c r="F770" t="str">
        <f>Result_notebook_retravaill!F770</f>
        <v>Expansion Extractive+Circularity</v>
      </c>
      <c r="G770">
        <f>Result_notebook_retravaill!G770</f>
        <v>124090.4972141906</v>
      </c>
      <c r="H770" s="32">
        <f>IF(Result_notebook_retravaill!I770&gt;Result_notebook_retravaill!G770,Result_notebook_retravaill!I770/Result_notebook_retravaill!N770,Result_notebook_retravaill!H770)</f>
        <v>206578.6229524189</v>
      </c>
      <c r="I770" s="32">
        <f>Result_notebook_retravaill!K770</f>
        <v>0</v>
      </c>
      <c r="J770" s="32">
        <f>MIN(G770,Result_notebook_retravaill!I770)</f>
        <v>115865.8269011981</v>
      </c>
      <c r="K770" s="32">
        <f>IF(Result_notebook_retravaill!I770&gt;Result_notebook_retravaill!G770,0,IF(Result_notebook_retravaill!I770+Result_notebook_retravaill!J770&gt;Result_notebook_retravaill!G770,Result_notebook_retravaill!G770-Result_notebook_retravaill!I770,Result_notebook_retravaill!J770))</f>
        <v>8224.6703129925008</v>
      </c>
      <c r="L770" s="32">
        <f>IF(Result_notebook_retravaill!I770&gt;Result_notebook_retravaill!G770,0,IF(Result_notebook_retravaill!I770+Result_notebook_retravaill!J770&gt;Result_notebook_retravaill!G770,0,Result_notebook_retravaill!M770))</f>
        <v>0</v>
      </c>
      <c r="M770" s="31">
        <f t="shared" si="11"/>
        <v>0</v>
      </c>
    </row>
    <row r="771" spans="1:13" x14ac:dyDescent="0.35">
      <c r="A771">
        <f>Result_notebook_retravaill!A771</f>
        <v>2033</v>
      </c>
      <c r="B771" t="str">
        <f>Result_notebook_retravaill!B771</f>
        <v>Nickel</v>
      </c>
      <c r="C771" t="str">
        <f>Result_notebook_retravaill!C771</f>
        <v>Canada Net-zero</v>
      </c>
      <c r="D771" t="str">
        <f>Result_notebook_retravaill!D771</f>
        <v>Production potential</v>
      </c>
      <c r="E771" t="str">
        <f>Result_notebook_retravaill!E771</f>
        <v>100% CAN</v>
      </c>
      <c r="F771" t="str">
        <f>Result_notebook_retravaill!F771</f>
        <v>Integrated</v>
      </c>
      <c r="G771">
        <f>Result_notebook_retravaill!G771</f>
        <v>124090.4972141906</v>
      </c>
      <c r="H771" s="32">
        <f>IF(Result_notebook_retravaill!I771&gt;Result_notebook_retravaill!G771,Result_notebook_retravaill!I771/Result_notebook_retravaill!N771,Result_notebook_retravaill!H771)</f>
        <v>232692.93186401716</v>
      </c>
      <c r="I771" s="32">
        <f>Result_notebook_retravaill!K771</f>
        <v>0</v>
      </c>
      <c r="J771" s="32">
        <f>MIN(G771,Result_notebook_retravaill!I771)</f>
        <v>124090.4972141906</v>
      </c>
      <c r="K771" s="32">
        <f>IF(Result_notebook_retravaill!I771&gt;Result_notebook_retravaill!G771,0,IF(Result_notebook_retravaill!I771+Result_notebook_retravaill!J771&gt;Result_notebook_retravaill!G771,Result_notebook_retravaill!G771-Result_notebook_retravaill!I771,Result_notebook_retravaill!J771))</f>
        <v>0</v>
      </c>
      <c r="L771" s="32">
        <f>IF(Result_notebook_retravaill!I771&gt;Result_notebook_retravaill!G771,0,IF(Result_notebook_retravaill!I771+Result_notebook_retravaill!J771&gt;Result_notebook_retravaill!G771,0,Result_notebook_retravaill!M771))</f>
        <v>0</v>
      </c>
      <c r="M771" s="31">
        <f t="shared" ref="M771:M834" si="12">SUM(J771:L771)-G771</f>
        <v>0</v>
      </c>
    </row>
    <row r="772" spans="1:13" x14ac:dyDescent="0.35">
      <c r="A772">
        <f>Result_notebook_retravaill!A772</f>
        <v>2033</v>
      </c>
      <c r="B772" t="str">
        <f>Result_notebook_retravaill!B772</f>
        <v>Nickel</v>
      </c>
      <c r="C772" t="str">
        <f>Result_notebook_retravaill!C772</f>
        <v>Current Measures</v>
      </c>
      <c r="D772" t="str">
        <f>Result_notebook_retravaill!D772</f>
        <v>Existing production</v>
      </c>
      <c r="E772" t="str">
        <f>Result_notebook_retravaill!E772</f>
        <v>Current shares</v>
      </c>
      <c r="F772" t="str">
        <f>Result_notebook_retravaill!F772</f>
        <v>NIMBY</v>
      </c>
      <c r="G772">
        <f>Result_notebook_retravaill!G772</f>
        <v>53307.585959490927</v>
      </c>
      <c r="H772" s="32">
        <f>IF(Result_notebook_retravaill!I772&gt;Result_notebook_retravaill!G772,Result_notebook_retravaill!I772/Result_notebook_retravaill!N772,Result_notebook_retravaill!H772)</f>
        <v>0</v>
      </c>
      <c r="I772" s="32">
        <f>Result_notebook_retravaill!K772</f>
        <v>67477.956910748006</v>
      </c>
      <c r="J772" s="32">
        <f>MIN(G772,Result_notebook_retravaill!I772)</f>
        <v>0</v>
      </c>
      <c r="K772" s="32">
        <f>IF(Result_notebook_retravaill!I772&gt;Result_notebook_retravaill!G772,0,IF(Result_notebook_retravaill!I772+Result_notebook_retravaill!J772&gt;Result_notebook_retravaill!G772,Result_notebook_retravaill!G772-Result_notebook_retravaill!I772,Result_notebook_retravaill!J772))</f>
        <v>0</v>
      </c>
      <c r="L772" s="32">
        <f>IF(Result_notebook_retravaill!I772&gt;Result_notebook_retravaill!G772,0,IF(Result_notebook_retravaill!I772+Result_notebook_retravaill!J772&gt;Result_notebook_retravaill!G772,0,Result_notebook_retravaill!M772))</f>
        <v>53307.585959490927</v>
      </c>
      <c r="M772" s="31">
        <f t="shared" si="12"/>
        <v>0</v>
      </c>
    </row>
    <row r="773" spans="1:13" x14ac:dyDescent="0.35">
      <c r="A773">
        <f>Result_notebook_retravaill!A773</f>
        <v>2033</v>
      </c>
      <c r="B773" t="str">
        <f>Result_notebook_retravaill!B773</f>
        <v>Nickel</v>
      </c>
      <c r="C773" t="str">
        <f>Result_notebook_retravaill!C773</f>
        <v>Current Measures</v>
      </c>
      <c r="D773" t="str">
        <f>Result_notebook_retravaill!D773</f>
        <v>Existing production</v>
      </c>
      <c r="E773" t="str">
        <f>Result_notebook_retravaill!E773</f>
        <v>Current shares</v>
      </c>
      <c r="F773" t="str">
        <f>Result_notebook_retravaill!F773</f>
        <v>Status Quo</v>
      </c>
      <c r="G773">
        <f>Result_notebook_retravaill!G773</f>
        <v>53307.585959490927</v>
      </c>
      <c r="H773" s="32">
        <f>IF(Result_notebook_retravaill!I773&gt;Result_notebook_retravaill!G773,Result_notebook_retravaill!I773/Result_notebook_retravaill!N773,Result_notebook_retravaill!H773)</f>
        <v>96495.978313426895</v>
      </c>
      <c r="I773" s="32">
        <f>Result_notebook_retravaill!K773</f>
        <v>0</v>
      </c>
      <c r="J773" s="32">
        <f>MIN(G773,Result_notebook_retravaill!I773)</f>
        <v>53307.585959490927</v>
      </c>
      <c r="K773" s="32">
        <f>IF(Result_notebook_retravaill!I773&gt;Result_notebook_retravaill!G773,0,IF(Result_notebook_retravaill!I773+Result_notebook_retravaill!J773&gt;Result_notebook_retravaill!G773,Result_notebook_retravaill!G773-Result_notebook_retravaill!I773,Result_notebook_retravaill!J773))</f>
        <v>0</v>
      </c>
      <c r="L773" s="32">
        <f>IF(Result_notebook_retravaill!I773&gt;Result_notebook_retravaill!G773,0,IF(Result_notebook_retravaill!I773+Result_notebook_retravaill!J773&gt;Result_notebook_retravaill!G773,0,Result_notebook_retravaill!M773))</f>
        <v>0</v>
      </c>
      <c r="M773" s="31">
        <f t="shared" si="12"/>
        <v>0</v>
      </c>
    </row>
    <row r="774" spans="1:13" x14ac:dyDescent="0.35">
      <c r="A774">
        <f>Result_notebook_retravaill!A774</f>
        <v>2033</v>
      </c>
      <c r="B774" t="str">
        <f>Result_notebook_retravaill!B774</f>
        <v>Nickel</v>
      </c>
      <c r="C774" t="str">
        <f>Result_notebook_retravaill!C774</f>
        <v>Current Measures</v>
      </c>
      <c r="D774" t="str">
        <f>Result_notebook_retravaill!D774</f>
        <v>Production potential</v>
      </c>
      <c r="E774" t="str">
        <f>Result_notebook_retravaill!E774</f>
        <v>Current shares</v>
      </c>
      <c r="F774" t="str">
        <f>Result_notebook_retravaill!F774</f>
        <v>Expansion Extractive</v>
      </c>
      <c r="G774">
        <f>Result_notebook_retravaill!G774</f>
        <v>53307.585959490927</v>
      </c>
      <c r="H774" s="32">
        <f>IF(Result_notebook_retravaill!I774&gt;Result_notebook_retravaill!G774,Result_notebook_retravaill!I774/Result_notebook_retravaill!N774,Result_notebook_retravaill!H774)</f>
        <v>165718.9937519471</v>
      </c>
      <c r="I774" s="32">
        <f>Result_notebook_retravaill!K774</f>
        <v>0</v>
      </c>
      <c r="J774" s="32">
        <f>MIN(G774,Result_notebook_retravaill!I774)</f>
        <v>53307.585959490927</v>
      </c>
      <c r="K774" s="32">
        <f>IF(Result_notebook_retravaill!I774&gt;Result_notebook_retravaill!G774,0,IF(Result_notebook_retravaill!I774+Result_notebook_retravaill!J774&gt;Result_notebook_retravaill!G774,Result_notebook_retravaill!G774-Result_notebook_retravaill!I774,Result_notebook_retravaill!J774))</f>
        <v>0</v>
      </c>
      <c r="L774" s="32">
        <f>IF(Result_notebook_retravaill!I774&gt;Result_notebook_retravaill!G774,0,IF(Result_notebook_retravaill!I774+Result_notebook_retravaill!J774&gt;Result_notebook_retravaill!G774,0,Result_notebook_retravaill!M774))</f>
        <v>0</v>
      </c>
      <c r="M774" s="31">
        <f t="shared" si="12"/>
        <v>0</v>
      </c>
    </row>
    <row r="775" spans="1:13" x14ac:dyDescent="0.35">
      <c r="A775">
        <f>Result_notebook_retravaill!A775</f>
        <v>2033</v>
      </c>
      <c r="B775" t="str">
        <f>Result_notebook_retravaill!B775</f>
        <v>Nickel</v>
      </c>
      <c r="C775" t="str">
        <f>Result_notebook_retravaill!C775</f>
        <v>Current Measures</v>
      </c>
      <c r="D775" t="str">
        <f>Result_notebook_retravaill!D775</f>
        <v>Production potential</v>
      </c>
      <c r="E775" t="str">
        <f>Result_notebook_retravaill!E775</f>
        <v>Current shares</v>
      </c>
      <c r="F775" t="str">
        <f>Result_notebook_retravaill!F775</f>
        <v>Expansion Extractive+Circularity</v>
      </c>
      <c r="G775">
        <f>Result_notebook_retravaill!G775</f>
        <v>53307.585959490927</v>
      </c>
      <c r="H775" s="32">
        <f>IF(Result_notebook_retravaill!I775&gt;Result_notebook_retravaill!G775,Result_notebook_retravaill!I775/Result_notebook_retravaill!N775,Result_notebook_retravaill!H775)</f>
        <v>165718.9937519471</v>
      </c>
      <c r="I775" s="32">
        <f>Result_notebook_retravaill!K775</f>
        <v>0</v>
      </c>
      <c r="J775" s="32">
        <f>MIN(G775,Result_notebook_retravaill!I775)</f>
        <v>53307.585959490927</v>
      </c>
      <c r="K775" s="32">
        <f>IF(Result_notebook_retravaill!I775&gt;Result_notebook_retravaill!G775,0,IF(Result_notebook_retravaill!I775+Result_notebook_retravaill!J775&gt;Result_notebook_retravaill!G775,Result_notebook_retravaill!G775-Result_notebook_retravaill!I775,Result_notebook_retravaill!J775))</f>
        <v>0</v>
      </c>
      <c r="L775" s="32">
        <f>IF(Result_notebook_retravaill!I775&gt;Result_notebook_retravaill!G775,0,IF(Result_notebook_retravaill!I775+Result_notebook_retravaill!J775&gt;Result_notebook_retravaill!G775,0,Result_notebook_retravaill!M775))</f>
        <v>0</v>
      </c>
      <c r="M775" s="31">
        <f t="shared" si="12"/>
        <v>0</v>
      </c>
    </row>
    <row r="776" spans="1:13" x14ac:dyDescent="0.35">
      <c r="A776">
        <f>Result_notebook_retravaill!A776</f>
        <v>2033</v>
      </c>
      <c r="B776" t="str">
        <f>Result_notebook_retravaill!B776</f>
        <v>Nickel</v>
      </c>
      <c r="C776" t="str">
        <f>Result_notebook_retravaill!C776</f>
        <v>Current Measures</v>
      </c>
      <c r="D776" t="str">
        <f>Result_notebook_retravaill!D776</f>
        <v>Production potential</v>
      </c>
      <c r="E776" t="str">
        <f>Result_notebook_retravaill!E776</f>
        <v>100% CAN</v>
      </c>
      <c r="F776" t="str">
        <f>Result_notebook_retravaill!F776</f>
        <v>Integrated</v>
      </c>
      <c r="G776">
        <f>Result_notebook_retravaill!G776</f>
        <v>53307.585959490927</v>
      </c>
      <c r="H776" s="32">
        <f>IF(Result_notebook_retravaill!I776&gt;Result_notebook_retravaill!G776,Result_notebook_retravaill!I776/Result_notebook_retravaill!N776,Result_notebook_retravaill!H776)</f>
        <v>232692.93186401716</v>
      </c>
      <c r="I776" s="32">
        <f>Result_notebook_retravaill!K776</f>
        <v>0</v>
      </c>
      <c r="J776" s="32">
        <f>MIN(G776,Result_notebook_retravaill!I776)</f>
        <v>53307.585959490927</v>
      </c>
      <c r="K776" s="32">
        <f>IF(Result_notebook_retravaill!I776&gt;Result_notebook_retravaill!G776,0,IF(Result_notebook_retravaill!I776+Result_notebook_retravaill!J776&gt;Result_notebook_retravaill!G776,Result_notebook_retravaill!G776-Result_notebook_retravaill!I776,Result_notebook_retravaill!J776))</f>
        <v>0</v>
      </c>
      <c r="L776" s="32">
        <f>IF(Result_notebook_retravaill!I776&gt;Result_notebook_retravaill!G776,0,IF(Result_notebook_retravaill!I776+Result_notebook_retravaill!J776&gt;Result_notebook_retravaill!G776,0,Result_notebook_retravaill!M776))</f>
        <v>0</v>
      </c>
      <c r="M776" s="31">
        <f t="shared" si="12"/>
        <v>0</v>
      </c>
    </row>
    <row r="777" spans="1:13" x14ac:dyDescent="0.35">
      <c r="A777">
        <f>Result_notebook_retravaill!A777</f>
        <v>2033</v>
      </c>
      <c r="B777" t="str">
        <f>Result_notebook_retravaill!B777</f>
        <v>Nickel</v>
      </c>
      <c r="C777" t="str">
        <f>Result_notebook_retravaill!C777</f>
        <v>Global Net-zero</v>
      </c>
      <c r="D777" t="str">
        <f>Result_notebook_retravaill!D777</f>
        <v>Existing production</v>
      </c>
      <c r="E777" t="str">
        <f>Result_notebook_retravaill!E777</f>
        <v>Current shares</v>
      </c>
      <c r="F777" t="str">
        <f>Result_notebook_retravaill!F777</f>
        <v>NIMBY</v>
      </c>
      <c r="G777">
        <f>Result_notebook_retravaill!G777</f>
        <v>118786.33724341739</v>
      </c>
      <c r="H777" s="32">
        <f>IF(Result_notebook_retravaill!I777&gt;Result_notebook_retravaill!G777,Result_notebook_retravaill!I777/Result_notebook_retravaill!N777,Result_notebook_retravaill!H777)</f>
        <v>0</v>
      </c>
      <c r="I777" s="32">
        <f>Result_notebook_retravaill!K777</f>
        <v>150362.45220685739</v>
      </c>
      <c r="J777" s="32">
        <f>MIN(G777,Result_notebook_retravaill!I777)</f>
        <v>0</v>
      </c>
      <c r="K777" s="32">
        <f>IF(Result_notebook_retravaill!I777&gt;Result_notebook_retravaill!G777,0,IF(Result_notebook_retravaill!I777+Result_notebook_retravaill!J777&gt;Result_notebook_retravaill!G777,Result_notebook_retravaill!G777-Result_notebook_retravaill!I777,Result_notebook_retravaill!J777))</f>
        <v>0</v>
      </c>
      <c r="L777" s="32">
        <f>IF(Result_notebook_retravaill!I777&gt;Result_notebook_retravaill!G777,0,IF(Result_notebook_retravaill!I777+Result_notebook_retravaill!J777&gt;Result_notebook_retravaill!G777,0,Result_notebook_retravaill!M777))</f>
        <v>118786.33724341739</v>
      </c>
      <c r="M777" s="31">
        <f t="shared" si="12"/>
        <v>0</v>
      </c>
    </row>
    <row r="778" spans="1:13" x14ac:dyDescent="0.35">
      <c r="A778">
        <f>Result_notebook_retravaill!A778</f>
        <v>2033</v>
      </c>
      <c r="B778" t="str">
        <f>Result_notebook_retravaill!B778</f>
        <v>Nickel</v>
      </c>
      <c r="C778" t="str">
        <f>Result_notebook_retravaill!C778</f>
        <v>Global Net-zero</v>
      </c>
      <c r="D778" t="str">
        <f>Result_notebook_retravaill!D778</f>
        <v>Existing production</v>
      </c>
      <c r="E778" t="str">
        <f>Result_notebook_retravaill!E778</f>
        <v>Current shares</v>
      </c>
      <c r="F778" t="str">
        <f>Result_notebook_retravaill!F778</f>
        <v>Status Quo</v>
      </c>
      <c r="G778">
        <f>Result_notebook_retravaill!G778</f>
        <v>118786.33724341739</v>
      </c>
      <c r="H778" s="32">
        <f>IF(Result_notebook_retravaill!I778&gt;Result_notebook_retravaill!G778,Result_notebook_retravaill!I778/Result_notebook_retravaill!N778,Result_notebook_retravaill!H778)</f>
        <v>120288</v>
      </c>
      <c r="I778" s="32">
        <f>Result_notebook_retravaill!K778</f>
        <v>30074.452206857441</v>
      </c>
      <c r="J778" s="32">
        <f>MIN(G778,Result_notebook_retravaill!I778)</f>
        <v>67467.138598854319</v>
      </c>
      <c r="K778" s="32">
        <f>IF(Result_notebook_retravaill!I778&gt;Result_notebook_retravaill!G778,0,IF(Result_notebook_retravaill!I778+Result_notebook_retravaill!J778&gt;Result_notebook_retravaill!G778,Result_notebook_retravaill!G778-Result_notebook_retravaill!I778,Result_notebook_retravaill!J778))</f>
        <v>16634.679006634033</v>
      </c>
      <c r="L778" s="32">
        <f>IF(Result_notebook_retravaill!I778&gt;Result_notebook_retravaill!G778,0,IF(Result_notebook_retravaill!I778+Result_notebook_retravaill!J778&gt;Result_notebook_retravaill!G778,0,Result_notebook_retravaill!M778))</f>
        <v>34684.51963792905</v>
      </c>
      <c r="M778" s="31">
        <f t="shared" si="12"/>
        <v>0</v>
      </c>
    </row>
    <row r="779" spans="1:13" x14ac:dyDescent="0.35">
      <c r="A779">
        <f>Result_notebook_retravaill!A779</f>
        <v>2033</v>
      </c>
      <c r="B779" t="str">
        <f>Result_notebook_retravaill!B779</f>
        <v>Nickel</v>
      </c>
      <c r="C779" t="str">
        <f>Result_notebook_retravaill!C779</f>
        <v>Global Net-zero</v>
      </c>
      <c r="D779" t="str">
        <f>Result_notebook_retravaill!D779</f>
        <v>Production potential</v>
      </c>
      <c r="E779" t="str">
        <f>Result_notebook_retravaill!E779</f>
        <v>Current shares</v>
      </c>
      <c r="F779" t="str">
        <f>Result_notebook_retravaill!F779</f>
        <v>Expansion Extractive</v>
      </c>
      <c r="G779">
        <f>Result_notebook_retravaill!G779</f>
        <v>118786.33724341739</v>
      </c>
      <c r="H779" s="32">
        <f>IF(Result_notebook_retravaill!I779&gt;Result_notebook_retravaill!G779,Result_notebook_retravaill!I779/Result_notebook_retravaill!N779,Result_notebook_retravaill!H779)</f>
        <v>206578.6229524189</v>
      </c>
      <c r="I779" s="32">
        <f>Result_notebook_retravaill!K779</f>
        <v>0</v>
      </c>
      <c r="J779" s="32">
        <f>MIN(G779,Result_notebook_retravaill!I779)</f>
        <v>115865.8269011981</v>
      </c>
      <c r="K779" s="32">
        <f>IF(Result_notebook_retravaill!I779&gt;Result_notebook_retravaill!G779,0,IF(Result_notebook_retravaill!I779+Result_notebook_retravaill!J779&gt;Result_notebook_retravaill!G779,Result_notebook_retravaill!G779-Result_notebook_retravaill!I779,Result_notebook_retravaill!J779))</f>
        <v>2920.5103422192915</v>
      </c>
      <c r="L779" s="32">
        <f>IF(Result_notebook_retravaill!I779&gt;Result_notebook_retravaill!G779,0,IF(Result_notebook_retravaill!I779+Result_notebook_retravaill!J779&gt;Result_notebook_retravaill!G779,0,Result_notebook_retravaill!M779))</f>
        <v>0</v>
      </c>
      <c r="M779" s="31">
        <f t="shared" si="12"/>
        <v>0</v>
      </c>
    </row>
    <row r="780" spans="1:13" x14ac:dyDescent="0.35">
      <c r="A780">
        <f>Result_notebook_retravaill!A780</f>
        <v>2033</v>
      </c>
      <c r="B780" t="str">
        <f>Result_notebook_retravaill!B780</f>
        <v>Nickel</v>
      </c>
      <c r="C780" t="str">
        <f>Result_notebook_retravaill!C780</f>
        <v>Global Net-zero</v>
      </c>
      <c r="D780" t="str">
        <f>Result_notebook_retravaill!D780</f>
        <v>Production potential</v>
      </c>
      <c r="E780" t="str">
        <f>Result_notebook_retravaill!E780</f>
        <v>Current shares</v>
      </c>
      <c r="F780" t="str">
        <f>Result_notebook_retravaill!F780</f>
        <v>Expansion Extractive+Circularity</v>
      </c>
      <c r="G780">
        <f>Result_notebook_retravaill!G780</f>
        <v>118786.33724341739</v>
      </c>
      <c r="H780" s="32">
        <f>IF(Result_notebook_retravaill!I780&gt;Result_notebook_retravaill!G780,Result_notebook_retravaill!I780/Result_notebook_retravaill!N780,Result_notebook_retravaill!H780)</f>
        <v>206578.6229524189</v>
      </c>
      <c r="I780" s="32">
        <f>Result_notebook_retravaill!K780</f>
        <v>0</v>
      </c>
      <c r="J780" s="32">
        <f>MIN(G780,Result_notebook_retravaill!I780)</f>
        <v>115865.8269011981</v>
      </c>
      <c r="K780" s="32">
        <f>IF(Result_notebook_retravaill!I780&gt;Result_notebook_retravaill!G780,0,IF(Result_notebook_retravaill!I780+Result_notebook_retravaill!J780&gt;Result_notebook_retravaill!G780,Result_notebook_retravaill!G780-Result_notebook_retravaill!I780,Result_notebook_retravaill!J780))</f>
        <v>2920.5103422192915</v>
      </c>
      <c r="L780" s="32">
        <f>IF(Result_notebook_retravaill!I780&gt;Result_notebook_retravaill!G780,0,IF(Result_notebook_retravaill!I780+Result_notebook_retravaill!J780&gt;Result_notebook_retravaill!G780,0,Result_notebook_retravaill!M780))</f>
        <v>0</v>
      </c>
      <c r="M780" s="31">
        <f t="shared" si="12"/>
        <v>0</v>
      </c>
    </row>
    <row r="781" spans="1:13" x14ac:dyDescent="0.35">
      <c r="A781">
        <f>Result_notebook_retravaill!A781</f>
        <v>2033</v>
      </c>
      <c r="B781" t="str">
        <f>Result_notebook_retravaill!B781</f>
        <v>Nickel</v>
      </c>
      <c r="C781" t="str">
        <f>Result_notebook_retravaill!C781</f>
        <v>Global Net-zero</v>
      </c>
      <c r="D781" t="str">
        <f>Result_notebook_retravaill!D781</f>
        <v>Production potential</v>
      </c>
      <c r="E781" t="str">
        <f>Result_notebook_retravaill!E781</f>
        <v>100% CAN</v>
      </c>
      <c r="F781" t="str">
        <f>Result_notebook_retravaill!F781</f>
        <v>Integrated</v>
      </c>
      <c r="G781">
        <f>Result_notebook_retravaill!G781</f>
        <v>118786.33724341739</v>
      </c>
      <c r="H781" s="32">
        <f>IF(Result_notebook_retravaill!I781&gt;Result_notebook_retravaill!G781,Result_notebook_retravaill!I781/Result_notebook_retravaill!N781,Result_notebook_retravaill!H781)</f>
        <v>232692.93186401716</v>
      </c>
      <c r="I781" s="32">
        <f>Result_notebook_retravaill!K781</f>
        <v>0</v>
      </c>
      <c r="J781" s="32">
        <f>MIN(G781,Result_notebook_retravaill!I781)</f>
        <v>118786.33724341739</v>
      </c>
      <c r="K781" s="32">
        <f>IF(Result_notebook_retravaill!I781&gt;Result_notebook_retravaill!G781,0,IF(Result_notebook_retravaill!I781+Result_notebook_retravaill!J781&gt;Result_notebook_retravaill!G781,Result_notebook_retravaill!G781-Result_notebook_retravaill!I781,Result_notebook_retravaill!J781))</f>
        <v>0</v>
      </c>
      <c r="L781" s="32">
        <f>IF(Result_notebook_retravaill!I781&gt;Result_notebook_retravaill!G781,0,IF(Result_notebook_retravaill!I781+Result_notebook_retravaill!J781&gt;Result_notebook_retravaill!G781,0,Result_notebook_retravaill!M781))</f>
        <v>0</v>
      </c>
      <c r="M781" s="31">
        <f t="shared" si="12"/>
        <v>0</v>
      </c>
    </row>
    <row r="782" spans="1:13" x14ac:dyDescent="0.35">
      <c r="A782">
        <f>Result_notebook_retravaill!A782</f>
        <v>2033</v>
      </c>
      <c r="B782" t="str">
        <f>Result_notebook_retravaill!B782</f>
        <v>Graphite</v>
      </c>
      <c r="C782" t="str">
        <f>Result_notebook_retravaill!C782</f>
        <v>Canada Net-zero</v>
      </c>
      <c r="D782" t="str">
        <f>Result_notebook_retravaill!D782</f>
        <v>Existing production</v>
      </c>
      <c r="E782" t="str">
        <f>Result_notebook_retravaill!E782</f>
        <v>Current shares</v>
      </c>
      <c r="F782" t="str">
        <f>Result_notebook_retravaill!F782</f>
        <v>NIMBY</v>
      </c>
      <c r="G782">
        <f>Result_notebook_retravaill!G782</f>
        <v>2712.6977060483359</v>
      </c>
      <c r="H782" s="32">
        <f>IF(Result_notebook_retravaill!I782&gt;Result_notebook_retravaill!G782,Result_notebook_retravaill!I782/Result_notebook_retravaill!N782,Result_notebook_retravaill!H782)</f>
        <v>0</v>
      </c>
      <c r="I782" s="32">
        <f>Result_notebook_retravaill!K782</f>
        <v>2712.6977060483359</v>
      </c>
      <c r="J782" s="32">
        <f>MIN(G782,Result_notebook_retravaill!I782)</f>
        <v>0</v>
      </c>
      <c r="K782" s="32">
        <f>IF(Result_notebook_retravaill!I782&gt;Result_notebook_retravaill!G782,0,IF(Result_notebook_retravaill!I782+Result_notebook_retravaill!J782&gt;Result_notebook_retravaill!G782,Result_notebook_retravaill!G782-Result_notebook_retravaill!I782,Result_notebook_retravaill!J782))</f>
        <v>0</v>
      </c>
      <c r="L782" s="32">
        <f>IF(Result_notebook_retravaill!I782&gt;Result_notebook_retravaill!G782,0,IF(Result_notebook_retravaill!I782+Result_notebook_retravaill!J782&gt;Result_notebook_retravaill!G782,0,Result_notebook_retravaill!M782))</f>
        <v>2712.6977060483359</v>
      </c>
      <c r="M782" s="31">
        <f t="shared" si="12"/>
        <v>0</v>
      </c>
    </row>
    <row r="783" spans="1:13" x14ac:dyDescent="0.35">
      <c r="A783">
        <f>Result_notebook_retravaill!A783</f>
        <v>2033</v>
      </c>
      <c r="B783" t="str">
        <f>Result_notebook_retravaill!B783</f>
        <v>Graphite</v>
      </c>
      <c r="C783" t="str">
        <f>Result_notebook_retravaill!C783</f>
        <v>Canada Net-zero</v>
      </c>
      <c r="D783" t="str">
        <f>Result_notebook_retravaill!D783</f>
        <v>Existing production</v>
      </c>
      <c r="E783" t="str">
        <f>Result_notebook_retravaill!E783</f>
        <v>Current shares</v>
      </c>
      <c r="F783" t="str">
        <f>Result_notebook_retravaill!F783</f>
        <v>Status Quo</v>
      </c>
      <c r="G783">
        <f>Result_notebook_retravaill!G783</f>
        <v>2712.6977060483359</v>
      </c>
      <c r="H783" s="32">
        <f>IF(Result_notebook_retravaill!I783&gt;Result_notebook_retravaill!G783,Result_notebook_retravaill!I783/Result_notebook_retravaill!N783,Result_notebook_retravaill!H783)</f>
        <v>0</v>
      </c>
      <c r="I783" s="32">
        <f>Result_notebook_retravaill!K783</f>
        <v>2712.6977060483359</v>
      </c>
      <c r="J783" s="32">
        <f>MIN(G783,Result_notebook_retravaill!I783)</f>
        <v>0</v>
      </c>
      <c r="K783" s="32">
        <f>IF(Result_notebook_retravaill!I783&gt;Result_notebook_retravaill!G783,0,IF(Result_notebook_retravaill!I783+Result_notebook_retravaill!J783&gt;Result_notebook_retravaill!G783,Result_notebook_retravaill!G783-Result_notebook_retravaill!I783,Result_notebook_retravaill!J783))</f>
        <v>0</v>
      </c>
      <c r="L783" s="32">
        <f>IF(Result_notebook_retravaill!I783&gt;Result_notebook_retravaill!G783,0,IF(Result_notebook_retravaill!I783+Result_notebook_retravaill!J783&gt;Result_notebook_retravaill!G783,0,Result_notebook_retravaill!M783))</f>
        <v>2712.6977060483359</v>
      </c>
      <c r="M783" s="31">
        <f t="shared" si="12"/>
        <v>0</v>
      </c>
    </row>
    <row r="784" spans="1:13" x14ac:dyDescent="0.35">
      <c r="A784">
        <f>Result_notebook_retravaill!A784</f>
        <v>2033</v>
      </c>
      <c r="B784" t="str">
        <f>Result_notebook_retravaill!B784</f>
        <v>Graphite</v>
      </c>
      <c r="C784" t="str">
        <f>Result_notebook_retravaill!C784</f>
        <v>Canada Net-zero</v>
      </c>
      <c r="D784" t="str">
        <f>Result_notebook_retravaill!D784</f>
        <v>Production potential</v>
      </c>
      <c r="E784" t="str">
        <f>Result_notebook_retravaill!E784</f>
        <v>Current shares</v>
      </c>
      <c r="F784" t="str">
        <f>Result_notebook_retravaill!F784</f>
        <v>Expansion Extractive</v>
      </c>
      <c r="G784">
        <f>Result_notebook_retravaill!G784</f>
        <v>2712.6977060483359</v>
      </c>
      <c r="H784" s="32">
        <f>IF(Result_notebook_retravaill!I784&gt;Result_notebook_retravaill!G784,Result_notebook_retravaill!I784/Result_notebook_retravaill!N784,Result_notebook_retravaill!H784)</f>
        <v>59179.042853184124</v>
      </c>
      <c r="I784" s="32">
        <f>Result_notebook_retravaill!K784</f>
        <v>0</v>
      </c>
      <c r="J784" s="32">
        <f>MIN(G784,Result_notebook_retravaill!I784)</f>
        <v>2712.6977060483359</v>
      </c>
      <c r="K784" s="32">
        <f>IF(Result_notebook_retravaill!I784&gt;Result_notebook_retravaill!G784,0,IF(Result_notebook_retravaill!I784+Result_notebook_retravaill!J784&gt;Result_notebook_retravaill!G784,Result_notebook_retravaill!G784-Result_notebook_retravaill!I784,Result_notebook_retravaill!J784))</f>
        <v>0</v>
      </c>
      <c r="L784" s="32">
        <f>IF(Result_notebook_retravaill!I784&gt;Result_notebook_retravaill!G784,0,IF(Result_notebook_retravaill!I784+Result_notebook_retravaill!J784&gt;Result_notebook_retravaill!G784,0,Result_notebook_retravaill!M784))</f>
        <v>0</v>
      </c>
      <c r="M784" s="31">
        <f t="shared" si="12"/>
        <v>0</v>
      </c>
    </row>
    <row r="785" spans="1:13" x14ac:dyDescent="0.35">
      <c r="A785">
        <f>Result_notebook_retravaill!A785</f>
        <v>2033</v>
      </c>
      <c r="B785" t="str">
        <f>Result_notebook_retravaill!B785</f>
        <v>Graphite</v>
      </c>
      <c r="C785" t="str">
        <f>Result_notebook_retravaill!C785</f>
        <v>Canada Net-zero</v>
      </c>
      <c r="D785" t="str">
        <f>Result_notebook_retravaill!D785</f>
        <v>Production potential</v>
      </c>
      <c r="E785" t="str">
        <f>Result_notebook_retravaill!E785</f>
        <v>Current shares</v>
      </c>
      <c r="F785" t="str">
        <f>Result_notebook_retravaill!F785</f>
        <v>Expansion Extractive+Circularity</v>
      </c>
      <c r="G785">
        <f>Result_notebook_retravaill!G785</f>
        <v>2712.6977060483359</v>
      </c>
      <c r="H785" s="32">
        <f>IF(Result_notebook_retravaill!I785&gt;Result_notebook_retravaill!G785,Result_notebook_retravaill!I785/Result_notebook_retravaill!N785,Result_notebook_retravaill!H785)</f>
        <v>59179.042853184124</v>
      </c>
      <c r="I785" s="32">
        <f>Result_notebook_retravaill!K785</f>
        <v>0</v>
      </c>
      <c r="J785" s="32">
        <f>MIN(G785,Result_notebook_retravaill!I785)</f>
        <v>2712.6977060483359</v>
      </c>
      <c r="K785" s="32">
        <f>IF(Result_notebook_retravaill!I785&gt;Result_notebook_retravaill!G785,0,IF(Result_notebook_retravaill!I785+Result_notebook_retravaill!J785&gt;Result_notebook_retravaill!G785,Result_notebook_retravaill!G785-Result_notebook_retravaill!I785,Result_notebook_retravaill!J785))</f>
        <v>0</v>
      </c>
      <c r="L785" s="32">
        <f>IF(Result_notebook_retravaill!I785&gt;Result_notebook_retravaill!G785,0,IF(Result_notebook_retravaill!I785+Result_notebook_retravaill!J785&gt;Result_notebook_retravaill!G785,0,Result_notebook_retravaill!M785))</f>
        <v>0</v>
      </c>
      <c r="M785" s="31">
        <f t="shared" si="12"/>
        <v>0</v>
      </c>
    </row>
    <row r="786" spans="1:13" x14ac:dyDescent="0.35">
      <c r="A786">
        <f>Result_notebook_retravaill!A786</f>
        <v>2033</v>
      </c>
      <c r="B786" t="str">
        <f>Result_notebook_retravaill!B786</f>
        <v>Graphite</v>
      </c>
      <c r="C786" t="str">
        <f>Result_notebook_retravaill!C786</f>
        <v>Canada Net-zero</v>
      </c>
      <c r="D786" t="str">
        <f>Result_notebook_retravaill!D786</f>
        <v>Production potential</v>
      </c>
      <c r="E786" t="str">
        <f>Result_notebook_retravaill!E786</f>
        <v>100% CAN</v>
      </c>
      <c r="F786" t="str">
        <f>Result_notebook_retravaill!F786</f>
        <v>Integrated</v>
      </c>
      <c r="G786">
        <f>Result_notebook_retravaill!G786</f>
        <v>2712.6977060483359</v>
      </c>
      <c r="H786" s="32">
        <f>IF(Result_notebook_retravaill!I786&gt;Result_notebook_retravaill!G786,Result_notebook_retravaill!I786/Result_notebook_retravaill!N786,Result_notebook_retravaill!H786)</f>
        <v>59179.042853184124</v>
      </c>
      <c r="I786" s="32">
        <f>Result_notebook_retravaill!K786</f>
        <v>0</v>
      </c>
      <c r="J786" s="32">
        <f>MIN(G786,Result_notebook_retravaill!I786)</f>
        <v>2712.6977060483359</v>
      </c>
      <c r="K786" s="32">
        <f>IF(Result_notebook_retravaill!I786&gt;Result_notebook_retravaill!G786,0,IF(Result_notebook_retravaill!I786+Result_notebook_retravaill!J786&gt;Result_notebook_retravaill!G786,Result_notebook_retravaill!G786-Result_notebook_retravaill!I786,Result_notebook_retravaill!J786))</f>
        <v>0</v>
      </c>
      <c r="L786" s="32">
        <f>IF(Result_notebook_retravaill!I786&gt;Result_notebook_retravaill!G786,0,IF(Result_notebook_retravaill!I786+Result_notebook_retravaill!J786&gt;Result_notebook_retravaill!G786,0,Result_notebook_retravaill!M786))</f>
        <v>0</v>
      </c>
      <c r="M786" s="31">
        <f t="shared" si="12"/>
        <v>0</v>
      </c>
    </row>
    <row r="787" spans="1:13" x14ac:dyDescent="0.35">
      <c r="A787">
        <f>Result_notebook_retravaill!A787</f>
        <v>2033</v>
      </c>
      <c r="B787" t="str">
        <f>Result_notebook_retravaill!B787</f>
        <v>Graphite</v>
      </c>
      <c r="C787" t="str">
        <f>Result_notebook_retravaill!C787</f>
        <v>Current Measures</v>
      </c>
      <c r="D787" t="str">
        <f>Result_notebook_retravaill!D787</f>
        <v>Existing production</v>
      </c>
      <c r="E787" t="str">
        <f>Result_notebook_retravaill!E787</f>
        <v>Current shares</v>
      </c>
      <c r="F787" t="str">
        <f>Result_notebook_retravaill!F787</f>
        <v>NIMBY</v>
      </c>
      <c r="G787">
        <f>Result_notebook_retravaill!G787</f>
        <v>1062.914972515613</v>
      </c>
      <c r="H787" s="32">
        <f>IF(Result_notebook_retravaill!I787&gt;Result_notebook_retravaill!G787,Result_notebook_retravaill!I787/Result_notebook_retravaill!N787,Result_notebook_retravaill!H787)</f>
        <v>0</v>
      </c>
      <c r="I787" s="32">
        <f>Result_notebook_retravaill!K787</f>
        <v>1062.914972515613</v>
      </c>
      <c r="J787" s="32">
        <f>MIN(G787,Result_notebook_retravaill!I787)</f>
        <v>0</v>
      </c>
      <c r="K787" s="32">
        <f>IF(Result_notebook_retravaill!I787&gt;Result_notebook_retravaill!G787,0,IF(Result_notebook_retravaill!I787+Result_notebook_retravaill!J787&gt;Result_notebook_retravaill!G787,Result_notebook_retravaill!G787-Result_notebook_retravaill!I787,Result_notebook_retravaill!J787))</f>
        <v>0</v>
      </c>
      <c r="L787" s="32">
        <f>IF(Result_notebook_retravaill!I787&gt;Result_notebook_retravaill!G787,0,IF(Result_notebook_retravaill!I787+Result_notebook_retravaill!J787&gt;Result_notebook_retravaill!G787,0,Result_notebook_retravaill!M787))</f>
        <v>1062.914972515613</v>
      </c>
      <c r="M787" s="31">
        <f t="shared" si="12"/>
        <v>0</v>
      </c>
    </row>
    <row r="788" spans="1:13" x14ac:dyDescent="0.35">
      <c r="A788">
        <f>Result_notebook_retravaill!A788</f>
        <v>2033</v>
      </c>
      <c r="B788" t="str">
        <f>Result_notebook_retravaill!B788</f>
        <v>Graphite</v>
      </c>
      <c r="C788" t="str">
        <f>Result_notebook_retravaill!C788</f>
        <v>Current Measures</v>
      </c>
      <c r="D788" t="str">
        <f>Result_notebook_retravaill!D788</f>
        <v>Existing production</v>
      </c>
      <c r="E788" t="str">
        <f>Result_notebook_retravaill!E788</f>
        <v>Current shares</v>
      </c>
      <c r="F788" t="str">
        <f>Result_notebook_retravaill!F788</f>
        <v>Status Quo</v>
      </c>
      <c r="G788">
        <f>Result_notebook_retravaill!G788</f>
        <v>1062.914972515613</v>
      </c>
      <c r="H788" s="32">
        <f>IF(Result_notebook_retravaill!I788&gt;Result_notebook_retravaill!G788,Result_notebook_retravaill!I788/Result_notebook_retravaill!N788,Result_notebook_retravaill!H788)</f>
        <v>0</v>
      </c>
      <c r="I788" s="32">
        <f>Result_notebook_retravaill!K788</f>
        <v>1062.914972515613</v>
      </c>
      <c r="J788" s="32">
        <f>MIN(G788,Result_notebook_retravaill!I788)</f>
        <v>0</v>
      </c>
      <c r="K788" s="32">
        <f>IF(Result_notebook_retravaill!I788&gt;Result_notebook_retravaill!G788,0,IF(Result_notebook_retravaill!I788+Result_notebook_retravaill!J788&gt;Result_notebook_retravaill!G788,Result_notebook_retravaill!G788-Result_notebook_retravaill!I788,Result_notebook_retravaill!J788))</f>
        <v>0</v>
      </c>
      <c r="L788" s="32">
        <f>IF(Result_notebook_retravaill!I788&gt;Result_notebook_retravaill!G788,0,IF(Result_notebook_retravaill!I788+Result_notebook_retravaill!J788&gt;Result_notebook_retravaill!G788,0,Result_notebook_retravaill!M788))</f>
        <v>1062.914972515613</v>
      </c>
      <c r="M788" s="31">
        <f t="shared" si="12"/>
        <v>0</v>
      </c>
    </row>
    <row r="789" spans="1:13" x14ac:dyDescent="0.35">
      <c r="A789">
        <f>Result_notebook_retravaill!A789</f>
        <v>2033</v>
      </c>
      <c r="B789" t="str">
        <f>Result_notebook_retravaill!B789</f>
        <v>Graphite</v>
      </c>
      <c r="C789" t="str">
        <f>Result_notebook_retravaill!C789</f>
        <v>Current Measures</v>
      </c>
      <c r="D789" t="str">
        <f>Result_notebook_retravaill!D789</f>
        <v>Production potential</v>
      </c>
      <c r="E789" t="str">
        <f>Result_notebook_retravaill!E789</f>
        <v>Current shares</v>
      </c>
      <c r="F789" t="str">
        <f>Result_notebook_retravaill!F789</f>
        <v>Expansion Extractive</v>
      </c>
      <c r="G789">
        <f>Result_notebook_retravaill!G789</f>
        <v>1062.914972515613</v>
      </c>
      <c r="H789" s="32">
        <f>IF(Result_notebook_retravaill!I789&gt;Result_notebook_retravaill!G789,Result_notebook_retravaill!I789/Result_notebook_retravaill!N789,Result_notebook_retravaill!H789)</f>
        <v>59179.042853184124</v>
      </c>
      <c r="I789" s="32">
        <f>Result_notebook_retravaill!K789</f>
        <v>0</v>
      </c>
      <c r="J789" s="32">
        <f>MIN(G789,Result_notebook_retravaill!I789)</f>
        <v>1062.914972515613</v>
      </c>
      <c r="K789" s="32">
        <f>IF(Result_notebook_retravaill!I789&gt;Result_notebook_retravaill!G789,0,IF(Result_notebook_retravaill!I789+Result_notebook_retravaill!J789&gt;Result_notebook_retravaill!G789,Result_notebook_retravaill!G789-Result_notebook_retravaill!I789,Result_notebook_retravaill!J789))</f>
        <v>0</v>
      </c>
      <c r="L789" s="32">
        <f>IF(Result_notebook_retravaill!I789&gt;Result_notebook_retravaill!G789,0,IF(Result_notebook_retravaill!I789+Result_notebook_retravaill!J789&gt;Result_notebook_retravaill!G789,0,Result_notebook_retravaill!M789))</f>
        <v>0</v>
      </c>
      <c r="M789" s="31">
        <f t="shared" si="12"/>
        <v>0</v>
      </c>
    </row>
    <row r="790" spans="1:13" x14ac:dyDescent="0.35">
      <c r="A790">
        <f>Result_notebook_retravaill!A790</f>
        <v>2033</v>
      </c>
      <c r="B790" t="str">
        <f>Result_notebook_retravaill!B790</f>
        <v>Graphite</v>
      </c>
      <c r="C790" t="str">
        <f>Result_notebook_retravaill!C790</f>
        <v>Current Measures</v>
      </c>
      <c r="D790" t="str">
        <f>Result_notebook_retravaill!D790</f>
        <v>Production potential</v>
      </c>
      <c r="E790" t="str">
        <f>Result_notebook_retravaill!E790</f>
        <v>Current shares</v>
      </c>
      <c r="F790" t="str">
        <f>Result_notebook_retravaill!F790</f>
        <v>Expansion Extractive+Circularity</v>
      </c>
      <c r="G790">
        <f>Result_notebook_retravaill!G790</f>
        <v>1062.914972515613</v>
      </c>
      <c r="H790" s="32">
        <f>IF(Result_notebook_retravaill!I790&gt;Result_notebook_retravaill!G790,Result_notebook_retravaill!I790/Result_notebook_retravaill!N790,Result_notebook_retravaill!H790)</f>
        <v>59179.042853184124</v>
      </c>
      <c r="I790" s="32">
        <f>Result_notebook_retravaill!K790</f>
        <v>0</v>
      </c>
      <c r="J790" s="32">
        <f>MIN(G790,Result_notebook_retravaill!I790)</f>
        <v>1062.914972515613</v>
      </c>
      <c r="K790" s="32">
        <f>IF(Result_notebook_retravaill!I790&gt;Result_notebook_retravaill!G790,0,IF(Result_notebook_retravaill!I790+Result_notebook_retravaill!J790&gt;Result_notebook_retravaill!G790,Result_notebook_retravaill!G790-Result_notebook_retravaill!I790,Result_notebook_retravaill!J790))</f>
        <v>0</v>
      </c>
      <c r="L790" s="32">
        <f>IF(Result_notebook_retravaill!I790&gt;Result_notebook_retravaill!G790,0,IF(Result_notebook_retravaill!I790+Result_notebook_retravaill!J790&gt;Result_notebook_retravaill!G790,0,Result_notebook_retravaill!M790))</f>
        <v>0</v>
      </c>
      <c r="M790" s="31">
        <f t="shared" si="12"/>
        <v>0</v>
      </c>
    </row>
    <row r="791" spans="1:13" x14ac:dyDescent="0.35">
      <c r="A791">
        <f>Result_notebook_retravaill!A791</f>
        <v>2033</v>
      </c>
      <c r="B791" t="str">
        <f>Result_notebook_retravaill!B791</f>
        <v>Graphite</v>
      </c>
      <c r="C791" t="str">
        <f>Result_notebook_retravaill!C791</f>
        <v>Current Measures</v>
      </c>
      <c r="D791" t="str">
        <f>Result_notebook_retravaill!D791</f>
        <v>Production potential</v>
      </c>
      <c r="E791" t="str">
        <f>Result_notebook_retravaill!E791</f>
        <v>100% CAN</v>
      </c>
      <c r="F791" t="str">
        <f>Result_notebook_retravaill!F791</f>
        <v>Integrated</v>
      </c>
      <c r="G791">
        <f>Result_notebook_retravaill!G791</f>
        <v>1062.914972515613</v>
      </c>
      <c r="H791" s="32">
        <f>IF(Result_notebook_retravaill!I791&gt;Result_notebook_retravaill!G791,Result_notebook_retravaill!I791/Result_notebook_retravaill!N791,Result_notebook_retravaill!H791)</f>
        <v>59179.042853184124</v>
      </c>
      <c r="I791" s="32">
        <f>Result_notebook_retravaill!K791</f>
        <v>0</v>
      </c>
      <c r="J791" s="32">
        <f>MIN(G791,Result_notebook_retravaill!I791)</f>
        <v>1062.914972515613</v>
      </c>
      <c r="K791" s="32">
        <f>IF(Result_notebook_retravaill!I791&gt;Result_notebook_retravaill!G791,0,IF(Result_notebook_retravaill!I791+Result_notebook_retravaill!J791&gt;Result_notebook_retravaill!G791,Result_notebook_retravaill!G791-Result_notebook_retravaill!I791,Result_notebook_retravaill!J791))</f>
        <v>0</v>
      </c>
      <c r="L791" s="32">
        <f>IF(Result_notebook_retravaill!I791&gt;Result_notebook_retravaill!G791,0,IF(Result_notebook_retravaill!I791+Result_notebook_retravaill!J791&gt;Result_notebook_retravaill!G791,0,Result_notebook_retravaill!M791))</f>
        <v>0</v>
      </c>
      <c r="M791" s="31">
        <f t="shared" si="12"/>
        <v>0</v>
      </c>
    </row>
    <row r="792" spans="1:13" x14ac:dyDescent="0.35">
      <c r="A792">
        <f>Result_notebook_retravaill!A792</f>
        <v>2033</v>
      </c>
      <c r="B792" t="str">
        <f>Result_notebook_retravaill!B792</f>
        <v>Graphite</v>
      </c>
      <c r="C792" t="str">
        <f>Result_notebook_retravaill!C792</f>
        <v>Global Net-zero</v>
      </c>
      <c r="D792" t="str">
        <f>Result_notebook_retravaill!D792</f>
        <v>Existing production</v>
      </c>
      <c r="E792" t="str">
        <f>Result_notebook_retravaill!E792</f>
        <v>Current shares</v>
      </c>
      <c r="F792" t="str">
        <f>Result_notebook_retravaill!F792</f>
        <v>NIMBY</v>
      </c>
      <c r="G792">
        <f>Result_notebook_retravaill!G792</f>
        <v>2578.831941326835</v>
      </c>
      <c r="H792" s="32">
        <f>IF(Result_notebook_retravaill!I792&gt;Result_notebook_retravaill!G792,Result_notebook_retravaill!I792/Result_notebook_retravaill!N792,Result_notebook_retravaill!H792)</f>
        <v>0</v>
      </c>
      <c r="I792" s="32">
        <f>Result_notebook_retravaill!K792</f>
        <v>2578.831941326835</v>
      </c>
      <c r="J792" s="32">
        <f>MIN(G792,Result_notebook_retravaill!I792)</f>
        <v>0</v>
      </c>
      <c r="K792" s="32">
        <f>IF(Result_notebook_retravaill!I792&gt;Result_notebook_retravaill!G792,0,IF(Result_notebook_retravaill!I792+Result_notebook_retravaill!J792&gt;Result_notebook_retravaill!G792,Result_notebook_retravaill!G792-Result_notebook_retravaill!I792,Result_notebook_retravaill!J792))</f>
        <v>0</v>
      </c>
      <c r="L792" s="32">
        <f>IF(Result_notebook_retravaill!I792&gt;Result_notebook_retravaill!G792,0,IF(Result_notebook_retravaill!I792+Result_notebook_retravaill!J792&gt;Result_notebook_retravaill!G792,0,Result_notebook_retravaill!M792))</f>
        <v>2578.831941326835</v>
      </c>
      <c r="M792" s="31">
        <f t="shared" si="12"/>
        <v>0</v>
      </c>
    </row>
    <row r="793" spans="1:13" x14ac:dyDescent="0.35">
      <c r="A793">
        <f>Result_notebook_retravaill!A793</f>
        <v>2033</v>
      </c>
      <c r="B793" t="str">
        <f>Result_notebook_retravaill!B793</f>
        <v>Graphite</v>
      </c>
      <c r="C793" t="str">
        <f>Result_notebook_retravaill!C793</f>
        <v>Global Net-zero</v>
      </c>
      <c r="D793" t="str">
        <f>Result_notebook_retravaill!D793</f>
        <v>Existing production</v>
      </c>
      <c r="E793" t="str">
        <f>Result_notebook_retravaill!E793</f>
        <v>Current shares</v>
      </c>
      <c r="F793" t="str">
        <f>Result_notebook_retravaill!F793</f>
        <v>Status Quo</v>
      </c>
      <c r="G793">
        <f>Result_notebook_retravaill!G793</f>
        <v>2578.831941326835</v>
      </c>
      <c r="H793" s="32">
        <f>IF(Result_notebook_retravaill!I793&gt;Result_notebook_retravaill!G793,Result_notebook_retravaill!I793/Result_notebook_retravaill!N793,Result_notebook_retravaill!H793)</f>
        <v>0</v>
      </c>
      <c r="I793" s="32">
        <f>Result_notebook_retravaill!K793</f>
        <v>2578.831941326835</v>
      </c>
      <c r="J793" s="32">
        <f>MIN(G793,Result_notebook_retravaill!I793)</f>
        <v>0</v>
      </c>
      <c r="K793" s="32">
        <f>IF(Result_notebook_retravaill!I793&gt;Result_notebook_retravaill!G793,0,IF(Result_notebook_retravaill!I793+Result_notebook_retravaill!J793&gt;Result_notebook_retravaill!G793,Result_notebook_retravaill!G793-Result_notebook_retravaill!I793,Result_notebook_retravaill!J793))</f>
        <v>0</v>
      </c>
      <c r="L793" s="32">
        <f>IF(Result_notebook_retravaill!I793&gt;Result_notebook_retravaill!G793,0,IF(Result_notebook_retravaill!I793+Result_notebook_retravaill!J793&gt;Result_notebook_retravaill!G793,0,Result_notebook_retravaill!M793))</f>
        <v>2578.831941326835</v>
      </c>
      <c r="M793" s="31">
        <f t="shared" si="12"/>
        <v>0</v>
      </c>
    </row>
    <row r="794" spans="1:13" x14ac:dyDescent="0.35">
      <c r="A794">
        <f>Result_notebook_retravaill!A794</f>
        <v>2033</v>
      </c>
      <c r="B794" t="str">
        <f>Result_notebook_retravaill!B794</f>
        <v>Graphite</v>
      </c>
      <c r="C794" t="str">
        <f>Result_notebook_retravaill!C794</f>
        <v>Global Net-zero</v>
      </c>
      <c r="D794" t="str">
        <f>Result_notebook_retravaill!D794</f>
        <v>Production potential</v>
      </c>
      <c r="E794" t="str">
        <f>Result_notebook_retravaill!E794</f>
        <v>Current shares</v>
      </c>
      <c r="F794" t="str">
        <f>Result_notebook_retravaill!F794</f>
        <v>Expansion Extractive</v>
      </c>
      <c r="G794">
        <f>Result_notebook_retravaill!G794</f>
        <v>2578.831941326835</v>
      </c>
      <c r="H794" s="32">
        <f>IF(Result_notebook_retravaill!I794&gt;Result_notebook_retravaill!G794,Result_notebook_retravaill!I794/Result_notebook_retravaill!N794,Result_notebook_retravaill!H794)</f>
        <v>59179.042853184124</v>
      </c>
      <c r="I794" s="32">
        <f>Result_notebook_retravaill!K794</f>
        <v>0</v>
      </c>
      <c r="J794" s="32">
        <f>MIN(G794,Result_notebook_retravaill!I794)</f>
        <v>2578.831941326835</v>
      </c>
      <c r="K794" s="32">
        <f>IF(Result_notebook_retravaill!I794&gt;Result_notebook_retravaill!G794,0,IF(Result_notebook_retravaill!I794+Result_notebook_retravaill!J794&gt;Result_notebook_retravaill!G794,Result_notebook_retravaill!G794-Result_notebook_retravaill!I794,Result_notebook_retravaill!J794))</f>
        <v>0</v>
      </c>
      <c r="L794" s="32">
        <f>IF(Result_notebook_retravaill!I794&gt;Result_notebook_retravaill!G794,0,IF(Result_notebook_retravaill!I794+Result_notebook_retravaill!J794&gt;Result_notebook_retravaill!G794,0,Result_notebook_retravaill!M794))</f>
        <v>0</v>
      </c>
      <c r="M794" s="31">
        <f t="shared" si="12"/>
        <v>0</v>
      </c>
    </row>
    <row r="795" spans="1:13" x14ac:dyDescent="0.35">
      <c r="A795">
        <f>Result_notebook_retravaill!A795</f>
        <v>2033</v>
      </c>
      <c r="B795" t="str">
        <f>Result_notebook_retravaill!B795</f>
        <v>Graphite</v>
      </c>
      <c r="C795" t="str">
        <f>Result_notebook_retravaill!C795</f>
        <v>Global Net-zero</v>
      </c>
      <c r="D795" t="str">
        <f>Result_notebook_retravaill!D795</f>
        <v>Production potential</v>
      </c>
      <c r="E795" t="str">
        <f>Result_notebook_retravaill!E795</f>
        <v>Current shares</v>
      </c>
      <c r="F795" t="str">
        <f>Result_notebook_retravaill!F795</f>
        <v>Expansion Extractive+Circularity</v>
      </c>
      <c r="G795">
        <f>Result_notebook_retravaill!G795</f>
        <v>2578.831941326835</v>
      </c>
      <c r="H795" s="32">
        <f>IF(Result_notebook_retravaill!I795&gt;Result_notebook_retravaill!G795,Result_notebook_retravaill!I795/Result_notebook_retravaill!N795,Result_notebook_retravaill!H795)</f>
        <v>59179.042853184124</v>
      </c>
      <c r="I795" s="32">
        <f>Result_notebook_retravaill!K795</f>
        <v>0</v>
      </c>
      <c r="J795" s="32">
        <f>MIN(G795,Result_notebook_retravaill!I795)</f>
        <v>2578.831941326835</v>
      </c>
      <c r="K795" s="32">
        <f>IF(Result_notebook_retravaill!I795&gt;Result_notebook_retravaill!G795,0,IF(Result_notebook_retravaill!I795+Result_notebook_retravaill!J795&gt;Result_notebook_retravaill!G795,Result_notebook_retravaill!G795-Result_notebook_retravaill!I795,Result_notebook_retravaill!J795))</f>
        <v>0</v>
      </c>
      <c r="L795" s="32">
        <f>IF(Result_notebook_retravaill!I795&gt;Result_notebook_retravaill!G795,0,IF(Result_notebook_retravaill!I795+Result_notebook_retravaill!J795&gt;Result_notebook_retravaill!G795,0,Result_notebook_retravaill!M795))</f>
        <v>0</v>
      </c>
      <c r="M795" s="31">
        <f t="shared" si="12"/>
        <v>0</v>
      </c>
    </row>
    <row r="796" spans="1:13" x14ac:dyDescent="0.35">
      <c r="A796">
        <f>Result_notebook_retravaill!A796</f>
        <v>2033</v>
      </c>
      <c r="B796" t="str">
        <f>Result_notebook_retravaill!B796</f>
        <v>Graphite</v>
      </c>
      <c r="C796" t="str">
        <f>Result_notebook_retravaill!C796</f>
        <v>Global Net-zero</v>
      </c>
      <c r="D796" t="str">
        <f>Result_notebook_retravaill!D796</f>
        <v>Production potential</v>
      </c>
      <c r="E796" t="str">
        <f>Result_notebook_retravaill!E796</f>
        <v>100% CAN</v>
      </c>
      <c r="F796" t="str">
        <f>Result_notebook_retravaill!F796</f>
        <v>Integrated</v>
      </c>
      <c r="G796">
        <f>Result_notebook_retravaill!G796</f>
        <v>2578.831941326835</v>
      </c>
      <c r="H796" s="32">
        <f>IF(Result_notebook_retravaill!I796&gt;Result_notebook_retravaill!G796,Result_notebook_retravaill!I796/Result_notebook_retravaill!N796,Result_notebook_retravaill!H796)</f>
        <v>59179.042853184124</v>
      </c>
      <c r="I796" s="32">
        <f>Result_notebook_retravaill!K796</f>
        <v>0</v>
      </c>
      <c r="J796" s="32">
        <f>MIN(G796,Result_notebook_retravaill!I796)</f>
        <v>2578.831941326835</v>
      </c>
      <c r="K796" s="32">
        <f>IF(Result_notebook_retravaill!I796&gt;Result_notebook_retravaill!G796,0,IF(Result_notebook_retravaill!I796+Result_notebook_retravaill!J796&gt;Result_notebook_retravaill!G796,Result_notebook_retravaill!G796-Result_notebook_retravaill!I796,Result_notebook_retravaill!J796))</f>
        <v>0</v>
      </c>
      <c r="L796" s="32">
        <f>IF(Result_notebook_retravaill!I796&gt;Result_notebook_retravaill!G796,0,IF(Result_notebook_retravaill!I796+Result_notebook_retravaill!J796&gt;Result_notebook_retravaill!G796,0,Result_notebook_retravaill!M796))</f>
        <v>0</v>
      </c>
      <c r="M796" s="31">
        <f t="shared" si="12"/>
        <v>0</v>
      </c>
    </row>
    <row r="797" spans="1:13" x14ac:dyDescent="0.35">
      <c r="A797">
        <f>Result_notebook_retravaill!A797</f>
        <v>2033</v>
      </c>
      <c r="B797" t="str">
        <f>Result_notebook_retravaill!B797</f>
        <v>Lithium</v>
      </c>
      <c r="C797" t="str">
        <f>Result_notebook_retravaill!C797</f>
        <v>Canada Net-zero</v>
      </c>
      <c r="D797" t="str">
        <f>Result_notebook_retravaill!D797</f>
        <v>Existing production</v>
      </c>
      <c r="E797" t="str">
        <f>Result_notebook_retravaill!E797</f>
        <v>Current shares</v>
      </c>
      <c r="F797" t="str">
        <f>Result_notebook_retravaill!F797</f>
        <v>NIMBY</v>
      </c>
      <c r="G797">
        <f>Result_notebook_retravaill!G797</f>
        <v>49911.675533361398</v>
      </c>
      <c r="H797" s="32">
        <f>IF(Result_notebook_retravaill!I797&gt;Result_notebook_retravaill!G797,Result_notebook_retravaill!I797/Result_notebook_retravaill!N797,Result_notebook_retravaill!H797)</f>
        <v>0</v>
      </c>
      <c r="I797" s="32">
        <f>Result_notebook_retravaill!K797</f>
        <v>71302.393619087714</v>
      </c>
      <c r="J797" s="32">
        <f>MIN(G797,Result_notebook_retravaill!I797)</f>
        <v>0</v>
      </c>
      <c r="K797" s="32">
        <f>IF(Result_notebook_retravaill!I797&gt;Result_notebook_retravaill!G797,0,IF(Result_notebook_retravaill!I797+Result_notebook_retravaill!J797&gt;Result_notebook_retravaill!G797,Result_notebook_retravaill!G797-Result_notebook_retravaill!I797,Result_notebook_retravaill!J797))</f>
        <v>0</v>
      </c>
      <c r="L797" s="32">
        <f>IF(Result_notebook_retravaill!I797&gt;Result_notebook_retravaill!G797,0,IF(Result_notebook_retravaill!I797+Result_notebook_retravaill!J797&gt;Result_notebook_retravaill!G797,0,Result_notebook_retravaill!M797))</f>
        <v>49911.675533361398</v>
      </c>
      <c r="M797" s="31">
        <f t="shared" si="12"/>
        <v>0</v>
      </c>
    </row>
    <row r="798" spans="1:13" x14ac:dyDescent="0.35">
      <c r="A798">
        <f>Result_notebook_retravaill!A798</f>
        <v>2033</v>
      </c>
      <c r="B798" t="str">
        <f>Result_notebook_retravaill!B798</f>
        <v>Lithium</v>
      </c>
      <c r="C798" t="str">
        <f>Result_notebook_retravaill!C798</f>
        <v>Canada Net-zero</v>
      </c>
      <c r="D798" t="str">
        <f>Result_notebook_retravaill!D798</f>
        <v>Existing production</v>
      </c>
      <c r="E798" t="str">
        <f>Result_notebook_retravaill!E798</f>
        <v>Current shares</v>
      </c>
      <c r="F798" t="str">
        <f>Result_notebook_retravaill!F798</f>
        <v>Status Quo</v>
      </c>
      <c r="G798">
        <f>Result_notebook_retravaill!G798</f>
        <v>49911.675533361398</v>
      </c>
      <c r="H798" s="32">
        <f>IF(Result_notebook_retravaill!I798&gt;Result_notebook_retravaill!G798,Result_notebook_retravaill!I798/Result_notebook_retravaill!N798,Result_notebook_retravaill!H798)</f>
        <v>37831</v>
      </c>
      <c r="I798" s="32">
        <f>Result_notebook_retravaill!K798</f>
        <v>33471.393619087707</v>
      </c>
      <c r="J798" s="32">
        <f>MIN(G798,Result_notebook_retravaill!I798)</f>
        <v>26450.318085205759</v>
      </c>
      <c r="K798" s="32">
        <f>IF(Result_notebook_retravaill!I798&gt;Result_notebook_retravaill!G798,0,IF(Result_notebook_retravaill!I798+Result_notebook_retravaill!J798&gt;Result_notebook_retravaill!G798,Result_notebook_retravaill!G798-Result_notebook_retravaill!I798,Result_notebook_retravaill!J798))</f>
        <v>3343.6750009035895</v>
      </c>
      <c r="L798" s="32">
        <f>IF(Result_notebook_retravaill!I798&gt;Result_notebook_retravaill!G798,0,IF(Result_notebook_retravaill!I798+Result_notebook_retravaill!J798&gt;Result_notebook_retravaill!G798,0,Result_notebook_retravaill!M798))</f>
        <v>20117.682447252049</v>
      </c>
      <c r="M798" s="31">
        <f t="shared" si="12"/>
        <v>0</v>
      </c>
    </row>
    <row r="799" spans="1:13" x14ac:dyDescent="0.35">
      <c r="A799">
        <f>Result_notebook_retravaill!A799</f>
        <v>2033</v>
      </c>
      <c r="B799" t="str">
        <f>Result_notebook_retravaill!B799</f>
        <v>Lithium</v>
      </c>
      <c r="C799" t="str">
        <f>Result_notebook_retravaill!C799</f>
        <v>Canada Net-zero</v>
      </c>
      <c r="D799" t="str">
        <f>Result_notebook_retravaill!D799</f>
        <v>Production potential</v>
      </c>
      <c r="E799" t="str">
        <f>Result_notebook_retravaill!E799</f>
        <v>Current shares</v>
      </c>
      <c r="F799" t="str">
        <f>Result_notebook_retravaill!F799</f>
        <v>Expansion Extractive</v>
      </c>
      <c r="G799">
        <f>Result_notebook_retravaill!G799</f>
        <v>49911.675533361398</v>
      </c>
      <c r="H799" s="32">
        <f>IF(Result_notebook_retravaill!I799&gt;Result_notebook_retravaill!G799,Result_notebook_retravaill!I799/Result_notebook_retravaill!N799,Result_notebook_retravaill!H799)</f>
        <v>121710.19835202962</v>
      </c>
      <c r="I799" s="32">
        <f>Result_notebook_retravaill!K799</f>
        <v>0</v>
      </c>
      <c r="J799" s="32">
        <f>MIN(G799,Result_notebook_retravaill!I799)</f>
        <v>49911.675533361398</v>
      </c>
      <c r="K799" s="32">
        <f>IF(Result_notebook_retravaill!I799&gt;Result_notebook_retravaill!G799,0,IF(Result_notebook_retravaill!I799+Result_notebook_retravaill!J799&gt;Result_notebook_retravaill!G799,Result_notebook_retravaill!G799-Result_notebook_retravaill!I799,Result_notebook_retravaill!J799))</f>
        <v>0</v>
      </c>
      <c r="L799" s="32">
        <f>IF(Result_notebook_retravaill!I799&gt;Result_notebook_retravaill!G799,0,IF(Result_notebook_retravaill!I799+Result_notebook_retravaill!J799&gt;Result_notebook_retravaill!G799,0,Result_notebook_retravaill!M799))</f>
        <v>0</v>
      </c>
      <c r="M799" s="31">
        <f t="shared" si="12"/>
        <v>0</v>
      </c>
    </row>
    <row r="800" spans="1:13" x14ac:dyDescent="0.35">
      <c r="A800">
        <f>Result_notebook_retravaill!A800</f>
        <v>2033</v>
      </c>
      <c r="B800" t="str">
        <f>Result_notebook_retravaill!B800</f>
        <v>Lithium</v>
      </c>
      <c r="C800" t="str">
        <f>Result_notebook_retravaill!C800</f>
        <v>Canada Net-zero</v>
      </c>
      <c r="D800" t="str">
        <f>Result_notebook_retravaill!D800</f>
        <v>Production potential</v>
      </c>
      <c r="E800" t="str">
        <f>Result_notebook_retravaill!E800</f>
        <v>Current shares</v>
      </c>
      <c r="F800" t="str">
        <f>Result_notebook_retravaill!F800</f>
        <v>Expansion Extractive+Circularity</v>
      </c>
      <c r="G800">
        <f>Result_notebook_retravaill!G800</f>
        <v>49911.675533361398</v>
      </c>
      <c r="H800" s="32">
        <f>IF(Result_notebook_retravaill!I800&gt;Result_notebook_retravaill!G800,Result_notebook_retravaill!I800/Result_notebook_retravaill!N800,Result_notebook_retravaill!H800)</f>
        <v>121710.19835202962</v>
      </c>
      <c r="I800" s="32">
        <f>Result_notebook_retravaill!K800</f>
        <v>0</v>
      </c>
      <c r="J800" s="32">
        <f>MIN(G800,Result_notebook_retravaill!I800)</f>
        <v>49911.675533361398</v>
      </c>
      <c r="K800" s="32">
        <f>IF(Result_notebook_retravaill!I800&gt;Result_notebook_retravaill!G800,0,IF(Result_notebook_retravaill!I800+Result_notebook_retravaill!J800&gt;Result_notebook_retravaill!G800,Result_notebook_retravaill!G800-Result_notebook_retravaill!I800,Result_notebook_retravaill!J800))</f>
        <v>0</v>
      </c>
      <c r="L800" s="32">
        <f>IF(Result_notebook_retravaill!I800&gt;Result_notebook_retravaill!G800,0,IF(Result_notebook_retravaill!I800+Result_notebook_retravaill!J800&gt;Result_notebook_retravaill!G800,0,Result_notebook_retravaill!M800))</f>
        <v>0</v>
      </c>
      <c r="M800" s="31">
        <f t="shared" si="12"/>
        <v>0</v>
      </c>
    </row>
    <row r="801" spans="1:13" x14ac:dyDescent="0.35">
      <c r="A801">
        <f>Result_notebook_retravaill!A801</f>
        <v>2033</v>
      </c>
      <c r="B801" t="str">
        <f>Result_notebook_retravaill!B801</f>
        <v>Lithium</v>
      </c>
      <c r="C801" t="str">
        <f>Result_notebook_retravaill!C801</f>
        <v>Canada Net-zero</v>
      </c>
      <c r="D801" t="str">
        <f>Result_notebook_retravaill!D801</f>
        <v>Production potential</v>
      </c>
      <c r="E801" t="str">
        <f>Result_notebook_retravaill!E801</f>
        <v>100% CAN</v>
      </c>
      <c r="F801" t="str">
        <f>Result_notebook_retravaill!F801</f>
        <v>Integrated</v>
      </c>
      <c r="G801">
        <f>Result_notebook_retravaill!G801</f>
        <v>49911.675533361398</v>
      </c>
      <c r="H801" s="32">
        <f>IF(Result_notebook_retravaill!I801&gt;Result_notebook_retravaill!G801,Result_notebook_retravaill!I801/Result_notebook_retravaill!N801,Result_notebook_retravaill!H801)</f>
        <v>121710.19835202962</v>
      </c>
      <c r="I801" s="32">
        <f>Result_notebook_retravaill!K801</f>
        <v>0</v>
      </c>
      <c r="J801" s="32">
        <f>MIN(G801,Result_notebook_retravaill!I801)</f>
        <v>49911.675533361398</v>
      </c>
      <c r="K801" s="32">
        <f>IF(Result_notebook_retravaill!I801&gt;Result_notebook_retravaill!G801,0,IF(Result_notebook_retravaill!I801+Result_notebook_retravaill!J801&gt;Result_notebook_retravaill!G801,Result_notebook_retravaill!G801-Result_notebook_retravaill!I801,Result_notebook_retravaill!J801))</f>
        <v>0</v>
      </c>
      <c r="L801" s="32">
        <f>IF(Result_notebook_retravaill!I801&gt;Result_notebook_retravaill!G801,0,IF(Result_notebook_retravaill!I801+Result_notebook_retravaill!J801&gt;Result_notebook_retravaill!G801,0,Result_notebook_retravaill!M801))</f>
        <v>0</v>
      </c>
      <c r="M801" s="31">
        <f t="shared" si="12"/>
        <v>0</v>
      </c>
    </row>
    <row r="802" spans="1:13" x14ac:dyDescent="0.35">
      <c r="A802">
        <f>Result_notebook_retravaill!A802</f>
        <v>2033</v>
      </c>
      <c r="B802" t="str">
        <f>Result_notebook_retravaill!B802</f>
        <v>Lithium</v>
      </c>
      <c r="C802" t="str">
        <f>Result_notebook_retravaill!C802</f>
        <v>Current Measures</v>
      </c>
      <c r="D802" t="str">
        <f>Result_notebook_retravaill!D802</f>
        <v>Existing production</v>
      </c>
      <c r="E802" t="str">
        <f>Result_notebook_retravaill!E802</f>
        <v>Current shares</v>
      </c>
      <c r="F802" t="str">
        <f>Result_notebook_retravaill!F802</f>
        <v>NIMBY</v>
      </c>
      <c r="G802">
        <f>Result_notebook_retravaill!G802</f>
        <v>19556.866623754038</v>
      </c>
      <c r="H802" s="32">
        <f>IF(Result_notebook_retravaill!I802&gt;Result_notebook_retravaill!G802,Result_notebook_retravaill!I802/Result_notebook_retravaill!N802,Result_notebook_retravaill!H802)</f>
        <v>0</v>
      </c>
      <c r="I802" s="32">
        <f>Result_notebook_retravaill!K802</f>
        <v>27938.380891077199</v>
      </c>
      <c r="J802" s="32">
        <f>MIN(G802,Result_notebook_retravaill!I802)</f>
        <v>0</v>
      </c>
      <c r="K802" s="32">
        <f>IF(Result_notebook_retravaill!I802&gt;Result_notebook_retravaill!G802,0,IF(Result_notebook_retravaill!I802+Result_notebook_retravaill!J802&gt;Result_notebook_retravaill!G802,Result_notebook_retravaill!G802-Result_notebook_retravaill!I802,Result_notebook_retravaill!J802))</f>
        <v>0</v>
      </c>
      <c r="L802" s="32">
        <f>IF(Result_notebook_retravaill!I802&gt;Result_notebook_retravaill!G802,0,IF(Result_notebook_retravaill!I802+Result_notebook_retravaill!J802&gt;Result_notebook_retravaill!G802,0,Result_notebook_retravaill!M802))</f>
        <v>19556.866623754038</v>
      </c>
      <c r="M802" s="31">
        <f t="shared" si="12"/>
        <v>0</v>
      </c>
    </row>
    <row r="803" spans="1:13" x14ac:dyDescent="0.35">
      <c r="A803">
        <f>Result_notebook_retravaill!A803</f>
        <v>2033</v>
      </c>
      <c r="B803" t="str">
        <f>Result_notebook_retravaill!B803</f>
        <v>Lithium</v>
      </c>
      <c r="C803" t="str">
        <f>Result_notebook_retravaill!C803</f>
        <v>Current Measures</v>
      </c>
      <c r="D803" t="str">
        <f>Result_notebook_retravaill!D803</f>
        <v>Existing production</v>
      </c>
      <c r="E803" t="str">
        <f>Result_notebook_retravaill!E803</f>
        <v>Current shares</v>
      </c>
      <c r="F803" t="str">
        <f>Result_notebook_retravaill!F803</f>
        <v>Status Quo</v>
      </c>
      <c r="G803">
        <f>Result_notebook_retravaill!G803</f>
        <v>19556.866623754038</v>
      </c>
      <c r="H803" s="32">
        <f>IF(Result_notebook_retravaill!I803&gt;Result_notebook_retravaill!G803,Result_notebook_retravaill!I803/Result_notebook_retravaill!N803,Result_notebook_retravaill!H803)</f>
        <v>33585.359994862243</v>
      </c>
      <c r="I803" s="32">
        <f>Result_notebook_retravaill!K803</f>
        <v>0</v>
      </c>
      <c r="J803" s="32">
        <f>MIN(G803,Result_notebook_retravaill!I803)</f>
        <v>19556.866623754038</v>
      </c>
      <c r="K803" s="32">
        <f>IF(Result_notebook_retravaill!I803&gt;Result_notebook_retravaill!G803,0,IF(Result_notebook_retravaill!I803+Result_notebook_retravaill!J803&gt;Result_notebook_retravaill!G803,Result_notebook_retravaill!G803-Result_notebook_retravaill!I803,Result_notebook_retravaill!J803))</f>
        <v>0</v>
      </c>
      <c r="L803" s="32">
        <f>IF(Result_notebook_retravaill!I803&gt;Result_notebook_retravaill!G803,0,IF(Result_notebook_retravaill!I803+Result_notebook_retravaill!J803&gt;Result_notebook_retravaill!G803,0,Result_notebook_retravaill!M803))</f>
        <v>0</v>
      </c>
      <c r="M803" s="31">
        <f t="shared" si="12"/>
        <v>0</v>
      </c>
    </row>
    <row r="804" spans="1:13" x14ac:dyDescent="0.35">
      <c r="A804">
        <f>Result_notebook_retravaill!A804</f>
        <v>2033</v>
      </c>
      <c r="B804" t="str">
        <f>Result_notebook_retravaill!B804</f>
        <v>Lithium</v>
      </c>
      <c r="C804" t="str">
        <f>Result_notebook_retravaill!C804</f>
        <v>Current Measures</v>
      </c>
      <c r="D804" t="str">
        <f>Result_notebook_retravaill!D804</f>
        <v>Production potential</v>
      </c>
      <c r="E804" t="str">
        <f>Result_notebook_retravaill!E804</f>
        <v>Current shares</v>
      </c>
      <c r="F804" t="str">
        <f>Result_notebook_retravaill!F804</f>
        <v>Expansion Extractive</v>
      </c>
      <c r="G804">
        <f>Result_notebook_retravaill!G804</f>
        <v>19556.866623754038</v>
      </c>
      <c r="H804" s="32">
        <f>IF(Result_notebook_retravaill!I804&gt;Result_notebook_retravaill!G804,Result_notebook_retravaill!I804/Result_notebook_retravaill!N804,Result_notebook_retravaill!H804)</f>
        <v>121710.19835202962</v>
      </c>
      <c r="I804" s="32">
        <f>Result_notebook_retravaill!K804</f>
        <v>0</v>
      </c>
      <c r="J804" s="32">
        <f>MIN(G804,Result_notebook_retravaill!I804)</f>
        <v>19556.866623754038</v>
      </c>
      <c r="K804" s="32">
        <f>IF(Result_notebook_retravaill!I804&gt;Result_notebook_retravaill!G804,0,IF(Result_notebook_retravaill!I804+Result_notebook_retravaill!J804&gt;Result_notebook_retravaill!G804,Result_notebook_retravaill!G804-Result_notebook_retravaill!I804,Result_notebook_retravaill!J804))</f>
        <v>0</v>
      </c>
      <c r="L804" s="32">
        <f>IF(Result_notebook_retravaill!I804&gt;Result_notebook_retravaill!G804,0,IF(Result_notebook_retravaill!I804+Result_notebook_retravaill!J804&gt;Result_notebook_retravaill!G804,0,Result_notebook_retravaill!M804))</f>
        <v>0</v>
      </c>
      <c r="M804" s="31">
        <f t="shared" si="12"/>
        <v>0</v>
      </c>
    </row>
    <row r="805" spans="1:13" x14ac:dyDescent="0.35">
      <c r="A805">
        <f>Result_notebook_retravaill!A805</f>
        <v>2033</v>
      </c>
      <c r="B805" t="str">
        <f>Result_notebook_retravaill!B805</f>
        <v>Lithium</v>
      </c>
      <c r="C805" t="str">
        <f>Result_notebook_retravaill!C805</f>
        <v>Current Measures</v>
      </c>
      <c r="D805" t="str">
        <f>Result_notebook_retravaill!D805</f>
        <v>Production potential</v>
      </c>
      <c r="E805" t="str">
        <f>Result_notebook_retravaill!E805</f>
        <v>Current shares</v>
      </c>
      <c r="F805" t="str">
        <f>Result_notebook_retravaill!F805</f>
        <v>Expansion Extractive+Circularity</v>
      </c>
      <c r="G805">
        <f>Result_notebook_retravaill!G805</f>
        <v>19556.866623754038</v>
      </c>
      <c r="H805" s="32">
        <f>IF(Result_notebook_retravaill!I805&gt;Result_notebook_retravaill!G805,Result_notebook_retravaill!I805/Result_notebook_retravaill!N805,Result_notebook_retravaill!H805)</f>
        <v>121710.19835202962</v>
      </c>
      <c r="I805" s="32">
        <f>Result_notebook_retravaill!K805</f>
        <v>0</v>
      </c>
      <c r="J805" s="32">
        <f>MIN(G805,Result_notebook_retravaill!I805)</f>
        <v>19556.866623754038</v>
      </c>
      <c r="K805" s="32">
        <f>IF(Result_notebook_retravaill!I805&gt;Result_notebook_retravaill!G805,0,IF(Result_notebook_retravaill!I805+Result_notebook_retravaill!J805&gt;Result_notebook_retravaill!G805,Result_notebook_retravaill!G805-Result_notebook_retravaill!I805,Result_notebook_retravaill!J805))</f>
        <v>0</v>
      </c>
      <c r="L805" s="32">
        <f>IF(Result_notebook_retravaill!I805&gt;Result_notebook_retravaill!G805,0,IF(Result_notebook_retravaill!I805+Result_notebook_retravaill!J805&gt;Result_notebook_retravaill!G805,0,Result_notebook_retravaill!M805))</f>
        <v>0</v>
      </c>
      <c r="M805" s="31">
        <f t="shared" si="12"/>
        <v>0</v>
      </c>
    </row>
    <row r="806" spans="1:13" x14ac:dyDescent="0.35">
      <c r="A806">
        <f>Result_notebook_retravaill!A806</f>
        <v>2033</v>
      </c>
      <c r="B806" t="str">
        <f>Result_notebook_retravaill!B806</f>
        <v>Lithium</v>
      </c>
      <c r="C806" t="str">
        <f>Result_notebook_retravaill!C806</f>
        <v>Current Measures</v>
      </c>
      <c r="D806" t="str">
        <f>Result_notebook_retravaill!D806</f>
        <v>Production potential</v>
      </c>
      <c r="E806" t="str">
        <f>Result_notebook_retravaill!E806</f>
        <v>100% CAN</v>
      </c>
      <c r="F806" t="str">
        <f>Result_notebook_retravaill!F806</f>
        <v>Integrated</v>
      </c>
      <c r="G806">
        <f>Result_notebook_retravaill!G806</f>
        <v>19556.866623754038</v>
      </c>
      <c r="H806" s="32">
        <f>IF(Result_notebook_retravaill!I806&gt;Result_notebook_retravaill!G806,Result_notebook_retravaill!I806/Result_notebook_retravaill!N806,Result_notebook_retravaill!H806)</f>
        <v>121710.19835202962</v>
      </c>
      <c r="I806" s="32">
        <f>Result_notebook_retravaill!K806</f>
        <v>0</v>
      </c>
      <c r="J806" s="32">
        <f>MIN(G806,Result_notebook_retravaill!I806)</f>
        <v>19556.866623754038</v>
      </c>
      <c r="K806" s="32">
        <f>IF(Result_notebook_retravaill!I806&gt;Result_notebook_retravaill!G806,0,IF(Result_notebook_retravaill!I806+Result_notebook_retravaill!J806&gt;Result_notebook_retravaill!G806,Result_notebook_retravaill!G806-Result_notebook_retravaill!I806,Result_notebook_retravaill!J806))</f>
        <v>0</v>
      </c>
      <c r="L806" s="32">
        <f>IF(Result_notebook_retravaill!I806&gt;Result_notebook_retravaill!G806,0,IF(Result_notebook_retravaill!I806+Result_notebook_retravaill!J806&gt;Result_notebook_retravaill!G806,0,Result_notebook_retravaill!M806))</f>
        <v>0</v>
      </c>
      <c r="M806" s="31">
        <f t="shared" si="12"/>
        <v>0</v>
      </c>
    </row>
    <row r="807" spans="1:13" x14ac:dyDescent="0.35">
      <c r="A807">
        <f>Result_notebook_retravaill!A807</f>
        <v>2033</v>
      </c>
      <c r="B807" t="str">
        <f>Result_notebook_retravaill!B807</f>
        <v>Lithium</v>
      </c>
      <c r="C807" t="str">
        <f>Result_notebook_retravaill!C807</f>
        <v>Global Net-zero</v>
      </c>
      <c r="D807" t="str">
        <f>Result_notebook_retravaill!D807</f>
        <v>Existing production</v>
      </c>
      <c r="E807" t="str">
        <f>Result_notebook_retravaill!E807</f>
        <v>Current shares</v>
      </c>
      <c r="F807" t="str">
        <f>Result_notebook_retravaill!F807</f>
        <v>NIMBY</v>
      </c>
      <c r="G807">
        <f>Result_notebook_retravaill!G807</f>
        <v>47448.642295670557</v>
      </c>
      <c r="H807" s="32">
        <f>IF(Result_notebook_retravaill!I807&gt;Result_notebook_retravaill!G807,Result_notebook_retravaill!I807/Result_notebook_retravaill!N807,Result_notebook_retravaill!H807)</f>
        <v>0</v>
      </c>
      <c r="I807" s="32">
        <f>Result_notebook_retravaill!K807</f>
        <v>67783.774708100798</v>
      </c>
      <c r="J807" s="32">
        <f>MIN(G807,Result_notebook_retravaill!I807)</f>
        <v>0</v>
      </c>
      <c r="K807" s="32">
        <f>IF(Result_notebook_retravaill!I807&gt;Result_notebook_retravaill!G807,0,IF(Result_notebook_retravaill!I807+Result_notebook_retravaill!J807&gt;Result_notebook_retravaill!G807,Result_notebook_retravaill!G807-Result_notebook_retravaill!I807,Result_notebook_retravaill!J807))</f>
        <v>0</v>
      </c>
      <c r="L807" s="32">
        <f>IF(Result_notebook_retravaill!I807&gt;Result_notebook_retravaill!G807,0,IF(Result_notebook_retravaill!I807+Result_notebook_retravaill!J807&gt;Result_notebook_retravaill!G807,0,Result_notebook_retravaill!M807))</f>
        <v>47448.642295670557</v>
      </c>
      <c r="M807" s="31">
        <f t="shared" si="12"/>
        <v>0</v>
      </c>
    </row>
    <row r="808" spans="1:13" x14ac:dyDescent="0.35">
      <c r="A808">
        <f>Result_notebook_retravaill!A808</f>
        <v>2033</v>
      </c>
      <c r="B808" t="str">
        <f>Result_notebook_retravaill!B808</f>
        <v>Lithium</v>
      </c>
      <c r="C808" t="str">
        <f>Result_notebook_retravaill!C808</f>
        <v>Global Net-zero</v>
      </c>
      <c r="D808" t="str">
        <f>Result_notebook_retravaill!D808</f>
        <v>Existing production</v>
      </c>
      <c r="E808" t="str">
        <f>Result_notebook_retravaill!E808</f>
        <v>Current shares</v>
      </c>
      <c r="F808" t="str">
        <f>Result_notebook_retravaill!F808</f>
        <v>Status Quo</v>
      </c>
      <c r="G808">
        <f>Result_notebook_retravaill!G808</f>
        <v>47448.642295670557</v>
      </c>
      <c r="H808" s="32">
        <f>IF(Result_notebook_retravaill!I808&gt;Result_notebook_retravaill!G808,Result_notebook_retravaill!I808/Result_notebook_retravaill!N808,Result_notebook_retravaill!H808)</f>
        <v>37831</v>
      </c>
      <c r="I808" s="32">
        <f>Result_notebook_retravaill!K808</f>
        <v>29952.774708100798</v>
      </c>
      <c r="J808" s="32">
        <f>MIN(G808,Result_notebook_retravaill!I808)</f>
        <v>26450.318085205759</v>
      </c>
      <c r="K808" s="32">
        <f>IF(Result_notebook_retravaill!I808&gt;Result_notebook_retravaill!G808,0,IF(Result_notebook_retravaill!I808+Result_notebook_retravaill!J808&gt;Result_notebook_retravaill!G808,Result_notebook_retravaill!G808-Result_notebook_retravaill!I808,Result_notebook_retravaill!J808))</f>
        <v>3343.6750009035895</v>
      </c>
      <c r="L808" s="32">
        <f>IF(Result_notebook_retravaill!I808&gt;Result_notebook_retravaill!G808,0,IF(Result_notebook_retravaill!I808+Result_notebook_retravaill!J808&gt;Result_notebook_retravaill!G808,0,Result_notebook_retravaill!M808))</f>
        <v>17654.649209561212</v>
      </c>
      <c r="M808" s="31">
        <f t="shared" si="12"/>
        <v>0</v>
      </c>
    </row>
    <row r="809" spans="1:13" x14ac:dyDescent="0.35">
      <c r="A809">
        <f>Result_notebook_retravaill!A809</f>
        <v>2033</v>
      </c>
      <c r="B809" t="str">
        <f>Result_notebook_retravaill!B809</f>
        <v>Lithium</v>
      </c>
      <c r="C809" t="str">
        <f>Result_notebook_retravaill!C809</f>
        <v>Global Net-zero</v>
      </c>
      <c r="D809" t="str">
        <f>Result_notebook_retravaill!D809</f>
        <v>Production potential</v>
      </c>
      <c r="E809" t="str">
        <f>Result_notebook_retravaill!E809</f>
        <v>Current shares</v>
      </c>
      <c r="F809" t="str">
        <f>Result_notebook_retravaill!F809</f>
        <v>Expansion Extractive</v>
      </c>
      <c r="G809">
        <f>Result_notebook_retravaill!G809</f>
        <v>47448.642295670557</v>
      </c>
      <c r="H809" s="32">
        <f>IF(Result_notebook_retravaill!I809&gt;Result_notebook_retravaill!G809,Result_notebook_retravaill!I809/Result_notebook_retravaill!N809,Result_notebook_retravaill!H809)</f>
        <v>121710.19835202962</v>
      </c>
      <c r="I809" s="32">
        <f>Result_notebook_retravaill!K809</f>
        <v>0</v>
      </c>
      <c r="J809" s="32">
        <f>MIN(G809,Result_notebook_retravaill!I809)</f>
        <v>47448.642295670557</v>
      </c>
      <c r="K809" s="32">
        <f>IF(Result_notebook_retravaill!I809&gt;Result_notebook_retravaill!G809,0,IF(Result_notebook_retravaill!I809+Result_notebook_retravaill!J809&gt;Result_notebook_retravaill!G809,Result_notebook_retravaill!G809-Result_notebook_retravaill!I809,Result_notebook_retravaill!J809))</f>
        <v>0</v>
      </c>
      <c r="L809" s="32">
        <f>IF(Result_notebook_retravaill!I809&gt;Result_notebook_retravaill!G809,0,IF(Result_notebook_retravaill!I809+Result_notebook_retravaill!J809&gt;Result_notebook_retravaill!G809,0,Result_notebook_retravaill!M809))</f>
        <v>0</v>
      </c>
      <c r="M809" s="31">
        <f t="shared" si="12"/>
        <v>0</v>
      </c>
    </row>
    <row r="810" spans="1:13" x14ac:dyDescent="0.35">
      <c r="A810">
        <f>Result_notebook_retravaill!A810</f>
        <v>2033</v>
      </c>
      <c r="B810" t="str">
        <f>Result_notebook_retravaill!B810</f>
        <v>Lithium</v>
      </c>
      <c r="C810" t="str">
        <f>Result_notebook_retravaill!C810</f>
        <v>Global Net-zero</v>
      </c>
      <c r="D810" t="str">
        <f>Result_notebook_retravaill!D810</f>
        <v>Production potential</v>
      </c>
      <c r="E810" t="str">
        <f>Result_notebook_retravaill!E810</f>
        <v>Current shares</v>
      </c>
      <c r="F810" t="str">
        <f>Result_notebook_retravaill!F810</f>
        <v>Expansion Extractive+Circularity</v>
      </c>
      <c r="G810">
        <f>Result_notebook_retravaill!G810</f>
        <v>47448.642295670557</v>
      </c>
      <c r="H810" s="32">
        <f>IF(Result_notebook_retravaill!I810&gt;Result_notebook_retravaill!G810,Result_notebook_retravaill!I810/Result_notebook_retravaill!N810,Result_notebook_retravaill!H810)</f>
        <v>121710.19835202962</v>
      </c>
      <c r="I810" s="32">
        <f>Result_notebook_retravaill!K810</f>
        <v>0</v>
      </c>
      <c r="J810" s="32">
        <f>MIN(G810,Result_notebook_retravaill!I810)</f>
        <v>47448.642295670557</v>
      </c>
      <c r="K810" s="32">
        <f>IF(Result_notebook_retravaill!I810&gt;Result_notebook_retravaill!G810,0,IF(Result_notebook_retravaill!I810+Result_notebook_retravaill!J810&gt;Result_notebook_retravaill!G810,Result_notebook_retravaill!G810-Result_notebook_retravaill!I810,Result_notebook_retravaill!J810))</f>
        <v>0</v>
      </c>
      <c r="L810" s="32">
        <f>IF(Result_notebook_retravaill!I810&gt;Result_notebook_retravaill!G810,0,IF(Result_notebook_retravaill!I810+Result_notebook_retravaill!J810&gt;Result_notebook_retravaill!G810,0,Result_notebook_retravaill!M810))</f>
        <v>0</v>
      </c>
      <c r="M810" s="31">
        <f t="shared" si="12"/>
        <v>0</v>
      </c>
    </row>
    <row r="811" spans="1:13" x14ac:dyDescent="0.35">
      <c r="A811">
        <f>Result_notebook_retravaill!A811</f>
        <v>2033</v>
      </c>
      <c r="B811" t="str">
        <f>Result_notebook_retravaill!B811</f>
        <v>Lithium</v>
      </c>
      <c r="C811" t="str">
        <f>Result_notebook_retravaill!C811</f>
        <v>Global Net-zero</v>
      </c>
      <c r="D811" t="str">
        <f>Result_notebook_retravaill!D811</f>
        <v>Production potential</v>
      </c>
      <c r="E811" t="str">
        <f>Result_notebook_retravaill!E811</f>
        <v>100% CAN</v>
      </c>
      <c r="F811" t="str">
        <f>Result_notebook_retravaill!F811</f>
        <v>Integrated</v>
      </c>
      <c r="G811">
        <f>Result_notebook_retravaill!G811</f>
        <v>47448.642295670557</v>
      </c>
      <c r="H811" s="32">
        <f>IF(Result_notebook_retravaill!I811&gt;Result_notebook_retravaill!G811,Result_notebook_retravaill!I811/Result_notebook_retravaill!N811,Result_notebook_retravaill!H811)</f>
        <v>121710.19835202962</v>
      </c>
      <c r="I811" s="32">
        <f>Result_notebook_retravaill!K811</f>
        <v>0</v>
      </c>
      <c r="J811" s="32">
        <f>MIN(G811,Result_notebook_retravaill!I811)</f>
        <v>47448.642295670557</v>
      </c>
      <c r="K811" s="32">
        <f>IF(Result_notebook_retravaill!I811&gt;Result_notebook_retravaill!G811,0,IF(Result_notebook_retravaill!I811+Result_notebook_retravaill!J811&gt;Result_notebook_retravaill!G811,Result_notebook_retravaill!G811-Result_notebook_retravaill!I811,Result_notebook_retravaill!J811))</f>
        <v>0</v>
      </c>
      <c r="L811" s="32">
        <f>IF(Result_notebook_retravaill!I811&gt;Result_notebook_retravaill!G811,0,IF(Result_notebook_retravaill!I811+Result_notebook_retravaill!J811&gt;Result_notebook_retravaill!G811,0,Result_notebook_retravaill!M811))</f>
        <v>0</v>
      </c>
      <c r="M811" s="31">
        <f t="shared" si="12"/>
        <v>0</v>
      </c>
    </row>
    <row r="812" spans="1:13" x14ac:dyDescent="0.35">
      <c r="A812">
        <f>Result_notebook_retravaill!A812</f>
        <v>2034</v>
      </c>
      <c r="B812" t="str">
        <f>Result_notebook_retravaill!B812</f>
        <v>Cobalt</v>
      </c>
      <c r="C812" t="str">
        <f>Result_notebook_retravaill!C812</f>
        <v>Canada Net-zero</v>
      </c>
      <c r="D812" t="str">
        <f>Result_notebook_retravaill!D812</f>
        <v>Existing production</v>
      </c>
      <c r="E812" t="str">
        <f>Result_notebook_retravaill!E812</f>
        <v>Current shares</v>
      </c>
      <c r="F812" t="str">
        <f>Result_notebook_retravaill!F812</f>
        <v>NIMBY</v>
      </c>
      <c r="G812">
        <f>Result_notebook_retravaill!G812</f>
        <v>132521.50263586891</v>
      </c>
      <c r="H812" s="32">
        <f>IF(Result_notebook_retravaill!I812&gt;Result_notebook_retravaill!G812,Result_notebook_retravaill!I812/Result_notebook_retravaill!N812,Result_notebook_retravaill!H812)</f>
        <v>0</v>
      </c>
      <c r="I812" s="32">
        <f>Result_notebook_retravaill!K812</f>
        <v>301185.23326333851</v>
      </c>
      <c r="J812" s="32">
        <f>MIN(G812,Result_notebook_retravaill!I812)</f>
        <v>0</v>
      </c>
      <c r="K812" s="32">
        <f>IF(Result_notebook_retravaill!I812&gt;Result_notebook_retravaill!G812,0,IF(Result_notebook_retravaill!I812+Result_notebook_retravaill!J812&gt;Result_notebook_retravaill!G812,Result_notebook_retravaill!G812-Result_notebook_retravaill!I812,Result_notebook_retravaill!J812))</f>
        <v>0</v>
      </c>
      <c r="L812" s="32">
        <f>IF(Result_notebook_retravaill!I812&gt;Result_notebook_retravaill!G812,0,IF(Result_notebook_retravaill!I812+Result_notebook_retravaill!J812&gt;Result_notebook_retravaill!G812,0,Result_notebook_retravaill!M812))</f>
        <v>132521.50263586891</v>
      </c>
      <c r="M812" s="31">
        <f t="shared" si="12"/>
        <v>0</v>
      </c>
    </row>
    <row r="813" spans="1:13" x14ac:dyDescent="0.35">
      <c r="A813">
        <f>Result_notebook_retravaill!A813</f>
        <v>2034</v>
      </c>
      <c r="B813" t="str">
        <f>Result_notebook_retravaill!B813</f>
        <v>Cobalt</v>
      </c>
      <c r="C813" t="str">
        <f>Result_notebook_retravaill!C813</f>
        <v>Canada Net-zero</v>
      </c>
      <c r="D813" t="str">
        <f>Result_notebook_retravaill!D813</f>
        <v>Existing production</v>
      </c>
      <c r="E813" t="str">
        <f>Result_notebook_retravaill!E813</f>
        <v>Current shares</v>
      </c>
      <c r="F813" t="str">
        <f>Result_notebook_retravaill!F813</f>
        <v>Status Quo</v>
      </c>
      <c r="G813">
        <f>Result_notebook_retravaill!G813</f>
        <v>132521.50263586891</v>
      </c>
      <c r="H813" s="32">
        <f>IF(Result_notebook_retravaill!I813&gt;Result_notebook_retravaill!G813,Result_notebook_retravaill!I813/Result_notebook_retravaill!N813,Result_notebook_retravaill!H813)</f>
        <v>3079</v>
      </c>
      <c r="I813" s="32">
        <f>Result_notebook_retravaill!K813</f>
        <v>298106.23326333851</v>
      </c>
      <c r="J813" s="32">
        <f>MIN(G813,Result_notebook_retravaill!I813)</f>
        <v>1306.05584956232</v>
      </c>
      <c r="K813" s="32">
        <f>IF(Result_notebook_retravaill!I813&gt;Result_notebook_retravaill!G813,0,IF(Result_notebook_retravaill!I813+Result_notebook_retravaill!J813&gt;Result_notebook_retravaill!G813,Result_notebook_retravaill!G813-Result_notebook_retravaill!I813,Result_notebook_retravaill!J813))</f>
        <v>46.692226187885353</v>
      </c>
      <c r="L813" s="32">
        <f>IF(Result_notebook_retravaill!I813&gt;Result_notebook_retravaill!G813,0,IF(Result_notebook_retravaill!I813+Result_notebook_retravaill!J813&gt;Result_notebook_retravaill!G813,0,Result_notebook_retravaill!M813))</f>
        <v>131168.75456011872</v>
      </c>
      <c r="M813" s="31">
        <f t="shared" si="12"/>
        <v>0</v>
      </c>
    </row>
    <row r="814" spans="1:13" x14ac:dyDescent="0.35">
      <c r="A814">
        <f>Result_notebook_retravaill!A814</f>
        <v>2034</v>
      </c>
      <c r="B814" t="str">
        <f>Result_notebook_retravaill!B814</f>
        <v>Cobalt</v>
      </c>
      <c r="C814" t="str">
        <f>Result_notebook_retravaill!C814</f>
        <v>Canada Net-zero</v>
      </c>
      <c r="D814" t="str">
        <f>Result_notebook_retravaill!D814</f>
        <v>Production potential</v>
      </c>
      <c r="E814" t="str">
        <f>Result_notebook_retravaill!E814</f>
        <v>Current shares</v>
      </c>
      <c r="F814" t="str">
        <f>Result_notebook_retravaill!F814</f>
        <v>Expansion Extractive</v>
      </c>
      <c r="G814">
        <f>Result_notebook_retravaill!G814</f>
        <v>132521.50263586891</v>
      </c>
      <c r="H814" s="32">
        <f>IF(Result_notebook_retravaill!I814&gt;Result_notebook_retravaill!G814,Result_notebook_retravaill!I814/Result_notebook_retravaill!N814,Result_notebook_retravaill!H814)</f>
        <v>13476.53921289199</v>
      </c>
      <c r="I814" s="32">
        <f>Result_notebook_retravaill!K814</f>
        <v>287708.69405044639</v>
      </c>
      <c r="J814" s="32">
        <f>MIN(G814,Result_notebook_retravaill!I814)</f>
        <v>5716.5030434730606</v>
      </c>
      <c r="K814" s="32">
        <f>IF(Result_notebook_retravaill!I814&gt;Result_notebook_retravaill!G814,0,IF(Result_notebook_retravaill!I814+Result_notebook_retravaill!J814&gt;Result_notebook_retravaill!G814,Result_notebook_retravaill!G814-Result_notebook_retravaill!I814,Result_notebook_retravaill!J814))</f>
        <v>204.36817705692465</v>
      </c>
      <c r="L814" s="32">
        <f>IF(Result_notebook_retravaill!I814&gt;Result_notebook_retravaill!G814,0,IF(Result_notebook_retravaill!I814+Result_notebook_retravaill!J814&gt;Result_notebook_retravaill!G814,0,Result_notebook_retravaill!M814))</f>
        <v>126600.63141533888</v>
      </c>
      <c r="M814" s="31">
        <f t="shared" si="12"/>
        <v>0</v>
      </c>
    </row>
    <row r="815" spans="1:13" x14ac:dyDescent="0.35">
      <c r="A815">
        <f>Result_notebook_retravaill!A815</f>
        <v>2034</v>
      </c>
      <c r="B815" t="str">
        <f>Result_notebook_retravaill!B815</f>
        <v>Cobalt</v>
      </c>
      <c r="C815" t="str">
        <f>Result_notebook_retravaill!C815</f>
        <v>Canada Net-zero</v>
      </c>
      <c r="D815" t="str">
        <f>Result_notebook_retravaill!D815</f>
        <v>Production potential</v>
      </c>
      <c r="E815" t="str">
        <f>Result_notebook_retravaill!E815</f>
        <v>Current shares</v>
      </c>
      <c r="F815" t="str">
        <f>Result_notebook_retravaill!F815</f>
        <v>Expansion Extractive+Circularity</v>
      </c>
      <c r="G815">
        <f>Result_notebook_retravaill!G815</f>
        <v>132521.50263586891</v>
      </c>
      <c r="H815" s="32">
        <f>IF(Result_notebook_retravaill!I815&gt;Result_notebook_retravaill!G815,Result_notebook_retravaill!I815/Result_notebook_retravaill!N815,Result_notebook_retravaill!H815)</f>
        <v>13476.53921289199</v>
      </c>
      <c r="I815" s="32">
        <f>Result_notebook_retravaill!K815</f>
        <v>287708.69405044639</v>
      </c>
      <c r="J815" s="32">
        <f>MIN(G815,Result_notebook_retravaill!I815)</f>
        <v>5716.5030434730606</v>
      </c>
      <c r="K815" s="32">
        <f>IF(Result_notebook_retravaill!I815&gt;Result_notebook_retravaill!G815,0,IF(Result_notebook_retravaill!I815+Result_notebook_retravaill!J815&gt;Result_notebook_retravaill!G815,Result_notebook_retravaill!G815-Result_notebook_retravaill!I815,Result_notebook_retravaill!J815))</f>
        <v>204.36817705692465</v>
      </c>
      <c r="L815" s="32">
        <f>IF(Result_notebook_retravaill!I815&gt;Result_notebook_retravaill!G815,0,IF(Result_notebook_retravaill!I815+Result_notebook_retravaill!J815&gt;Result_notebook_retravaill!G815,0,Result_notebook_retravaill!M815))</f>
        <v>126600.63141533888</v>
      </c>
      <c r="M815" s="31">
        <f t="shared" si="12"/>
        <v>0</v>
      </c>
    </row>
    <row r="816" spans="1:13" x14ac:dyDescent="0.35">
      <c r="A816">
        <f>Result_notebook_retravaill!A816</f>
        <v>2034</v>
      </c>
      <c r="B816" t="str">
        <f>Result_notebook_retravaill!B816</f>
        <v>Cobalt</v>
      </c>
      <c r="C816" t="str">
        <f>Result_notebook_retravaill!C816</f>
        <v>Canada Net-zero</v>
      </c>
      <c r="D816" t="str">
        <f>Result_notebook_retravaill!D816</f>
        <v>Production potential</v>
      </c>
      <c r="E816" t="str">
        <f>Result_notebook_retravaill!E816</f>
        <v>100% CAN</v>
      </c>
      <c r="F816" t="str">
        <f>Result_notebook_retravaill!F816</f>
        <v>Integrated</v>
      </c>
      <c r="G816">
        <f>Result_notebook_retravaill!G816</f>
        <v>132521.50263586891</v>
      </c>
      <c r="H816" s="32">
        <f>IF(Result_notebook_retravaill!I816&gt;Result_notebook_retravaill!G816,Result_notebook_retravaill!I816/Result_notebook_retravaill!N816,Result_notebook_retravaill!H816)</f>
        <v>13476.53921289199</v>
      </c>
      <c r="I816" s="32">
        <f>Result_notebook_retravaill!K816</f>
        <v>287708.69405044639</v>
      </c>
      <c r="J816" s="32">
        <f>MIN(G816,Result_notebook_retravaill!I816)</f>
        <v>5920.8712205299889</v>
      </c>
      <c r="K816" s="32">
        <f>IF(Result_notebook_retravaill!I816&gt;Result_notebook_retravaill!G816,0,IF(Result_notebook_retravaill!I816+Result_notebook_retravaill!J816&gt;Result_notebook_retravaill!G816,Result_notebook_retravaill!G816-Result_notebook_retravaill!I816,Result_notebook_retravaill!J816))</f>
        <v>0</v>
      </c>
      <c r="L816" s="32">
        <f>IF(Result_notebook_retravaill!I816&gt;Result_notebook_retravaill!G816,0,IF(Result_notebook_retravaill!I816+Result_notebook_retravaill!J816&gt;Result_notebook_retravaill!G816,0,Result_notebook_retravaill!M816))</f>
        <v>126600.6314153389</v>
      </c>
      <c r="M816" s="31">
        <f t="shared" si="12"/>
        <v>0</v>
      </c>
    </row>
    <row r="817" spans="1:13" x14ac:dyDescent="0.35">
      <c r="A817">
        <f>Result_notebook_retravaill!A817</f>
        <v>2034</v>
      </c>
      <c r="B817" t="str">
        <f>Result_notebook_retravaill!B817</f>
        <v>Cobalt</v>
      </c>
      <c r="C817" t="str">
        <f>Result_notebook_retravaill!C817</f>
        <v>Current Measures</v>
      </c>
      <c r="D817" t="str">
        <f>Result_notebook_retravaill!D817</f>
        <v>Existing production</v>
      </c>
      <c r="E817" t="str">
        <f>Result_notebook_retravaill!E817</f>
        <v>Current shares</v>
      </c>
      <c r="F817" t="str">
        <f>Result_notebook_retravaill!F817</f>
        <v>NIMBY</v>
      </c>
      <c r="G817">
        <f>Result_notebook_retravaill!G817</f>
        <v>51454.423936662723</v>
      </c>
      <c r="H817" s="32">
        <f>IF(Result_notebook_retravaill!I817&gt;Result_notebook_retravaill!G817,Result_notebook_retravaill!I817/Result_notebook_retravaill!N817,Result_notebook_retravaill!H817)</f>
        <v>0</v>
      </c>
      <c r="I817" s="32">
        <f>Result_notebook_retravaill!K817</f>
        <v>116941.8725833244</v>
      </c>
      <c r="J817" s="32">
        <f>MIN(G817,Result_notebook_retravaill!I817)</f>
        <v>0</v>
      </c>
      <c r="K817" s="32">
        <f>IF(Result_notebook_retravaill!I817&gt;Result_notebook_retravaill!G817,0,IF(Result_notebook_retravaill!I817+Result_notebook_retravaill!J817&gt;Result_notebook_retravaill!G817,Result_notebook_retravaill!G817-Result_notebook_retravaill!I817,Result_notebook_retravaill!J817))</f>
        <v>0</v>
      </c>
      <c r="L817" s="32">
        <f>IF(Result_notebook_retravaill!I817&gt;Result_notebook_retravaill!G817,0,IF(Result_notebook_retravaill!I817+Result_notebook_retravaill!J817&gt;Result_notebook_retravaill!G817,0,Result_notebook_retravaill!M817))</f>
        <v>51454.423936662723</v>
      </c>
      <c r="M817" s="31">
        <f t="shared" si="12"/>
        <v>0</v>
      </c>
    </row>
    <row r="818" spans="1:13" x14ac:dyDescent="0.35">
      <c r="A818">
        <f>Result_notebook_retravaill!A818</f>
        <v>2034</v>
      </c>
      <c r="B818" t="str">
        <f>Result_notebook_retravaill!B818</f>
        <v>Cobalt</v>
      </c>
      <c r="C818" t="str">
        <f>Result_notebook_retravaill!C818</f>
        <v>Current Measures</v>
      </c>
      <c r="D818" t="str">
        <f>Result_notebook_retravaill!D818</f>
        <v>Existing production</v>
      </c>
      <c r="E818" t="str">
        <f>Result_notebook_retravaill!E818</f>
        <v>Current shares</v>
      </c>
      <c r="F818" t="str">
        <f>Result_notebook_retravaill!F818</f>
        <v>Status Quo</v>
      </c>
      <c r="G818">
        <f>Result_notebook_retravaill!G818</f>
        <v>51454.423936662723</v>
      </c>
      <c r="H818" s="32">
        <f>IF(Result_notebook_retravaill!I818&gt;Result_notebook_retravaill!G818,Result_notebook_retravaill!I818/Result_notebook_retravaill!N818,Result_notebook_retravaill!H818)</f>
        <v>3079</v>
      </c>
      <c r="I818" s="32">
        <f>Result_notebook_retravaill!K818</f>
        <v>113862.8725833244</v>
      </c>
      <c r="J818" s="32">
        <f>MIN(G818,Result_notebook_retravaill!I818)</f>
        <v>1306.05584956232</v>
      </c>
      <c r="K818" s="32">
        <f>IF(Result_notebook_retravaill!I818&gt;Result_notebook_retravaill!G818,0,IF(Result_notebook_retravaill!I818+Result_notebook_retravaill!J818&gt;Result_notebook_retravaill!G818,Result_notebook_retravaill!G818-Result_notebook_retravaill!I818,Result_notebook_retravaill!J818))</f>
        <v>46.692226187885353</v>
      </c>
      <c r="L818" s="32">
        <f>IF(Result_notebook_retravaill!I818&gt;Result_notebook_retravaill!G818,0,IF(Result_notebook_retravaill!I818+Result_notebook_retravaill!J818&gt;Result_notebook_retravaill!G818,0,Result_notebook_retravaill!M818))</f>
        <v>50101.675860912517</v>
      </c>
      <c r="M818" s="31">
        <f t="shared" si="12"/>
        <v>0</v>
      </c>
    </row>
    <row r="819" spans="1:13" x14ac:dyDescent="0.35">
      <c r="A819">
        <f>Result_notebook_retravaill!A819</f>
        <v>2034</v>
      </c>
      <c r="B819" t="str">
        <f>Result_notebook_retravaill!B819</f>
        <v>Cobalt</v>
      </c>
      <c r="C819" t="str">
        <f>Result_notebook_retravaill!C819</f>
        <v>Current Measures</v>
      </c>
      <c r="D819" t="str">
        <f>Result_notebook_retravaill!D819</f>
        <v>Production potential</v>
      </c>
      <c r="E819" t="str">
        <f>Result_notebook_retravaill!E819</f>
        <v>Current shares</v>
      </c>
      <c r="F819" t="str">
        <f>Result_notebook_retravaill!F819</f>
        <v>Expansion Extractive</v>
      </c>
      <c r="G819">
        <f>Result_notebook_retravaill!G819</f>
        <v>51454.423936662723</v>
      </c>
      <c r="H819" s="32">
        <f>IF(Result_notebook_retravaill!I819&gt;Result_notebook_retravaill!G819,Result_notebook_retravaill!I819/Result_notebook_retravaill!N819,Result_notebook_retravaill!H819)</f>
        <v>13476.53921289199</v>
      </c>
      <c r="I819" s="32">
        <f>Result_notebook_retravaill!K819</f>
        <v>103465.3333704324</v>
      </c>
      <c r="J819" s="32">
        <f>MIN(G819,Result_notebook_retravaill!I819)</f>
        <v>5716.5030434730606</v>
      </c>
      <c r="K819" s="32">
        <f>IF(Result_notebook_retravaill!I819&gt;Result_notebook_retravaill!G819,0,IF(Result_notebook_retravaill!I819+Result_notebook_retravaill!J819&gt;Result_notebook_retravaill!G819,Result_notebook_retravaill!G819-Result_notebook_retravaill!I819,Result_notebook_retravaill!J819))</f>
        <v>204.36817705692465</v>
      </c>
      <c r="L819" s="32">
        <f>IF(Result_notebook_retravaill!I819&gt;Result_notebook_retravaill!G819,0,IF(Result_notebook_retravaill!I819+Result_notebook_retravaill!J819&gt;Result_notebook_retravaill!G819,0,Result_notebook_retravaill!M819))</f>
        <v>45533.552716132734</v>
      </c>
      <c r="M819" s="31">
        <f t="shared" si="12"/>
        <v>0</v>
      </c>
    </row>
    <row r="820" spans="1:13" x14ac:dyDescent="0.35">
      <c r="A820">
        <f>Result_notebook_retravaill!A820</f>
        <v>2034</v>
      </c>
      <c r="B820" t="str">
        <f>Result_notebook_retravaill!B820</f>
        <v>Cobalt</v>
      </c>
      <c r="C820" t="str">
        <f>Result_notebook_retravaill!C820</f>
        <v>Current Measures</v>
      </c>
      <c r="D820" t="str">
        <f>Result_notebook_retravaill!D820</f>
        <v>Production potential</v>
      </c>
      <c r="E820" t="str">
        <f>Result_notebook_retravaill!E820</f>
        <v>Current shares</v>
      </c>
      <c r="F820" t="str">
        <f>Result_notebook_retravaill!F820</f>
        <v>Expansion Extractive+Circularity</v>
      </c>
      <c r="G820">
        <f>Result_notebook_retravaill!G820</f>
        <v>51454.423936662723</v>
      </c>
      <c r="H820" s="32">
        <f>IF(Result_notebook_retravaill!I820&gt;Result_notebook_retravaill!G820,Result_notebook_retravaill!I820/Result_notebook_retravaill!N820,Result_notebook_retravaill!H820)</f>
        <v>13476.53921289199</v>
      </c>
      <c r="I820" s="32">
        <f>Result_notebook_retravaill!K820</f>
        <v>103465.3333704324</v>
      </c>
      <c r="J820" s="32">
        <f>MIN(G820,Result_notebook_retravaill!I820)</f>
        <v>5716.5030434730606</v>
      </c>
      <c r="K820" s="32">
        <f>IF(Result_notebook_retravaill!I820&gt;Result_notebook_retravaill!G820,0,IF(Result_notebook_retravaill!I820+Result_notebook_retravaill!J820&gt;Result_notebook_retravaill!G820,Result_notebook_retravaill!G820-Result_notebook_retravaill!I820,Result_notebook_retravaill!J820))</f>
        <v>204.36817705692465</v>
      </c>
      <c r="L820" s="32">
        <f>IF(Result_notebook_retravaill!I820&gt;Result_notebook_retravaill!G820,0,IF(Result_notebook_retravaill!I820+Result_notebook_retravaill!J820&gt;Result_notebook_retravaill!G820,0,Result_notebook_retravaill!M820))</f>
        <v>45533.552716132734</v>
      </c>
      <c r="M820" s="31">
        <f t="shared" si="12"/>
        <v>0</v>
      </c>
    </row>
    <row r="821" spans="1:13" x14ac:dyDescent="0.35">
      <c r="A821">
        <f>Result_notebook_retravaill!A821</f>
        <v>2034</v>
      </c>
      <c r="B821" t="str">
        <f>Result_notebook_retravaill!B821</f>
        <v>Cobalt</v>
      </c>
      <c r="C821" t="str">
        <f>Result_notebook_retravaill!C821</f>
        <v>Current Measures</v>
      </c>
      <c r="D821" t="str">
        <f>Result_notebook_retravaill!D821</f>
        <v>Production potential</v>
      </c>
      <c r="E821" t="str">
        <f>Result_notebook_retravaill!E821</f>
        <v>100% CAN</v>
      </c>
      <c r="F821" t="str">
        <f>Result_notebook_retravaill!F821</f>
        <v>Integrated</v>
      </c>
      <c r="G821">
        <f>Result_notebook_retravaill!G821</f>
        <v>51454.423936662723</v>
      </c>
      <c r="H821" s="32">
        <f>IF(Result_notebook_retravaill!I821&gt;Result_notebook_retravaill!G821,Result_notebook_retravaill!I821/Result_notebook_retravaill!N821,Result_notebook_retravaill!H821)</f>
        <v>13476.53921289199</v>
      </c>
      <c r="I821" s="32">
        <f>Result_notebook_retravaill!K821</f>
        <v>103465.3333704324</v>
      </c>
      <c r="J821" s="32">
        <f>MIN(G821,Result_notebook_retravaill!I821)</f>
        <v>5920.8712205299889</v>
      </c>
      <c r="K821" s="32">
        <f>IF(Result_notebook_retravaill!I821&gt;Result_notebook_retravaill!G821,0,IF(Result_notebook_retravaill!I821+Result_notebook_retravaill!J821&gt;Result_notebook_retravaill!G821,Result_notebook_retravaill!G821-Result_notebook_retravaill!I821,Result_notebook_retravaill!J821))</f>
        <v>0</v>
      </c>
      <c r="L821" s="32">
        <f>IF(Result_notebook_retravaill!I821&gt;Result_notebook_retravaill!G821,0,IF(Result_notebook_retravaill!I821+Result_notebook_retravaill!J821&gt;Result_notebook_retravaill!G821,0,Result_notebook_retravaill!M821))</f>
        <v>45533.552716132734</v>
      </c>
      <c r="M821" s="31">
        <f t="shared" si="12"/>
        <v>0</v>
      </c>
    </row>
    <row r="822" spans="1:13" x14ac:dyDescent="0.35">
      <c r="A822">
        <f>Result_notebook_retravaill!A822</f>
        <v>2034</v>
      </c>
      <c r="B822" t="str">
        <f>Result_notebook_retravaill!B822</f>
        <v>Cobalt</v>
      </c>
      <c r="C822" t="str">
        <f>Result_notebook_retravaill!C822</f>
        <v>Global Net-zero</v>
      </c>
      <c r="D822" t="str">
        <f>Result_notebook_retravaill!D822</f>
        <v>Existing production</v>
      </c>
      <c r="E822" t="str">
        <f>Result_notebook_retravaill!E822</f>
        <v>Current shares</v>
      </c>
      <c r="F822" t="str">
        <f>Result_notebook_retravaill!F822</f>
        <v>NIMBY</v>
      </c>
      <c r="G822">
        <f>Result_notebook_retravaill!G822</f>
        <v>125925.583305996</v>
      </c>
      <c r="H822" s="32">
        <f>IF(Result_notebook_retravaill!I822&gt;Result_notebook_retravaill!G822,Result_notebook_retravaill!I822/Result_notebook_retravaill!N822,Result_notebook_retravaill!H822)</f>
        <v>0</v>
      </c>
      <c r="I822" s="32">
        <f>Result_notebook_retravaill!K822</f>
        <v>286194.50751362729</v>
      </c>
      <c r="J822" s="32">
        <f>MIN(G822,Result_notebook_retravaill!I822)</f>
        <v>0</v>
      </c>
      <c r="K822" s="32">
        <f>IF(Result_notebook_retravaill!I822&gt;Result_notebook_retravaill!G822,0,IF(Result_notebook_retravaill!I822+Result_notebook_retravaill!J822&gt;Result_notebook_retravaill!G822,Result_notebook_retravaill!G822-Result_notebook_retravaill!I822,Result_notebook_retravaill!J822))</f>
        <v>0</v>
      </c>
      <c r="L822" s="32">
        <f>IF(Result_notebook_retravaill!I822&gt;Result_notebook_retravaill!G822,0,IF(Result_notebook_retravaill!I822+Result_notebook_retravaill!J822&gt;Result_notebook_retravaill!G822,0,Result_notebook_retravaill!M822))</f>
        <v>125925.583305996</v>
      </c>
      <c r="M822" s="31">
        <f t="shared" si="12"/>
        <v>0</v>
      </c>
    </row>
    <row r="823" spans="1:13" x14ac:dyDescent="0.35">
      <c r="A823">
        <f>Result_notebook_retravaill!A823</f>
        <v>2034</v>
      </c>
      <c r="B823" t="str">
        <f>Result_notebook_retravaill!B823</f>
        <v>Cobalt</v>
      </c>
      <c r="C823" t="str">
        <f>Result_notebook_retravaill!C823</f>
        <v>Global Net-zero</v>
      </c>
      <c r="D823" t="str">
        <f>Result_notebook_retravaill!D823</f>
        <v>Existing production</v>
      </c>
      <c r="E823" t="str">
        <f>Result_notebook_retravaill!E823</f>
        <v>Current shares</v>
      </c>
      <c r="F823" t="str">
        <f>Result_notebook_retravaill!F823</f>
        <v>Status Quo</v>
      </c>
      <c r="G823">
        <f>Result_notebook_retravaill!G823</f>
        <v>125925.583305996</v>
      </c>
      <c r="H823" s="32">
        <f>IF(Result_notebook_retravaill!I823&gt;Result_notebook_retravaill!G823,Result_notebook_retravaill!I823/Result_notebook_retravaill!N823,Result_notebook_retravaill!H823)</f>
        <v>3079</v>
      </c>
      <c r="I823" s="32">
        <f>Result_notebook_retravaill!K823</f>
        <v>283115.50751362729</v>
      </c>
      <c r="J823" s="32">
        <f>MIN(G823,Result_notebook_retravaill!I823)</f>
        <v>1306.05584956232</v>
      </c>
      <c r="K823" s="32">
        <f>IF(Result_notebook_retravaill!I823&gt;Result_notebook_retravaill!G823,0,IF(Result_notebook_retravaill!I823+Result_notebook_retravaill!J823&gt;Result_notebook_retravaill!G823,Result_notebook_retravaill!G823-Result_notebook_retravaill!I823,Result_notebook_retravaill!J823))</f>
        <v>46.692226187885353</v>
      </c>
      <c r="L823" s="32">
        <f>IF(Result_notebook_retravaill!I823&gt;Result_notebook_retravaill!G823,0,IF(Result_notebook_retravaill!I823+Result_notebook_retravaill!J823&gt;Result_notebook_retravaill!G823,0,Result_notebook_retravaill!M823))</f>
        <v>124572.83523024582</v>
      </c>
      <c r="M823" s="31">
        <f t="shared" si="12"/>
        <v>0</v>
      </c>
    </row>
    <row r="824" spans="1:13" x14ac:dyDescent="0.35">
      <c r="A824">
        <f>Result_notebook_retravaill!A824</f>
        <v>2034</v>
      </c>
      <c r="B824" t="str">
        <f>Result_notebook_retravaill!B824</f>
        <v>Cobalt</v>
      </c>
      <c r="C824" t="str">
        <f>Result_notebook_retravaill!C824</f>
        <v>Global Net-zero</v>
      </c>
      <c r="D824" t="str">
        <f>Result_notebook_retravaill!D824</f>
        <v>Production potential</v>
      </c>
      <c r="E824" t="str">
        <f>Result_notebook_retravaill!E824</f>
        <v>Current shares</v>
      </c>
      <c r="F824" t="str">
        <f>Result_notebook_retravaill!F824</f>
        <v>Expansion Extractive</v>
      </c>
      <c r="G824">
        <f>Result_notebook_retravaill!G824</f>
        <v>125925.583305996</v>
      </c>
      <c r="H824" s="32">
        <f>IF(Result_notebook_retravaill!I824&gt;Result_notebook_retravaill!G824,Result_notebook_retravaill!I824/Result_notebook_retravaill!N824,Result_notebook_retravaill!H824)</f>
        <v>13476.53921289199</v>
      </c>
      <c r="I824" s="32">
        <f>Result_notebook_retravaill!K824</f>
        <v>272717.96830073529</v>
      </c>
      <c r="J824" s="32">
        <f>MIN(G824,Result_notebook_retravaill!I824)</f>
        <v>5716.5030434730606</v>
      </c>
      <c r="K824" s="32">
        <f>IF(Result_notebook_retravaill!I824&gt;Result_notebook_retravaill!G824,0,IF(Result_notebook_retravaill!I824+Result_notebook_retravaill!J824&gt;Result_notebook_retravaill!G824,Result_notebook_retravaill!G824-Result_notebook_retravaill!I824,Result_notebook_retravaill!J824))</f>
        <v>204.36817705692465</v>
      </c>
      <c r="L824" s="32">
        <f>IF(Result_notebook_retravaill!I824&gt;Result_notebook_retravaill!G824,0,IF(Result_notebook_retravaill!I824+Result_notebook_retravaill!J824&gt;Result_notebook_retravaill!G824,0,Result_notebook_retravaill!M824))</f>
        <v>120004.71208546597</v>
      </c>
      <c r="M824" s="31">
        <f t="shared" si="12"/>
        <v>0</v>
      </c>
    </row>
    <row r="825" spans="1:13" x14ac:dyDescent="0.35">
      <c r="A825">
        <f>Result_notebook_retravaill!A825</f>
        <v>2034</v>
      </c>
      <c r="B825" t="str">
        <f>Result_notebook_retravaill!B825</f>
        <v>Cobalt</v>
      </c>
      <c r="C825" t="str">
        <f>Result_notebook_retravaill!C825</f>
        <v>Global Net-zero</v>
      </c>
      <c r="D825" t="str">
        <f>Result_notebook_retravaill!D825</f>
        <v>Production potential</v>
      </c>
      <c r="E825" t="str">
        <f>Result_notebook_retravaill!E825</f>
        <v>Current shares</v>
      </c>
      <c r="F825" t="str">
        <f>Result_notebook_retravaill!F825</f>
        <v>Expansion Extractive+Circularity</v>
      </c>
      <c r="G825">
        <f>Result_notebook_retravaill!G825</f>
        <v>125925.583305996</v>
      </c>
      <c r="H825" s="32">
        <f>IF(Result_notebook_retravaill!I825&gt;Result_notebook_retravaill!G825,Result_notebook_retravaill!I825/Result_notebook_retravaill!N825,Result_notebook_retravaill!H825)</f>
        <v>13476.53921289199</v>
      </c>
      <c r="I825" s="32">
        <f>Result_notebook_retravaill!K825</f>
        <v>272717.96830073529</v>
      </c>
      <c r="J825" s="32">
        <f>MIN(G825,Result_notebook_retravaill!I825)</f>
        <v>5716.5030434730606</v>
      </c>
      <c r="K825" s="32">
        <f>IF(Result_notebook_retravaill!I825&gt;Result_notebook_retravaill!G825,0,IF(Result_notebook_retravaill!I825+Result_notebook_retravaill!J825&gt;Result_notebook_retravaill!G825,Result_notebook_retravaill!G825-Result_notebook_retravaill!I825,Result_notebook_retravaill!J825))</f>
        <v>204.36817705692465</v>
      </c>
      <c r="L825" s="32">
        <f>IF(Result_notebook_retravaill!I825&gt;Result_notebook_retravaill!G825,0,IF(Result_notebook_retravaill!I825+Result_notebook_retravaill!J825&gt;Result_notebook_retravaill!G825,0,Result_notebook_retravaill!M825))</f>
        <v>120004.71208546597</v>
      </c>
      <c r="M825" s="31">
        <f t="shared" si="12"/>
        <v>0</v>
      </c>
    </row>
    <row r="826" spans="1:13" x14ac:dyDescent="0.35">
      <c r="A826">
        <f>Result_notebook_retravaill!A826</f>
        <v>2034</v>
      </c>
      <c r="B826" t="str">
        <f>Result_notebook_retravaill!B826</f>
        <v>Cobalt</v>
      </c>
      <c r="C826" t="str">
        <f>Result_notebook_retravaill!C826</f>
        <v>Global Net-zero</v>
      </c>
      <c r="D826" t="str">
        <f>Result_notebook_retravaill!D826</f>
        <v>Production potential</v>
      </c>
      <c r="E826" t="str">
        <f>Result_notebook_retravaill!E826</f>
        <v>100% CAN</v>
      </c>
      <c r="F826" t="str">
        <f>Result_notebook_retravaill!F826</f>
        <v>Integrated</v>
      </c>
      <c r="G826">
        <f>Result_notebook_retravaill!G826</f>
        <v>125925.583305996</v>
      </c>
      <c r="H826" s="32">
        <f>IF(Result_notebook_retravaill!I826&gt;Result_notebook_retravaill!G826,Result_notebook_retravaill!I826/Result_notebook_retravaill!N826,Result_notebook_retravaill!H826)</f>
        <v>13476.53921289199</v>
      </c>
      <c r="I826" s="32">
        <f>Result_notebook_retravaill!K826</f>
        <v>272717.96830073529</v>
      </c>
      <c r="J826" s="32">
        <f>MIN(G826,Result_notebook_retravaill!I826)</f>
        <v>5920.8712205299889</v>
      </c>
      <c r="K826" s="32">
        <f>IF(Result_notebook_retravaill!I826&gt;Result_notebook_retravaill!G826,0,IF(Result_notebook_retravaill!I826+Result_notebook_retravaill!J826&gt;Result_notebook_retravaill!G826,Result_notebook_retravaill!G826-Result_notebook_retravaill!I826,Result_notebook_retravaill!J826))</f>
        <v>0</v>
      </c>
      <c r="L826" s="32">
        <f>IF(Result_notebook_retravaill!I826&gt;Result_notebook_retravaill!G826,0,IF(Result_notebook_retravaill!I826+Result_notebook_retravaill!J826&gt;Result_notebook_retravaill!G826,0,Result_notebook_retravaill!M826))</f>
        <v>120004.712085466</v>
      </c>
      <c r="M826" s="31">
        <f t="shared" si="12"/>
        <v>0</v>
      </c>
    </row>
    <row r="827" spans="1:13" x14ac:dyDescent="0.35">
      <c r="A827">
        <f>Result_notebook_retravaill!A827</f>
        <v>2034</v>
      </c>
      <c r="B827" t="str">
        <f>Result_notebook_retravaill!B827</f>
        <v>Copper</v>
      </c>
      <c r="C827" t="str">
        <f>Result_notebook_retravaill!C827</f>
        <v>Canada Net-zero</v>
      </c>
      <c r="D827" t="str">
        <f>Result_notebook_retravaill!D827</f>
        <v>Existing production</v>
      </c>
      <c r="E827" t="str">
        <f>Result_notebook_retravaill!E827</f>
        <v>Current shares</v>
      </c>
      <c r="F827" t="str">
        <f>Result_notebook_retravaill!F827</f>
        <v>NIMBY</v>
      </c>
      <c r="G827">
        <f>Result_notebook_retravaill!G827</f>
        <v>1323318.734939687</v>
      </c>
      <c r="H827" s="32">
        <f>IF(Result_notebook_retravaill!I827&gt;Result_notebook_retravaill!G827,Result_notebook_retravaill!I827/Result_notebook_retravaill!N827,Result_notebook_retravaill!H827)</f>
        <v>0</v>
      </c>
      <c r="I827" s="32">
        <f>Result_notebook_retravaill!K827</f>
        <v>1594359.9216140809</v>
      </c>
      <c r="J827" s="32">
        <f>MIN(G827,Result_notebook_retravaill!I827)</f>
        <v>0</v>
      </c>
      <c r="K827" s="32">
        <f>IF(Result_notebook_retravaill!I827&gt;Result_notebook_retravaill!G827,0,IF(Result_notebook_retravaill!I827+Result_notebook_retravaill!J827&gt;Result_notebook_retravaill!G827,Result_notebook_retravaill!G827-Result_notebook_retravaill!I827,Result_notebook_retravaill!J827))</f>
        <v>0</v>
      </c>
      <c r="L827" s="32">
        <f>IF(Result_notebook_retravaill!I827&gt;Result_notebook_retravaill!G827,0,IF(Result_notebook_retravaill!I827+Result_notebook_retravaill!J827&gt;Result_notebook_retravaill!G827,0,Result_notebook_retravaill!M827))</f>
        <v>1323318.734939687</v>
      </c>
      <c r="M827" s="31">
        <f t="shared" si="12"/>
        <v>0</v>
      </c>
    </row>
    <row r="828" spans="1:13" x14ac:dyDescent="0.35">
      <c r="A828">
        <f>Result_notebook_retravaill!A828</f>
        <v>2034</v>
      </c>
      <c r="B828" t="str">
        <f>Result_notebook_retravaill!B828</f>
        <v>Copper</v>
      </c>
      <c r="C828" t="str">
        <f>Result_notebook_retravaill!C828</f>
        <v>Canada Net-zero</v>
      </c>
      <c r="D828" t="str">
        <f>Result_notebook_retravaill!D828</f>
        <v>Existing production</v>
      </c>
      <c r="E828" t="str">
        <f>Result_notebook_retravaill!E828</f>
        <v>Current shares</v>
      </c>
      <c r="F828" t="str">
        <f>Result_notebook_retravaill!F828</f>
        <v>Status Quo</v>
      </c>
      <c r="G828">
        <f>Result_notebook_retravaill!G828</f>
        <v>1323318.734939687</v>
      </c>
      <c r="H828" s="32">
        <f>IF(Result_notebook_retravaill!I828&gt;Result_notebook_retravaill!G828,Result_notebook_retravaill!I828/Result_notebook_retravaill!N828,Result_notebook_retravaill!H828)</f>
        <v>265778</v>
      </c>
      <c r="I828" s="32">
        <f>Result_notebook_retravaill!K828</f>
        <v>1328581.9216140809</v>
      </c>
      <c r="J828" s="32">
        <f>MIN(G828,Result_notebook_retravaill!I828)</f>
        <v>139695.22574164809</v>
      </c>
      <c r="K828" s="32">
        <f>IF(Result_notebook_retravaill!I828&gt;Result_notebook_retravaill!G828,0,IF(Result_notebook_retravaill!I828+Result_notebook_retravaill!J828&gt;Result_notebook_retravaill!G828,Result_notebook_retravaill!G828-Result_notebook_retravaill!I828,Result_notebook_retravaill!J828))</f>
        <v>82161.83358038569</v>
      </c>
      <c r="L828" s="32">
        <f>IF(Result_notebook_retravaill!I828&gt;Result_notebook_retravaill!G828,0,IF(Result_notebook_retravaill!I828+Result_notebook_retravaill!J828&gt;Result_notebook_retravaill!G828,0,Result_notebook_retravaill!M828))</f>
        <v>1101461.6756176534</v>
      </c>
      <c r="M828" s="31">
        <f t="shared" si="12"/>
        <v>0</v>
      </c>
    </row>
    <row r="829" spans="1:13" x14ac:dyDescent="0.35">
      <c r="A829">
        <f>Result_notebook_retravaill!A829</f>
        <v>2034</v>
      </c>
      <c r="B829" t="str">
        <f>Result_notebook_retravaill!B829</f>
        <v>Copper</v>
      </c>
      <c r="C829" t="str">
        <f>Result_notebook_retravaill!C829</f>
        <v>Canada Net-zero</v>
      </c>
      <c r="D829" t="str">
        <f>Result_notebook_retravaill!D829</f>
        <v>Production potential</v>
      </c>
      <c r="E829" t="str">
        <f>Result_notebook_retravaill!E829</f>
        <v>Current shares</v>
      </c>
      <c r="F829" t="str">
        <f>Result_notebook_retravaill!F829</f>
        <v>Expansion Extractive</v>
      </c>
      <c r="G829">
        <f>Result_notebook_retravaill!G829</f>
        <v>1323318.734939687</v>
      </c>
      <c r="H829" s="32">
        <f>IF(Result_notebook_retravaill!I829&gt;Result_notebook_retravaill!G829,Result_notebook_retravaill!I829/Result_notebook_retravaill!N829,Result_notebook_retravaill!H829)</f>
        <v>837829.44631390914</v>
      </c>
      <c r="I829" s="32">
        <f>Result_notebook_retravaill!K829</f>
        <v>756530.47530017153</v>
      </c>
      <c r="J829" s="32">
        <f>MIN(G829,Result_notebook_retravaill!I829)</f>
        <v>440370.43561100482</v>
      </c>
      <c r="K829" s="32">
        <f>IF(Result_notebook_retravaill!I829&gt;Result_notebook_retravaill!G829,0,IF(Result_notebook_retravaill!I829+Result_notebook_retravaill!J829&gt;Result_notebook_retravaill!G829,Result_notebook_retravaill!G829-Result_notebook_retravaill!I829,Result_notebook_retravaill!J829))</f>
        <v>259004.1445747579</v>
      </c>
      <c r="L829" s="32">
        <f>IF(Result_notebook_retravaill!I829&gt;Result_notebook_retravaill!G829,0,IF(Result_notebook_retravaill!I829+Result_notebook_retravaill!J829&gt;Result_notebook_retravaill!G829,0,Result_notebook_retravaill!M829))</f>
        <v>623944.15475392435</v>
      </c>
      <c r="M829" s="31">
        <f t="shared" si="12"/>
        <v>0</v>
      </c>
    </row>
    <row r="830" spans="1:13" x14ac:dyDescent="0.35">
      <c r="A830">
        <f>Result_notebook_retravaill!A830</f>
        <v>2034</v>
      </c>
      <c r="B830" t="str">
        <f>Result_notebook_retravaill!B830</f>
        <v>Copper</v>
      </c>
      <c r="C830" t="str">
        <f>Result_notebook_retravaill!C830</f>
        <v>Canada Net-zero</v>
      </c>
      <c r="D830" t="str">
        <f>Result_notebook_retravaill!D830</f>
        <v>Production potential</v>
      </c>
      <c r="E830" t="str">
        <f>Result_notebook_retravaill!E830</f>
        <v>Current shares</v>
      </c>
      <c r="F830" t="str">
        <f>Result_notebook_retravaill!F830</f>
        <v>Expansion Extractive+Circularity</v>
      </c>
      <c r="G830">
        <f>Result_notebook_retravaill!G830</f>
        <v>1323318.734939687</v>
      </c>
      <c r="H830" s="32">
        <f>IF(Result_notebook_retravaill!I830&gt;Result_notebook_retravaill!G830,Result_notebook_retravaill!I830/Result_notebook_retravaill!N830,Result_notebook_retravaill!H830)</f>
        <v>837829.44631390914</v>
      </c>
      <c r="I830" s="32">
        <f>Result_notebook_retravaill!K830</f>
        <v>756530.47530017153</v>
      </c>
      <c r="J830" s="32">
        <f>MIN(G830,Result_notebook_retravaill!I830)</f>
        <v>440370.43561100482</v>
      </c>
      <c r="K830" s="32">
        <f>IF(Result_notebook_retravaill!I830&gt;Result_notebook_retravaill!G830,0,IF(Result_notebook_retravaill!I830+Result_notebook_retravaill!J830&gt;Result_notebook_retravaill!G830,Result_notebook_retravaill!G830-Result_notebook_retravaill!I830,Result_notebook_retravaill!J830))</f>
        <v>259004.1445747579</v>
      </c>
      <c r="L830" s="32">
        <f>IF(Result_notebook_retravaill!I830&gt;Result_notebook_retravaill!G830,0,IF(Result_notebook_retravaill!I830+Result_notebook_retravaill!J830&gt;Result_notebook_retravaill!G830,0,Result_notebook_retravaill!M830))</f>
        <v>623944.15475392435</v>
      </c>
      <c r="M830" s="31">
        <f t="shared" si="12"/>
        <v>0</v>
      </c>
    </row>
    <row r="831" spans="1:13" x14ac:dyDescent="0.35">
      <c r="A831">
        <f>Result_notebook_retravaill!A831</f>
        <v>2034</v>
      </c>
      <c r="B831" t="str">
        <f>Result_notebook_retravaill!B831</f>
        <v>Copper</v>
      </c>
      <c r="C831" t="str">
        <f>Result_notebook_retravaill!C831</f>
        <v>Canada Net-zero</v>
      </c>
      <c r="D831" t="str">
        <f>Result_notebook_retravaill!D831</f>
        <v>Production potential</v>
      </c>
      <c r="E831" t="str">
        <f>Result_notebook_retravaill!E831</f>
        <v>100% CAN</v>
      </c>
      <c r="F831" t="str">
        <f>Result_notebook_retravaill!F831</f>
        <v>Integrated</v>
      </c>
      <c r="G831">
        <f>Result_notebook_retravaill!G831</f>
        <v>1323318.734939687</v>
      </c>
      <c r="H831" s="32">
        <f>IF(Result_notebook_retravaill!I831&gt;Result_notebook_retravaill!G831,Result_notebook_retravaill!I831/Result_notebook_retravaill!N831,Result_notebook_retravaill!H831)</f>
        <v>837829.44631390914</v>
      </c>
      <c r="I831" s="32">
        <f>Result_notebook_retravaill!K831</f>
        <v>756530.47530017153</v>
      </c>
      <c r="J831" s="32">
        <f>MIN(G831,Result_notebook_retravaill!I831)</f>
        <v>699374.58018576319</v>
      </c>
      <c r="K831" s="32">
        <f>IF(Result_notebook_retravaill!I831&gt;Result_notebook_retravaill!G831,0,IF(Result_notebook_retravaill!I831+Result_notebook_retravaill!J831&gt;Result_notebook_retravaill!G831,Result_notebook_retravaill!G831-Result_notebook_retravaill!I831,Result_notebook_retravaill!J831))</f>
        <v>0</v>
      </c>
      <c r="L831" s="32">
        <f>IF(Result_notebook_retravaill!I831&gt;Result_notebook_retravaill!G831,0,IF(Result_notebook_retravaill!I831+Result_notebook_retravaill!J831&gt;Result_notebook_retravaill!G831,0,Result_notebook_retravaill!M831))</f>
        <v>623944.15475392377</v>
      </c>
      <c r="M831" s="31">
        <f t="shared" si="12"/>
        <v>0</v>
      </c>
    </row>
    <row r="832" spans="1:13" x14ac:dyDescent="0.35">
      <c r="A832">
        <f>Result_notebook_retravaill!A832</f>
        <v>2034</v>
      </c>
      <c r="B832" t="str">
        <f>Result_notebook_retravaill!B832</f>
        <v>Copper</v>
      </c>
      <c r="C832" t="str">
        <f>Result_notebook_retravaill!C832</f>
        <v>Current Measures</v>
      </c>
      <c r="D832" t="str">
        <f>Result_notebook_retravaill!D832</f>
        <v>Existing production</v>
      </c>
      <c r="E832" t="str">
        <f>Result_notebook_retravaill!E832</f>
        <v>Current shares</v>
      </c>
      <c r="F832" t="str">
        <f>Result_notebook_retravaill!F832</f>
        <v>NIMBY</v>
      </c>
      <c r="G832">
        <f>Result_notebook_retravaill!G832</f>
        <v>1047087.032620052</v>
      </c>
      <c r="H832" s="32">
        <f>IF(Result_notebook_retravaill!I832&gt;Result_notebook_retravaill!G832,Result_notebook_retravaill!I832/Result_notebook_retravaill!N832,Result_notebook_retravaill!H832)</f>
        <v>0</v>
      </c>
      <c r="I832" s="32">
        <f>Result_notebook_retravaill!K832</f>
        <v>1261550.6417109061</v>
      </c>
      <c r="J832" s="32">
        <f>MIN(G832,Result_notebook_retravaill!I832)</f>
        <v>0</v>
      </c>
      <c r="K832" s="32">
        <f>IF(Result_notebook_retravaill!I832&gt;Result_notebook_retravaill!G832,0,IF(Result_notebook_retravaill!I832+Result_notebook_retravaill!J832&gt;Result_notebook_retravaill!G832,Result_notebook_retravaill!G832-Result_notebook_retravaill!I832,Result_notebook_retravaill!J832))</f>
        <v>0</v>
      </c>
      <c r="L832" s="32">
        <f>IF(Result_notebook_retravaill!I832&gt;Result_notebook_retravaill!G832,0,IF(Result_notebook_retravaill!I832+Result_notebook_retravaill!J832&gt;Result_notebook_retravaill!G832,0,Result_notebook_retravaill!M832))</f>
        <v>1047087.032620052</v>
      </c>
      <c r="M832" s="31">
        <f t="shared" si="12"/>
        <v>0</v>
      </c>
    </row>
    <row r="833" spans="1:13" x14ac:dyDescent="0.35">
      <c r="A833">
        <f>Result_notebook_retravaill!A833</f>
        <v>2034</v>
      </c>
      <c r="B833" t="str">
        <f>Result_notebook_retravaill!B833</f>
        <v>Copper</v>
      </c>
      <c r="C833" t="str">
        <f>Result_notebook_retravaill!C833</f>
        <v>Current Measures</v>
      </c>
      <c r="D833" t="str">
        <f>Result_notebook_retravaill!D833</f>
        <v>Existing production</v>
      </c>
      <c r="E833" t="str">
        <f>Result_notebook_retravaill!E833</f>
        <v>Current shares</v>
      </c>
      <c r="F833" t="str">
        <f>Result_notebook_retravaill!F833</f>
        <v>Status Quo</v>
      </c>
      <c r="G833">
        <f>Result_notebook_retravaill!G833</f>
        <v>1047087.032620052</v>
      </c>
      <c r="H833" s="32">
        <f>IF(Result_notebook_retravaill!I833&gt;Result_notebook_retravaill!G833,Result_notebook_retravaill!I833/Result_notebook_retravaill!N833,Result_notebook_retravaill!H833)</f>
        <v>265778</v>
      </c>
      <c r="I833" s="32">
        <f>Result_notebook_retravaill!K833</f>
        <v>995772.64171090606</v>
      </c>
      <c r="J833" s="32">
        <f>MIN(G833,Result_notebook_retravaill!I833)</f>
        <v>139695.22574164809</v>
      </c>
      <c r="K833" s="32">
        <f>IF(Result_notebook_retravaill!I833&gt;Result_notebook_retravaill!G833,0,IF(Result_notebook_retravaill!I833+Result_notebook_retravaill!J833&gt;Result_notebook_retravaill!G833,Result_notebook_retravaill!G833-Result_notebook_retravaill!I833,Result_notebook_retravaill!J833))</f>
        <v>82161.83358038569</v>
      </c>
      <c r="L833" s="32">
        <f>IF(Result_notebook_retravaill!I833&gt;Result_notebook_retravaill!G833,0,IF(Result_notebook_retravaill!I833+Result_notebook_retravaill!J833&gt;Result_notebook_retravaill!G833,0,Result_notebook_retravaill!M833))</f>
        <v>825229.97329801822</v>
      </c>
      <c r="M833" s="31">
        <f t="shared" si="12"/>
        <v>0</v>
      </c>
    </row>
    <row r="834" spans="1:13" x14ac:dyDescent="0.35">
      <c r="A834">
        <f>Result_notebook_retravaill!A834</f>
        <v>2034</v>
      </c>
      <c r="B834" t="str">
        <f>Result_notebook_retravaill!B834</f>
        <v>Copper</v>
      </c>
      <c r="C834" t="str">
        <f>Result_notebook_retravaill!C834</f>
        <v>Current Measures</v>
      </c>
      <c r="D834" t="str">
        <f>Result_notebook_retravaill!D834</f>
        <v>Production potential</v>
      </c>
      <c r="E834" t="str">
        <f>Result_notebook_retravaill!E834</f>
        <v>Current shares</v>
      </c>
      <c r="F834" t="str">
        <f>Result_notebook_retravaill!F834</f>
        <v>Expansion Extractive</v>
      </c>
      <c r="G834">
        <f>Result_notebook_retravaill!G834</f>
        <v>1047087.032620052</v>
      </c>
      <c r="H834" s="32">
        <f>IF(Result_notebook_retravaill!I834&gt;Result_notebook_retravaill!G834,Result_notebook_retravaill!I834/Result_notebook_retravaill!N834,Result_notebook_retravaill!H834)</f>
        <v>837829.44631390914</v>
      </c>
      <c r="I834" s="32">
        <f>Result_notebook_retravaill!K834</f>
        <v>423721.19539699692</v>
      </c>
      <c r="J834" s="32">
        <f>MIN(G834,Result_notebook_retravaill!I834)</f>
        <v>440370.43561100482</v>
      </c>
      <c r="K834" s="32">
        <f>IF(Result_notebook_retravaill!I834&gt;Result_notebook_retravaill!G834,0,IF(Result_notebook_retravaill!I834+Result_notebook_retravaill!J834&gt;Result_notebook_retravaill!G834,Result_notebook_retravaill!G834-Result_notebook_retravaill!I834,Result_notebook_retravaill!J834))</f>
        <v>259004.1445747579</v>
      </c>
      <c r="L834" s="32">
        <f>IF(Result_notebook_retravaill!I834&gt;Result_notebook_retravaill!G834,0,IF(Result_notebook_retravaill!I834+Result_notebook_retravaill!J834&gt;Result_notebook_retravaill!G834,0,Result_notebook_retravaill!M834))</f>
        <v>347712.45243428927</v>
      </c>
      <c r="M834" s="31">
        <f t="shared" si="12"/>
        <v>0</v>
      </c>
    </row>
    <row r="835" spans="1:13" x14ac:dyDescent="0.35">
      <c r="A835">
        <f>Result_notebook_retravaill!A835</f>
        <v>2034</v>
      </c>
      <c r="B835" t="str">
        <f>Result_notebook_retravaill!B835</f>
        <v>Copper</v>
      </c>
      <c r="C835" t="str">
        <f>Result_notebook_retravaill!C835</f>
        <v>Current Measures</v>
      </c>
      <c r="D835" t="str">
        <f>Result_notebook_retravaill!D835</f>
        <v>Production potential</v>
      </c>
      <c r="E835" t="str">
        <f>Result_notebook_retravaill!E835</f>
        <v>Current shares</v>
      </c>
      <c r="F835" t="str">
        <f>Result_notebook_retravaill!F835</f>
        <v>Expansion Extractive+Circularity</v>
      </c>
      <c r="G835">
        <f>Result_notebook_retravaill!G835</f>
        <v>1047087.032620052</v>
      </c>
      <c r="H835" s="32">
        <f>IF(Result_notebook_retravaill!I835&gt;Result_notebook_retravaill!G835,Result_notebook_retravaill!I835/Result_notebook_retravaill!N835,Result_notebook_retravaill!H835)</f>
        <v>837829.44631390914</v>
      </c>
      <c r="I835" s="32">
        <f>Result_notebook_retravaill!K835</f>
        <v>423721.19539699692</v>
      </c>
      <c r="J835" s="32">
        <f>MIN(G835,Result_notebook_retravaill!I835)</f>
        <v>440370.43561100482</v>
      </c>
      <c r="K835" s="32">
        <f>IF(Result_notebook_retravaill!I835&gt;Result_notebook_retravaill!G835,0,IF(Result_notebook_retravaill!I835+Result_notebook_retravaill!J835&gt;Result_notebook_retravaill!G835,Result_notebook_retravaill!G835-Result_notebook_retravaill!I835,Result_notebook_retravaill!J835))</f>
        <v>259004.1445747579</v>
      </c>
      <c r="L835" s="32">
        <f>IF(Result_notebook_retravaill!I835&gt;Result_notebook_retravaill!G835,0,IF(Result_notebook_retravaill!I835+Result_notebook_retravaill!J835&gt;Result_notebook_retravaill!G835,0,Result_notebook_retravaill!M835))</f>
        <v>347712.45243428927</v>
      </c>
      <c r="M835" s="31">
        <f t="shared" ref="M835:M898" si="13">SUM(J835:L835)-G835</f>
        <v>0</v>
      </c>
    </row>
    <row r="836" spans="1:13" x14ac:dyDescent="0.35">
      <c r="A836">
        <f>Result_notebook_retravaill!A836</f>
        <v>2034</v>
      </c>
      <c r="B836" t="str">
        <f>Result_notebook_retravaill!B836</f>
        <v>Copper</v>
      </c>
      <c r="C836" t="str">
        <f>Result_notebook_retravaill!C836</f>
        <v>Current Measures</v>
      </c>
      <c r="D836" t="str">
        <f>Result_notebook_retravaill!D836</f>
        <v>Production potential</v>
      </c>
      <c r="E836" t="str">
        <f>Result_notebook_retravaill!E836</f>
        <v>100% CAN</v>
      </c>
      <c r="F836" t="str">
        <f>Result_notebook_retravaill!F836</f>
        <v>Integrated</v>
      </c>
      <c r="G836">
        <f>Result_notebook_retravaill!G836</f>
        <v>1047087.032620052</v>
      </c>
      <c r="H836" s="32">
        <f>IF(Result_notebook_retravaill!I836&gt;Result_notebook_retravaill!G836,Result_notebook_retravaill!I836/Result_notebook_retravaill!N836,Result_notebook_retravaill!H836)</f>
        <v>837829.44631390914</v>
      </c>
      <c r="I836" s="32">
        <f>Result_notebook_retravaill!K836</f>
        <v>423721.19539699692</v>
      </c>
      <c r="J836" s="32">
        <f>MIN(G836,Result_notebook_retravaill!I836)</f>
        <v>699374.58018576319</v>
      </c>
      <c r="K836" s="32">
        <f>IF(Result_notebook_retravaill!I836&gt;Result_notebook_retravaill!G836,0,IF(Result_notebook_retravaill!I836+Result_notebook_retravaill!J836&gt;Result_notebook_retravaill!G836,Result_notebook_retravaill!G836-Result_notebook_retravaill!I836,Result_notebook_retravaill!J836))</f>
        <v>0</v>
      </c>
      <c r="L836" s="32">
        <f>IF(Result_notebook_retravaill!I836&gt;Result_notebook_retravaill!G836,0,IF(Result_notebook_retravaill!I836+Result_notebook_retravaill!J836&gt;Result_notebook_retravaill!G836,0,Result_notebook_retravaill!M836))</f>
        <v>347712.4524342888</v>
      </c>
      <c r="M836" s="31">
        <f t="shared" si="13"/>
        <v>0</v>
      </c>
    </row>
    <row r="837" spans="1:13" x14ac:dyDescent="0.35">
      <c r="A837">
        <f>Result_notebook_retravaill!A837</f>
        <v>2034</v>
      </c>
      <c r="B837" t="str">
        <f>Result_notebook_retravaill!B837</f>
        <v>Copper</v>
      </c>
      <c r="C837" t="str">
        <f>Result_notebook_retravaill!C837</f>
        <v>Global Net-zero</v>
      </c>
      <c r="D837" t="str">
        <f>Result_notebook_retravaill!D837</f>
        <v>Existing production</v>
      </c>
      <c r="E837" t="str">
        <f>Result_notebook_retravaill!E837</f>
        <v>Current shares</v>
      </c>
      <c r="F837" t="str">
        <f>Result_notebook_retravaill!F837</f>
        <v>NIMBY</v>
      </c>
      <c r="G837">
        <f>Result_notebook_retravaill!G837</f>
        <v>1272164.6516711509</v>
      </c>
      <c r="H837" s="32">
        <f>IF(Result_notebook_retravaill!I837&gt;Result_notebook_retravaill!G837,Result_notebook_retravaill!I837/Result_notebook_retravaill!N837,Result_notebook_retravaill!H837)</f>
        <v>0</v>
      </c>
      <c r="I837" s="32">
        <f>Result_notebook_retravaill!K837</f>
        <v>1532728.495989338</v>
      </c>
      <c r="J837" s="32">
        <f>MIN(G837,Result_notebook_retravaill!I837)</f>
        <v>0</v>
      </c>
      <c r="K837" s="32">
        <f>IF(Result_notebook_retravaill!I837&gt;Result_notebook_retravaill!G837,0,IF(Result_notebook_retravaill!I837+Result_notebook_retravaill!J837&gt;Result_notebook_retravaill!G837,Result_notebook_retravaill!G837-Result_notebook_retravaill!I837,Result_notebook_retravaill!J837))</f>
        <v>0</v>
      </c>
      <c r="L837" s="32">
        <f>IF(Result_notebook_retravaill!I837&gt;Result_notebook_retravaill!G837,0,IF(Result_notebook_retravaill!I837+Result_notebook_retravaill!J837&gt;Result_notebook_retravaill!G837,0,Result_notebook_retravaill!M837))</f>
        <v>1272164.6516711509</v>
      </c>
      <c r="M837" s="31">
        <f t="shared" si="13"/>
        <v>0</v>
      </c>
    </row>
    <row r="838" spans="1:13" x14ac:dyDescent="0.35">
      <c r="A838">
        <f>Result_notebook_retravaill!A838</f>
        <v>2034</v>
      </c>
      <c r="B838" t="str">
        <f>Result_notebook_retravaill!B838</f>
        <v>Copper</v>
      </c>
      <c r="C838" t="str">
        <f>Result_notebook_retravaill!C838</f>
        <v>Global Net-zero</v>
      </c>
      <c r="D838" t="str">
        <f>Result_notebook_retravaill!D838</f>
        <v>Existing production</v>
      </c>
      <c r="E838" t="str">
        <f>Result_notebook_retravaill!E838</f>
        <v>Current shares</v>
      </c>
      <c r="F838" t="str">
        <f>Result_notebook_retravaill!F838</f>
        <v>Status Quo</v>
      </c>
      <c r="G838">
        <f>Result_notebook_retravaill!G838</f>
        <v>1272164.6516711509</v>
      </c>
      <c r="H838" s="32">
        <f>IF(Result_notebook_retravaill!I838&gt;Result_notebook_retravaill!G838,Result_notebook_retravaill!I838/Result_notebook_retravaill!N838,Result_notebook_retravaill!H838)</f>
        <v>265778</v>
      </c>
      <c r="I838" s="32">
        <f>Result_notebook_retravaill!K838</f>
        <v>1266950.495989338</v>
      </c>
      <c r="J838" s="32">
        <f>MIN(G838,Result_notebook_retravaill!I838)</f>
        <v>139695.22574164809</v>
      </c>
      <c r="K838" s="32">
        <f>IF(Result_notebook_retravaill!I838&gt;Result_notebook_retravaill!G838,0,IF(Result_notebook_retravaill!I838+Result_notebook_retravaill!J838&gt;Result_notebook_retravaill!G838,Result_notebook_retravaill!G838-Result_notebook_retravaill!I838,Result_notebook_retravaill!J838))</f>
        <v>82161.83358038569</v>
      </c>
      <c r="L838" s="32">
        <f>IF(Result_notebook_retravaill!I838&gt;Result_notebook_retravaill!G838,0,IF(Result_notebook_retravaill!I838+Result_notebook_retravaill!J838&gt;Result_notebook_retravaill!G838,0,Result_notebook_retravaill!M838))</f>
        <v>1050307.5923491174</v>
      </c>
      <c r="M838" s="31">
        <f t="shared" si="13"/>
        <v>0</v>
      </c>
    </row>
    <row r="839" spans="1:13" x14ac:dyDescent="0.35">
      <c r="A839">
        <f>Result_notebook_retravaill!A839</f>
        <v>2034</v>
      </c>
      <c r="B839" t="str">
        <f>Result_notebook_retravaill!B839</f>
        <v>Copper</v>
      </c>
      <c r="C839" t="str">
        <f>Result_notebook_retravaill!C839</f>
        <v>Global Net-zero</v>
      </c>
      <c r="D839" t="str">
        <f>Result_notebook_retravaill!D839</f>
        <v>Production potential</v>
      </c>
      <c r="E839" t="str">
        <f>Result_notebook_retravaill!E839</f>
        <v>Current shares</v>
      </c>
      <c r="F839" t="str">
        <f>Result_notebook_retravaill!F839</f>
        <v>Expansion Extractive</v>
      </c>
      <c r="G839">
        <f>Result_notebook_retravaill!G839</f>
        <v>1272164.6516711509</v>
      </c>
      <c r="H839" s="32">
        <f>IF(Result_notebook_retravaill!I839&gt;Result_notebook_retravaill!G839,Result_notebook_retravaill!I839/Result_notebook_retravaill!N839,Result_notebook_retravaill!H839)</f>
        <v>837829.44631390914</v>
      </c>
      <c r="I839" s="32">
        <f>Result_notebook_retravaill!K839</f>
        <v>694899.04967542936</v>
      </c>
      <c r="J839" s="32">
        <f>MIN(G839,Result_notebook_retravaill!I839)</f>
        <v>440370.43561100482</v>
      </c>
      <c r="K839" s="32">
        <f>IF(Result_notebook_retravaill!I839&gt;Result_notebook_retravaill!G839,0,IF(Result_notebook_retravaill!I839+Result_notebook_retravaill!J839&gt;Result_notebook_retravaill!G839,Result_notebook_retravaill!G839-Result_notebook_retravaill!I839,Result_notebook_retravaill!J839))</f>
        <v>259004.1445747579</v>
      </c>
      <c r="L839" s="32">
        <f>IF(Result_notebook_retravaill!I839&gt;Result_notebook_retravaill!G839,0,IF(Result_notebook_retravaill!I839+Result_notebook_retravaill!J839&gt;Result_notebook_retravaill!G839,0,Result_notebook_retravaill!M839))</f>
        <v>572790.07148538833</v>
      </c>
      <c r="M839" s="31">
        <f t="shared" si="13"/>
        <v>0</v>
      </c>
    </row>
    <row r="840" spans="1:13" x14ac:dyDescent="0.35">
      <c r="A840">
        <f>Result_notebook_retravaill!A840</f>
        <v>2034</v>
      </c>
      <c r="B840" t="str">
        <f>Result_notebook_retravaill!B840</f>
        <v>Copper</v>
      </c>
      <c r="C840" t="str">
        <f>Result_notebook_retravaill!C840</f>
        <v>Global Net-zero</v>
      </c>
      <c r="D840" t="str">
        <f>Result_notebook_retravaill!D840</f>
        <v>Production potential</v>
      </c>
      <c r="E840" t="str">
        <f>Result_notebook_retravaill!E840</f>
        <v>Current shares</v>
      </c>
      <c r="F840" t="str">
        <f>Result_notebook_retravaill!F840</f>
        <v>Expansion Extractive+Circularity</v>
      </c>
      <c r="G840">
        <f>Result_notebook_retravaill!G840</f>
        <v>1272164.6516711509</v>
      </c>
      <c r="H840" s="32">
        <f>IF(Result_notebook_retravaill!I840&gt;Result_notebook_retravaill!G840,Result_notebook_retravaill!I840/Result_notebook_retravaill!N840,Result_notebook_retravaill!H840)</f>
        <v>837829.44631390914</v>
      </c>
      <c r="I840" s="32">
        <f>Result_notebook_retravaill!K840</f>
        <v>694899.04967542936</v>
      </c>
      <c r="J840" s="32">
        <f>MIN(G840,Result_notebook_retravaill!I840)</f>
        <v>440370.43561100482</v>
      </c>
      <c r="K840" s="32">
        <f>IF(Result_notebook_retravaill!I840&gt;Result_notebook_retravaill!G840,0,IF(Result_notebook_retravaill!I840+Result_notebook_retravaill!J840&gt;Result_notebook_retravaill!G840,Result_notebook_retravaill!G840-Result_notebook_retravaill!I840,Result_notebook_retravaill!J840))</f>
        <v>259004.1445747579</v>
      </c>
      <c r="L840" s="32">
        <f>IF(Result_notebook_retravaill!I840&gt;Result_notebook_retravaill!G840,0,IF(Result_notebook_retravaill!I840+Result_notebook_retravaill!J840&gt;Result_notebook_retravaill!G840,0,Result_notebook_retravaill!M840))</f>
        <v>572790.07148538833</v>
      </c>
      <c r="M840" s="31">
        <f t="shared" si="13"/>
        <v>0</v>
      </c>
    </row>
    <row r="841" spans="1:13" x14ac:dyDescent="0.35">
      <c r="A841">
        <f>Result_notebook_retravaill!A841</f>
        <v>2034</v>
      </c>
      <c r="B841" t="str">
        <f>Result_notebook_retravaill!B841</f>
        <v>Copper</v>
      </c>
      <c r="C841" t="str">
        <f>Result_notebook_retravaill!C841</f>
        <v>Global Net-zero</v>
      </c>
      <c r="D841" t="str">
        <f>Result_notebook_retravaill!D841</f>
        <v>Production potential</v>
      </c>
      <c r="E841" t="str">
        <f>Result_notebook_retravaill!E841</f>
        <v>100% CAN</v>
      </c>
      <c r="F841" t="str">
        <f>Result_notebook_retravaill!F841</f>
        <v>Integrated</v>
      </c>
      <c r="G841">
        <f>Result_notebook_retravaill!G841</f>
        <v>1272164.6516711509</v>
      </c>
      <c r="H841" s="32">
        <f>IF(Result_notebook_retravaill!I841&gt;Result_notebook_retravaill!G841,Result_notebook_retravaill!I841/Result_notebook_retravaill!N841,Result_notebook_retravaill!H841)</f>
        <v>837829.44631390914</v>
      </c>
      <c r="I841" s="32">
        <f>Result_notebook_retravaill!K841</f>
        <v>694899.04967542936</v>
      </c>
      <c r="J841" s="32">
        <f>MIN(G841,Result_notebook_retravaill!I841)</f>
        <v>699374.58018576319</v>
      </c>
      <c r="K841" s="32">
        <f>IF(Result_notebook_retravaill!I841&gt;Result_notebook_retravaill!G841,0,IF(Result_notebook_retravaill!I841+Result_notebook_retravaill!J841&gt;Result_notebook_retravaill!G841,Result_notebook_retravaill!G841-Result_notebook_retravaill!I841,Result_notebook_retravaill!J841))</f>
        <v>0</v>
      </c>
      <c r="L841" s="32">
        <f>IF(Result_notebook_retravaill!I841&gt;Result_notebook_retravaill!G841,0,IF(Result_notebook_retravaill!I841+Result_notebook_retravaill!J841&gt;Result_notebook_retravaill!G841,0,Result_notebook_retravaill!M841))</f>
        <v>572790.07148538774</v>
      </c>
      <c r="M841" s="31">
        <f t="shared" si="13"/>
        <v>0</v>
      </c>
    </row>
    <row r="842" spans="1:13" x14ac:dyDescent="0.35">
      <c r="A842">
        <f>Result_notebook_retravaill!A842</f>
        <v>2034</v>
      </c>
      <c r="B842" t="str">
        <f>Result_notebook_retravaill!B842</f>
        <v>Neodymium</v>
      </c>
      <c r="C842" t="str">
        <f>Result_notebook_retravaill!C842</f>
        <v>Canada Net-zero</v>
      </c>
      <c r="D842" t="str">
        <f>Result_notebook_retravaill!D842</f>
        <v>Existing production</v>
      </c>
      <c r="E842" t="str">
        <f>Result_notebook_retravaill!E842</f>
        <v>Current shares</v>
      </c>
      <c r="F842" t="str">
        <f>Result_notebook_retravaill!F842</f>
        <v>NIMBY</v>
      </c>
      <c r="G842">
        <f>Result_notebook_retravaill!G842</f>
        <v>4411.7741331532143</v>
      </c>
      <c r="H842" s="32">
        <f>IF(Result_notebook_retravaill!I842&gt;Result_notebook_retravaill!G842,Result_notebook_retravaill!I842/Result_notebook_retravaill!N842,Result_notebook_retravaill!H842)</f>
        <v>0</v>
      </c>
      <c r="I842" s="32">
        <f>Result_notebook_retravaill!K842</f>
        <v>7352.9568885886911</v>
      </c>
      <c r="J842" s="32">
        <f>MIN(G842,Result_notebook_retravaill!I842)</f>
        <v>0</v>
      </c>
      <c r="K842" s="32">
        <f>IF(Result_notebook_retravaill!I842&gt;Result_notebook_retravaill!G842,0,IF(Result_notebook_retravaill!I842+Result_notebook_retravaill!J842&gt;Result_notebook_retravaill!G842,Result_notebook_retravaill!G842-Result_notebook_retravaill!I842,Result_notebook_retravaill!J842))</f>
        <v>0</v>
      </c>
      <c r="L842" s="32">
        <f>IF(Result_notebook_retravaill!I842&gt;Result_notebook_retravaill!G842,0,IF(Result_notebook_retravaill!I842+Result_notebook_retravaill!J842&gt;Result_notebook_retravaill!G842,0,Result_notebook_retravaill!M842))</f>
        <v>4411.7741331532143</v>
      </c>
      <c r="M842" s="31">
        <f t="shared" si="13"/>
        <v>0</v>
      </c>
    </row>
    <row r="843" spans="1:13" x14ac:dyDescent="0.35">
      <c r="A843">
        <f>Result_notebook_retravaill!A843</f>
        <v>2034</v>
      </c>
      <c r="B843" t="str">
        <f>Result_notebook_retravaill!B843</f>
        <v>Neodymium</v>
      </c>
      <c r="C843" t="str">
        <f>Result_notebook_retravaill!C843</f>
        <v>Canada Net-zero</v>
      </c>
      <c r="D843" t="str">
        <f>Result_notebook_retravaill!D843</f>
        <v>Existing production</v>
      </c>
      <c r="E843" t="str">
        <f>Result_notebook_retravaill!E843</f>
        <v>Current shares</v>
      </c>
      <c r="F843" t="str">
        <f>Result_notebook_retravaill!F843</f>
        <v>Status Quo</v>
      </c>
      <c r="G843">
        <f>Result_notebook_retravaill!G843</f>
        <v>4411.7741331532143</v>
      </c>
      <c r="H843" s="32">
        <f>IF(Result_notebook_retravaill!I843&gt;Result_notebook_retravaill!G843,Result_notebook_retravaill!I843/Result_notebook_retravaill!N843,Result_notebook_retravaill!H843)</f>
        <v>0</v>
      </c>
      <c r="I843" s="32">
        <f>Result_notebook_retravaill!K843</f>
        <v>7352.9568885886911</v>
      </c>
      <c r="J843" s="32">
        <f>MIN(G843,Result_notebook_retravaill!I843)</f>
        <v>0</v>
      </c>
      <c r="K843" s="32">
        <f>IF(Result_notebook_retravaill!I843&gt;Result_notebook_retravaill!G843,0,IF(Result_notebook_retravaill!I843+Result_notebook_retravaill!J843&gt;Result_notebook_retravaill!G843,Result_notebook_retravaill!G843-Result_notebook_retravaill!I843,Result_notebook_retravaill!J843))</f>
        <v>0</v>
      </c>
      <c r="L843" s="32">
        <f>IF(Result_notebook_retravaill!I843&gt;Result_notebook_retravaill!G843,0,IF(Result_notebook_retravaill!I843+Result_notebook_retravaill!J843&gt;Result_notebook_retravaill!G843,0,Result_notebook_retravaill!M843))</f>
        <v>4411.7741331532143</v>
      </c>
      <c r="M843" s="31">
        <f t="shared" si="13"/>
        <v>0</v>
      </c>
    </row>
    <row r="844" spans="1:13" x14ac:dyDescent="0.35">
      <c r="A844">
        <f>Result_notebook_retravaill!A844</f>
        <v>2034</v>
      </c>
      <c r="B844" t="str">
        <f>Result_notebook_retravaill!B844</f>
        <v>Neodymium</v>
      </c>
      <c r="C844" t="str">
        <f>Result_notebook_retravaill!C844</f>
        <v>Canada Net-zero</v>
      </c>
      <c r="D844" t="str">
        <f>Result_notebook_retravaill!D844</f>
        <v>Production potential</v>
      </c>
      <c r="E844" t="str">
        <f>Result_notebook_retravaill!E844</f>
        <v>Current shares</v>
      </c>
      <c r="F844" t="str">
        <f>Result_notebook_retravaill!F844</f>
        <v>Expansion Extractive</v>
      </c>
      <c r="G844">
        <f>Result_notebook_retravaill!G844</f>
        <v>4411.7741331532143</v>
      </c>
      <c r="H844" s="32">
        <f>IF(Result_notebook_retravaill!I844&gt;Result_notebook_retravaill!G844,Result_notebook_retravaill!I844/Result_notebook_retravaill!N844,Result_notebook_retravaill!H844)</f>
        <v>57.127421790883162</v>
      </c>
      <c r="I844" s="32">
        <f>Result_notebook_retravaill!K844</f>
        <v>7295.829466797808</v>
      </c>
      <c r="J844" s="32">
        <f>MIN(G844,Result_notebook_retravaill!I844)</f>
        <v>34.193270634870977</v>
      </c>
      <c r="K844" s="32">
        <f>IF(Result_notebook_retravaill!I844&gt;Result_notebook_retravaill!G844,0,IF(Result_notebook_retravaill!I844+Result_notebook_retravaill!J844&gt;Result_notebook_retravaill!G844,Result_notebook_retravaill!G844-Result_notebook_retravaill!I844,Result_notebook_retravaill!J844))</f>
        <v>22.934151156012184</v>
      </c>
      <c r="L844" s="32">
        <f>IF(Result_notebook_retravaill!I844&gt;Result_notebook_retravaill!G844,0,IF(Result_notebook_retravaill!I844+Result_notebook_retravaill!J844&gt;Result_notebook_retravaill!G844,0,Result_notebook_retravaill!M844))</f>
        <v>4354.6467113623312</v>
      </c>
      <c r="M844" s="31">
        <f t="shared" si="13"/>
        <v>0</v>
      </c>
    </row>
    <row r="845" spans="1:13" x14ac:dyDescent="0.35">
      <c r="A845">
        <f>Result_notebook_retravaill!A845</f>
        <v>2034</v>
      </c>
      <c r="B845" t="str">
        <f>Result_notebook_retravaill!B845</f>
        <v>Neodymium</v>
      </c>
      <c r="C845" t="str">
        <f>Result_notebook_retravaill!C845</f>
        <v>Canada Net-zero</v>
      </c>
      <c r="D845" t="str">
        <f>Result_notebook_retravaill!D845</f>
        <v>Production potential</v>
      </c>
      <c r="E845" t="str">
        <f>Result_notebook_retravaill!E845</f>
        <v>Current shares</v>
      </c>
      <c r="F845" t="str">
        <f>Result_notebook_retravaill!F845</f>
        <v>Expansion Extractive+Circularity</v>
      </c>
      <c r="G845">
        <f>Result_notebook_retravaill!G845</f>
        <v>4411.7741331532143</v>
      </c>
      <c r="H845" s="32">
        <f>IF(Result_notebook_retravaill!I845&gt;Result_notebook_retravaill!G845,Result_notebook_retravaill!I845/Result_notebook_retravaill!N845,Result_notebook_retravaill!H845)</f>
        <v>57.127421790883162</v>
      </c>
      <c r="I845" s="32">
        <f>Result_notebook_retravaill!K845</f>
        <v>7295.829466797808</v>
      </c>
      <c r="J845" s="32">
        <f>MIN(G845,Result_notebook_retravaill!I845)</f>
        <v>34.193270634870977</v>
      </c>
      <c r="K845" s="32">
        <f>IF(Result_notebook_retravaill!I845&gt;Result_notebook_retravaill!G845,0,IF(Result_notebook_retravaill!I845+Result_notebook_retravaill!J845&gt;Result_notebook_retravaill!G845,Result_notebook_retravaill!G845-Result_notebook_retravaill!I845,Result_notebook_retravaill!J845))</f>
        <v>22.934151156012184</v>
      </c>
      <c r="L845" s="32">
        <f>IF(Result_notebook_retravaill!I845&gt;Result_notebook_retravaill!G845,0,IF(Result_notebook_retravaill!I845+Result_notebook_retravaill!J845&gt;Result_notebook_retravaill!G845,0,Result_notebook_retravaill!M845))</f>
        <v>4354.6467113623312</v>
      </c>
      <c r="M845" s="31">
        <f t="shared" si="13"/>
        <v>0</v>
      </c>
    </row>
    <row r="846" spans="1:13" x14ac:dyDescent="0.35">
      <c r="A846">
        <f>Result_notebook_retravaill!A846</f>
        <v>2034</v>
      </c>
      <c r="B846" t="str">
        <f>Result_notebook_retravaill!B846</f>
        <v>Neodymium</v>
      </c>
      <c r="C846" t="str">
        <f>Result_notebook_retravaill!C846</f>
        <v>Canada Net-zero</v>
      </c>
      <c r="D846" t="str">
        <f>Result_notebook_retravaill!D846</f>
        <v>Production potential</v>
      </c>
      <c r="E846" t="str">
        <f>Result_notebook_retravaill!E846</f>
        <v>100% CAN</v>
      </c>
      <c r="F846" t="str">
        <f>Result_notebook_retravaill!F846</f>
        <v>Integrated</v>
      </c>
      <c r="G846">
        <f>Result_notebook_retravaill!G846</f>
        <v>4411.7741331532143</v>
      </c>
      <c r="H846" s="32">
        <f>IF(Result_notebook_retravaill!I846&gt;Result_notebook_retravaill!G846,Result_notebook_retravaill!I846/Result_notebook_retravaill!N846,Result_notebook_retravaill!H846)</f>
        <v>57.127421790883162</v>
      </c>
      <c r="I846" s="32">
        <f>Result_notebook_retravaill!K846</f>
        <v>7295.829466797808</v>
      </c>
      <c r="J846" s="32">
        <f>MIN(G846,Result_notebook_retravaill!I846)</f>
        <v>34.193270634870977</v>
      </c>
      <c r="K846" s="32">
        <f>IF(Result_notebook_retravaill!I846&gt;Result_notebook_retravaill!G846,0,IF(Result_notebook_retravaill!I846+Result_notebook_retravaill!J846&gt;Result_notebook_retravaill!G846,Result_notebook_retravaill!G846-Result_notebook_retravaill!I846,Result_notebook_retravaill!J846))</f>
        <v>22.934151156012184</v>
      </c>
      <c r="L846" s="32">
        <f>IF(Result_notebook_retravaill!I846&gt;Result_notebook_retravaill!G846,0,IF(Result_notebook_retravaill!I846+Result_notebook_retravaill!J846&gt;Result_notebook_retravaill!G846,0,Result_notebook_retravaill!M846))</f>
        <v>4354.6467113623312</v>
      </c>
      <c r="M846" s="31">
        <f t="shared" si="13"/>
        <v>0</v>
      </c>
    </row>
    <row r="847" spans="1:13" x14ac:dyDescent="0.35">
      <c r="A847">
        <f>Result_notebook_retravaill!A847</f>
        <v>2034</v>
      </c>
      <c r="B847" t="str">
        <f>Result_notebook_retravaill!B847</f>
        <v>Neodymium</v>
      </c>
      <c r="C847" t="str">
        <f>Result_notebook_retravaill!C847</f>
        <v>Current Measures</v>
      </c>
      <c r="D847" t="str">
        <f>Result_notebook_retravaill!D847</f>
        <v>Existing production</v>
      </c>
      <c r="E847" t="str">
        <f>Result_notebook_retravaill!E847</f>
        <v>Current shares</v>
      </c>
      <c r="F847" t="str">
        <f>Result_notebook_retravaill!F847</f>
        <v>NIMBY</v>
      </c>
      <c r="G847">
        <f>Result_notebook_retravaill!G847</f>
        <v>1428.0497040707919</v>
      </c>
      <c r="H847" s="32">
        <f>IF(Result_notebook_retravaill!I847&gt;Result_notebook_retravaill!G847,Result_notebook_retravaill!I847/Result_notebook_retravaill!N847,Result_notebook_retravaill!H847)</f>
        <v>0</v>
      </c>
      <c r="I847" s="32">
        <f>Result_notebook_retravaill!K847</f>
        <v>2380.082840117987</v>
      </c>
      <c r="J847" s="32">
        <f>MIN(G847,Result_notebook_retravaill!I847)</f>
        <v>0</v>
      </c>
      <c r="K847" s="32">
        <f>IF(Result_notebook_retravaill!I847&gt;Result_notebook_retravaill!G847,0,IF(Result_notebook_retravaill!I847+Result_notebook_retravaill!J847&gt;Result_notebook_retravaill!G847,Result_notebook_retravaill!G847-Result_notebook_retravaill!I847,Result_notebook_retravaill!J847))</f>
        <v>0</v>
      </c>
      <c r="L847" s="32">
        <f>IF(Result_notebook_retravaill!I847&gt;Result_notebook_retravaill!G847,0,IF(Result_notebook_retravaill!I847+Result_notebook_retravaill!J847&gt;Result_notebook_retravaill!G847,0,Result_notebook_retravaill!M847))</f>
        <v>1428.0497040707919</v>
      </c>
      <c r="M847" s="31">
        <f t="shared" si="13"/>
        <v>0</v>
      </c>
    </row>
    <row r="848" spans="1:13" x14ac:dyDescent="0.35">
      <c r="A848">
        <f>Result_notebook_retravaill!A848</f>
        <v>2034</v>
      </c>
      <c r="B848" t="str">
        <f>Result_notebook_retravaill!B848</f>
        <v>Neodymium</v>
      </c>
      <c r="C848" t="str">
        <f>Result_notebook_retravaill!C848</f>
        <v>Current Measures</v>
      </c>
      <c r="D848" t="str">
        <f>Result_notebook_retravaill!D848</f>
        <v>Existing production</v>
      </c>
      <c r="E848" t="str">
        <f>Result_notebook_retravaill!E848</f>
        <v>Current shares</v>
      </c>
      <c r="F848" t="str">
        <f>Result_notebook_retravaill!F848</f>
        <v>Status Quo</v>
      </c>
      <c r="G848">
        <f>Result_notebook_retravaill!G848</f>
        <v>1428.0497040707919</v>
      </c>
      <c r="H848" s="32">
        <f>IF(Result_notebook_retravaill!I848&gt;Result_notebook_retravaill!G848,Result_notebook_retravaill!I848/Result_notebook_retravaill!N848,Result_notebook_retravaill!H848)</f>
        <v>0</v>
      </c>
      <c r="I848" s="32">
        <f>Result_notebook_retravaill!K848</f>
        <v>2380.082840117987</v>
      </c>
      <c r="J848" s="32">
        <f>MIN(G848,Result_notebook_retravaill!I848)</f>
        <v>0</v>
      </c>
      <c r="K848" s="32">
        <f>IF(Result_notebook_retravaill!I848&gt;Result_notebook_retravaill!G848,0,IF(Result_notebook_retravaill!I848+Result_notebook_retravaill!J848&gt;Result_notebook_retravaill!G848,Result_notebook_retravaill!G848-Result_notebook_retravaill!I848,Result_notebook_retravaill!J848))</f>
        <v>0</v>
      </c>
      <c r="L848" s="32">
        <f>IF(Result_notebook_retravaill!I848&gt;Result_notebook_retravaill!G848,0,IF(Result_notebook_retravaill!I848+Result_notebook_retravaill!J848&gt;Result_notebook_retravaill!G848,0,Result_notebook_retravaill!M848))</f>
        <v>1428.0497040707919</v>
      </c>
      <c r="M848" s="31">
        <f t="shared" si="13"/>
        <v>0</v>
      </c>
    </row>
    <row r="849" spans="1:13" x14ac:dyDescent="0.35">
      <c r="A849">
        <f>Result_notebook_retravaill!A849</f>
        <v>2034</v>
      </c>
      <c r="B849" t="str">
        <f>Result_notebook_retravaill!B849</f>
        <v>Neodymium</v>
      </c>
      <c r="C849" t="str">
        <f>Result_notebook_retravaill!C849</f>
        <v>Current Measures</v>
      </c>
      <c r="D849" t="str">
        <f>Result_notebook_retravaill!D849</f>
        <v>Production potential</v>
      </c>
      <c r="E849" t="str">
        <f>Result_notebook_retravaill!E849</f>
        <v>Current shares</v>
      </c>
      <c r="F849" t="str">
        <f>Result_notebook_retravaill!F849</f>
        <v>Expansion Extractive</v>
      </c>
      <c r="G849">
        <f>Result_notebook_retravaill!G849</f>
        <v>1428.0497040707919</v>
      </c>
      <c r="H849" s="32">
        <f>IF(Result_notebook_retravaill!I849&gt;Result_notebook_retravaill!G849,Result_notebook_retravaill!I849/Result_notebook_retravaill!N849,Result_notebook_retravaill!H849)</f>
        <v>57.127421790883162</v>
      </c>
      <c r="I849" s="32">
        <f>Result_notebook_retravaill!K849</f>
        <v>2322.955418327103</v>
      </c>
      <c r="J849" s="32">
        <f>MIN(G849,Result_notebook_retravaill!I849)</f>
        <v>34.193270634870977</v>
      </c>
      <c r="K849" s="32">
        <f>IF(Result_notebook_retravaill!I849&gt;Result_notebook_retravaill!G849,0,IF(Result_notebook_retravaill!I849+Result_notebook_retravaill!J849&gt;Result_notebook_retravaill!G849,Result_notebook_retravaill!G849-Result_notebook_retravaill!I849,Result_notebook_retravaill!J849))</f>
        <v>22.934151156012184</v>
      </c>
      <c r="L849" s="32">
        <f>IF(Result_notebook_retravaill!I849&gt;Result_notebook_retravaill!G849,0,IF(Result_notebook_retravaill!I849+Result_notebook_retravaill!J849&gt;Result_notebook_retravaill!G849,0,Result_notebook_retravaill!M849))</f>
        <v>1370.9222822799088</v>
      </c>
      <c r="M849" s="31">
        <f t="shared" si="13"/>
        <v>0</v>
      </c>
    </row>
    <row r="850" spans="1:13" x14ac:dyDescent="0.35">
      <c r="A850">
        <f>Result_notebook_retravaill!A850</f>
        <v>2034</v>
      </c>
      <c r="B850" t="str">
        <f>Result_notebook_retravaill!B850</f>
        <v>Neodymium</v>
      </c>
      <c r="C850" t="str">
        <f>Result_notebook_retravaill!C850</f>
        <v>Current Measures</v>
      </c>
      <c r="D850" t="str">
        <f>Result_notebook_retravaill!D850</f>
        <v>Production potential</v>
      </c>
      <c r="E850" t="str">
        <f>Result_notebook_retravaill!E850</f>
        <v>Current shares</v>
      </c>
      <c r="F850" t="str">
        <f>Result_notebook_retravaill!F850</f>
        <v>Expansion Extractive+Circularity</v>
      </c>
      <c r="G850">
        <f>Result_notebook_retravaill!G850</f>
        <v>1428.0497040707919</v>
      </c>
      <c r="H850" s="32">
        <f>IF(Result_notebook_retravaill!I850&gt;Result_notebook_retravaill!G850,Result_notebook_retravaill!I850/Result_notebook_retravaill!N850,Result_notebook_retravaill!H850)</f>
        <v>57.127421790883162</v>
      </c>
      <c r="I850" s="32">
        <f>Result_notebook_retravaill!K850</f>
        <v>2322.955418327103</v>
      </c>
      <c r="J850" s="32">
        <f>MIN(G850,Result_notebook_retravaill!I850)</f>
        <v>34.193270634870977</v>
      </c>
      <c r="K850" s="32">
        <f>IF(Result_notebook_retravaill!I850&gt;Result_notebook_retravaill!G850,0,IF(Result_notebook_retravaill!I850+Result_notebook_retravaill!J850&gt;Result_notebook_retravaill!G850,Result_notebook_retravaill!G850-Result_notebook_retravaill!I850,Result_notebook_retravaill!J850))</f>
        <v>22.934151156012184</v>
      </c>
      <c r="L850" s="32">
        <f>IF(Result_notebook_retravaill!I850&gt;Result_notebook_retravaill!G850,0,IF(Result_notebook_retravaill!I850+Result_notebook_retravaill!J850&gt;Result_notebook_retravaill!G850,0,Result_notebook_retravaill!M850))</f>
        <v>1370.9222822799088</v>
      </c>
      <c r="M850" s="31">
        <f t="shared" si="13"/>
        <v>0</v>
      </c>
    </row>
    <row r="851" spans="1:13" x14ac:dyDescent="0.35">
      <c r="A851">
        <f>Result_notebook_retravaill!A851</f>
        <v>2034</v>
      </c>
      <c r="B851" t="str">
        <f>Result_notebook_retravaill!B851</f>
        <v>Neodymium</v>
      </c>
      <c r="C851" t="str">
        <f>Result_notebook_retravaill!C851</f>
        <v>Current Measures</v>
      </c>
      <c r="D851" t="str">
        <f>Result_notebook_retravaill!D851</f>
        <v>Production potential</v>
      </c>
      <c r="E851" t="str">
        <f>Result_notebook_retravaill!E851</f>
        <v>100% CAN</v>
      </c>
      <c r="F851" t="str">
        <f>Result_notebook_retravaill!F851</f>
        <v>Integrated</v>
      </c>
      <c r="G851">
        <f>Result_notebook_retravaill!G851</f>
        <v>1428.0497040707919</v>
      </c>
      <c r="H851" s="32">
        <f>IF(Result_notebook_retravaill!I851&gt;Result_notebook_retravaill!G851,Result_notebook_retravaill!I851/Result_notebook_retravaill!N851,Result_notebook_retravaill!H851)</f>
        <v>57.127421790883162</v>
      </c>
      <c r="I851" s="32">
        <f>Result_notebook_retravaill!K851</f>
        <v>2322.955418327103</v>
      </c>
      <c r="J851" s="32">
        <f>MIN(G851,Result_notebook_retravaill!I851)</f>
        <v>34.193270634870977</v>
      </c>
      <c r="K851" s="32">
        <f>IF(Result_notebook_retravaill!I851&gt;Result_notebook_retravaill!G851,0,IF(Result_notebook_retravaill!I851+Result_notebook_retravaill!J851&gt;Result_notebook_retravaill!G851,Result_notebook_retravaill!G851-Result_notebook_retravaill!I851,Result_notebook_retravaill!J851))</f>
        <v>22.934151156012184</v>
      </c>
      <c r="L851" s="32">
        <f>IF(Result_notebook_retravaill!I851&gt;Result_notebook_retravaill!G851,0,IF(Result_notebook_retravaill!I851+Result_notebook_retravaill!J851&gt;Result_notebook_retravaill!G851,0,Result_notebook_retravaill!M851))</f>
        <v>1370.9222822799088</v>
      </c>
      <c r="M851" s="31">
        <f t="shared" si="13"/>
        <v>0</v>
      </c>
    </row>
    <row r="852" spans="1:13" x14ac:dyDescent="0.35">
      <c r="A852">
        <f>Result_notebook_retravaill!A852</f>
        <v>2034</v>
      </c>
      <c r="B852" t="str">
        <f>Result_notebook_retravaill!B852</f>
        <v>Neodymium</v>
      </c>
      <c r="C852" t="str">
        <f>Result_notebook_retravaill!C852</f>
        <v>Global Net-zero</v>
      </c>
      <c r="D852" t="str">
        <f>Result_notebook_retravaill!D852</f>
        <v>Existing production</v>
      </c>
      <c r="E852" t="str">
        <f>Result_notebook_retravaill!E852</f>
        <v>Current shares</v>
      </c>
      <c r="F852" t="str">
        <f>Result_notebook_retravaill!F852</f>
        <v>NIMBY</v>
      </c>
      <c r="G852">
        <f>Result_notebook_retravaill!G852</f>
        <v>4227.3945281288607</v>
      </c>
      <c r="H852" s="32">
        <f>IF(Result_notebook_retravaill!I852&gt;Result_notebook_retravaill!G852,Result_notebook_retravaill!I852/Result_notebook_retravaill!N852,Result_notebook_retravaill!H852)</f>
        <v>0</v>
      </c>
      <c r="I852" s="32">
        <f>Result_notebook_retravaill!K852</f>
        <v>7045.6575468814344</v>
      </c>
      <c r="J852" s="32">
        <f>MIN(G852,Result_notebook_retravaill!I852)</f>
        <v>0</v>
      </c>
      <c r="K852" s="32">
        <f>IF(Result_notebook_retravaill!I852&gt;Result_notebook_retravaill!G852,0,IF(Result_notebook_retravaill!I852+Result_notebook_retravaill!J852&gt;Result_notebook_retravaill!G852,Result_notebook_retravaill!G852-Result_notebook_retravaill!I852,Result_notebook_retravaill!J852))</f>
        <v>0</v>
      </c>
      <c r="L852" s="32">
        <f>IF(Result_notebook_retravaill!I852&gt;Result_notebook_retravaill!G852,0,IF(Result_notebook_retravaill!I852+Result_notebook_retravaill!J852&gt;Result_notebook_retravaill!G852,0,Result_notebook_retravaill!M852))</f>
        <v>4227.3945281288607</v>
      </c>
      <c r="M852" s="31">
        <f t="shared" si="13"/>
        <v>0</v>
      </c>
    </row>
    <row r="853" spans="1:13" x14ac:dyDescent="0.35">
      <c r="A853">
        <f>Result_notebook_retravaill!A853</f>
        <v>2034</v>
      </c>
      <c r="B853" t="str">
        <f>Result_notebook_retravaill!B853</f>
        <v>Neodymium</v>
      </c>
      <c r="C853" t="str">
        <f>Result_notebook_retravaill!C853</f>
        <v>Global Net-zero</v>
      </c>
      <c r="D853" t="str">
        <f>Result_notebook_retravaill!D853</f>
        <v>Existing production</v>
      </c>
      <c r="E853" t="str">
        <f>Result_notebook_retravaill!E853</f>
        <v>Current shares</v>
      </c>
      <c r="F853" t="str">
        <f>Result_notebook_retravaill!F853</f>
        <v>Status Quo</v>
      </c>
      <c r="G853">
        <f>Result_notebook_retravaill!G853</f>
        <v>4227.3945281288607</v>
      </c>
      <c r="H853" s="32">
        <f>IF(Result_notebook_retravaill!I853&gt;Result_notebook_retravaill!G853,Result_notebook_retravaill!I853/Result_notebook_retravaill!N853,Result_notebook_retravaill!H853)</f>
        <v>0</v>
      </c>
      <c r="I853" s="32">
        <f>Result_notebook_retravaill!K853</f>
        <v>7045.6575468814344</v>
      </c>
      <c r="J853" s="32">
        <f>MIN(G853,Result_notebook_retravaill!I853)</f>
        <v>0</v>
      </c>
      <c r="K853" s="32">
        <f>IF(Result_notebook_retravaill!I853&gt;Result_notebook_retravaill!G853,0,IF(Result_notebook_retravaill!I853+Result_notebook_retravaill!J853&gt;Result_notebook_retravaill!G853,Result_notebook_retravaill!G853-Result_notebook_retravaill!I853,Result_notebook_retravaill!J853))</f>
        <v>0</v>
      </c>
      <c r="L853" s="32">
        <f>IF(Result_notebook_retravaill!I853&gt;Result_notebook_retravaill!G853,0,IF(Result_notebook_retravaill!I853+Result_notebook_retravaill!J853&gt;Result_notebook_retravaill!G853,0,Result_notebook_retravaill!M853))</f>
        <v>4227.3945281288607</v>
      </c>
      <c r="M853" s="31">
        <f t="shared" si="13"/>
        <v>0</v>
      </c>
    </row>
    <row r="854" spans="1:13" x14ac:dyDescent="0.35">
      <c r="A854">
        <f>Result_notebook_retravaill!A854</f>
        <v>2034</v>
      </c>
      <c r="B854" t="str">
        <f>Result_notebook_retravaill!B854</f>
        <v>Neodymium</v>
      </c>
      <c r="C854" t="str">
        <f>Result_notebook_retravaill!C854</f>
        <v>Global Net-zero</v>
      </c>
      <c r="D854" t="str">
        <f>Result_notebook_retravaill!D854</f>
        <v>Production potential</v>
      </c>
      <c r="E854" t="str">
        <f>Result_notebook_retravaill!E854</f>
        <v>Current shares</v>
      </c>
      <c r="F854" t="str">
        <f>Result_notebook_retravaill!F854</f>
        <v>Expansion Extractive</v>
      </c>
      <c r="G854">
        <f>Result_notebook_retravaill!G854</f>
        <v>4227.3945281288607</v>
      </c>
      <c r="H854" s="32">
        <f>IF(Result_notebook_retravaill!I854&gt;Result_notebook_retravaill!G854,Result_notebook_retravaill!I854/Result_notebook_retravaill!N854,Result_notebook_retravaill!H854)</f>
        <v>57.127421790883162</v>
      </c>
      <c r="I854" s="32">
        <f>Result_notebook_retravaill!K854</f>
        <v>6988.5301250905513</v>
      </c>
      <c r="J854" s="32">
        <f>MIN(G854,Result_notebook_retravaill!I854)</f>
        <v>34.193270634870977</v>
      </c>
      <c r="K854" s="32">
        <f>IF(Result_notebook_retravaill!I854&gt;Result_notebook_retravaill!G854,0,IF(Result_notebook_retravaill!I854+Result_notebook_retravaill!J854&gt;Result_notebook_retravaill!G854,Result_notebook_retravaill!G854-Result_notebook_retravaill!I854,Result_notebook_retravaill!J854))</f>
        <v>22.934151156012184</v>
      </c>
      <c r="L854" s="32">
        <f>IF(Result_notebook_retravaill!I854&gt;Result_notebook_retravaill!G854,0,IF(Result_notebook_retravaill!I854+Result_notebook_retravaill!J854&gt;Result_notebook_retravaill!G854,0,Result_notebook_retravaill!M854))</f>
        <v>4170.2671063379776</v>
      </c>
      <c r="M854" s="31">
        <f t="shared" si="13"/>
        <v>0</v>
      </c>
    </row>
    <row r="855" spans="1:13" x14ac:dyDescent="0.35">
      <c r="A855">
        <f>Result_notebook_retravaill!A855</f>
        <v>2034</v>
      </c>
      <c r="B855" t="str">
        <f>Result_notebook_retravaill!B855</f>
        <v>Neodymium</v>
      </c>
      <c r="C855" t="str">
        <f>Result_notebook_retravaill!C855</f>
        <v>Global Net-zero</v>
      </c>
      <c r="D855" t="str">
        <f>Result_notebook_retravaill!D855</f>
        <v>Production potential</v>
      </c>
      <c r="E855" t="str">
        <f>Result_notebook_retravaill!E855</f>
        <v>Current shares</v>
      </c>
      <c r="F855" t="str">
        <f>Result_notebook_retravaill!F855</f>
        <v>Expansion Extractive+Circularity</v>
      </c>
      <c r="G855">
        <f>Result_notebook_retravaill!G855</f>
        <v>4227.3945281288607</v>
      </c>
      <c r="H855" s="32">
        <f>IF(Result_notebook_retravaill!I855&gt;Result_notebook_retravaill!G855,Result_notebook_retravaill!I855/Result_notebook_retravaill!N855,Result_notebook_retravaill!H855)</f>
        <v>57.127421790883162</v>
      </c>
      <c r="I855" s="32">
        <f>Result_notebook_retravaill!K855</f>
        <v>6988.5301250905513</v>
      </c>
      <c r="J855" s="32">
        <f>MIN(G855,Result_notebook_retravaill!I855)</f>
        <v>34.193270634870977</v>
      </c>
      <c r="K855" s="32">
        <f>IF(Result_notebook_retravaill!I855&gt;Result_notebook_retravaill!G855,0,IF(Result_notebook_retravaill!I855+Result_notebook_retravaill!J855&gt;Result_notebook_retravaill!G855,Result_notebook_retravaill!G855-Result_notebook_retravaill!I855,Result_notebook_retravaill!J855))</f>
        <v>22.934151156012184</v>
      </c>
      <c r="L855" s="32">
        <f>IF(Result_notebook_retravaill!I855&gt;Result_notebook_retravaill!G855,0,IF(Result_notebook_retravaill!I855+Result_notebook_retravaill!J855&gt;Result_notebook_retravaill!G855,0,Result_notebook_retravaill!M855))</f>
        <v>4170.2671063379776</v>
      </c>
      <c r="M855" s="31">
        <f t="shared" si="13"/>
        <v>0</v>
      </c>
    </row>
    <row r="856" spans="1:13" x14ac:dyDescent="0.35">
      <c r="A856">
        <f>Result_notebook_retravaill!A856</f>
        <v>2034</v>
      </c>
      <c r="B856" t="str">
        <f>Result_notebook_retravaill!B856</f>
        <v>Neodymium</v>
      </c>
      <c r="C856" t="str">
        <f>Result_notebook_retravaill!C856</f>
        <v>Global Net-zero</v>
      </c>
      <c r="D856" t="str">
        <f>Result_notebook_retravaill!D856</f>
        <v>Production potential</v>
      </c>
      <c r="E856" t="str">
        <f>Result_notebook_retravaill!E856</f>
        <v>100% CAN</v>
      </c>
      <c r="F856" t="str">
        <f>Result_notebook_retravaill!F856</f>
        <v>Integrated</v>
      </c>
      <c r="G856">
        <f>Result_notebook_retravaill!G856</f>
        <v>4227.3945281288607</v>
      </c>
      <c r="H856" s="32">
        <f>IF(Result_notebook_retravaill!I856&gt;Result_notebook_retravaill!G856,Result_notebook_retravaill!I856/Result_notebook_retravaill!N856,Result_notebook_retravaill!H856)</f>
        <v>57.127421790883162</v>
      </c>
      <c r="I856" s="32">
        <f>Result_notebook_retravaill!K856</f>
        <v>6988.5301250905513</v>
      </c>
      <c r="J856" s="32">
        <f>MIN(G856,Result_notebook_retravaill!I856)</f>
        <v>34.193270634870977</v>
      </c>
      <c r="K856" s="32">
        <f>IF(Result_notebook_retravaill!I856&gt;Result_notebook_retravaill!G856,0,IF(Result_notebook_retravaill!I856+Result_notebook_retravaill!J856&gt;Result_notebook_retravaill!G856,Result_notebook_retravaill!G856-Result_notebook_retravaill!I856,Result_notebook_retravaill!J856))</f>
        <v>22.934151156012184</v>
      </c>
      <c r="L856" s="32">
        <f>IF(Result_notebook_retravaill!I856&gt;Result_notebook_retravaill!G856,0,IF(Result_notebook_retravaill!I856+Result_notebook_retravaill!J856&gt;Result_notebook_retravaill!G856,0,Result_notebook_retravaill!M856))</f>
        <v>4170.2671063379776</v>
      </c>
      <c r="M856" s="31">
        <f t="shared" si="13"/>
        <v>0</v>
      </c>
    </row>
    <row r="857" spans="1:13" x14ac:dyDescent="0.35">
      <c r="A857">
        <f>Result_notebook_retravaill!A857</f>
        <v>2034</v>
      </c>
      <c r="B857" t="str">
        <f>Result_notebook_retravaill!B857</f>
        <v>Nickel</v>
      </c>
      <c r="C857" t="str">
        <f>Result_notebook_retravaill!C857</f>
        <v>Canada Net-zero</v>
      </c>
      <c r="D857" t="str">
        <f>Result_notebook_retravaill!D857</f>
        <v>Existing production</v>
      </c>
      <c r="E857" t="str">
        <f>Result_notebook_retravaill!E857</f>
        <v>Current shares</v>
      </c>
      <c r="F857" t="str">
        <f>Result_notebook_retravaill!F857</f>
        <v>NIMBY</v>
      </c>
      <c r="G857">
        <f>Result_notebook_retravaill!G857</f>
        <v>138718.89695700069</v>
      </c>
      <c r="H857" s="32">
        <f>IF(Result_notebook_retravaill!I857&gt;Result_notebook_retravaill!G857,Result_notebook_retravaill!I857/Result_notebook_retravaill!N857,Result_notebook_retravaill!H857)</f>
        <v>0</v>
      </c>
      <c r="I857" s="32">
        <f>Result_notebook_retravaill!K857</f>
        <v>175593.54045189961</v>
      </c>
      <c r="J857" s="32">
        <f>MIN(G857,Result_notebook_retravaill!I857)</f>
        <v>0</v>
      </c>
      <c r="K857" s="32">
        <f>IF(Result_notebook_retravaill!I857&gt;Result_notebook_retravaill!G857,0,IF(Result_notebook_retravaill!I857+Result_notebook_retravaill!J857&gt;Result_notebook_retravaill!G857,Result_notebook_retravaill!G857-Result_notebook_retravaill!I857,Result_notebook_retravaill!J857))</f>
        <v>0</v>
      </c>
      <c r="L857" s="32">
        <f>IF(Result_notebook_retravaill!I857&gt;Result_notebook_retravaill!G857,0,IF(Result_notebook_retravaill!I857+Result_notebook_retravaill!J857&gt;Result_notebook_retravaill!G857,0,Result_notebook_retravaill!M857))</f>
        <v>138718.89695700069</v>
      </c>
      <c r="M857" s="31">
        <f t="shared" si="13"/>
        <v>0</v>
      </c>
    </row>
    <row r="858" spans="1:13" x14ac:dyDescent="0.35">
      <c r="A858">
        <f>Result_notebook_retravaill!A858</f>
        <v>2034</v>
      </c>
      <c r="B858" t="str">
        <f>Result_notebook_retravaill!B858</f>
        <v>Nickel</v>
      </c>
      <c r="C858" t="str">
        <f>Result_notebook_retravaill!C858</f>
        <v>Canada Net-zero</v>
      </c>
      <c r="D858" t="str">
        <f>Result_notebook_retravaill!D858</f>
        <v>Existing production</v>
      </c>
      <c r="E858" t="str">
        <f>Result_notebook_retravaill!E858</f>
        <v>Current shares</v>
      </c>
      <c r="F858" t="str">
        <f>Result_notebook_retravaill!F858</f>
        <v>Status Quo</v>
      </c>
      <c r="G858">
        <f>Result_notebook_retravaill!G858</f>
        <v>138718.89695700069</v>
      </c>
      <c r="H858" s="32">
        <f>IF(Result_notebook_retravaill!I858&gt;Result_notebook_retravaill!G858,Result_notebook_retravaill!I858/Result_notebook_retravaill!N858,Result_notebook_retravaill!H858)</f>
        <v>118000</v>
      </c>
      <c r="I858" s="32">
        <f>Result_notebook_retravaill!K858</f>
        <v>57593.540451899607</v>
      </c>
      <c r="J858" s="32">
        <f>MIN(G858,Result_notebook_retravaill!I858)</f>
        <v>66183.845060727675</v>
      </c>
      <c r="K858" s="32">
        <f>IF(Result_notebook_retravaill!I858&gt;Result_notebook_retravaill!G858,0,IF(Result_notebook_retravaill!I858+Result_notebook_retravaill!J858&gt;Result_notebook_retravaill!G858,Result_notebook_retravaill!G858-Result_notebook_retravaill!I858,Result_notebook_retravaill!J858))</f>
        <v>16318.270507305919</v>
      </c>
      <c r="L858" s="32">
        <f>IF(Result_notebook_retravaill!I858&gt;Result_notebook_retravaill!G858,0,IF(Result_notebook_retravaill!I858+Result_notebook_retravaill!J858&gt;Result_notebook_retravaill!G858,0,Result_notebook_retravaill!M858))</f>
        <v>56216.781388967094</v>
      </c>
      <c r="M858" s="31">
        <f t="shared" si="13"/>
        <v>0</v>
      </c>
    </row>
    <row r="859" spans="1:13" x14ac:dyDescent="0.35">
      <c r="A859">
        <f>Result_notebook_retravaill!A859</f>
        <v>2034</v>
      </c>
      <c r="B859" t="str">
        <f>Result_notebook_retravaill!B859</f>
        <v>Nickel</v>
      </c>
      <c r="C859" t="str">
        <f>Result_notebook_retravaill!C859</f>
        <v>Canada Net-zero</v>
      </c>
      <c r="D859" t="str">
        <f>Result_notebook_retravaill!D859</f>
        <v>Production potential</v>
      </c>
      <c r="E859" t="str">
        <f>Result_notebook_retravaill!E859</f>
        <v>Current shares</v>
      </c>
      <c r="F859" t="str">
        <f>Result_notebook_retravaill!F859</f>
        <v>Expansion Extractive</v>
      </c>
      <c r="G859">
        <f>Result_notebook_retravaill!G859</f>
        <v>138718.89695700069</v>
      </c>
      <c r="H859" s="32">
        <f>IF(Result_notebook_retravaill!I859&gt;Result_notebook_retravaill!G859,Result_notebook_retravaill!I859/Result_notebook_retravaill!N859,Result_notebook_retravaill!H859)</f>
        <v>215984.6873896351</v>
      </c>
      <c r="I859" s="32">
        <f>Result_notebook_retravaill!K859</f>
        <v>0</v>
      </c>
      <c r="J859" s="32">
        <f>MIN(G859,Result_notebook_retravaill!I859)</f>
        <v>121141.5007261467</v>
      </c>
      <c r="K859" s="32">
        <f>IF(Result_notebook_retravaill!I859&gt;Result_notebook_retravaill!G859,0,IF(Result_notebook_retravaill!I859+Result_notebook_retravaill!J859&gt;Result_notebook_retravaill!G859,Result_notebook_retravaill!G859-Result_notebook_retravaill!I859,Result_notebook_retravaill!J859))</f>
        <v>17577.396230853992</v>
      </c>
      <c r="L859" s="32">
        <f>IF(Result_notebook_retravaill!I859&gt;Result_notebook_retravaill!G859,0,IF(Result_notebook_retravaill!I859+Result_notebook_retravaill!J859&gt;Result_notebook_retravaill!G859,0,Result_notebook_retravaill!M859))</f>
        <v>0</v>
      </c>
      <c r="M859" s="31">
        <f t="shared" si="13"/>
        <v>0</v>
      </c>
    </row>
    <row r="860" spans="1:13" x14ac:dyDescent="0.35">
      <c r="A860">
        <f>Result_notebook_retravaill!A860</f>
        <v>2034</v>
      </c>
      <c r="B860" t="str">
        <f>Result_notebook_retravaill!B860</f>
        <v>Nickel</v>
      </c>
      <c r="C860" t="str">
        <f>Result_notebook_retravaill!C860</f>
        <v>Canada Net-zero</v>
      </c>
      <c r="D860" t="str">
        <f>Result_notebook_retravaill!D860</f>
        <v>Production potential</v>
      </c>
      <c r="E860" t="str">
        <f>Result_notebook_retravaill!E860</f>
        <v>Current shares</v>
      </c>
      <c r="F860" t="str">
        <f>Result_notebook_retravaill!F860</f>
        <v>Expansion Extractive+Circularity</v>
      </c>
      <c r="G860">
        <f>Result_notebook_retravaill!G860</f>
        <v>138718.89695700069</v>
      </c>
      <c r="H860" s="32">
        <f>IF(Result_notebook_retravaill!I860&gt;Result_notebook_retravaill!G860,Result_notebook_retravaill!I860/Result_notebook_retravaill!N860,Result_notebook_retravaill!H860)</f>
        <v>215984.6873896351</v>
      </c>
      <c r="I860" s="32">
        <f>Result_notebook_retravaill!K860</f>
        <v>0</v>
      </c>
      <c r="J860" s="32">
        <f>MIN(G860,Result_notebook_retravaill!I860)</f>
        <v>121141.5007261467</v>
      </c>
      <c r="K860" s="32">
        <f>IF(Result_notebook_retravaill!I860&gt;Result_notebook_retravaill!G860,0,IF(Result_notebook_retravaill!I860+Result_notebook_retravaill!J860&gt;Result_notebook_retravaill!G860,Result_notebook_retravaill!G860-Result_notebook_retravaill!I860,Result_notebook_retravaill!J860))</f>
        <v>17577.396230853992</v>
      </c>
      <c r="L860" s="32">
        <f>IF(Result_notebook_retravaill!I860&gt;Result_notebook_retravaill!G860,0,IF(Result_notebook_retravaill!I860+Result_notebook_retravaill!J860&gt;Result_notebook_retravaill!G860,0,Result_notebook_retravaill!M860))</f>
        <v>0</v>
      </c>
      <c r="M860" s="31">
        <f t="shared" si="13"/>
        <v>0</v>
      </c>
    </row>
    <row r="861" spans="1:13" x14ac:dyDescent="0.35">
      <c r="A861">
        <f>Result_notebook_retravaill!A861</f>
        <v>2034</v>
      </c>
      <c r="B861" t="str">
        <f>Result_notebook_retravaill!B861</f>
        <v>Nickel</v>
      </c>
      <c r="C861" t="str">
        <f>Result_notebook_retravaill!C861</f>
        <v>Canada Net-zero</v>
      </c>
      <c r="D861" t="str">
        <f>Result_notebook_retravaill!D861</f>
        <v>Production potential</v>
      </c>
      <c r="E861" t="str">
        <f>Result_notebook_retravaill!E861</f>
        <v>100% CAN</v>
      </c>
      <c r="F861" t="str">
        <f>Result_notebook_retravaill!F861</f>
        <v>Integrated</v>
      </c>
      <c r="G861">
        <f>Result_notebook_retravaill!G861</f>
        <v>138718.89695700069</v>
      </c>
      <c r="H861" s="32">
        <f>IF(Result_notebook_retravaill!I861&gt;Result_notebook_retravaill!G861,Result_notebook_retravaill!I861/Result_notebook_retravaill!N861,Result_notebook_retravaill!H861)</f>
        <v>243288.0490156202</v>
      </c>
      <c r="I861" s="32">
        <f>Result_notebook_retravaill!K861</f>
        <v>0</v>
      </c>
      <c r="J861" s="32">
        <f>MIN(G861,Result_notebook_retravaill!I861)</f>
        <v>138718.89695700069</v>
      </c>
      <c r="K861" s="32">
        <f>IF(Result_notebook_retravaill!I861&gt;Result_notebook_retravaill!G861,0,IF(Result_notebook_retravaill!I861+Result_notebook_retravaill!J861&gt;Result_notebook_retravaill!G861,Result_notebook_retravaill!G861-Result_notebook_retravaill!I861,Result_notebook_retravaill!J861))</f>
        <v>0</v>
      </c>
      <c r="L861" s="32">
        <f>IF(Result_notebook_retravaill!I861&gt;Result_notebook_retravaill!G861,0,IF(Result_notebook_retravaill!I861+Result_notebook_retravaill!J861&gt;Result_notebook_retravaill!G861,0,Result_notebook_retravaill!M861))</f>
        <v>0</v>
      </c>
      <c r="M861" s="31">
        <f t="shared" si="13"/>
        <v>0</v>
      </c>
    </row>
    <row r="862" spans="1:13" x14ac:dyDescent="0.35">
      <c r="A862">
        <f>Result_notebook_retravaill!A862</f>
        <v>2034</v>
      </c>
      <c r="B862" t="str">
        <f>Result_notebook_retravaill!B862</f>
        <v>Nickel</v>
      </c>
      <c r="C862" t="str">
        <f>Result_notebook_retravaill!C862</f>
        <v>Current Measures</v>
      </c>
      <c r="D862" t="str">
        <f>Result_notebook_retravaill!D862</f>
        <v>Existing production</v>
      </c>
      <c r="E862" t="str">
        <f>Result_notebook_retravaill!E862</f>
        <v>Current shares</v>
      </c>
      <c r="F862" t="str">
        <f>Result_notebook_retravaill!F862</f>
        <v>NIMBY</v>
      </c>
      <c r="G862">
        <f>Result_notebook_retravaill!G862</f>
        <v>57371.149375960449</v>
      </c>
      <c r="H862" s="32">
        <f>IF(Result_notebook_retravaill!I862&gt;Result_notebook_retravaill!G862,Result_notebook_retravaill!I862/Result_notebook_retravaill!N862,Result_notebook_retravaill!H862)</f>
        <v>0</v>
      </c>
      <c r="I862" s="32">
        <f>Result_notebook_retravaill!K862</f>
        <v>72621.708070836015</v>
      </c>
      <c r="J862" s="32">
        <f>MIN(G862,Result_notebook_retravaill!I862)</f>
        <v>0</v>
      </c>
      <c r="K862" s="32">
        <f>IF(Result_notebook_retravaill!I862&gt;Result_notebook_retravaill!G862,0,IF(Result_notebook_retravaill!I862+Result_notebook_retravaill!J862&gt;Result_notebook_retravaill!G862,Result_notebook_retravaill!G862-Result_notebook_retravaill!I862,Result_notebook_retravaill!J862))</f>
        <v>0</v>
      </c>
      <c r="L862" s="32">
        <f>IF(Result_notebook_retravaill!I862&gt;Result_notebook_retravaill!G862,0,IF(Result_notebook_retravaill!I862+Result_notebook_retravaill!J862&gt;Result_notebook_retravaill!G862,0,Result_notebook_retravaill!M862))</f>
        <v>57371.149375960449</v>
      </c>
      <c r="M862" s="31">
        <f t="shared" si="13"/>
        <v>0</v>
      </c>
    </row>
    <row r="863" spans="1:13" x14ac:dyDescent="0.35">
      <c r="A863">
        <f>Result_notebook_retravaill!A863</f>
        <v>2034</v>
      </c>
      <c r="B863" t="str">
        <f>Result_notebook_retravaill!B863</f>
        <v>Nickel</v>
      </c>
      <c r="C863" t="str">
        <f>Result_notebook_retravaill!C863</f>
        <v>Current Measures</v>
      </c>
      <c r="D863" t="str">
        <f>Result_notebook_retravaill!D863</f>
        <v>Existing production</v>
      </c>
      <c r="E863" t="str">
        <f>Result_notebook_retravaill!E863</f>
        <v>Current shares</v>
      </c>
      <c r="F863" t="str">
        <f>Result_notebook_retravaill!F863</f>
        <v>Status Quo</v>
      </c>
      <c r="G863">
        <f>Result_notebook_retravaill!G863</f>
        <v>57371.149375960449</v>
      </c>
      <c r="H863" s="32">
        <f>IF(Result_notebook_retravaill!I863&gt;Result_notebook_retravaill!G863,Result_notebook_retravaill!I863/Result_notebook_retravaill!N863,Result_notebook_retravaill!H863)</f>
        <v>94660.526744017479</v>
      </c>
      <c r="I863" s="32">
        <f>Result_notebook_retravaill!K863</f>
        <v>0</v>
      </c>
      <c r="J863" s="32">
        <f>MIN(G863,Result_notebook_retravaill!I863)</f>
        <v>57371.149375960449</v>
      </c>
      <c r="K863" s="32">
        <f>IF(Result_notebook_retravaill!I863&gt;Result_notebook_retravaill!G863,0,IF(Result_notebook_retravaill!I863+Result_notebook_retravaill!J863&gt;Result_notebook_retravaill!G863,Result_notebook_retravaill!G863-Result_notebook_retravaill!I863,Result_notebook_retravaill!J863))</f>
        <v>0</v>
      </c>
      <c r="L863" s="32">
        <f>IF(Result_notebook_retravaill!I863&gt;Result_notebook_retravaill!G863,0,IF(Result_notebook_retravaill!I863+Result_notebook_retravaill!J863&gt;Result_notebook_retravaill!G863,0,Result_notebook_retravaill!M863))</f>
        <v>0</v>
      </c>
      <c r="M863" s="31">
        <f t="shared" si="13"/>
        <v>0</v>
      </c>
    </row>
    <row r="864" spans="1:13" x14ac:dyDescent="0.35">
      <c r="A864">
        <f>Result_notebook_retravaill!A864</f>
        <v>2034</v>
      </c>
      <c r="B864" t="str">
        <f>Result_notebook_retravaill!B864</f>
        <v>Nickel</v>
      </c>
      <c r="C864" t="str">
        <f>Result_notebook_retravaill!C864</f>
        <v>Current Measures</v>
      </c>
      <c r="D864" t="str">
        <f>Result_notebook_retravaill!D864</f>
        <v>Production potential</v>
      </c>
      <c r="E864" t="str">
        <f>Result_notebook_retravaill!E864</f>
        <v>Current shares</v>
      </c>
      <c r="F864" t="str">
        <f>Result_notebook_retravaill!F864</f>
        <v>Expansion Extractive</v>
      </c>
      <c r="G864">
        <f>Result_notebook_retravaill!G864</f>
        <v>57371.149375960449</v>
      </c>
      <c r="H864" s="32">
        <f>IF(Result_notebook_retravaill!I864&gt;Result_notebook_retravaill!G864,Result_notebook_retravaill!I864/Result_notebook_retravaill!N864,Result_notebook_retravaill!H864)</f>
        <v>173264.6125164814</v>
      </c>
      <c r="I864" s="32">
        <f>Result_notebook_retravaill!K864</f>
        <v>0</v>
      </c>
      <c r="J864" s="32">
        <f>MIN(G864,Result_notebook_retravaill!I864)</f>
        <v>57371.149375960449</v>
      </c>
      <c r="K864" s="32">
        <f>IF(Result_notebook_retravaill!I864&gt;Result_notebook_retravaill!G864,0,IF(Result_notebook_retravaill!I864+Result_notebook_retravaill!J864&gt;Result_notebook_retravaill!G864,Result_notebook_retravaill!G864-Result_notebook_retravaill!I864,Result_notebook_retravaill!J864))</f>
        <v>0</v>
      </c>
      <c r="L864" s="32">
        <f>IF(Result_notebook_retravaill!I864&gt;Result_notebook_retravaill!G864,0,IF(Result_notebook_retravaill!I864+Result_notebook_retravaill!J864&gt;Result_notebook_retravaill!G864,0,Result_notebook_retravaill!M864))</f>
        <v>0</v>
      </c>
      <c r="M864" s="31">
        <f t="shared" si="13"/>
        <v>0</v>
      </c>
    </row>
    <row r="865" spans="1:13" x14ac:dyDescent="0.35">
      <c r="A865">
        <f>Result_notebook_retravaill!A865</f>
        <v>2034</v>
      </c>
      <c r="B865" t="str">
        <f>Result_notebook_retravaill!B865</f>
        <v>Nickel</v>
      </c>
      <c r="C865" t="str">
        <f>Result_notebook_retravaill!C865</f>
        <v>Current Measures</v>
      </c>
      <c r="D865" t="str">
        <f>Result_notebook_retravaill!D865</f>
        <v>Production potential</v>
      </c>
      <c r="E865" t="str">
        <f>Result_notebook_retravaill!E865</f>
        <v>Current shares</v>
      </c>
      <c r="F865" t="str">
        <f>Result_notebook_retravaill!F865</f>
        <v>Expansion Extractive+Circularity</v>
      </c>
      <c r="G865">
        <f>Result_notebook_retravaill!G865</f>
        <v>57371.149375960449</v>
      </c>
      <c r="H865" s="32">
        <f>IF(Result_notebook_retravaill!I865&gt;Result_notebook_retravaill!G865,Result_notebook_retravaill!I865/Result_notebook_retravaill!N865,Result_notebook_retravaill!H865)</f>
        <v>173264.6125164814</v>
      </c>
      <c r="I865" s="32">
        <f>Result_notebook_retravaill!K865</f>
        <v>0</v>
      </c>
      <c r="J865" s="32">
        <f>MIN(G865,Result_notebook_retravaill!I865)</f>
        <v>57371.149375960449</v>
      </c>
      <c r="K865" s="32">
        <f>IF(Result_notebook_retravaill!I865&gt;Result_notebook_retravaill!G865,0,IF(Result_notebook_retravaill!I865+Result_notebook_retravaill!J865&gt;Result_notebook_retravaill!G865,Result_notebook_retravaill!G865-Result_notebook_retravaill!I865,Result_notebook_retravaill!J865))</f>
        <v>0</v>
      </c>
      <c r="L865" s="32">
        <f>IF(Result_notebook_retravaill!I865&gt;Result_notebook_retravaill!G865,0,IF(Result_notebook_retravaill!I865+Result_notebook_retravaill!J865&gt;Result_notebook_retravaill!G865,0,Result_notebook_retravaill!M865))</f>
        <v>0</v>
      </c>
      <c r="M865" s="31">
        <f t="shared" si="13"/>
        <v>0</v>
      </c>
    </row>
    <row r="866" spans="1:13" x14ac:dyDescent="0.35">
      <c r="A866">
        <f>Result_notebook_retravaill!A866</f>
        <v>2034</v>
      </c>
      <c r="B866" t="str">
        <f>Result_notebook_retravaill!B866</f>
        <v>Nickel</v>
      </c>
      <c r="C866" t="str">
        <f>Result_notebook_retravaill!C866</f>
        <v>Current Measures</v>
      </c>
      <c r="D866" t="str">
        <f>Result_notebook_retravaill!D866</f>
        <v>Production potential</v>
      </c>
      <c r="E866" t="str">
        <f>Result_notebook_retravaill!E866</f>
        <v>100% CAN</v>
      </c>
      <c r="F866" t="str">
        <f>Result_notebook_retravaill!F866</f>
        <v>Integrated</v>
      </c>
      <c r="G866">
        <f>Result_notebook_retravaill!G866</f>
        <v>57371.149375960449</v>
      </c>
      <c r="H866" s="32">
        <f>IF(Result_notebook_retravaill!I866&gt;Result_notebook_retravaill!G866,Result_notebook_retravaill!I866/Result_notebook_retravaill!N866,Result_notebook_retravaill!H866)</f>
        <v>243288.0490156202</v>
      </c>
      <c r="I866" s="32">
        <f>Result_notebook_retravaill!K866</f>
        <v>0</v>
      </c>
      <c r="J866" s="32">
        <f>MIN(G866,Result_notebook_retravaill!I866)</f>
        <v>57371.149375960449</v>
      </c>
      <c r="K866" s="32">
        <f>IF(Result_notebook_retravaill!I866&gt;Result_notebook_retravaill!G866,0,IF(Result_notebook_retravaill!I866+Result_notebook_retravaill!J866&gt;Result_notebook_retravaill!G866,Result_notebook_retravaill!G866-Result_notebook_retravaill!I866,Result_notebook_retravaill!J866))</f>
        <v>0</v>
      </c>
      <c r="L866" s="32">
        <f>IF(Result_notebook_retravaill!I866&gt;Result_notebook_retravaill!G866,0,IF(Result_notebook_retravaill!I866+Result_notebook_retravaill!J866&gt;Result_notebook_retravaill!G866,0,Result_notebook_retravaill!M866))</f>
        <v>0</v>
      </c>
      <c r="M866" s="31">
        <f t="shared" si="13"/>
        <v>0</v>
      </c>
    </row>
    <row r="867" spans="1:13" x14ac:dyDescent="0.35">
      <c r="A867">
        <f>Result_notebook_retravaill!A867</f>
        <v>2034</v>
      </c>
      <c r="B867" t="str">
        <f>Result_notebook_retravaill!B867</f>
        <v>Nickel</v>
      </c>
      <c r="C867" t="str">
        <f>Result_notebook_retravaill!C867</f>
        <v>Global Net-zero</v>
      </c>
      <c r="D867" t="str">
        <f>Result_notebook_retravaill!D867</f>
        <v>Existing production</v>
      </c>
      <c r="E867" t="str">
        <f>Result_notebook_retravaill!E867</f>
        <v>Current shares</v>
      </c>
      <c r="F867" t="str">
        <f>Result_notebook_retravaill!F867</f>
        <v>NIMBY</v>
      </c>
      <c r="G867">
        <f>Result_notebook_retravaill!G867</f>
        <v>133155.21418504749</v>
      </c>
      <c r="H867" s="32">
        <f>IF(Result_notebook_retravaill!I867&gt;Result_notebook_retravaill!G867,Result_notebook_retravaill!I867/Result_notebook_retravaill!N867,Result_notebook_retravaill!H867)</f>
        <v>0</v>
      </c>
      <c r="I867" s="32">
        <f>Result_notebook_retravaill!K867</f>
        <v>168550.90403170569</v>
      </c>
      <c r="J867" s="32">
        <f>MIN(G867,Result_notebook_retravaill!I867)</f>
        <v>0</v>
      </c>
      <c r="K867" s="32">
        <f>IF(Result_notebook_retravaill!I867&gt;Result_notebook_retravaill!G867,0,IF(Result_notebook_retravaill!I867+Result_notebook_retravaill!J867&gt;Result_notebook_retravaill!G867,Result_notebook_retravaill!G867-Result_notebook_retravaill!I867,Result_notebook_retravaill!J867))</f>
        <v>0</v>
      </c>
      <c r="L867" s="32">
        <f>IF(Result_notebook_retravaill!I867&gt;Result_notebook_retravaill!G867,0,IF(Result_notebook_retravaill!I867+Result_notebook_retravaill!J867&gt;Result_notebook_retravaill!G867,0,Result_notebook_retravaill!M867))</f>
        <v>133155.21418504749</v>
      </c>
      <c r="M867" s="31">
        <f t="shared" si="13"/>
        <v>0</v>
      </c>
    </row>
    <row r="868" spans="1:13" x14ac:dyDescent="0.35">
      <c r="A868">
        <f>Result_notebook_retravaill!A868</f>
        <v>2034</v>
      </c>
      <c r="B868" t="str">
        <f>Result_notebook_retravaill!B868</f>
        <v>Nickel</v>
      </c>
      <c r="C868" t="str">
        <f>Result_notebook_retravaill!C868</f>
        <v>Global Net-zero</v>
      </c>
      <c r="D868" t="str">
        <f>Result_notebook_retravaill!D868</f>
        <v>Existing production</v>
      </c>
      <c r="E868" t="str">
        <f>Result_notebook_retravaill!E868</f>
        <v>Current shares</v>
      </c>
      <c r="F868" t="str">
        <f>Result_notebook_retravaill!F868</f>
        <v>Status Quo</v>
      </c>
      <c r="G868">
        <f>Result_notebook_retravaill!G868</f>
        <v>133155.21418504749</v>
      </c>
      <c r="H868" s="32">
        <f>IF(Result_notebook_retravaill!I868&gt;Result_notebook_retravaill!G868,Result_notebook_retravaill!I868/Result_notebook_retravaill!N868,Result_notebook_retravaill!H868)</f>
        <v>118000</v>
      </c>
      <c r="I868" s="32">
        <f>Result_notebook_retravaill!K868</f>
        <v>50550.904031705657</v>
      </c>
      <c r="J868" s="32">
        <f>MIN(G868,Result_notebook_retravaill!I868)</f>
        <v>66183.845060727675</v>
      </c>
      <c r="K868" s="32">
        <f>IF(Result_notebook_retravaill!I868&gt;Result_notebook_retravaill!G868,0,IF(Result_notebook_retravaill!I868+Result_notebook_retravaill!J868&gt;Result_notebook_retravaill!G868,Result_notebook_retravaill!G868-Result_notebook_retravaill!I868,Result_notebook_retravaill!J868))</f>
        <v>16318.270507305919</v>
      </c>
      <c r="L868" s="32">
        <f>IF(Result_notebook_retravaill!I868&gt;Result_notebook_retravaill!G868,0,IF(Result_notebook_retravaill!I868+Result_notebook_retravaill!J868&gt;Result_notebook_retravaill!G868,0,Result_notebook_retravaill!M868))</f>
        <v>50653.098617013893</v>
      </c>
      <c r="M868" s="31">
        <f t="shared" si="13"/>
        <v>0</v>
      </c>
    </row>
    <row r="869" spans="1:13" x14ac:dyDescent="0.35">
      <c r="A869">
        <f>Result_notebook_retravaill!A869</f>
        <v>2034</v>
      </c>
      <c r="B869" t="str">
        <f>Result_notebook_retravaill!B869</f>
        <v>Nickel</v>
      </c>
      <c r="C869" t="str">
        <f>Result_notebook_retravaill!C869</f>
        <v>Global Net-zero</v>
      </c>
      <c r="D869" t="str">
        <f>Result_notebook_retravaill!D869</f>
        <v>Production potential</v>
      </c>
      <c r="E869" t="str">
        <f>Result_notebook_retravaill!E869</f>
        <v>Current shares</v>
      </c>
      <c r="F869" t="str">
        <f>Result_notebook_retravaill!F869</f>
        <v>Expansion Extractive</v>
      </c>
      <c r="G869">
        <f>Result_notebook_retravaill!G869</f>
        <v>133155.21418504749</v>
      </c>
      <c r="H869" s="32">
        <f>IF(Result_notebook_retravaill!I869&gt;Result_notebook_retravaill!G869,Result_notebook_retravaill!I869/Result_notebook_retravaill!N869,Result_notebook_retravaill!H869)</f>
        <v>215984.6873896351</v>
      </c>
      <c r="I869" s="32">
        <f>Result_notebook_retravaill!K869</f>
        <v>0</v>
      </c>
      <c r="J869" s="32">
        <f>MIN(G869,Result_notebook_retravaill!I869)</f>
        <v>121141.5007261467</v>
      </c>
      <c r="K869" s="32">
        <f>IF(Result_notebook_retravaill!I869&gt;Result_notebook_retravaill!G869,0,IF(Result_notebook_retravaill!I869+Result_notebook_retravaill!J869&gt;Result_notebook_retravaill!G869,Result_notebook_retravaill!G869-Result_notebook_retravaill!I869,Result_notebook_retravaill!J869))</f>
        <v>12013.713458900791</v>
      </c>
      <c r="L869" s="32">
        <f>IF(Result_notebook_retravaill!I869&gt;Result_notebook_retravaill!G869,0,IF(Result_notebook_retravaill!I869+Result_notebook_retravaill!J869&gt;Result_notebook_retravaill!G869,0,Result_notebook_retravaill!M869))</f>
        <v>0</v>
      </c>
      <c r="M869" s="31">
        <f t="shared" si="13"/>
        <v>0</v>
      </c>
    </row>
    <row r="870" spans="1:13" x14ac:dyDescent="0.35">
      <c r="A870">
        <f>Result_notebook_retravaill!A870</f>
        <v>2034</v>
      </c>
      <c r="B870" t="str">
        <f>Result_notebook_retravaill!B870</f>
        <v>Nickel</v>
      </c>
      <c r="C870" t="str">
        <f>Result_notebook_retravaill!C870</f>
        <v>Global Net-zero</v>
      </c>
      <c r="D870" t="str">
        <f>Result_notebook_retravaill!D870</f>
        <v>Production potential</v>
      </c>
      <c r="E870" t="str">
        <f>Result_notebook_retravaill!E870</f>
        <v>Current shares</v>
      </c>
      <c r="F870" t="str">
        <f>Result_notebook_retravaill!F870</f>
        <v>Expansion Extractive+Circularity</v>
      </c>
      <c r="G870">
        <f>Result_notebook_retravaill!G870</f>
        <v>133155.21418504749</v>
      </c>
      <c r="H870" s="32">
        <f>IF(Result_notebook_retravaill!I870&gt;Result_notebook_retravaill!G870,Result_notebook_retravaill!I870/Result_notebook_retravaill!N870,Result_notebook_retravaill!H870)</f>
        <v>215984.6873896351</v>
      </c>
      <c r="I870" s="32">
        <f>Result_notebook_retravaill!K870</f>
        <v>0</v>
      </c>
      <c r="J870" s="32">
        <f>MIN(G870,Result_notebook_retravaill!I870)</f>
        <v>121141.5007261467</v>
      </c>
      <c r="K870" s="32">
        <f>IF(Result_notebook_retravaill!I870&gt;Result_notebook_retravaill!G870,0,IF(Result_notebook_retravaill!I870+Result_notebook_retravaill!J870&gt;Result_notebook_retravaill!G870,Result_notebook_retravaill!G870-Result_notebook_retravaill!I870,Result_notebook_retravaill!J870))</f>
        <v>12013.713458900791</v>
      </c>
      <c r="L870" s="32">
        <f>IF(Result_notebook_retravaill!I870&gt;Result_notebook_retravaill!G870,0,IF(Result_notebook_retravaill!I870+Result_notebook_retravaill!J870&gt;Result_notebook_retravaill!G870,0,Result_notebook_retravaill!M870))</f>
        <v>0</v>
      </c>
      <c r="M870" s="31">
        <f t="shared" si="13"/>
        <v>0</v>
      </c>
    </row>
    <row r="871" spans="1:13" x14ac:dyDescent="0.35">
      <c r="A871">
        <f>Result_notebook_retravaill!A871</f>
        <v>2034</v>
      </c>
      <c r="B871" t="str">
        <f>Result_notebook_retravaill!B871</f>
        <v>Nickel</v>
      </c>
      <c r="C871" t="str">
        <f>Result_notebook_retravaill!C871</f>
        <v>Global Net-zero</v>
      </c>
      <c r="D871" t="str">
        <f>Result_notebook_retravaill!D871</f>
        <v>Production potential</v>
      </c>
      <c r="E871" t="str">
        <f>Result_notebook_retravaill!E871</f>
        <v>100% CAN</v>
      </c>
      <c r="F871" t="str">
        <f>Result_notebook_retravaill!F871</f>
        <v>Integrated</v>
      </c>
      <c r="G871">
        <f>Result_notebook_retravaill!G871</f>
        <v>133155.21418504749</v>
      </c>
      <c r="H871" s="32">
        <f>IF(Result_notebook_retravaill!I871&gt;Result_notebook_retravaill!G871,Result_notebook_retravaill!I871/Result_notebook_retravaill!N871,Result_notebook_retravaill!H871)</f>
        <v>243288.0490156202</v>
      </c>
      <c r="I871" s="32">
        <f>Result_notebook_retravaill!K871</f>
        <v>0</v>
      </c>
      <c r="J871" s="32">
        <f>MIN(G871,Result_notebook_retravaill!I871)</f>
        <v>133155.21418504749</v>
      </c>
      <c r="K871" s="32">
        <f>IF(Result_notebook_retravaill!I871&gt;Result_notebook_retravaill!G871,0,IF(Result_notebook_retravaill!I871+Result_notebook_retravaill!J871&gt;Result_notebook_retravaill!G871,Result_notebook_retravaill!G871-Result_notebook_retravaill!I871,Result_notebook_retravaill!J871))</f>
        <v>0</v>
      </c>
      <c r="L871" s="32">
        <f>IF(Result_notebook_retravaill!I871&gt;Result_notebook_retravaill!G871,0,IF(Result_notebook_retravaill!I871+Result_notebook_retravaill!J871&gt;Result_notebook_retravaill!G871,0,Result_notebook_retravaill!M871))</f>
        <v>0</v>
      </c>
      <c r="M871" s="31">
        <f t="shared" si="13"/>
        <v>0</v>
      </c>
    </row>
    <row r="872" spans="1:13" x14ac:dyDescent="0.35">
      <c r="A872">
        <f>Result_notebook_retravaill!A872</f>
        <v>2034</v>
      </c>
      <c r="B872" t="str">
        <f>Result_notebook_retravaill!B872</f>
        <v>Graphite</v>
      </c>
      <c r="C872" t="str">
        <f>Result_notebook_retravaill!C872</f>
        <v>Canada Net-zero</v>
      </c>
      <c r="D872" t="str">
        <f>Result_notebook_retravaill!D872</f>
        <v>Existing production</v>
      </c>
      <c r="E872" t="str">
        <f>Result_notebook_retravaill!E872</f>
        <v>Current shares</v>
      </c>
      <c r="F872" t="str">
        <f>Result_notebook_retravaill!F872</f>
        <v>NIMBY</v>
      </c>
      <c r="G872">
        <f>Result_notebook_retravaill!G872</f>
        <v>2934.8364470711022</v>
      </c>
      <c r="H872" s="32">
        <f>IF(Result_notebook_retravaill!I872&gt;Result_notebook_retravaill!G872,Result_notebook_retravaill!I872/Result_notebook_retravaill!N872,Result_notebook_retravaill!H872)</f>
        <v>0</v>
      </c>
      <c r="I872" s="32">
        <f>Result_notebook_retravaill!K872</f>
        <v>2934.8364470711022</v>
      </c>
      <c r="J872" s="32">
        <f>MIN(G872,Result_notebook_retravaill!I872)</f>
        <v>0</v>
      </c>
      <c r="K872" s="32">
        <f>IF(Result_notebook_retravaill!I872&gt;Result_notebook_retravaill!G872,0,IF(Result_notebook_retravaill!I872+Result_notebook_retravaill!J872&gt;Result_notebook_retravaill!G872,Result_notebook_retravaill!G872-Result_notebook_retravaill!I872,Result_notebook_retravaill!J872))</f>
        <v>0</v>
      </c>
      <c r="L872" s="32">
        <f>IF(Result_notebook_retravaill!I872&gt;Result_notebook_retravaill!G872,0,IF(Result_notebook_retravaill!I872+Result_notebook_retravaill!J872&gt;Result_notebook_retravaill!G872,0,Result_notebook_retravaill!M872))</f>
        <v>2934.8364470711022</v>
      </c>
      <c r="M872" s="31">
        <f t="shared" si="13"/>
        <v>0</v>
      </c>
    </row>
    <row r="873" spans="1:13" x14ac:dyDescent="0.35">
      <c r="A873">
        <f>Result_notebook_retravaill!A873</f>
        <v>2034</v>
      </c>
      <c r="B873" t="str">
        <f>Result_notebook_retravaill!B873</f>
        <v>Graphite</v>
      </c>
      <c r="C873" t="str">
        <f>Result_notebook_retravaill!C873</f>
        <v>Canada Net-zero</v>
      </c>
      <c r="D873" t="str">
        <f>Result_notebook_retravaill!D873</f>
        <v>Existing production</v>
      </c>
      <c r="E873" t="str">
        <f>Result_notebook_retravaill!E873</f>
        <v>Current shares</v>
      </c>
      <c r="F873" t="str">
        <f>Result_notebook_retravaill!F873</f>
        <v>Status Quo</v>
      </c>
      <c r="G873">
        <f>Result_notebook_retravaill!G873</f>
        <v>2934.8364470711022</v>
      </c>
      <c r="H873" s="32">
        <f>IF(Result_notebook_retravaill!I873&gt;Result_notebook_retravaill!G873,Result_notebook_retravaill!I873/Result_notebook_retravaill!N873,Result_notebook_retravaill!H873)</f>
        <v>0</v>
      </c>
      <c r="I873" s="32">
        <f>Result_notebook_retravaill!K873</f>
        <v>2934.8364470711022</v>
      </c>
      <c r="J873" s="32">
        <f>MIN(G873,Result_notebook_retravaill!I873)</f>
        <v>0</v>
      </c>
      <c r="K873" s="32">
        <f>IF(Result_notebook_retravaill!I873&gt;Result_notebook_retravaill!G873,0,IF(Result_notebook_retravaill!I873+Result_notebook_retravaill!J873&gt;Result_notebook_retravaill!G873,Result_notebook_retravaill!G873-Result_notebook_retravaill!I873,Result_notebook_retravaill!J873))</f>
        <v>0</v>
      </c>
      <c r="L873" s="32">
        <f>IF(Result_notebook_retravaill!I873&gt;Result_notebook_retravaill!G873,0,IF(Result_notebook_retravaill!I873+Result_notebook_retravaill!J873&gt;Result_notebook_retravaill!G873,0,Result_notebook_retravaill!M873))</f>
        <v>2934.8364470711022</v>
      </c>
      <c r="M873" s="31">
        <f t="shared" si="13"/>
        <v>0</v>
      </c>
    </row>
    <row r="874" spans="1:13" x14ac:dyDescent="0.35">
      <c r="A874">
        <f>Result_notebook_retravaill!A874</f>
        <v>2034</v>
      </c>
      <c r="B874" t="str">
        <f>Result_notebook_retravaill!B874</f>
        <v>Graphite</v>
      </c>
      <c r="C874" t="str">
        <f>Result_notebook_retravaill!C874</f>
        <v>Canada Net-zero</v>
      </c>
      <c r="D874" t="str">
        <f>Result_notebook_retravaill!D874</f>
        <v>Production potential</v>
      </c>
      <c r="E874" t="str">
        <f>Result_notebook_retravaill!E874</f>
        <v>Current shares</v>
      </c>
      <c r="F874" t="str">
        <f>Result_notebook_retravaill!F874</f>
        <v>Expansion Extractive</v>
      </c>
      <c r="G874">
        <f>Result_notebook_retravaill!G874</f>
        <v>2934.8364470711022</v>
      </c>
      <c r="H874" s="32">
        <f>IF(Result_notebook_retravaill!I874&gt;Result_notebook_retravaill!G874,Result_notebook_retravaill!I874/Result_notebook_retravaill!N874,Result_notebook_retravaill!H874)</f>
        <v>71423.337734133369</v>
      </c>
      <c r="I874" s="32">
        <f>Result_notebook_retravaill!K874</f>
        <v>0</v>
      </c>
      <c r="J874" s="32">
        <f>MIN(G874,Result_notebook_retravaill!I874)</f>
        <v>2934.8364470711022</v>
      </c>
      <c r="K874" s="32">
        <f>IF(Result_notebook_retravaill!I874&gt;Result_notebook_retravaill!G874,0,IF(Result_notebook_retravaill!I874+Result_notebook_retravaill!J874&gt;Result_notebook_retravaill!G874,Result_notebook_retravaill!G874-Result_notebook_retravaill!I874,Result_notebook_retravaill!J874))</f>
        <v>0</v>
      </c>
      <c r="L874" s="32">
        <f>IF(Result_notebook_retravaill!I874&gt;Result_notebook_retravaill!G874,0,IF(Result_notebook_retravaill!I874+Result_notebook_retravaill!J874&gt;Result_notebook_retravaill!G874,0,Result_notebook_retravaill!M874))</f>
        <v>0</v>
      </c>
      <c r="M874" s="31">
        <f t="shared" si="13"/>
        <v>0</v>
      </c>
    </row>
    <row r="875" spans="1:13" x14ac:dyDescent="0.35">
      <c r="A875">
        <f>Result_notebook_retravaill!A875</f>
        <v>2034</v>
      </c>
      <c r="B875" t="str">
        <f>Result_notebook_retravaill!B875</f>
        <v>Graphite</v>
      </c>
      <c r="C875" t="str">
        <f>Result_notebook_retravaill!C875</f>
        <v>Canada Net-zero</v>
      </c>
      <c r="D875" t="str">
        <f>Result_notebook_retravaill!D875</f>
        <v>Production potential</v>
      </c>
      <c r="E875" t="str">
        <f>Result_notebook_retravaill!E875</f>
        <v>Current shares</v>
      </c>
      <c r="F875" t="str">
        <f>Result_notebook_retravaill!F875</f>
        <v>Expansion Extractive+Circularity</v>
      </c>
      <c r="G875">
        <f>Result_notebook_retravaill!G875</f>
        <v>2934.8364470711022</v>
      </c>
      <c r="H875" s="32">
        <f>IF(Result_notebook_retravaill!I875&gt;Result_notebook_retravaill!G875,Result_notebook_retravaill!I875/Result_notebook_retravaill!N875,Result_notebook_retravaill!H875)</f>
        <v>71423.337734133369</v>
      </c>
      <c r="I875" s="32">
        <f>Result_notebook_retravaill!K875</f>
        <v>0</v>
      </c>
      <c r="J875" s="32">
        <f>MIN(G875,Result_notebook_retravaill!I875)</f>
        <v>2934.8364470711022</v>
      </c>
      <c r="K875" s="32">
        <f>IF(Result_notebook_retravaill!I875&gt;Result_notebook_retravaill!G875,0,IF(Result_notebook_retravaill!I875+Result_notebook_retravaill!J875&gt;Result_notebook_retravaill!G875,Result_notebook_retravaill!G875-Result_notebook_retravaill!I875,Result_notebook_retravaill!J875))</f>
        <v>0</v>
      </c>
      <c r="L875" s="32">
        <f>IF(Result_notebook_retravaill!I875&gt;Result_notebook_retravaill!G875,0,IF(Result_notebook_retravaill!I875+Result_notebook_retravaill!J875&gt;Result_notebook_retravaill!G875,0,Result_notebook_retravaill!M875))</f>
        <v>0</v>
      </c>
      <c r="M875" s="31">
        <f t="shared" si="13"/>
        <v>0</v>
      </c>
    </row>
    <row r="876" spans="1:13" x14ac:dyDescent="0.35">
      <c r="A876">
        <f>Result_notebook_retravaill!A876</f>
        <v>2034</v>
      </c>
      <c r="B876" t="str">
        <f>Result_notebook_retravaill!B876</f>
        <v>Graphite</v>
      </c>
      <c r="C876" t="str">
        <f>Result_notebook_retravaill!C876</f>
        <v>Canada Net-zero</v>
      </c>
      <c r="D876" t="str">
        <f>Result_notebook_retravaill!D876</f>
        <v>Production potential</v>
      </c>
      <c r="E876" t="str">
        <f>Result_notebook_retravaill!E876</f>
        <v>100% CAN</v>
      </c>
      <c r="F876" t="str">
        <f>Result_notebook_retravaill!F876</f>
        <v>Integrated</v>
      </c>
      <c r="G876">
        <f>Result_notebook_retravaill!G876</f>
        <v>2934.8364470711022</v>
      </c>
      <c r="H876" s="32">
        <f>IF(Result_notebook_retravaill!I876&gt;Result_notebook_retravaill!G876,Result_notebook_retravaill!I876/Result_notebook_retravaill!N876,Result_notebook_retravaill!H876)</f>
        <v>71423.337734133369</v>
      </c>
      <c r="I876" s="32">
        <f>Result_notebook_retravaill!K876</f>
        <v>0</v>
      </c>
      <c r="J876" s="32">
        <f>MIN(G876,Result_notebook_retravaill!I876)</f>
        <v>2934.8364470711022</v>
      </c>
      <c r="K876" s="32">
        <f>IF(Result_notebook_retravaill!I876&gt;Result_notebook_retravaill!G876,0,IF(Result_notebook_retravaill!I876+Result_notebook_retravaill!J876&gt;Result_notebook_retravaill!G876,Result_notebook_retravaill!G876-Result_notebook_retravaill!I876,Result_notebook_retravaill!J876))</f>
        <v>0</v>
      </c>
      <c r="L876" s="32">
        <f>IF(Result_notebook_retravaill!I876&gt;Result_notebook_retravaill!G876,0,IF(Result_notebook_retravaill!I876+Result_notebook_retravaill!J876&gt;Result_notebook_retravaill!G876,0,Result_notebook_retravaill!M876))</f>
        <v>0</v>
      </c>
      <c r="M876" s="31">
        <f t="shared" si="13"/>
        <v>0</v>
      </c>
    </row>
    <row r="877" spans="1:13" x14ac:dyDescent="0.35">
      <c r="A877">
        <f>Result_notebook_retravaill!A877</f>
        <v>2034</v>
      </c>
      <c r="B877" t="str">
        <f>Result_notebook_retravaill!B877</f>
        <v>Graphite</v>
      </c>
      <c r="C877" t="str">
        <f>Result_notebook_retravaill!C877</f>
        <v>Current Measures</v>
      </c>
      <c r="D877" t="str">
        <f>Result_notebook_retravaill!D877</f>
        <v>Existing production</v>
      </c>
      <c r="E877" t="str">
        <f>Result_notebook_retravaill!E877</f>
        <v>Current shares</v>
      </c>
      <c r="F877" t="str">
        <f>Result_notebook_retravaill!F877</f>
        <v>NIMBY</v>
      </c>
      <c r="G877">
        <f>Result_notebook_retravaill!G877</f>
        <v>1114.482036875012</v>
      </c>
      <c r="H877" s="32">
        <f>IF(Result_notebook_retravaill!I877&gt;Result_notebook_retravaill!G877,Result_notebook_retravaill!I877/Result_notebook_retravaill!N877,Result_notebook_retravaill!H877)</f>
        <v>0</v>
      </c>
      <c r="I877" s="32">
        <f>Result_notebook_retravaill!K877</f>
        <v>1114.482036875012</v>
      </c>
      <c r="J877" s="32">
        <f>MIN(G877,Result_notebook_retravaill!I877)</f>
        <v>0</v>
      </c>
      <c r="K877" s="32">
        <f>IF(Result_notebook_retravaill!I877&gt;Result_notebook_retravaill!G877,0,IF(Result_notebook_retravaill!I877+Result_notebook_retravaill!J877&gt;Result_notebook_retravaill!G877,Result_notebook_retravaill!G877-Result_notebook_retravaill!I877,Result_notebook_retravaill!J877))</f>
        <v>0</v>
      </c>
      <c r="L877" s="32">
        <f>IF(Result_notebook_retravaill!I877&gt;Result_notebook_retravaill!G877,0,IF(Result_notebook_retravaill!I877+Result_notebook_retravaill!J877&gt;Result_notebook_retravaill!G877,0,Result_notebook_retravaill!M877))</f>
        <v>1114.482036875012</v>
      </c>
      <c r="M877" s="31">
        <f t="shared" si="13"/>
        <v>0</v>
      </c>
    </row>
    <row r="878" spans="1:13" x14ac:dyDescent="0.35">
      <c r="A878">
        <f>Result_notebook_retravaill!A878</f>
        <v>2034</v>
      </c>
      <c r="B878" t="str">
        <f>Result_notebook_retravaill!B878</f>
        <v>Graphite</v>
      </c>
      <c r="C878" t="str">
        <f>Result_notebook_retravaill!C878</f>
        <v>Current Measures</v>
      </c>
      <c r="D878" t="str">
        <f>Result_notebook_retravaill!D878</f>
        <v>Existing production</v>
      </c>
      <c r="E878" t="str">
        <f>Result_notebook_retravaill!E878</f>
        <v>Current shares</v>
      </c>
      <c r="F878" t="str">
        <f>Result_notebook_retravaill!F878</f>
        <v>Status Quo</v>
      </c>
      <c r="G878">
        <f>Result_notebook_retravaill!G878</f>
        <v>1114.482036875012</v>
      </c>
      <c r="H878" s="32">
        <f>IF(Result_notebook_retravaill!I878&gt;Result_notebook_retravaill!G878,Result_notebook_retravaill!I878/Result_notebook_retravaill!N878,Result_notebook_retravaill!H878)</f>
        <v>0</v>
      </c>
      <c r="I878" s="32">
        <f>Result_notebook_retravaill!K878</f>
        <v>1114.482036875012</v>
      </c>
      <c r="J878" s="32">
        <f>MIN(G878,Result_notebook_retravaill!I878)</f>
        <v>0</v>
      </c>
      <c r="K878" s="32">
        <f>IF(Result_notebook_retravaill!I878&gt;Result_notebook_retravaill!G878,0,IF(Result_notebook_retravaill!I878+Result_notebook_retravaill!J878&gt;Result_notebook_retravaill!G878,Result_notebook_retravaill!G878-Result_notebook_retravaill!I878,Result_notebook_retravaill!J878))</f>
        <v>0</v>
      </c>
      <c r="L878" s="32">
        <f>IF(Result_notebook_retravaill!I878&gt;Result_notebook_retravaill!G878,0,IF(Result_notebook_retravaill!I878+Result_notebook_retravaill!J878&gt;Result_notebook_retravaill!G878,0,Result_notebook_retravaill!M878))</f>
        <v>1114.482036875012</v>
      </c>
      <c r="M878" s="31">
        <f t="shared" si="13"/>
        <v>0</v>
      </c>
    </row>
    <row r="879" spans="1:13" x14ac:dyDescent="0.35">
      <c r="A879">
        <f>Result_notebook_retravaill!A879</f>
        <v>2034</v>
      </c>
      <c r="B879" t="str">
        <f>Result_notebook_retravaill!B879</f>
        <v>Graphite</v>
      </c>
      <c r="C879" t="str">
        <f>Result_notebook_retravaill!C879</f>
        <v>Current Measures</v>
      </c>
      <c r="D879" t="str">
        <f>Result_notebook_retravaill!D879</f>
        <v>Production potential</v>
      </c>
      <c r="E879" t="str">
        <f>Result_notebook_retravaill!E879</f>
        <v>Current shares</v>
      </c>
      <c r="F879" t="str">
        <f>Result_notebook_retravaill!F879</f>
        <v>Expansion Extractive</v>
      </c>
      <c r="G879">
        <f>Result_notebook_retravaill!G879</f>
        <v>1114.482036875012</v>
      </c>
      <c r="H879" s="32">
        <f>IF(Result_notebook_retravaill!I879&gt;Result_notebook_retravaill!G879,Result_notebook_retravaill!I879/Result_notebook_retravaill!N879,Result_notebook_retravaill!H879)</f>
        <v>71423.337734133369</v>
      </c>
      <c r="I879" s="32">
        <f>Result_notebook_retravaill!K879</f>
        <v>0</v>
      </c>
      <c r="J879" s="32">
        <f>MIN(G879,Result_notebook_retravaill!I879)</f>
        <v>1114.482036875012</v>
      </c>
      <c r="K879" s="32">
        <f>IF(Result_notebook_retravaill!I879&gt;Result_notebook_retravaill!G879,0,IF(Result_notebook_retravaill!I879+Result_notebook_retravaill!J879&gt;Result_notebook_retravaill!G879,Result_notebook_retravaill!G879-Result_notebook_retravaill!I879,Result_notebook_retravaill!J879))</f>
        <v>0</v>
      </c>
      <c r="L879" s="32">
        <f>IF(Result_notebook_retravaill!I879&gt;Result_notebook_retravaill!G879,0,IF(Result_notebook_retravaill!I879+Result_notebook_retravaill!J879&gt;Result_notebook_retravaill!G879,0,Result_notebook_retravaill!M879))</f>
        <v>0</v>
      </c>
      <c r="M879" s="31">
        <f t="shared" si="13"/>
        <v>0</v>
      </c>
    </row>
    <row r="880" spans="1:13" x14ac:dyDescent="0.35">
      <c r="A880">
        <f>Result_notebook_retravaill!A880</f>
        <v>2034</v>
      </c>
      <c r="B880" t="str">
        <f>Result_notebook_retravaill!B880</f>
        <v>Graphite</v>
      </c>
      <c r="C880" t="str">
        <f>Result_notebook_retravaill!C880</f>
        <v>Current Measures</v>
      </c>
      <c r="D880" t="str">
        <f>Result_notebook_retravaill!D880</f>
        <v>Production potential</v>
      </c>
      <c r="E880" t="str">
        <f>Result_notebook_retravaill!E880</f>
        <v>Current shares</v>
      </c>
      <c r="F880" t="str">
        <f>Result_notebook_retravaill!F880</f>
        <v>Expansion Extractive+Circularity</v>
      </c>
      <c r="G880">
        <f>Result_notebook_retravaill!G880</f>
        <v>1114.482036875012</v>
      </c>
      <c r="H880" s="32">
        <f>IF(Result_notebook_retravaill!I880&gt;Result_notebook_retravaill!G880,Result_notebook_retravaill!I880/Result_notebook_retravaill!N880,Result_notebook_retravaill!H880)</f>
        <v>71423.337734133369</v>
      </c>
      <c r="I880" s="32">
        <f>Result_notebook_retravaill!K880</f>
        <v>0</v>
      </c>
      <c r="J880" s="32">
        <f>MIN(G880,Result_notebook_retravaill!I880)</f>
        <v>1114.482036875012</v>
      </c>
      <c r="K880" s="32">
        <f>IF(Result_notebook_retravaill!I880&gt;Result_notebook_retravaill!G880,0,IF(Result_notebook_retravaill!I880+Result_notebook_retravaill!J880&gt;Result_notebook_retravaill!G880,Result_notebook_retravaill!G880-Result_notebook_retravaill!I880,Result_notebook_retravaill!J880))</f>
        <v>0</v>
      </c>
      <c r="L880" s="32">
        <f>IF(Result_notebook_retravaill!I880&gt;Result_notebook_retravaill!G880,0,IF(Result_notebook_retravaill!I880+Result_notebook_retravaill!J880&gt;Result_notebook_retravaill!G880,0,Result_notebook_retravaill!M880))</f>
        <v>0</v>
      </c>
      <c r="M880" s="31">
        <f t="shared" si="13"/>
        <v>0</v>
      </c>
    </row>
    <row r="881" spans="1:13" x14ac:dyDescent="0.35">
      <c r="A881">
        <f>Result_notebook_retravaill!A881</f>
        <v>2034</v>
      </c>
      <c r="B881" t="str">
        <f>Result_notebook_retravaill!B881</f>
        <v>Graphite</v>
      </c>
      <c r="C881" t="str">
        <f>Result_notebook_retravaill!C881</f>
        <v>Current Measures</v>
      </c>
      <c r="D881" t="str">
        <f>Result_notebook_retravaill!D881</f>
        <v>Production potential</v>
      </c>
      <c r="E881" t="str">
        <f>Result_notebook_retravaill!E881</f>
        <v>100% CAN</v>
      </c>
      <c r="F881" t="str">
        <f>Result_notebook_retravaill!F881</f>
        <v>Integrated</v>
      </c>
      <c r="G881">
        <f>Result_notebook_retravaill!G881</f>
        <v>1114.482036875012</v>
      </c>
      <c r="H881" s="32">
        <f>IF(Result_notebook_retravaill!I881&gt;Result_notebook_retravaill!G881,Result_notebook_retravaill!I881/Result_notebook_retravaill!N881,Result_notebook_retravaill!H881)</f>
        <v>71423.337734133369</v>
      </c>
      <c r="I881" s="32">
        <f>Result_notebook_retravaill!K881</f>
        <v>0</v>
      </c>
      <c r="J881" s="32">
        <f>MIN(G881,Result_notebook_retravaill!I881)</f>
        <v>1114.482036875012</v>
      </c>
      <c r="K881" s="32">
        <f>IF(Result_notebook_retravaill!I881&gt;Result_notebook_retravaill!G881,0,IF(Result_notebook_retravaill!I881+Result_notebook_retravaill!J881&gt;Result_notebook_retravaill!G881,Result_notebook_retravaill!G881-Result_notebook_retravaill!I881,Result_notebook_retravaill!J881))</f>
        <v>0</v>
      </c>
      <c r="L881" s="32">
        <f>IF(Result_notebook_retravaill!I881&gt;Result_notebook_retravaill!G881,0,IF(Result_notebook_retravaill!I881+Result_notebook_retravaill!J881&gt;Result_notebook_retravaill!G881,0,Result_notebook_retravaill!M881))</f>
        <v>0</v>
      </c>
      <c r="M881" s="31">
        <f t="shared" si="13"/>
        <v>0</v>
      </c>
    </row>
    <row r="882" spans="1:13" x14ac:dyDescent="0.35">
      <c r="A882">
        <f>Result_notebook_retravaill!A882</f>
        <v>2034</v>
      </c>
      <c r="B882" t="str">
        <f>Result_notebook_retravaill!B882</f>
        <v>Graphite</v>
      </c>
      <c r="C882" t="str">
        <f>Result_notebook_retravaill!C882</f>
        <v>Global Net-zero</v>
      </c>
      <c r="D882" t="str">
        <f>Result_notebook_retravaill!D882</f>
        <v>Existing production</v>
      </c>
      <c r="E882" t="str">
        <f>Result_notebook_retravaill!E882</f>
        <v>Current shares</v>
      </c>
      <c r="F882" t="str">
        <f>Result_notebook_retravaill!F882</f>
        <v>NIMBY</v>
      </c>
      <c r="G882">
        <f>Result_notebook_retravaill!G882</f>
        <v>2790.9424655241191</v>
      </c>
      <c r="H882" s="32">
        <f>IF(Result_notebook_retravaill!I882&gt;Result_notebook_retravaill!G882,Result_notebook_retravaill!I882/Result_notebook_retravaill!N882,Result_notebook_retravaill!H882)</f>
        <v>0</v>
      </c>
      <c r="I882" s="32">
        <f>Result_notebook_retravaill!K882</f>
        <v>2790.9424655241191</v>
      </c>
      <c r="J882" s="32">
        <f>MIN(G882,Result_notebook_retravaill!I882)</f>
        <v>0</v>
      </c>
      <c r="K882" s="32">
        <f>IF(Result_notebook_retravaill!I882&gt;Result_notebook_retravaill!G882,0,IF(Result_notebook_retravaill!I882+Result_notebook_retravaill!J882&gt;Result_notebook_retravaill!G882,Result_notebook_retravaill!G882-Result_notebook_retravaill!I882,Result_notebook_retravaill!J882))</f>
        <v>0</v>
      </c>
      <c r="L882" s="32">
        <f>IF(Result_notebook_retravaill!I882&gt;Result_notebook_retravaill!G882,0,IF(Result_notebook_retravaill!I882+Result_notebook_retravaill!J882&gt;Result_notebook_retravaill!G882,0,Result_notebook_retravaill!M882))</f>
        <v>2790.9424655241191</v>
      </c>
      <c r="M882" s="31">
        <f t="shared" si="13"/>
        <v>0</v>
      </c>
    </row>
    <row r="883" spans="1:13" x14ac:dyDescent="0.35">
      <c r="A883">
        <f>Result_notebook_retravaill!A883</f>
        <v>2034</v>
      </c>
      <c r="B883" t="str">
        <f>Result_notebook_retravaill!B883</f>
        <v>Graphite</v>
      </c>
      <c r="C883" t="str">
        <f>Result_notebook_retravaill!C883</f>
        <v>Global Net-zero</v>
      </c>
      <c r="D883" t="str">
        <f>Result_notebook_retravaill!D883</f>
        <v>Existing production</v>
      </c>
      <c r="E883" t="str">
        <f>Result_notebook_retravaill!E883</f>
        <v>Current shares</v>
      </c>
      <c r="F883" t="str">
        <f>Result_notebook_retravaill!F883</f>
        <v>Status Quo</v>
      </c>
      <c r="G883">
        <f>Result_notebook_retravaill!G883</f>
        <v>2790.9424655241191</v>
      </c>
      <c r="H883" s="32">
        <f>IF(Result_notebook_retravaill!I883&gt;Result_notebook_retravaill!G883,Result_notebook_retravaill!I883/Result_notebook_retravaill!N883,Result_notebook_retravaill!H883)</f>
        <v>0</v>
      </c>
      <c r="I883" s="32">
        <f>Result_notebook_retravaill!K883</f>
        <v>2790.9424655241191</v>
      </c>
      <c r="J883" s="32">
        <f>MIN(G883,Result_notebook_retravaill!I883)</f>
        <v>0</v>
      </c>
      <c r="K883" s="32">
        <f>IF(Result_notebook_retravaill!I883&gt;Result_notebook_retravaill!G883,0,IF(Result_notebook_retravaill!I883+Result_notebook_retravaill!J883&gt;Result_notebook_retravaill!G883,Result_notebook_retravaill!G883-Result_notebook_retravaill!I883,Result_notebook_retravaill!J883))</f>
        <v>0</v>
      </c>
      <c r="L883" s="32">
        <f>IF(Result_notebook_retravaill!I883&gt;Result_notebook_retravaill!G883,0,IF(Result_notebook_retravaill!I883+Result_notebook_retravaill!J883&gt;Result_notebook_retravaill!G883,0,Result_notebook_retravaill!M883))</f>
        <v>2790.9424655241191</v>
      </c>
      <c r="M883" s="31">
        <f t="shared" si="13"/>
        <v>0</v>
      </c>
    </row>
    <row r="884" spans="1:13" x14ac:dyDescent="0.35">
      <c r="A884">
        <f>Result_notebook_retravaill!A884</f>
        <v>2034</v>
      </c>
      <c r="B884" t="str">
        <f>Result_notebook_retravaill!B884</f>
        <v>Graphite</v>
      </c>
      <c r="C884" t="str">
        <f>Result_notebook_retravaill!C884</f>
        <v>Global Net-zero</v>
      </c>
      <c r="D884" t="str">
        <f>Result_notebook_retravaill!D884</f>
        <v>Production potential</v>
      </c>
      <c r="E884" t="str">
        <f>Result_notebook_retravaill!E884</f>
        <v>Current shares</v>
      </c>
      <c r="F884" t="str">
        <f>Result_notebook_retravaill!F884</f>
        <v>Expansion Extractive</v>
      </c>
      <c r="G884">
        <f>Result_notebook_retravaill!G884</f>
        <v>2790.9424655241191</v>
      </c>
      <c r="H884" s="32">
        <f>IF(Result_notebook_retravaill!I884&gt;Result_notebook_retravaill!G884,Result_notebook_retravaill!I884/Result_notebook_retravaill!N884,Result_notebook_retravaill!H884)</f>
        <v>71423.337734133369</v>
      </c>
      <c r="I884" s="32">
        <f>Result_notebook_retravaill!K884</f>
        <v>0</v>
      </c>
      <c r="J884" s="32">
        <f>MIN(G884,Result_notebook_retravaill!I884)</f>
        <v>2790.9424655241191</v>
      </c>
      <c r="K884" s="32">
        <f>IF(Result_notebook_retravaill!I884&gt;Result_notebook_retravaill!G884,0,IF(Result_notebook_retravaill!I884+Result_notebook_retravaill!J884&gt;Result_notebook_retravaill!G884,Result_notebook_retravaill!G884-Result_notebook_retravaill!I884,Result_notebook_retravaill!J884))</f>
        <v>0</v>
      </c>
      <c r="L884" s="32">
        <f>IF(Result_notebook_retravaill!I884&gt;Result_notebook_retravaill!G884,0,IF(Result_notebook_retravaill!I884+Result_notebook_retravaill!J884&gt;Result_notebook_retravaill!G884,0,Result_notebook_retravaill!M884))</f>
        <v>0</v>
      </c>
      <c r="M884" s="31">
        <f t="shared" si="13"/>
        <v>0</v>
      </c>
    </row>
    <row r="885" spans="1:13" x14ac:dyDescent="0.35">
      <c r="A885">
        <f>Result_notebook_retravaill!A885</f>
        <v>2034</v>
      </c>
      <c r="B885" t="str">
        <f>Result_notebook_retravaill!B885</f>
        <v>Graphite</v>
      </c>
      <c r="C885" t="str">
        <f>Result_notebook_retravaill!C885</f>
        <v>Global Net-zero</v>
      </c>
      <c r="D885" t="str">
        <f>Result_notebook_retravaill!D885</f>
        <v>Production potential</v>
      </c>
      <c r="E885" t="str">
        <f>Result_notebook_retravaill!E885</f>
        <v>Current shares</v>
      </c>
      <c r="F885" t="str">
        <f>Result_notebook_retravaill!F885</f>
        <v>Expansion Extractive+Circularity</v>
      </c>
      <c r="G885">
        <f>Result_notebook_retravaill!G885</f>
        <v>2790.9424655241191</v>
      </c>
      <c r="H885" s="32">
        <f>IF(Result_notebook_retravaill!I885&gt;Result_notebook_retravaill!G885,Result_notebook_retravaill!I885/Result_notebook_retravaill!N885,Result_notebook_retravaill!H885)</f>
        <v>71423.337734133369</v>
      </c>
      <c r="I885" s="32">
        <f>Result_notebook_retravaill!K885</f>
        <v>0</v>
      </c>
      <c r="J885" s="32">
        <f>MIN(G885,Result_notebook_retravaill!I885)</f>
        <v>2790.9424655241191</v>
      </c>
      <c r="K885" s="32">
        <f>IF(Result_notebook_retravaill!I885&gt;Result_notebook_retravaill!G885,0,IF(Result_notebook_retravaill!I885+Result_notebook_retravaill!J885&gt;Result_notebook_retravaill!G885,Result_notebook_retravaill!G885-Result_notebook_retravaill!I885,Result_notebook_retravaill!J885))</f>
        <v>0</v>
      </c>
      <c r="L885" s="32">
        <f>IF(Result_notebook_retravaill!I885&gt;Result_notebook_retravaill!G885,0,IF(Result_notebook_retravaill!I885+Result_notebook_retravaill!J885&gt;Result_notebook_retravaill!G885,0,Result_notebook_retravaill!M885))</f>
        <v>0</v>
      </c>
      <c r="M885" s="31">
        <f t="shared" si="13"/>
        <v>0</v>
      </c>
    </row>
    <row r="886" spans="1:13" x14ac:dyDescent="0.35">
      <c r="A886">
        <f>Result_notebook_retravaill!A886</f>
        <v>2034</v>
      </c>
      <c r="B886" t="str">
        <f>Result_notebook_retravaill!B886</f>
        <v>Graphite</v>
      </c>
      <c r="C886" t="str">
        <f>Result_notebook_retravaill!C886</f>
        <v>Global Net-zero</v>
      </c>
      <c r="D886" t="str">
        <f>Result_notebook_retravaill!D886</f>
        <v>Production potential</v>
      </c>
      <c r="E886" t="str">
        <f>Result_notebook_retravaill!E886</f>
        <v>100% CAN</v>
      </c>
      <c r="F886" t="str">
        <f>Result_notebook_retravaill!F886</f>
        <v>Integrated</v>
      </c>
      <c r="G886">
        <f>Result_notebook_retravaill!G886</f>
        <v>2790.9424655241191</v>
      </c>
      <c r="H886" s="32">
        <f>IF(Result_notebook_retravaill!I886&gt;Result_notebook_retravaill!G886,Result_notebook_retravaill!I886/Result_notebook_retravaill!N886,Result_notebook_retravaill!H886)</f>
        <v>71423.337734133369</v>
      </c>
      <c r="I886" s="32">
        <f>Result_notebook_retravaill!K886</f>
        <v>0</v>
      </c>
      <c r="J886" s="32">
        <f>MIN(G886,Result_notebook_retravaill!I886)</f>
        <v>2790.9424655241191</v>
      </c>
      <c r="K886" s="32">
        <f>IF(Result_notebook_retravaill!I886&gt;Result_notebook_retravaill!G886,0,IF(Result_notebook_retravaill!I886+Result_notebook_retravaill!J886&gt;Result_notebook_retravaill!G886,Result_notebook_retravaill!G886-Result_notebook_retravaill!I886,Result_notebook_retravaill!J886))</f>
        <v>0</v>
      </c>
      <c r="L886" s="32">
        <f>IF(Result_notebook_retravaill!I886&gt;Result_notebook_retravaill!G886,0,IF(Result_notebook_retravaill!I886+Result_notebook_retravaill!J886&gt;Result_notebook_retravaill!G886,0,Result_notebook_retravaill!M886))</f>
        <v>0</v>
      </c>
      <c r="M886" s="31">
        <f t="shared" si="13"/>
        <v>0</v>
      </c>
    </row>
    <row r="887" spans="1:13" x14ac:dyDescent="0.35">
      <c r="A887">
        <f>Result_notebook_retravaill!A887</f>
        <v>2034</v>
      </c>
      <c r="B887" t="str">
        <f>Result_notebook_retravaill!B887</f>
        <v>Lithium</v>
      </c>
      <c r="C887" t="str">
        <f>Result_notebook_retravaill!C887</f>
        <v>Canada Net-zero</v>
      </c>
      <c r="D887" t="str">
        <f>Result_notebook_retravaill!D887</f>
        <v>Existing production</v>
      </c>
      <c r="E887" t="str">
        <f>Result_notebook_retravaill!E887</f>
        <v>Current shares</v>
      </c>
      <c r="F887" t="str">
        <f>Result_notebook_retravaill!F887</f>
        <v>NIMBY</v>
      </c>
      <c r="G887">
        <f>Result_notebook_retravaill!G887</f>
        <v>56563.036479032307</v>
      </c>
      <c r="H887" s="32">
        <f>IF(Result_notebook_retravaill!I887&gt;Result_notebook_retravaill!G887,Result_notebook_retravaill!I887/Result_notebook_retravaill!N887,Result_notebook_retravaill!H887)</f>
        <v>0</v>
      </c>
      <c r="I887" s="32">
        <f>Result_notebook_retravaill!K887</f>
        <v>80804.337827189011</v>
      </c>
      <c r="J887" s="32">
        <f>MIN(G887,Result_notebook_retravaill!I887)</f>
        <v>0</v>
      </c>
      <c r="K887" s="32">
        <f>IF(Result_notebook_retravaill!I887&gt;Result_notebook_retravaill!G887,0,IF(Result_notebook_retravaill!I887+Result_notebook_retravaill!J887&gt;Result_notebook_retravaill!G887,Result_notebook_retravaill!G887-Result_notebook_retravaill!I887,Result_notebook_retravaill!J887))</f>
        <v>0</v>
      </c>
      <c r="L887" s="32">
        <f>IF(Result_notebook_retravaill!I887&gt;Result_notebook_retravaill!G887,0,IF(Result_notebook_retravaill!I887+Result_notebook_retravaill!J887&gt;Result_notebook_retravaill!G887,0,Result_notebook_retravaill!M887))</f>
        <v>56563.036479032307</v>
      </c>
      <c r="M887" s="31">
        <f t="shared" si="13"/>
        <v>0</v>
      </c>
    </row>
    <row r="888" spans="1:13" x14ac:dyDescent="0.35">
      <c r="A888">
        <f>Result_notebook_retravaill!A888</f>
        <v>2034</v>
      </c>
      <c r="B888" t="str">
        <f>Result_notebook_retravaill!B888</f>
        <v>Lithium</v>
      </c>
      <c r="C888" t="str">
        <f>Result_notebook_retravaill!C888</f>
        <v>Canada Net-zero</v>
      </c>
      <c r="D888" t="str">
        <f>Result_notebook_retravaill!D888</f>
        <v>Existing production</v>
      </c>
      <c r="E888" t="str">
        <f>Result_notebook_retravaill!E888</f>
        <v>Current shares</v>
      </c>
      <c r="F888" t="str">
        <f>Result_notebook_retravaill!F888</f>
        <v>Status Quo</v>
      </c>
      <c r="G888">
        <f>Result_notebook_retravaill!G888</f>
        <v>56563.036479032307</v>
      </c>
      <c r="H888" s="32">
        <f>IF(Result_notebook_retravaill!I888&gt;Result_notebook_retravaill!G888,Result_notebook_retravaill!I888/Result_notebook_retravaill!N888,Result_notebook_retravaill!H888)</f>
        <v>39773</v>
      </c>
      <c r="I888" s="32">
        <f>Result_notebook_retravaill!K888</f>
        <v>41031.337827189011</v>
      </c>
      <c r="J888" s="32">
        <f>MIN(G888,Result_notebook_retravaill!I888)</f>
        <v>27808.107139723728</v>
      </c>
      <c r="K888" s="32">
        <f>IF(Result_notebook_retravaill!I888&gt;Result_notebook_retravaill!G888,0,IF(Result_notebook_retravaill!I888+Result_notebook_retravaill!J888&gt;Result_notebook_retravaill!G888,Result_notebook_retravaill!G888-Result_notebook_retravaill!I888,Result_notebook_retravaill!J888))</f>
        <v>3515.3177502825383</v>
      </c>
      <c r="L888" s="32">
        <f>IF(Result_notebook_retravaill!I888&gt;Result_notebook_retravaill!G888,0,IF(Result_notebook_retravaill!I888+Result_notebook_retravaill!J888&gt;Result_notebook_retravaill!G888,0,Result_notebook_retravaill!M888))</f>
        <v>25239.611589026041</v>
      </c>
      <c r="M888" s="31">
        <f t="shared" si="13"/>
        <v>0</v>
      </c>
    </row>
    <row r="889" spans="1:13" x14ac:dyDescent="0.35">
      <c r="A889">
        <f>Result_notebook_retravaill!A889</f>
        <v>2034</v>
      </c>
      <c r="B889" t="str">
        <f>Result_notebook_retravaill!B889</f>
        <v>Lithium</v>
      </c>
      <c r="C889" t="str">
        <f>Result_notebook_retravaill!C889</f>
        <v>Canada Net-zero</v>
      </c>
      <c r="D889" t="str">
        <f>Result_notebook_retravaill!D889</f>
        <v>Production potential</v>
      </c>
      <c r="E889" t="str">
        <f>Result_notebook_retravaill!E889</f>
        <v>Current shares</v>
      </c>
      <c r="F889" t="str">
        <f>Result_notebook_retravaill!F889</f>
        <v>Expansion Extractive</v>
      </c>
      <c r="G889">
        <f>Result_notebook_retravaill!G889</f>
        <v>56563.036479032307</v>
      </c>
      <c r="H889" s="32">
        <f>IF(Result_notebook_retravaill!I889&gt;Result_notebook_retravaill!G889,Result_notebook_retravaill!I889/Result_notebook_retravaill!N889,Result_notebook_retravaill!H889)</f>
        <v>126826.43714165693</v>
      </c>
      <c r="I889" s="32">
        <f>Result_notebook_retravaill!K889</f>
        <v>0</v>
      </c>
      <c r="J889" s="32">
        <f>MIN(G889,Result_notebook_retravaill!I889)</f>
        <v>56563.036479032307</v>
      </c>
      <c r="K889" s="32">
        <f>IF(Result_notebook_retravaill!I889&gt;Result_notebook_retravaill!G889,0,IF(Result_notebook_retravaill!I889+Result_notebook_retravaill!J889&gt;Result_notebook_retravaill!G889,Result_notebook_retravaill!G889-Result_notebook_retravaill!I889,Result_notebook_retravaill!J889))</f>
        <v>0</v>
      </c>
      <c r="L889" s="32">
        <f>IF(Result_notebook_retravaill!I889&gt;Result_notebook_retravaill!G889,0,IF(Result_notebook_retravaill!I889+Result_notebook_retravaill!J889&gt;Result_notebook_retravaill!G889,0,Result_notebook_retravaill!M889))</f>
        <v>0</v>
      </c>
      <c r="M889" s="31">
        <f t="shared" si="13"/>
        <v>0</v>
      </c>
    </row>
    <row r="890" spans="1:13" x14ac:dyDescent="0.35">
      <c r="A890">
        <f>Result_notebook_retravaill!A890</f>
        <v>2034</v>
      </c>
      <c r="B890" t="str">
        <f>Result_notebook_retravaill!B890</f>
        <v>Lithium</v>
      </c>
      <c r="C890" t="str">
        <f>Result_notebook_retravaill!C890</f>
        <v>Canada Net-zero</v>
      </c>
      <c r="D890" t="str">
        <f>Result_notebook_retravaill!D890</f>
        <v>Production potential</v>
      </c>
      <c r="E890" t="str">
        <f>Result_notebook_retravaill!E890</f>
        <v>Current shares</v>
      </c>
      <c r="F890" t="str">
        <f>Result_notebook_retravaill!F890</f>
        <v>Expansion Extractive+Circularity</v>
      </c>
      <c r="G890">
        <f>Result_notebook_retravaill!G890</f>
        <v>56563.036479032307</v>
      </c>
      <c r="H890" s="32">
        <f>IF(Result_notebook_retravaill!I890&gt;Result_notebook_retravaill!G890,Result_notebook_retravaill!I890/Result_notebook_retravaill!N890,Result_notebook_retravaill!H890)</f>
        <v>126826.43714165693</v>
      </c>
      <c r="I890" s="32">
        <f>Result_notebook_retravaill!K890</f>
        <v>0</v>
      </c>
      <c r="J890" s="32">
        <f>MIN(G890,Result_notebook_retravaill!I890)</f>
        <v>56563.036479032307</v>
      </c>
      <c r="K890" s="32">
        <f>IF(Result_notebook_retravaill!I890&gt;Result_notebook_retravaill!G890,0,IF(Result_notebook_retravaill!I890+Result_notebook_retravaill!J890&gt;Result_notebook_retravaill!G890,Result_notebook_retravaill!G890-Result_notebook_retravaill!I890,Result_notebook_retravaill!J890))</f>
        <v>0</v>
      </c>
      <c r="L890" s="32">
        <f>IF(Result_notebook_retravaill!I890&gt;Result_notebook_retravaill!G890,0,IF(Result_notebook_retravaill!I890+Result_notebook_retravaill!J890&gt;Result_notebook_retravaill!G890,0,Result_notebook_retravaill!M890))</f>
        <v>0</v>
      </c>
      <c r="M890" s="31">
        <f t="shared" si="13"/>
        <v>0</v>
      </c>
    </row>
    <row r="891" spans="1:13" x14ac:dyDescent="0.35">
      <c r="A891">
        <f>Result_notebook_retravaill!A891</f>
        <v>2034</v>
      </c>
      <c r="B891" t="str">
        <f>Result_notebook_retravaill!B891</f>
        <v>Lithium</v>
      </c>
      <c r="C891" t="str">
        <f>Result_notebook_retravaill!C891</f>
        <v>Canada Net-zero</v>
      </c>
      <c r="D891" t="str">
        <f>Result_notebook_retravaill!D891</f>
        <v>Production potential</v>
      </c>
      <c r="E891" t="str">
        <f>Result_notebook_retravaill!E891</f>
        <v>100% CAN</v>
      </c>
      <c r="F891" t="str">
        <f>Result_notebook_retravaill!F891</f>
        <v>Integrated</v>
      </c>
      <c r="G891">
        <f>Result_notebook_retravaill!G891</f>
        <v>56563.036479032307</v>
      </c>
      <c r="H891" s="32">
        <f>IF(Result_notebook_retravaill!I891&gt;Result_notebook_retravaill!G891,Result_notebook_retravaill!I891/Result_notebook_retravaill!N891,Result_notebook_retravaill!H891)</f>
        <v>126826.43714165693</v>
      </c>
      <c r="I891" s="32">
        <f>Result_notebook_retravaill!K891</f>
        <v>0</v>
      </c>
      <c r="J891" s="32">
        <f>MIN(G891,Result_notebook_retravaill!I891)</f>
        <v>56563.036479032307</v>
      </c>
      <c r="K891" s="32">
        <f>IF(Result_notebook_retravaill!I891&gt;Result_notebook_retravaill!G891,0,IF(Result_notebook_retravaill!I891+Result_notebook_retravaill!J891&gt;Result_notebook_retravaill!G891,Result_notebook_retravaill!G891-Result_notebook_retravaill!I891,Result_notebook_retravaill!J891))</f>
        <v>0</v>
      </c>
      <c r="L891" s="32">
        <f>IF(Result_notebook_retravaill!I891&gt;Result_notebook_retravaill!G891,0,IF(Result_notebook_retravaill!I891+Result_notebook_retravaill!J891&gt;Result_notebook_retravaill!G891,0,Result_notebook_retravaill!M891))</f>
        <v>0</v>
      </c>
      <c r="M891" s="31">
        <f t="shared" si="13"/>
        <v>0</v>
      </c>
    </row>
    <row r="892" spans="1:13" x14ac:dyDescent="0.35">
      <c r="A892">
        <f>Result_notebook_retravaill!A892</f>
        <v>2034</v>
      </c>
      <c r="B892" t="str">
        <f>Result_notebook_retravaill!B892</f>
        <v>Lithium</v>
      </c>
      <c r="C892" t="str">
        <f>Result_notebook_retravaill!C892</f>
        <v>Current Measures</v>
      </c>
      <c r="D892" t="str">
        <f>Result_notebook_retravaill!D892</f>
        <v>Existing production</v>
      </c>
      <c r="E892" t="str">
        <f>Result_notebook_retravaill!E892</f>
        <v>Current shares</v>
      </c>
      <c r="F892" t="str">
        <f>Result_notebook_retravaill!F892</f>
        <v>NIMBY</v>
      </c>
      <c r="G892">
        <f>Result_notebook_retravaill!G892</f>
        <v>21479.387094942951</v>
      </c>
      <c r="H892" s="32">
        <f>IF(Result_notebook_retravaill!I892&gt;Result_notebook_retravaill!G892,Result_notebook_retravaill!I892/Result_notebook_retravaill!N892,Result_notebook_retravaill!H892)</f>
        <v>0</v>
      </c>
      <c r="I892" s="32">
        <f>Result_notebook_retravaill!K892</f>
        <v>30684.838707061361</v>
      </c>
      <c r="J892" s="32">
        <f>MIN(G892,Result_notebook_retravaill!I892)</f>
        <v>0</v>
      </c>
      <c r="K892" s="32">
        <f>IF(Result_notebook_retravaill!I892&gt;Result_notebook_retravaill!G892,0,IF(Result_notebook_retravaill!I892+Result_notebook_retravaill!J892&gt;Result_notebook_retravaill!G892,Result_notebook_retravaill!G892-Result_notebook_retravaill!I892,Result_notebook_retravaill!J892))</f>
        <v>0</v>
      </c>
      <c r="L892" s="32">
        <f>IF(Result_notebook_retravaill!I892&gt;Result_notebook_retravaill!G892,0,IF(Result_notebook_retravaill!I892+Result_notebook_retravaill!J892&gt;Result_notebook_retravaill!G892,0,Result_notebook_retravaill!M892))</f>
        <v>21479.387094942951</v>
      </c>
      <c r="M892" s="31">
        <f t="shared" si="13"/>
        <v>0</v>
      </c>
    </row>
    <row r="893" spans="1:13" x14ac:dyDescent="0.35">
      <c r="A893">
        <f>Result_notebook_retravaill!A893</f>
        <v>2034</v>
      </c>
      <c r="B893" t="str">
        <f>Result_notebook_retravaill!B893</f>
        <v>Lithium</v>
      </c>
      <c r="C893" t="str">
        <f>Result_notebook_retravaill!C893</f>
        <v>Current Measures</v>
      </c>
      <c r="D893" t="str">
        <f>Result_notebook_retravaill!D893</f>
        <v>Existing production</v>
      </c>
      <c r="E893" t="str">
        <f>Result_notebook_retravaill!E893</f>
        <v>Current shares</v>
      </c>
      <c r="F893" t="str">
        <f>Result_notebook_retravaill!F893</f>
        <v>Status Quo</v>
      </c>
      <c r="G893">
        <f>Result_notebook_retravaill!G893</f>
        <v>21479.387094942951</v>
      </c>
      <c r="H893" s="32">
        <f>IF(Result_notebook_retravaill!I893&gt;Result_notebook_retravaill!G893,Result_notebook_retravaill!I893/Result_notebook_retravaill!N893,Result_notebook_retravaill!H893)</f>
        <v>35309.416168635653</v>
      </c>
      <c r="I893" s="32">
        <f>Result_notebook_retravaill!K893</f>
        <v>0</v>
      </c>
      <c r="J893" s="32">
        <f>MIN(G893,Result_notebook_retravaill!I893)</f>
        <v>21479.387094942951</v>
      </c>
      <c r="K893" s="32">
        <f>IF(Result_notebook_retravaill!I893&gt;Result_notebook_retravaill!G893,0,IF(Result_notebook_retravaill!I893+Result_notebook_retravaill!J893&gt;Result_notebook_retravaill!G893,Result_notebook_retravaill!G893-Result_notebook_retravaill!I893,Result_notebook_retravaill!J893))</f>
        <v>0</v>
      </c>
      <c r="L893" s="32">
        <f>IF(Result_notebook_retravaill!I893&gt;Result_notebook_retravaill!G893,0,IF(Result_notebook_retravaill!I893+Result_notebook_retravaill!J893&gt;Result_notebook_retravaill!G893,0,Result_notebook_retravaill!M893))</f>
        <v>0</v>
      </c>
      <c r="M893" s="31">
        <f t="shared" si="13"/>
        <v>0</v>
      </c>
    </row>
    <row r="894" spans="1:13" x14ac:dyDescent="0.35">
      <c r="A894">
        <f>Result_notebook_retravaill!A894</f>
        <v>2034</v>
      </c>
      <c r="B894" t="str">
        <f>Result_notebook_retravaill!B894</f>
        <v>Lithium</v>
      </c>
      <c r="C894" t="str">
        <f>Result_notebook_retravaill!C894</f>
        <v>Current Measures</v>
      </c>
      <c r="D894" t="str">
        <f>Result_notebook_retravaill!D894</f>
        <v>Production potential</v>
      </c>
      <c r="E894" t="str">
        <f>Result_notebook_retravaill!E894</f>
        <v>Current shares</v>
      </c>
      <c r="F894" t="str">
        <f>Result_notebook_retravaill!F894</f>
        <v>Expansion Extractive</v>
      </c>
      <c r="G894">
        <f>Result_notebook_retravaill!G894</f>
        <v>21479.387094942951</v>
      </c>
      <c r="H894" s="32">
        <f>IF(Result_notebook_retravaill!I894&gt;Result_notebook_retravaill!G894,Result_notebook_retravaill!I894/Result_notebook_retravaill!N894,Result_notebook_retravaill!H894)</f>
        <v>126826.43714165693</v>
      </c>
      <c r="I894" s="32">
        <f>Result_notebook_retravaill!K894</f>
        <v>0</v>
      </c>
      <c r="J894" s="32">
        <f>MIN(G894,Result_notebook_retravaill!I894)</f>
        <v>21479.387094942951</v>
      </c>
      <c r="K894" s="32">
        <f>IF(Result_notebook_retravaill!I894&gt;Result_notebook_retravaill!G894,0,IF(Result_notebook_retravaill!I894+Result_notebook_retravaill!J894&gt;Result_notebook_retravaill!G894,Result_notebook_retravaill!G894-Result_notebook_retravaill!I894,Result_notebook_retravaill!J894))</f>
        <v>0</v>
      </c>
      <c r="L894" s="32">
        <f>IF(Result_notebook_retravaill!I894&gt;Result_notebook_retravaill!G894,0,IF(Result_notebook_retravaill!I894+Result_notebook_retravaill!J894&gt;Result_notebook_retravaill!G894,0,Result_notebook_retravaill!M894))</f>
        <v>0</v>
      </c>
      <c r="M894" s="31">
        <f t="shared" si="13"/>
        <v>0</v>
      </c>
    </row>
    <row r="895" spans="1:13" x14ac:dyDescent="0.35">
      <c r="A895">
        <f>Result_notebook_retravaill!A895</f>
        <v>2034</v>
      </c>
      <c r="B895" t="str">
        <f>Result_notebook_retravaill!B895</f>
        <v>Lithium</v>
      </c>
      <c r="C895" t="str">
        <f>Result_notebook_retravaill!C895</f>
        <v>Current Measures</v>
      </c>
      <c r="D895" t="str">
        <f>Result_notebook_retravaill!D895</f>
        <v>Production potential</v>
      </c>
      <c r="E895" t="str">
        <f>Result_notebook_retravaill!E895</f>
        <v>Current shares</v>
      </c>
      <c r="F895" t="str">
        <f>Result_notebook_retravaill!F895</f>
        <v>Expansion Extractive+Circularity</v>
      </c>
      <c r="G895">
        <f>Result_notebook_retravaill!G895</f>
        <v>21479.387094942951</v>
      </c>
      <c r="H895" s="32">
        <f>IF(Result_notebook_retravaill!I895&gt;Result_notebook_retravaill!G895,Result_notebook_retravaill!I895/Result_notebook_retravaill!N895,Result_notebook_retravaill!H895)</f>
        <v>126826.43714165693</v>
      </c>
      <c r="I895" s="32">
        <f>Result_notebook_retravaill!K895</f>
        <v>0</v>
      </c>
      <c r="J895" s="32">
        <f>MIN(G895,Result_notebook_retravaill!I895)</f>
        <v>21479.387094942951</v>
      </c>
      <c r="K895" s="32">
        <f>IF(Result_notebook_retravaill!I895&gt;Result_notebook_retravaill!G895,0,IF(Result_notebook_retravaill!I895+Result_notebook_retravaill!J895&gt;Result_notebook_retravaill!G895,Result_notebook_retravaill!G895-Result_notebook_retravaill!I895,Result_notebook_retravaill!J895))</f>
        <v>0</v>
      </c>
      <c r="L895" s="32">
        <f>IF(Result_notebook_retravaill!I895&gt;Result_notebook_retravaill!G895,0,IF(Result_notebook_retravaill!I895+Result_notebook_retravaill!J895&gt;Result_notebook_retravaill!G895,0,Result_notebook_retravaill!M895))</f>
        <v>0</v>
      </c>
      <c r="M895" s="31">
        <f t="shared" si="13"/>
        <v>0</v>
      </c>
    </row>
    <row r="896" spans="1:13" x14ac:dyDescent="0.35">
      <c r="A896">
        <f>Result_notebook_retravaill!A896</f>
        <v>2034</v>
      </c>
      <c r="B896" t="str">
        <f>Result_notebook_retravaill!B896</f>
        <v>Lithium</v>
      </c>
      <c r="C896" t="str">
        <f>Result_notebook_retravaill!C896</f>
        <v>Current Measures</v>
      </c>
      <c r="D896" t="str">
        <f>Result_notebook_retravaill!D896</f>
        <v>Production potential</v>
      </c>
      <c r="E896" t="str">
        <f>Result_notebook_retravaill!E896</f>
        <v>100% CAN</v>
      </c>
      <c r="F896" t="str">
        <f>Result_notebook_retravaill!F896</f>
        <v>Integrated</v>
      </c>
      <c r="G896">
        <f>Result_notebook_retravaill!G896</f>
        <v>21479.387094942951</v>
      </c>
      <c r="H896" s="32">
        <f>IF(Result_notebook_retravaill!I896&gt;Result_notebook_retravaill!G896,Result_notebook_retravaill!I896/Result_notebook_retravaill!N896,Result_notebook_retravaill!H896)</f>
        <v>126826.43714165693</v>
      </c>
      <c r="I896" s="32">
        <f>Result_notebook_retravaill!K896</f>
        <v>0</v>
      </c>
      <c r="J896" s="32">
        <f>MIN(G896,Result_notebook_retravaill!I896)</f>
        <v>21479.387094942951</v>
      </c>
      <c r="K896" s="32">
        <f>IF(Result_notebook_retravaill!I896&gt;Result_notebook_retravaill!G896,0,IF(Result_notebook_retravaill!I896+Result_notebook_retravaill!J896&gt;Result_notebook_retravaill!G896,Result_notebook_retravaill!G896-Result_notebook_retravaill!I896,Result_notebook_retravaill!J896))</f>
        <v>0</v>
      </c>
      <c r="L896" s="32">
        <f>IF(Result_notebook_retravaill!I896&gt;Result_notebook_retravaill!G896,0,IF(Result_notebook_retravaill!I896+Result_notebook_retravaill!J896&gt;Result_notebook_retravaill!G896,0,Result_notebook_retravaill!M896))</f>
        <v>0</v>
      </c>
      <c r="M896" s="31">
        <f t="shared" si="13"/>
        <v>0</v>
      </c>
    </row>
    <row r="897" spans="1:13" x14ac:dyDescent="0.35">
      <c r="A897">
        <f>Result_notebook_retravaill!A897</f>
        <v>2034</v>
      </c>
      <c r="B897" t="str">
        <f>Result_notebook_retravaill!B897</f>
        <v>Lithium</v>
      </c>
      <c r="C897" t="str">
        <f>Result_notebook_retravaill!C897</f>
        <v>Global Net-zero</v>
      </c>
      <c r="D897" t="str">
        <f>Result_notebook_retravaill!D897</f>
        <v>Existing production</v>
      </c>
      <c r="E897" t="str">
        <f>Result_notebook_retravaill!E897</f>
        <v>Current shares</v>
      </c>
      <c r="F897" t="str">
        <f>Result_notebook_retravaill!F897</f>
        <v>NIMBY</v>
      </c>
      <c r="G897">
        <f>Result_notebook_retravaill!G897</f>
        <v>53789.771026547613</v>
      </c>
      <c r="H897" s="32">
        <f>IF(Result_notebook_retravaill!I897&gt;Result_notebook_retravaill!G897,Result_notebook_retravaill!I897/Result_notebook_retravaill!N897,Result_notebook_retravaill!H897)</f>
        <v>0</v>
      </c>
      <c r="I897" s="32">
        <f>Result_notebook_retravaill!K897</f>
        <v>76842.530037925171</v>
      </c>
      <c r="J897" s="32">
        <f>MIN(G897,Result_notebook_retravaill!I897)</f>
        <v>0</v>
      </c>
      <c r="K897" s="32">
        <f>IF(Result_notebook_retravaill!I897&gt;Result_notebook_retravaill!G897,0,IF(Result_notebook_retravaill!I897+Result_notebook_retravaill!J897&gt;Result_notebook_retravaill!G897,Result_notebook_retravaill!G897-Result_notebook_retravaill!I897,Result_notebook_retravaill!J897))</f>
        <v>0</v>
      </c>
      <c r="L897" s="32">
        <f>IF(Result_notebook_retravaill!I897&gt;Result_notebook_retravaill!G897,0,IF(Result_notebook_retravaill!I897+Result_notebook_retravaill!J897&gt;Result_notebook_retravaill!G897,0,Result_notebook_retravaill!M897))</f>
        <v>53789.771026547613</v>
      </c>
      <c r="M897" s="31">
        <f t="shared" si="13"/>
        <v>0</v>
      </c>
    </row>
    <row r="898" spans="1:13" x14ac:dyDescent="0.35">
      <c r="A898">
        <f>Result_notebook_retravaill!A898</f>
        <v>2034</v>
      </c>
      <c r="B898" t="str">
        <f>Result_notebook_retravaill!B898</f>
        <v>Lithium</v>
      </c>
      <c r="C898" t="str">
        <f>Result_notebook_retravaill!C898</f>
        <v>Global Net-zero</v>
      </c>
      <c r="D898" t="str">
        <f>Result_notebook_retravaill!D898</f>
        <v>Existing production</v>
      </c>
      <c r="E898" t="str">
        <f>Result_notebook_retravaill!E898</f>
        <v>Current shares</v>
      </c>
      <c r="F898" t="str">
        <f>Result_notebook_retravaill!F898</f>
        <v>Status Quo</v>
      </c>
      <c r="G898">
        <f>Result_notebook_retravaill!G898</f>
        <v>53789.771026547613</v>
      </c>
      <c r="H898" s="32">
        <f>IF(Result_notebook_retravaill!I898&gt;Result_notebook_retravaill!G898,Result_notebook_retravaill!I898/Result_notebook_retravaill!N898,Result_notebook_retravaill!H898)</f>
        <v>39773</v>
      </c>
      <c r="I898" s="32">
        <f>Result_notebook_retravaill!K898</f>
        <v>37069.530037925171</v>
      </c>
      <c r="J898" s="32">
        <f>MIN(G898,Result_notebook_retravaill!I898)</f>
        <v>27808.107139723728</v>
      </c>
      <c r="K898" s="32">
        <f>IF(Result_notebook_retravaill!I898&gt;Result_notebook_retravaill!G898,0,IF(Result_notebook_retravaill!I898+Result_notebook_retravaill!J898&gt;Result_notebook_retravaill!G898,Result_notebook_retravaill!G898-Result_notebook_retravaill!I898,Result_notebook_retravaill!J898))</f>
        <v>3515.3177502825383</v>
      </c>
      <c r="L898" s="32">
        <f>IF(Result_notebook_retravaill!I898&gt;Result_notebook_retravaill!G898,0,IF(Result_notebook_retravaill!I898+Result_notebook_retravaill!J898&gt;Result_notebook_retravaill!G898,0,Result_notebook_retravaill!M898))</f>
        <v>22466.346136541342</v>
      </c>
      <c r="M898" s="31">
        <f t="shared" si="13"/>
        <v>0</v>
      </c>
    </row>
    <row r="899" spans="1:13" x14ac:dyDescent="0.35">
      <c r="A899">
        <f>Result_notebook_retravaill!A899</f>
        <v>2034</v>
      </c>
      <c r="B899" t="str">
        <f>Result_notebook_retravaill!B899</f>
        <v>Lithium</v>
      </c>
      <c r="C899" t="str">
        <f>Result_notebook_retravaill!C899</f>
        <v>Global Net-zero</v>
      </c>
      <c r="D899" t="str">
        <f>Result_notebook_retravaill!D899</f>
        <v>Production potential</v>
      </c>
      <c r="E899" t="str">
        <f>Result_notebook_retravaill!E899</f>
        <v>Current shares</v>
      </c>
      <c r="F899" t="str">
        <f>Result_notebook_retravaill!F899</f>
        <v>Expansion Extractive</v>
      </c>
      <c r="G899">
        <f>Result_notebook_retravaill!G899</f>
        <v>53789.771026547613</v>
      </c>
      <c r="H899" s="32">
        <f>IF(Result_notebook_retravaill!I899&gt;Result_notebook_retravaill!G899,Result_notebook_retravaill!I899/Result_notebook_retravaill!N899,Result_notebook_retravaill!H899)</f>
        <v>126826.43714165693</v>
      </c>
      <c r="I899" s="32">
        <f>Result_notebook_retravaill!K899</f>
        <v>0</v>
      </c>
      <c r="J899" s="32">
        <f>MIN(G899,Result_notebook_retravaill!I899)</f>
        <v>53789.771026547613</v>
      </c>
      <c r="K899" s="32">
        <f>IF(Result_notebook_retravaill!I899&gt;Result_notebook_retravaill!G899,0,IF(Result_notebook_retravaill!I899+Result_notebook_retravaill!J899&gt;Result_notebook_retravaill!G899,Result_notebook_retravaill!G899-Result_notebook_retravaill!I899,Result_notebook_retravaill!J899))</f>
        <v>0</v>
      </c>
      <c r="L899" s="32">
        <f>IF(Result_notebook_retravaill!I899&gt;Result_notebook_retravaill!G899,0,IF(Result_notebook_retravaill!I899+Result_notebook_retravaill!J899&gt;Result_notebook_retravaill!G899,0,Result_notebook_retravaill!M899))</f>
        <v>0</v>
      </c>
      <c r="M899" s="31">
        <f t="shared" ref="M899:M962" si="14">SUM(J899:L899)-G899</f>
        <v>0</v>
      </c>
    </row>
    <row r="900" spans="1:13" x14ac:dyDescent="0.35">
      <c r="A900">
        <f>Result_notebook_retravaill!A900</f>
        <v>2034</v>
      </c>
      <c r="B900" t="str">
        <f>Result_notebook_retravaill!B900</f>
        <v>Lithium</v>
      </c>
      <c r="C900" t="str">
        <f>Result_notebook_retravaill!C900</f>
        <v>Global Net-zero</v>
      </c>
      <c r="D900" t="str">
        <f>Result_notebook_retravaill!D900</f>
        <v>Production potential</v>
      </c>
      <c r="E900" t="str">
        <f>Result_notebook_retravaill!E900</f>
        <v>Current shares</v>
      </c>
      <c r="F900" t="str">
        <f>Result_notebook_retravaill!F900</f>
        <v>Expansion Extractive+Circularity</v>
      </c>
      <c r="G900">
        <f>Result_notebook_retravaill!G900</f>
        <v>53789.771026547613</v>
      </c>
      <c r="H900" s="32">
        <f>IF(Result_notebook_retravaill!I900&gt;Result_notebook_retravaill!G900,Result_notebook_retravaill!I900/Result_notebook_retravaill!N900,Result_notebook_retravaill!H900)</f>
        <v>126826.43714165693</v>
      </c>
      <c r="I900" s="32">
        <f>Result_notebook_retravaill!K900</f>
        <v>0</v>
      </c>
      <c r="J900" s="32">
        <f>MIN(G900,Result_notebook_retravaill!I900)</f>
        <v>53789.771026547613</v>
      </c>
      <c r="K900" s="32">
        <f>IF(Result_notebook_retravaill!I900&gt;Result_notebook_retravaill!G900,0,IF(Result_notebook_retravaill!I900+Result_notebook_retravaill!J900&gt;Result_notebook_retravaill!G900,Result_notebook_retravaill!G900-Result_notebook_retravaill!I900,Result_notebook_retravaill!J900))</f>
        <v>0</v>
      </c>
      <c r="L900" s="32">
        <f>IF(Result_notebook_retravaill!I900&gt;Result_notebook_retravaill!G900,0,IF(Result_notebook_retravaill!I900+Result_notebook_retravaill!J900&gt;Result_notebook_retravaill!G900,0,Result_notebook_retravaill!M900))</f>
        <v>0</v>
      </c>
      <c r="M900" s="31">
        <f t="shared" si="14"/>
        <v>0</v>
      </c>
    </row>
    <row r="901" spans="1:13" x14ac:dyDescent="0.35">
      <c r="A901">
        <f>Result_notebook_retravaill!A901</f>
        <v>2034</v>
      </c>
      <c r="B901" t="str">
        <f>Result_notebook_retravaill!B901</f>
        <v>Lithium</v>
      </c>
      <c r="C901" t="str">
        <f>Result_notebook_retravaill!C901</f>
        <v>Global Net-zero</v>
      </c>
      <c r="D901" t="str">
        <f>Result_notebook_retravaill!D901</f>
        <v>Production potential</v>
      </c>
      <c r="E901" t="str">
        <f>Result_notebook_retravaill!E901</f>
        <v>100% CAN</v>
      </c>
      <c r="F901" t="str">
        <f>Result_notebook_retravaill!F901</f>
        <v>Integrated</v>
      </c>
      <c r="G901">
        <f>Result_notebook_retravaill!G901</f>
        <v>53789.771026547613</v>
      </c>
      <c r="H901" s="32">
        <f>IF(Result_notebook_retravaill!I901&gt;Result_notebook_retravaill!G901,Result_notebook_retravaill!I901/Result_notebook_retravaill!N901,Result_notebook_retravaill!H901)</f>
        <v>126826.43714165693</v>
      </c>
      <c r="I901" s="32">
        <f>Result_notebook_retravaill!K901</f>
        <v>0</v>
      </c>
      <c r="J901" s="32">
        <f>MIN(G901,Result_notebook_retravaill!I901)</f>
        <v>53789.771026547613</v>
      </c>
      <c r="K901" s="32">
        <f>IF(Result_notebook_retravaill!I901&gt;Result_notebook_retravaill!G901,0,IF(Result_notebook_retravaill!I901+Result_notebook_retravaill!J901&gt;Result_notebook_retravaill!G901,Result_notebook_retravaill!G901-Result_notebook_retravaill!I901,Result_notebook_retravaill!J901))</f>
        <v>0</v>
      </c>
      <c r="L901" s="32">
        <f>IF(Result_notebook_retravaill!I901&gt;Result_notebook_retravaill!G901,0,IF(Result_notebook_retravaill!I901+Result_notebook_retravaill!J901&gt;Result_notebook_retravaill!G901,0,Result_notebook_retravaill!M901))</f>
        <v>0</v>
      </c>
      <c r="M901" s="31">
        <f t="shared" si="14"/>
        <v>0</v>
      </c>
    </row>
    <row r="902" spans="1:13" x14ac:dyDescent="0.35">
      <c r="A902">
        <f>Result_notebook_retravaill!A902</f>
        <v>2035</v>
      </c>
      <c r="B902" t="str">
        <f>Result_notebook_retravaill!B902</f>
        <v>Cobalt</v>
      </c>
      <c r="C902" t="str">
        <f>Result_notebook_retravaill!C902</f>
        <v>Canada Net-zero</v>
      </c>
      <c r="D902" t="str">
        <f>Result_notebook_retravaill!D902</f>
        <v>Existing production</v>
      </c>
      <c r="E902" t="str">
        <f>Result_notebook_retravaill!E902</f>
        <v>Current shares</v>
      </c>
      <c r="F902" t="str">
        <f>Result_notebook_retravaill!F902</f>
        <v>NIMBY</v>
      </c>
      <c r="G902">
        <f>Result_notebook_retravaill!G902</f>
        <v>152437.6873521794</v>
      </c>
      <c r="H902" s="32">
        <f>IF(Result_notebook_retravaill!I902&gt;Result_notebook_retravaill!G902,Result_notebook_retravaill!I902/Result_notebook_retravaill!N902,Result_notebook_retravaill!H902)</f>
        <v>0</v>
      </c>
      <c r="I902" s="32">
        <f>Result_notebook_retravaill!K902</f>
        <v>346449.28943677142</v>
      </c>
      <c r="J902" s="32">
        <f>MIN(G902,Result_notebook_retravaill!I902)</f>
        <v>0</v>
      </c>
      <c r="K902" s="32">
        <f>IF(Result_notebook_retravaill!I902&gt;Result_notebook_retravaill!G902,0,IF(Result_notebook_retravaill!I902+Result_notebook_retravaill!J902&gt;Result_notebook_retravaill!G902,Result_notebook_retravaill!G902-Result_notebook_retravaill!I902,Result_notebook_retravaill!J902))</f>
        <v>0</v>
      </c>
      <c r="L902" s="32">
        <f>IF(Result_notebook_retravaill!I902&gt;Result_notebook_retravaill!G902,0,IF(Result_notebook_retravaill!I902+Result_notebook_retravaill!J902&gt;Result_notebook_retravaill!G902,0,Result_notebook_retravaill!M902))</f>
        <v>152437.6873521794</v>
      </c>
      <c r="M902" s="31">
        <f t="shared" si="14"/>
        <v>0</v>
      </c>
    </row>
    <row r="903" spans="1:13" x14ac:dyDescent="0.35">
      <c r="A903">
        <f>Result_notebook_retravaill!A903</f>
        <v>2035</v>
      </c>
      <c r="B903" t="str">
        <f>Result_notebook_retravaill!B903</f>
        <v>Cobalt</v>
      </c>
      <c r="C903" t="str">
        <f>Result_notebook_retravaill!C903</f>
        <v>Canada Net-zero</v>
      </c>
      <c r="D903" t="str">
        <f>Result_notebook_retravaill!D903</f>
        <v>Existing production</v>
      </c>
      <c r="E903" t="str">
        <f>Result_notebook_retravaill!E903</f>
        <v>Current shares</v>
      </c>
      <c r="F903" t="str">
        <f>Result_notebook_retravaill!F903</f>
        <v>Status Quo</v>
      </c>
      <c r="G903">
        <f>Result_notebook_retravaill!G903</f>
        <v>152437.6873521794</v>
      </c>
      <c r="H903" s="32">
        <f>IF(Result_notebook_retravaill!I903&gt;Result_notebook_retravaill!G903,Result_notebook_retravaill!I903/Result_notebook_retravaill!N903,Result_notebook_retravaill!H903)</f>
        <v>3079</v>
      </c>
      <c r="I903" s="32">
        <f>Result_notebook_retravaill!K903</f>
        <v>343370.28943677142</v>
      </c>
      <c r="J903" s="32">
        <f>MIN(G903,Result_notebook_retravaill!I903)</f>
        <v>1306.05584956232</v>
      </c>
      <c r="K903" s="32">
        <f>IF(Result_notebook_retravaill!I903&gt;Result_notebook_retravaill!G903,0,IF(Result_notebook_retravaill!I903+Result_notebook_retravaill!J903&gt;Result_notebook_retravaill!G903,Result_notebook_retravaill!G903-Result_notebook_retravaill!I903,Result_notebook_retravaill!J903))</f>
        <v>46.692226187885353</v>
      </c>
      <c r="L903" s="32">
        <f>IF(Result_notebook_retravaill!I903&gt;Result_notebook_retravaill!G903,0,IF(Result_notebook_retravaill!I903+Result_notebook_retravaill!J903&gt;Result_notebook_retravaill!G903,0,Result_notebook_retravaill!M903))</f>
        <v>151084.93927642921</v>
      </c>
      <c r="M903" s="31">
        <f t="shared" si="14"/>
        <v>0</v>
      </c>
    </row>
    <row r="904" spans="1:13" x14ac:dyDescent="0.35">
      <c r="A904">
        <f>Result_notebook_retravaill!A904</f>
        <v>2035</v>
      </c>
      <c r="B904" t="str">
        <f>Result_notebook_retravaill!B904</f>
        <v>Cobalt</v>
      </c>
      <c r="C904" t="str">
        <f>Result_notebook_retravaill!C904</f>
        <v>Canada Net-zero</v>
      </c>
      <c r="D904" t="str">
        <f>Result_notebook_retravaill!D904</f>
        <v>Production potential</v>
      </c>
      <c r="E904" t="str">
        <f>Result_notebook_retravaill!E904</f>
        <v>Current shares</v>
      </c>
      <c r="F904" t="str">
        <f>Result_notebook_retravaill!F904</f>
        <v>Expansion Extractive</v>
      </c>
      <c r="G904">
        <f>Result_notebook_retravaill!G904</f>
        <v>152437.6873521794</v>
      </c>
      <c r="H904" s="32">
        <f>IF(Result_notebook_retravaill!I904&gt;Result_notebook_retravaill!G904,Result_notebook_retravaill!I904/Result_notebook_retravaill!N904,Result_notebook_retravaill!H904)</f>
        <v>15489.26488622676</v>
      </c>
      <c r="I904" s="32">
        <f>Result_notebook_retravaill!K904</f>
        <v>330960.02455054462</v>
      </c>
      <c r="J904" s="32">
        <f>MIN(G904,Result_notebook_retravaill!I904)</f>
        <v>6570.2646996026942</v>
      </c>
      <c r="K904" s="32">
        <f>IF(Result_notebook_retravaill!I904&gt;Result_notebook_retravaill!G904,0,IF(Result_notebook_retravaill!I904+Result_notebook_retravaill!J904&gt;Result_notebook_retravaill!G904,Result_notebook_retravaill!G904-Result_notebook_retravaill!I904,Result_notebook_retravaill!J904))</f>
        <v>234.89063317693217</v>
      </c>
      <c r="L904" s="32">
        <f>IF(Result_notebook_retravaill!I904&gt;Result_notebook_retravaill!G904,0,IF(Result_notebook_retravaill!I904+Result_notebook_retravaill!J904&gt;Result_notebook_retravaill!G904,0,Result_notebook_retravaill!M904))</f>
        <v>145632.53201939978</v>
      </c>
      <c r="M904" s="31">
        <f t="shared" si="14"/>
        <v>0</v>
      </c>
    </row>
    <row r="905" spans="1:13" x14ac:dyDescent="0.35">
      <c r="A905">
        <f>Result_notebook_retravaill!A905</f>
        <v>2035</v>
      </c>
      <c r="B905" t="str">
        <f>Result_notebook_retravaill!B905</f>
        <v>Cobalt</v>
      </c>
      <c r="C905" t="str">
        <f>Result_notebook_retravaill!C905</f>
        <v>Canada Net-zero</v>
      </c>
      <c r="D905" t="str">
        <f>Result_notebook_retravaill!D905</f>
        <v>Production potential</v>
      </c>
      <c r="E905" t="str">
        <f>Result_notebook_retravaill!E905</f>
        <v>Current shares</v>
      </c>
      <c r="F905" t="str">
        <f>Result_notebook_retravaill!F905</f>
        <v>Expansion Extractive+Circularity</v>
      </c>
      <c r="G905">
        <f>Result_notebook_retravaill!G905</f>
        <v>152437.6873521794</v>
      </c>
      <c r="H905" s="32">
        <f>IF(Result_notebook_retravaill!I905&gt;Result_notebook_retravaill!G905,Result_notebook_retravaill!I905/Result_notebook_retravaill!N905,Result_notebook_retravaill!H905)</f>
        <v>15489.26488622676</v>
      </c>
      <c r="I905" s="32">
        <f>Result_notebook_retravaill!K905</f>
        <v>330960.02455054462</v>
      </c>
      <c r="J905" s="32">
        <f>MIN(G905,Result_notebook_retravaill!I905)</f>
        <v>6570.2646996026942</v>
      </c>
      <c r="K905" s="32">
        <f>IF(Result_notebook_retravaill!I905&gt;Result_notebook_retravaill!G905,0,IF(Result_notebook_retravaill!I905+Result_notebook_retravaill!J905&gt;Result_notebook_retravaill!G905,Result_notebook_retravaill!G905-Result_notebook_retravaill!I905,Result_notebook_retravaill!J905))</f>
        <v>234.89063317693217</v>
      </c>
      <c r="L905" s="32">
        <f>IF(Result_notebook_retravaill!I905&gt;Result_notebook_retravaill!G905,0,IF(Result_notebook_retravaill!I905+Result_notebook_retravaill!J905&gt;Result_notebook_retravaill!G905,0,Result_notebook_retravaill!M905))</f>
        <v>145632.53201939978</v>
      </c>
      <c r="M905" s="31">
        <f t="shared" si="14"/>
        <v>0</v>
      </c>
    </row>
    <row r="906" spans="1:13" x14ac:dyDescent="0.35">
      <c r="A906">
        <f>Result_notebook_retravaill!A906</f>
        <v>2035</v>
      </c>
      <c r="B906" t="str">
        <f>Result_notebook_retravaill!B906</f>
        <v>Cobalt</v>
      </c>
      <c r="C906" t="str">
        <f>Result_notebook_retravaill!C906</f>
        <v>Canada Net-zero</v>
      </c>
      <c r="D906" t="str">
        <f>Result_notebook_retravaill!D906</f>
        <v>Production potential</v>
      </c>
      <c r="E906" t="str">
        <f>Result_notebook_retravaill!E906</f>
        <v>100% CAN</v>
      </c>
      <c r="F906" t="str">
        <f>Result_notebook_retravaill!F906</f>
        <v>Integrated</v>
      </c>
      <c r="G906">
        <f>Result_notebook_retravaill!G906</f>
        <v>152437.6873521794</v>
      </c>
      <c r="H906" s="32">
        <f>IF(Result_notebook_retravaill!I906&gt;Result_notebook_retravaill!G906,Result_notebook_retravaill!I906/Result_notebook_retravaill!N906,Result_notebook_retravaill!H906)</f>
        <v>15489.26488622676</v>
      </c>
      <c r="I906" s="32">
        <f>Result_notebook_retravaill!K906</f>
        <v>330960.02455054462</v>
      </c>
      <c r="J906" s="32">
        <f>MIN(G906,Result_notebook_retravaill!I906)</f>
        <v>6805.1553327796337</v>
      </c>
      <c r="K906" s="32">
        <f>IF(Result_notebook_retravaill!I906&gt;Result_notebook_retravaill!G906,0,IF(Result_notebook_retravaill!I906+Result_notebook_retravaill!J906&gt;Result_notebook_retravaill!G906,Result_notebook_retravaill!G906-Result_notebook_retravaill!I906,Result_notebook_retravaill!J906))</f>
        <v>-7.2759576141834259E-12</v>
      </c>
      <c r="L906" s="32">
        <f>IF(Result_notebook_retravaill!I906&gt;Result_notebook_retravaill!G906,0,IF(Result_notebook_retravaill!I906+Result_notebook_retravaill!J906&gt;Result_notebook_retravaill!G906,0,Result_notebook_retravaill!M906))</f>
        <v>145632.5320193998</v>
      </c>
      <c r="M906" s="31">
        <f t="shared" si="14"/>
        <v>0</v>
      </c>
    </row>
    <row r="907" spans="1:13" x14ac:dyDescent="0.35">
      <c r="A907">
        <f>Result_notebook_retravaill!A907</f>
        <v>2035</v>
      </c>
      <c r="B907" t="str">
        <f>Result_notebook_retravaill!B907</f>
        <v>Cobalt</v>
      </c>
      <c r="C907" t="str">
        <f>Result_notebook_retravaill!C907</f>
        <v>Current Measures</v>
      </c>
      <c r="D907" t="str">
        <f>Result_notebook_retravaill!D907</f>
        <v>Existing production</v>
      </c>
      <c r="E907" t="str">
        <f>Result_notebook_retravaill!E907</f>
        <v>Current shares</v>
      </c>
      <c r="F907" t="str">
        <f>Result_notebook_retravaill!F907</f>
        <v>NIMBY</v>
      </c>
      <c r="G907">
        <f>Result_notebook_retravaill!G907</f>
        <v>58674.162846282037</v>
      </c>
      <c r="H907" s="32">
        <f>IF(Result_notebook_retravaill!I907&gt;Result_notebook_retravaill!G907,Result_notebook_retravaill!I907/Result_notebook_retravaill!N907,Result_notebook_retravaill!H907)</f>
        <v>0</v>
      </c>
      <c r="I907" s="32">
        <f>Result_notebook_retravaill!K907</f>
        <v>133350.37010518639</v>
      </c>
      <c r="J907" s="32">
        <f>MIN(G907,Result_notebook_retravaill!I907)</f>
        <v>0</v>
      </c>
      <c r="K907" s="32">
        <f>IF(Result_notebook_retravaill!I907&gt;Result_notebook_retravaill!G907,0,IF(Result_notebook_retravaill!I907+Result_notebook_retravaill!J907&gt;Result_notebook_retravaill!G907,Result_notebook_retravaill!G907-Result_notebook_retravaill!I907,Result_notebook_retravaill!J907))</f>
        <v>0</v>
      </c>
      <c r="L907" s="32">
        <f>IF(Result_notebook_retravaill!I907&gt;Result_notebook_retravaill!G907,0,IF(Result_notebook_retravaill!I907+Result_notebook_retravaill!J907&gt;Result_notebook_retravaill!G907,0,Result_notebook_retravaill!M907))</f>
        <v>58674.162846282037</v>
      </c>
      <c r="M907" s="31">
        <f t="shared" si="14"/>
        <v>0</v>
      </c>
    </row>
    <row r="908" spans="1:13" x14ac:dyDescent="0.35">
      <c r="A908">
        <f>Result_notebook_retravaill!A908</f>
        <v>2035</v>
      </c>
      <c r="B908" t="str">
        <f>Result_notebook_retravaill!B908</f>
        <v>Cobalt</v>
      </c>
      <c r="C908" t="str">
        <f>Result_notebook_retravaill!C908</f>
        <v>Current Measures</v>
      </c>
      <c r="D908" t="str">
        <f>Result_notebook_retravaill!D908</f>
        <v>Existing production</v>
      </c>
      <c r="E908" t="str">
        <f>Result_notebook_retravaill!E908</f>
        <v>Current shares</v>
      </c>
      <c r="F908" t="str">
        <f>Result_notebook_retravaill!F908</f>
        <v>Status Quo</v>
      </c>
      <c r="G908">
        <f>Result_notebook_retravaill!G908</f>
        <v>58674.162846282037</v>
      </c>
      <c r="H908" s="32">
        <f>IF(Result_notebook_retravaill!I908&gt;Result_notebook_retravaill!G908,Result_notebook_retravaill!I908/Result_notebook_retravaill!N908,Result_notebook_retravaill!H908)</f>
        <v>3079</v>
      </c>
      <c r="I908" s="32">
        <f>Result_notebook_retravaill!K908</f>
        <v>130271.3701051864</v>
      </c>
      <c r="J908" s="32">
        <f>MIN(G908,Result_notebook_retravaill!I908)</f>
        <v>1306.05584956232</v>
      </c>
      <c r="K908" s="32">
        <f>IF(Result_notebook_retravaill!I908&gt;Result_notebook_retravaill!G908,0,IF(Result_notebook_retravaill!I908+Result_notebook_retravaill!J908&gt;Result_notebook_retravaill!G908,Result_notebook_retravaill!G908-Result_notebook_retravaill!I908,Result_notebook_retravaill!J908))</f>
        <v>46.692226187885353</v>
      </c>
      <c r="L908" s="32">
        <f>IF(Result_notebook_retravaill!I908&gt;Result_notebook_retravaill!G908,0,IF(Result_notebook_retravaill!I908+Result_notebook_retravaill!J908&gt;Result_notebook_retravaill!G908,0,Result_notebook_retravaill!M908))</f>
        <v>57321.414770531832</v>
      </c>
      <c r="M908" s="31">
        <f t="shared" si="14"/>
        <v>0</v>
      </c>
    </row>
    <row r="909" spans="1:13" x14ac:dyDescent="0.35">
      <c r="A909">
        <f>Result_notebook_retravaill!A909</f>
        <v>2035</v>
      </c>
      <c r="B909" t="str">
        <f>Result_notebook_retravaill!B909</f>
        <v>Cobalt</v>
      </c>
      <c r="C909" t="str">
        <f>Result_notebook_retravaill!C909</f>
        <v>Current Measures</v>
      </c>
      <c r="D909" t="str">
        <f>Result_notebook_retravaill!D909</f>
        <v>Production potential</v>
      </c>
      <c r="E909" t="str">
        <f>Result_notebook_retravaill!E909</f>
        <v>Current shares</v>
      </c>
      <c r="F909" t="str">
        <f>Result_notebook_retravaill!F909</f>
        <v>Expansion Extractive</v>
      </c>
      <c r="G909">
        <f>Result_notebook_retravaill!G909</f>
        <v>58674.162846282037</v>
      </c>
      <c r="H909" s="32">
        <f>IF(Result_notebook_retravaill!I909&gt;Result_notebook_retravaill!G909,Result_notebook_retravaill!I909/Result_notebook_retravaill!N909,Result_notebook_retravaill!H909)</f>
        <v>15489.26488622676</v>
      </c>
      <c r="I909" s="32">
        <f>Result_notebook_retravaill!K909</f>
        <v>117861.1052189597</v>
      </c>
      <c r="J909" s="32">
        <f>MIN(G909,Result_notebook_retravaill!I909)</f>
        <v>6570.2646996026942</v>
      </c>
      <c r="K909" s="32">
        <f>IF(Result_notebook_retravaill!I909&gt;Result_notebook_retravaill!G909,0,IF(Result_notebook_retravaill!I909+Result_notebook_retravaill!J909&gt;Result_notebook_retravaill!G909,Result_notebook_retravaill!G909-Result_notebook_retravaill!I909,Result_notebook_retravaill!J909))</f>
        <v>234.89063317693217</v>
      </c>
      <c r="L909" s="32">
        <f>IF(Result_notebook_retravaill!I909&gt;Result_notebook_retravaill!G909,0,IF(Result_notebook_retravaill!I909+Result_notebook_retravaill!J909&gt;Result_notebook_retravaill!G909,0,Result_notebook_retravaill!M909))</f>
        <v>51869.007513502409</v>
      </c>
      <c r="M909" s="31">
        <f t="shared" si="14"/>
        <v>0</v>
      </c>
    </row>
    <row r="910" spans="1:13" x14ac:dyDescent="0.35">
      <c r="A910">
        <f>Result_notebook_retravaill!A910</f>
        <v>2035</v>
      </c>
      <c r="B910" t="str">
        <f>Result_notebook_retravaill!B910</f>
        <v>Cobalt</v>
      </c>
      <c r="C910" t="str">
        <f>Result_notebook_retravaill!C910</f>
        <v>Current Measures</v>
      </c>
      <c r="D910" t="str">
        <f>Result_notebook_retravaill!D910</f>
        <v>Production potential</v>
      </c>
      <c r="E910" t="str">
        <f>Result_notebook_retravaill!E910</f>
        <v>Current shares</v>
      </c>
      <c r="F910" t="str">
        <f>Result_notebook_retravaill!F910</f>
        <v>Expansion Extractive+Circularity</v>
      </c>
      <c r="G910">
        <f>Result_notebook_retravaill!G910</f>
        <v>58674.162846282037</v>
      </c>
      <c r="H910" s="32">
        <f>IF(Result_notebook_retravaill!I910&gt;Result_notebook_retravaill!G910,Result_notebook_retravaill!I910/Result_notebook_retravaill!N910,Result_notebook_retravaill!H910)</f>
        <v>15489.26488622676</v>
      </c>
      <c r="I910" s="32">
        <f>Result_notebook_retravaill!K910</f>
        <v>117861.1052189597</v>
      </c>
      <c r="J910" s="32">
        <f>MIN(G910,Result_notebook_retravaill!I910)</f>
        <v>6570.2646996026942</v>
      </c>
      <c r="K910" s="32">
        <f>IF(Result_notebook_retravaill!I910&gt;Result_notebook_retravaill!G910,0,IF(Result_notebook_retravaill!I910+Result_notebook_retravaill!J910&gt;Result_notebook_retravaill!G910,Result_notebook_retravaill!G910-Result_notebook_retravaill!I910,Result_notebook_retravaill!J910))</f>
        <v>234.89063317693217</v>
      </c>
      <c r="L910" s="32">
        <f>IF(Result_notebook_retravaill!I910&gt;Result_notebook_retravaill!G910,0,IF(Result_notebook_retravaill!I910+Result_notebook_retravaill!J910&gt;Result_notebook_retravaill!G910,0,Result_notebook_retravaill!M910))</f>
        <v>51869.007513502409</v>
      </c>
      <c r="M910" s="31">
        <f t="shared" si="14"/>
        <v>0</v>
      </c>
    </row>
    <row r="911" spans="1:13" x14ac:dyDescent="0.35">
      <c r="A911">
        <f>Result_notebook_retravaill!A911</f>
        <v>2035</v>
      </c>
      <c r="B911" t="str">
        <f>Result_notebook_retravaill!B911</f>
        <v>Cobalt</v>
      </c>
      <c r="C911" t="str">
        <f>Result_notebook_retravaill!C911</f>
        <v>Current Measures</v>
      </c>
      <c r="D911" t="str">
        <f>Result_notebook_retravaill!D911</f>
        <v>Production potential</v>
      </c>
      <c r="E911" t="str">
        <f>Result_notebook_retravaill!E911</f>
        <v>100% CAN</v>
      </c>
      <c r="F911" t="str">
        <f>Result_notebook_retravaill!F911</f>
        <v>Integrated</v>
      </c>
      <c r="G911">
        <f>Result_notebook_retravaill!G911</f>
        <v>58674.162846282037</v>
      </c>
      <c r="H911" s="32">
        <f>IF(Result_notebook_retravaill!I911&gt;Result_notebook_retravaill!G911,Result_notebook_retravaill!I911/Result_notebook_retravaill!N911,Result_notebook_retravaill!H911)</f>
        <v>15489.26488622676</v>
      </c>
      <c r="I911" s="32">
        <f>Result_notebook_retravaill!K911</f>
        <v>117861.1052189597</v>
      </c>
      <c r="J911" s="32">
        <f>MIN(G911,Result_notebook_retravaill!I911)</f>
        <v>6805.1553327796337</v>
      </c>
      <c r="K911" s="32">
        <f>IF(Result_notebook_retravaill!I911&gt;Result_notebook_retravaill!G911,0,IF(Result_notebook_retravaill!I911+Result_notebook_retravaill!J911&gt;Result_notebook_retravaill!G911,Result_notebook_retravaill!G911-Result_notebook_retravaill!I911,Result_notebook_retravaill!J911))</f>
        <v>-7.2759576141834259E-12</v>
      </c>
      <c r="L911" s="32">
        <f>IF(Result_notebook_retravaill!I911&gt;Result_notebook_retravaill!G911,0,IF(Result_notebook_retravaill!I911+Result_notebook_retravaill!J911&gt;Result_notebook_retravaill!G911,0,Result_notebook_retravaill!M911))</f>
        <v>51869.007513502409</v>
      </c>
      <c r="M911" s="31">
        <f t="shared" si="14"/>
        <v>0</v>
      </c>
    </row>
    <row r="912" spans="1:13" x14ac:dyDescent="0.35">
      <c r="A912">
        <f>Result_notebook_retravaill!A912</f>
        <v>2035</v>
      </c>
      <c r="B912" t="str">
        <f>Result_notebook_retravaill!B912</f>
        <v>Cobalt</v>
      </c>
      <c r="C912" t="str">
        <f>Result_notebook_retravaill!C912</f>
        <v>Global Net-zero</v>
      </c>
      <c r="D912" t="str">
        <f>Result_notebook_retravaill!D912</f>
        <v>Existing production</v>
      </c>
      <c r="E912" t="str">
        <f>Result_notebook_retravaill!E912</f>
        <v>Current shares</v>
      </c>
      <c r="F912" t="str">
        <f>Result_notebook_retravaill!F912</f>
        <v>NIMBY</v>
      </c>
      <c r="G912">
        <f>Result_notebook_retravaill!G912</f>
        <v>144963.80013112261</v>
      </c>
      <c r="H912" s="32">
        <f>IF(Result_notebook_retravaill!I912&gt;Result_notebook_retravaill!G912,Result_notebook_retravaill!I912/Result_notebook_retravaill!N912,Result_notebook_retravaill!H912)</f>
        <v>0</v>
      </c>
      <c r="I912" s="32">
        <f>Result_notebook_retravaill!K912</f>
        <v>329463.18211618782</v>
      </c>
      <c r="J912" s="32">
        <f>MIN(G912,Result_notebook_retravaill!I912)</f>
        <v>0</v>
      </c>
      <c r="K912" s="32">
        <f>IF(Result_notebook_retravaill!I912&gt;Result_notebook_retravaill!G912,0,IF(Result_notebook_retravaill!I912+Result_notebook_retravaill!J912&gt;Result_notebook_retravaill!G912,Result_notebook_retravaill!G912-Result_notebook_retravaill!I912,Result_notebook_retravaill!J912))</f>
        <v>0</v>
      </c>
      <c r="L912" s="32">
        <f>IF(Result_notebook_retravaill!I912&gt;Result_notebook_retravaill!G912,0,IF(Result_notebook_retravaill!I912+Result_notebook_retravaill!J912&gt;Result_notebook_retravaill!G912,0,Result_notebook_retravaill!M912))</f>
        <v>144963.80013112261</v>
      </c>
      <c r="M912" s="31">
        <f t="shared" si="14"/>
        <v>0</v>
      </c>
    </row>
    <row r="913" spans="1:13" x14ac:dyDescent="0.35">
      <c r="A913">
        <f>Result_notebook_retravaill!A913</f>
        <v>2035</v>
      </c>
      <c r="B913" t="str">
        <f>Result_notebook_retravaill!B913</f>
        <v>Cobalt</v>
      </c>
      <c r="C913" t="str">
        <f>Result_notebook_retravaill!C913</f>
        <v>Global Net-zero</v>
      </c>
      <c r="D913" t="str">
        <f>Result_notebook_retravaill!D913</f>
        <v>Existing production</v>
      </c>
      <c r="E913" t="str">
        <f>Result_notebook_retravaill!E913</f>
        <v>Current shares</v>
      </c>
      <c r="F913" t="str">
        <f>Result_notebook_retravaill!F913</f>
        <v>Status Quo</v>
      </c>
      <c r="G913">
        <f>Result_notebook_retravaill!G913</f>
        <v>144963.80013112261</v>
      </c>
      <c r="H913" s="32">
        <f>IF(Result_notebook_retravaill!I913&gt;Result_notebook_retravaill!G913,Result_notebook_retravaill!I913/Result_notebook_retravaill!N913,Result_notebook_retravaill!H913)</f>
        <v>3079</v>
      </c>
      <c r="I913" s="32">
        <f>Result_notebook_retravaill!K913</f>
        <v>326384.18211618782</v>
      </c>
      <c r="J913" s="32">
        <f>MIN(G913,Result_notebook_retravaill!I913)</f>
        <v>1306.05584956232</v>
      </c>
      <c r="K913" s="32">
        <f>IF(Result_notebook_retravaill!I913&gt;Result_notebook_retravaill!G913,0,IF(Result_notebook_retravaill!I913+Result_notebook_retravaill!J913&gt;Result_notebook_retravaill!G913,Result_notebook_retravaill!G913-Result_notebook_retravaill!I913,Result_notebook_retravaill!J913))</f>
        <v>46.692226187885353</v>
      </c>
      <c r="L913" s="32">
        <f>IF(Result_notebook_retravaill!I913&gt;Result_notebook_retravaill!G913,0,IF(Result_notebook_retravaill!I913+Result_notebook_retravaill!J913&gt;Result_notebook_retravaill!G913,0,Result_notebook_retravaill!M913))</f>
        <v>143611.05205537242</v>
      </c>
      <c r="M913" s="31">
        <f t="shared" si="14"/>
        <v>0</v>
      </c>
    </row>
    <row r="914" spans="1:13" x14ac:dyDescent="0.35">
      <c r="A914">
        <f>Result_notebook_retravaill!A914</f>
        <v>2035</v>
      </c>
      <c r="B914" t="str">
        <f>Result_notebook_retravaill!B914</f>
        <v>Cobalt</v>
      </c>
      <c r="C914" t="str">
        <f>Result_notebook_retravaill!C914</f>
        <v>Global Net-zero</v>
      </c>
      <c r="D914" t="str">
        <f>Result_notebook_retravaill!D914</f>
        <v>Production potential</v>
      </c>
      <c r="E914" t="str">
        <f>Result_notebook_retravaill!E914</f>
        <v>Current shares</v>
      </c>
      <c r="F914" t="str">
        <f>Result_notebook_retravaill!F914</f>
        <v>Expansion Extractive</v>
      </c>
      <c r="G914">
        <f>Result_notebook_retravaill!G914</f>
        <v>144963.80013112261</v>
      </c>
      <c r="H914" s="32">
        <f>IF(Result_notebook_retravaill!I914&gt;Result_notebook_retravaill!G914,Result_notebook_retravaill!I914/Result_notebook_retravaill!N914,Result_notebook_retravaill!H914)</f>
        <v>15489.26488622676</v>
      </c>
      <c r="I914" s="32">
        <f>Result_notebook_retravaill!K914</f>
        <v>313973.91722996102</v>
      </c>
      <c r="J914" s="32">
        <f>MIN(G914,Result_notebook_retravaill!I914)</f>
        <v>6570.2646996026942</v>
      </c>
      <c r="K914" s="32">
        <f>IF(Result_notebook_retravaill!I914&gt;Result_notebook_retravaill!G914,0,IF(Result_notebook_retravaill!I914+Result_notebook_retravaill!J914&gt;Result_notebook_retravaill!G914,Result_notebook_retravaill!G914-Result_notebook_retravaill!I914,Result_notebook_retravaill!J914))</f>
        <v>234.89063317693217</v>
      </c>
      <c r="L914" s="32">
        <f>IF(Result_notebook_retravaill!I914&gt;Result_notebook_retravaill!G914,0,IF(Result_notebook_retravaill!I914+Result_notebook_retravaill!J914&gt;Result_notebook_retravaill!G914,0,Result_notebook_retravaill!M914))</f>
        <v>138158.64479834298</v>
      </c>
      <c r="M914" s="31">
        <f t="shared" si="14"/>
        <v>0</v>
      </c>
    </row>
    <row r="915" spans="1:13" x14ac:dyDescent="0.35">
      <c r="A915">
        <f>Result_notebook_retravaill!A915</f>
        <v>2035</v>
      </c>
      <c r="B915" t="str">
        <f>Result_notebook_retravaill!B915</f>
        <v>Cobalt</v>
      </c>
      <c r="C915" t="str">
        <f>Result_notebook_retravaill!C915</f>
        <v>Global Net-zero</v>
      </c>
      <c r="D915" t="str">
        <f>Result_notebook_retravaill!D915</f>
        <v>Production potential</v>
      </c>
      <c r="E915" t="str">
        <f>Result_notebook_retravaill!E915</f>
        <v>Current shares</v>
      </c>
      <c r="F915" t="str">
        <f>Result_notebook_retravaill!F915</f>
        <v>Expansion Extractive+Circularity</v>
      </c>
      <c r="G915">
        <f>Result_notebook_retravaill!G915</f>
        <v>144963.80013112261</v>
      </c>
      <c r="H915" s="32">
        <f>IF(Result_notebook_retravaill!I915&gt;Result_notebook_retravaill!G915,Result_notebook_retravaill!I915/Result_notebook_retravaill!N915,Result_notebook_retravaill!H915)</f>
        <v>15489.26488622676</v>
      </c>
      <c r="I915" s="32">
        <f>Result_notebook_retravaill!K915</f>
        <v>313973.91722996102</v>
      </c>
      <c r="J915" s="32">
        <f>MIN(G915,Result_notebook_retravaill!I915)</f>
        <v>6570.2646996026942</v>
      </c>
      <c r="K915" s="32">
        <f>IF(Result_notebook_retravaill!I915&gt;Result_notebook_retravaill!G915,0,IF(Result_notebook_retravaill!I915+Result_notebook_retravaill!J915&gt;Result_notebook_retravaill!G915,Result_notebook_retravaill!G915-Result_notebook_retravaill!I915,Result_notebook_retravaill!J915))</f>
        <v>234.89063317693217</v>
      </c>
      <c r="L915" s="32">
        <f>IF(Result_notebook_retravaill!I915&gt;Result_notebook_retravaill!G915,0,IF(Result_notebook_retravaill!I915+Result_notebook_retravaill!J915&gt;Result_notebook_retravaill!G915,0,Result_notebook_retravaill!M915))</f>
        <v>138158.64479834298</v>
      </c>
      <c r="M915" s="31">
        <f t="shared" si="14"/>
        <v>0</v>
      </c>
    </row>
    <row r="916" spans="1:13" x14ac:dyDescent="0.35">
      <c r="A916">
        <f>Result_notebook_retravaill!A916</f>
        <v>2035</v>
      </c>
      <c r="B916" t="str">
        <f>Result_notebook_retravaill!B916</f>
        <v>Cobalt</v>
      </c>
      <c r="C916" t="str">
        <f>Result_notebook_retravaill!C916</f>
        <v>Global Net-zero</v>
      </c>
      <c r="D916" t="str">
        <f>Result_notebook_retravaill!D916</f>
        <v>Production potential</v>
      </c>
      <c r="E916" t="str">
        <f>Result_notebook_retravaill!E916</f>
        <v>100% CAN</v>
      </c>
      <c r="F916" t="str">
        <f>Result_notebook_retravaill!F916</f>
        <v>Integrated</v>
      </c>
      <c r="G916">
        <f>Result_notebook_retravaill!G916</f>
        <v>144963.80013112261</v>
      </c>
      <c r="H916" s="32">
        <f>IF(Result_notebook_retravaill!I916&gt;Result_notebook_retravaill!G916,Result_notebook_retravaill!I916/Result_notebook_retravaill!N916,Result_notebook_retravaill!H916)</f>
        <v>15489.26488622676</v>
      </c>
      <c r="I916" s="32">
        <f>Result_notebook_retravaill!K916</f>
        <v>313973.91722996102</v>
      </c>
      <c r="J916" s="32">
        <f>MIN(G916,Result_notebook_retravaill!I916)</f>
        <v>6805.1553327796337</v>
      </c>
      <c r="K916" s="32">
        <f>IF(Result_notebook_retravaill!I916&gt;Result_notebook_retravaill!G916,0,IF(Result_notebook_retravaill!I916+Result_notebook_retravaill!J916&gt;Result_notebook_retravaill!G916,Result_notebook_retravaill!G916-Result_notebook_retravaill!I916,Result_notebook_retravaill!J916))</f>
        <v>-7.2759576141834259E-12</v>
      </c>
      <c r="L916" s="32">
        <f>IF(Result_notebook_retravaill!I916&gt;Result_notebook_retravaill!G916,0,IF(Result_notebook_retravaill!I916+Result_notebook_retravaill!J916&gt;Result_notebook_retravaill!G916,0,Result_notebook_retravaill!M916))</f>
        <v>138158.64479834301</v>
      </c>
      <c r="M916" s="31">
        <f t="shared" si="14"/>
        <v>0</v>
      </c>
    </row>
    <row r="917" spans="1:13" x14ac:dyDescent="0.35">
      <c r="A917">
        <f>Result_notebook_retravaill!A917</f>
        <v>2035</v>
      </c>
      <c r="B917" t="str">
        <f>Result_notebook_retravaill!B917</f>
        <v>Copper</v>
      </c>
      <c r="C917" t="str">
        <f>Result_notebook_retravaill!C917</f>
        <v>Canada Net-zero</v>
      </c>
      <c r="D917" t="str">
        <f>Result_notebook_retravaill!D917</f>
        <v>Existing production</v>
      </c>
      <c r="E917" t="str">
        <f>Result_notebook_retravaill!E917</f>
        <v>Current shares</v>
      </c>
      <c r="F917" t="str">
        <f>Result_notebook_retravaill!F917</f>
        <v>NIMBY</v>
      </c>
      <c r="G917">
        <f>Result_notebook_retravaill!G917</f>
        <v>1380748.71092915</v>
      </c>
      <c r="H917" s="32">
        <f>IF(Result_notebook_retravaill!I917&gt;Result_notebook_retravaill!G917,Result_notebook_retravaill!I917/Result_notebook_retravaill!N917,Result_notebook_retravaill!H917)</f>
        <v>0</v>
      </c>
      <c r="I917" s="32">
        <f>Result_notebook_retravaill!K917</f>
        <v>1663552.6637700601</v>
      </c>
      <c r="J917" s="32">
        <f>MIN(G917,Result_notebook_retravaill!I917)</f>
        <v>0</v>
      </c>
      <c r="K917" s="32">
        <f>IF(Result_notebook_retravaill!I917&gt;Result_notebook_retravaill!G917,0,IF(Result_notebook_retravaill!I917+Result_notebook_retravaill!J917&gt;Result_notebook_retravaill!G917,Result_notebook_retravaill!G917-Result_notebook_retravaill!I917,Result_notebook_retravaill!J917))</f>
        <v>0</v>
      </c>
      <c r="L917" s="32">
        <f>IF(Result_notebook_retravaill!I917&gt;Result_notebook_retravaill!G917,0,IF(Result_notebook_retravaill!I917+Result_notebook_retravaill!J917&gt;Result_notebook_retravaill!G917,0,Result_notebook_retravaill!M917))</f>
        <v>1380748.71092915</v>
      </c>
      <c r="M917" s="31">
        <f t="shared" si="14"/>
        <v>0</v>
      </c>
    </row>
    <row r="918" spans="1:13" x14ac:dyDescent="0.35">
      <c r="A918">
        <f>Result_notebook_retravaill!A918</f>
        <v>2035</v>
      </c>
      <c r="B918" t="str">
        <f>Result_notebook_retravaill!B918</f>
        <v>Copper</v>
      </c>
      <c r="C918" t="str">
        <f>Result_notebook_retravaill!C918</f>
        <v>Canada Net-zero</v>
      </c>
      <c r="D918" t="str">
        <f>Result_notebook_retravaill!D918</f>
        <v>Existing production</v>
      </c>
      <c r="E918" t="str">
        <f>Result_notebook_retravaill!E918</f>
        <v>Current shares</v>
      </c>
      <c r="F918" t="str">
        <f>Result_notebook_retravaill!F918</f>
        <v>Status Quo</v>
      </c>
      <c r="G918">
        <f>Result_notebook_retravaill!G918</f>
        <v>1380748.71092915</v>
      </c>
      <c r="H918" s="32">
        <f>IF(Result_notebook_retravaill!I918&gt;Result_notebook_retravaill!G918,Result_notebook_retravaill!I918/Result_notebook_retravaill!N918,Result_notebook_retravaill!H918)</f>
        <v>268899</v>
      </c>
      <c r="I918" s="32">
        <f>Result_notebook_retravaill!K918</f>
        <v>1394653.6637700601</v>
      </c>
      <c r="J918" s="32">
        <f>MIN(G918,Result_notebook_retravaill!I918)</f>
        <v>141335.65045528009</v>
      </c>
      <c r="K918" s="32">
        <f>IF(Result_notebook_retravaill!I918&gt;Result_notebook_retravaill!G918,0,IF(Result_notebook_retravaill!I918+Result_notebook_retravaill!J918&gt;Result_notebook_retravaill!G918,Result_notebook_retravaill!G918-Result_notebook_retravaill!I918,Result_notebook_retravaill!J918))</f>
        <v>83126.650392177427</v>
      </c>
      <c r="L918" s="32">
        <f>IF(Result_notebook_retravaill!I918&gt;Result_notebook_retravaill!G918,0,IF(Result_notebook_retravaill!I918+Result_notebook_retravaill!J918&gt;Result_notebook_retravaill!G918,0,Result_notebook_retravaill!M918))</f>
        <v>1156286.4100816925</v>
      </c>
      <c r="M918" s="31">
        <f t="shared" si="14"/>
        <v>0</v>
      </c>
    </row>
    <row r="919" spans="1:13" x14ac:dyDescent="0.35">
      <c r="A919">
        <f>Result_notebook_retravaill!A919</f>
        <v>2035</v>
      </c>
      <c r="B919" t="str">
        <f>Result_notebook_retravaill!B919</f>
        <v>Copper</v>
      </c>
      <c r="C919" t="str">
        <f>Result_notebook_retravaill!C919</f>
        <v>Canada Net-zero</v>
      </c>
      <c r="D919" t="str">
        <f>Result_notebook_retravaill!D919</f>
        <v>Production potential</v>
      </c>
      <c r="E919" t="str">
        <f>Result_notebook_retravaill!E919</f>
        <v>Current shares</v>
      </c>
      <c r="F919" t="str">
        <f>Result_notebook_retravaill!F919</f>
        <v>Expansion Extractive</v>
      </c>
      <c r="G919">
        <f>Result_notebook_retravaill!G919</f>
        <v>1380748.71092915</v>
      </c>
      <c r="H919" s="32">
        <f>IF(Result_notebook_retravaill!I919&gt;Result_notebook_retravaill!G919,Result_notebook_retravaill!I919/Result_notebook_retravaill!N919,Result_notebook_retravaill!H919)</f>
        <v>880689.46172873862</v>
      </c>
      <c r="I919" s="32">
        <f>Result_notebook_retravaill!K919</f>
        <v>782863.20204132167</v>
      </c>
      <c r="J919" s="32">
        <f>MIN(G919,Result_notebook_retravaill!I919)</f>
        <v>462898.03205866081</v>
      </c>
      <c r="K919" s="32">
        <f>IF(Result_notebook_retravaill!I919&gt;Result_notebook_retravaill!G919,0,IF(Result_notebook_retravaill!I919+Result_notebook_retravaill!J919&gt;Result_notebook_retravaill!G919,Result_notebook_retravaill!G919-Result_notebook_retravaill!I919,Result_notebook_retravaill!J919))</f>
        <v>272253.76438439608</v>
      </c>
      <c r="L919" s="32">
        <f>IF(Result_notebook_retravaill!I919&gt;Result_notebook_retravaill!G919,0,IF(Result_notebook_retravaill!I919+Result_notebook_retravaill!J919&gt;Result_notebook_retravaill!G919,0,Result_notebook_retravaill!M919))</f>
        <v>645596.91448609298</v>
      </c>
      <c r="M919" s="31">
        <f t="shared" si="14"/>
        <v>0</v>
      </c>
    </row>
    <row r="920" spans="1:13" x14ac:dyDescent="0.35">
      <c r="A920">
        <f>Result_notebook_retravaill!A920</f>
        <v>2035</v>
      </c>
      <c r="B920" t="str">
        <f>Result_notebook_retravaill!B920</f>
        <v>Copper</v>
      </c>
      <c r="C920" t="str">
        <f>Result_notebook_retravaill!C920</f>
        <v>Canada Net-zero</v>
      </c>
      <c r="D920" t="str">
        <f>Result_notebook_retravaill!D920</f>
        <v>Production potential</v>
      </c>
      <c r="E920" t="str">
        <f>Result_notebook_retravaill!E920</f>
        <v>Current shares</v>
      </c>
      <c r="F920" t="str">
        <f>Result_notebook_retravaill!F920</f>
        <v>Expansion Extractive+Circularity</v>
      </c>
      <c r="G920">
        <f>Result_notebook_retravaill!G920</f>
        <v>1380748.71092915</v>
      </c>
      <c r="H920" s="32">
        <f>IF(Result_notebook_retravaill!I920&gt;Result_notebook_retravaill!G920,Result_notebook_retravaill!I920/Result_notebook_retravaill!N920,Result_notebook_retravaill!H920)</f>
        <v>880689.46172873862</v>
      </c>
      <c r="I920" s="32">
        <f>Result_notebook_retravaill!K920</f>
        <v>782863.20204132167</v>
      </c>
      <c r="J920" s="32">
        <f>MIN(G920,Result_notebook_retravaill!I920)</f>
        <v>462898.03205866081</v>
      </c>
      <c r="K920" s="32">
        <f>IF(Result_notebook_retravaill!I920&gt;Result_notebook_retravaill!G920,0,IF(Result_notebook_retravaill!I920+Result_notebook_retravaill!J920&gt;Result_notebook_retravaill!G920,Result_notebook_retravaill!G920-Result_notebook_retravaill!I920,Result_notebook_retravaill!J920))</f>
        <v>272253.76438439608</v>
      </c>
      <c r="L920" s="32">
        <f>IF(Result_notebook_retravaill!I920&gt;Result_notebook_retravaill!G920,0,IF(Result_notebook_retravaill!I920+Result_notebook_retravaill!J920&gt;Result_notebook_retravaill!G920,0,Result_notebook_retravaill!M920))</f>
        <v>645596.91448609298</v>
      </c>
      <c r="M920" s="31">
        <f t="shared" si="14"/>
        <v>0</v>
      </c>
    </row>
    <row r="921" spans="1:13" x14ac:dyDescent="0.35">
      <c r="A921">
        <f>Result_notebook_retravaill!A921</f>
        <v>2035</v>
      </c>
      <c r="B921" t="str">
        <f>Result_notebook_retravaill!B921</f>
        <v>Copper</v>
      </c>
      <c r="C921" t="str">
        <f>Result_notebook_retravaill!C921</f>
        <v>Canada Net-zero</v>
      </c>
      <c r="D921" t="str">
        <f>Result_notebook_retravaill!D921</f>
        <v>Production potential</v>
      </c>
      <c r="E921" t="str">
        <f>Result_notebook_retravaill!E921</f>
        <v>100% CAN</v>
      </c>
      <c r="F921" t="str">
        <f>Result_notebook_retravaill!F921</f>
        <v>Integrated</v>
      </c>
      <c r="G921">
        <f>Result_notebook_retravaill!G921</f>
        <v>1380748.71092915</v>
      </c>
      <c r="H921" s="32">
        <f>IF(Result_notebook_retravaill!I921&gt;Result_notebook_retravaill!G921,Result_notebook_retravaill!I921/Result_notebook_retravaill!N921,Result_notebook_retravaill!H921)</f>
        <v>880689.46172873862</v>
      </c>
      <c r="I921" s="32">
        <f>Result_notebook_retravaill!K921</f>
        <v>782863.20204132167</v>
      </c>
      <c r="J921" s="32">
        <f>MIN(G921,Result_notebook_retravaill!I921)</f>
        <v>735151.79644305725</v>
      </c>
      <c r="K921" s="32">
        <f>IF(Result_notebook_retravaill!I921&gt;Result_notebook_retravaill!G921,0,IF(Result_notebook_retravaill!I921+Result_notebook_retravaill!J921&gt;Result_notebook_retravaill!G921,Result_notebook_retravaill!G921-Result_notebook_retravaill!I921,Result_notebook_retravaill!J921))</f>
        <v>0</v>
      </c>
      <c r="L921" s="32">
        <f>IF(Result_notebook_retravaill!I921&gt;Result_notebook_retravaill!G921,0,IF(Result_notebook_retravaill!I921+Result_notebook_retravaill!J921&gt;Result_notebook_retravaill!G921,0,Result_notebook_retravaill!M921))</f>
        <v>645596.91448609275</v>
      </c>
      <c r="M921" s="31">
        <f t="shared" si="14"/>
        <v>0</v>
      </c>
    </row>
    <row r="922" spans="1:13" x14ac:dyDescent="0.35">
      <c r="A922">
        <f>Result_notebook_retravaill!A922</f>
        <v>2035</v>
      </c>
      <c r="B922" t="str">
        <f>Result_notebook_retravaill!B922</f>
        <v>Copper</v>
      </c>
      <c r="C922" t="str">
        <f>Result_notebook_retravaill!C922</f>
        <v>Current Measures</v>
      </c>
      <c r="D922" t="str">
        <f>Result_notebook_retravaill!D922</f>
        <v>Existing production</v>
      </c>
      <c r="E922" t="str">
        <f>Result_notebook_retravaill!E922</f>
        <v>Current shares</v>
      </c>
      <c r="F922" t="str">
        <f>Result_notebook_retravaill!F922</f>
        <v>NIMBY</v>
      </c>
      <c r="G922">
        <f>Result_notebook_retravaill!G922</f>
        <v>1076342.608390369</v>
      </c>
      <c r="H922" s="32">
        <f>IF(Result_notebook_retravaill!I922&gt;Result_notebook_retravaill!G922,Result_notebook_retravaill!I922/Result_notebook_retravaill!N922,Result_notebook_retravaill!H922)</f>
        <v>0</v>
      </c>
      <c r="I922" s="32">
        <f>Result_notebook_retravaill!K922</f>
        <v>1296798.3233618899</v>
      </c>
      <c r="J922" s="32">
        <f>MIN(G922,Result_notebook_retravaill!I922)</f>
        <v>0</v>
      </c>
      <c r="K922" s="32">
        <f>IF(Result_notebook_retravaill!I922&gt;Result_notebook_retravaill!G922,0,IF(Result_notebook_retravaill!I922+Result_notebook_retravaill!J922&gt;Result_notebook_retravaill!G922,Result_notebook_retravaill!G922-Result_notebook_retravaill!I922,Result_notebook_retravaill!J922))</f>
        <v>0</v>
      </c>
      <c r="L922" s="32">
        <f>IF(Result_notebook_retravaill!I922&gt;Result_notebook_retravaill!G922,0,IF(Result_notebook_retravaill!I922+Result_notebook_retravaill!J922&gt;Result_notebook_retravaill!G922,0,Result_notebook_retravaill!M922))</f>
        <v>1076342.608390369</v>
      </c>
      <c r="M922" s="31">
        <f t="shared" si="14"/>
        <v>0</v>
      </c>
    </row>
    <row r="923" spans="1:13" x14ac:dyDescent="0.35">
      <c r="A923">
        <f>Result_notebook_retravaill!A923</f>
        <v>2035</v>
      </c>
      <c r="B923" t="str">
        <f>Result_notebook_retravaill!B923</f>
        <v>Copper</v>
      </c>
      <c r="C923" t="str">
        <f>Result_notebook_retravaill!C923</f>
        <v>Current Measures</v>
      </c>
      <c r="D923" t="str">
        <f>Result_notebook_retravaill!D923</f>
        <v>Existing production</v>
      </c>
      <c r="E923" t="str">
        <f>Result_notebook_retravaill!E923</f>
        <v>Current shares</v>
      </c>
      <c r="F923" t="str">
        <f>Result_notebook_retravaill!F923</f>
        <v>Status Quo</v>
      </c>
      <c r="G923">
        <f>Result_notebook_retravaill!G923</f>
        <v>1076342.608390369</v>
      </c>
      <c r="H923" s="32">
        <f>IF(Result_notebook_retravaill!I923&gt;Result_notebook_retravaill!G923,Result_notebook_retravaill!I923/Result_notebook_retravaill!N923,Result_notebook_retravaill!H923)</f>
        <v>268899</v>
      </c>
      <c r="I923" s="32">
        <f>Result_notebook_retravaill!K923</f>
        <v>1027899.32336189</v>
      </c>
      <c r="J923" s="32">
        <f>MIN(G923,Result_notebook_retravaill!I923)</f>
        <v>141335.65045528009</v>
      </c>
      <c r="K923" s="32">
        <f>IF(Result_notebook_retravaill!I923&gt;Result_notebook_retravaill!G923,0,IF(Result_notebook_retravaill!I923+Result_notebook_retravaill!J923&gt;Result_notebook_retravaill!G923,Result_notebook_retravaill!G923-Result_notebook_retravaill!I923,Result_notebook_retravaill!J923))</f>
        <v>83126.650392177427</v>
      </c>
      <c r="L923" s="32">
        <f>IF(Result_notebook_retravaill!I923&gt;Result_notebook_retravaill!G923,0,IF(Result_notebook_retravaill!I923+Result_notebook_retravaill!J923&gt;Result_notebook_retravaill!G923,0,Result_notebook_retravaill!M923))</f>
        <v>851880.30754291138</v>
      </c>
      <c r="M923" s="31">
        <f t="shared" si="14"/>
        <v>0</v>
      </c>
    </row>
    <row r="924" spans="1:13" x14ac:dyDescent="0.35">
      <c r="A924">
        <f>Result_notebook_retravaill!A924</f>
        <v>2035</v>
      </c>
      <c r="B924" t="str">
        <f>Result_notebook_retravaill!B924</f>
        <v>Copper</v>
      </c>
      <c r="C924" t="str">
        <f>Result_notebook_retravaill!C924</f>
        <v>Current Measures</v>
      </c>
      <c r="D924" t="str">
        <f>Result_notebook_retravaill!D924</f>
        <v>Production potential</v>
      </c>
      <c r="E924" t="str">
        <f>Result_notebook_retravaill!E924</f>
        <v>Current shares</v>
      </c>
      <c r="F924" t="str">
        <f>Result_notebook_retravaill!F924</f>
        <v>Expansion Extractive</v>
      </c>
      <c r="G924">
        <f>Result_notebook_retravaill!G924</f>
        <v>1076342.608390369</v>
      </c>
      <c r="H924" s="32">
        <f>IF(Result_notebook_retravaill!I924&gt;Result_notebook_retravaill!G924,Result_notebook_retravaill!I924/Result_notebook_retravaill!N924,Result_notebook_retravaill!H924)</f>
        <v>880689.46172873862</v>
      </c>
      <c r="I924" s="32">
        <f>Result_notebook_retravaill!K924</f>
        <v>416108.86163315183</v>
      </c>
      <c r="J924" s="32">
        <f>MIN(G924,Result_notebook_retravaill!I924)</f>
        <v>462898.03205866081</v>
      </c>
      <c r="K924" s="32">
        <f>IF(Result_notebook_retravaill!I924&gt;Result_notebook_retravaill!G924,0,IF(Result_notebook_retravaill!I924+Result_notebook_retravaill!J924&gt;Result_notebook_retravaill!G924,Result_notebook_retravaill!G924-Result_notebook_retravaill!I924,Result_notebook_retravaill!J924))</f>
        <v>272253.76438439608</v>
      </c>
      <c r="L924" s="32">
        <f>IF(Result_notebook_retravaill!I924&gt;Result_notebook_retravaill!G924,0,IF(Result_notebook_retravaill!I924+Result_notebook_retravaill!J924&gt;Result_notebook_retravaill!G924,0,Result_notebook_retravaill!M924))</f>
        <v>341190.81194731203</v>
      </c>
      <c r="M924" s="31">
        <f t="shared" si="14"/>
        <v>0</v>
      </c>
    </row>
    <row r="925" spans="1:13" x14ac:dyDescent="0.35">
      <c r="A925">
        <f>Result_notebook_retravaill!A925</f>
        <v>2035</v>
      </c>
      <c r="B925" t="str">
        <f>Result_notebook_retravaill!B925</f>
        <v>Copper</v>
      </c>
      <c r="C925" t="str">
        <f>Result_notebook_retravaill!C925</f>
        <v>Current Measures</v>
      </c>
      <c r="D925" t="str">
        <f>Result_notebook_retravaill!D925</f>
        <v>Production potential</v>
      </c>
      <c r="E925" t="str">
        <f>Result_notebook_retravaill!E925</f>
        <v>Current shares</v>
      </c>
      <c r="F925" t="str">
        <f>Result_notebook_retravaill!F925</f>
        <v>Expansion Extractive+Circularity</v>
      </c>
      <c r="G925">
        <f>Result_notebook_retravaill!G925</f>
        <v>1076342.608390369</v>
      </c>
      <c r="H925" s="32">
        <f>IF(Result_notebook_retravaill!I925&gt;Result_notebook_retravaill!G925,Result_notebook_retravaill!I925/Result_notebook_retravaill!N925,Result_notebook_retravaill!H925)</f>
        <v>880689.46172873862</v>
      </c>
      <c r="I925" s="32">
        <f>Result_notebook_retravaill!K925</f>
        <v>416108.86163315183</v>
      </c>
      <c r="J925" s="32">
        <f>MIN(G925,Result_notebook_retravaill!I925)</f>
        <v>462898.03205866081</v>
      </c>
      <c r="K925" s="32">
        <f>IF(Result_notebook_retravaill!I925&gt;Result_notebook_retravaill!G925,0,IF(Result_notebook_retravaill!I925+Result_notebook_retravaill!J925&gt;Result_notebook_retravaill!G925,Result_notebook_retravaill!G925-Result_notebook_retravaill!I925,Result_notebook_retravaill!J925))</f>
        <v>272253.76438439608</v>
      </c>
      <c r="L925" s="32">
        <f>IF(Result_notebook_retravaill!I925&gt;Result_notebook_retravaill!G925,0,IF(Result_notebook_retravaill!I925+Result_notebook_retravaill!J925&gt;Result_notebook_retravaill!G925,0,Result_notebook_retravaill!M925))</f>
        <v>341190.81194731203</v>
      </c>
      <c r="M925" s="31">
        <f t="shared" si="14"/>
        <v>0</v>
      </c>
    </row>
    <row r="926" spans="1:13" x14ac:dyDescent="0.35">
      <c r="A926">
        <f>Result_notebook_retravaill!A926</f>
        <v>2035</v>
      </c>
      <c r="B926" t="str">
        <f>Result_notebook_retravaill!B926</f>
        <v>Copper</v>
      </c>
      <c r="C926" t="str">
        <f>Result_notebook_retravaill!C926</f>
        <v>Current Measures</v>
      </c>
      <c r="D926" t="str">
        <f>Result_notebook_retravaill!D926</f>
        <v>Production potential</v>
      </c>
      <c r="E926" t="str">
        <f>Result_notebook_retravaill!E926</f>
        <v>100% CAN</v>
      </c>
      <c r="F926" t="str">
        <f>Result_notebook_retravaill!F926</f>
        <v>Integrated</v>
      </c>
      <c r="G926">
        <f>Result_notebook_retravaill!G926</f>
        <v>1076342.608390369</v>
      </c>
      <c r="H926" s="32">
        <f>IF(Result_notebook_retravaill!I926&gt;Result_notebook_retravaill!G926,Result_notebook_retravaill!I926/Result_notebook_retravaill!N926,Result_notebook_retravaill!H926)</f>
        <v>880689.46172873862</v>
      </c>
      <c r="I926" s="32">
        <f>Result_notebook_retravaill!K926</f>
        <v>416108.86163315183</v>
      </c>
      <c r="J926" s="32">
        <f>MIN(G926,Result_notebook_retravaill!I926)</f>
        <v>735151.79644305725</v>
      </c>
      <c r="K926" s="32">
        <f>IF(Result_notebook_retravaill!I926&gt;Result_notebook_retravaill!G926,0,IF(Result_notebook_retravaill!I926+Result_notebook_retravaill!J926&gt;Result_notebook_retravaill!G926,Result_notebook_retravaill!G926-Result_notebook_retravaill!I926,Result_notebook_retravaill!J926))</f>
        <v>0</v>
      </c>
      <c r="L926" s="32">
        <f>IF(Result_notebook_retravaill!I926&gt;Result_notebook_retravaill!G926,0,IF(Result_notebook_retravaill!I926+Result_notebook_retravaill!J926&gt;Result_notebook_retravaill!G926,0,Result_notebook_retravaill!M926))</f>
        <v>341190.81194731168</v>
      </c>
      <c r="M926" s="31">
        <f t="shared" si="14"/>
        <v>0</v>
      </c>
    </row>
    <row r="927" spans="1:13" x14ac:dyDescent="0.35">
      <c r="A927">
        <f>Result_notebook_retravaill!A927</f>
        <v>2035</v>
      </c>
      <c r="B927" t="str">
        <f>Result_notebook_retravaill!B927</f>
        <v>Copper</v>
      </c>
      <c r="C927" t="str">
        <f>Result_notebook_retravaill!C927</f>
        <v>Global Net-zero</v>
      </c>
      <c r="D927" t="str">
        <f>Result_notebook_retravaill!D927</f>
        <v>Existing production</v>
      </c>
      <c r="E927" t="str">
        <f>Result_notebook_retravaill!E927</f>
        <v>Current shares</v>
      </c>
      <c r="F927" t="str">
        <f>Result_notebook_retravaill!F927</f>
        <v>NIMBY</v>
      </c>
      <c r="G927">
        <f>Result_notebook_retravaill!G927</f>
        <v>1323110.8219487551</v>
      </c>
      <c r="H927" s="32">
        <f>IF(Result_notebook_retravaill!I927&gt;Result_notebook_retravaill!G927,Result_notebook_retravaill!I927/Result_notebook_retravaill!N927,Result_notebook_retravaill!H927)</f>
        <v>0</v>
      </c>
      <c r="I927" s="32">
        <f>Result_notebook_retravaill!K927</f>
        <v>1594109.4240346451</v>
      </c>
      <c r="J927" s="32">
        <f>MIN(G927,Result_notebook_retravaill!I927)</f>
        <v>0</v>
      </c>
      <c r="K927" s="32">
        <f>IF(Result_notebook_retravaill!I927&gt;Result_notebook_retravaill!G927,0,IF(Result_notebook_retravaill!I927+Result_notebook_retravaill!J927&gt;Result_notebook_retravaill!G927,Result_notebook_retravaill!G927-Result_notebook_retravaill!I927,Result_notebook_retravaill!J927))</f>
        <v>0</v>
      </c>
      <c r="L927" s="32">
        <f>IF(Result_notebook_retravaill!I927&gt;Result_notebook_retravaill!G927,0,IF(Result_notebook_retravaill!I927+Result_notebook_retravaill!J927&gt;Result_notebook_retravaill!G927,0,Result_notebook_retravaill!M927))</f>
        <v>1323110.8219487551</v>
      </c>
      <c r="M927" s="31">
        <f t="shared" si="14"/>
        <v>0</v>
      </c>
    </row>
    <row r="928" spans="1:13" x14ac:dyDescent="0.35">
      <c r="A928">
        <f>Result_notebook_retravaill!A928</f>
        <v>2035</v>
      </c>
      <c r="B928" t="str">
        <f>Result_notebook_retravaill!B928</f>
        <v>Copper</v>
      </c>
      <c r="C928" t="str">
        <f>Result_notebook_retravaill!C928</f>
        <v>Global Net-zero</v>
      </c>
      <c r="D928" t="str">
        <f>Result_notebook_retravaill!D928</f>
        <v>Existing production</v>
      </c>
      <c r="E928" t="str">
        <f>Result_notebook_retravaill!E928</f>
        <v>Current shares</v>
      </c>
      <c r="F928" t="str">
        <f>Result_notebook_retravaill!F928</f>
        <v>Status Quo</v>
      </c>
      <c r="G928">
        <f>Result_notebook_retravaill!G928</f>
        <v>1323110.8219487551</v>
      </c>
      <c r="H928" s="32">
        <f>IF(Result_notebook_retravaill!I928&gt;Result_notebook_retravaill!G928,Result_notebook_retravaill!I928/Result_notebook_retravaill!N928,Result_notebook_retravaill!H928)</f>
        <v>268899</v>
      </c>
      <c r="I928" s="32">
        <f>Result_notebook_retravaill!K928</f>
        <v>1325210.4240346451</v>
      </c>
      <c r="J928" s="32">
        <f>MIN(G928,Result_notebook_retravaill!I928)</f>
        <v>141335.65045528009</v>
      </c>
      <c r="K928" s="32">
        <f>IF(Result_notebook_retravaill!I928&gt;Result_notebook_retravaill!G928,0,IF(Result_notebook_retravaill!I928+Result_notebook_retravaill!J928&gt;Result_notebook_retravaill!G928,Result_notebook_retravaill!G928-Result_notebook_retravaill!I928,Result_notebook_retravaill!J928))</f>
        <v>83126.650392177427</v>
      </c>
      <c r="L928" s="32">
        <f>IF(Result_notebook_retravaill!I928&gt;Result_notebook_retravaill!G928,0,IF(Result_notebook_retravaill!I928+Result_notebook_retravaill!J928&gt;Result_notebook_retravaill!G928,0,Result_notebook_retravaill!M928))</f>
        <v>1098648.5211012976</v>
      </c>
      <c r="M928" s="31">
        <f t="shared" si="14"/>
        <v>0</v>
      </c>
    </row>
    <row r="929" spans="1:13" x14ac:dyDescent="0.35">
      <c r="A929">
        <f>Result_notebook_retravaill!A929</f>
        <v>2035</v>
      </c>
      <c r="B929" t="str">
        <f>Result_notebook_retravaill!B929</f>
        <v>Copper</v>
      </c>
      <c r="C929" t="str">
        <f>Result_notebook_retravaill!C929</f>
        <v>Global Net-zero</v>
      </c>
      <c r="D929" t="str">
        <f>Result_notebook_retravaill!D929</f>
        <v>Production potential</v>
      </c>
      <c r="E929" t="str">
        <f>Result_notebook_retravaill!E929</f>
        <v>Current shares</v>
      </c>
      <c r="F929" t="str">
        <f>Result_notebook_retravaill!F929</f>
        <v>Expansion Extractive</v>
      </c>
      <c r="G929">
        <f>Result_notebook_retravaill!G929</f>
        <v>1323110.8219487551</v>
      </c>
      <c r="H929" s="32">
        <f>IF(Result_notebook_retravaill!I929&gt;Result_notebook_retravaill!G929,Result_notebook_retravaill!I929/Result_notebook_retravaill!N929,Result_notebook_retravaill!H929)</f>
        <v>880689.46172873862</v>
      </c>
      <c r="I929" s="32">
        <f>Result_notebook_retravaill!K929</f>
        <v>713419.96230590623</v>
      </c>
      <c r="J929" s="32">
        <f>MIN(G929,Result_notebook_retravaill!I929)</f>
        <v>462898.03205866081</v>
      </c>
      <c r="K929" s="32">
        <f>IF(Result_notebook_retravaill!I929&gt;Result_notebook_retravaill!G929,0,IF(Result_notebook_retravaill!I929+Result_notebook_retravaill!J929&gt;Result_notebook_retravaill!G929,Result_notebook_retravaill!G929-Result_notebook_retravaill!I929,Result_notebook_retravaill!J929))</f>
        <v>272253.76438439608</v>
      </c>
      <c r="L929" s="32">
        <f>IF(Result_notebook_retravaill!I929&gt;Result_notebook_retravaill!G929,0,IF(Result_notebook_retravaill!I929+Result_notebook_retravaill!J929&gt;Result_notebook_retravaill!G929,0,Result_notebook_retravaill!M929))</f>
        <v>587959.02550569805</v>
      </c>
      <c r="M929" s="31">
        <f t="shared" si="14"/>
        <v>0</v>
      </c>
    </row>
    <row r="930" spans="1:13" x14ac:dyDescent="0.35">
      <c r="A930">
        <f>Result_notebook_retravaill!A930</f>
        <v>2035</v>
      </c>
      <c r="B930" t="str">
        <f>Result_notebook_retravaill!B930</f>
        <v>Copper</v>
      </c>
      <c r="C930" t="str">
        <f>Result_notebook_retravaill!C930</f>
        <v>Global Net-zero</v>
      </c>
      <c r="D930" t="str">
        <f>Result_notebook_retravaill!D930</f>
        <v>Production potential</v>
      </c>
      <c r="E930" t="str">
        <f>Result_notebook_retravaill!E930</f>
        <v>Current shares</v>
      </c>
      <c r="F930" t="str">
        <f>Result_notebook_retravaill!F930</f>
        <v>Expansion Extractive+Circularity</v>
      </c>
      <c r="G930">
        <f>Result_notebook_retravaill!G930</f>
        <v>1323110.8219487551</v>
      </c>
      <c r="H930" s="32">
        <f>IF(Result_notebook_retravaill!I930&gt;Result_notebook_retravaill!G930,Result_notebook_retravaill!I930/Result_notebook_retravaill!N930,Result_notebook_retravaill!H930)</f>
        <v>880689.46172873862</v>
      </c>
      <c r="I930" s="32">
        <f>Result_notebook_retravaill!K930</f>
        <v>713419.96230590623</v>
      </c>
      <c r="J930" s="32">
        <f>MIN(G930,Result_notebook_retravaill!I930)</f>
        <v>462898.03205866081</v>
      </c>
      <c r="K930" s="32">
        <f>IF(Result_notebook_retravaill!I930&gt;Result_notebook_retravaill!G930,0,IF(Result_notebook_retravaill!I930+Result_notebook_retravaill!J930&gt;Result_notebook_retravaill!G930,Result_notebook_retravaill!G930-Result_notebook_retravaill!I930,Result_notebook_retravaill!J930))</f>
        <v>272253.76438439608</v>
      </c>
      <c r="L930" s="32">
        <f>IF(Result_notebook_retravaill!I930&gt;Result_notebook_retravaill!G930,0,IF(Result_notebook_retravaill!I930+Result_notebook_retravaill!J930&gt;Result_notebook_retravaill!G930,0,Result_notebook_retravaill!M930))</f>
        <v>587959.02550569805</v>
      </c>
      <c r="M930" s="31">
        <f t="shared" si="14"/>
        <v>0</v>
      </c>
    </row>
    <row r="931" spans="1:13" x14ac:dyDescent="0.35">
      <c r="A931">
        <f>Result_notebook_retravaill!A931</f>
        <v>2035</v>
      </c>
      <c r="B931" t="str">
        <f>Result_notebook_retravaill!B931</f>
        <v>Copper</v>
      </c>
      <c r="C931" t="str">
        <f>Result_notebook_retravaill!C931</f>
        <v>Global Net-zero</v>
      </c>
      <c r="D931" t="str">
        <f>Result_notebook_retravaill!D931</f>
        <v>Production potential</v>
      </c>
      <c r="E931" t="str">
        <f>Result_notebook_retravaill!E931</f>
        <v>100% CAN</v>
      </c>
      <c r="F931" t="str">
        <f>Result_notebook_retravaill!F931</f>
        <v>Integrated</v>
      </c>
      <c r="G931">
        <f>Result_notebook_retravaill!G931</f>
        <v>1323110.8219487551</v>
      </c>
      <c r="H931" s="32">
        <f>IF(Result_notebook_retravaill!I931&gt;Result_notebook_retravaill!G931,Result_notebook_retravaill!I931/Result_notebook_retravaill!N931,Result_notebook_retravaill!H931)</f>
        <v>880689.46172873862</v>
      </c>
      <c r="I931" s="32">
        <f>Result_notebook_retravaill!K931</f>
        <v>713419.96230590623</v>
      </c>
      <c r="J931" s="32">
        <f>MIN(G931,Result_notebook_retravaill!I931)</f>
        <v>735151.79644305725</v>
      </c>
      <c r="K931" s="32">
        <f>IF(Result_notebook_retravaill!I931&gt;Result_notebook_retravaill!G931,0,IF(Result_notebook_retravaill!I931+Result_notebook_retravaill!J931&gt;Result_notebook_retravaill!G931,Result_notebook_retravaill!G931-Result_notebook_retravaill!I931,Result_notebook_retravaill!J931))</f>
        <v>0</v>
      </c>
      <c r="L931" s="32">
        <f>IF(Result_notebook_retravaill!I931&gt;Result_notebook_retravaill!G931,0,IF(Result_notebook_retravaill!I931+Result_notebook_retravaill!J931&gt;Result_notebook_retravaill!G931,0,Result_notebook_retravaill!M931))</f>
        <v>587959.02550569782</v>
      </c>
      <c r="M931" s="31">
        <f t="shared" si="14"/>
        <v>0</v>
      </c>
    </row>
    <row r="932" spans="1:13" x14ac:dyDescent="0.35">
      <c r="A932">
        <f>Result_notebook_retravaill!A932</f>
        <v>2035</v>
      </c>
      <c r="B932" t="str">
        <f>Result_notebook_retravaill!B932</f>
        <v>Neodymium</v>
      </c>
      <c r="C932" t="str">
        <f>Result_notebook_retravaill!C932</f>
        <v>Canada Net-zero</v>
      </c>
      <c r="D932" t="str">
        <f>Result_notebook_retravaill!D932</f>
        <v>Existing production</v>
      </c>
      <c r="E932" t="str">
        <f>Result_notebook_retravaill!E932</f>
        <v>Current shares</v>
      </c>
      <c r="F932" t="str">
        <f>Result_notebook_retravaill!F932</f>
        <v>NIMBY</v>
      </c>
      <c r="G932">
        <f>Result_notebook_retravaill!G932</f>
        <v>4963.692314413418</v>
      </c>
      <c r="H932" s="32">
        <f>IF(Result_notebook_retravaill!I932&gt;Result_notebook_retravaill!G932,Result_notebook_retravaill!I932/Result_notebook_retravaill!N932,Result_notebook_retravaill!H932)</f>
        <v>0</v>
      </c>
      <c r="I932" s="32">
        <f>Result_notebook_retravaill!K932</f>
        <v>8272.8205240223633</v>
      </c>
      <c r="J932" s="32">
        <f>MIN(G932,Result_notebook_retravaill!I932)</f>
        <v>0</v>
      </c>
      <c r="K932" s="32">
        <f>IF(Result_notebook_retravaill!I932&gt;Result_notebook_retravaill!G932,0,IF(Result_notebook_retravaill!I932+Result_notebook_retravaill!J932&gt;Result_notebook_retravaill!G932,Result_notebook_retravaill!G932-Result_notebook_retravaill!I932,Result_notebook_retravaill!J932))</f>
        <v>0</v>
      </c>
      <c r="L932" s="32">
        <f>IF(Result_notebook_retravaill!I932&gt;Result_notebook_retravaill!G932,0,IF(Result_notebook_retravaill!I932+Result_notebook_retravaill!J932&gt;Result_notebook_retravaill!G932,0,Result_notebook_retravaill!M932))</f>
        <v>4963.692314413418</v>
      </c>
      <c r="M932" s="31">
        <f t="shared" si="14"/>
        <v>0</v>
      </c>
    </row>
    <row r="933" spans="1:13" x14ac:dyDescent="0.35">
      <c r="A933">
        <f>Result_notebook_retravaill!A933</f>
        <v>2035</v>
      </c>
      <c r="B933" t="str">
        <f>Result_notebook_retravaill!B933</f>
        <v>Neodymium</v>
      </c>
      <c r="C933" t="str">
        <f>Result_notebook_retravaill!C933</f>
        <v>Canada Net-zero</v>
      </c>
      <c r="D933" t="str">
        <f>Result_notebook_retravaill!D933</f>
        <v>Existing production</v>
      </c>
      <c r="E933" t="str">
        <f>Result_notebook_retravaill!E933</f>
        <v>Current shares</v>
      </c>
      <c r="F933" t="str">
        <f>Result_notebook_retravaill!F933</f>
        <v>Status Quo</v>
      </c>
      <c r="G933">
        <f>Result_notebook_retravaill!G933</f>
        <v>4963.692314413418</v>
      </c>
      <c r="H933" s="32">
        <f>IF(Result_notebook_retravaill!I933&gt;Result_notebook_retravaill!G933,Result_notebook_retravaill!I933/Result_notebook_retravaill!N933,Result_notebook_retravaill!H933)</f>
        <v>0</v>
      </c>
      <c r="I933" s="32">
        <f>Result_notebook_retravaill!K933</f>
        <v>8272.8205240223633</v>
      </c>
      <c r="J933" s="32">
        <f>MIN(G933,Result_notebook_retravaill!I933)</f>
        <v>0</v>
      </c>
      <c r="K933" s="32">
        <f>IF(Result_notebook_retravaill!I933&gt;Result_notebook_retravaill!G933,0,IF(Result_notebook_retravaill!I933+Result_notebook_retravaill!J933&gt;Result_notebook_retravaill!G933,Result_notebook_retravaill!G933-Result_notebook_retravaill!I933,Result_notebook_retravaill!J933))</f>
        <v>0</v>
      </c>
      <c r="L933" s="32">
        <f>IF(Result_notebook_retravaill!I933&gt;Result_notebook_retravaill!G933,0,IF(Result_notebook_retravaill!I933+Result_notebook_retravaill!J933&gt;Result_notebook_retravaill!G933,0,Result_notebook_retravaill!M933))</f>
        <v>4963.692314413418</v>
      </c>
      <c r="M933" s="31">
        <f t="shared" si="14"/>
        <v>0</v>
      </c>
    </row>
    <row r="934" spans="1:13" x14ac:dyDescent="0.35">
      <c r="A934">
        <f>Result_notebook_retravaill!A934</f>
        <v>2035</v>
      </c>
      <c r="B934" t="str">
        <f>Result_notebook_retravaill!B934</f>
        <v>Neodymium</v>
      </c>
      <c r="C934" t="str">
        <f>Result_notebook_retravaill!C934</f>
        <v>Canada Net-zero</v>
      </c>
      <c r="D934" t="str">
        <f>Result_notebook_retravaill!D934</f>
        <v>Production potential</v>
      </c>
      <c r="E934" t="str">
        <f>Result_notebook_retravaill!E934</f>
        <v>Current shares</v>
      </c>
      <c r="F934" t="str">
        <f>Result_notebook_retravaill!F934</f>
        <v>Expansion Extractive</v>
      </c>
      <c r="G934">
        <f>Result_notebook_retravaill!G934</f>
        <v>4963.692314413418</v>
      </c>
      <c r="H934" s="32">
        <f>IF(Result_notebook_retravaill!I934&gt;Result_notebook_retravaill!G934,Result_notebook_retravaill!I934/Result_notebook_retravaill!N934,Result_notebook_retravaill!H934)</f>
        <v>80.029175596616852</v>
      </c>
      <c r="I934" s="32">
        <f>Result_notebook_retravaill!K934</f>
        <v>8192.791348425746</v>
      </c>
      <c r="J934" s="32">
        <f>MIN(G934,Result_notebook_retravaill!I934)</f>
        <v>47.900975994989473</v>
      </c>
      <c r="K934" s="32">
        <f>IF(Result_notebook_retravaill!I934&gt;Result_notebook_retravaill!G934,0,IF(Result_notebook_retravaill!I934+Result_notebook_retravaill!J934&gt;Result_notebook_retravaill!G934,Result_notebook_retravaill!G934-Result_notebook_retravaill!I934,Result_notebook_retravaill!J934))</f>
        <v>32.128199601627379</v>
      </c>
      <c r="L934" s="32">
        <f>IF(Result_notebook_retravaill!I934&gt;Result_notebook_retravaill!G934,0,IF(Result_notebook_retravaill!I934+Result_notebook_retravaill!J934&gt;Result_notebook_retravaill!G934,0,Result_notebook_retravaill!M934))</f>
        <v>4883.6631388167998</v>
      </c>
      <c r="M934" s="31">
        <f t="shared" si="14"/>
        <v>0</v>
      </c>
    </row>
    <row r="935" spans="1:13" x14ac:dyDescent="0.35">
      <c r="A935">
        <f>Result_notebook_retravaill!A935</f>
        <v>2035</v>
      </c>
      <c r="B935" t="str">
        <f>Result_notebook_retravaill!B935</f>
        <v>Neodymium</v>
      </c>
      <c r="C935" t="str">
        <f>Result_notebook_retravaill!C935</f>
        <v>Canada Net-zero</v>
      </c>
      <c r="D935" t="str">
        <f>Result_notebook_retravaill!D935</f>
        <v>Production potential</v>
      </c>
      <c r="E935" t="str">
        <f>Result_notebook_retravaill!E935</f>
        <v>Current shares</v>
      </c>
      <c r="F935" t="str">
        <f>Result_notebook_retravaill!F935</f>
        <v>Expansion Extractive+Circularity</v>
      </c>
      <c r="G935">
        <f>Result_notebook_retravaill!G935</f>
        <v>4963.692314413418</v>
      </c>
      <c r="H935" s="32">
        <f>IF(Result_notebook_retravaill!I935&gt;Result_notebook_retravaill!G935,Result_notebook_retravaill!I935/Result_notebook_retravaill!N935,Result_notebook_retravaill!H935)</f>
        <v>80.029175596616852</v>
      </c>
      <c r="I935" s="32">
        <f>Result_notebook_retravaill!K935</f>
        <v>8192.791348425746</v>
      </c>
      <c r="J935" s="32">
        <f>MIN(G935,Result_notebook_retravaill!I935)</f>
        <v>47.900975994989473</v>
      </c>
      <c r="K935" s="32">
        <f>IF(Result_notebook_retravaill!I935&gt;Result_notebook_retravaill!G935,0,IF(Result_notebook_retravaill!I935+Result_notebook_retravaill!J935&gt;Result_notebook_retravaill!G935,Result_notebook_retravaill!G935-Result_notebook_retravaill!I935,Result_notebook_retravaill!J935))</f>
        <v>32.128199601627379</v>
      </c>
      <c r="L935" s="32">
        <f>IF(Result_notebook_retravaill!I935&gt;Result_notebook_retravaill!G935,0,IF(Result_notebook_retravaill!I935+Result_notebook_retravaill!J935&gt;Result_notebook_retravaill!G935,0,Result_notebook_retravaill!M935))</f>
        <v>4883.6631388167998</v>
      </c>
      <c r="M935" s="31">
        <f t="shared" si="14"/>
        <v>0</v>
      </c>
    </row>
    <row r="936" spans="1:13" x14ac:dyDescent="0.35">
      <c r="A936">
        <f>Result_notebook_retravaill!A936</f>
        <v>2035</v>
      </c>
      <c r="B936" t="str">
        <f>Result_notebook_retravaill!B936</f>
        <v>Neodymium</v>
      </c>
      <c r="C936" t="str">
        <f>Result_notebook_retravaill!C936</f>
        <v>Canada Net-zero</v>
      </c>
      <c r="D936" t="str">
        <f>Result_notebook_retravaill!D936</f>
        <v>Production potential</v>
      </c>
      <c r="E936" t="str">
        <f>Result_notebook_retravaill!E936</f>
        <v>100% CAN</v>
      </c>
      <c r="F936" t="str">
        <f>Result_notebook_retravaill!F936</f>
        <v>Integrated</v>
      </c>
      <c r="G936">
        <f>Result_notebook_retravaill!G936</f>
        <v>4963.692314413418</v>
      </c>
      <c r="H936" s="32">
        <f>IF(Result_notebook_retravaill!I936&gt;Result_notebook_retravaill!G936,Result_notebook_retravaill!I936/Result_notebook_retravaill!N936,Result_notebook_retravaill!H936)</f>
        <v>80.029175596616852</v>
      </c>
      <c r="I936" s="32">
        <f>Result_notebook_retravaill!K936</f>
        <v>8192.791348425746</v>
      </c>
      <c r="J936" s="32">
        <f>MIN(G936,Result_notebook_retravaill!I936)</f>
        <v>47.900975994989473</v>
      </c>
      <c r="K936" s="32">
        <f>IF(Result_notebook_retravaill!I936&gt;Result_notebook_retravaill!G936,0,IF(Result_notebook_retravaill!I936+Result_notebook_retravaill!J936&gt;Result_notebook_retravaill!G936,Result_notebook_retravaill!G936-Result_notebook_retravaill!I936,Result_notebook_retravaill!J936))</f>
        <v>32.128199601627379</v>
      </c>
      <c r="L936" s="32">
        <f>IF(Result_notebook_retravaill!I936&gt;Result_notebook_retravaill!G936,0,IF(Result_notebook_retravaill!I936+Result_notebook_retravaill!J936&gt;Result_notebook_retravaill!G936,0,Result_notebook_retravaill!M936))</f>
        <v>4883.6631388167998</v>
      </c>
      <c r="M936" s="31">
        <f t="shared" si="14"/>
        <v>0</v>
      </c>
    </row>
    <row r="937" spans="1:13" x14ac:dyDescent="0.35">
      <c r="A937">
        <f>Result_notebook_retravaill!A937</f>
        <v>2035</v>
      </c>
      <c r="B937" t="str">
        <f>Result_notebook_retravaill!B937</f>
        <v>Neodymium</v>
      </c>
      <c r="C937" t="str">
        <f>Result_notebook_retravaill!C937</f>
        <v>Current Measures</v>
      </c>
      <c r="D937" t="str">
        <f>Result_notebook_retravaill!D937</f>
        <v>Existing production</v>
      </c>
      <c r="E937" t="str">
        <f>Result_notebook_retravaill!E937</f>
        <v>Current shares</v>
      </c>
      <c r="F937" t="str">
        <f>Result_notebook_retravaill!F937</f>
        <v>NIMBY</v>
      </c>
      <c r="G937">
        <f>Result_notebook_retravaill!G937</f>
        <v>1591.879620066579</v>
      </c>
      <c r="H937" s="32">
        <f>IF(Result_notebook_retravaill!I937&gt;Result_notebook_retravaill!G937,Result_notebook_retravaill!I937/Result_notebook_retravaill!N937,Result_notebook_retravaill!H937)</f>
        <v>0</v>
      </c>
      <c r="I937" s="32">
        <f>Result_notebook_retravaill!K937</f>
        <v>2653.1327001109648</v>
      </c>
      <c r="J937" s="32">
        <f>MIN(G937,Result_notebook_retravaill!I937)</f>
        <v>0</v>
      </c>
      <c r="K937" s="32">
        <f>IF(Result_notebook_retravaill!I937&gt;Result_notebook_retravaill!G937,0,IF(Result_notebook_retravaill!I937+Result_notebook_retravaill!J937&gt;Result_notebook_retravaill!G937,Result_notebook_retravaill!G937-Result_notebook_retravaill!I937,Result_notebook_retravaill!J937))</f>
        <v>0</v>
      </c>
      <c r="L937" s="32">
        <f>IF(Result_notebook_retravaill!I937&gt;Result_notebook_retravaill!G937,0,IF(Result_notebook_retravaill!I937+Result_notebook_retravaill!J937&gt;Result_notebook_retravaill!G937,0,Result_notebook_retravaill!M937))</f>
        <v>1591.879620066579</v>
      </c>
      <c r="M937" s="31">
        <f t="shared" si="14"/>
        <v>0</v>
      </c>
    </row>
    <row r="938" spans="1:13" x14ac:dyDescent="0.35">
      <c r="A938">
        <f>Result_notebook_retravaill!A938</f>
        <v>2035</v>
      </c>
      <c r="B938" t="str">
        <f>Result_notebook_retravaill!B938</f>
        <v>Neodymium</v>
      </c>
      <c r="C938" t="str">
        <f>Result_notebook_retravaill!C938</f>
        <v>Current Measures</v>
      </c>
      <c r="D938" t="str">
        <f>Result_notebook_retravaill!D938</f>
        <v>Existing production</v>
      </c>
      <c r="E938" t="str">
        <f>Result_notebook_retravaill!E938</f>
        <v>Current shares</v>
      </c>
      <c r="F938" t="str">
        <f>Result_notebook_retravaill!F938</f>
        <v>Status Quo</v>
      </c>
      <c r="G938">
        <f>Result_notebook_retravaill!G938</f>
        <v>1591.879620066579</v>
      </c>
      <c r="H938" s="32">
        <f>IF(Result_notebook_retravaill!I938&gt;Result_notebook_retravaill!G938,Result_notebook_retravaill!I938/Result_notebook_retravaill!N938,Result_notebook_retravaill!H938)</f>
        <v>0</v>
      </c>
      <c r="I938" s="32">
        <f>Result_notebook_retravaill!K938</f>
        <v>2653.1327001109648</v>
      </c>
      <c r="J938" s="32">
        <f>MIN(G938,Result_notebook_retravaill!I938)</f>
        <v>0</v>
      </c>
      <c r="K938" s="32">
        <f>IF(Result_notebook_retravaill!I938&gt;Result_notebook_retravaill!G938,0,IF(Result_notebook_retravaill!I938+Result_notebook_retravaill!J938&gt;Result_notebook_retravaill!G938,Result_notebook_retravaill!G938-Result_notebook_retravaill!I938,Result_notebook_retravaill!J938))</f>
        <v>0</v>
      </c>
      <c r="L938" s="32">
        <f>IF(Result_notebook_retravaill!I938&gt;Result_notebook_retravaill!G938,0,IF(Result_notebook_retravaill!I938+Result_notebook_retravaill!J938&gt;Result_notebook_retravaill!G938,0,Result_notebook_retravaill!M938))</f>
        <v>1591.879620066579</v>
      </c>
      <c r="M938" s="31">
        <f t="shared" si="14"/>
        <v>0</v>
      </c>
    </row>
    <row r="939" spans="1:13" x14ac:dyDescent="0.35">
      <c r="A939">
        <f>Result_notebook_retravaill!A939</f>
        <v>2035</v>
      </c>
      <c r="B939" t="str">
        <f>Result_notebook_retravaill!B939</f>
        <v>Neodymium</v>
      </c>
      <c r="C939" t="str">
        <f>Result_notebook_retravaill!C939</f>
        <v>Current Measures</v>
      </c>
      <c r="D939" t="str">
        <f>Result_notebook_retravaill!D939</f>
        <v>Production potential</v>
      </c>
      <c r="E939" t="str">
        <f>Result_notebook_retravaill!E939</f>
        <v>Current shares</v>
      </c>
      <c r="F939" t="str">
        <f>Result_notebook_retravaill!F939</f>
        <v>Expansion Extractive</v>
      </c>
      <c r="G939">
        <f>Result_notebook_retravaill!G939</f>
        <v>1591.879620066579</v>
      </c>
      <c r="H939" s="32">
        <f>IF(Result_notebook_retravaill!I939&gt;Result_notebook_retravaill!G939,Result_notebook_retravaill!I939/Result_notebook_retravaill!N939,Result_notebook_retravaill!H939)</f>
        <v>80.029175596616852</v>
      </c>
      <c r="I939" s="32">
        <f>Result_notebook_retravaill!K939</f>
        <v>2573.103524514348</v>
      </c>
      <c r="J939" s="32">
        <f>MIN(G939,Result_notebook_retravaill!I939)</f>
        <v>47.900975994989473</v>
      </c>
      <c r="K939" s="32">
        <f>IF(Result_notebook_retravaill!I939&gt;Result_notebook_retravaill!G939,0,IF(Result_notebook_retravaill!I939+Result_notebook_retravaill!J939&gt;Result_notebook_retravaill!G939,Result_notebook_retravaill!G939-Result_notebook_retravaill!I939,Result_notebook_retravaill!J939))</f>
        <v>32.128199601627379</v>
      </c>
      <c r="L939" s="32">
        <f>IF(Result_notebook_retravaill!I939&gt;Result_notebook_retravaill!G939,0,IF(Result_notebook_retravaill!I939+Result_notebook_retravaill!J939&gt;Result_notebook_retravaill!G939,0,Result_notebook_retravaill!M939))</f>
        <v>1511.8504444699627</v>
      </c>
      <c r="M939" s="31">
        <f t="shared" si="14"/>
        <v>0</v>
      </c>
    </row>
    <row r="940" spans="1:13" x14ac:dyDescent="0.35">
      <c r="A940">
        <f>Result_notebook_retravaill!A940</f>
        <v>2035</v>
      </c>
      <c r="B940" t="str">
        <f>Result_notebook_retravaill!B940</f>
        <v>Neodymium</v>
      </c>
      <c r="C940" t="str">
        <f>Result_notebook_retravaill!C940</f>
        <v>Current Measures</v>
      </c>
      <c r="D940" t="str">
        <f>Result_notebook_retravaill!D940</f>
        <v>Production potential</v>
      </c>
      <c r="E940" t="str">
        <f>Result_notebook_retravaill!E940</f>
        <v>Current shares</v>
      </c>
      <c r="F940" t="str">
        <f>Result_notebook_retravaill!F940</f>
        <v>Expansion Extractive+Circularity</v>
      </c>
      <c r="G940">
        <f>Result_notebook_retravaill!G940</f>
        <v>1591.879620066579</v>
      </c>
      <c r="H940" s="32">
        <f>IF(Result_notebook_retravaill!I940&gt;Result_notebook_retravaill!G940,Result_notebook_retravaill!I940/Result_notebook_retravaill!N940,Result_notebook_retravaill!H940)</f>
        <v>80.029175596616852</v>
      </c>
      <c r="I940" s="32">
        <f>Result_notebook_retravaill!K940</f>
        <v>2573.103524514348</v>
      </c>
      <c r="J940" s="32">
        <f>MIN(G940,Result_notebook_retravaill!I940)</f>
        <v>47.900975994989473</v>
      </c>
      <c r="K940" s="32">
        <f>IF(Result_notebook_retravaill!I940&gt;Result_notebook_retravaill!G940,0,IF(Result_notebook_retravaill!I940+Result_notebook_retravaill!J940&gt;Result_notebook_retravaill!G940,Result_notebook_retravaill!G940-Result_notebook_retravaill!I940,Result_notebook_retravaill!J940))</f>
        <v>32.128199601627379</v>
      </c>
      <c r="L940" s="32">
        <f>IF(Result_notebook_retravaill!I940&gt;Result_notebook_retravaill!G940,0,IF(Result_notebook_retravaill!I940+Result_notebook_retravaill!J940&gt;Result_notebook_retravaill!G940,0,Result_notebook_retravaill!M940))</f>
        <v>1511.8504444699627</v>
      </c>
      <c r="M940" s="31">
        <f t="shared" si="14"/>
        <v>0</v>
      </c>
    </row>
    <row r="941" spans="1:13" x14ac:dyDescent="0.35">
      <c r="A941">
        <f>Result_notebook_retravaill!A941</f>
        <v>2035</v>
      </c>
      <c r="B941" t="str">
        <f>Result_notebook_retravaill!B941</f>
        <v>Neodymium</v>
      </c>
      <c r="C941" t="str">
        <f>Result_notebook_retravaill!C941</f>
        <v>Current Measures</v>
      </c>
      <c r="D941" t="str">
        <f>Result_notebook_retravaill!D941</f>
        <v>Production potential</v>
      </c>
      <c r="E941" t="str">
        <f>Result_notebook_retravaill!E941</f>
        <v>100% CAN</v>
      </c>
      <c r="F941" t="str">
        <f>Result_notebook_retravaill!F941</f>
        <v>Integrated</v>
      </c>
      <c r="G941">
        <f>Result_notebook_retravaill!G941</f>
        <v>1591.879620066579</v>
      </c>
      <c r="H941" s="32">
        <f>IF(Result_notebook_retravaill!I941&gt;Result_notebook_retravaill!G941,Result_notebook_retravaill!I941/Result_notebook_retravaill!N941,Result_notebook_retravaill!H941)</f>
        <v>80.029175596616852</v>
      </c>
      <c r="I941" s="32">
        <f>Result_notebook_retravaill!K941</f>
        <v>2573.103524514348</v>
      </c>
      <c r="J941" s="32">
        <f>MIN(G941,Result_notebook_retravaill!I941)</f>
        <v>47.900975994989473</v>
      </c>
      <c r="K941" s="32">
        <f>IF(Result_notebook_retravaill!I941&gt;Result_notebook_retravaill!G941,0,IF(Result_notebook_retravaill!I941+Result_notebook_retravaill!J941&gt;Result_notebook_retravaill!G941,Result_notebook_retravaill!G941-Result_notebook_retravaill!I941,Result_notebook_retravaill!J941))</f>
        <v>32.128199601627379</v>
      </c>
      <c r="L941" s="32">
        <f>IF(Result_notebook_retravaill!I941&gt;Result_notebook_retravaill!G941,0,IF(Result_notebook_retravaill!I941+Result_notebook_retravaill!J941&gt;Result_notebook_retravaill!G941,0,Result_notebook_retravaill!M941))</f>
        <v>1511.8504444699627</v>
      </c>
      <c r="M941" s="31">
        <f t="shared" si="14"/>
        <v>0</v>
      </c>
    </row>
    <row r="942" spans="1:13" x14ac:dyDescent="0.35">
      <c r="A942">
        <f>Result_notebook_retravaill!A942</f>
        <v>2035</v>
      </c>
      <c r="B942" t="str">
        <f>Result_notebook_retravaill!B942</f>
        <v>Neodymium</v>
      </c>
      <c r="C942" t="str">
        <f>Result_notebook_retravaill!C942</f>
        <v>Global Net-zero</v>
      </c>
      <c r="D942" t="str">
        <f>Result_notebook_retravaill!D942</f>
        <v>Existing production</v>
      </c>
      <c r="E942" t="str">
        <f>Result_notebook_retravaill!E942</f>
        <v>Current shares</v>
      </c>
      <c r="F942" t="str">
        <f>Result_notebook_retravaill!F942</f>
        <v>NIMBY</v>
      </c>
      <c r="G942">
        <f>Result_notebook_retravaill!G942</f>
        <v>4759.1210340430353</v>
      </c>
      <c r="H942" s="32">
        <f>IF(Result_notebook_retravaill!I942&gt;Result_notebook_retravaill!G942,Result_notebook_retravaill!I942/Result_notebook_retravaill!N942,Result_notebook_retravaill!H942)</f>
        <v>0</v>
      </c>
      <c r="I942" s="32">
        <f>Result_notebook_retravaill!K942</f>
        <v>7931.868390071726</v>
      </c>
      <c r="J942" s="32">
        <f>MIN(G942,Result_notebook_retravaill!I942)</f>
        <v>0</v>
      </c>
      <c r="K942" s="32">
        <f>IF(Result_notebook_retravaill!I942&gt;Result_notebook_retravaill!G942,0,IF(Result_notebook_retravaill!I942+Result_notebook_retravaill!J942&gt;Result_notebook_retravaill!G942,Result_notebook_retravaill!G942-Result_notebook_retravaill!I942,Result_notebook_retravaill!J942))</f>
        <v>0</v>
      </c>
      <c r="L942" s="32">
        <f>IF(Result_notebook_retravaill!I942&gt;Result_notebook_retravaill!G942,0,IF(Result_notebook_retravaill!I942+Result_notebook_retravaill!J942&gt;Result_notebook_retravaill!G942,0,Result_notebook_retravaill!M942))</f>
        <v>4759.1210340430353</v>
      </c>
      <c r="M942" s="31">
        <f t="shared" si="14"/>
        <v>0</v>
      </c>
    </row>
    <row r="943" spans="1:13" x14ac:dyDescent="0.35">
      <c r="A943">
        <f>Result_notebook_retravaill!A943</f>
        <v>2035</v>
      </c>
      <c r="B943" t="str">
        <f>Result_notebook_retravaill!B943</f>
        <v>Neodymium</v>
      </c>
      <c r="C943" t="str">
        <f>Result_notebook_retravaill!C943</f>
        <v>Global Net-zero</v>
      </c>
      <c r="D943" t="str">
        <f>Result_notebook_retravaill!D943</f>
        <v>Existing production</v>
      </c>
      <c r="E943" t="str">
        <f>Result_notebook_retravaill!E943</f>
        <v>Current shares</v>
      </c>
      <c r="F943" t="str">
        <f>Result_notebook_retravaill!F943</f>
        <v>Status Quo</v>
      </c>
      <c r="G943">
        <f>Result_notebook_retravaill!G943</f>
        <v>4759.1210340430353</v>
      </c>
      <c r="H943" s="32">
        <f>IF(Result_notebook_retravaill!I943&gt;Result_notebook_retravaill!G943,Result_notebook_retravaill!I943/Result_notebook_retravaill!N943,Result_notebook_retravaill!H943)</f>
        <v>0</v>
      </c>
      <c r="I943" s="32">
        <f>Result_notebook_retravaill!K943</f>
        <v>7931.868390071726</v>
      </c>
      <c r="J943" s="32">
        <f>MIN(G943,Result_notebook_retravaill!I943)</f>
        <v>0</v>
      </c>
      <c r="K943" s="32">
        <f>IF(Result_notebook_retravaill!I943&gt;Result_notebook_retravaill!G943,0,IF(Result_notebook_retravaill!I943+Result_notebook_retravaill!J943&gt;Result_notebook_retravaill!G943,Result_notebook_retravaill!G943-Result_notebook_retravaill!I943,Result_notebook_retravaill!J943))</f>
        <v>0</v>
      </c>
      <c r="L943" s="32">
        <f>IF(Result_notebook_retravaill!I943&gt;Result_notebook_retravaill!G943,0,IF(Result_notebook_retravaill!I943+Result_notebook_retravaill!J943&gt;Result_notebook_retravaill!G943,0,Result_notebook_retravaill!M943))</f>
        <v>4759.1210340430353</v>
      </c>
      <c r="M943" s="31">
        <f t="shared" si="14"/>
        <v>0</v>
      </c>
    </row>
    <row r="944" spans="1:13" x14ac:dyDescent="0.35">
      <c r="A944">
        <f>Result_notebook_retravaill!A944</f>
        <v>2035</v>
      </c>
      <c r="B944" t="str">
        <f>Result_notebook_retravaill!B944</f>
        <v>Neodymium</v>
      </c>
      <c r="C944" t="str">
        <f>Result_notebook_retravaill!C944</f>
        <v>Global Net-zero</v>
      </c>
      <c r="D944" t="str">
        <f>Result_notebook_retravaill!D944</f>
        <v>Production potential</v>
      </c>
      <c r="E944" t="str">
        <f>Result_notebook_retravaill!E944</f>
        <v>Current shares</v>
      </c>
      <c r="F944" t="str">
        <f>Result_notebook_retravaill!F944</f>
        <v>Expansion Extractive</v>
      </c>
      <c r="G944">
        <f>Result_notebook_retravaill!G944</f>
        <v>4759.1210340430353</v>
      </c>
      <c r="H944" s="32">
        <f>IF(Result_notebook_retravaill!I944&gt;Result_notebook_retravaill!G944,Result_notebook_retravaill!I944/Result_notebook_retravaill!N944,Result_notebook_retravaill!H944)</f>
        <v>80.029175596616852</v>
      </c>
      <c r="I944" s="32">
        <f>Result_notebook_retravaill!K944</f>
        <v>7851.8392144751087</v>
      </c>
      <c r="J944" s="32">
        <f>MIN(G944,Result_notebook_retravaill!I944)</f>
        <v>47.900975994989473</v>
      </c>
      <c r="K944" s="32">
        <f>IF(Result_notebook_retravaill!I944&gt;Result_notebook_retravaill!G944,0,IF(Result_notebook_retravaill!I944+Result_notebook_retravaill!J944&gt;Result_notebook_retravaill!G944,Result_notebook_retravaill!G944-Result_notebook_retravaill!I944,Result_notebook_retravaill!J944))</f>
        <v>32.128199601627379</v>
      </c>
      <c r="L944" s="32">
        <f>IF(Result_notebook_retravaill!I944&gt;Result_notebook_retravaill!G944,0,IF(Result_notebook_retravaill!I944+Result_notebook_retravaill!J944&gt;Result_notebook_retravaill!G944,0,Result_notebook_retravaill!M944))</f>
        <v>4679.091858446418</v>
      </c>
      <c r="M944" s="31">
        <f t="shared" si="14"/>
        <v>0</v>
      </c>
    </row>
    <row r="945" spans="1:13" x14ac:dyDescent="0.35">
      <c r="A945">
        <f>Result_notebook_retravaill!A945</f>
        <v>2035</v>
      </c>
      <c r="B945" t="str">
        <f>Result_notebook_retravaill!B945</f>
        <v>Neodymium</v>
      </c>
      <c r="C945" t="str">
        <f>Result_notebook_retravaill!C945</f>
        <v>Global Net-zero</v>
      </c>
      <c r="D945" t="str">
        <f>Result_notebook_retravaill!D945</f>
        <v>Production potential</v>
      </c>
      <c r="E945" t="str">
        <f>Result_notebook_retravaill!E945</f>
        <v>Current shares</v>
      </c>
      <c r="F945" t="str">
        <f>Result_notebook_retravaill!F945</f>
        <v>Expansion Extractive+Circularity</v>
      </c>
      <c r="G945">
        <f>Result_notebook_retravaill!G945</f>
        <v>4759.1210340430353</v>
      </c>
      <c r="H945" s="32">
        <f>IF(Result_notebook_retravaill!I945&gt;Result_notebook_retravaill!G945,Result_notebook_retravaill!I945/Result_notebook_retravaill!N945,Result_notebook_retravaill!H945)</f>
        <v>80.029175596616852</v>
      </c>
      <c r="I945" s="32">
        <f>Result_notebook_retravaill!K945</f>
        <v>7851.8392144751087</v>
      </c>
      <c r="J945" s="32">
        <f>MIN(G945,Result_notebook_retravaill!I945)</f>
        <v>47.900975994989473</v>
      </c>
      <c r="K945" s="32">
        <f>IF(Result_notebook_retravaill!I945&gt;Result_notebook_retravaill!G945,0,IF(Result_notebook_retravaill!I945+Result_notebook_retravaill!J945&gt;Result_notebook_retravaill!G945,Result_notebook_retravaill!G945-Result_notebook_retravaill!I945,Result_notebook_retravaill!J945))</f>
        <v>32.128199601627379</v>
      </c>
      <c r="L945" s="32">
        <f>IF(Result_notebook_retravaill!I945&gt;Result_notebook_retravaill!G945,0,IF(Result_notebook_retravaill!I945+Result_notebook_retravaill!J945&gt;Result_notebook_retravaill!G945,0,Result_notebook_retravaill!M945))</f>
        <v>4679.091858446418</v>
      </c>
      <c r="M945" s="31">
        <f t="shared" si="14"/>
        <v>0</v>
      </c>
    </row>
    <row r="946" spans="1:13" x14ac:dyDescent="0.35">
      <c r="A946">
        <f>Result_notebook_retravaill!A946</f>
        <v>2035</v>
      </c>
      <c r="B946" t="str">
        <f>Result_notebook_retravaill!B946</f>
        <v>Neodymium</v>
      </c>
      <c r="C946" t="str">
        <f>Result_notebook_retravaill!C946</f>
        <v>Global Net-zero</v>
      </c>
      <c r="D946" t="str">
        <f>Result_notebook_retravaill!D946</f>
        <v>Production potential</v>
      </c>
      <c r="E946" t="str">
        <f>Result_notebook_retravaill!E946</f>
        <v>100% CAN</v>
      </c>
      <c r="F946" t="str">
        <f>Result_notebook_retravaill!F946</f>
        <v>Integrated</v>
      </c>
      <c r="G946">
        <f>Result_notebook_retravaill!G946</f>
        <v>4759.1210340430353</v>
      </c>
      <c r="H946" s="32">
        <f>IF(Result_notebook_retravaill!I946&gt;Result_notebook_retravaill!G946,Result_notebook_retravaill!I946/Result_notebook_retravaill!N946,Result_notebook_retravaill!H946)</f>
        <v>80.029175596616852</v>
      </c>
      <c r="I946" s="32">
        <f>Result_notebook_retravaill!K946</f>
        <v>7851.8392144751087</v>
      </c>
      <c r="J946" s="32">
        <f>MIN(G946,Result_notebook_retravaill!I946)</f>
        <v>47.900975994989473</v>
      </c>
      <c r="K946" s="32">
        <f>IF(Result_notebook_retravaill!I946&gt;Result_notebook_retravaill!G946,0,IF(Result_notebook_retravaill!I946+Result_notebook_retravaill!J946&gt;Result_notebook_retravaill!G946,Result_notebook_retravaill!G946-Result_notebook_retravaill!I946,Result_notebook_retravaill!J946))</f>
        <v>32.128199601627379</v>
      </c>
      <c r="L946" s="32">
        <f>IF(Result_notebook_retravaill!I946&gt;Result_notebook_retravaill!G946,0,IF(Result_notebook_retravaill!I946+Result_notebook_retravaill!J946&gt;Result_notebook_retravaill!G946,0,Result_notebook_retravaill!M946))</f>
        <v>4679.091858446418</v>
      </c>
      <c r="M946" s="31">
        <f t="shared" si="14"/>
        <v>0</v>
      </c>
    </row>
    <row r="947" spans="1:13" x14ac:dyDescent="0.35">
      <c r="A947">
        <f>Result_notebook_retravaill!A947</f>
        <v>2035</v>
      </c>
      <c r="B947" t="str">
        <f>Result_notebook_retravaill!B947</f>
        <v>Nickel</v>
      </c>
      <c r="C947" t="str">
        <f>Result_notebook_retravaill!C947</f>
        <v>Canada Net-zero</v>
      </c>
      <c r="D947" t="str">
        <f>Result_notebook_retravaill!D947</f>
        <v>Existing production</v>
      </c>
      <c r="E947" t="str">
        <f>Result_notebook_retravaill!E947</f>
        <v>Current shares</v>
      </c>
      <c r="F947" t="str">
        <f>Result_notebook_retravaill!F947</f>
        <v>NIMBY</v>
      </c>
      <c r="G947">
        <f>Result_notebook_retravaill!G947</f>
        <v>152962.0504872179</v>
      </c>
      <c r="H947" s="32">
        <f>IF(Result_notebook_retravaill!I947&gt;Result_notebook_retravaill!G947,Result_notebook_retravaill!I947/Result_notebook_retravaill!N947,Result_notebook_retravaill!H947)</f>
        <v>0</v>
      </c>
      <c r="I947" s="32">
        <f>Result_notebook_retravaill!K947</f>
        <v>193622.84871799729</v>
      </c>
      <c r="J947" s="32">
        <f>MIN(G947,Result_notebook_retravaill!I947)</f>
        <v>0</v>
      </c>
      <c r="K947" s="32">
        <f>IF(Result_notebook_retravaill!I947&gt;Result_notebook_retravaill!G947,0,IF(Result_notebook_retravaill!I947+Result_notebook_retravaill!J947&gt;Result_notebook_retravaill!G947,Result_notebook_retravaill!G947-Result_notebook_retravaill!I947,Result_notebook_retravaill!J947))</f>
        <v>0</v>
      </c>
      <c r="L947" s="32">
        <f>IF(Result_notebook_retravaill!I947&gt;Result_notebook_retravaill!G947,0,IF(Result_notebook_retravaill!I947+Result_notebook_retravaill!J947&gt;Result_notebook_retravaill!G947,0,Result_notebook_retravaill!M947))</f>
        <v>152962.0504872179</v>
      </c>
      <c r="M947" s="31">
        <f t="shared" si="14"/>
        <v>0</v>
      </c>
    </row>
    <row r="948" spans="1:13" x14ac:dyDescent="0.35">
      <c r="A948">
        <f>Result_notebook_retravaill!A948</f>
        <v>2035</v>
      </c>
      <c r="B948" t="str">
        <f>Result_notebook_retravaill!B948</f>
        <v>Nickel</v>
      </c>
      <c r="C948" t="str">
        <f>Result_notebook_retravaill!C948</f>
        <v>Canada Net-zero</v>
      </c>
      <c r="D948" t="str">
        <f>Result_notebook_retravaill!D948</f>
        <v>Existing production</v>
      </c>
      <c r="E948" t="str">
        <f>Result_notebook_retravaill!E948</f>
        <v>Current shares</v>
      </c>
      <c r="F948" t="str">
        <f>Result_notebook_retravaill!F948</f>
        <v>Status Quo</v>
      </c>
      <c r="G948">
        <f>Result_notebook_retravaill!G948</f>
        <v>152962.0504872179</v>
      </c>
      <c r="H948" s="32">
        <f>IF(Result_notebook_retravaill!I948&gt;Result_notebook_retravaill!G948,Result_notebook_retravaill!I948/Result_notebook_retravaill!N948,Result_notebook_retravaill!H948)</f>
        <v>118000</v>
      </c>
      <c r="I948" s="32">
        <f>Result_notebook_retravaill!K948</f>
        <v>75622.848717997345</v>
      </c>
      <c r="J948" s="32">
        <f>MIN(G948,Result_notebook_retravaill!I948)</f>
        <v>66183.845060727675</v>
      </c>
      <c r="K948" s="32">
        <f>IF(Result_notebook_retravaill!I948&gt;Result_notebook_retravaill!G948,0,IF(Result_notebook_retravaill!I948+Result_notebook_retravaill!J948&gt;Result_notebook_retravaill!G948,Result_notebook_retravaill!G948-Result_notebook_retravaill!I948,Result_notebook_retravaill!J948))</f>
        <v>16318.270507305919</v>
      </c>
      <c r="L948" s="32">
        <f>IF(Result_notebook_retravaill!I948&gt;Result_notebook_retravaill!G948,0,IF(Result_notebook_retravaill!I948+Result_notebook_retravaill!J948&gt;Result_notebook_retravaill!G948,0,Result_notebook_retravaill!M948))</f>
        <v>70459.934919184307</v>
      </c>
      <c r="M948" s="31">
        <f t="shared" si="14"/>
        <v>0</v>
      </c>
    </row>
    <row r="949" spans="1:13" x14ac:dyDescent="0.35">
      <c r="A949">
        <f>Result_notebook_retravaill!A949</f>
        <v>2035</v>
      </c>
      <c r="B949" t="str">
        <f>Result_notebook_retravaill!B949</f>
        <v>Nickel</v>
      </c>
      <c r="C949" t="str">
        <f>Result_notebook_retravaill!C949</f>
        <v>Canada Net-zero</v>
      </c>
      <c r="D949" t="str">
        <f>Result_notebook_retravaill!D949</f>
        <v>Production potential</v>
      </c>
      <c r="E949" t="str">
        <f>Result_notebook_retravaill!E949</f>
        <v>Current shares</v>
      </c>
      <c r="F949" t="str">
        <f>Result_notebook_retravaill!F949</f>
        <v>Expansion Extractive</v>
      </c>
      <c r="G949">
        <f>Result_notebook_retravaill!G949</f>
        <v>152962.0504872179</v>
      </c>
      <c r="H949" s="32">
        <f>IF(Result_notebook_retravaill!I949&gt;Result_notebook_retravaill!G949,Result_notebook_retravaill!I949/Result_notebook_retravaill!N949,Result_notebook_retravaill!H949)</f>
        <v>225819.03451618581</v>
      </c>
      <c r="I949" s="32">
        <f>Result_notebook_retravaill!K949</f>
        <v>0</v>
      </c>
      <c r="J949" s="32">
        <f>MIN(G949,Result_notebook_retravaill!I949)</f>
        <v>126657.3897642572</v>
      </c>
      <c r="K949" s="32">
        <f>IF(Result_notebook_retravaill!I949&gt;Result_notebook_retravaill!G949,0,IF(Result_notebook_retravaill!I949+Result_notebook_retravaill!J949&gt;Result_notebook_retravaill!G949,Result_notebook_retravaill!G949-Result_notebook_retravaill!I949,Result_notebook_retravaill!J949))</f>
        <v>26304.660722960703</v>
      </c>
      <c r="L949" s="32">
        <f>IF(Result_notebook_retravaill!I949&gt;Result_notebook_retravaill!G949,0,IF(Result_notebook_retravaill!I949+Result_notebook_retravaill!J949&gt;Result_notebook_retravaill!G949,0,Result_notebook_retravaill!M949))</f>
        <v>0</v>
      </c>
      <c r="M949" s="31">
        <f t="shared" si="14"/>
        <v>0</v>
      </c>
    </row>
    <row r="950" spans="1:13" x14ac:dyDescent="0.35">
      <c r="A950">
        <f>Result_notebook_retravaill!A950</f>
        <v>2035</v>
      </c>
      <c r="B950" t="str">
        <f>Result_notebook_retravaill!B950</f>
        <v>Nickel</v>
      </c>
      <c r="C950" t="str">
        <f>Result_notebook_retravaill!C950</f>
        <v>Canada Net-zero</v>
      </c>
      <c r="D950" t="str">
        <f>Result_notebook_retravaill!D950</f>
        <v>Production potential</v>
      </c>
      <c r="E950" t="str">
        <f>Result_notebook_retravaill!E950</f>
        <v>Current shares</v>
      </c>
      <c r="F950" t="str">
        <f>Result_notebook_retravaill!F950</f>
        <v>Expansion Extractive+Circularity</v>
      </c>
      <c r="G950">
        <f>Result_notebook_retravaill!G950</f>
        <v>152962.0504872179</v>
      </c>
      <c r="H950" s="32">
        <f>IF(Result_notebook_retravaill!I950&gt;Result_notebook_retravaill!G950,Result_notebook_retravaill!I950/Result_notebook_retravaill!N950,Result_notebook_retravaill!H950)</f>
        <v>225819.03451618581</v>
      </c>
      <c r="I950" s="32">
        <f>Result_notebook_retravaill!K950</f>
        <v>0</v>
      </c>
      <c r="J950" s="32">
        <f>MIN(G950,Result_notebook_retravaill!I950)</f>
        <v>126657.3897642572</v>
      </c>
      <c r="K950" s="32">
        <f>IF(Result_notebook_retravaill!I950&gt;Result_notebook_retravaill!G950,0,IF(Result_notebook_retravaill!I950+Result_notebook_retravaill!J950&gt;Result_notebook_retravaill!G950,Result_notebook_retravaill!G950-Result_notebook_retravaill!I950,Result_notebook_retravaill!J950))</f>
        <v>26304.660722960703</v>
      </c>
      <c r="L950" s="32">
        <f>IF(Result_notebook_retravaill!I950&gt;Result_notebook_retravaill!G950,0,IF(Result_notebook_retravaill!I950+Result_notebook_retravaill!J950&gt;Result_notebook_retravaill!G950,0,Result_notebook_retravaill!M950))</f>
        <v>0</v>
      </c>
      <c r="M950" s="31">
        <f t="shared" si="14"/>
        <v>0</v>
      </c>
    </row>
    <row r="951" spans="1:13" x14ac:dyDescent="0.35">
      <c r="A951">
        <f>Result_notebook_retravaill!A951</f>
        <v>2035</v>
      </c>
      <c r="B951" t="str">
        <f>Result_notebook_retravaill!B951</f>
        <v>Nickel</v>
      </c>
      <c r="C951" t="str">
        <f>Result_notebook_retravaill!C951</f>
        <v>Canada Net-zero</v>
      </c>
      <c r="D951" t="str">
        <f>Result_notebook_retravaill!D951</f>
        <v>Production potential</v>
      </c>
      <c r="E951" t="str">
        <f>Result_notebook_retravaill!E951</f>
        <v>100% CAN</v>
      </c>
      <c r="F951" t="str">
        <f>Result_notebook_retravaill!F951</f>
        <v>Integrated</v>
      </c>
      <c r="G951">
        <f>Result_notebook_retravaill!G951</f>
        <v>152962.0504872179</v>
      </c>
      <c r="H951" s="32">
        <f>IF(Result_notebook_retravaill!I951&gt;Result_notebook_retravaill!G951,Result_notebook_retravaill!I951/Result_notebook_retravaill!N951,Result_notebook_retravaill!H951)</f>
        <v>254365.58953331751</v>
      </c>
      <c r="I951" s="32">
        <f>Result_notebook_retravaill!K951</f>
        <v>0</v>
      </c>
      <c r="J951" s="32">
        <f>MIN(G951,Result_notebook_retravaill!I951)</f>
        <v>152962.0504872179</v>
      </c>
      <c r="K951" s="32">
        <f>IF(Result_notebook_retravaill!I951&gt;Result_notebook_retravaill!G951,0,IF(Result_notebook_retravaill!I951+Result_notebook_retravaill!J951&gt;Result_notebook_retravaill!G951,Result_notebook_retravaill!G951-Result_notebook_retravaill!I951,Result_notebook_retravaill!J951))</f>
        <v>0</v>
      </c>
      <c r="L951" s="32">
        <f>IF(Result_notebook_retravaill!I951&gt;Result_notebook_retravaill!G951,0,IF(Result_notebook_retravaill!I951+Result_notebook_retravaill!J951&gt;Result_notebook_retravaill!G951,0,Result_notebook_retravaill!M951))</f>
        <v>0</v>
      </c>
      <c r="M951" s="31">
        <f t="shared" si="14"/>
        <v>0</v>
      </c>
    </row>
    <row r="952" spans="1:13" x14ac:dyDescent="0.35">
      <c r="A952">
        <f>Result_notebook_retravaill!A952</f>
        <v>2035</v>
      </c>
      <c r="B952" t="str">
        <f>Result_notebook_retravaill!B952</f>
        <v>Nickel</v>
      </c>
      <c r="C952" t="str">
        <f>Result_notebook_retravaill!C952</f>
        <v>Current Measures</v>
      </c>
      <c r="D952" t="str">
        <f>Result_notebook_retravaill!D952</f>
        <v>Existing production</v>
      </c>
      <c r="E952" t="str">
        <f>Result_notebook_retravaill!E952</f>
        <v>Current shares</v>
      </c>
      <c r="F952" t="str">
        <f>Result_notebook_retravaill!F952</f>
        <v>NIMBY</v>
      </c>
      <c r="G952">
        <f>Result_notebook_retravaill!G952</f>
        <v>61354.521533229788</v>
      </c>
      <c r="H952" s="32">
        <f>IF(Result_notebook_retravaill!I952&gt;Result_notebook_retravaill!G952,Result_notebook_retravaill!I952/Result_notebook_retravaill!N952,Result_notebook_retravaill!H952)</f>
        <v>0</v>
      </c>
      <c r="I952" s="32">
        <f>Result_notebook_retravaill!K952</f>
        <v>77663.9513078858</v>
      </c>
      <c r="J952" s="32">
        <f>MIN(G952,Result_notebook_retravaill!I952)</f>
        <v>0</v>
      </c>
      <c r="K952" s="32">
        <f>IF(Result_notebook_retravaill!I952&gt;Result_notebook_retravaill!G952,0,IF(Result_notebook_retravaill!I952+Result_notebook_retravaill!J952&gt;Result_notebook_retravaill!G952,Result_notebook_retravaill!G952-Result_notebook_retravaill!I952,Result_notebook_retravaill!J952))</f>
        <v>0</v>
      </c>
      <c r="L952" s="32">
        <f>IF(Result_notebook_retravaill!I952&gt;Result_notebook_retravaill!G952,0,IF(Result_notebook_retravaill!I952+Result_notebook_retravaill!J952&gt;Result_notebook_retravaill!G952,0,Result_notebook_retravaill!M952))</f>
        <v>61354.521533229788</v>
      </c>
      <c r="M952" s="31">
        <f t="shared" si="14"/>
        <v>0</v>
      </c>
    </row>
    <row r="953" spans="1:13" x14ac:dyDescent="0.35">
      <c r="A953">
        <f>Result_notebook_retravaill!A953</f>
        <v>2035</v>
      </c>
      <c r="B953" t="str">
        <f>Result_notebook_retravaill!B953</f>
        <v>Nickel</v>
      </c>
      <c r="C953" t="str">
        <f>Result_notebook_retravaill!C953</f>
        <v>Current Measures</v>
      </c>
      <c r="D953" t="str">
        <f>Result_notebook_retravaill!D953</f>
        <v>Existing production</v>
      </c>
      <c r="E953" t="str">
        <f>Result_notebook_retravaill!E953</f>
        <v>Current shares</v>
      </c>
      <c r="F953" t="str">
        <f>Result_notebook_retravaill!F953</f>
        <v>Status Quo</v>
      </c>
      <c r="G953">
        <f>Result_notebook_retravaill!G953</f>
        <v>61354.521533229788</v>
      </c>
      <c r="H953" s="32">
        <f>IF(Result_notebook_retravaill!I953&gt;Result_notebook_retravaill!G953,Result_notebook_retravaill!I953/Result_notebook_retravaill!N953,Result_notebook_retravaill!H953)</f>
        <v>94660.526744017479</v>
      </c>
      <c r="I953" s="32">
        <f>Result_notebook_retravaill!K953</f>
        <v>0</v>
      </c>
      <c r="J953" s="32">
        <f>MIN(G953,Result_notebook_retravaill!I953)</f>
        <v>61354.521533229788</v>
      </c>
      <c r="K953" s="32">
        <f>IF(Result_notebook_retravaill!I953&gt;Result_notebook_retravaill!G953,0,IF(Result_notebook_retravaill!I953+Result_notebook_retravaill!J953&gt;Result_notebook_retravaill!G953,Result_notebook_retravaill!G953-Result_notebook_retravaill!I953,Result_notebook_retravaill!J953))</f>
        <v>0</v>
      </c>
      <c r="L953" s="32">
        <f>IF(Result_notebook_retravaill!I953&gt;Result_notebook_retravaill!G953,0,IF(Result_notebook_retravaill!I953+Result_notebook_retravaill!J953&gt;Result_notebook_retravaill!G953,0,Result_notebook_retravaill!M953))</f>
        <v>0</v>
      </c>
      <c r="M953" s="31">
        <f t="shared" si="14"/>
        <v>0</v>
      </c>
    </row>
    <row r="954" spans="1:13" x14ac:dyDescent="0.35">
      <c r="A954">
        <f>Result_notebook_retravaill!A954</f>
        <v>2035</v>
      </c>
      <c r="B954" t="str">
        <f>Result_notebook_retravaill!B954</f>
        <v>Nickel</v>
      </c>
      <c r="C954" t="str">
        <f>Result_notebook_retravaill!C954</f>
        <v>Current Measures</v>
      </c>
      <c r="D954" t="str">
        <f>Result_notebook_retravaill!D954</f>
        <v>Production potential</v>
      </c>
      <c r="E954" t="str">
        <f>Result_notebook_retravaill!E954</f>
        <v>Current shares</v>
      </c>
      <c r="F954" t="str">
        <f>Result_notebook_retravaill!F954</f>
        <v>Expansion Extractive</v>
      </c>
      <c r="G954">
        <f>Result_notebook_retravaill!G954</f>
        <v>61354.521533229788</v>
      </c>
      <c r="H954" s="32">
        <f>IF(Result_notebook_retravaill!I954&gt;Result_notebook_retravaill!G954,Result_notebook_retravaill!I954/Result_notebook_retravaill!N954,Result_notebook_retravaill!H954)</f>
        <v>181153.80301803054</v>
      </c>
      <c r="I954" s="32">
        <f>Result_notebook_retravaill!K954</f>
        <v>0</v>
      </c>
      <c r="J954" s="32">
        <f>MIN(G954,Result_notebook_retravaill!I954)</f>
        <v>61354.521533229788</v>
      </c>
      <c r="K954" s="32">
        <f>IF(Result_notebook_retravaill!I954&gt;Result_notebook_retravaill!G954,0,IF(Result_notebook_retravaill!I954+Result_notebook_retravaill!J954&gt;Result_notebook_retravaill!G954,Result_notebook_retravaill!G954-Result_notebook_retravaill!I954,Result_notebook_retravaill!J954))</f>
        <v>0</v>
      </c>
      <c r="L954" s="32">
        <f>IF(Result_notebook_retravaill!I954&gt;Result_notebook_retravaill!G954,0,IF(Result_notebook_retravaill!I954+Result_notebook_retravaill!J954&gt;Result_notebook_retravaill!G954,0,Result_notebook_retravaill!M954))</f>
        <v>0</v>
      </c>
      <c r="M954" s="31">
        <f t="shared" si="14"/>
        <v>0</v>
      </c>
    </row>
    <row r="955" spans="1:13" x14ac:dyDescent="0.35">
      <c r="A955">
        <f>Result_notebook_retravaill!A955</f>
        <v>2035</v>
      </c>
      <c r="B955" t="str">
        <f>Result_notebook_retravaill!B955</f>
        <v>Nickel</v>
      </c>
      <c r="C955" t="str">
        <f>Result_notebook_retravaill!C955</f>
        <v>Current Measures</v>
      </c>
      <c r="D955" t="str">
        <f>Result_notebook_retravaill!D955</f>
        <v>Production potential</v>
      </c>
      <c r="E955" t="str">
        <f>Result_notebook_retravaill!E955</f>
        <v>Current shares</v>
      </c>
      <c r="F955" t="str">
        <f>Result_notebook_retravaill!F955</f>
        <v>Expansion Extractive+Circularity</v>
      </c>
      <c r="G955">
        <f>Result_notebook_retravaill!G955</f>
        <v>61354.521533229788</v>
      </c>
      <c r="H955" s="32">
        <f>IF(Result_notebook_retravaill!I955&gt;Result_notebook_retravaill!G955,Result_notebook_retravaill!I955/Result_notebook_retravaill!N955,Result_notebook_retravaill!H955)</f>
        <v>181153.80301803054</v>
      </c>
      <c r="I955" s="32">
        <f>Result_notebook_retravaill!K955</f>
        <v>0</v>
      </c>
      <c r="J955" s="32">
        <f>MIN(G955,Result_notebook_retravaill!I955)</f>
        <v>61354.521533229788</v>
      </c>
      <c r="K955" s="32">
        <f>IF(Result_notebook_retravaill!I955&gt;Result_notebook_retravaill!G955,0,IF(Result_notebook_retravaill!I955+Result_notebook_retravaill!J955&gt;Result_notebook_retravaill!G955,Result_notebook_retravaill!G955-Result_notebook_retravaill!I955,Result_notebook_retravaill!J955))</f>
        <v>0</v>
      </c>
      <c r="L955" s="32">
        <f>IF(Result_notebook_retravaill!I955&gt;Result_notebook_retravaill!G955,0,IF(Result_notebook_retravaill!I955+Result_notebook_retravaill!J955&gt;Result_notebook_retravaill!G955,0,Result_notebook_retravaill!M955))</f>
        <v>0</v>
      </c>
      <c r="M955" s="31">
        <f t="shared" si="14"/>
        <v>0</v>
      </c>
    </row>
    <row r="956" spans="1:13" x14ac:dyDescent="0.35">
      <c r="A956">
        <f>Result_notebook_retravaill!A956</f>
        <v>2035</v>
      </c>
      <c r="B956" t="str">
        <f>Result_notebook_retravaill!B956</f>
        <v>Nickel</v>
      </c>
      <c r="C956" t="str">
        <f>Result_notebook_retravaill!C956</f>
        <v>Current Measures</v>
      </c>
      <c r="D956" t="str">
        <f>Result_notebook_retravaill!D956</f>
        <v>Production potential</v>
      </c>
      <c r="E956" t="str">
        <f>Result_notebook_retravaill!E956</f>
        <v>100% CAN</v>
      </c>
      <c r="F956" t="str">
        <f>Result_notebook_retravaill!F956</f>
        <v>Integrated</v>
      </c>
      <c r="G956">
        <f>Result_notebook_retravaill!G956</f>
        <v>61354.521533229788</v>
      </c>
      <c r="H956" s="32">
        <f>IF(Result_notebook_retravaill!I956&gt;Result_notebook_retravaill!G956,Result_notebook_retravaill!I956/Result_notebook_retravaill!N956,Result_notebook_retravaill!H956)</f>
        <v>254365.58953331751</v>
      </c>
      <c r="I956" s="32">
        <f>Result_notebook_retravaill!K956</f>
        <v>0</v>
      </c>
      <c r="J956" s="32">
        <f>MIN(G956,Result_notebook_retravaill!I956)</f>
        <v>61354.521533229788</v>
      </c>
      <c r="K956" s="32">
        <f>IF(Result_notebook_retravaill!I956&gt;Result_notebook_retravaill!G956,0,IF(Result_notebook_retravaill!I956+Result_notebook_retravaill!J956&gt;Result_notebook_retravaill!G956,Result_notebook_retravaill!G956-Result_notebook_retravaill!I956,Result_notebook_retravaill!J956))</f>
        <v>0</v>
      </c>
      <c r="L956" s="32">
        <f>IF(Result_notebook_retravaill!I956&gt;Result_notebook_retravaill!G956,0,IF(Result_notebook_retravaill!I956+Result_notebook_retravaill!J956&gt;Result_notebook_retravaill!G956,0,Result_notebook_retravaill!M956))</f>
        <v>0</v>
      </c>
      <c r="M956" s="31">
        <f t="shared" si="14"/>
        <v>0</v>
      </c>
    </row>
    <row r="957" spans="1:13" x14ac:dyDescent="0.35">
      <c r="A957">
        <f>Result_notebook_retravaill!A957</f>
        <v>2035</v>
      </c>
      <c r="B957" t="str">
        <f>Result_notebook_retravaill!B957</f>
        <v>Nickel</v>
      </c>
      <c r="C957" t="str">
        <f>Result_notebook_retravaill!C957</f>
        <v>Global Net-zero</v>
      </c>
      <c r="D957" t="str">
        <f>Result_notebook_retravaill!D957</f>
        <v>Existing production</v>
      </c>
      <c r="E957" t="str">
        <f>Result_notebook_retravaill!E957</f>
        <v>Current shares</v>
      </c>
      <c r="F957" t="str">
        <f>Result_notebook_retravaill!F957</f>
        <v>NIMBY</v>
      </c>
      <c r="G957">
        <f>Result_notebook_retravaill!G957</f>
        <v>147281.28047052419</v>
      </c>
      <c r="H957" s="32">
        <f>IF(Result_notebook_retravaill!I957&gt;Result_notebook_retravaill!G957,Result_notebook_retravaill!I957/Result_notebook_retravaill!N957,Result_notebook_retravaill!H957)</f>
        <v>0</v>
      </c>
      <c r="I957" s="32">
        <f>Result_notebook_retravaill!K957</f>
        <v>186432.0005956002</v>
      </c>
      <c r="J957" s="32">
        <f>MIN(G957,Result_notebook_retravaill!I957)</f>
        <v>0</v>
      </c>
      <c r="K957" s="32">
        <f>IF(Result_notebook_retravaill!I957&gt;Result_notebook_retravaill!G957,0,IF(Result_notebook_retravaill!I957+Result_notebook_retravaill!J957&gt;Result_notebook_retravaill!G957,Result_notebook_retravaill!G957-Result_notebook_retravaill!I957,Result_notebook_retravaill!J957))</f>
        <v>0</v>
      </c>
      <c r="L957" s="32">
        <f>IF(Result_notebook_retravaill!I957&gt;Result_notebook_retravaill!G957,0,IF(Result_notebook_retravaill!I957+Result_notebook_retravaill!J957&gt;Result_notebook_retravaill!G957,0,Result_notebook_retravaill!M957))</f>
        <v>147281.28047052419</v>
      </c>
      <c r="M957" s="31">
        <f t="shared" si="14"/>
        <v>0</v>
      </c>
    </row>
    <row r="958" spans="1:13" x14ac:dyDescent="0.35">
      <c r="A958">
        <f>Result_notebook_retravaill!A958</f>
        <v>2035</v>
      </c>
      <c r="B958" t="str">
        <f>Result_notebook_retravaill!B958</f>
        <v>Nickel</v>
      </c>
      <c r="C958" t="str">
        <f>Result_notebook_retravaill!C958</f>
        <v>Global Net-zero</v>
      </c>
      <c r="D958" t="str">
        <f>Result_notebook_retravaill!D958</f>
        <v>Existing production</v>
      </c>
      <c r="E958" t="str">
        <f>Result_notebook_retravaill!E958</f>
        <v>Current shares</v>
      </c>
      <c r="F958" t="str">
        <f>Result_notebook_retravaill!F958</f>
        <v>Status Quo</v>
      </c>
      <c r="G958">
        <f>Result_notebook_retravaill!G958</f>
        <v>147281.28047052419</v>
      </c>
      <c r="H958" s="32">
        <f>IF(Result_notebook_retravaill!I958&gt;Result_notebook_retravaill!G958,Result_notebook_retravaill!I958/Result_notebook_retravaill!N958,Result_notebook_retravaill!H958)</f>
        <v>118000</v>
      </c>
      <c r="I958" s="32">
        <f>Result_notebook_retravaill!K958</f>
        <v>68432.000595600228</v>
      </c>
      <c r="J958" s="32">
        <f>MIN(G958,Result_notebook_retravaill!I958)</f>
        <v>66183.845060727675</v>
      </c>
      <c r="K958" s="32">
        <f>IF(Result_notebook_retravaill!I958&gt;Result_notebook_retravaill!G958,0,IF(Result_notebook_retravaill!I958+Result_notebook_retravaill!J958&gt;Result_notebook_retravaill!G958,Result_notebook_retravaill!G958-Result_notebook_retravaill!I958,Result_notebook_retravaill!J958))</f>
        <v>16318.270507305919</v>
      </c>
      <c r="L958" s="32">
        <f>IF(Result_notebook_retravaill!I958&gt;Result_notebook_retravaill!G958,0,IF(Result_notebook_retravaill!I958+Result_notebook_retravaill!J958&gt;Result_notebook_retravaill!G958,0,Result_notebook_retravaill!M958))</f>
        <v>64779.164902490593</v>
      </c>
      <c r="M958" s="31">
        <f t="shared" si="14"/>
        <v>0</v>
      </c>
    </row>
    <row r="959" spans="1:13" x14ac:dyDescent="0.35">
      <c r="A959">
        <f>Result_notebook_retravaill!A959</f>
        <v>2035</v>
      </c>
      <c r="B959" t="str">
        <f>Result_notebook_retravaill!B959</f>
        <v>Nickel</v>
      </c>
      <c r="C959" t="str">
        <f>Result_notebook_retravaill!C959</f>
        <v>Global Net-zero</v>
      </c>
      <c r="D959" t="str">
        <f>Result_notebook_retravaill!D959</f>
        <v>Production potential</v>
      </c>
      <c r="E959" t="str">
        <f>Result_notebook_retravaill!E959</f>
        <v>Current shares</v>
      </c>
      <c r="F959" t="str">
        <f>Result_notebook_retravaill!F959</f>
        <v>Expansion Extractive</v>
      </c>
      <c r="G959">
        <f>Result_notebook_retravaill!G959</f>
        <v>147281.28047052419</v>
      </c>
      <c r="H959" s="32">
        <f>IF(Result_notebook_retravaill!I959&gt;Result_notebook_retravaill!G959,Result_notebook_retravaill!I959/Result_notebook_retravaill!N959,Result_notebook_retravaill!H959)</f>
        <v>225819.03451618581</v>
      </c>
      <c r="I959" s="32">
        <f>Result_notebook_retravaill!K959</f>
        <v>0</v>
      </c>
      <c r="J959" s="32">
        <f>MIN(G959,Result_notebook_retravaill!I959)</f>
        <v>126657.3897642572</v>
      </c>
      <c r="K959" s="32">
        <f>IF(Result_notebook_retravaill!I959&gt;Result_notebook_retravaill!G959,0,IF(Result_notebook_retravaill!I959+Result_notebook_retravaill!J959&gt;Result_notebook_retravaill!G959,Result_notebook_retravaill!G959-Result_notebook_retravaill!I959,Result_notebook_retravaill!J959))</f>
        <v>20623.89070626699</v>
      </c>
      <c r="L959" s="32">
        <f>IF(Result_notebook_retravaill!I959&gt;Result_notebook_retravaill!G959,0,IF(Result_notebook_retravaill!I959+Result_notebook_retravaill!J959&gt;Result_notebook_retravaill!G959,0,Result_notebook_retravaill!M959))</f>
        <v>0</v>
      </c>
      <c r="M959" s="31">
        <f t="shared" si="14"/>
        <v>0</v>
      </c>
    </row>
    <row r="960" spans="1:13" x14ac:dyDescent="0.35">
      <c r="A960">
        <f>Result_notebook_retravaill!A960</f>
        <v>2035</v>
      </c>
      <c r="B960" t="str">
        <f>Result_notebook_retravaill!B960</f>
        <v>Nickel</v>
      </c>
      <c r="C960" t="str">
        <f>Result_notebook_retravaill!C960</f>
        <v>Global Net-zero</v>
      </c>
      <c r="D960" t="str">
        <f>Result_notebook_retravaill!D960</f>
        <v>Production potential</v>
      </c>
      <c r="E960" t="str">
        <f>Result_notebook_retravaill!E960</f>
        <v>Current shares</v>
      </c>
      <c r="F960" t="str">
        <f>Result_notebook_retravaill!F960</f>
        <v>Expansion Extractive+Circularity</v>
      </c>
      <c r="G960">
        <f>Result_notebook_retravaill!G960</f>
        <v>147281.28047052419</v>
      </c>
      <c r="H960" s="32">
        <f>IF(Result_notebook_retravaill!I960&gt;Result_notebook_retravaill!G960,Result_notebook_retravaill!I960/Result_notebook_retravaill!N960,Result_notebook_retravaill!H960)</f>
        <v>225819.03451618581</v>
      </c>
      <c r="I960" s="32">
        <f>Result_notebook_retravaill!K960</f>
        <v>0</v>
      </c>
      <c r="J960" s="32">
        <f>MIN(G960,Result_notebook_retravaill!I960)</f>
        <v>126657.3897642572</v>
      </c>
      <c r="K960" s="32">
        <f>IF(Result_notebook_retravaill!I960&gt;Result_notebook_retravaill!G960,0,IF(Result_notebook_retravaill!I960+Result_notebook_retravaill!J960&gt;Result_notebook_retravaill!G960,Result_notebook_retravaill!G960-Result_notebook_retravaill!I960,Result_notebook_retravaill!J960))</f>
        <v>20623.89070626699</v>
      </c>
      <c r="L960" s="32">
        <f>IF(Result_notebook_retravaill!I960&gt;Result_notebook_retravaill!G960,0,IF(Result_notebook_retravaill!I960+Result_notebook_retravaill!J960&gt;Result_notebook_retravaill!G960,0,Result_notebook_retravaill!M960))</f>
        <v>0</v>
      </c>
      <c r="M960" s="31">
        <f t="shared" si="14"/>
        <v>0</v>
      </c>
    </row>
    <row r="961" spans="1:13" x14ac:dyDescent="0.35">
      <c r="A961">
        <f>Result_notebook_retravaill!A961</f>
        <v>2035</v>
      </c>
      <c r="B961" t="str">
        <f>Result_notebook_retravaill!B961</f>
        <v>Nickel</v>
      </c>
      <c r="C961" t="str">
        <f>Result_notebook_retravaill!C961</f>
        <v>Global Net-zero</v>
      </c>
      <c r="D961" t="str">
        <f>Result_notebook_retravaill!D961</f>
        <v>Production potential</v>
      </c>
      <c r="E961" t="str">
        <f>Result_notebook_retravaill!E961</f>
        <v>100% CAN</v>
      </c>
      <c r="F961" t="str">
        <f>Result_notebook_retravaill!F961</f>
        <v>Integrated</v>
      </c>
      <c r="G961">
        <f>Result_notebook_retravaill!G961</f>
        <v>147281.28047052419</v>
      </c>
      <c r="H961" s="32">
        <f>IF(Result_notebook_retravaill!I961&gt;Result_notebook_retravaill!G961,Result_notebook_retravaill!I961/Result_notebook_retravaill!N961,Result_notebook_retravaill!H961)</f>
        <v>254365.58953331751</v>
      </c>
      <c r="I961" s="32">
        <f>Result_notebook_retravaill!K961</f>
        <v>0</v>
      </c>
      <c r="J961" s="32">
        <f>MIN(G961,Result_notebook_retravaill!I961)</f>
        <v>147281.28047052419</v>
      </c>
      <c r="K961" s="32">
        <f>IF(Result_notebook_retravaill!I961&gt;Result_notebook_retravaill!G961,0,IF(Result_notebook_retravaill!I961+Result_notebook_retravaill!J961&gt;Result_notebook_retravaill!G961,Result_notebook_retravaill!G961-Result_notebook_retravaill!I961,Result_notebook_retravaill!J961))</f>
        <v>0</v>
      </c>
      <c r="L961" s="32">
        <f>IF(Result_notebook_retravaill!I961&gt;Result_notebook_retravaill!G961,0,IF(Result_notebook_retravaill!I961+Result_notebook_retravaill!J961&gt;Result_notebook_retravaill!G961,0,Result_notebook_retravaill!M961))</f>
        <v>0</v>
      </c>
      <c r="M961" s="31">
        <f t="shared" si="14"/>
        <v>0</v>
      </c>
    </row>
    <row r="962" spans="1:13" x14ac:dyDescent="0.35">
      <c r="A962">
        <f>Result_notebook_retravaill!A962</f>
        <v>2035</v>
      </c>
      <c r="B962" t="str">
        <f>Result_notebook_retravaill!B962</f>
        <v>Graphite</v>
      </c>
      <c r="C962" t="str">
        <f>Result_notebook_retravaill!C962</f>
        <v>Canada Net-zero</v>
      </c>
      <c r="D962" t="str">
        <f>Result_notebook_retravaill!D962</f>
        <v>Existing production</v>
      </c>
      <c r="E962" t="str">
        <f>Result_notebook_retravaill!E962</f>
        <v>Current shares</v>
      </c>
      <c r="F962" t="str">
        <f>Result_notebook_retravaill!F962</f>
        <v>NIMBY</v>
      </c>
      <c r="G962">
        <f>Result_notebook_retravaill!G962</f>
        <v>3066.2923431360991</v>
      </c>
      <c r="H962" s="32">
        <f>IF(Result_notebook_retravaill!I962&gt;Result_notebook_retravaill!G962,Result_notebook_retravaill!I962/Result_notebook_retravaill!N962,Result_notebook_retravaill!H962)</f>
        <v>0</v>
      </c>
      <c r="I962" s="32">
        <f>Result_notebook_retravaill!K962</f>
        <v>3066.2923431360991</v>
      </c>
      <c r="J962" s="32">
        <f>MIN(G962,Result_notebook_retravaill!I962)</f>
        <v>0</v>
      </c>
      <c r="K962" s="32">
        <f>IF(Result_notebook_retravaill!I962&gt;Result_notebook_retravaill!G962,0,IF(Result_notebook_retravaill!I962+Result_notebook_retravaill!J962&gt;Result_notebook_retravaill!G962,Result_notebook_retravaill!G962-Result_notebook_retravaill!I962,Result_notebook_retravaill!J962))</f>
        <v>0</v>
      </c>
      <c r="L962" s="32">
        <f>IF(Result_notebook_retravaill!I962&gt;Result_notebook_retravaill!G962,0,IF(Result_notebook_retravaill!I962+Result_notebook_retravaill!J962&gt;Result_notebook_retravaill!G962,0,Result_notebook_retravaill!M962))</f>
        <v>3066.2923431360991</v>
      </c>
      <c r="M962" s="31">
        <f t="shared" si="14"/>
        <v>0</v>
      </c>
    </row>
    <row r="963" spans="1:13" x14ac:dyDescent="0.35">
      <c r="A963">
        <f>Result_notebook_retravaill!A963</f>
        <v>2035</v>
      </c>
      <c r="B963" t="str">
        <f>Result_notebook_retravaill!B963</f>
        <v>Graphite</v>
      </c>
      <c r="C963" t="str">
        <f>Result_notebook_retravaill!C963</f>
        <v>Canada Net-zero</v>
      </c>
      <c r="D963" t="str">
        <f>Result_notebook_retravaill!D963</f>
        <v>Existing production</v>
      </c>
      <c r="E963" t="str">
        <f>Result_notebook_retravaill!E963</f>
        <v>Current shares</v>
      </c>
      <c r="F963" t="str">
        <f>Result_notebook_retravaill!F963</f>
        <v>Status Quo</v>
      </c>
      <c r="G963">
        <f>Result_notebook_retravaill!G963</f>
        <v>3066.2923431360991</v>
      </c>
      <c r="H963" s="32">
        <f>IF(Result_notebook_retravaill!I963&gt;Result_notebook_retravaill!G963,Result_notebook_retravaill!I963/Result_notebook_retravaill!N963,Result_notebook_retravaill!H963)</f>
        <v>0</v>
      </c>
      <c r="I963" s="32">
        <f>Result_notebook_retravaill!K963</f>
        <v>3066.2923431360991</v>
      </c>
      <c r="J963" s="32">
        <f>MIN(G963,Result_notebook_retravaill!I963)</f>
        <v>0</v>
      </c>
      <c r="K963" s="32">
        <f>IF(Result_notebook_retravaill!I963&gt;Result_notebook_retravaill!G963,0,IF(Result_notebook_retravaill!I963+Result_notebook_retravaill!J963&gt;Result_notebook_retravaill!G963,Result_notebook_retravaill!G963-Result_notebook_retravaill!I963,Result_notebook_retravaill!J963))</f>
        <v>0</v>
      </c>
      <c r="L963" s="32">
        <f>IF(Result_notebook_retravaill!I963&gt;Result_notebook_retravaill!G963,0,IF(Result_notebook_retravaill!I963+Result_notebook_retravaill!J963&gt;Result_notebook_retravaill!G963,0,Result_notebook_retravaill!M963))</f>
        <v>3066.2923431360991</v>
      </c>
      <c r="M963" s="31">
        <f t="shared" ref="M963:M1026" si="15">SUM(J963:L963)-G963</f>
        <v>0</v>
      </c>
    </row>
    <row r="964" spans="1:13" x14ac:dyDescent="0.35">
      <c r="A964">
        <f>Result_notebook_retravaill!A964</f>
        <v>2035</v>
      </c>
      <c r="B964" t="str">
        <f>Result_notebook_retravaill!B964</f>
        <v>Graphite</v>
      </c>
      <c r="C964" t="str">
        <f>Result_notebook_retravaill!C964</f>
        <v>Canada Net-zero</v>
      </c>
      <c r="D964" t="str">
        <f>Result_notebook_retravaill!D964</f>
        <v>Production potential</v>
      </c>
      <c r="E964" t="str">
        <f>Result_notebook_retravaill!E964</f>
        <v>Current shares</v>
      </c>
      <c r="F964" t="str">
        <f>Result_notebook_retravaill!F964</f>
        <v>Expansion Extractive</v>
      </c>
      <c r="G964">
        <f>Result_notebook_retravaill!G964</f>
        <v>3066.2923431360991</v>
      </c>
      <c r="H964" s="32">
        <f>IF(Result_notebook_retravaill!I964&gt;Result_notebook_retravaill!G964,Result_notebook_retravaill!I964/Result_notebook_retravaill!N964,Result_notebook_retravaill!H964)</f>
        <v>86201.008450571899</v>
      </c>
      <c r="I964" s="32">
        <f>Result_notebook_retravaill!K964</f>
        <v>0</v>
      </c>
      <c r="J964" s="32">
        <f>MIN(G964,Result_notebook_retravaill!I964)</f>
        <v>3066.2923431360991</v>
      </c>
      <c r="K964" s="32">
        <f>IF(Result_notebook_retravaill!I964&gt;Result_notebook_retravaill!G964,0,IF(Result_notebook_retravaill!I964+Result_notebook_retravaill!J964&gt;Result_notebook_retravaill!G964,Result_notebook_retravaill!G964-Result_notebook_retravaill!I964,Result_notebook_retravaill!J964))</f>
        <v>0</v>
      </c>
      <c r="L964" s="32">
        <f>IF(Result_notebook_retravaill!I964&gt;Result_notebook_retravaill!G964,0,IF(Result_notebook_retravaill!I964+Result_notebook_retravaill!J964&gt;Result_notebook_retravaill!G964,0,Result_notebook_retravaill!M964))</f>
        <v>0</v>
      </c>
      <c r="M964" s="31">
        <f t="shared" si="15"/>
        <v>0</v>
      </c>
    </row>
    <row r="965" spans="1:13" x14ac:dyDescent="0.35">
      <c r="A965">
        <f>Result_notebook_retravaill!A965</f>
        <v>2035</v>
      </c>
      <c r="B965" t="str">
        <f>Result_notebook_retravaill!B965</f>
        <v>Graphite</v>
      </c>
      <c r="C965" t="str">
        <f>Result_notebook_retravaill!C965</f>
        <v>Canada Net-zero</v>
      </c>
      <c r="D965" t="str">
        <f>Result_notebook_retravaill!D965</f>
        <v>Production potential</v>
      </c>
      <c r="E965" t="str">
        <f>Result_notebook_retravaill!E965</f>
        <v>Current shares</v>
      </c>
      <c r="F965" t="str">
        <f>Result_notebook_retravaill!F965</f>
        <v>Expansion Extractive+Circularity</v>
      </c>
      <c r="G965">
        <f>Result_notebook_retravaill!G965</f>
        <v>3066.2923431360991</v>
      </c>
      <c r="H965" s="32">
        <f>IF(Result_notebook_retravaill!I965&gt;Result_notebook_retravaill!G965,Result_notebook_retravaill!I965/Result_notebook_retravaill!N965,Result_notebook_retravaill!H965)</f>
        <v>86201.008450571899</v>
      </c>
      <c r="I965" s="32">
        <f>Result_notebook_retravaill!K965</f>
        <v>0</v>
      </c>
      <c r="J965" s="32">
        <f>MIN(G965,Result_notebook_retravaill!I965)</f>
        <v>3066.2923431360991</v>
      </c>
      <c r="K965" s="32">
        <f>IF(Result_notebook_retravaill!I965&gt;Result_notebook_retravaill!G965,0,IF(Result_notebook_retravaill!I965+Result_notebook_retravaill!J965&gt;Result_notebook_retravaill!G965,Result_notebook_retravaill!G965-Result_notebook_retravaill!I965,Result_notebook_retravaill!J965))</f>
        <v>0</v>
      </c>
      <c r="L965" s="32">
        <f>IF(Result_notebook_retravaill!I965&gt;Result_notebook_retravaill!G965,0,IF(Result_notebook_retravaill!I965+Result_notebook_retravaill!J965&gt;Result_notebook_retravaill!G965,0,Result_notebook_retravaill!M965))</f>
        <v>0</v>
      </c>
      <c r="M965" s="31">
        <f t="shared" si="15"/>
        <v>0</v>
      </c>
    </row>
    <row r="966" spans="1:13" x14ac:dyDescent="0.35">
      <c r="A966">
        <f>Result_notebook_retravaill!A966</f>
        <v>2035</v>
      </c>
      <c r="B966" t="str">
        <f>Result_notebook_retravaill!B966</f>
        <v>Graphite</v>
      </c>
      <c r="C966" t="str">
        <f>Result_notebook_retravaill!C966</f>
        <v>Canada Net-zero</v>
      </c>
      <c r="D966" t="str">
        <f>Result_notebook_retravaill!D966</f>
        <v>Production potential</v>
      </c>
      <c r="E966" t="str">
        <f>Result_notebook_retravaill!E966</f>
        <v>100% CAN</v>
      </c>
      <c r="F966" t="str">
        <f>Result_notebook_retravaill!F966</f>
        <v>Integrated</v>
      </c>
      <c r="G966">
        <f>Result_notebook_retravaill!G966</f>
        <v>3066.2923431360991</v>
      </c>
      <c r="H966" s="32">
        <f>IF(Result_notebook_retravaill!I966&gt;Result_notebook_retravaill!G966,Result_notebook_retravaill!I966/Result_notebook_retravaill!N966,Result_notebook_retravaill!H966)</f>
        <v>86201.008450571899</v>
      </c>
      <c r="I966" s="32">
        <f>Result_notebook_retravaill!K966</f>
        <v>0</v>
      </c>
      <c r="J966" s="32">
        <f>MIN(G966,Result_notebook_retravaill!I966)</f>
        <v>3066.2923431360991</v>
      </c>
      <c r="K966" s="32">
        <f>IF(Result_notebook_retravaill!I966&gt;Result_notebook_retravaill!G966,0,IF(Result_notebook_retravaill!I966+Result_notebook_retravaill!J966&gt;Result_notebook_retravaill!G966,Result_notebook_retravaill!G966-Result_notebook_retravaill!I966,Result_notebook_retravaill!J966))</f>
        <v>0</v>
      </c>
      <c r="L966" s="32">
        <f>IF(Result_notebook_retravaill!I966&gt;Result_notebook_retravaill!G966,0,IF(Result_notebook_retravaill!I966+Result_notebook_retravaill!J966&gt;Result_notebook_retravaill!G966,0,Result_notebook_retravaill!M966))</f>
        <v>0</v>
      </c>
      <c r="M966" s="31">
        <f t="shared" si="15"/>
        <v>0</v>
      </c>
    </row>
    <row r="967" spans="1:13" x14ac:dyDescent="0.35">
      <c r="A967">
        <f>Result_notebook_retravaill!A967</f>
        <v>2035</v>
      </c>
      <c r="B967" t="str">
        <f>Result_notebook_retravaill!B967</f>
        <v>Graphite</v>
      </c>
      <c r="C967" t="str">
        <f>Result_notebook_retravaill!C967</f>
        <v>Current Measures</v>
      </c>
      <c r="D967" t="str">
        <f>Result_notebook_retravaill!D967</f>
        <v>Existing production</v>
      </c>
      <c r="E967" t="str">
        <f>Result_notebook_retravaill!E967</f>
        <v>Current shares</v>
      </c>
      <c r="F967" t="str">
        <f>Result_notebook_retravaill!F967</f>
        <v>NIMBY</v>
      </c>
      <c r="G967">
        <f>Result_notebook_retravaill!G967</f>
        <v>1155.663795288184</v>
      </c>
      <c r="H967" s="32">
        <f>IF(Result_notebook_retravaill!I967&gt;Result_notebook_retravaill!G967,Result_notebook_retravaill!I967/Result_notebook_retravaill!N967,Result_notebook_retravaill!H967)</f>
        <v>0</v>
      </c>
      <c r="I967" s="32">
        <f>Result_notebook_retravaill!K967</f>
        <v>1155.663795288184</v>
      </c>
      <c r="J967" s="32">
        <f>MIN(G967,Result_notebook_retravaill!I967)</f>
        <v>0</v>
      </c>
      <c r="K967" s="32">
        <f>IF(Result_notebook_retravaill!I967&gt;Result_notebook_retravaill!G967,0,IF(Result_notebook_retravaill!I967+Result_notebook_retravaill!J967&gt;Result_notebook_retravaill!G967,Result_notebook_retravaill!G967-Result_notebook_retravaill!I967,Result_notebook_retravaill!J967))</f>
        <v>0</v>
      </c>
      <c r="L967" s="32">
        <f>IF(Result_notebook_retravaill!I967&gt;Result_notebook_retravaill!G967,0,IF(Result_notebook_retravaill!I967+Result_notebook_retravaill!J967&gt;Result_notebook_retravaill!G967,0,Result_notebook_retravaill!M967))</f>
        <v>1155.663795288184</v>
      </c>
      <c r="M967" s="31">
        <f t="shared" si="15"/>
        <v>0</v>
      </c>
    </row>
    <row r="968" spans="1:13" x14ac:dyDescent="0.35">
      <c r="A968">
        <f>Result_notebook_retravaill!A968</f>
        <v>2035</v>
      </c>
      <c r="B968" t="str">
        <f>Result_notebook_retravaill!B968</f>
        <v>Graphite</v>
      </c>
      <c r="C968" t="str">
        <f>Result_notebook_retravaill!C968</f>
        <v>Current Measures</v>
      </c>
      <c r="D968" t="str">
        <f>Result_notebook_retravaill!D968</f>
        <v>Existing production</v>
      </c>
      <c r="E968" t="str">
        <f>Result_notebook_retravaill!E968</f>
        <v>Current shares</v>
      </c>
      <c r="F968" t="str">
        <f>Result_notebook_retravaill!F968</f>
        <v>Status Quo</v>
      </c>
      <c r="G968">
        <f>Result_notebook_retravaill!G968</f>
        <v>1155.663795288184</v>
      </c>
      <c r="H968" s="32">
        <f>IF(Result_notebook_retravaill!I968&gt;Result_notebook_retravaill!G968,Result_notebook_retravaill!I968/Result_notebook_retravaill!N968,Result_notebook_retravaill!H968)</f>
        <v>0</v>
      </c>
      <c r="I968" s="32">
        <f>Result_notebook_retravaill!K968</f>
        <v>1155.663795288184</v>
      </c>
      <c r="J968" s="32">
        <f>MIN(G968,Result_notebook_retravaill!I968)</f>
        <v>0</v>
      </c>
      <c r="K968" s="32">
        <f>IF(Result_notebook_retravaill!I968&gt;Result_notebook_retravaill!G968,0,IF(Result_notebook_retravaill!I968+Result_notebook_retravaill!J968&gt;Result_notebook_retravaill!G968,Result_notebook_retravaill!G968-Result_notebook_retravaill!I968,Result_notebook_retravaill!J968))</f>
        <v>0</v>
      </c>
      <c r="L968" s="32">
        <f>IF(Result_notebook_retravaill!I968&gt;Result_notebook_retravaill!G968,0,IF(Result_notebook_retravaill!I968+Result_notebook_retravaill!J968&gt;Result_notebook_retravaill!G968,0,Result_notebook_retravaill!M968))</f>
        <v>1155.663795288184</v>
      </c>
      <c r="M968" s="31">
        <f t="shared" si="15"/>
        <v>0</v>
      </c>
    </row>
    <row r="969" spans="1:13" x14ac:dyDescent="0.35">
      <c r="A969">
        <f>Result_notebook_retravaill!A969</f>
        <v>2035</v>
      </c>
      <c r="B969" t="str">
        <f>Result_notebook_retravaill!B969</f>
        <v>Graphite</v>
      </c>
      <c r="C969" t="str">
        <f>Result_notebook_retravaill!C969</f>
        <v>Current Measures</v>
      </c>
      <c r="D969" t="str">
        <f>Result_notebook_retravaill!D969</f>
        <v>Production potential</v>
      </c>
      <c r="E969" t="str">
        <f>Result_notebook_retravaill!E969</f>
        <v>Current shares</v>
      </c>
      <c r="F969" t="str">
        <f>Result_notebook_retravaill!F969</f>
        <v>Expansion Extractive</v>
      </c>
      <c r="G969">
        <f>Result_notebook_retravaill!G969</f>
        <v>1155.663795288184</v>
      </c>
      <c r="H969" s="32">
        <f>IF(Result_notebook_retravaill!I969&gt;Result_notebook_retravaill!G969,Result_notebook_retravaill!I969/Result_notebook_retravaill!N969,Result_notebook_retravaill!H969)</f>
        <v>86201.008450571899</v>
      </c>
      <c r="I969" s="32">
        <f>Result_notebook_retravaill!K969</f>
        <v>0</v>
      </c>
      <c r="J969" s="32">
        <f>MIN(G969,Result_notebook_retravaill!I969)</f>
        <v>1155.663795288184</v>
      </c>
      <c r="K969" s="32">
        <f>IF(Result_notebook_retravaill!I969&gt;Result_notebook_retravaill!G969,0,IF(Result_notebook_retravaill!I969+Result_notebook_retravaill!J969&gt;Result_notebook_retravaill!G969,Result_notebook_retravaill!G969-Result_notebook_retravaill!I969,Result_notebook_retravaill!J969))</f>
        <v>0</v>
      </c>
      <c r="L969" s="32">
        <f>IF(Result_notebook_retravaill!I969&gt;Result_notebook_retravaill!G969,0,IF(Result_notebook_retravaill!I969+Result_notebook_retravaill!J969&gt;Result_notebook_retravaill!G969,0,Result_notebook_retravaill!M969))</f>
        <v>0</v>
      </c>
      <c r="M969" s="31">
        <f t="shared" si="15"/>
        <v>0</v>
      </c>
    </row>
    <row r="970" spans="1:13" x14ac:dyDescent="0.35">
      <c r="A970">
        <f>Result_notebook_retravaill!A970</f>
        <v>2035</v>
      </c>
      <c r="B970" t="str">
        <f>Result_notebook_retravaill!B970</f>
        <v>Graphite</v>
      </c>
      <c r="C970" t="str">
        <f>Result_notebook_retravaill!C970</f>
        <v>Current Measures</v>
      </c>
      <c r="D970" t="str">
        <f>Result_notebook_retravaill!D970</f>
        <v>Production potential</v>
      </c>
      <c r="E970" t="str">
        <f>Result_notebook_retravaill!E970</f>
        <v>Current shares</v>
      </c>
      <c r="F970" t="str">
        <f>Result_notebook_retravaill!F970</f>
        <v>Expansion Extractive+Circularity</v>
      </c>
      <c r="G970">
        <f>Result_notebook_retravaill!G970</f>
        <v>1155.663795288184</v>
      </c>
      <c r="H970" s="32">
        <f>IF(Result_notebook_retravaill!I970&gt;Result_notebook_retravaill!G970,Result_notebook_retravaill!I970/Result_notebook_retravaill!N970,Result_notebook_retravaill!H970)</f>
        <v>86201.008450571899</v>
      </c>
      <c r="I970" s="32">
        <f>Result_notebook_retravaill!K970</f>
        <v>0</v>
      </c>
      <c r="J970" s="32">
        <f>MIN(G970,Result_notebook_retravaill!I970)</f>
        <v>1155.663795288184</v>
      </c>
      <c r="K970" s="32">
        <f>IF(Result_notebook_retravaill!I970&gt;Result_notebook_retravaill!G970,0,IF(Result_notebook_retravaill!I970+Result_notebook_retravaill!J970&gt;Result_notebook_retravaill!G970,Result_notebook_retravaill!G970-Result_notebook_retravaill!I970,Result_notebook_retravaill!J970))</f>
        <v>0</v>
      </c>
      <c r="L970" s="32">
        <f>IF(Result_notebook_retravaill!I970&gt;Result_notebook_retravaill!G970,0,IF(Result_notebook_retravaill!I970+Result_notebook_retravaill!J970&gt;Result_notebook_retravaill!G970,0,Result_notebook_retravaill!M970))</f>
        <v>0</v>
      </c>
      <c r="M970" s="31">
        <f t="shared" si="15"/>
        <v>0</v>
      </c>
    </row>
    <row r="971" spans="1:13" x14ac:dyDescent="0.35">
      <c r="A971">
        <f>Result_notebook_retravaill!A971</f>
        <v>2035</v>
      </c>
      <c r="B971" t="str">
        <f>Result_notebook_retravaill!B971</f>
        <v>Graphite</v>
      </c>
      <c r="C971" t="str">
        <f>Result_notebook_retravaill!C971</f>
        <v>Current Measures</v>
      </c>
      <c r="D971" t="str">
        <f>Result_notebook_retravaill!D971</f>
        <v>Production potential</v>
      </c>
      <c r="E971" t="str">
        <f>Result_notebook_retravaill!E971</f>
        <v>100% CAN</v>
      </c>
      <c r="F971" t="str">
        <f>Result_notebook_retravaill!F971</f>
        <v>Integrated</v>
      </c>
      <c r="G971">
        <f>Result_notebook_retravaill!G971</f>
        <v>1155.663795288184</v>
      </c>
      <c r="H971" s="32">
        <f>IF(Result_notebook_retravaill!I971&gt;Result_notebook_retravaill!G971,Result_notebook_retravaill!I971/Result_notebook_retravaill!N971,Result_notebook_retravaill!H971)</f>
        <v>86201.008450571899</v>
      </c>
      <c r="I971" s="32">
        <f>Result_notebook_retravaill!K971</f>
        <v>0</v>
      </c>
      <c r="J971" s="32">
        <f>MIN(G971,Result_notebook_retravaill!I971)</f>
        <v>1155.663795288184</v>
      </c>
      <c r="K971" s="32">
        <f>IF(Result_notebook_retravaill!I971&gt;Result_notebook_retravaill!G971,0,IF(Result_notebook_retravaill!I971+Result_notebook_retravaill!J971&gt;Result_notebook_retravaill!G971,Result_notebook_retravaill!G971-Result_notebook_retravaill!I971,Result_notebook_retravaill!J971))</f>
        <v>0</v>
      </c>
      <c r="L971" s="32">
        <f>IF(Result_notebook_retravaill!I971&gt;Result_notebook_retravaill!G971,0,IF(Result_notebook_retravaill!I971+Result_notebook_retravaill!J971&gt;Result_notebook_retravaill!G971,0,Result_notebook_retravaill!M971))</f>
        <v>0</v>
      </c>
      <c r="M971" s="31">
        <f t="shared" si="15"/>
        <v>0</v>
      </c>
    </row>
    <row r="972" spans="1:13" x14ac:dyDescent="0.35">
      <c r="A972">
        <f>Result_notebook_retravaill!A972</f>
        <v>2035</v>
      </c>
      <c r="B972" t="str">
        <f>Result_notebook_retravaill!B972</f>
        <v>Graphite</v>
      </c>
      <c r="C972" t="str">
        <f>Result_notebook_retravaill!C972</f>
        <v>Global Net-zero</v>
      </c>
      <c r="D972" t="str">
        <f>Result_notebook_retravaill!D972</f>
        <v>Existing production</v>
      </c>
      <c r="E972" t="str">
        <f>Result_notebook_retravaill!E972</f>
        <v>Current shares</v>
      </c>
      <c r="F972" t="str">
        <f>Result_notebook_retravaill!F972</f>
        <v>NIMBY</v>
      </c>
      <c r="G972">
        <f>Result_notebook_retravaill!G972</f>
        <v>2917.7788379064118</v>
      </c>
      <c r="H972" s="32">
        <f>IF(Result_notebook_retravaill!I972&gt;Result_notebook_retravaill!G972,Result_notebook_retravaill!I972/Result_notebook_retravaill!N972,Result_notebook_retravaill!H972)</f>
        <v>0</v>
      </c>
      <c r="I972" s="32">
        <f>Result_notebook_retravaill!K972</f>
        <v>2917.7788379064118</v>
      </c>
      <c r="J972" s="32">
        <f>MIN(G972,Result_notebook_retravaill!I972)</f>
        <v>0</v>
      </c>
      <c r="K972" s="32">
        <f>IF(Result_notebook_retravaill!I972&gt;Result_notebook_retravaill!G972,0,IF(Result_notebook_retravaill!I972+Result_notebook_retravaill!J972&gt;Result_notebook_retravaill!G972,Result_notebook_retravaill!G972-Result_notebook_retravaill!I972,Result_notebook_retravaill!J972))</f>
        <v>0</v>
      </c>
      <c r="L972" s="32">
        <f>IF(Result_notebook_retravaill!I972&gt;Result_notebook_retravaill!G972,0,IF(Result_notebook_retravaill!I972+Result_notebook_retravaill!J972&gt;Result_notebook_retravaill!G972,0,Result_notebook_retravaill!M972))</f>
        <v>2917.7788379064118</v>
      </c>
      <c r="M972" s="31">
        <f t="shared" si="15"/>
        <v>0</v>
      </c>
    </row>
    <row r="973" spans="1:13" x14ac:dyDescent="0.35">
      <c r="A973">
        <f>Result_notebook_retravaill!A973</f>
        <v>2035</v>
      </c>
      <c r="B973" t="str">
        <f>Result_notebook_retravaill!B973</f>
        <v>Graphite</v>
      </c>
      <c r="C973" t="str">
        <f>Result_notebook_retravaill!C973</f>
        <v>Global Net-zero</v>
      </c>
      <c r="D973" t="str">
        <f>Result_notebook_retravaill!D973</f>
        <v>Existing production</v>
      </c>
      <c r="E973" t="str">
        <f>Result_notebook_retravaill!E973</f>
        <v>Current shares</v>
      </c>
      <c r="F973" t="str">
        <f>Result_notebook_retravaill!F973</f>
        <v>Status Quo</v>
      </c>
      <c r="G973">
        <f>Result_notebook_retravaill!G973</f>
        <v>2917.7788379064118</v>
      </c>
      <c r="H973" s="32">
        <f>IF(Result_notebook_retravaill!I973&gt;Result_notebook_retravaill!G973,Result_notebook_retravaill!I973/Result_notebook_retravaill!N973,Result_notebook_retravaill!H973)</f>
        <v>0</v>
      </c>
      <c r="I973" s="32">
        <f>Result_notebook_retravaill!K973</f>
        <v>2917.7788379064118</v>
      </c>
      <c r="J973" s="32">
        <f>MIN(G973,Result_notebook_retravaill!I973)</f>
        <v>0</v>
      </c>
      <c r="K973" s="32">
        <f>IF(Result_notebook_retravaill!I973&gt;Result_notebook_retravaill!G973,0,IF(Result_notebook_retravaill!I973+Result_notebook_retravaill!J973&gt;Result_notebook_retravaill!G973,Result_notebook_retravaill!G973-Result_notebook_retravaill!I973,Result_notebook_retravaill!J973))</f>
        <v>0</v>
      </c>
      <c r="L973" s="32">
        <f>IF(Result_notebook_retravaill!I973&gt;Result_notebook_retravaill!G973,0,IF(Result_notebook_retravaill!I973+Result_notebook_retravaill!J973&gt;Result_notebook_retravaill!G973,0,Result_notebook_retravaill!M973))</f>
        <v>2917.7788379064118</v>
      </c>
      <c r="M973" s="31">
        <f t="shared" si="15"/>
        <v>0</v>
      </c>
    </row>
    <row r="974" spans="1:13" x14ac:dyDescent="0.35">
      <c r="A974">
        <f>Result_notebook_retravaill!A974</f>
        <v>2035</v>
      </c>
      <c r="B974" t="str">
        <f>Result_notebook_retravaill!B974</f>
        <v>Graphite</v>
      </c>
      <c r="C974" t="str">
        <f>Result_notebook_retravaill!C974</f>
        <v>Global Net-zero</v>
      </c>
      <c r="D974" t="str">
        <f>Result_notebook_retravaill!D974</f>
        <v>Production potential</v>
      </c>
      <c r="E974" t="str">
        <f>Result_notebook_retravaill!E974</f>
        <v>Current shares</v>
      </c>
      <c r="F974" t="str">
        <f>Result_notebook_retravaill!F974</f>
        <v>Expansion Extractive</v>
      </c>
      <c r="G974">
        <f>Result_notebook_retravaill!G974</f>
        <v>2917.7788379064118</v>
      </c>
      <c r="H974" s="32">
        <f>IF(Result_notebook_retravaill!I974&gt;Result_notebook_retravaill!G974,Result_notebook_retravaill!I974/Result_notebook_retravaill!N974,Result_notebook_retravaill!H974)</f>
        <v>86201.008450571899</v>
      </c>
      <c r="I974" s="32">
        <f>Result_notebook_retravaill!K974</f>
        <v>0</v>
      </c>
      <c r="J974" s="32">
        <f>MIN(G974,Result_notebook_retravaill!I974)</f>
        <v>2917.7788379064118</v>
      </c>
      <c r="K974" s="32">
        <f>IF(Result_notebook_retravaill!I974&gt;Result_notebook_retravaill!G974,0,IF(Result_notebook_retravaill!I974+Result_notebook_retravaill!J974&gt;Result_notebook_retravaill!G974,Result_notebook_retravaill!G974-Result_notebook_retravaill!I974,Result_notebook_retravaill!J974))</f>
        <v>0</v>
      </c>
      <c r="L974" s="32">
        <f>IF(Result_notebook_retravaill!I974&gt;Result_notebook_retravaill!G974,0,IF(Result_notebook_retravaill!I974+Result_notebook_retravaill!J974&gt;Result_notebook_retravaill!G974,0,Result_notebook_retravaill!M974))</f>
        <v>0</v>
      </c>
      <c r="M974" s="31">
        <f t="shared" si="15"/>
        <v>0</v>
      </c>
    </row>
    <row r="975" spans="1:13" x14ac:dyDescent="0.35">
      <c r="A975">
        <f>Result_notebook_retravaill!A975</f>
        <v>2035</v>
      </c>
      <c r="B975" t="str">
        <f>Result_notebook_retravaill!B975</f>
        <v>Graphite</v>
      </c>
      <c r="C975" t="str">
        <f>Result_notebook_retravaill!C975</f>
        <v>Global Net-zero</v>
      </c>
      <c r="D975" t="str">
        <f>Result_notebook_retravaill!D975</f>
        <v>Production potential</v>
      </c>
      <c r="E975" t="str">
        <f>Result_notebook_retravaill!E975</f>
        <v>Current shares</v>
      </c>
      <c r="F975" t="str">
        <f>Result_notebook_retravaill!F975</f>
        <v>Expansion Extractive+Circularity</v>
      </c>
      <c r="G975">
        <f>Result_notebook_retravaill!G975</f>
        <v>2917.7788379064118</v>
      </c>
      <c r="H975" s="32">
        <f>IF(Result_notebook_retravaill!I975&gt;Result_notebook_retravaill!G975,Result_notebook_retravaill!I975/Result_notebook_retravaill!N975,Result_notebook_retravaill!H975)</f>
        <v>86201.008450571899</v>
      </c>
      <c r="I975" s="32">
        <f>Result_notebook_retravaill!K975</f>
        <v>0</v>
      </c>
      <c r="J975" s="32">
        <f>MIN(G975,Result_notebook_retravaill!I975)</f>
        <v>2917.7788379064118</v>
      </c>
      <c r="K975" s="32">
        <f>IF(Result_notebook_retravaill!I975&gt;Result_notebook_retravaill!G975,0,IF(Result_notebook_retravaill!I975+Result_notebook_retravaill!J975&gt;Result_notebook_retravaill!G975,Result_notebook_retravaill!G975-Result_notebook_retravaill!I975,Result_notebook_retravaill!J975))</f>
        <v>0</v>
      </c>
      <c r="L975" s="32">
        <f>IF(Result_notebook_retravaill!I975&gt;Result_notebook_retravaill!G975,0,IF(Result_notebook_retravaill!I975+Result_notebook_retravaill!J975&gt;Result_notebook_retravaill!G975,0,Result_notebook_retravaill!M975))</f>
        <v>0</v>
      </c>
      <c r="M975" s="31">
        <f t="shared" si="15"/>
        <v>0</v>
      </c>
    </row>
    <row r="976" spans="1:13" x14ac:dyDescent="0.35">
      <c r="A976">
        <f>Result_notebook_retravaill!A976</f>
        <v>2035</v>
      </c>
      <c r="B976" t="str">
        <f>Result_notebook_retravaill!B976</f>
        <v>Graphite</v>
      </c>
      <c r="C976" t="str">
        <f>Result_notebook_retravaill!C976</f>
        <v>Global Net-zero</v>
      </c>
      <c r="D976" t="str">
        <f>Result_notebook_retravaill!D976</f>
        <v>Production potential</v>
      </c>
      <c r="E976" t="str">
        <f>Result_notebook_retravaill!E976</f>
        <v>100% CAN</v>
      </c>
      <c r="F976" t="str">
        <f>Result_notebook_retravaill!F976</f>
        <v>Integrated</v>
      </c>
      <c r="G976">
        <f>Result_notebook_retravaill!G976</f>
        <v>2917.7788379064118</v>
      </c>
      <c r="H976" s="32">
        <f>IF(Result_notebook_retravaill!I976&gt;Result_notebook_retravaill!G976,Result_notebook_retravaill!I976/Result_notebook_retravaill!N976,Result_notebook_retravaill!H976)</f>
        <v>86201.008450571899</v>
      </c>
      <c r="I976" s="32">
        <f>Result_notebook_retravaill!K976</f>
        <v>0</v>
      </c>
      <c r="J976" s="32">
        <f>MIN(G976,Result_notebook_retravaill!I976)</f>
        <v>2917.7788379064118</v>
      </c>
      <c r="K976" s="32">
        <f>IF(Result_notebook_retravaill!I976&gt;Result_notebook_retravaill!G976,0,IF(Result_notebook_retravaill!I976+Result_notebook_retravaill!J976&gt;Result_notebook_retravaill!G976,Result_notebook_retravaill!G976-Result_notebook_retravaill!I976,Result_notebook_retravaill!J976))</f>
        <v>0</v>
      </c>
      <c r="L976" s="32">
        <f>IF(Result_notebook_retravaill!I976&gt;Result_notebook_retravaill!G976,0,IF(Result_notebook_retravaill!I976+Result_notebook_retravaill!J976&gt;Result_notebook_retravaill!G976,0,Result_notebook_retravaill!M976))</f>
        <v>0</v>
      </c>
      <c r="M976" s="31">
        <f t="shared" si="15"/>
        <v>0</v>
      </c>
    </row>
    <row r="977" spans="1:13" x14ac:dyDescent="0.35">
      <c r="A977">
        <f>Result_notebook_retravaill!A977</f>
        <v>2035</v>
      </c>
      <c r="B977" t="str">
        <f>Result_notebook_retravaill!B977</f>
        <v>Lithium</v>
      </c>
      <c r="C977" t="str">
        <f>Result_notebook_retravaill!C977</f>
        <v>Canada Net-zero</v>
      </c>
      <c r="D977" t="str">
        <f>Result_notebook_retravaill!D977</f>
        <v>Existing production</v>
      </c>
      <c r="E977" t="str">
        <f>Result_notebook_retravaill!E977</f>
        <v>Current shares</v>
      </c>
      <c r="F977" t="str">
        <f>Result_notebook_retravaill!F977</f>
        <v>NIMBY</v>
      </c>
      <c r="G977">
        <f>Result_notebook_retravaill!G977</f>
        <v>62177.458189905767</v>
      </c>
      <c r="H977" s="32">
        <f>IF(Result_notebook_retravaill!I977&gt;Result_notebook_retravaill!G977,Result_notebook_retravaill!I977/Result_notebook_retravaill!N977,Result_notebook_retravaill!H977)</f>
        <v>0</v>
      </c>
      <c r="I977" s="32">
        <f>Result_notebook_retravaill!K977</f>
        <v>88824.940271293963</v>
      </c>
      <c r="J977" s="32">
        <f>MIN(G977,Result_notebook_retravaill!I977)</f>
        <v>0</v>
      </c>
      <c r="K977" s="32">
        <f>IF(Result_notebook_retravaill!I977&gt;Result_notebook_retravaill!G977,0,IF(Result_notebook_retravaill!I977+Result_notebook_retravaill!J977&gt;Result_notebook_retravaill!G977,Result_notebook_retravaill!G977-Result_notebook_retravaill!I977,Result_notebook_retravaill!J977))</f>
        <v>0</v>
      </c>
      <c r="L977" s="32">
        <f>IF(Result_notebook_retravaill!I977&gt;Result_notebook_retravaill!G977,0,IF(Result_notebook_retravaill!I977+Result_notebook_retravaill!J977&gt;Result_notebook_retravaill!G977,0,Result_notebook_retravaill!M977))</f>
        <v>62177.458189905767</v>
      </c>
      <c r="M977" s="31">
        <f t="shared" si="15"/>
        <v>0</v>
      </c>
    </row>
    <row r="978" spans="1:13" x14ac:dyDescent="0.35">
      <c r="A978">
        <f>Result_notebook_retravaill!A978</f>
        <v>2035</v>
      </c>
      <c r="B978" t="str">
        <f>Result_notebook_retravaill!B978</f>
        <v>Lithium</v>
      </c>
      <c r="C978" t="str">
        <f>Result_notebook_retravaill!C978</f>
        <v>Canada Net-zero</v>
      </c>
      <c r="D978" t="str">
        <f>Result_notebook_retravaill!D978</f>
        <v>Existing production</v>
      </c>
      <c r="E978" t="str">
        <f>Result_notebook_retravaill!E978</f>
        <v>Current shares</v>
      </c>
      <c r="F978" t="str">
        <f>Result_notebook_retravaill!F978</f>
        <v>Status Quo</v>
      </c>
      <c r="G978">
        <f>Result_notebook_retravaill!G978</f>
        <v>62177.458189905767</v>
      </c>
      <c r="H978" s="32">
        <f>IF(Result_notebook_retravaill!I978&gt;Result_notebook_retravaill!G978,Result_notebook_retravaill!I978/Result_notebook_retravaill!N978,Result_notebook_retravaill!H978)</f>
        <v>40453</v>
      </c>
      <c r="I978" s="32">
        <f>Result_notebook_retravaill!K978</f>
        <v>48371.940271293963</v>
      </c>
      <c r="J978" s="32">
        <f>MIN(G978,Result_notebook_retravaill!I978)</f>
        <v>28283.5430599463</v>
      </c>
      <c r="K978" s="32">
        <f>IF(Result_notebook_retravaill!I978&gt;Result_notebook_retravaill!G978,0,IF(Result_notebook_retravaill!I978+Result_notebook_retravaill!J978&gt;Result_notebook_retravaill!G978,Result_notebook_retravaill!G978-Result_notebook_retravaill!I978,Result_notebook_retravaill!J978))</f>
        <v>3575.4192279229464</v>
      </c>
      <c r="L978" s="32">
        <f>IF(Result_notebook_retravaill!I978&gt;Result_notebook_retravaill!G978,0,IF(Result_notebook_retravaill!I978+Result_notebook_retravaill!J978&gt;Result_notebook_retravaill!G978,0,Result_notebook_retravaill!M978))</f>
        <v>30318.49590203652</v>
      </c>
      <c r="M978" s="31">
        <f t="shared" si="15"/>
        <v>0</v>
      </c>
    </row>
    <row r="979" spans="1:13" x14ac:dyDescent="0.35">
      <c r="A979">
        <f>Result_notebook_retravaill!A979</f>
        <v>2035</v>
      </c>
      <c r="B979" t="str">
        <f>Result_notebook_retravaill!B979</f>
        <v>Lithium</v>
      </c>
      <c r="C979" t="str">
        <f>Result_notebook_retravaill!C979</f>
        <v>Canada Net-zero</v>
      </c>
      <c r="D979" t="str">
        <f>Result_notebook_retravaill!D979</f>
        <v>Production potential</v>
      </c>
      <c r="E979" t="str">
        <f>Result_notebook_retravaill!E979</f>
        <v>Current shares</v>
      </c>
      <c r="F979" t="str">
        <f>Result_notebook_retravaill!F979</f>
        <v>Expansion Extractive</v>
      </c>
      <c r="G979">
        <f>Result_notebook_retravaill!G979</f>
        <v>62177.458189905767</v>
      </c>
      <c r="H979" s="32">
        <f>IF(Result_notebook_retravaill!I979&gt;Result_notebook_retravaill!G979,Result_notebook_retravaill!I979/Result_notebook_retravaill!N979,Result_notebook_retravaill!H979)</f>
        <v>129722.66571102699</v>
      </c>
      <c r="I979" s="32">
        <f>Result_notebook_retravaill!K979</f>
        <v>0</v>
      </c>
      <c r="J979" s="32">
        <f>MIN(G979,Result_notebook_retravaill!I979)</f>
        <v>62177.458189905767</v>
      </c>
      <c r="K979" s="32">
        <f>IF(Result_notebook_retravaill!I979&gt;Result_notebook_retravaill!G979,0,IF(Result_notebook_retravaill!I979+Result_notebook_retravaill!J979&gt;Result_notebook_retravaill!G979,Result_notebook_retravaill!G979-Result_notebook_retravaill!I979,Result_notebook_retravaill!J979))</f>
        <v>0</v>
      </c>
      <c r="L979" s="32">
        <f>IF(Result_notebook_retravaill!I979&gt;Result_notebook_retravaill!G979,0,IF(Result_notebook_retravaill!I979+Result_notebook_retravaill!J979&gt;Result_notebook_retravaill!G979,0,Result_notebook_retravaill!M979))</f>
        <v>0</v>
      </c>
      <c r="M979" s="31">
        <f t="shared" si="15"/>
        <v>0</v>
      </c>
    </row>
    <row r="980" spans="1:13" x14ac:dyDescent="0.35">
      <c r="A980">
        <f>Result_notebook_retravaill!A980</f>
        <v>2035</v>
      </c>
      <c r="B980" t="str">
        <f>Result_notebook_retravaill!B980</f>
        <v>Lithium</v>
      </c>
      <c r="C980" t="str">
        <f>Result_notebook_retravaill!C980</f>
        <v>Canada Net-zero</v>
      </c>
      <c r="D980" t="str">
        <f>Result_notebook_retravaill!D980</f>
        <v>Production potential</v>
      </c>
      <c r="E980" t="str">
        <f>Result_notebook_retravaill!E980</f>
        <v>Current shares</v>
      </c>
      <c r="F980" t="str">
        <f>Result_notebook_retravaill!F980</f>
        <v>Expansion Extractive+Circularity</v>
      </c>
      <c r="G980">
        <f>Result_notebook_retravaill!G980</f>
        <v>62177.458189905767</v>
      </c>
      <c r="H980" s="32">
        <f>IF(Result_notebook_retravaill!I980&gt;Result_notebook_retravaill!G980,Result_notebook_retravaill!I980/Result_notebook_retravaill!N980,Result_notebook_retravaill!H980)</f>
        <v>129722.66571102699</v>
      </c>
      <c r="I980" s="32">
        <f>Result_notebook_retravaill!K980</f>
        <v>0</v>
      </c>
      <c r="J980" s="32">
        <f>MIN(G980,Result_notebook_retravaill!I980)</f>
        <v>62177.458189905767</v>
      </c>
      <c r="K980" s="32">
        <f>IF(Result_notebook_retravaill!I980&gt;Result_notebook_retravaill!G980,0,IF(Result_notebook_retravaill!I980+Result_notebook_retravaill!J980&gt;Result_notebook_retravaill!G980,Result_notebook_retravaill!G980-Result_notebook_retravaill!I980,Result_notebook_retravaill!J980))</f>
        <v>0</v>
      </c>
      <c r="L980" s="32">
        <f>IF(Result_notebook_retravaill!I980&gt;Result_notebook_retravaill!G980,0,IF(Result_notebook_retravaill!I980+Result_notebook_retravaill!J980&gt;Result_notebook_retravaill!G980,0,Result_notebook_retravaill!M980))</f>
        <v>0</v>
      </c>
      <c r="M980" s="31">
        <f t="shared" si="15"/>
        <v>0</v>
      </c>
    </row>
    <row r="981" spans="1:13" x14ac:dyDescent="0.35">
      <c r="A981">
        <f>Result_notebook_retravaill!A981</f>
        <v>2035</v>
      </c>
      <c r="B981" t="str">
        <f>Result_notebook_retravaill!B981</f>
        <v>Lithium</v>
      </c>
      <c r="C981" t="str">
        <f>Result_notebook_retravaill!C981</f>
        <v>Canada Net-zero</v>
      </c>
      <c r="D981" t="str">
        <f>Result_notebook_retravaill!D981</f>
        <v>Production potential</v>
      </c>
      <c r="E981" t="str">
        <f>Result_notebook_retravaill!E981</f>
        <v>100% CAN</v>
      </c>
      <c r="F981" t="str">
        <f>Result_notebook_retravaill!F981</f>
        <v>Integrated</v>
      </c>
      <c r="G981">
        <f>Result_notebook_retravaill!G981</f>
        <v>62177.458189905767</v>
      </c>
      <c r="H981" s="32">
        <f>IF(Result_notebook_retravaill!I981&gt;Result_notebook_retravaill!G981,Result_notebook_retravaill!I981/Result_notebook_retravaill!N981,Result_notebook_retravaill!H981)</f>
        <v>129722.66571102699</v>
      </c>
      <c r="I981" s="32">
        <f>Result_notebook_retravaill!K981</f>
        <v>0</v>
      </c>
      <c r="J981" s="32">
        <f>MIN(G981,Result_notebook_retravaill!I981)</f>
        <v>62177.458189905767</v>
      </c>
      <c r="K981" s="32">
        <f>IF(Result_notebook_retravaill!I981&gt;Result_notebook_retravaill!G981,0,IF(Result_notebook_retravaill!I981+Result_notebook_retravaill!J981&gt;Result_notebook_retravaill!G981,Result_notebook_retravaill!G981-Result_notebook_retravaill!I981,Result_notebook_retravaill!J981))</f>
        <v>0</v>
      </c>
      <c r="L981" s="32">
        <f>IF(Result_notebook_retravaill!I981&gt;Result_notebook_retravaill!G981,0,IF(Result_notebook_retravaill!I981+Result_notebook_retravaill!J981&gt;Result_notebook_retravaill!G981,0,Result_notebook_retravaill!M981))</f>
        <v>0</v>
      </c>
      <c r="M981" s="31">
        <f t="shared" si="15"/>
        <v>0</v>
      </c>
    </row>
    <row r="982" spans="1:13" x14ac:dyDescent="0.35">
      <c r="A982">
        <f>Result_notebook_retravaill!A982</f>
        <v>2035</v>
      </c>
      <c r="B982" t="str">
        <f>Result_notebook_retravaill!B982</f>
        <v>Lithium</v>
      </c>
      <c r="C982" t="str">
        <f>Result_notebook_retravaill!C982</f>
        <v>Current Measures</v>
      </c>
      <c r="D982" t="str">
        <f>Result_notebook_retravaill!D982</f>
        <v>Existing production</v>
      </c>
      <c r="E982" t="str">
        <f>Result_notebook_retravaill!E982</f>
        <v>Current shares</v>
      </c>
      <c r="F982" t="str">
        <f>Result_notebook_retravaill!F982</f>
        <v>NIMBY</v>
      </c>
      <c r="G982">
        <f>Result_notebook_retravaill!G982</f>
        <v>23434.242163494011</v>
      </c>
      <c r="H982" s="32">
        <f>IF(Result_notebook_retravaill!I982&gt;Result_notebook_retravaill!G982,Result_notebook_retravaill!I982/Result_notebook_retravaill!N982,Result_notebook_retravaill!H982)</f>
        <v>0</v>
      </c>
      <c r="I982" s="32">
        <f>Result_notebook_retravaill!K982</f>
        <v>33477.488804991437</v>
      </c>
      <c r="J982" s="32">
        <f>MIN(G982,Result_notebook_retravaill!I982)</f>
        <v>0</v>
      </c>
      <c r="K982" s="32">
        <f>IF(Result_notebook_retravaill!I982&gt;Result_notebook_retravaill!G982,0,IF(Result_notebook_retravaill!I982+Result_notebook_retravaill!J982&gt;Result_notebook_retravaill!G982,Result_notebook_retravaill!G982-Result_notebook_retravaill!I982,Result_notebook_retravaill!J982))</f>
        <v>0</v>
      </c>
      <c r="L982" s="32">
        <f>IF(Result_notebook_retravaill!I982&gt;Result_notebook_retravaill!G982,0,IF(Result_notebook_retravaill!I982+Result_notebook_retravaill!J982&gt;Result_notebook_retravaill!G982,0,Result_notebook_retravaill!M982))</f>
        <v>23434.242163494011</v>
      </c>
      <c r="M982" s="31">
        <f t="shared" si="15"/>
        <v>0</v>
      </c>
    </row>
    <row r="983" spans="1:13" x14ac:dyDescent="0.35">
      <c r="A983">
        <f>Result_notebook_retravaill!A983</f>
        <v>2035</v>
      </c>
      <c r="B983" t="str">
        <f>Result_notebook_retravaill!B983</f>
        <v>Lithium</v>
      </c>
      <c r="C983" t="str">
        <f>Result_notebook_retravaill!C983</f>
        <v>Current Measures</v>
      </c>
      <c r="D983" t="str">
        <f>Result_notebook_retravaill!D983</f>
        <v>Existing production</v>
      </c>
      <c r="E983" t="str">
        <f>Result_notebook_retravaill!E983</f>
        <v>Current shares</v>
      </c>
      <c r="F983" t="str">
        <f>Result_notebook_retravaill!F983</f>
        <v>Status Quo</v>
      </c>
      <c r="G983">
        <f>Result_notebook_retravaill!G983</f>
        <v>23434.242163494011</v>
      </c>
      <c r="H983" s="32">
        <f>IF(Result_notebook_retravaill!I983&gt;Result_notebook_retravaill!G983,Result_notebook_retravaill!I983/Result_notebook_retravaill!N983,Result_notebook_retravaill!H983)</f>
        <v>35913.102161512041</v>
      </c>
      <c r="I983" s="32">
        <f>Result_notebook_retravaill!K983</f>
        <v>0</v>
      </c>
      <c r="J983" s="32">
        <f>MIN(G983,Result_notebook_retravaill!I983)</f>
        <v>23434.242163494011</v>
      </c>
      <c r="K983" s="32">
        <f>IF(Result_notebook_retravaill!I983&gt;Result_notebook_retravaill!G983,0,IF(Result_notebook_retravaill!I983+Result_notebook_retravaill!J983&gt;Result_notebook_retravaill!G983,Result_notebook_retravaill!G983-Result_notebook_retravaill!I983,Result_notebook_retravaill!J983))</f>
        <v>0</v>
      </c>
      <c r="L983" s="32">
        <f>IF(Result_notebook_retravaill!I983&gt;Result_notebook_retravaill!G983,0,IF(Result_notebook_retravaill!I983+Result_notebook_retravaill!J983&gt;Result_notebook_retravaill!G983,0,Result_notebook_retravaill!M983))</f>
        <v>0</v>
      </c>
      <c r="M983" s="31">
        <f t="shared" si="15"/>
        <v>0</v>
      </c>
    </row>
    <row r="984" spans="1:13" x14ac:dyDescent="0.35">
      <c r="A984">
        <f>Result_notebook_retravaill!A984</f>
        <v>2035</v>
      </c>
      <c r="B984" t="str">
        <f>Result_notebook_retravaill!B984</f>
        <v>Lithium</v>
      </c>
      <c r="C984" t="str">
        <f>Result_notebook_retravaill!C984</f>
        <v>Current Measures</v>
      </c>
      <c r="D984" t="str">
        <f>Result_notebook_retravaill!D984</f>
        <v>Production potential</v>
      </c>
      <c r="E984" t="str">
        <f>Result_notebook_retravaill!E984</f>
        <v>Current shares</v>
      </c>
      <c r="F984" t="str">
        <f>Result_notebook_retravaill!F984</f>
        <v>Expansion Extractive</v>
      </c>
      <c r="G984">
        <f>Result_notebook_retravaill!G984</f>
        <v>23434.242163494011</v>
      </c>
      <c r="H984" s="32">
        <f>IF(Result_notebook_retravaill!I984&gt;Result_notebook_retravaill!G984,Result_notebook_retravaill!I984/Result_notebook_retravaill!N984,Result_notebook_retravaill!H984)</f>
        <v>129722.66571102699</v>
      </c>
      <c r="I984" s="32">
        <f>Result_notebook_retravaill!K984</f>
        <v>0</v>
      </c>
      <c r="J984" s="32">
        <f>MIN(G984,Result_notebook_retravaill!I984)</f>
        <v>23434.242163494011</v>
      </c>
      <c r="K984" s="32">
        <f>IF(Result_notebook_retravaill!I984&gt;Result_notebook_retravaill!G984,0,IF(Result_notebook_retravaill!I984+Result_notebook_retravaill!J984&gt;Result_notebook_retravaill!G984,Result_notebook_retravaill!G984-Result_notebook_retravaill!I984,Result_notebook_retravaill!J984))</f>
        <v>0</v>
      </c>
      <c r="L984" s="32">
        <f>IF(Result_notebook_retravaill!I984&gt;Result_notebook_retravaill!G984,0,IF(Result_notebook_retravaill!I984+Result_notebook_retravaill!J984&gt;Result_notebook_retravaill!G984,0,Result_notebook_retravaill!M984))</f>
        <v>0</v>
      </c>
      <c r="M984" s="31">
        <f t="shared" si="15"/>
        <v>0</v>
      </c>
    </row>
    <row r="985" spans="1:13" x14ac:dyDescent="0.35">
      <c r="A985">
        <f>Result_notebook_retravaill!A985</f>
        <v>2035</v>
      </c>
      <c r="B985" t="str">
        <f>Result_notebook_retravaill!B985</f>
        <v>Lithium</v>
      </c>
      <c r="C985" t="str">
        <f>Result_notebook_retravaill!C985</f>
        <v>Current Measures</v>
      </c>
      <c r="D985" t="str">
        <f>Result_notebook_retravaill!D985</f>
        <v>Production potential</v>
      </c>
      <c r="E985" t="str">
        <f>Result_notebook_retravaill!E985</f>
        <v>Current shares</v>
      </c>
      <c r="F985" t="str">
        <f>Result_notebook_retravaill!F985</f>
        <v>Expansion Extractive+Circularity</v>
      </c>
      <c r="G985">
        <f>Result_notebook_retravaill!G985</f>
        <v>23434.242163494011</v>
      </c>
      <c r="H985" s="32">
        <f>IF(Result_notebook_retravaill!I985&gt;Result_notebook_retravaill!G985,Result_notebook_retravaill!I985/Result_notebook_retravaill!N985,Result_notebook_retravaill!H985)</f>
        <v>129722.66571102699</v>
      </c>
      <c r="I985" s="32">
        <f>Result_notebook_retravaill!K985</f>
        <v>0</v>
      </c>
      <c r="J985" s="32">
        <f>MIN(G985,Result_notebook_retravaill!I985)</f>
        <v>23434.242163494011</v>
      </c>
      <c r="K985" s="32">
        <f>IF(Result_notebook_retravaill!I985&gt;Result_notebook_retravaill!G985,0,IF(Result_notebook_retravaill!I985+Result_notebook_retravaill!J985&gt;Result_notebook_retravaill!G985,Result_notebook_retravaill!G985-Result_notebook_retravaill!I985,Result_notebook_retravaill!J985))</f>
        <v>0</v>
      </c>
      <c r="L985" s="32">
        <f>IF(Result_notebook_retravaill!I985&gt;Result_notebook_retravaill!G985,0,IF(Result_notebook_retravaill!I985+Result_notebook_retravaill!J985&gt;Result_notebook_retravaill!G985,0,Result_notebook_retravaill!M985))</f>
        <v>0</v>
      </c>
      <c r="M985" s="31">
        <f t="shared" si="15"/>
        <v>0</v>
      </c>
    </row>
    <row r="986" spans="1:13" x14ac:dyDescent="0.35">
      <c r="A986">
        <f>Result_notebook_retravaill!A986</f>
        <v>2035</v>
      </c>
      <c r="B986" t="str">
        <f>Result_notebook_retravaill!B986</f>
        <v>Lithium</v>
      </c>
      <c r="C986" t="str">
        <f>Result_notebook_retravaill!C986</f>
        <v>Current Measures</v>
      </c>
      <c r="D986" t="str">
        <f>Result_notebook_retravaill!D986</f>
        <v>Production potential</v>
      </c>
      <c r="E986" t="str">
        <f>Result_notebook_retravaill!E986</f>
        <v>100% CAN</v>
      </c>
      <c r="F986" t="str">
        <f>Result_notebook_retravaill!F986</f>
        <v>Integrated</v>
      </c>
      <c r="G986">
        <f>Result_notebook_retravaill!G986</f>
        <v>23434.242163494011</v>
      </c>
      <c r="H986" s="32">
        <f>IF(Result_notebook_retravaill!I986&gt;Result_notebook_retravaill!G986,Result_notebook_retravaill!I986/Result_notebook_retravaill!N986,Result_notebook_retravaill!H986)</f>
        <v>129722.66571102699</v>
      </c>
      <c r="I986" s="32">
        <f>Result_notebook_retravaill!K986</f>
        <v>0</v>
      </c>
      <c r="J986" s="32">
        <f>MIN(G986,Result_notebook_retravaill!I986)</f>
        <v>23434.242163494011</v>
      </c>
      <c r="K986" s="32">
        <f>IF(Result_notebook_retravaill!I986&gt;Result_notebook_retravaill!G986,0,IF(Result_notebook_retravaill!I986+Result_notebook_retravaill!J986&gt;Result_notebook_retravaill!G986,Result_notebook_retravaill!G986-Result_notebook_retravaill!I986,Result_notebook_retravaill!J986))</f>
        <v>0</v>
      </c>
      <c r="L986" s="32">
        <f>IF(Result_notebook_retravaill!I986&gt;Result_notebook_retravaill!G986,0,IF(Result_notebook_retravaill!I986+Result_notebook_retravaill!J986&gt;Result_notebook_retravaill!G986,0,Result_notebook_retravaill!M986))</f>
        <v>0</v>
      </c>
      <c r="M986" s="31">
        <f t="shared" si="15"/>
        <v>0</v>
      </c>
    </row>
    <row r="987" spans="1:13" x14ac:dyDescent="0.35">
      <c r="A987">
        <f>Result_notebook_retravaill!A987</f>
        <v>2035</v>
      </c>
      <c r="B987" t="str">
        <f>Result_notebook_retravaill!B987</f>
        <v>Lithium</v>
      </c>
      <c r="C987" t="str">
        <f>Result_notebook_retravaill!C987</f>
        <v>Global Net-zero</v>
      </c>
      <c r="D987" t="str">
        <f>Result_notebook_retravaill!D987</f>
        <v>Existing production</v>
      </c>
      <c r="E987" t="str">
        <f>Result_notebook_retravaill!E987</f>
        <v>Current shares</v>
      </c>
      <c r="F987" t="str">
        <f>Result_notebook_retravaill!F987</f>
        <v>NIMBY</v>
      </c>
      <c r="G987">
        <f>Result_notebook_retravaill!G987</f>
        <v>59165.940947355157</v>
      </c>
      <c r="H987" s="32">
        <f>IF(Result_notebook_retravaill!I987&gt;Result_notebook_retravaill!G987,Result_notebook_retravaill!I987/Result_notebook_retravaill!N987,Result_notebook_retravaill!H987)</f>
        <v>0</v>
      </c>
      <c r="I987" s="32">
        <f>Result_notebook_retravaill!K987</f>
        <v>84522.772781935942</v>
      </c>
      <c r="J987" s="32">
        <f>MIN(G987,Result_notebook_retravaill!I987)</f>
        <v>0</v>
      </c>
      <c r="K987" s="32">
        <f>IF(Result_notebook_retravaill!I987&gt;Result_notebook_retravaill!G987,0,IF(Result_notebook_retravaill!I987+Result_notebook_retravaill!J987&gt;Result_notebook_retravaill!G987,Result_notebook_retravaill!G987-Result_notebook_retravaill!I987,Result_notebook_retravaill!J987))</f>
        <v>0</v>
      </c>
      <c r="L987" s="32">
        <f>IF(Result_notebook_retravaill!I987&gt;Result_notebook_retravaill!G987,0,IF(Result_notebook_retravaill!I987+Result_notebook_retravaill!J987&gt;Result_notebook_retravaill!G987,0,Result_notebook_retravaill!M987))</f>
        <v>59165.940947355157</v>
      </c>
      <c r="M987" s="31">
        <f t="shared" si="15"/>
        <v>0</v>
      </c>
    </row>
    <row r="988" spans="1:13" x14ac:dyDescent="0.35">
      <c r="A988">
        <f>Result_notebook_retravaill!A988</f>
        <v>2035</v>
      </c>
      <c r="B988" t="str">
        <f>Result_notebook_retravaill!B988</f>
        <v>Lithium</v>
      </c>
      <c r="C988" t="str">
        <f>Result_notebook_retravaill!C988</f>
        <v>Global Net-zero</v>
      </c>
      <c r="D988" t="str">
        <f>Result_notebook_retravaill!D988</f>
        <v>Existing production</v>
      </c>
      <c r="E988" t="str">
        <f>Result_notebook_retravaill!E988</f>
        <v>Current shares</v>
      </c>
      <c r="F988" t="str">
        <f>Result_notebook_retravaill!F988</f>
        <v>Status Quo</v>
      </c>
      <c r="G988">
        <f>Result_notebook_retravaill!G988</f>
        <v>59165.940947355157</v>
      </c>
      <c r="H988" s="32">
        <f>IF(Result_notebook_retravaill!I988&gt;Result_notebook_retravaill!G988,Result_notebook_retravaill!I988/Result_notebook_retravaill!N988,Result_notebook_retravaill!H988)</f>
        <v>40453</v>
      </c>
      <c r="I988" s="32">
        <f>Result_notebook_retravaill!K988</f>
        <v>44069.772781935942</v>
      </c>
      <c r="J988" s="32">
        <f>MIN(G988,Result_notebook_retravaill!I988)</f>
        <v>28283.5430599463</v>
      </c>
      <c r="K988" s="32">
        <f>IF(Result_notebook_retravaill!I988&gt;Result_notebook_retravaill!G988,0,IF(Result_notebook_retravaill!I988+Result_notebook_retravaill!J988&gt;Result_notebook_retravaill!G988,Result_notebook_retravaill!G988-Result_notebook_retravaill!I988,Result_notebook_retravaill!J988))</f>
        <v>3575.4192279229464</v>
      </c>
      <c r="L988" s="32">
        <f>IF(Result_notebook_retravaill!I988&gt;Result_notebook_retravaill!G988,0,IF(Result_notebook_retravaill!I988+Result_notebook_retravaill!J988&gt;Result_notebook_retravaill!G988,0,Result_notebook_retravaill!M988))</f>
        <v>27306.978659485914</v>
      </c>
      <c r="M988" s="31">
        <f t="shared" si="15"/>
        <v>0</v>
      </c>
    </row>
    <row r="989" spans="1:13" x14ac:dyDescent="0.35">
      <c r="A989">
        <f>Result_notebook_retravaill!A989</f>
        <v>2035</v>
      </c>
      <c r="B989" t="str">
        <f>Result_notebook_retravaill!B989</f>
        <v>Lithium</v>
      </c>
      <c r="C989" t="str">
        <f>Result_notebook_retravaill!C989</f>
        <v>Global Net-zero</v>
      </c>
      <c r="D989" t="str">
        <f>Result_notebook_retravaill!D989</f>
        <v>Production potential</v>
      </c>
      <c r="E989" t="str">
        <f>Result_notebook_retravaill!E989</f>
        <v>Current shares</v>
      </c>
      <c r="F989" t="str">
        <f>Result_notebook_retravaill!F989</f>
        <v>Expansion Extractive</v>
      </c>
      <c r="G989">
        <f>Result_notebook_retravaill!G989</f>
        <v>59165.940947355157</v>
      </c>
      <c r="H989" s="32">
        <f>IF(Result_notebook_retravaill!I989&gt;Result_notebook_retravaill!G989,Result_notebook_retravaill!I989/Result_notebook_retravaill!N989,Result_notebook_retravaill!H989)</f>
        <v>129722.66571102699</v>
      </c>
      <c r="I989" s="32">
        <f>Result_notebook_retravaill!K989</f>
        <v>0</v>
      </c>
      <c r="J989" s="32">
        <f>MIN(G989,Result_notebook_retravaill!I989)</f>
        <v>59165.940947355157</v>
      </c>
      <c r="K989" s="32">
        <f>IF(Result_notebook_retravaill!I989&gt;Result_notebook_retravaill!G989,0,IF(Result_notebook_retravaill!I989+Result_notebook_retravaill!J989&gt;Result_notebook_retravaill!G989,Result_notebook_retravaill!G989-Result_notebook_retravaill!I989,Result_notebook_retravaill!J989))</f>
        <v>0</v>
      </c>
      <c r="L989" s="32">
        <f>IF(Result_notebook_retravaill!I989&gt;Result_notebook_retravaill!G989,0,IF(Result_notebook_retravaill!I989+Result_notebook_retravaill!J989&gt;Result_notebook_retravaill!G989,0,Result_notebook_retravaill!M989))</f>
        <v>0</v>
      </c>
      <c r="M989" s="31">
        <f t="shared" si="15"/>
        <v>0</v>
      </c>
    </row>
    <row r="990" spans="1:13" x14ac:dyDescent="0.35">
      <c r="A990">
        <f>Result_notebook_retravaill!A990</f>
        <v>2035</v>
      </c>
      <c r="B990" t="str">
        <f>Result_notebook_retravaill!B990</f>
        <v>Lithium</v>
      </c>
      <c r="C990" t="str">
        <f>Result_notebook_retravaill!C990</f>
        <v>Global Net-zero</v>
      </c>
      <c r="D990" t="str">
        <f>Result_notebook_retravaill!D990</f>
        <v>Production potential</v>
      </c>
      <c r="E990" t="str">
        <f>Result_notebook_retravaill!E990</f>
        <v>Current shares</v>
      </c>
      <c r="F990" t="str">
        <f>Result_notebook_retravaill!F990</f>
        <v>Expansion Extractive+Circularity</v>
      </c>
      <c r="G990">
        <f>Result_notebook_retravaill!G990</f>
        <v>59165.940947355157</v>
      </c>
      <c r="H990" s="32">
        <f>IF(Result_notebook_retravaill!I990&gt;Result_notebook_retravaill!G990,Result_notebook_retravaill!I990/Result_notebook_retravaill!N990,Result_notebook_retravaill!H990)</f>
        <v>129722.66571102699</v>
      </c>
      <c r="I990" s="32">
        <f>Result_notebook_retravaill!K990</f>
        <v>0</v>
      </c>
      <c r="J990" s="32">
        <f>MIN(G990,Result_notebook_retravaill!I990)</f>
        <v>59165.940947355157</v>
      </c>
      <c r="K990" s="32">
        <f>IF(Result_notebook_retravaill!I990&gt;Result_notebook_retravaill!G990,0,IF(Result_notebook_retravaill!I990+Result_notebook_retravaill!J990&gt;Result_notebook_retravaill!G990,Result_notebook_retravaill!G990-Result_notebook_retravaill!I990,Result_notebook_retravaill!J990))</f>
        <v>0</v>
      </c>
      <c r="L990" s="32">
        <f>IF(Result_notebook_retravaill!I990&gt;Result_notebook_retravaill!G990,0,IF(Result_notebook_retravaill!I990+Result_notebook_retravaill!J990&gt;Result_notebook_retravaill!G990,0,Result_notebook_retravaill!M990))</f>
        <v>0</v>
      </c>
      <c r="M990" s="31">
        <f t="shared" si="15"/>
        <v>0</v>
      </c>
    </row>
    <row r="991" spans="1:13" x14ac:dyDescent="0.35">
      <c r="A991">
        <f>Result_notebook_retravaill!A991</f>
        <v>2035</v>
      </c>
      <c r="B991" t="str">
        <f>Result_notebook_retravaill!B991</f>
        <v>Lithium</v>
      </c>
      <c r="C991" t="str">
        <f>Result_notebook_retravaill!C991</f>
        <v>Global Net-zero</v>
      </c>
      <c r="D991" t="str">
        <f>Result_notebook_retravaill!D991</f>
        <v>Production potential</v>
      </c>
      <c r="E991" t="str">
        <f>Result_notebook_retravaill!E991</f>
        <v>100% CAN</v>
      </c>
      <c r="F991" t="str">
        <f>Result_notebook_retravaill!F991</f>
        <v>Integrated</v>
      </c>
      <c r="G991">
        <f>Result_notebook_retravaill!G991</f>
        <v>59165.940947355157</v>
      </c>
      <c r="H991" s="32">
        <f>IF(Result_notebook_retravaill!I991&gt;Result_notebook_retravaill!G991,Result_notebook_retravaill!I991/Result_notebook_retravaill!N991,Result_notebook_retravaill!H991)</f>
        <v>129722.66571102699</v>
      </c>
      <c r="I991" s="32">
        <f>Result_notebook_retravaill!K991</f>
        <v>0</v>
      </c>
      <c r="J991" s="32">
        <f>MIN(G991,Result_notebook_retravaill!I991)</f>
        <v>59165.940947355157</v>
      </c>
      <c r="K991" s="32">
        <f>IF(Result_notebook_retravaill!I991&gt;Result_notebook_retravaill!G991,0,IF(Result_notebook_retravaill!I991+Result_notebook_retravaill!J991&gt;Result_notebook_retravaill!G991,Result_notebook_retravaill!G991-Result_notebook_retravaill!I991,Result_notebook_retravaill!J991))</f>
        <v>0</v>
      </c>
      <c r="L991" s="32">
        <f>IF(Result_notebook_retravaill!I991&gt;Result_notebook_retravaill!G991,0,IF(Result_notebook_retravaill!I991+Result_notebook_retravaill!J991&gt;Result_notebook_retravaill!G991,0,Result_notebook_retravaill!M991))</f>
        <v>0</v>
      </c>
      <c r="M991" s="31">
        <f t="shared" si="15"/>
        <v>0</v>
      </c>
    </row>
    <row r="992" spans="1:13" x14ac:dyDescent="0.35">
      <c r="A992">
        <f>Result_notebook_retravaill!A992</f>
        <v>2036</v>
      </c>
      <c r="B992" t="str">
        <f>Result_notebook_retravaill!B992</f>
        <v>Cobalt</v>
      </c>
      <c r="C992" t="str">
        <f>Result_notebook_retravaill!C992</f>
        <v>Canada Net-zero</v>
      </c>
      <c r="D992" t="str">
        <f>Result_notebook_retravaill!D992</f>
        <v>Existing production</v>
      </c>
      <c r="E992" t="str">
        <f>Result_notebook_retravaill!E992</f>
        <v>Current shares</v>
      </c>
      <c r="F992" t="str">
        <f>Result_notebook_retravaill!F992</f>
        <v>NIMBY</v>
      </c>
      <c r="G992">
        <f>Result_notebook_retravaill!G992</f>
        <v>173899.7327411345</v>
      </c>
      <c r="H992" s="32">
        <f>IF(Result_notebook_retravaill!I992&gt;Result_notebook_retravaill!G992,Result_notebook_retravaill!I992/Result_notebook_retravaill!N992,Result_notebook_retravaill!H992)</f>
        <v>0</v>
      </c>
      <c r="I992" s="32">
        <f>Result_notebook_retravaill!K992</f>
        <v>395226.66532076022</v>
      </c>
      <c r="J992" s="32">
        <f>MIN(G992,Result_notebook_retravaill!I992)</f>
        <v>0</v>
      </c>
      <c r="K992" s="32">
        <f>IF(Result_notebook_retravaill!I992&gt;Result_notebook_retravaill!G992,0,IF(Result_notebook_retravaill!I992+Result_notebook_retravaill!J992&gt;Result_notebook_retravaill!G992,Result_notebook_retravaill!G992-Result_notebook_retravaill!I992,Result_notebook_retravaill!J992))</f>
        <v>0</v>
      </c>
      <c r="L992" s="32">
        <f>IF(Result_notebook_retravaill!I992&gt;Result_notebook_retravaill!G992,0,IF(Result_notebook_retravaill!I992+Result_notebook_retravaill!J992&gt;Result_notebook_retravaill!G992,0,Result_notebook_retravaill!M992))</f>
        <v>173899.7327411345</v>
      </c>
      <c r="M992" s="31">
        <f t="shared" si="15"/>
        <v>0</v>
      </c>
    </row>
    <row r="993" spans="1:13" x14ac:dyDescent="0.35">
      <c r="A993">
        <f>Result_notebook_retravaill!A993</f>
        <v>2036</v>
      </c>
      <c r="B993" t="str">
        <f>Result_notebook_retravaill!B993</f>
        <v>Cobalt</v>
      </c>
      <c r="C993" t="str">
        <f>Result_notebook_retravaill!C993</f>
        <v>Canada Net-zero</v>
      </c>
      <c r="D993" t="str">
        <f>Result_notebook_retravaill!D993</f>
        <v>Existing production</v>
      </c>
      <c r="E993" t="str">
        <f>Result_notebook_retravaill!E993</f>
        <v>Current shares</v>
      </c>
      <c r="F993" t="str">
        <f>Result_notebook_retravaill!F993</f>
        <v>Status Quo</v>
      </c>
      <c r="G993">
        <f>Result_notebook_retravaill!G993</f>
        <v>173899.7327411345</v>
      </c>
      <c r="H993" s="32">
        <f>IF(Result_notebook_retravaill!I993&gt;Result_notebook_retravaill!G993,Result_notebook_retravaill!I993/Result_notebook_retravaill!N993,Result_notebook_retravaill!H993)</f>
        <v>2837</v>
      </c>
      <c r="I993" s="32">
        <f>Result_notebook_retravaill!K993</f>
        <v>392389.66532076022</v>
      </c>
      <c r="J993" s="32">
        <f>MIN(G993,Result_notebook_retravaill!I993)</f>
        <v>1203.4038470959081</v>
      </c>
      <c r="K993" s="32">
        <f>IF(Result_notebook_retravaill!I993&gt;Result_notebook_retravaill!G993,0,IF(Result_notebook_retravaill!I993+Result_notebook_retravaill!J993&gt;Result_notebook_retravaill!G993,Result_notebook_retravaill!G993-Result_notebook_retravaill!I993,Result_notebook_retravaill!J993))</f>
        <v>43.022359758048424</v>
      </c>
      <c r="L993" s="32">
        <f>IF(Result_notebook_retravaill!I993&gt;Result_notebook_retravaill!G993,0,IF(Result_notebook_retravaill!I993+Result_notebook_retravaill!J993&gt;Result_notebook_retravaill!G993,0,Result_notebook_retravaill!M993))</f>
        <v>172653.30653428053</v>
      </c>
      <c r="M993" s="31">
        <f t="shared" si="15"/>
        <v>0</v>
      </c>
    </row>
    <row r="994" spans="1:13" x14ac:dyDescent="0.35">
      <c r="A994">
        <f>Result_notebook_retravaill!A994</f>
        <v>2036</v>
      </c>
      <c r="B994" t="str">
        <f>Result_notebook_retravaill!B994</f>
        <v>Cobalt</v>
      </c>
      <c r="C994" t="str">
        <f>Result_notebook_retravaill!C994</f>
        <v>Canada Net-zero</v>
      </c>
      <c r="D994" t="str">
        <f>Result_notebook_retravaill!D994</f>
        <v>Production potential</v>
      </c>
      <c r="E994" t="str">
        <f>Result_notebook_retravaill!E994</f>
        <v>Current shares</v>
      </c>
      <c r="F994" t="str">
        <f>Result_notebook_retravaill!F994</f>
        <v>Expansion Extractive</v>
      </c>
      <c r="G994">
        <f>Result_notebook_retravaill!G994</f>
        <v>173899.7327411345</v>
      </c>
      <c r="H994" s="32">
        <f>IF(Result_notebook_retravaill!I994&gt;Result_notebook_retravaill!G994,Result_notebook_retravaill!I994/Result_notebook_retravaill!N994,Result_notebook_retravaill!H994)</f>
        <v>17802.59181720679</v>
      </c>
      <c r="I994" s="32">
        <f>Result_notebook_retravaill!K994</f>
        <v>377424.0735035534</v>
      </c>
      <c r="J994" s="32">
        <f>MIN(G994,Result_notebook_retravaill!I994)</f>
        <v>7551.5359468116967</v>
      </c>
      <c r="K994" s="32">
        <f>IF(Result_notebook_retravaill!I994&gt;Result_notebook_retravaill!G994,0,IF(Result_notebook_retravaill!I994+Result_notebook_retravaill!J994&gt;Result_notebook_retravaill!G994,Result_notebook_retravaill!G994-Result_notebook_retravaill!I994,Result_notebook_retravaill!J994))</f>
        <v>269.97162840520377</v>
      </c>
      <c r="L994" s="32">
        <f>IF(Result_notebook_retravaill!I994&gt;Result_notebook_retravaill!G994,0,IF(Result_notebook_retravaill!I994+Result_notebook_retravaill!J994&gt;Result_notebook_retravaill!G994,0,Result_notebook_retravaill!M994))</f>
        <v>166078.2251659176</v>
      </c>
      <c r="M994" s="31">
        <f t="shared" si="15"/>
        <v>0</v>
      </c>
    </row>
    <row r="995" spans="1:13" x14ac:dyDescent="0.35">
      <c r="A995">
        <f>Result_notebook_retravaill!A995</f>
        <v>2036</v>
      </c>
      <c r="B995" t="str">
        <f>Result_notebook_retravaill!B995</f>
        <v>Cobalt</v>
      </c>
      <c r="C995" t="str">
        <f>Result_notebook_retravaill!C995</f>
        <v>Canada Net-zero</v>
      </c>
      <c r="D995" t="str">
        <f>Result_notebook_retravaill!D995</f>
        <v>Production potential</v>
      </c>
      <c r="E995" t="str">
        <f>Result_notebook_retravaill!E995</f>
        <v>Current shares</v>
      </c>
      <c r="F995" t="str">
        <f>Result_notebook_retravaill!F995</f>
        <v>Expansion Extractive+Circularity</v>
      </c>
      <c r="G995">
        <f>Result_notebook_retravaill!G995</f>
        <v>173899.7327411345</v>
      </c>
      <c r="H995" s="32">
        <f>IF(Result_notebook_retravaill!I995&gt;Result_notebook_retravaill!G995,Result_notebook_retravaill!I995/Result_notebook_retravaill!N995,Result_notebook_retravaill!H995)</f>
        <v>17802.59181720679</v>
      </c>
      <c r="I995" s="32">
        <f>Result_notebook_retravaill!K995</f>
        <v>377424.0735035534</v>
      </c>
      <c r="J995" s="32">
        <f>MIN(G995,Result_notebook_retravaill!I995)</f>
        <v>7551.5359468116967</v>
      </c>
      <c r="K995" s="32">
        <f>IF(Result_notebook_retravaill!I995&gt;Result_notebook_retravaill!G995,0,IF(Result_notebook_retravaill!I995+Result_notebook_retravaill!J995&gt;Result_notebook_retravaill!G995,Result_notebook_retravaill!G995-Result_notebook_retravaill!I995,Result_notebook_retravaill!J995))</f>
        <v>269.97162840520377</v>
      </c>
      <c r="L995" s="32">
        <f>IF(Result_notebook_retravaill!I995&gt;Result_notebook_retravaill!G995,0,IF(Result_notebook_retravaill!I995+Result_notebook_retravaill!J995&gt;Result_notebook_retravaill!G995,0,Result_notebook_retravaill!M995))</f>
        <v>166078.2251659176</v>
      </c>
      <c r="M995" s="31">
        <f t="shared" si="15"/>
        <v>0</v>
      </c>
    </row>
    <row r="996" spans="1:13" x14ac:dyDescent="0.35">
      <c r="A996">
        <f>Result_notebook_retravaill!A996</f>
        <v>2036</v>
      </c>
      <c r="B996" t="str">
        <f>Result_notebook_retravaill!B996</f>
        <v>Cobalt</v>
      </c>
      <c r="C996" t="str">
        <f>Result_notebook_retravaill!C996</f>
        <v>Canada Net-zero</v>
      </c>
      <c r="D996" t="str">
        <f>Result_notebook_retravaill!D996</f>
        <v>Production potential</v>
      </c>
      <c r="E996" t="str">
        <f>Result_notebook_retravaill!E996</f>
        <v>100% CAN</v>
      </c>
      <c r="F996" t="str">
        <f>Result_notebook_retravaill!F996</f>
        <v>Integrated</v>
      </c>
      <c r="G996">
        <f>Result_notebook_retravaill!G996</f>
        <v>173899.7327411345</v>
      </c>
      <c r="H996" s="32">
        <f>IF(Result_notebook_retravaill!I996&gt;Result_notebook_retravaill!G996,Result_notebook_retravaill!I996/Result_notebook_retravaill!N996,Result_notebook_retravaill!H996)</f>
        <v>17802.59181720679</v>
      </c>
      <c r="I996" s="32">
        <f>Result_notebook_retravaill!K996</f>
        <v>377424.0735035534</v>
      </c>
      <c r="J996" s="32">
        <f>MIN(G996,Result_notebook_retravaill!I996)</f>
        <v>7821.5075752169087</v>
      </c>
      <c r="K996" s="32">
        <f>IF(Result_notebook_retravaill!I996&gt;Result_notebook_retravaill!G996,0,IF(Result_notebook_retravaill!I996+Result_notebook_retravaill!J996&gt;Result_notebook_retravaill!G996,Result_notebook_retravaill!G996-Result_notebook_retravaill!I996,Result_notebook_retravaill!J996))</f>
        <v>-8.1854523159563541E-12</v>
      </c>
      <c r="L996" s="32">
        <f>IF(Result_notebook_retravaill!I996&gt;Result_notebook_retravaill!G996,0,IF(Result_notebook_retravaill!I996+Result_notebook_retravaill!J996&gt;Result_notebook_retravaill!G996,0,Result_notebook_retravaill!M996))</f>
        <v>166078.2251659176</v>
      </c>
      <c r="M996" s="31">
        <f t="shared" si="15"/>
        <v>0</v>
      </c>
    </row>
    <row r="997" spans="1:13" x14ac:dyDescent="0.35">
      <c r="A997">
        <f>Result_notebook_retravaill!A997</f>
        <v>2036</v>
      </c>
      <c r="B997" t="str">
        <f>Result_notebook_retravaill!B997</f>
        <v>Cobalt</v>
      </c>
      <c r="C997" t="str">
        <f>Result_notebook_retravaill!C997</f>
        <v>Current Measures</v>
      </c>
      <c r="D997" t="str">
        <f>Result_notebook_retravaill!D997</f>
        <v>Existing production</v>
      </c>
      <c r="E997" t="str">
        <f>Result_notebook_retravaill!E997</f>
        <v>Current shares</v>
      </c>
      <c r="F997" t="str">
        <f>Result_notebook_retravaill!F997</f>
        <v>NIMBY</v>
      </c>
      <c r="G997">
        <f>Result_notebook_retravaill!G997</f>
        <v>65955.730277636801</v>
      </c>
      <c r="H997" s="32">
        <f>IF(Result_notebook_retravaill!I997&gt;Result_notebook_retravaill!G997,Result_notebook_retravaill!I997/Result_notebook_retravaill!N997,Result_notebook_retravaill!H997)</f>
        <v>0</v>
      </c>
      <c r="I997" s="32">
        <f>Result_notebook_retravaill!K997</f>
        <v>149899.38699462911</v>
      </c>
      <c r="J997" s="32">
        <f>MIN(G997,Result_notebook_retravaill!I997)</f>
        <v>0</v>
      </c>
      <c r="K997" s="32">
        <f>IF(Result_notebook_retravaill!I997&gt;Result_notebook_retravaill!G997,0,IF(Result_notebook_retravaill!I997+Result_notebook_retravaill!J997&gt;Result_notebook_retravaill!G997,Result_notebook_retravaill!G997-Result_notebook_retravaill!I997,Result_notebook_retravaill!J997))</f>
        <v>0</v>
      </c>
      <c r="L997" s="32">
        <f>IF(Result_notebook_retravaill!I997&gt;Result_notebook_retravaill!G997,0,IF(Result_notebook_retravaill!I997+Result_notebook_retravaill!J997&gt;Result_notebook_retravaill!G997,0,Result_notebook_retravaill!M997))</f>
        <v>65955.730277636801</v>
      </c>
      <c r="M997" s="31">
        <f t="shared" si="15"/>
        <v>0</v>
      </c>
    </row>
    <row r="998" spans="1:13" x14ac:dyDescent="0.35">
      <c r="A998">
        <f>Result_notebook_retravaill!A998</f>
        <v>2036</v>
      </c>
      <c r="B998" t="str">
        <f>Result_notebook_retravaill!B998</f>
        <v>Cobalt</v>
      </c>
      <c r="C998" t="str">
        <f>Result_notebook_retravaill!C998</f>
        <v>Current Measures</v>
      </c>
      <c r="D998" t="str">
        <f>Result_notebook_retravaill!D998</f>
        <v>Existing production</v>
      </c>
      <c r="E998" t="str">
        <f>Result_notebook_retravaill!E998</f>
        <v>Current shares</v>
      </c>
      <c r="F998" t="str">
        <f>Result_notebook_retravaill!F998</f>
        <v>Status Quo</v>
      </c>
      <c r="G998">
        <f>Result_notebook_retravaill!G998</f>
        <v>65955.730277636801</v>
      </c>
      <c r="H998" s="32">
        <f>IF(Result_notebook_retravaill!I998&gt;Result_notebook_retravaill!G998,Result_notebook_retravaill!I998/Result_notebook_retravaill!N998,Result_notebook_retravaill!H998)</f>
        <v>2837</v>
      </c>
      <c r="I998" s="32">
        <f>Result_notebook_retravaill!K998</f>
        <v>147062.38699462911</v>
      </c>
      <c r="J998" s="32">
        <f>MIN(G998,Result_notebook_retravaill!I998)</f>
        <v>1203.4038470959081</v>
      </c>
      <c r="K998" s="32">
        <f>IF(Result_notebook_retravaill!I998&gt;Result_notebook_retravaill!G998,0,IF(Result_notebook_retravaill!I998+Result_notebook_retravaill!J998&gt;Result_notebook_retravaill!G998,Result_notebook_retravaill!G998-Result_notebook_retravaill!I998,Result_notebook_retravaill!J998))</f>
        <v>43.022359758048424</v>
      </c>
      <c r="L998" s="32">
        <f>IF(Result_notebook_retravaill!I998&gt;Result_notebook_retravaill!G998,0,IF(Result_notebook_retravaill!I998+Result_notebook_retravaill!J998&gt;Result_notebook_retravaill!G998,0,Result_notebook_retravaill!M998))</f>
        <v>64709.304070782855</v>
      </c>
      <c r="M998" s="31">
        <f t="shared" si="15"/>
        <v>0</v>
      </c>
    </row>
    <row r="999" spans="1:13" x14ac:dyDescent="0.35">
      <c r="A999">
        <f>Result_notebook_retravaill!A999</f>
        <v>2036</v>
      </c>
      <c r="B999" t="str">
        <f>Result_notebook_retravaill!B999</f>
        <v>Cobalt</v>
      </c>
      <c r="C999" t="str">
        <f>Result_notebook_retravaill!C999</f>
        <v>Current Measures</v>
      </c>
      <c r="D999" t="str">
        <f>Result_notebook_retravaill!D999</f>
        <v>Production potential</v>
      </c>
      <c r="E999" t="str">
        <f>Result_notebook_retravaill!E999</f>
        <v>Current shares</v>
      </c>
      <c r="F999" t="str">
        <f>Result_notebook_retravaill!F999</f>
        <v>Expansion Extractive</v>
      </c>
      <c r="G999">
        <f>Result_notebook_retravaill!G999</f>
        <v>65955.730277636801</v>
      </c>
      <c r="H999" s="32">
        <f>IF(Result_notebook_retravaill!I999&gt;Result_notebook_retravaill!G999,Result_notebook_retravaill!I999/Result_notebook_retravaill!N999,Result_notebook_retravaill!H999)</f>
        <v>17802.59181720679</v>
      </c>
      <c r="I999" s="32">
        <f>Result_notebook_retravaill!K999</f>
        <v>132096.79517742229</v>
      </c>
      <c r="J999" s="32">
        <f>MIN(G999,Result_notebook_retravaill!I999)</f>
        <v>7551.5359468116967</v>
      </c>
      <c r="K999" s="32">
        <f>IF(Result_notebook_retravaill!I999&gt;Result_notebook_retravaill!G999,0,IF(Result_notebook_retravaill!I999+Result_notebook_retravaill!J999&gt;Result_notebook_retravaill!G999,Result_notebook_retravaill!G999-Result_notebook_retravaill!I999,Result_notebook_retravaill!J999))</f>
        <v>269.97162840520377</v>
      </c>
      <c r="L999" s="32">
        <f>IF(Result_notebook_retravaill!I999&gt;Result_notebook_retravaill!G999,0,IF(Result_notebook_retravaill!I999+Result_notebook_retravaill!J999&gt;Result_notebook_retravaill!G999,0,Result_notebook_retravaill!M999))</f>
        <v>58134.222702419902</v>
      </c>
      <c r="M999" s="31">
        <f t="shared" si="15"/>
        <v>0</v>
      </c>
    </row>
    <row r="1000" spans="1:13" x14ac:dyDescent="0.35">
      <c r="A1000">
        <f>Result_notebook_retravaill!A1000</f>
        <v>2036</v>
      </c>
      <c r="B1000" t="str">
        <f>Result_notebook_retravaill!B1000</f>
        <v>Cobalt</v>
      </c>
      <c r="C1000" t="str">
        <f>Result_notebook_retravaill!C1000</f>
        <v>Current Measures</v>
      </c>
      <c r="D1000" t="str">
        <f>Result_notebook_retravaill!D1000</f>
        <v>Production potential</v>
      </c>
      <c r="E1000" t="str">
        <f>Result_notebook_retravaill!E1000</f>
        <v>Current shares</v>
      </c>
      <c r="F1000" t="str">
        <f>Result_notebook_retravaill!F1000</f>
        <v>Expansion Extractive+Circularity</v>
      </c>
      <c r="G1000">
        <f>Result_notebook_retravaill!G1000</f>
        <v>65955.730277636801</v>
      </c>
      <c r="H1000" s="32">
        <f>IF(Result_notebook_retravaill!I1000&gt;Result_notebook_retravaill!G1000,Result_notebook_retravaill!I1000/Result_notebook_retravaill!N1000,Result_notebook_retravaill!H1000)</f>
        <v>17802.59181720679</v>
      </c>
      <c r="I1000" s="32">
        <f>Result_notebook_retravaill!K1000</f>
        <v>132096.79517742229</v>
      </c>
      <c r="J1000" s="32">
        <f>MIN(G1000,Result_notebook_retravaill!I1000)</f>
        <v>7551.5359468116967</v>
      </c>
      <c r="K1000" s="32">
        <f>IF(Result_notebook_retravaill!I1000&gt;Result_notebook_retravaill!G1000,0,IF(Result_notebook_retravaill!I1000+Result_notebook_retravaill!J1000&gt;Result_notebook_retravaill!G1000,Result_notebook_retravaill!G1000-Result_notebook_retravaill!I1000,Result_notebook_retravaill!J1000))</f>
        <v>269.97162840520377</v>
      </c>
      <c r="L1000" s="32">
        <f>IF(Result_notebook_retravaill!I1000&gt;Result_notebook_retravaill!G1000,0,IF(Result_notebook_retravaill!I1000+Result_notebook_retravaill!J1000&gt;Result_notebook_retravaill!G1000,0,Result_notebook_retravaill!M1000))</f>
        <v>58134.222702419902</v>
      </c>
      <c r="M1000" s="31">
        <f t="shared" si="15"/>
        <v>0</v>
      </c>
    </row>
    <row r="1001" spans="1:13" x14ac:dyDescent="0.35">
      <c r="A1001">
        <f>Result_notebook_retravaill!A1001</f>
        <v>2036</v>
      </c>
      <c r="B1001" t="str">
        <f>Result_notebook_retravaill!B1001</f>
        <v>Cobalt</v>
      </c>
      <c r="C1001" t="str">
        <f>Result_notebook_retravaill!C1001</f>
        <v>Current Measures</v>
      </c>
      <c r="D1001" t="str">
        <f>Result_notebook_retravaill!D1001</f>
        <v>Production potential</v>
      </c>
      <c r="E1001" t="str">
        <f>Result_notebook_retravaill!E1001</f>
        <v>100% CAN</v>
      </c>
      <c r="F1001" t="str">
        <f>Result_notebook_retravaill!F1001</f>
        <v>Integrated</v>
      </c>
      <c r="G1001">
        <f>Result_notebook_retravaill!G1001</f>
        <v>65955.730277636801</v>
      </c>
      <c r="H1001" s="32">
        <f>IF(Result_notebook_retravaill!I1001&gt;Result_notebook_retravaill!G1001,Result_notebook_retravaill!I1001/Result_notebook_retravaill!N1001,Result_notebook_retravaill!H1001)</f>
        <v>17802.59181720679</v>
      </c>
      <c r="I1001" s="32">
        <f>Result_notebook_retravaill!K1001</f>
        <v>132096.79517742229</v>
      </c>
      <c r="J1001" s="32">
        <f>MIN(G1001,Result_notebook_retravaill!I1001)</f>
        <v>7821.5075752169087</v>
      </c>
      <c r="K1001" s="32">
        <f>IF(Result_notebook_retravaill!I1001&gt;Result_notebook_retravaill!G1001,0,IF(Result_notebook_retravaill!I1001+Result_notebook_retravaill!J1001&gt;Result_notebook_retravaill!G1001,Result_notebook_retravaill!G1001-Result_notebook_retravaill!I1001,Result_notebook_retravaill!J1001))</f>
        <v>-8.1854523159563541E-12</v>
      </c>
      <c r="L1001" s="32">
        <f>IF(Result_notebook_retravaill!I1001&gt;Result_notebook_retravaill!G1001,0,IF(Result_notebook_retravaill!I1001+Result_notebook_retravaill!J1001&gt;Result_notebook_retravaill!G1001,0,Result_notebook_retravaill!M1001))</f>
        <v>58134.222702419895</v>
      </c>
      <c r="M1001" s="31">
        <f t="shared" si="15"/>
        <v>0</v>
      </c>
    </row>
    <row r="1002" spans="1:13" x14ac:dyDescent="0.35">
      <c r="A1002">
        <f>Result_notebook_retravaill!A1002</f>
        <v>2036</v>
      </c>
      <c r="B1002" t="str">
        <f>Result_notebook_retravaill!B1002</f>
        <v>Cobalt</v>
      </c>
      <c r="C1002" t="str">
        <f>Result_notebook_retravaill!C1002</f>
        <v>Global Net-zero</v>
      </c>
      <c r="D1002" t="str">
        <f>Result_notebook_retravaill!D1002</f>
        <v>Existing production</v>
      </c>
      <c r="E1002" t="str">
        <f>Result_notebook_retravaill!E1002</f>
        <v>Current shares</v>
      </c>
      <c r="F1002" t="str">
        <f>Result_notebook_retravaill!F1002</f>
        <v>NIMBY</v>
      </c>
      <c r="G1002">
        <f>Result_notebook_retravaill!G1002</f>
        <v>165496.51829818229</v>
      </c>
      <c r="H1002" s="32">
        <f>IF(Result_notebook_retravaill!I1002&gt;Result_notebook_retravaill!G1002,Result_notebook_retravaill!I1002/Result_notebook_retravaill!N1002,Result_notebook_retravaill!H1002)</f>
        <v>0</v>
      </c>
      <c r="I1002" s="32">
        <f>Result_notebook_retravaill!K1002</f>
        <v>376128.45067768701</v>
      </c>
      <c r="J1002" s="32">
        <f>MIN(G1002,Result_notebook_retravaill!I1002)</f>
        <v>0</v>
      </c>
      <c r="K1002" s="32">
        <f>IF(Result_notebook_retravaill!I1002&gt;Result_notebook_retravaill!G1002,0,IF(Result_notebook_retravaill!I1002+Result_notebook_retravaill!J1002&gt;Result_notebook_retravaill!G1002,Result_notebook_retravaill!G1002-Result_notebook_retravaill!I1002,Result_notebook_retravaill!J1002))</f>
        <v>0</v>
      </c>
      <c r="L1002" s="32">
        <f>IF(Result_notebook_retravaill!I1002&gt;Result_notebook_retravaill!G1002,0,IF(Result_notebook_retravaill!I1002+Result_notebook_retravaill!J1002&gt;Result_notebook_retravaill!G1002,0,Result_notebook_retravaill!M1002))</f>
        <v>165496.51829818229</v>
      </c>
      <c r="M1002" s="31">
        <f t="shared" si="15"/>
        <v>0</v>
      </c>
    </row>
    <row r="1003" spans="1:13" x14ac:dyDescent="0.35">
      <c r="A1003">
        <f>Result_notebook_retravaill!A1003</f>
        <v>2036</v>
      </c>
      <c r="B1003" t="str">
        <f>Result_notebook_retravaill!B1003</f>
        <v>Cobalt</v>
      </c>
      <c r="C1003" t="str">
        <f>Result_notebook_retravaill!C1003</f>
        <v>Global Net-zero</v>
      </c>
      <c r="D1003" t="str">
        <f>Result_notebook_retravaill!D1003</f>
        <v>Existing production</v>
      </c>
      <c r="E1003" t="str">
        <f>Result_notebook_retravaill!E1003</f>
        <v>Current shares</v>
      </c>
      <c r="F1003" t="str">
        <f>Result_notebook_retravaill!F1003</f>
        <v>Status Quo</v>
      </c>
      <c r="G1003">
        <f>Result_notebook_retravaill!G1003</f>
        <v>165496.51829818229</v>
      </c>
      <c r="H1003" s="32">
        <f>IF(Result_notebook_retravaill!I1003&gt;Result_notebook_retravaill!G1003,Result_notebook_retravaill!I1003/Result_notebook_retravaill!N1003,Result_notebook_retravaill!H1003)</f>
        <v>2837</v>
      </c>
      <c r="I1003" s="32">
        <f>Result_notebook_retravaill!K1003</f>
        <v>373291.45067768701</v>
      </c>
      <c r="J1003" s="32">
        <f>MIN(G1003,Result_notebook_retravaill!I1003)</f>
        <v>1203.4038470959081</v>
      </c>
      <c r="K1003" s="32">
        <f>IF(Result_notebook_retravaill!I1003&gt;Result_notebook_retravaill!G1003,0,IF(Result_notebook_retravaill!I1003+Result_notebook_retravaill!J1003&gt;Result_notebook_retravaill!G1003,Result_notebook_retravaill!G1003-Result_notebook_retravaill!I1003,Result_notebook_retravaill!J1003))</f>
        <v>43.022359758048424</v>
      </c>
      <c r="L1003" s="32">
        <f>IF(Result_notebook_retravaill!I1003&gt;Result_notebook_retravaill!G1003,0,IF(Result_notebook_retravaill!I1003+Result_notebook_retravaill!J1003&gt;Result_notebook_retravaill!G1003,0,Result_notebook_retravaill!M1003))</f>
        <v>164250.09209132835</v>
      </c>
      <c r="M1003" s="31">
        <f t="shared" si="15"/>
        <v>0</v>
      </c>
    </row>
    <row r="1004" spans="1:13" x14ac:dyDescent="0.35">
      <c r="A1004">
        <f>Result_notebook_retravaill!A1004</f>
        <v>2036</v>
      </c>
      <c r="B1004" t="str">
        <f>Result_notebook_retravaill!B1004</f>
        <v>Cobalt</v>
      </c>
      <c r="C1004" t="str">
        <f>Result_notebook_retravaill!C1004</f>
        <v>Global Net-zero</v>
      </c>
      <c r="D1004" t="str">
        <f>Result_notebook_retravaill!D1004</f>
        <v>Production potential</v>
      </c>
      <c r="E1004" t="str">
        <f>Result_notebook_retravaill!E1004</f>
        <v>Current shares</v>
      </c>
      <c r="F1004" t="str">
        <f>Result_notebook_retravaill!F1004</f>
        <v>Expansion Extractive</v>
      </c>
      <c r="G1004">
        <f>Result_notebook_retravaill!G1004</f>
        <v>165496.51829818229</v>
      </c>
      <c r="H1004" s="32">
        <f>IF(Result_notebook_retravaill!I1004&gt;Result_notebook_retravaill!G1004,Result_notebook_retravaill!I1004/Result_notebook_retravaill!N1004,Result_notebook_retravaill!H1004)</f>
        <v>17802.59181720679</v>
      </c>
      <c r="I1004" s="32">
        <f>Result_notebook_retravaill!K1004</f>
        <v>358325.85886048019</v>
      </c>
      <c r="J1004" s="32">
        <f>MIN(G1004,Result_notebook_retravaill!I1004)</f>
        <v>7551.5359468116967</v>
      </c>
      <c r="K1004" s="32">
        <f>IF(Result_notebook_retravaill!I1004&gt;Result_notebook_retravaill!G1004,0,IF(Result_notebook_retravaill!I1004+Result_notebook_retravaill!J1004&gt;Result_notebook_retravaill!G1004,Result_notebook_retravaill!G1004-Result_notebook_retravaill!I1004,Result_notebook_retravaill!J1004))</f>
        <v>269.97162840520377</v>
      </c>
      <c r="L1004" s="32">
        <f>IF(Result_notebook_retravaill!I1004&gt;Result_notebook_retravaill!G1004,0,IF(Result_notebook_retravaill!I1004+Result_notebook_retravaill!J1004&gt;Result_notebook_retravaill!G1004,0,Result_notebook_retravaill!M1004))</f>
        <v>157675.01072296538</v>
      </c>
      <c r="M1004" s="31">
        <f t="shared" si="15"/>
        <v>0</v>
      </c>
    </row>
    <row r="1005" spans="1:13" x14ac:dyDescent="0.35">
      <c r="A1005">
        <f>Result_notebook_retravaill!A1005</f>
        <v>2036</v>
      </c>
      <c r="B1005" t="str">
        <f>Result_notebook_retravaill!B1005</f>
        <v>Cobalt</v>
      </c>
      <c r="C1005" t="str">
        <f>Result_notebook_retravaill!C1005</f>
        <v>Global Net-zero</v>
      </c>
      <c r="D1005" t="str">
        <f>Result_notebook_retravaill!D1005</f>
        <v>Production potential</v>
      </c>
      <c r="E1005" t="str">
        <f>Result_notebook_retravaill!E1005</f>
        <v>Current shares</v>
      </c>
      <c r="F1005" t="str">
        <f>Result_notebook_retravaill!F1005</f>
        <v>Expansion Extractive+Circularity</v>
      </c>
      <c r="G1005">
        <f>Result_notebook_retravaill!G1005</f>
        <v>165496.51829818229</v>
      </c>
      <c r="H1005" s="32">
        <f>IF(Result_notebook_retravaill!I1005&gt;Result_notebook_retravaill!G1005,Result_notebook_retravaill!I1005/Result_notebook_retravaill!N1005,Result_notebook_retravaill!H1005)</f>
        <v>17802.59181720679</v>
      </c>
      <c r="I1005" s="32">
        <f>Result_notebook_retravaill!K1005</f>
        <v>358325.85886048019</v>
      </c>
      <c r="J1005" s="32">
        <f>MIN(G1005,Result_notebook_retravaill!I1005)</f>
        <v>7551.5359468116967</v>
      </c>
      <c r="K1005" s="32">
        <f>IF(Result_notebook_retravaill!I1005&gt;Result_notebook_retravaill!G1005,0,IF(Result_notebook_retravaill!I1005+Result_notebook_retravaill!J1005&gt;Result_notebook_retravaill!G1005,Result_notebook_retravaill!G1005-Result_notebook_retravaill!I1005,Result_notebook_retravaill!J1005))</f>
        <v>269.97162840520377</v>
      </c>
      <c r="L1005" s="32">
        <f>IF(Result_notebook_retravaill!I1005&gt;Result_notebook_retravaill!G1005,0,IF(Result_notebook_retravaill!I1005+Result_notebook_retravaill!J1005&gt;Result_notebook_retravaill!G1005,0,Result_notebook_retravaill!M1005))</f>
        <v>157675.01072296538</v>
      </c>
      <c r="M1005" s="31">
        <f t="shared" si="15"/>
        <v>0</v>
      </c>
    </row>
    <row r="1006" spans="1:13" x14ac:dyDescent="0.35">
      <c r="A1006">
        <f>Result_notebook_retravaill!A1006</f>
        <v>2036</v>
      </c>
      <c r="B1006" t="str">
        <f>Result_notebook_retravaill!B1006</f>
        <v>Cobalt</v>
      </c>
      <c r="C1006" t="str">
        <f>Result_notebook_retravaill!C1006</f>
        <v>Global Net-zero</v>
      </c>
      <c r="D1006" t="str">
        <f>Result_notebook_retravaill!D1006</f>
        <v>Production potential</v>
      </c>
      <c r="E1006" t="str">
        <f>Result_notebook_retravaill!E1006</f>
        <v>100% CAN</v>
      </c>
      <c r="F1006" t="str">
        <f>Result_notebook_retravaill!F1006</f>
        <v>Integrated</v>
      </c>
      <c r="G1006">
        <f>Result_notebook_retravaill!G1006</f>
        <v>165496.51829818229</v>
      </c>
      <c r="H1006" s="32">
        <f>IF(Result_notebook_retravaill!I1006&gt;Result_notebook_retravaill!G1006,Result_notebook_retravaill!I1006/Result_notebook_retravaill!N1006,Result_notebook_retravaill!H1006)</f>
        <v>17802.59181720679</v>
      </c>
      <c r="I1006" s="32">
        <f>Result_notebook_retravaill!K1006</f>
        <v>358325.85886048019</v>
      </c>
      <c r="J1006" s="32">
        <f>MIN(G1006,Result_notebook_retravaill!I1006)</f>
        <v>7821.5075752169087</v>
      </c>
      <c r="K1006" s="32">
        <f>IF(Result_notebook_retravaill!I1006&gt;Result_notebook_retravaill!G1006,0,IF(Result_notebook_retravaill!I1006+Result_notebook_retravaill!J1006&gt;Result_notebook_retravaill!G1006,Result_notebook_retravaill!G1006-Result_notebook_retravaill!I1006,Result_notebook_retravaill!J1006))</f>
        <v>-8.1854523159563541E-12</v>
      </c>
      <c r="L1006" s="32">
        <f>IF(Result_notebook_retravaill!I1006&gt;Result_notebook_retravaill!G1006,0,IF(Result_notebook_retravaill!I1006+Result_notebook_retravaill!J1006&gt;Result_notebook_retravaill!G1006,0,Result_notebook_retravaill!M1006))</f>
        <v>157675.01072296541</v>
      </c>
      <c r="M1006" s="31">
        <f t="shared" si="15"/>
        <v>0</v>
      </c>
    </row>
    <row r="1007" spans="1:13" x14ac:dyDescent="0.35">
      <c r="A1007">
        <f>Result_notebook_retravaill!A1007</f>
        <v>2036</v>
      </c>
      <c r="B1007" t="str">
        <f>Result_notebook_retravaill!B1007</f>
        <v>Copper</v>
      </c>
      <c r="C1007" t="str">
        <f>Result_notebook_retravaill!C1007</f>
        <v>Canada Net-zero</v>
      </c>
      <c r="D1007" t="str">
        <f>Result_notebook_retravaill!D1007</f>
        <v>Existing production</v>
      </c>
      <c r="E1007" t="str">
        <f>Result_notebook_retravaill!E1007</f>
        <v>Current shares</v>
      </c>
      <c r="F1007" t="str">
        <f>Result_notebook_retravaill!F1007</f>
        <v>NIMBY</v>
      </c>
      <c r="G1007">
        <f>Result_notebook_retravaill!G1007</f>
        <v>1427841.619496794</v>
      </c>
      <c r="H1007" s="32">
        <f>IF(Result_notebook_retravaill!I1007&gt;Result_notebook_retravaill!G1007,Result_notebook_retravaill!I1007/Result_notebook_retravaill!N1007,Result_notebook_retravaill!H1007)</f>
        <v>0</v>
      </c>
      <c r="I1007" s="32">
        <f>Result_notebook_retravaill!K1007</f>
        <v>1720291.107827463</v>
      </c>
      <c r="J1007" s="32">
        <f>MIN(G1007,Result_notebook_retravaill!I1007)</f>
        <v>0</v>
      </c>
      <c r="K1007" s="32">
        <f>IF(Result_notebook_retravaill!I1007&gt;Result_notebook_retravaill!G1007,0,IF(Result_notebook_retravaill!I1007+Result_notebook_retravaill!J1007&gt;Result_notebook_retravaill!G1007,Result_notebook_retravaill!G1007-Result_notebook_retravaill!I1007,Result_notebook_retravaill!J1007))</f>
        <v>0</v>
      </c>
      <c r="L1007" s="32">
        <f>IF(Result_notebook_retravaill!I1007&gt;Result_notebook_retravaill!G1007,0,IF(Result_notebook_retravaill!I1007+Result_notebook_retravaill!J1007&gt;Result_notebook_retravaill!G1007,0,Result_notebook_retravaill!M1007))</f>
        <v>1427841.619496794</v>
      </c>
      <c r="M1007" s="31">
        <f t="shared" si="15"/>
        <v>0</v>
      </c>
    </row>
    <row r="1008" spans="1:13" x14ac:dyDescent="0.35">
      <c r="A1008">
        <f>Result_notebook_retravaill!A1008</f>
        <v>2036</v>
      </c>
      <c r="B1008" t="str">
        <f>Result_notebook_retravaill!B1008</f>
        <v>Copper</v>
      </c>
      <c r="C1008" t="str">
        <f>Result_notebook_retravaill!C1008</f>
        <v>Canada Net-zero</v>
      </c>
      <c r="D1008" t="str">
        <f>Result_notebook_retravaill!D1008</f>
        <v>Existing production</v>
      </c>
      <c r="E1008" t="str">
        <f>Result_notebook_retravaill!E1008</f>
        <v>Current shares</v>
      </c>
      <c r="F1008" t="str">
        <f>Result_notebook_retravaill!F1008</f>
        <v>Status Quo</v>
      </c>
      <c r="G1008">
        <f>Result_notebook_retravaill!G1008</f>
        <v>1427841.619496794</v>
      </c>
      <c r="H1008" s="32">
        <f>IF(Result_notebook_retravaill!I1008&gt;Result_notebook_retravaill!G1008,Result_notebook_retravaill!I1008/Result_notebook_retravaill!N1008,Result_notebook_retravaill!H1008)</f>
        <v>260859</v>
      </c>
      <c r="I1008" s="32">
        <f>Result_notebook_retravaill!K1008</f>
        <v>1459432.107827463</v>
      </c>
      <c r="J1008" s="32">
        <f>MIN(G1008,Result_notebook_retravaill!I1008)</f>
        <v>137109.7566079231</v>
      </c>
      <c r="K1008" s="32">
        <f>IF(Result_notebook_retravaill!I1008&gt;Result_notebook_retravaill!G1008,0,IF(Result_notebook_retravaill!I1008+Result_notebook_retravaill!J1008&gt;Result_notebook_retravaill!G1008,Result_notebook_retravaill!G1008-Result_notebook_retravaill!I1008,Result_notebook_retravaill!J1008))</f>
        <v>80641.188307331031</v>
      </c>
      <c r="L1008" s="32">
        <f>IF(Result_notebook_retravaill!I1008&gt;Result_notebook_retravaill!G1008,0,IF(Result_notebook_retravaill!I1008+Result_notebook_retravaill!J1008&gt;Result_notebook_retravaill!G1008,0,Result_notebook_retravaill!M1008))</f>
        <v>1210090.67458154</v>
      </c>
      <c r="M1008" s="31">
        <f t="shared" si="15"/>
        <v>0</v>
      </c>
    </row>
    <row r="1009" spans="1:13" x14ac:dyDescent="0.35">
      <c r="A1009">
        <f>Result_notebook_retravaill!A1009</f>
        <v>2036</v>
      </c>
      <c r="B1009" t="str">
        <f>Result_notebook_retravaill!B1009</f>
        <v>Copper</v>
      </c>
      <c r="C1009" t="str">
        <f>Result_notebook_retravaill!C1009</f>
        <v>Canada Net-zero</v>
      </c>
      <c r="D1009" t="str">
        <f>Result_notebook_retravaill!D1009</f>
        <v>Production potential</v>
      </c>
      <c r="E1009" t="str">
        <f>Result_notebook_retravaill!E1009</f>
        <v>Current shares</v>
      </c>
      <c r="F1009" t="str">
        <f>Result_notebook_retravaill!F1009</f>
        <v>Expansion Extractive</v>
      </c>
      <c r="G1009">
        <f>Result_notebook_retravaill!G1009</f>
        <v>1427841.619496794</v>
      </c>
      <c r="H1009" s="32">
        <f>IF(Result_notebook_retravaill!I1009&gt;Result_notebook_retravaill!G1009,Result_notebook_retravaill!I1009/Result_notebook_retravaill!N1009,Result_notebook_retravaill!H1009)</f>
        <v>925742.0247192611</v>
      </c>
      <c r="I1009" s="32">
        <f>Result_notebook_retravaill!K1009</f>
        <v>794549.08310820162</v>
      </c>
      <c r="J1009" s="32">
        <f>MIN(G1009,Result_notebook_retravaill!I1009)</f>
        <v>486578.05055981921</v>
      </c>
      <c r="K1009" s="32">
        <f>IF(Result_notebook_retravaill!I1009&gt;Result_notebook_retravaill!G1009,0,IF(Result_notebook_retravaill!I1009+Result_notebook_retravaill!J1009&gt;Result_notebook_retravaill!G1009,Result_notebook_retravaill!G1009-Result_notebook_retravaill!I1009,Result_notebook_retravaill!J1009))</f>
        <v>286181.18193888559</v>
      </c>
      <c r="L1009" s="32">
        <f>IF(Result_notebook_retravaill!I1009&gt;Result_notebook_retravaill!G1009,0,IF(Result_notebook_retravaill!I1009+Result_notebook_retravaill!J1009&gt;Result_notebook_retravaill!G1009,0,Result_notebook_retravaill!M1009))</f>
        <v>655082.38699808915</v>
      </c>
      <c r="M1009" s="31">
        <f t="shared" si="15"/>
        <v>0</v>
      </c>
    </row>
    <row r="1010" spans="1:13" x14ac:dyDescent="0.35">
      <c r="A1010">
        <f>Result_notebook_retravaill!A1010</f>
        <v>2036</v>
      </c>
      <c r="B1010" t="str">
        <f>Result_notebook_retravaill!B1010</f>
        <v>Copper</v>
      </c>
      <c r="C1010" t="str">
        <f>Result_notebook_retravaill!C1010</f>
        <v>Canada Net-zero</v>
      </c>
      <c r="D1010" t="str">
        <f>Result_notebook_retravaill!D1010</f>
        <v>Production potential</v>
      </c>
      <c r="E1010" t="str">
        <f>Result_notebook_retravaill!E1010</f>
        <v>Current shares</v>
      </c>
      <c r="F1010" t="str">
        <f>Result_notebook_retravaill!F1010</f>
        <v>Expansion Extractive+Circularity</v>
      </c>
      <c r="G1010">
        <f>Result_notebook_retravaill!G1010</f>
        <v>1427841.619496794</v>
      </c>
      <c r="H1010" s="32">
        <f>IF(Result_notebook_retravaill!I1010&gt;Result_notebook_retravaill!G1010,Result_notebook_retravaill!I1010/Result_notebook_retravaill!N1010,Result_notebook_retravaill!H1010)</f>
        <v>925742.0247192611</v>
      </c>
      <c r="I1010" s="32">
        <f>Result_notebook_retravaill!K1010</f>
        <v>794549.08310820162</v>
      </c>
      <c r="J1010" s="32">
        <f>MIN(G1010,Result_notebook_retravaill!I1010)</f>
        <v>486578.05055981921</v>
      </c>
      <c r="K1010" s="32">
        <f>IF(Result_notebook_retravaill!I1010&gt;Result_notebook_retravaill!G1010,0,IF(Result_notebook_retravaill!I1010+Result_notebook_retravaill!J1010&gt;Result_notebook_retravaill!G1010,Result_notebook_retravaill!G1010-Result_notebook_retravaill!I1010,Result_notebook_retravaill!J1010))</f>
        <v>286181.18193888559</v>
      </c>
      <c r="L1010" s="32">
        <f>IF(Result_notebook_retravaill!I1010&gt;Result_notebook_retravaill!G1010,0,IF(Result_notebook_retravaill!I1010+Result_notebook_retravaill!J1010&gt;Result_notebook_retravaill!G1010,0,Result_notebook_retravaill!M1010))</f>
        <v>655082.38699808915</v>
      </c>
      <c r="M1010" s="31">
        <f t="shared" si="15"/>
        <v>0</v>
      </c>
    </row>
    <row r="1011" spans="1:13" x14ac:dyDescent="0.35">
      <c r="A1011">
        <f>Result_notebook_retravaill!A1011</f>
        <v>2036</v>
      </c>
      <c r="B1011" t="str">
        <f>Result_notebook_retravaill!B1011</f>
        <v>Copper</v>
      </c>
      <c r="C1011" t="str">
        <f>Result_notebook_retravaill!C1011</f>
        <v>Canada Net-zero</v>
      </c>
      <c r="D1011" t="str">
        <f>Result_notebook_retravaill!D1011</f>
        <v>Production potential</v>
      </c>
      <c r="E1011" t="str">
        <f>Result_notebook_retravaill!E1011</f>
        <v>100% CAN</v>
      </c>
      <c r="F1011" t="str">
        <f>Result_notebook_retravaill!F1011</f>
        <v>Integrated</v>
      </c>
      <c r="G1011">
        <f>Result_notebook_retravaill!G1011</f>
        <v>1427841.619496794</v>
      </c>
      <c r="H1011" s="32">
        <f>IF(Result_notebook_retravaill!I1011&gt;Result_notebook_retravaill!G1011,Result_notebook_retravaill!I1011/Result_notebook_retravaill!N1011,Result_notebook_retravaill!H1011)</f>
        <v>925742.0247192611</v>
      </c>
      <c r="I1011" s="32">
        <f>Result_notebook_retravaill!K1011</f>
        <v>794549.08310820162</v>
      </c>
      <c r="J1011" s="32">
        <f>MIN(G1011,Result_notebook_retravaill!I1011)</f>
        <v>772759.23249870527</v>
      </c>
      <c r="K1011" s="32">
        <f>IF(Result_notebook_retravaill!I1011&gt;Result_notebook_retravaill!G1011,0,IF(Result_notebook_retravaill!I1011+Result_notebook_retravaill!J1011&gt;Result_notebook_retravaill!G1011,Result_notebook_retravaill!G1011-Result_notebook_retravaill!I1011,Result_notebook_retravaill!J1011))</f>
        <v>0</v>
      </c>
      <c r="L1011" s="32">
        <f>IF(Result_notebook_retravaill!I1011&gt;Result_notebook_retravaill!G1011,0,IF(Result_notebook_retravaill!I1011+Result_notebook_retravaill!J1011&gt;Result_notebook_retravaill!G1011,0,Result_notebook_retravaill!M1011))</f>
        <v>655082.38699808868</v>
      </c>
      <c r="M1011" s="31">
        <f t="shared" si="15"/>
        <v>0</v>
      </c>
    </row>
    <row r="1012" spans="1:13" x14ac:dyDescent="0.35">
      <c r="A1012">
        <f>Result_notebook_retravaill!A1012</f>
        <v>2036</v>
      </c>
      <c r="B1012" t="str">
        <f>Result_notebook_retravaill!B1012</f>
        <v>Copper</v>
      </c>
      <c r="C1012" t="str">
        <f>Result_notebook_retravaill!C1012</f>
        <v>Current Measures</v>
      </c>
      <c r="D1012" t="str">
        <f>Result_notebook_retravaill!D1012</f>
        <v>Existing production</v>
      </c>
      <c r="E1012" t="str">
        <f>Result_notebook_retravaill!E1012</f>
        <v>Current shares</v>
      </c>
      <c r="F1012" t="str">
        <f>Result_notebook_retravaill!F1012</f>
        <v>NIMBY</v>
      </c>
      <c r="G1012">
        <f>Result_notebook_retravaill!G1012</f>
        <v>1101195.4808659849</v>
      </c>
      <c r="H1012" s="32">
        <f>IF(Result_notebook_retravaill!I1012&gt;Result_notebook_retravaill!G1012,Result_notebook_retravaill!I1012/Result_notebook_retravaill!N1012,Result_notebook_retravaill!H1012)</f>
        <v>0</v>
      </c>
      <c r="I1012" s="32">
        <f>Result_notebook_retravaill!K1012</f>
        <v>1326741.5432120301</v>
      </c>
      <c r="J1012" s="32">
        <f>MIN(G1012,Result_notebook_retravaill!I1012)</f>
        <v>0</v>
      </c>
      <c r="K1012" s="32">
        <f>IF(Result_notebook_retravaill!I1012&gt;Result_notebook_retravaill!G1012,0,IF(Result_notebook_retravaill!I1012+Result_notebook_retravaill!J1012&gt;Result_notebook_retravaill!G1012,Result_notebook_retravaill!G1012-Result_notebook_retravaill!I1012,Result_notebook_retravaill!J1012))</f>
        <v>0</v>
      </c>
      <c r="L1012" s="32">
        <f>IF(Result_notebook_retravaill!I1012&gt;Result_notebook_retravaill!G1012,0,IF(Result_notebook_retravaill!I1012+Result_notebook_retravaill!J1012&gt;Result_notebook_retravaill!G1012,0,Result_notebook_retravaill!M1012))</f>
        <v>1101195.4808659849</v>
      </c>
      <c r="M1012" s="31">
        <f t="shared" si="15"/>
        <v>0</v>
      </c>
    </row>
    <row r="1013" spans="1:13" x14ac:dyDescent="0.35">
      <c r="A1013">
        <f>Result_notebook_retravaill!A1013</f>
        <v>2036</v>
      </c>
      <c r="B1013" t="str">
        <f>Result_notebook_retravaill!B1013</f>
        <v>Copper</v>
      </c>
      <c r="C1013" t="str">
        <f>Result_notebook_retravaill!C1013</f>
        <v>Current Measures</v>
      </c>
      <c r="D1013" t="str">
        <f>Result_notebook_retravaill!D1013</f>
        <v>Existing production</v>
      </c>
      <c r="E1013" t="str">
        <f>Result_notebook_retravaill!E1013</f>
        <v>Current shares</v>
      </c>
      <c r="F1013" t="str">
        <f>Result_notebook_retravaill!F1013</f>
        <v>Status Quo</v>
      </c>
      <c r="G1013">
        <f>Result_notebook_retravaill!G1013</f>
        <v>1101195.4808659849</v>
      </c>
      <c r="H1013" s="32">
        <f>IF(Result_notebook_retravaill!I1013&gt;Result_notebook_retravaill!G1013,Result_notebook_retravaill!I1013/Result_notebook_retravaill!N1013,Result_notebook_retravaill!H1013)</f>
        <v>260859</v>
      </c>
      <c r="I1013" s="32">
        <f>Result_notebook_retravaill!K1013</f>
        <v>1065882.5432120301</v>
      </c>
      <c r="J1013" s="32">
        <f>MIN(G1013,Result_notebook_retravaill!I1013)</f>
        <v>137109.7566079231</v>
      </c>
      <c r="K1013" s="32">
        <f>IF(Result_notebook_retravaill!I1013&gt;Result_notebook_retravaill!G1013,0,IF(Result_notebook_retravaill!I1013+Result_notebook_retravaill!J1013&gt;Result_notebook_retravaill!G1013,Result_notebook_retravaill!G1013-Result_notebook_retravaill!I1013,Result_notebook_retravaill!J1013))</f>
        <v>80641.188307331031</v>
      </c>
      <c r="L1013" s="32">
        <f>IF(Result_notebook_retravaill!I1013&gt;Result_notebook_retravaill!G1013,0,IF(Result_notebook_retravaill!I1013+Result_notebook_retravaill!J1013&gt;Result_notebook_retravaill!G1013,0,Result_notebook_retravaill!M1013))</f>
        <v>883444.53595073067</v>
      </c>
      <c r="M1013" s="31">
        <f t="shared" si="15"/>
        <v>0</v>
      </c>
    </row>
    <row r="1014" spans="1:13" x14ac:dyDescent="0.35">
      <c r="A1014">
        <f>Result_notebook_retravaill!A1014</f>
        <v>2036</v>
      </c>
      <c r="B1014" t="str">
        <f>Result_notebook_retravaill!B1014</f>
        <v>Copper</v>
      </c>
      <c r="C1014" t="str">
        <f>Result_notebook_retravaill!C1014</f>
        <v>Current Measures</v>
      </c>
      <c r="D1014" t="str">
        <f>Result_notebook_retravaill!D1014</f>
        <v>Production potential</v>
      </c>
      <c r="E1014" t="str">
        <f>Result_notebook_retravaill!E1014</f>
        <v>Current shares</v>
      </c>
      <c r="F1014" t="str">
        <f>Result_notebook_retravaill!F1014</f>
        <v>Expansion Extractive</v>
      </c>
      <c r="G1014">
        <f>Result_notebook_retravaill!G1014</f>
        <v>1101195.4808659849</v>
      </c>
      <c r="H1014" s="32">
        <f>IF(Result_notebook_retravaill!I1014&gt;Result_notebook_retravaill!G1014,Result_notebook_retravaill!I1014/Result_notebook_retravaill!N1014,Result_notebook_retravaill!H1014)</f>
        <v>925742.0247192611</v>
      </c>
      <c r="I1014" s="32">
        <f>Result_notebook_retravaill!K1014</f>
        <v>400999.51849276898</v>
      </c>
      <c r="J1014" s="32">
        <f>MIN(G1014,Result_notebook_retravaill!I1014)</f>
        <v>486578.05055981921</v>
      </c>
      <c r="K1014" s="32">
        <f>IF(Result_notebook_retravaill!I1014&gt;Result_notebook_retravaill!G1014,0,IF(Result_notebook_retravaill!I1014+Result_notebook_retravaill!J1014&gt;Result_notebook_retravaill!G1014,Result_notebook_retravaill!G1014-Result_notebook_retravaill!I1014,Result_notebook_retravaill!J1014))</f>
        <v>286181.18193888559</v>
      </c>
      <c r="L1014" s="32">
        <f>IF(Result_notebook_retravaill!I1014&gt;Result_notebook_retravaill!G1014,0,IF(Result_notebook_retravaill!I1014+Result_notebook_retravaill!J1014&gt;Result_notebook_retravaill!G1014,0,Result_notebook_retravaill!M1014))</f>
        <v>328436.24836728012</v>
      </c>
      <c r="M1014" s="31">
        <f t="shared" si="15"/>
        <v>0</v>
      </c>
    </row>
    <row r="1015" spans="1:13" x14ac:dyDescent="0.35">
      <c r="A1015">
        <f>Result_notebook_retravaill!A1015</f>
        <v>2036</v>
      </c>
      <c r="B1015" t="str">
        <f>Result_notebook_retravaill!B1015</f>
        <v>Copper</v>
      </c>
      <c r="C1015" t="str">
        <f>Result_notebook_retravaill!C1015</f>
        <v>Current Measures</v>
      </c>
      <c r="D1015" t="str">
        <f>Result_notebook_retravaill!D1015</f>
        <v>Production potential</v>
      </c>
      <c r="E1015" t="str">
        <f>Result_notebook_retravaill!E1015</f>
        <v>Current shares</v>
      </c>
      <c r="F1015" t="str">
        <f>Result_notebook_retravaill!F1015</f>
        <v>Expansion Extractive+Circularity</v>
      </c>
      <c r="G1015">
        <f>Result_notebook_retravaill!G1015</f>
        <v>1101195.4808659849</v>
      </c>
      <c r="H1015" s="32">
        <f>IF(Result_notebook_retravaill!I1015&gt;Result_notebook_retravaill!G1015,Result_notebook_retravaill!I1015/Result_notebook_retravaill!N1015,Result_notebook_retravaill!H1015)</f>
        <v>925742.0247192611</v>
      </c>
      <c r="I1015" s="32">
        <f>Result_notebook_retravaill!K1015</f>
        <v>400999.51849276898</v>
      </c>
      <c r="J1015" s="32">
        <f>MIN(G1015,Result_notebook_retravaill!I1015)</f>
        <v>486578.05055981921</v>
      </c>
      <c r="K1015" s="32">
        <f>IF(Result_notebook_retravaill!I1015&gt;Result_notebook_retravaill!G1015,0,IF(Result_notebook_retravaill!I1015+Result_notebook_retravaill!J1015&gt;Result_notebook_retravaill!G1015,Result_notebook_retravaill!G1015-Result_notebook_retravaill!I1015,Result_notebook_retravaill!J1015))</f>
        <v>286181.18193888559</v>
      </c>
      <c r="L1015" s="32">
        <f>IF(Result_notebook_retravaill!I1015&gt;Result_notebook_retravaill!G1015,0,IF(Result_notebook_retravaill!I1015+Result_notebook_retravaill!J1015&gt;Result_notebook_retravaill!G1015,0,Result_notebook_retravaill!M1015))</f>
        <v>328436.24836728012</v>
      </c>
      <c r="M1015" s="31">
        <f t="shared" si="15"/>
        <v>0</v>
      </c>
    </row>
    <row r="1016" spans="1:13" x14ac:dyDescent="0.35">
      <c r="A1016">
        <f>Result_notebook_retravaill!A1016</f>
        <v>2036</v>
      </c>
      <c r="B1016" t="str">
        <f>Result_notebook_retravaill!B1016</f>
        <v>Copper</v>
      </c>
      <c r="C1016" t="str">
        <f>Result_notebook_retravaill!C1016</f>
        <v>Current Measures</v>
      </c>
      <c r="D1016" t="str">
        <f>Result_notebook_retravaill!D1016</f>
        <v>Production potential</v>
      </c>
      <c r="E1016" t="str">
        <f>Result_notebook_retravaill!E1016</f>
        <v>100% CAN</v>
      </c>
      <c r="F1016" t="str">
        <f>Result_notebook_retravaill!F1016</f>
        <v>Integrated</v>
      </c>
      <c r="G1016">
        <f>Result_notebook_retravaill!G1016</f>
        <v>1101195.4808659849</v>
      </c>
      <c r="H1016" s="32">
        <f>IF(Result_notebook_retravaill!I1016&gt;Result_notebook_retravaill!G1016,Result_notebook_retravaill!I1016/Result_notebook_retravaill!N1016,Result_notebook_retravaill!H1016)</f>
        <v>925742.0247192611</v>
      </c>
      <c r="I1016" s="32">
        <f>Result_notebook_retravaill!K1016</f>
        <v>400999.51849276898</v>
      </c>
      <c r="J1016" s="32">
        <f>MIN(G1016,Result_notebook_retravaill!I1016)</f>
        <v>772759.23249870527</v>
      </c>
      <c r="K1016" s="32">
        <f>IF(Result_notebook_retravaill!I1016&gt;Result_notebook_retravaill!G1016,0,IF(Result_notebook_retravaill!I1016+Result_notebook_retravaill!J1016&gt;Result_notebook_retravaill!G1016,Result_notebook_retravaill!G1016-Result_notebook_retravaill!I1016,Result_notebook_retravaill!J1016))</f>
        <v>0</v>
      </c>
      <c r="L1016" s="32">
        <f>IF(Result_notebook_retravaill!I1016&gt;Result_notebook_retravaill!G1016,0,IF(Result_notebook_retravaill!I1016+Result_notebook_retravaill!J1016&gt;Result_notebook_retravaill!G1016,0,Result_notebook_retravaill!M1016))</f>
        <v>328436.24836727971</v>
      </c>
      <c r="M1016" s="31">
        <f t="shared" si="15"/>
        <v>0</v>
      </c>
    </row>
    <row r="1017" spans="1:13" x14ac:dyDescent="0.35">
      <c r="A1017">
        <f>Result_notebook_retravaill!A1017</f>
        <v>2036</v>
      </c>
      <c r="B1017" t="str">
        <f>Result_notebook_retravaill!B1017</f>
        <v>Copper</v>
      </c>
      <c r="C1017" t="str">
        <f>Result_notebook_retravaill!C1017</f>
        <v>Global Net-zero</v>
      </c>
      <c r="D1017" t="str">
        <f>Result_notebook_retravaill!D1017</f>
        <v>Existing production</v>
      </c>
      <c r="E1017" t="str">
        <f>Result_notebook_retravaill!E1017</f>
        <v>Current shares</v>
      </c>
      <c r="F1017" t="str">
        <f>Result_notebook_retravaill!F1017</f>
        <v>NIMBY</v>
      </c>
      <c r="G1017">
        <f>Result_notebook_retravaill!G1017</f>
        <v>1361946.7246063449</v>
      </c>
      <c r="H1017" s="32">
        <f>IF(Result_notebook_retravaill!I1017&gt;Result_notebook_retravaill!G1017,Result_notebook_retravaill!I1017/Result_notebook_retravaill!N1017,Result_notebook_retravaill!H1017)</f>
        <v>0</v>
      </c>
      <c r="I1017" s="32">
        <f>Result_notebook_retravaill!K1017</f>
        <v>1640899.668200416</v>
      </c>
      <c r="J1017" s="32">
        <f>MIN(G1017,Result_notebook_retravaill!I1017)</f>
        <v>0</v>
      </c>
      <c r="K1017" s="32">
        <f>IF(Result_notebook_retravaill!I1017&gt;Result_notebook_retravaill!G1017,0,IF(Result_notebook_retravaill!I1017+Result_notebook_retravaill!J1017&gt;Result_notebook_retravaill!G1017,Result_notebook_retravaill!G1017-Result_notebook_retravaill!I1017,Result_notebook_retravaill!J1017))</f>
        <v>0</v>
      </c>
      <c r="L1017" s="32">
        <f>IF(Result_notebook_retravaill!I1017&gt;Result_notebook_retravaill!G1017,0,IF(Result_notebook_retravaill!I1017+Result_notebook_retravaill!J1017&gt;Result_notebook_retravaill!G1017,0,Result_notebook_retravaill!M1017))</f>
        <v>1361946.7246063449</v>
      </c>
      <c r="M1017" s="31">
        <f t="shared" si="15"/>
        <v>0</v>
      </c>
    </row>
    <row r="1018" spans="1:13" x14ac:dyDescent="0.35">
      <c r="A1018">
        <f>Result_notebook_retravaill!A1018</f>
        <v>2036</v>
      </c>
      <c r="B1018" t="str">
        <f>Result_notebook_retravaill!B1018</f>
        <v>Copper</v>
      </c>
      <c r="C1018" t="str">
        <f>Result_notebook_retravaill!C1018</f>
        <v>Global Net-zero</v>
      </c>
      <c r="D1018" t="str">
        <f>Result_notebook_retravaill!D1018</f>
        <v>Existing production</v>
      </c>
      <c r="E1018" t="str">
        <f>Result_notebook_retravaill!E1018</f>
        <v>Current shares</v>
      </c>
      <c r="F1018" t="str">
        <f>Result_notebook_retravaill!F1018</f>
        <v>Status Quo</v>
      </c>
      <c r="G1018">
        <f>Result_notebook_retravaill!G1018</f>
        <v>1361946.7246063449</v>
      </c>
      <c r="H1018" s="32">
        <f>IF(Result_notebook_retravaill!I1018&gt;Result_notebook_retravaill!G1018,Result_notebook_retravaill!I1018/Result_notebook_retravaill!N1018,Result_notebook_retravaill!H1018)</f>
        <v>260859</v>
      </c>
      <c r="I1018" s="32">
        <f>Result_notebook_retravaill!K1018</f>
        <v>1380040.668200416</v>
      </c>
      <c r="J1018" s="32">
        <f>MIN(G1018,Result_notebook_retravaill!I1018)</f>
        <v>137109.7566079231</v>
      </c>
      <c r="K1018" s="32">
        <f>IF(Result_notebook_retravaill!I1018&gt;Result_notebook_retravaill!G1018,0,IF(Result_notebook_retravaill!I1018+Result_notebook_retravaill!J1018&gt;Result_notebook_retravaill!G1018,Result_notebook_retravaill!G1018-Result_notebook_retravaill!I1018,Result_notebook_retravaill!J1018))</f>
        <v>80641.188307331031</v>
      </c>
      <c r="L1018" s="32">
        <f>IF(Result_notebook_retravaill!I1018&gt;Result_notebook_retravaill!G1018,0,IF(Result_notebook_retravaill!I1018+Result_notebook_retravaill!J1018&gt;Result_notebook_retravaill!G1018,0,Result_notebook_retravaill!M1018))</f>
        <v>1144195.779691091</v>
      </c>
      <c r="M1018" s="31">
        <f t="shared" si="15"/>
        <v>0</v>
      </c>
    </row>
    <row r="1019" spans="1:13" x14ac:dyDescent="0.35">
      <c r="A1019">
        <f>Result_notebook_retravaill!A1019</f>
        <v>2036</v>
      </c>
      <c r="B1019" t="str">
        <f>Result_notebook_retravaill!B1019</f>
        <v>Copper</v>
      </c>
      <c r="C1019" t="str">
        <f>Result_notebook_retravaill!C1019</f>
        <v>Global Net-zero</v>
      </c>
      <c r="D1019" t="str">
        <f>Result_notebook_retravaill!D1019</f>
        <v>Production potential</v>
      </c>
      <c r="E1019" t="str">
        <f>Result_notebook_retravaill!E1019</f>
        <v>Current shares</v>
      </c>
      <c r="F1019" t="str">
        <f>Result_notebook_retravaill!F1019</f>
        <v>Expansion Extractive</v>
      </c>
      <c r="G1019">
        <f>Result_notebook_retravaill!G1019</f>
        <v>1361946.7246063449</v>
      </c>
      <c r="H1019" s="32">
        <f>IF(Result_notebook_retravaill!I1019&gt;Result_notebook_retravaill!G1019,Result_notebook_retravaill!I1019/Result_notebook_retravaill!N1019,Result_notebook_retravaill!H1019)</f>
        <v>925742.0247192611</v>
      </c>
      <c r="I1019" s="32">
        <f>Result_notebook_retravaill!K1019</f>
        <v>715157.64348115446</v>
      </c>
      <c r="J1019" s="32">
        <f>MIN(G1019,Result_notebook_retravaill!I1019)</f>
        <v>486578.05055981921</v>
      </c>
      <c r="K1019" s="32">
        <f>IF(Result_notebook_retravaill!I1019&gt;Result_notebook_retravaill!G1019,0,IF(Result_notebook_retravaill!I1019+Result_notebook_retravaill!J1019&gt;Result_notebook_retravaill!G1019,Result_notebook_retravaill!G1019-Result_notebook_retravaill!I1019,Result_notebook_retravaill!J1019))</f>
        <v>286181.18193888559</v>
      </c>
      <c r="L1019" s="32">
        <f>IF(Result_notebook_retravaill!I1019&gt;Result_notebook_retravaill!G1019,0,IF(Result_notebook_retravaill!I1019+Result_notebook_retravaill!J1019&gt;Result_notebook_retravaill!G1019,0,Result_notebook_retravaill!M1019))</f>
        <v>589187.49210764014</v>
      </c>
      <c r="M1019" s="31">
        <f t="shared" si="15"/>
        <v>0</v>
      </c>
    </row>
    <row r="1020" spans="1:13" x14ac:dyDescent="0.35">
      <c r="A1020">
        <f>Result_notebook_retravaill!A1020</f>
        <v>2036</v>
      </c>
      <c r="B1020" t="str">
        <f>Result_notebook_retravaill!B1020</f>
        <v>Copper</v>
      </c>
      <c r="C1020" t="str">
        <f>Result_notebook_retravaill!C1020</f>
        <v>Global Net-zero</v>
      </c>
      <c r="D1020" t="str">
        <f>Result_notebook_retravaill!D1020</f>
        <v>Production potential</v>
      </c>
      <c r="E1020" t="str">
        <f>Result_notebook_retravaill!E1020</f>
        <v>Current shares</v>
      </c>
      <c r="F1020" t="str">
        <f>Result_notebook_retravaill!F1020</f>
        <v>Expansion Extractive+Circularity</v>
      </c>
      <c r="G1020">
        <f>Result_notebook_retravaill!G1020</f>
        <v>1361946.7246063449</v>
      </c>
      <c r="H1020" s="32">
        <f>IF(Result_notebook_retravaill!I1020&gt;Result_notebook_retravaill!G1020,Result_notebook_retravaill!I1020/Result_notebook_retravaill!N1020,Result_notebook_retravaill!H1020)</f>
        <v>925742.0247192611</v>
      </c>
      <c r="I1020" s="32">
        <f>Result_notebook_retravaill!K1020</f>
        <v>715157.64348115446</v>
      </c>
      <c r="J1020" s="32">
        <f>MIN(G1020,Result_notebook_retravaill!I1020)</f>
        <v>486578.05055981921</v>
      </c>
      <c r="K1020" s="32">
        <f>IF(Result_notebook_retravaill!I1020&gt;Result_notebook_retravaill!G1020,0,IF(Result_notebook_retravaill!I1020+Result_notebook_retravaill!J1020&gt;Result_notebook_retravaill!G1020,Result_notebook_retravaill!G1020-Result_notebook_retravaill!I1020,Result_notebook_retravaill!J1020))</f>
        <v>286181.18193888559</v>
      </c>
      <c r="L1020" s="32">
        <f>IF(Result_notebook_retravaill!I1020&gt;Result_notebook_retravaill!G1020,0,IF(Result_notebook_retravaill!I1020+Result_notebook_retravaill!J1020&gt;Result_notebook_retravaill!G1020,0,Result_notebook_retravaill!M1020))</f>
        <v>589187.49210764014</v>
      </c>
      <c r="M1020" s="31">
        <f t="shared" si="15"/>
        <v>0</v>
      </c>
    </row>
    <row r="1021" spans="1:13" x14ac:dyDescent="0.35">
      <c r="A1021">
        <f>Result_notebook_retravaill!A1021</f>
        <v>2036</v>
      </c>
      <c r="B1021" t="str">
        <f>Result_notebook_retravaill!B1021</f>
        <v>Copper</v>
      </c>
      <c r="C1021" t="str">
        <f>Result_notebook_retravaill!C1021</f>
        <v>Global Net-zero</v>
      </c>
      <c r="D1021" t="str">
        <f>Result_notebook_retravaill!D1021</f>
        <v>Production potential</v>
      </c>
      <c r="E1021" t="str">
        <f>Result_notebook_retravaill!E1021</f>
        <v>100% CAN</v>
      </c>
      <c r="F1021" t="str">
        <f>Result_notebook_retravaill!F1021</f>
        <v>Integrated</v>
      </c>
      <c r="G1021">
        <f>Result_notebook_retravaill!G1021</f>
        <v>1361946.7246063449</v>
      </c>
      <c r="H1021" s="32">
        <f>IF(Result_notebook_retravaill!I1021&gt;Result_notebook_retravaill!G1021,Result_notebook_retravaill!I1021/Result_notebook_retravaill!N1021,Result_notebook_retravaill!H1021)</f>
        <v>925742.0247192611</v>
      </c>
      <c r="I1021" s="32">
        <f>Result_notebook_retravaill!K1021</f>
        <v>715157.64348115446</v>
      </c>
      <c r="J1021" s="32">
        <f>MIN(G1021,Result_notebook_retravaill!I1021)</f>
        <v>772759.23249870527</v>
      </c>
      <c r="K1021" s="32">
        <f>IF(Result_notebook_retravaill!I1021&gt;Result_notebook_retravaill!G1021,0,IF(Result_notebook_retravaill!I1021+Result_notebook_retravaill!J1021&gt;Result_notebook_retravaill!G1021,Result_notebook_retravaill!G1021-Result_notebook_retravaill!I1021,Result_notebook_retravaill!J1021))</f>
        <v>0</v>
      </c>
      <c r="L1021" s="32">
        <f>IF(Result_notebook_retravaill!I1021&gt;Result_notebook_retravaill!G1021,0,IF(Result_notebook_retravaill!I1021+Result_notebook_retravaill!J1021&gt;Result_notebook_retravaill!G1021,0,Result_notebook_retravaill!M1021))</f>
        <v>589187.49210763967</v>
      </c>
      <c r="M1021" s="31">
        <f t="shared" si="15"/>
        <v>0</v>
      </c>
    </row>
    <row r="1022" spans="1:13" x14ac:dyDescent="0.35">
      <c r="A1022">
        <f>Result_notebook_retravaill!A1022</f>
        <v>2036</v>
      </c>
      <c r="B1022" t="str">
        <f>Result_notebook_retravaill!B1022</f>
        <v>Neodymium</v>
      </c>
      <c r="C1022" t="str">
        <f>Result_notebook_retravaill!C1022</f>
        <v>Canada Net-zero</v>
      </c>
      <c r="D1022" t="str">
        <f>Result_notebook_retravaill!D1022</f>
        <v>Existing production</v>
      </c>
      <c r="E1022" t="str">
        <f>Result_notebook_retravaill!E1022</f>
        <v>Current shares</v>
      </c>
      <c r="F1022" t="str">
        <f>Result_notebook_retravaill!F1022</f>
        <v>NIMBY</v>
      </c>
      <c r="G1022">
        <f>Result_notebook_retravaill!G1022</f>
        <v>5473.9657750696551</v>
      </c>
      <c r="H1022" s="32">
        <f>IF(Result_notebook_retravaill!I1022&gt;Result_notebook_retravaill!G1022,Result_notebook_retravaill!I1022/Result_notebook_retravaill!N1022,Result_notebook_retravaill!H1022)</f>
        <v>0</v>
      </c>
      <c r="I1022" s="32">
        <f>Result_notebook_retravaill!K1022</f>
        <v>9123.2762917827586</v>
      </c>
      <c r="J1022" s="32">
        <f>MIN(G1022,Result_notebook_retravaill!I1022)</f>
        <v>0</v>
      </c>
      <c r="K1022" s="32">
        <f>IF(Result_notebook_retravaill!I1022&gt;Result_notebook_retravaill!G1022,0,IF(Result_notebook_retravaill!I1022+Result_notebook_retravaill!J1022&gt;Result_notebook_retravaill!G1022,Result_notebook_retravaill!G1022-Result_notebook_retravaill!I1022,Result_notebook_retravaill!J1022))</f>
        <v>0</v>
      </c>
      <c r="L1022" s="32">
        <f>IF(Result_notebook_retravaill!I1022&gt;Result_notebook_retravaill!G1022,0,IF(Result_notebook_retravaill!I1022+Result_notebook_retravaill!J1022&gt;Result_notebook_retravaill!G1022,0,Result_notebook_retravaill!M1022))</f>
        <v>5473.9657750696551</v>
      </c>
      <c r="M1022" s="31">
        <f t="shared" si="15"/>
        <v>0</v>
      </c>
    </row>
    <row r="1023" spans="1:13" x14ac:dyDescent="0.35">
      <c r="A1023">
        <f>Result_notebook_retravaill!A1023</f>
        <v>2036</v>
      </c>
      <c r="B1023" t="str">
        <f>Result_notebook_retravaill!B1023</f>
        <v>Neodymium</v>
      </c>
      <c r="C1023" t="str">
        <f>Result_notebook_retravaill!C1023</f>
        <v>Canada Net-zero</v>
      </c>
      <c r="D1023" t="str">
        <f>Result_notebook_retravaill!D1023</f>
        <v>Existing production</v>
      </c>
      <c r="E1023" t="str">
        <f>Result_notebook_retravaill!E1023</f>
        <v>Current shares</v>
      </c>
      <c r="F1023" t="str">
        <f>Result_notebook_retravaill!F1023</f>
        <v>Status Quo</v>
      </c>
      <c r="G1023">
        <f>Result_notebook_retravaill!G1023</f>
        <v>5473.9657750696551</v>
      </c>
      <c r="H1023" s="32">
        <f>IF(Result_notebook_retravaill!I1023&gt;Result_notebook_retravaill!G1023,Result_notebook_retravaill!I1023/Result_notebook_retravaill!N1023,Result_notebook_retravaill!H1023)</f>
        <v>0</v>
      </c>
      <c r="I1023" s="32">
        <f>Result_notebook_retravaill!K1023</f>
        <v>9123.2762917827586</v>
      </c>
      <c r="J1023" s="32">
        <f>MIN(G1023,Result_notebook_retravaill!I1023)</f>
        <v>0</v>
      </c>
      <c r="K1023" s="32">
        <f>IF(Result_notebook_retravaill!I1023&gt;Result_notebook_retravaill!G1023,0,IF(Result_notebook_retravaill!I1023+Result_notebook_retravaill!J1023&gt;Result_notebook_retravaill!G1023,Result_notebook_retravaill!G1023-Result_notebook_retravaill!I1023,Result_notebook_retravaill!J1023))</f>
        <v>0</v>
      </c>
      <c r="L1023" s="32">
        <f>IF(Result_notebook_retravaill!I1023&gt;Result_notebook_retravaill!G1023,0,IF(Result_notebook_retravaill!I1023+Result_notebook_retravaill!J1023&gt;Result_notebook_retravaill!G1023,0,Result_notebook_retravaill!M1023))</f>
        <v>5473.9657750696551</v>
      </c>
      <c r="M1023" s="31">
        <f t="shared" si="15"/>
        <v>0</v>
      </c>
    </row>
    <row r="1024" spans="1:13" x14ac:dyDescent="0.35">
      <c r="A1024">
        <f>Result_notebook_retravaill!A1024</f>
        <v>2036</v>
      </c>
      <c r="B1024" t="str">
        <f>Result_notebook_retravaill!B1024</f>
        <v>Neodymium</v>
      </c>
      <c r="C1024" t="str">
        <f>Result_notebook_retravaill!C1024</f>
        <v>Canada Net-zero</v>
      </c>
      <c r="D1024" t="str">
        <f>Result_notebook_retravaill!D1024</f>
        <v>Production potential</v>
      </c>
      <c r="E1024" t="str">
        <f>Result_notebook_retravaill!E1024</f>
        <v>Current shares</v>
      </c>
      <c r="F1024" t="str">
        <f>Result_notebook_retravaill!F1024</f>
        <v>Expansion Extractive</v>
      </c>
      <c r="G1024">
        <f>Result_notebook_retravaill!G1024</f>
        <v>5473.9657750696551</v>
      </c>
      <c r="H1024" s="32">
        <f>IF(Result_notebook_retravaill!I1024&gt;Result_notebook_retravaill!G1024,Result_notebook_retravaill!I1024/Result_notebook_retravaill!N1024,Result_notebook_retravaill!H1024)</f>
        <v>112.111990107284</v>
      </c>
      <c r="I1024" s="32">
        <f>Result_notebook_retravaill!K1024</f>
        <v>9011.1643016754751</v>
      </c>
      <c r="J1024" s="32">
        <f>MIN(G1024,Result_notebook_retravaill!I1024)</f>
        <v>67.10394936401832</v>
      </c>
      <c r="K1024" s="32">
        <f>IF(Result_notebook_retravaill!I1024&gt;Result_notebook_retravaill!G1024,0,IF(Result_notebook_retravaill!I1024+Result_notebook_retravaill!J1024&gt;Result_notebook_retravaill!G1024,Result_notebook_retravaill!G1024-Result_notebook_retravaill!I1024,Result_notebook_retravaill!J1024))</f>
        <v>45.008040743265681</v>
      </c>
      <c r="L1024" s="32">
        <f>IF(Result_notebook_retravaill!I1024&gt;Result_notebook_retravaill!G1024,0,IF(Result_notebook_retravaill!I1024+Result_notebook_retravaill!J1024&gt;Result_notebook_retravaill!G1024,0,Result_notebook_retravaill!M1024))</f>
        <v>5361.8537849623708</v>
      </c>
      <c r="M1024" s="31">
        <f t="shared" si="15"/>
        <v>0</v>
      </c>
    </row>
    <row r="1025" spans="1:13" x14ac:dyDescent="0.35">
      <c r="A1025">
        <f>Result_notebook_retravaill!A1025</f>
        <v>2036</v>
      </c>
      <c r="B1025" t="str">
        <f>Result_notebook_retravaill!B1025</f>
        <v>Neodymium</v>
      </c>
      <c r="C1025" t="str">
        <f>Result_notebook_retravaill!C1025</f>
        <v>Canada Net-zero</v>
      </c>
      <c r="D1025" t="str">
        <f>Result_notebook_retravaill!D1025</f>
        <v>Production potential</v>
      </c>
      <c r="E1025" t="str">
        <f>Result_notebook_retravaill!E1025</f>
        <v>Current shares</v>
      </c>
      <c r="F1025" t="str">
        <f>Result_notebook_retravaill!F1025</f>
        <v>Expansion Extractive+Circularity</v>
      </c>
      <c r="G1025">
        <f>Result_notebook_retravaill!G1025</f>
        <v>5473.9657750696551</v>
      </c>
      <c r="H1025" s="32">
        <f>IF(Result_notebook_retravaill!I1025&gt;Result_notebook_retravaill!G1025,Result_notebook_retravaill!I1025/Result_notebook_retravaill!N1025,Result_notebook_retravaill!H1025)</f>
        <v>112.111990107284</v>
      </c>
      <c r="I1025" s="32">
        <f>Result_notebook_retravaill!K1025</f>
        <v>9011.1643016754751</v>
      </c>
      <c r="J1025" s="32">
        <f>MIN(G1025,Result_notebook_retravaill!I1025)</f>
        <v>67.10394936401832</v>
      </c>
      <c r="K1025" s="32">
        <f>IF(Result_notebook_retravaill!I1025&gt;Result_notebook_retravaill!G1025,0,IF(Result_notebook_retravaill!I1025+Result_notebook_retravaill!J1025&gt;Result_notebook_retravaill!G1025,Result_notebook_retravaill!G1025-Result_notebook_retravaill!I1025,Result_notebook_retravaill!J1025))</f>
        <v>45.008040743265681</v>
      </c>
      <c r="L1025" s="32">
        <f>IF(Result_notebook_retravaill!I1025&gt;Result_notebook_retravaill!G1025,0,IF(Result_notebook_retravaill!I1025+Result_notebook_retravaill!J1025&gt;Result_notebook_retravaill!G1025,0,Result_notebook_retravaill!M1025))</f>
        <v>5361.8537849623708</v>
      </c>
      <c r="M1025" s="31">
        <f t="shared" si="15"/>
        <v>0</v>
      </c>
    </row>
    <row r="1026" spans="1:13" x14ac:dyDescent="0.35">
      <c r="A1026">
        <f>Result_notebook_retravaill!A1026</f>
        <v>2036</v>
      </c>
      <c r="B1026" t="str">
        <f>Result_notebook_retravaill!B1026</f>
        <v>Neodymium</v>
      </c>
      <c r="C1026" t="str">
        <f>Result_notebook_retravaill!C1026</f>
        <v>Canada Net-zero</v>
      </c>
      <c r="D1026" t="str">
        <f>Result_notebook_retravaill!D1026</f>
        <v>Production potential</v>
      </c>
      <c r="E1026" t="str">
        <f>Result_notebook_retravaill!E1026</f>
        <v>100% CAN</v>
      </c>
      <c r="F1026" t="str">
        <f>Result_notebook_retravaill!F1026</f>
        <v>Integrated</v>
      </c>
      <c r="G1026">
        <f>Result_notebook_retravaill!G1026</f>
        <v>5473.9657750696551</v>
      </c>
      <c r="H1026" s="32">
        <f>IF(Result_notebook_retravaill!I1026&gt;Result_notebook_retravaill!G1026,Result_notebook_retravaill!I1026/Result_notebook_retravaill!N1026,Result_notebook_retravaill!H1026)</f>
        <v>112.111990107284</v>
      </c>
      <c r="I1026" s="32">
        <f>Result_notebook_retravaill!K1026</f>
        <v>9011.1643016754751</v>
      </c>
      <c r="J1026" s="32">
        <f>MIN(G1026,Result_notebook_retravaill!I1026)</f>
        <v>67.10394936401832</v>
      </c>
      <c r="K1026" s="32">
        <f>IF(Result_notebook_retravaill!I1026&gt;Result_notebook_retravaill!G1026,0,IF(Result_notebook_retravaill!I1026+Result_notebook_retravaill!J1026&gt;Result_notebook_retravaill!G1026,Result_notebook_retravaill!G1026-Result_notebook_retravaill!I1026,Result_notebook_retravaill!J1026))</f>
        <v>45.008040743265681</v>
      </c>
      <c r="L1026" s="32">
        <f>IF(Result_notebook_retravaill!I1026&gt;Result_notebook_retravaill!G1026,0,IF(Result_notebook_retravaill!I1026+Result_notebook_retravaill!J1026&gt;Result_notebook_retravaill!G1026,0,Result_notebook_retravaill!M1026))</f>
        <v>5361.8537849623708</v>
      </c>
      <c r="M1026" s="31">
        <f t="shared" si="15"/>
        <v>0</v>
      </c>
    </row>
    <row r="1027" spans="1:13" x14ac:dyDescent="0.35">
      <c r="A1027">
        <f>Result_notebook_retravaill!A1027</f>
        <v>2036</v>
      </c>
      <c r="B1027" t="str">
        <f>Result_notebook_retravaill!B1027</f>
        <v>Neodymium</v>
      </c>
      <c r="C1027" t="str">
        <f>Result_notebook_retravaill!C1027</f>
        <v>Current Measures</v>
      </c>
      <c r="D1027" t="str">
        <f>Result_notebook_retravaill!D1027</f>
        <v>Existing production</v>
      </c>
      <c r="E1027" t="str">
        <f>Result_notebook_retravaill!E1027</f>
        <v>Current shares</v>
      </c>
      <c r="F1027" t="str">
        <f>Result_notebook_retravaill!F1027</f>
        <v>NIMBY</v>
      </c>
      <c r="G1027">
        <f>Result_notebook_retravaill!G1027</f>
        <v>1758.8013355418279</v>
      </c>
      <c r="H1027" s="32">
        <f>IF(Result_notebook_retravaill!I1027&gt;Result_notebook_retravaill!G1027,Result_notebook_retravaill!I1027/Result_notebook_retravaill!N1027,Result_notebook_retravaill!H1027)</f>
        <v>0</v>
      </c>
      <c r="I1027" s="32">
        <f>Result_notebook_retravaill!K1027</f>
        <v>2931.33555923638</v>
      </c>
      <c r="J1027" s="32">
        <f>MIN(G1027,Result_notebook_retravaill!I1027)</f>
        <v>0</v>
      </c>
      <c r="K1027" s="32">
        <f>IF(Result_notebook_retravaill!I1027&gt;Result_notebook_retravaill!G1027,0,IF(Result_notebook_retravaill!I1027+Result_notebook_retravaill!J1027&gt;Result_notebook_retravaill!G1027,Result_notebook_retravaill!G1027-Result_notebook_retravaill!I1027,Result_notebook_retravaill!J1027))</f>
        <v>0</v>
      </c>
      <c r="L1027" s="32">
        <f>IF(Result_notebook_retravaill!I1027&gt;Result_notebook_retravaill!G1027,0,IF(Result_notebook_retravaill!I1027+Result_notebook_retravaill!J1027&gt;Result_notebook_retravaill!G1027,0,Result_notebook_retravaill!M1027))</f>
        <v>1758.8013355418279</v>
      </c>
      <c r="M1027" s="31">
        <f t="shared" ref="M1027:M1090" si="16">SUM(J1027:L1027)-G1027</f>
        <v>0</v>
      </c>
    </row>
    <row r="1028" spans="1:13" x14ac:dyDescent="0.35">
      <c r="A1028">
        <f>Result_notebook_retravaill!A1028</f>
        <v>2036</v>
      </c>
      <c r="B1028" t="str">
        <f>Result_notebook_retravaill!B1028</f>
        <v>Neodymium</v>
      </c>
      <c r="C1028" t="str">
        <f>Result_notebook_retravaill!C1028</f>
        <v>Current Measures</v>
      </c>
      <c r="D1028" t="str">
        <f>Result_notebook_retravaill!D1028</f>
        <v>Existing production</v>
      </c>
      <c r="E1028" t="str">
        <f>Result_notebook_retravaill!E1028</f>
        <v>Current shares</v>
      </c>
      <c r="F1028" t="str">
        <f>Result_notebook_retravaill!F1028</f>
        <v>Status Quo</v>
      </c>
      <c r="G1028">
        <f>Result_notebook_retravaill!G1028</f>
        <v>1758.8013355418279</v>
      </c>
      <c r="H1028" s="32">
        <f>IF(Result_notebook_retravaill!I1028&gt;Result_notebook_retravaill!G1028,Result_notebook_retravaill!I1028/Result_notebook_retravaill!N1028,Result_notebook_retravaill!H1028)</f>
        <v>0</v>
      </c>
      <c r="I1028" s="32">
        <f>Result_notebook_retravaill!K1028</f>
        <v>2931.33555923638</v>
      </c>
      <c r="J1028" s="32">
        <f>MIN(G1028,Result_notebook_retravaill!I1028)</f>
        <v>0</v>
      </c>
      <c r="K1028" s="32">
        <f>IF(Result_notebook_retravaill!I1028&gt;Result_notebook_retravaill!G1028,0,IF(Result_notebook_retravaill!I1028+Result_notebook_retravaill!J1028&gt;Result_notebook_retravaill!G1028,Result_notebook_retravaill!G1028-Result_notebook_retravaill!I1028,Result_notebook_retravaill!J1028))</f>
        <v>0</v>
      </c>
      <c r="L1028" s="32">
        <f>IF(Result_notebook_retravaill!I1028&gt;Result_notebook_retravaill!G1028,0,IF(Result_notebook_retravaill!I1028+Result_notebook_retravaill!J1028&gt;Result_notebook_retravaill!G1028,0,Result_notebook_retravaill!M1028))</f>
        <v>1758.8013355418279</v>
      </c>
      <c r="M1028" s="31">
        <f t="shared" si="16"/>
        <v>0</v>
      </c>
    </row>
    <row r="1029" spans="1:13" x14ac:dyDescent="0.35">
      <c r="A1029">
        <f>Result_notebook_retravaill!A1029</f>
        <v>2036</v>
      </c>
      <c r="B1029" t="str">
        <f>Result_notebook_retravaill!B1029</f>
        <v>Neodymium</v>
      </c>
      <c r="C1029" t="str">
        <f>Result_notebook_retravaill!C1029</f>
        <v>Current Measures</v>
      </c>
      <c r="D1029" t="str">
        <f>Result_notebook_retravaill!D1029</f>
        <v>Production potential</v>
      </c>
      <c r="E1029" t="str">
        <f>Result_notebook_retravaill!E1029</f>
        <v>Current shares</v>
      </c>
      <c r="F1029" t="str">
        <f>Result_notebook_retravaill!F1029</f>
        <v>Expansion Extractive</v>
      </c>
      <c r="G1029">
        <f>Result_notebook_retravaill!G1029</f>
        <v>1758.8013355418279</v>
      </c>
      <c r="H1029" s="32">
        <f>IF(Result_notebook_retravaill!I1029&gt;Result_notebook_retravaill!G1029,Result_notebook_retravaill!I1029/Result_notebook_retravaill!N1029,Result_notebook_retravaill!H1029)</f>
        <v>112.111990107284</v>
      </c>
      <c r="I1029" s="32">
        <f>Result_notebook_retravaill!K1029</f>
        <v>2819.2235691290962</v>
      </c>
      <c r="J1029" s="32">
        <f>MIN(G1029,Result_notebook_retravaill!I1029)</f>
        <v>67.10394936401832</v>
      </c>
      <c r="K1029" s="32">
        <f>IF(Result_notebook_retravaill!I1029&gt;Result_notebook_retravaill!G1029,0,IF(Result_notebook_retravaill!I1029+Result_notebook_retravaill!J1029&gt;Result_notebook_retravaill!G1029,Result_notebook_retravaill!G1029-Result_notebook_retravaill!I1029,Result_notebook_retravaill!J1029))</f>
        <v>45.008040743265681</v>
      </c>
      <c r="L1029" s="32">
        <f>IF(Result_notebook_retravaill!I1029&gt;Result_notebook_retravaill!G1029,0,IF(Result_notebook_retravaill!I1029+Result_notebook_retravaill!J1029&gt;Result_notebook_retravaill!G1029,0,Result_notebook_retravaill!M1029))</f>
        <v>1646.6893454345443</v>
      </c>
      <c r="M1029" s="31">
        <f t="shared" si="16"/>
        <v>0</v>
      </c>
    </row>
    <row r="1030" spans="1:13" x14ac:dyDescent="0.35">
      <c r="A1030">
        <f>Result_notebook_retravaill!A1030</f>
        <v>2036</v>
      </c>
      <c r="B1030" t="str">
        <f>Result_notebook_retravaill!B1030</f>
        <v>Neodymium</v>
      </c>
      <c r="C1030" t="str">
        <f>Result_notebook_retravaill!C1030</f>
        <v>Current Measures</v>
      </c>
      <c r="D1030" t="str">
        <f>Result_notebook_retravaill!D1030</f>
        <v>Production potential</v>
      </c>
      <c r="E1030" t="str">
        <f>Result_notebook_retravaill!E1030</f>
        <v>Current shares</v>
      </c>
      <c r="F1030" t="str">
        <f>Result_notebook_retravaill!F1030</f>
        <v>Expansion Extractive+Circularity</v>
      </c>
      <c r="G1030">
        <f>Result_notebook_retravaill!G1030</f>
        <v>1758.8013355418279</v>
      </c>
      <c r="H1030" s="32">
        <f>IF(Result_notebook_retravaill!I1030&gt;Result_notebook_retravaill!G1030,Result_notebook_retravaill!I1030/Result_notebook_retravaill!N1030,Result_notebook_retravaill!H1030)</f>
        <v>112.111990107284</v>
      </c>
      <c r="I1030" s="32">
        <f>Result_notebook_retravaill!K1030</f>
        <v>2819.2235691290962</v>
      </c>
      <c r="J1030" s="32">
        <f>MIN(G1030,Result_notebook_retravaill!I1030)</f>
        <v>67.10394936401832</v>
      </c>
      <c r="K1030" s="32">
        <f>IF(Result_notebook_retravaill!I1030&gt;Result_notebook_retravaill!G1030,0,IF(Result_notebook_retravaill!I1030+Result_notebook_retravaill!J1030&gt;Result_notebook_retravaill!G1030,Result_notebook_retravaill!G1030-Result_notebook_retravaill!I1030,Result_notebook_retravaill!J1030))</f>
        <v>45.008040743265681</v>
      </c>
      <c r="L1030" s="32">
        <f>IF(Result_notebook_retravaill!I1030&gt;Result_notebook_retravaill!G1030,0,IF(Result_notebook_retravaill!I1030+Result_notebook_retravaill!J1030&gt;Result_notebook_retravaill!G1030,0,Result_notebook_retravaill!M1030))</f>
        <v>1646.6893454345443</v>
      </c>
      <c r="M1030" s="31">
        <f t="shared" si="16"/>
        <v>0</v>
      </c>
    </row>
    <row r="1031" spans="1:13" x14ac:dyDescent="0.35">
      <c r="A1031">
        <f>Result_notebook_retravaill!A1031</f>
        <v>2036</v>
      </c>
      <c r="B1031" t="str">
        <f>Result_notebook_retravaill!B1031</f>
        <v>Neodymium</v>
      </c>
      <c r="C1031" t="str">
        <f>Result_notebook_retravaill!C1031</f>
        <v>Current Measures</v>
      </c>
      <c r="D1031" t="str">
        <f>Result_notebook_retravaill!D1031</f>
        <v>Production potential</v>
      </c>
      <c r="E1031" t="str">
        <f>Result_notebook_retravaill!E1031</f>
        <v>100% CAN</v>
      </c>
      <c r="F1031" t="str">
        <f>Result_notebook_retravaill!F1031</f>
        <v>Integrated</v>
      </c>
      <c r="G1031">
        <f>Result_notebook_retravaill!G1031</f>
        <v>1758.8013355418279</v>
      </c>
      <c r="H1031" s="32">
        <f>IF(Result_notebook_retravaill!I1031&gt;Result_notebook_retravaill!G1031,Result_notebook_retravaill!I1031/Result_notebook_retravaill!N1031,Result_notebook_retravaill!H1031)</f>
        <v>112.111990107284</v>
      </c>
      <c r="I1031" s="32">
        <f>Result_notebook_retravaill!K1031</f>
        <v>2819.2235691290962</v>
      </c>
      <c r="J1031" s="32">
        <f>MIN(G1031,Result_notebook_retravaill!I1031)</f>
        <v>67.10394936401832</v>
      </c>
      <c r="K1031" s="32">
        <f>IF(Result_notebook_retravaill!I1031&gt;Result_notebook_retravaill!G1031,0,IF(Result_notebook_retravaill!I1031+Result_notebook_retravaill!J1031&gt;Result_notebook_retravaill!G1031,Result_notebook_retravaill!G1031-Result_notebook_retravaill!I1031,Result_notebook_retravaill!J1031))</f>
        <v>45.008040743265681</v>
      </c>
      <c r="L1031" s="32">
        <f>IF(Result_notebook_retravaill!I1031&gt;Result_notebook_retravaill!G1031,0,IF(Result_notebook_retravaill!I1031+Result_notebook_retravaill!J1031&gt;Result_notebook_retravaill!G1031,0,Result_notebook_retravaill!M1031))</f>
        <v>1646.6893454345443</v>
      </c>
      <c r="M1031" s="31">
        <f t="shared" si="16"/>
        <v>0</v>
      </c>
    </row>
    <row r="1032" spans="1:13" x14ac:dyDescent="0.35">
      <c r="A1032">
        <f>Result_notebook_retravaill!A1032</f>
        <v>2036</v>
      </c>
      <c r="B1032" t="str">
        <f>Result_notebook_retravaill!B1032</f>
        <v>Neodymium</v>
      </c>
      <c r="C1032" t="str">
        <f>Result_notebook_retravaill!C1032</f>
        <v>Global Net-zero</v>
      </c>
      <c r="D1032" t="str">
        <f>Result_notebook_retravaill!D1032</f>
        <v>Existing production</v>
      </c>
      <c r="E1032" t="str">
        <f>Result_notebook_retravaill!E1032</f>
        <v>Current shares</v>
      </c>
      <c r="F1032" t="str">
        <f>Result_notebook_retravaill!F1032</f>
        <v>NIMBY</v>
      </c>
      <c r="G1032">
        <f>Result_notebook_retravaill!G1032</f>
        <v>5249.778261831415</v>
      </c>
      <c r="H1032" s="32">
        <f>IF(Result_notebook_retravaill!I1032&gt;Result_notebook_retravaill!G1032,Result_notebook_retravaill!I1032/Result_notebook_retravaill!N1032,Result_notebook_retravaill!H1032)</f>
        <v>0</v>
      </c>
      <c r="I1032" s="32">
        <f>Result_notebook_retravaill!K1032</f>
        <v>8749.6304363856925</v>
      </c>
      <c r="J1032" s="32">
        <f>MIN(G1032,Result_notebook_retravaill!I1032)</f>
        <v>0</v>
      </c>
      <c r="K1032" s="32">
        <f>IF(Result_notebook_retravaill!I1032&gt;Result_notebook_retravaill!G1032,0,IF(Result_notebook_retravaill!I1032+Result_notebook_retravaill!J1032&gt;Result_notebook_retravaill!G1032,Result_notebook_retravaill!G1032-Result_notebook_retravaill!I1032,Result_notebook_retravaill!J1032))</f>
        <v>0</v>
      </c>
      <c r="L1032" s="32">
        <f>IF(Result_notebook_retravaill!I1032&gt;Result_notebook_retravaill!G1032,0,IF(Result_notebook_retravaill!I1032+Result_notebook_retravaill!J1032&gt;Result_notebook_retravaill!G1032,0,Result_notebook_retravaill!M1032))</f>
        <v>5249.778261831415</v>
      </c>
      <c r="M1032" s="31">
        <f t="shared" si="16"/>
        <v>0</v>
      </c>
    </row>
    <row r="1033" spans="1:13" x14ac:dyDescent="0.35">
      <c r="A1033">
        <f>Result_notebook_retravaill!A1033</f>
        <v>2036</v>
      </c>
      <c r="B1033" t="str">
        <f>Result_notebook_retravaill!B1033</f>
        <v>Neodymium</v>
      </c>
      <c r="C1033" t="str">
        <f>Result_notebook_retravaill!C1033</f>
        <v>Global Net-zero</v>
      </c>
      <c r="D1033" t="str">
        <f>Result_notebook_retravaill!D1033</f>
        <v>Existing production</v>
      </c>
      <c r="E1033" t="str">
        <f>Result_notebook_retravaill!E1033</f>
        <v>Current shares</v>
      </c>
      <c r="F1033" t="str">
        <f>Result_notebook_retravaill!F1033</f>
        <v>Status Quo</v>
      </c>
      <c r="G1033">
        <f>Result_notebook_retravaill!G1033</f>
        <v>5249.778261831415</v>
      </c>
      <c r="H1033" s="32">
        <f>IF(Result_notebook_retravaill!I1033&gt;Result_notebook_retravaill!G1033,Result_notebook_retravaill!I1033/Result_notebook_retravaill!N1033,Result_notebook_retravaill!H1033)</f>
        <v>0</v>
      </c>
      <c r="I1033" s="32">
        <f>Result_notebook_retravaill!K1033</f>
        <v>8749.6304363856925</v>
      </c>
      <c r="J1033" s="32">
        <f>MIN(G1033,Result_notebook_retravaill!I1033)</f>
        <v>0</v>
      </c>
      <c r="K1033" s="32">
        <f>IF(Result_notebook_retravaill!I1033&gt;Result_notebook_retravaill!G1033,0,IF(Result_notebook_retravaill!I1033+Result_notebook_retravaill!J1033&gt;Result_notebook_retravaill!G1033,Result_notebook_retravaill!G1033-Result_notebook_retravaill!I1033,Result_notebook_retravaill!J1033))</f>
        <v>0</v>
      </c>
      <c r="L1033" s="32">
        <f>IF(Result_notebook_retravaill!I1033&gt;Result_notebook_retravaill!G1033,0,IF(Result_notebook_retravaill!I1033+Result_notebook_retravaill!J1033&gt;Result_notebook_retravaill!G1033,0,Result_notebook_retravaill!M1033))</f>
        <v>5249.778261831415</v>
      </c>
      <c r="M1033" s="31">
        <f t="shared" si="16"/>
        <v>0</v>
      </c>
    </row>
    <row r="1034" spans="1:13" x14ac:dyDescent="0.35">
      <c r="A1034">
        <f>Result_notebook_retravaill!A1034</f>
        <v>2036</v>
      </c>
      <c r="B1034" t="str">
        <f>Result_notebook_retravaill!B1034</f>
        <v>Neodymium</v>
      </c>
      <c r="C1034" t="str">
        <f>Result_notebook_retravaill!C1034</f>
        <v>Global Net-zero</v>
      </c>
      <c r="D1034" t="str">
        <f>Result_notebook_retravaill!D1034</f>
        <v>Production potential</v>
      </c>
      <c r="E1034" t="str">
        <f>Result_notebook_retravaill!E1034</f>
        <v>Current shares</v>
      </c>
      <c r="F1034" t="str">
        <f>Result_notebook_retravaill!F1034</f>
        <v>Expansion Extractive</v>
      </c>
      <c r="G1034">
        <f>Result_notebook_retravaill!G1034</f>
        <v>5249.778261831415</v>
      </c>
      <c r="H1034" s="32">
        <f>IF(Result_notebook_retravaill!I1034&gt;Result_notebook_retravaill!G1034,Result_notebook_retravaill!I1034/Result_notebook_retravaill!N1034,Result_notebook_retravaill!H1034)</f>
        <v>112.111990107284</v>
      </c>
      <c r="I1034" s="32">
        <f>Result_notebook_retravaill!K1034</f>
        <v>8637.5184462784091</v>
      </c>
      <c r="J1034" s="32">
        <f>MIN(G1034,Result_notebook_retravaill!I1034)</f>
        <v>67.10394936401832</v>
      </c>
      <c r="K1034" s="32">
        <f>IF(Result_notebook_retravaill!I1034&gt;Result_notebook_retravaill!G1034,0,IF(Result_notebook_retravaill!I1034+Result_notebook_retravaill!J1034&gt;Result_notebook_retravaill!G1034,Result_notebook_retravaill!G1034-Result_notebook_retravaill!I1034,Result_notebook_retravaill!J1034))</f>
        <v>45.008040743265681</v>
      </c>
      <c r="L1034" s="32">
        <f>IF(Result_notebook_retravaill!I1034&gt;Result_notebook_retravaill!G1034,0,IF(Result_notebook_retravaill!I1034+Result_notebook_retravaill!J1034&gt;Result_notebook_retravaill!G1034,0,Result_notebook_retravaill!M1034))</f>
        <v>5137.6662717241306</v>
      </c>
      <c r="M1034" s="31">
        <f t="shared" si="16"/>
        <v>0</v>
      </c>
    </row>
    <row r="1035" spans="1:13" x14ac:dyDescent="0.35">
      <c r="A1035">
        <f>Result_notebook_retravaill!A1035</f>
        <v>2036</v>
      </c>
      <c r="B1035" t="str">
        <f>Result_notebook_retravaill!B1035</f>
        <v>Neodymium</v>
      </c>
      <c r="C1035" t="str">
        <f>Result_notebook_retravaill!C1035</f>
        <v>Global Net-zero</v>
      </c>
      <c r="D1035" t="str">
        <f>Result_notebook_retravaill!D1035</f>
        <v>Production potential</v>
      </c>
      <c r="E1035" t="str">
        <f>Result_notebook_retravaill!E1035</f>
        <v>Current shares</v>
      </c>
      <c r="F1035" t="str">
        <f>Result_notebook_retravaill!F1035</f>
        <v>Expansion Extractive+Circularity</v>
      </c>
      <c r="G1035">
        <f>Result_notebook_retravaill!G1035</f>
        <v>5249.778261831415</v>
      </c>
      <c r="H1035" s="32">
        <f>IF(Result_notebook_retravaill!I1035&gt;Result_notebook_retravaill!G1035,Result_notebook_retravaill!I1035/Result_notebook_retravaill!N1035,Result_notebook_retravaill!H1035)</f>
        <v>112.111990107284</v>
      </c>
      <c r="I1035" s="32">
        <f>Result_notebook_retravaill!K1035</f>
        <v>8637.5184462784091</v>
      </c>
      <c r="J1035" s="32">
        <f>MIN(G1035,Result_notebook_retravaill!I1035)</f>
        <v>67.10394936401832</v>
      </c>
      <c r="K1035" s="32">
        <f>IF(Result_notebook_retravaill!I1035&gt;Result_notebook_retravaill!G1035,0,IF(Result_notebook_retravaill!I1035+Result_notebook_retravaill!J1035&gt;Result_notebook_retravaill!G1035,Result_notebook_retravaill!G1035-Result_notebook_retravaill!I1035,Result_notebook_retravaill!J1035))</f>
        <v>45.008040743265681</v>
      </c>
      <c r="L1035" s="32">
        <f>IF(Result_notebook_retravaill!I1035&gt;Result_notebook_retravaill!G1035,0,IF(Result_notebook_retravaill!I1035+Result_notebook_retravaill!J1035&gt;Result_notebook_retravaill!G1035,0,Result_notebook_retravaill!M1035))</f>
        <v>5137.6662717241306</v>
      </c>
      <c r="M1035" s="31">
        <f t="shared" si="16"/>
        <v>0</v>
      </c>
    </row>
    <row r="1036" spans="1:13" x14ac:dyDescent="0.35">
      <c r="A1036">
        <f>Result_notebook_retravaill!A1036</f>
        <v>2036</v>
      </c>
      <c r="B1036" t="str">
        <f>Result_notebook_retravaill!B1036</f>
        <v>Neodymium</v>
      </c>
      <c r="C1036" t="str">
        <f>Result_notebook_retravaill!C1036</f>
        <v>Global Net-zero</v>
      </c>
      <c r="D1036" t="str">
        <f>Result_notebook_retravaill!D1036</f>
        <v>Production potential</v>
      </c>
      <c r="E1036" t="str">
        <f>Result_notebook_retravaill!E1036</f>
        <v>100% CAN</v>
      </c>
      <c r="F1036" t="str">
        <f>Result_notebook_retravaill!F1036</f>
        <v>Integrated</v>
      </c>
      <c r="G1036">
        <f>Result_notebook_retravaill!G1036</f>
        <v>5249.778261831415</v>
      </c>
      <c r="H1036" s="32">
        <f>IF(Result_notebook_retravaill!I1036&gt;Result_notebook_retravaill!G1036,Result_notebook_retravaill!I1036/Result_notebook_retravaill!N1036,Result_notebook_retravaill!H1036)</f>
        <v>112.111990107284</v>
      </c>
      <c r="I1036" s="32">
        <f>Result_notebook_retravaill!K1036</f>
        <v>8637.5184462784091</v>
      </c>
      <c r="J1036" s="32">
        <f>MIN(G1036,Result_notebook_retravaill!I1036)</f>
        <v>67.10394936401832</v>
      </c>
      <c r="K1036" s="32">
        <f>IF(Result_notebook_retravaill!I1036&gt;Result_notebook_retravaill!G1036,0,IF(Result_notebook_retravaill!I1036+Result_notebook_retravaill!J1036&gt;Result_notebook_retravaill!G1036,Result_notebook_retravaill!G1036-Result_notebook_retravaill!I1036,Result_notebook_retravaill!J1036))</f>
        <v>45.008040743265681</v>
      </c>
      <c r="L1036" s="32">
        <f>IF(Result_notebook_retravaill!I1036&gt;Result_notebook_retravaill!G1036,0,IF(Result_notebook_retravaill!I1036+Result_notebook_retravaill!J1036&gt;Result_notebook_retravaill!G1036,0,Result_notebook_retravaill!M1036))</f>
        <v>5137.6662717241306</v>
      </c>
      <c r="M1036" s="31">
        <f t="shared" si="16"/>
        <v>0</v>
      </c>
    </row>
    <row r="1037" spans="1:13" x14ac:dyDescent="0.35">
      <c r="A1037">
        <f>Result_notebook_retravaill!A1037</f>
        <v>2036</v>
      </c>
      <c r="B1037" t="str">
        <f>Result_notebook_retravaill!B1037</f>
        <v>Nickel</v>
      </c>
      <c r="C1037" t="str">
        <f>Result_notebook_retravaill!C1037</f>
        <v>Canada Net-zero</v>
      </c>
      <c r="D1037" t="str">
        <f>Result_notebook_retravaill!D1037</f>
        <v>Existing production</v>
      </c>
      <c r="E1037" t="str">
        <f>Result_notebook_retravaill!E1037</f>
        <v>Current shares</v>
      </c>
      <c r="F1037" t="str">
        <f>Result_notebook_retravaill!F1037</f>
        <v>NIMBY</v>
      </c>
      <c r="G1037">
        <f>Result_notebook_retravaill!G1037</f>
        <v>165843.46419653171</v>
      </c>
      <c r="H1037" s="32">
        <f>IF(Result_notebook_retravaill!I1037&gt;Result_notebook_retravaill!G1037,Result_notebook_retravaill!I1037/Result_notebook_retravaill!N1037,Result_notebook_retravaill!H1037)</f>
        <v>0</v>
      </c>
      <c r="I1037" s="32">
        <f>Result_notebook_retravaill!K1037</f>
        <v>209928.43569181231</v>
      </c>
      <c r="J1037" s="32">
        <f>MIN(G1037,Result_notebook_retravaill!I1037)</f>
        <v>0</v>
      </c>
      <c r="K1037" s="32">
        <f>IF(Result_notebook_retravaill!I1037&gt;Result_notebook_retravaill!G1037,0,IF(Result_notebook_retravaill!I1037+Result_notebook_retravaill!J1037&gt;Result_notebook_retravaill!G1037,Result_notebook_retravaill!G1037-Result_notebook_retravaill!I1037,Result_notebook_retravaill!J1037))</f>
        <v>0</v>
      </c>
      <c r="L1037" s="32">
        <f>IF(Result_notebook_retravaill!I1037&gt;Result_notebook_retravaill!G1037,0,IF(Result_notebook_retravaill!I1037+Result_notebook_retravaill!J1037&gt;Result_notebook_retravaill!G1037,0,Result_notebook_retravaill!M1037))</f>
        <v>165843.46419653171</v>
      </c>
      <c r="M1037" s="31">
        <f t="shared" si="16"/>
        <v>0</v>
      </c>
    </row>
    <row r="1038" spans="1:13" x14ac:dyDescent="0.35">
      <c r="A1038">
        <f>Result_notebook_retravaill!A1038</f>
        <v>2036</v>
      </c>
      <c r="B1038" t="str">
        <f>Result_notebook_retravaill!B1038</f>
        <v>Nickel</v>
      </c>
      <c r="C1038" t="str">
        <f>Result_notebook_retravaill!C1038</f>
        <v>Canada Net-zero</v>
      </c>
      <c r="D1038" t="str">
        <f>Result_notebook_retravaill!D1038</f>
        <v>Existing production</v>
      </c>
      <c r="E1038" t="str">
        <f>Result_notebook_retravaill!E1038</f>
        <v>Current shares</v>
      </c>
      <c r="F1038" t="str">
        <f>Result_notebook_retravaill!F1038</f>
        <v>Status Quo</v>
      </c>
      <c r="G1038">
        <f>Result_notebook_retravaill!G1038</f>
        <v>165843.46419653171</v>
      </c>
      <c r="H1038" s="32">
        <f>IF(Result_notebook_retravaill!I1038&gt;Result_notebook_retravaill!G1038,Result_notebook_retravaill!I1038/Result_notebook_retravaill!N1038,Result_notebook_retravaill!H1038)</f>
        <v>116680</v>
      </c>
      <c r="I1038" s="32">
        <f>Result_notebook_retravaill!K1038</f>
        <v>93248.435691812279</v>
      </c>
      <c r="J1038" s="32">
        <f>MIN(G1038,Result_notebook_retravaill!I1038)</f>
        <v>65443.483404116138</v>
      </c>
      <c r="K1038" s="32">
        <f>IF(Result_notebook_retravaill!I1038&gt;Result_notebook_retravaill!G1038,0,IF(Result_notebook_retravaill!I1038+Result_notebook_retravaill!J1038&gt;Result_notebook_retravaill!G1038,Result_notebook_retravaill!G1038-Result_notebook_retravaill!I1038,Result_notebook_retravaill!J1038))</f>
        <v>16135.727142308955</v>
      </c>
      <c r="L1038" s="32">
        <f>IF(Result_notebook_retravaill!I1038&gt;Result_notebook_retravaill!G1038,0,IF(Result_notebook_retravaill!I1038+Result_notebook_retravaill!J1038&gt;Result_notebook_retravaill!G1038,0,Result_notebook_retravaill!M1038))</f>
        <v>84264.25365010665</v>
      </c>
      <c r="M1038" s="31">
        <f t="shared" si="16"/>
        <v>0</v>
      </c>
    </row>
    <row r="1039" spans="1:13" x14ac:dyDescent="0.35">
      <c r="A1039">
        <f>Result_notebook_retravaill!A1039</f>
        <v>2036</v>
      </c>
      <c r="B1039" t="str">
        <f>Result_notebook_retravaill!B1039</f>
        <v>Nickel</v>
      </c>
      <c r="C1039" t="str">
        <f>Result_notebook_retravaill!C1039</f>
        <v>Canada Net-zero</v>
      </c>
      <c r="D1039" t="str">
        <f>Result_notebook_retravaill!D1039</f>
        <v>Production potential</v>
      </c>
      <c r="E1039" t="str">
        <f>Result_notebook_retravaill!E1039</f>
        <v>Current shares</v>
      </c>
      <c r="F1039" t="str">
        <f>Result_notebook_retravaill!F1039</f>
        <v>Expansion Extractive</v>
      </c>
      <c r="G1039">
        <f>Result_notebook_retravaill!G1039</f>
        <v>165843.46419653171</v>
      </c>
      <c r="H1039" s="32">
        <f>IF(Result_notebook_retravaill!I1039&gt;Result_notebook_retravaill!G1039,Result_notebook_retravaill!I1039/Result_notebook_retravaill!N1039,Result_notebook_retravaill!H1039)</f>
        <v>236101.16516190339</v>
      </c>
      <c r="I1039" s="32">
        <f>Result_notebook_retravaill!K1039</f>
        <v>0</v>
      </c>
      <c r="J1039" s="32">
        <f>MIN(G1039,Result_notebook_retravaill!I1039)</f>
        <v>132424.43164180251</v>
      </c>
      <c r="K1039" s="32">
        <f>IF(Result_notebook_retravaill!I1039&gt;Result_notebook_retravaill!G1039,0,IF(Result_notebook_retravaill!I1039+Result_notebook_retravaill!J1039&gt;Result_notebook_retravaill!G1039,Result_notebook_retravaill!G1039-Result_notebook_retravaill!I1039,Result_notebook_retravaill!J1039))</f>
        <v>32650.531188152934</v>
      </c>
      <c r="L1039" s="32">
        <f>IF(Result_notebook_retravaill!I1039&gt;Result_notebook_retravaill!G1039,0,IF(Result_notebook_retravaill!I1039+Result_notebook_retravaill!J1039&gt;Result_notebook_retravaill!G1039,0,Result_notebook_retravaill!M1039))</f>
        <v>768.50136657632538</v>
      </c>
      <c r="M1039" s="31">
        <f t="shared" si="16"/>
        <v>0</v>
      </c>
    </row>
    <row r="1040" spans="1:13" x14ac:dyDescent="0.35">
      <c r="A1040">
        <f>Result_notebook_retravaill!A1040</f>
        <v>2036</v>
      </c>
      <c r="B1040" t="str">
        <f>Result_notebook_retravaill!B1040</f>
        <v>Nickel</v>
      </c>
      <c r="C1040" t="str">
        <f>Result_notebook_retravaill!C1040</f>
        <v>Canada Net-zero</v>
      </c>
      <c r="D1040" t="str">
        <f>Result_notebook_retravaill!D1040</f>
        <v>Production potential</v>
      </c>
      <c r="E1040" t="str">
        <f>Result_notebook_retravaill!E1040</f>
        <v>Current shares</v>
      </c>
      <c r="F1040" t="str">
        <f>Result_notebook_retravaill!F1040</f>
        <v>Expansion Extractive+Circularity</v>
      </c>
      <c r="G1040">
        <f>Result_notebook_retravaill!G1040</f>
        <v>165843.46419653171</v>
      </c>
      <c r="H1040" s="32">
        <f>IF(Result_notebook_retravaill!I1040&gt;Result_notebook_retravaill!G1040,Result_notebook_retravaill!I1040/Result_notebook_retravaill!N1040,Result_notebook_retravaill!H1040)</f>
        <v>236101.16516190339</v>
      </c>
      <c r="I1040" s="32">
        <f>Result_notebook_retravaill!K1040</f>
        <v>0</v>
      </c>
      <c r="J1040" s="32">
        <f>MIN(G1040,Result_notebook_retravaill!I1040)</f>
        <v>132424.43164180251</v>
      </c>
      <c r="K1040" s="32">
        <f>IF(Result_notebook_retravaill!I1040&gt;Result_notebook_retravaill!G1040,0,IF(Result_notebook_retravaill!I1040+Result_notebook_retravaill!J1040&gt;Result_notebook_retravaill!G1040,Result_notebook_retravaill!G1040-Result_notebook_retravaill!I1040,Result_notebook_retravaill!J1040))</f>
        <v>32650.531188152934</v>
      </c>
      <c r="L1040" s="32">
        <f>IF(Result_notebook_retravaill!I1040&gt;Result_notebook_retravaill!G1040,0,IF(Result_notebook_retravaill!I1040+Result_notebook_retravaill!J1040&gt;Result_notebook_retravaill!G1040,0,Result_notebook_retravaill!M1040))</f>
        <v>768.50136657632538</v>
      </c>
      <c r="M1040" s="31">
        <f t="shared" si="16"/>
        <v>0</v>
      </c>
    </row>
    <row r="1041" spans="1:13" x14ac:dyDescent="0.35">
      <c r="A1041">
        <f>Result_notebook_retravaill!A1041</f>
        <v>2036</v>
      </c>
      <c r="B1041" t="str">
        <f>Result_notebook_retravaill!B1041</f>
        <v>Nickel</v>
      </c>
      <c r="C1041" t="str">
        <f>Result_notebook_retravaill!C1041</f>
        <v>Canada Net-zero</v>
      </c>
      <c r="D1041" t="str">
        <f>Result_notebook_retravaill!D1041</f>
        <v>Production potential</v>
      </c>
      <c r="E1041" t="str">
        <f>Result_notebook_retravaill!E1041</f>
        <v>100% CAN</v>
      </c>
      <c r="F1041" t="str">
        <f>Result_notebook_retravaill!F1041</f>
        <v>Integrated</v>
      </c>
      <c r="G1041">
        <f>Result_notebook_retravaill!G1041</f>
        <v>165843.46419653171</v>
      </c>
      <c r="H1041" s="32">
        <f>IF(Result_notebook_retravaill!I1041&gt;Result_notebook_retravaill!G1041,Result_notebook_retravaill!I1041/Result_notebook_retravaill!N1041,Result_notebook_retravaill!H1041)</f>
        <v>265947.51941340952</v>
      </c>
      <c r="I1041" s="32">
        <f>Result_notebook_retravaill!K1041</f>
        <v>0</v>
      </c>
      <c r="J1041" s="32">
        <f>MIN(G1041,Result_notebook_retravaill!I1041)</f>
        <v>165843.46419653171</v>
      </c>
      <c r="K1041" s="32">
        <f>IF(Result_notebook_retravaill!I1041&gt;Result_notebook_retravaill!G1041,0,IF(Result_notebook_retravaill!I1041+Result_notebook_retravaill!J1041&gt;Result_notebook_retravaill!G1041,Result_notebook_retravaill!G1041-Result_notebook_retravaill!I1041,Result_notebook_retravaill!J1041))</f>
        <v>0</v>
      </c>
      <c r="L1041" s="32">
        <f>IF(Result_notebook_retravaill!I1041&gt;Result_notebook_retravaill!G1041,0,IF(Result_notebook_retravaill!I1041+Result_notebook_retravaill!J1041&gt;Result_notebook_retravaill!G1041,0,Result_notebook_retravaill!M1041))</f>
        <v>0</v>
      </c>
      <c r="M1041" s="31">
        <f t="shared" si="16"/>
        <v>0</v>
      </c>
    </row>
    <row r="1042" spans="1:13" x14ac:dyDescent="0.35">
      <c r="A1042">
        <f>Result_notebook_retravaill!A1042</f>
        <v>2036</v>
      </c>
      <c r="B1042" t="str">
        <f>Result_notebook_retravaill!B1042</f>
        <v>Nickel</v>
      </c>
      <c r="C1042" t="str">
        <f>Result_notebook_retravaill!C1042</f>
        <v>Current Measures</v>
      </c>
      <c r="D1042" t="str">
        <f>Result_notebook_retravaill!D1042</f>
        <v>Existing production</v>
      </c>
      <c r="E1042" t="str">
        <f>Result_notebook_retravaill!E1042</f>
        <v>Current shares</v>
      </c>
      <c r="F1042" t="str">
        <f>Result_notebook_retravaill!F1042</f>
        <v>NIMBY</v>
      </c>
      <c r="G1042">
        <f>Result_notebook_retravaill!G1042</f>
        <v>65540.179703389193</v>
      </c>
      <c r="H1042" s="32">
        <f>IF(Result_notebook_retravaill!I1042&gt;Result_notebook_retravaill!G1042,Result_notebook_retravaill!I1042/Result_notebook_retravaill!N1042,Result_notebook_retravaill!H1042)</f>
        <v>0</v>
      </c>
      <c r="I1042" s="32">
        <f>Result_notebook_retravaill!K1042</f>
        <v>82962.252789100239</v>
      </c>
      <c r="J1042" s="32">
        <f>MIN(G1042,Result_notebook_retravaill!I1042)</f>
        <v>0</v>
      </c>
      <c r="K1042" s="32">
        <f>IF(Result_notebook_retravaill!I1042&gt;Result_notebook_retravaill!G1042,0,IF(Result_notebook_retravaill!I1042+Result_notebook_retravaill!J1042&gt;Result_notebook_retravaill!G1042,Result_notebook_retravaill!G1042-Result_notebook_retravaill!I1042,Result_notebook_retravaill!J1042))</f>
        <v>0</v>
      </c>
      <c r="L1042" s="32">
        <f>IF(Result_notebook_retravaill!I1042&gt;Result_notebook_retravaill!G1042,0,IF(Result_notebook_retravaill!I1042+Result_notebook_retravaill!J1042&gt;Result_notebook_retravaill!G1042,0,Result_notebook_retravaill!M1042))</f>
        <v>65540.179703389193</v>
      </c>
      <c r="M1042" s="31">
        <f t="shared" si="16"/>
        <v>0</v>
      </c>
    </row>
    <row r="1043" spans="1:13" x14ac:dyDescent="0.35">
      <c r="A1043">
        <f>Result_notebook_retravaill!A1043</f>
        <v>2036</v>
      </c>
      <c r="B1043" t="str">
        <f>Result_notebook_retravaill!B1043</f>
        <v>Nickel</v>
      </c>
      <c r="C1043" t="str">
        <f>Result_notebook_retravaill!C1043</f>
        <v>Current Measures</v>
      </c>
      <c r="D1043" t="str">
        <f>Result_notebook_retravaill!D1043</f>
        <v>Existing production</v>
      </c>
      <c r="E1043" t="str">
        <f>Result_notebook_retravaill!E1043</f>
        <v>Current shares</v>
      </c>
      <c r="F1043" t="str">
        <f>Result_notebook_retravaill!F1043</f>
        <v>Status Quo</v>
      </c>
      <c r="G1043">
        <f>Result_notebook_retravaill!G1043</f>
        <v>65540.179703389193</v>
      </c>
      <c r="H1043" s="32">
        <f>IF(Result_notebook_retravaill!I1043&gt;Result_notebook_retravaill!G1043,Result_notebook_retravaill!I1043/Result_notebook_retravaill!N1043,Result_notebook_retravaill!H1043)</f>
        <v>116680</v>
      </c>
      <c r="I1043" s="32">
        <f>Result_notebook_retravaill!K1043</f>
        <v>0</v>
      </c>
      <c r="J1043" s="32">
        <f>MIN(G1043,Result_notebook_retravaill!I1043)</f>
        <v>65443.483404116138</v>
      </c>
      <c r="K1043" s="32">
        <f>IF(Result_notebook_retravaill!I1043&gt;Result_notebook_retravaill!G1043,0,IF(Result_notebook_retravaill!I1043+Result_notebook_retravaill!J1043&gt;Result_notebook_retravaill!G1043,Result_notebook_retravaill!G1043-Result_notebook_retravaill!I1043,Result_notebook_retravaill!J1043))</f>
        <v>96.696299273055047</v>
      </c>
      <c r="L1043" s="32">
        <f>IF(Result_notebook_retravaill!I1043&gt;Result_notebook_retravaill!G1043,0,IF(Result_notebook_retravaill!I1043+Result_notebook_retravaill!J1043&gt;Result_notebook_retravaill!G1043,0,Result_notebook_retravaill!M1043))</f>
        <v>0</v>
      </c>
      <c r="M1043" s="31">
        <f t="shared" si="16"/>
        <v>0</v>
      </c>
    </row>
    <row r="1044" spans="1:13" x14ac:dyDescent="0.35">
      <c r="A1044">
        <f>Result_notebook_retravaill!A1044</f>
        <v>2036</v>
      </c>
      <c r="B1044" t="str">
        <f>Result_notebook_retravaill!B1044</f>
        <v>Nickel</v>
      </c>
      <c r="C1044" t="str">
        <f>Result_notebook_retravaill!C1044</f>
        <v>Current Measures</v>
      </c>
      <c r="D1044" t="str">
        <f>Result_notebook_retravaill!D1044</f>
        <v>Production potential</v>
      </c>
      <c r="E1044" t="str">
        <f>Result_notebook_retravaill!E1044</f>
        <v>Current shares</v>
      </c>
      <c r="F1044" t="str">
        <f>Result_notebook_retravaill!F1044</f>
        <v>Expansion Extractive</v>
      </c>
      <c r="G1044">
        <f>Result_notebook_retravaill!G1044</f>
        <v>65540.179703389193</v>
      </c>
      <c r="H1044" s="32">
        <f>IF(Result_notebook_retravaill!I1044&gt;Result_notebook_retravaill!G1044,Result_notebook_retravaill!I1044/Result_notebook_retravaill!N1044,Result_notebook_retravaill!H1044)</f>
        <v>189402.20897544114</v>
      </c>
      <c r="I1044" s="32">
        <f>Result_notebook_retravaill!K1044</f>
        <v>0</v>
      </c>
      <c r="J1044" s="32">
        <f>MIN(G1044,Result_notebook_retravaill!I1044)</f>
        <v>65540.179703389193</v>
      </c>
      <c r="K1044" s="32">
        <f>IF(Result_notebook_retravaill!I1044&gt;Result_notebook_retravaill!G1044,0,IF(Result_notebook_retravaill!I1044+Result_notebook_retravaill!J1044&gt;Result_notebook_retravaill!G1044,Result_notebook_retravaill!G1044-Result_notebook_retravaill!I1044,Result_notebook_retravaill!J1044))</f>
        <v>0</v>
      </c>
      <c r="L1044" s="32">
        <f>IF(Result_notebook_retravaill!I1044&gt;Result_notebook_retravaill!G1044,0,IF(Result_notebook_retravaill!I1044+Result_notebook_retravaill!J1044&gt;Result_notebook_retravaill!G1044,0,Result_notebook_retravaill!M1044))</f>
        <v>0</v>
      </c>
      <c r="M1044" s="31">
        <f t="shared" si="16"/>
        <v>0</v>
      </c>
    </row>
    <row r="1045" spans="1:13" x14ac:dyDescent="0.35">
      <c r="A1045">
        <f>Result_notebook_retravaill!A1045</f>
        <v>2036</v>
      </c>
      <c r="B1045" t="str">
        <f>Result_notebook_retravaill!B1045</f>
        <v>Nickel</v>
      </c>
      <c r="C1045" t="str">
        <f>Result_notebook_retravaill!C1045</f>
        <v>Current Measures</v>
      </c>
      <c r="D1045" t="str">
        <f>Result_notebook_retravaill!D1045</f>
        <v>Production potential</v>
      </c>
      <c r="E1045" t="str">
        <f>Result_notebook_retravaill!E1045</f>
        <v>Current shares</v>
      </c>
      <c r="F1045" t="str">
        <f>Result_notebook_retravaill!F1045</f>
        <v>Expansion Extractive+Circularity</v>
      </c>
      <c r="G1045">
        <f>Result_notebook_retravaill!G1045</f>
        <v>65540.179703389193</v>
      </c>
      <c r="H1045" s="32">
        <f>IF(Result_notebook_retravaill!I1045&gt;Result_notebook_retravaill!G1045,Result_notebook_retravaill!I1045/Result_notebook_retravaill!N1045,Result_notebook_retravaill!H1045)</f>
        <v>189402.20897544114</v>
      </c>
      <c r="I1045" s="32">
        <f>Result_notebook_retravaill!K1045</f>
        <v>0</v>
      </c>
      <c r="J1045" s="32">
        <f>MIN(G1045,Result_notebook_retravaill!I1045)</f>
        <v>65540.179703389193</v>
      </c>
      <c r="K1045" s="32">
        <f>IF(Result_notebook_retravaill!I1045&gt;Result_notebook_retravaill!G1045,0,IF(Result_notebook_retravaill!I1045+Result_notebook_retravaill!J1045&gt;Result_notebook_retravaill!G1045,Result_notebook_retravaill!G1045-Result_notebook_retravaill!I1045,Result_notebook_retravaill!J1045))</f>
        <v>0</v>
      </c>
      <c r="L1045" s="32">
        <f>IF(Result_notebook_retravaill!I1045&gt;Result_notebook_retravaill!G1045,0,IF(Result_notebook_retravaill!I1045+Result_notebook_retravaill!J1045&gt;Result_notebook_retravaill!G1045,0,Result_notebook_retravaill!M1045))</f>
        <v>0</v>
      </c>
      <c r="M1045" s="31">
        <f t="shared" si="16"/>
        <v>0</v>
      </c>
    </row>
    <row r="1046" spans="1:13" x14ac:dyDescent="0.35">
      <c r="A1046">
        <f>Result_notebook_retravaill!A1046</f>
        <v>2036</v>
      </c>
      <c r="B1046" t="str">
        <f>Result_notebook_retravaill!B1046</f>
        <v>Nickel</v>
      </c>
      <c r="C1046" t="str">
        <f>Result_notebook_retravaill!C1046</f>
        <v>Current Measures</v>
      </c>
      <c r="D1046" t="str">
        <f>Result_notebook_retravaill!D1046</f>
        <v>Production potential</v>
      </c>
      <c r="E1046" t="str">
        <f>Result_notebook_retravaill!E1046</f>
        <v>100% CAN</v>
      </c>
      <c r="F1046" t="str">
        <f>Result_notebook_retravaill!F1046</f>
        <v>Integrated</v>
      </c>
      <c r="G1046">
        <f>Result_notebook_retravaill!G1046</f>
        <v>65540.179703389193</v>
      </c>
      <c r="H1046" s="32">
        <f>IF(Result_notebook_retravaill!I1046&gt;Result_notebook_retravaill!G1046,Result_notebook_retravaill!I1046/Result_notebook_retravaill!N1046,Result_notebook_retravaill!H1046)</f>
        <v>265947.51941340952</v>
      </c>
      <c r="I1046" s="32">
        <f>Result_notebook_retravaill!K1046</f>
        <v>0</v>
      </c>
      <c r="J1046" s="32">
        <f>MIN(G1046,Result_notebook_retravaill!I1046)</f>
        <v>65540.179703389193</v>
      </c>
      <c r="K1046" s="32">
        <f>IF(Result_notebook_retravaill!I1046&gt;Result_notebook_retravaill!G1046,0,IF(Result_notebook_retravaill!I1046+Result_notebook_retravaill!J1046&gt;Result_notebook_retravaill!G1046,Result_notebook_retravaill!G1046-Result_notebook_retravaill!I1046,Result_notebook_retravaill!J1046))</f>
        <v>0</v>
      </c>
      <c r="L1046" s="32">
        <f>IF(Result_notebook_retravaill!I1046&gt;Result_notebook_retravaill!G1046,0,IF(Result_notebook_retravaill!I1046+Result_notebook_retravaill!J1046&gt;Result_notebook_retravaill!G1046,0,Result_notebook_retravaill!M1046))</f>
        <v>0</v>
      </c>
      <c r="M1046" s="31">
        <f t="shared" si="16"/>
        <v>0</v>
      </c>
    </row>
    <row r="1047" spans="1:13" x14ac:dyDescent="0.35">
      <c r="A1047">
        <f>Result_notebook_retravaill!A1047</f>
        <v>2036</v>
      </c>
      <c r="B1047" t="str">
        <f>Result_notebook_retravaill!B1047</f>
        <v>Nickel</v>
      </c>
      <c r="C1047" t="str">
        <f>Result_notebook_retravaill!C1047</f>
        <v>Global Net-zero</v>
      </c>
      <c r="D1047" t="str">
        <f>Result_notebook_retravaill!D1047</f>
        <v>Existing production</v>
      </c>
      <c r="E1047" t="str">
        <f>Result_notebook_retravaill!E1047</f>
        <v>Current shares</v>
      </c>
      <c r="F1047" t="str">
        <f>Result_notebook_retravaill!F1047</f>
        <v>NIMBY</v>
      </c>
      <c r="G1047">
        <f>Result_notebook_retravaill!G1047</f>
        <v>159552.34537882611</v>
      </c>
      <c r="H1047" s="32">
        <f>IF(Result_notebook_retravaill!I1047&gt;Result_notebook_retravaill!G1047,Result_notebook_retravaill!I1047/Result_notebook_retravaill!N1047,Result_notebook_retravaill!H1047)</f>
        <v>0</v>
      </c>
      <c r="I1047" s="32">
        <f>Result_notebook_retravaill!K1047</f>
        <v>201964.99415041279</v>
      </c>
      <c r="J1047" s="32">
        <f>MIN(G1047,Result_notebook_retravaill!I1047)</f>
        <v>0</v>
      </c>
      <c r="K1047" s="32">
        <f>IF(Result_notebook_retravaill!I1047&gt;Result_notebook_retravaill!G1047,0,IF(Result_notebook_retravaill!I1047+Result_notebook_retravaill!J1047&gt;Result_notebook_retravaill!G1047,Result_notebook_retravaill!G1047-Result_notebook_retravaill!I1047,Result_notebook_retravaill!J1047))</f>
        <v>0</v>
      </c>
      <c r="L1047" s="32">
        <f>IF(Result_notebook_retravaill!I1047&gt;Result_notebook_retravaill!G1047,0,IF(Result_notebook_retravaill!I1047+Result_notebook_retravaill!J1047&gt;Result_notebook_retravaill!G1047,0,Result_notebook_retravaill!M1047))</f>
        <v>159552.34537882611</v>
      </c>
      <c r="M1047" s="31">
        <f t="shared" si="16"/>
        <v>0</v>
      </c>
    </row>
    <row r="1048" spans="1:13" x14ac:dyDescent="0.35">
      <c r="A1048">
        <f>Result_notebook_retravaill!A1048</f>
        <v>2036</v>
      </c>
      <c r="B1048" t="str">
        <f>Result_notebook_retravaill!B1048</f>
        <v>Nickel</v>
      </c>
      <c r="C1048" t="str">
        <f>Result_notebook_retravaill!C1048</f>
        <v>Global Net-zero</v>
      </c>
      <c r="D1048" t="str">
        <f>Result_notebook_retravaill!D1048</f>
        <v>Existing production</v>
      </c>
      <c r="E1048" t="str">
        <f>Result_notebook_retravaill!E1048</f>
        <v>Current shares</v>
      </c>
      <c r="F1048" t="str">
        <f>Result_notebook_retravaill!F1048</f>
        <v>Status Quo</v>
      </c>
      <c r="G1048">
        <f>Result_notebook_retravaill!G1048</f>
        <v>159552.34537882611</v>
      </c>
      <c r="H1048" s="32">
        <f>IF(Result_notebook_retravaill!I1048&gt;Result_notebook_retravaill!G1048,Result_notebook_retravaill!I1048/Result_notebook_retravaill!N1048,Result_notebook_retravaill!H1048)</f>
        <v>116680</v>
      </c>
      <c r="I1048" s="32">
        <f>Result_notebook_retravaill!K1048</f>
        <v>85284.994150412793</v>
      </c>
      <c r="J1048" s="32">
        <f>MIN(G1048,Result_notebook_retravaill!I1048)</f>
        <v>65443.483404116138</v>
      </c>
      <c r="K1048" s="32">
        <f>IF(Result_notebook_retravaill!I1048&gt;Result_notebook_retravaill!G1048,0,IF(Result_notebook_retravaill!I1048+Result_notebook_retravaill!J1048&gt;Result_notebook_retravaill!G1048,Result_notebook_retravaill!G1048-Result_notebook_retravaill!I1048,Result_notebook_retravaill!J1048))</f>
        <v>16135.727142308955</v>
      </c>
      <c r="L1048" s="32">
        <f>IF(Result_notebook_retravaill!I1048&gt;Result_notebook_retravaill!G1048,0,IF(Result_notebook_retravaill!I1048+Result_notebook_retravaill!J1048&gt;Result_notebook_retravaill!G1048,0,Result_notebook_retravaill!M1048))</f>
        <v>77973.134832401018</v>
      </c>
      <c r="M1048" s="31">
        <f t="shared" si="16"/>
        <v>0</v>
      </c>
    </row>
    <row r="1049" spans="1:13" x14ac:dyDescent="0.35">
      <c r="A1049">
        <f>Result_notebook_retravaill!A1049</f>
        <v>2036</v>
      </c>
      <c r="B1049" t="str">
        <f>Result_notebook_retravaill!B1049</f>
        <v>Nickel</v>
      </c>
      <c r="C1049" t="str">
        <f>Result_notebook_retravaill!C1049</f>
        <v>Global Net-zero</v>
      </c>
      <c r="D1049" t="str">
        <f>Result_notebook_retravaill!D1049</f>
        <v>Production potential</v>
      </c>
      <c r="E1049" t="str">
        <f>Result_notebook_retravaill!E1049</f>
        <v>Current shares</v>
      </c>
      <c r="F1049" t="str">
        <f>Result_notebook_retravaill!F1049</f>
        <v>Expansion Extractive</v>
      </c>
      <c r="G1049">
        <f>Result_notebook_retravaill!G1049</f>
        <v>159552.34537882611</v>
      </c>
      <c r="H1049" s="32">
        <f>IF(Result_notebook_retravaill!I1049&gt;Result_notebook_retravaill!G1049,Result_notebook_retravaill!I1049/Result_notebook_retravaill!N1049,Result_notebook_retravaill!H1049)</f>
        <v>236101.16516190339</v>
      </c>
      <c r="I1049" s="32">
        <f>Result_notebook_retravaill!K1049</f>
        <v>0</v>
      </c>
      <c r="J1049" s="32">
        <f>MIN(G1049,Result_notebook_retravaill!I1049)</f>
        <v>132424.43164180251</v>
      </c>
      <c r="K1049" s="32">
        <f>IF(Result_notebook_retravaill!I1049&gt;Result_notebook_retravaill!G1049,0,IF(Result_notebook_retravaill!I1049+Result_notebook_retravaill!J1049&gt;Result_notebook_retravaill!G1049,Result_notebook_retravaill!G1049-Result_notebook_retravaill!I1049,Result_notebook_retravaill!J1049))</f>
        <v>27127.913737023599</v>
      </c>
      <c r="L1049" s="32">
        <f>IF(Result_notebook_retravaill!I1049&gt;Result_notebook_retravaill!G1049,0,IF(Result_notebook_retravaill!I1049+Result_notebook_retravaill!J1049&gt;Result_notebook_retravaill!G1049,0,Result_notebook_retravaill!M1049))</f>
        <v>0</v>
      </c>
      <c r="M1049" s="31">
        <f t="shared" si="16"/>
        <v>0</v>
      </c>
    </row>
    <row r="1050" spans="1:13" x14ac:dyDescent="0.35">
      <c r="A1050">
        <f>Result_notebook_retravaill!A1050</f>
        <v>2036</v>
      </c>
      <c r="B1050" t="str">
        <f>Result_notebook_retravaill!B1050</f>
        <v>Nickel</v>
      </c>
      <c r="C1050" t="str">
        <f>Result_notebook_retravaill!C1050</f>
        <v>Global Net-zero</v>
      </c>
      <c r="D1050" t="str">
        <f>Result_notebook_retravaill!D1050</f>
        <v>Production potential</v>
      </c>
      <c r="E1050" t="str">
        <f>Result_notebook_retravaill!E1050</f>
        <v>Current shares</v>
      </c>
      <c r="F1050" t="str">
        <f>Result_notebook_retravaill!F1050</f>
        <v>Expansion Extractive+Circularity</v>
      </c>
      <c r="G1050">
        <f>Result_notebook_retravaill!G1050</f>
        <v>159552.34537882611</v>
      </c>
      <c r="H1050" s="32">
        <f>IF(Result_notebook_retravaill!I1050&gt;Result_notebook_retravaill!G1050,Result_notebook_retravaill!I1050/Result_notebook_retravaill!N1050,Result_notebook_retravaill!H1050)</f>
        <v>236101.16516190339</v>
      </c>
      <c r="I1050" s="32">
        <f>Result_notebook_retravaill!K1050</f>
        <v>0</v>
      </c>
      <c r="J1050" s="32">
        <f>MIN(G1050,Result_notebook_retravaill!I1050)</f>
        <v>132424.43164180251</v>
      </c>
      <c r="K1050" s="32">
        <f>IF(Result_notebook_retravaill!I1050&gt;Result_notebook_retravaill!G1050,0,IF(Result_notebook_retravaill!I1050+Result_notebook_retravaill!J1050&gt;Result_notebook_retravaill!G1050,Result_notebook_retravaill!G1050-Result_notebook_retravaill!I1050,Result_notebook_retravaill!J1050))</f>
        <v>27127.913737023599</v>
      </c>
      <c r="L1050" s="32">
        <f>IF(Result_notebook_retravaill!I1050&gt;Result_notebook_retravaill!G1050,0,IF(Result_notebook_retravaill!I1050+Result_notebook_retravaill!J1050&gt;Result_notebook_retravaill!G1050,0,Result_notebook_retravaill!M1050))</f>
        <v>0</v>
      </c>
      <c r="M1050" s="31">
        <f t="shared" si="16"/>
        <v>0</v>
      </c>
    </row>
    <row r="1051" spans="1:13" x14ac:dyDescent="0.35">
      <c r="A1051">
        <f>Result_notebook_retravaill!A1051</f>
        <v>2036</v>
      </c>
      <c r="B1051" t="str">
        <f>Result_notebook_retravaill!B1051</f>
        <v>Nickel</v>
      </c>
      <c r="C1051" t="str">
        <f>Result_notebook_retravaill!C1051</f>
        <v>Global Net-zero</v>
      </c>
      <c r="D1051" t="str">
        <f>Result_notebook_retravaill!D1051</f>
        <v>Production potential</v>
      </c>
      <c r="E1051" t="str">
        <f>Result_notebook_retravaill!E1051</f>
        <v>100% CAN</v>
      </c>
      <c r="F1051" t="str">
        <f>Result_notebook_retravaill!F1051</f>
        <v>Integrated</v>
      </c>
      <c r="G1051">
        <f>Result_notebook_retravaill!G1051</f>
        <v>159552.34537882611</v>
      </c>
      <c r="H1051" s="32">
        <f>IF(Result_notebook_retravaill!I1051&gt;Result_notebook_retravaill!G1051,Result_notebook_retravaill!I1051/Result_notebook_retravaill!N1051,Result_notebook_retravaill!H1051)</f>
        <v>265947.51941340952</v>
      </c>
      <c r="I1051" s="32">
        <f>Result_notebook_retravaill!K1051</f>
        <v>0</v>
      </c>
      <c r="J1051" s="32">
        <f>MIN(G1051,Result_notebook_retravaill!I1051)</f>
        <v>159552.34537882611</v>
      </c>
      <c r="K1051" s="32">
        <f>IF(Result_notebook_retravaill!I1051&gt;Result_notebook_retravaill!G1051,0,IF(Result_notebook_retravaill!I1051+Result_notebook_retravaill!J1051&gt;Result_notebook_retravaill!G1051,Result_notebook_retravaill!G1051-Result_notebook_retravaill!I1051,Result_notebook_retravaill!J1051))</f>
        <v>0</v>
      </c>
      <c r="L1051" s="32">
        <f>IF(Result_notebook_retravaill!I1051&gt;Result_notebook_retravaill!G1051,0,IF(Result_notebook_retravaill!I1051+Result_notebook_retravaill!J1051&gt;Result_notebook_retravaill!G1051,0,Result_notebook_retravaill!M1051))</f>
        <v>0</v>
      </c>
      <c r="M1051" s="31">
        <f t="shared" si="16"/>
        <v>0</v>
      </c>
    </row>
    <row r="1052" spans="1:13" x14ac:dyDescent="0.35">
      <c r="A1052">
        <f>Result_notebook_retravaill!A1052</f>
        <v>2036</v>
      </c>
      <c r="B1052" t="str">
        <f>Result_notebook_retravaill!B1052</f>
        <v>Graphite</v>
      </c>
      <c r="C1052" t="str">
        <f>Result_notebook_retravaill!C1052</f>
        <v>Canada Net-zero</v>
      </c>
      <c r="D1052" t="str">
        <f>Result_notebook_retravaill!D1052</f>
        <v>Existing production</v>
      </c>
      <c r="E1052" t="str">
        <f>Result_notebook_retravaill!E1052</f>
        <v>Current shares</v>
      </c>
      <c r="F1052" t="str">
        <f>Result_notebook_retravaill!F1052</f>
        <v>NIMBY</v>
      </c>
      <c r="G1052">
        <f>Result_notebook_retravaill!G1052</f>
        <v>3178.982459798764</v>
      </c>
      <c r="H1052" s="32">
        <f>IF(Result_notebook_retravaill!I1052&gt;Result_notebook_retravaill!G1052,Result_notebook_retravaill!I1052/Result_notebook_retravaill!N1052,Result_notebook_retravaill!H1052)</f>
        <v>0</v>
      </c>
      <c r="I1052" s="32">
        <f>Result_notebook_retravaill!K1052</f>
        <v>3178.982459798764</v>
      </c>
      <c r="J1052" s="32">
        <f>MIN(G1052,Result_notebook_retravaill!I1052)</f>
        <v>0</v>
      </c>
      <c r="K1052" s="32">
        <f>IF(Result_notebook_retravaill!I1052&gt;Result_notebook_retravaill!G1052,0,IF(Result_notebook_retravaill!I1052+Result_notebook_retravaill!J1052&gt;Result_notebook_retravaill!G1052,Result_notebook_retravaill!G1052-Result_notebook_retravaill!I1052,Result_notebook_retravaill!J1052))</f>
        <v>0</v>
      </c>
      <c r="L1052" s="32">
        <f>IF(Result_notebook_retravaill!I1052&gt;Result_notebook_retravaill!G1052,0,IF(Result_notebook_retravaill!I1052+Result_notebook_retravaill!J1052&gt;Result_notebook_retravaill!G1052,0,Result_notebook_retravaill!M1052))</f>
        <v>3178.982459798764</v>
      </c>
      <c r="M1052" s="31">
        <f t="shared" si="16"/>
        <v>0</v>
      </c>
    </row>
    <row r="1053" spans="1:13" x14ac:dyDescent="0.35">
      <c r="A1053">
        <f>Result_notebook_retravaill!A1053</f>
        <v>2036</v>
      </c>
      <c r="B1053" t="str">
        <f>Result_notebook_retravaill!B1053</f>
        <v>Graphite</v>
      </c>
      <c r="C1053" t="str">
        <f>Result_notebook_retravaill!C1053</f>
        <v>Canada Net-zero</v>
      </c>
      <c r="D1053" t="str">
        <f>Result_notebook_retravaill!D1053</f>
        <v>Existing production</v>
      </c>
      <c r="E1053" t="str">
        <f>Result_notebook_retravaill!E1053</f>
        <v>Current shares</v>
      </c>
      <c r="F1053" t="str">
        <f>Result_notebook_retravaill!F1053</f>
        <v>Status Quo</v>
      </c>
      <c r="G1053">
        <f>Result_notebook_retravaill!G1053</f>
        <v>3178.982459798764</v>
      </c>
      <c r="H1053" s="32">
        <f>IF(Result_notebook_retravaill!I1053&gt;Result_notebook_retravaill!G1053,Result_notebook_retravaill!I1053/Result_notebook_retravaill!N1053,Result_notebook_retravaill!H1053)</f>
        <v>0</v>
      </c>
      <c r="I1053" s="32">
        <f>Result_notebook_retravaill!K1053</f>
        <v>3178.982459798764</v>
      </c>
      <c r="J1053" s="32">
        <f>MIN(G1053,Result_notebook_retravaill!I1053)</f>
        <v>0</v>
      </c>
      <c r="K1053" s="32">
        <f>IF(Result_notebook_retravaill!I1053&gt;Result_notebook_retravaill!G1053,0,IF(Result_notebook_retravaill!I1053+Result_notebook_retravaill!J1053&gt;Result_notebook_retravaill!G1053,Result_notebook_retravaill!G1053-Result_notebook_retravaill!I1053,Result_notebook_retravaill!J1053))</f>
        <v>0</v>
      </c>
      <c r="L1053" s="32">
        <f>IF(Result_notebook_retravaill!I1053&gt;Result_notebook_retravaill!G1053,0,IF(Result_notebook_retravaill!I1053+Result_notebook_retravaill!J1053&gt;Result_notebook_retravaill!G1053,0,Result_notebook_retravaill!M1053))</f>
        <v>3178.982459798764</v>
      </c>
      <c r="M1053" s="31">
        <f t="shared" si="16"/>
        <v>0</v>
      </c>
    </row>
    <row r="1054" spans="1:13" x14ac:dyDescent="0.35">
      <c r="A1054">
        <f>Result_notebook_retravaill!A1054</f>
        <v>2036</v>
      </c>
      <c r="B1054" t="str">
        <f>Result_notebook_retravaill!B1054</f>
        <v>Graphite</v>
      </c>
      <c r="C1054" t="str">
        <f>Result_notebook_retravaill!C1054</f>
        <v>Canada Net-zero</v>
      </c>
      <c r="D1054" t="str">
        <f>Result_notebook_retravaill!D1054</f>
        <v>Production potential</v>
      </c>
      <c r="E1054" t="str">
        <f>Result_notebook_retravaill!E1054</f>
        <v>Current shares</v>
      </c>
      <c r="F1054" t="str">
        <f>Result_notebook_retravaill!F1054</f>
        <v>Expansion Extractive</v>
      </c>
      <c r="G1054">
        <f>Result_notebook_retravaill!G1054</f>
        <v>3178.982459798764</v>
      </c>
      <c r="H1054" s="32">
        <f>IF(Result_notebook_retravaill!I1054&gt;Result_notebook_retravaill!G1054,Result_notebook_retravaill!I1054/Result_notebook_retravaill!N1054,Result_notebook_retravaill!H1054)</f>
        <v>104036.21692331611</v>
      </c>
      <c r="I1054" s="32">
        <f>Result_notebook_retravaill!K1054</f>
        <v>0</v>
      </c>
      <c r="J1054" s="32">
        <f>MIN(G1054,Result_notebook_retravaill!I1054)</f>
        <v>3178.982459798764</v>
      </c>
      <c r="K1054" s="32">
        <f>IF(Result_notebook_retravaill!I1054&gt;Result_notebook_retravaill!G1054,0,IF(Result_notebook_retravaill!I1054+Result_notebook_retravaill!J1054&gt;Result_notebook_retravaill!G1054,Result_notebook_retravaill!G1054-Result_notebook_retravaill!I1054,Result_notebook_retravaill!J1054))</f>
        <v>0</v>
      </c>
      <c r="L1054" s="32">
        <f>IF(Result_notebook_retravaill!I1054&gt;Result_notebook_retravaill!G1054,0,IF(Result_notebook_retravaill!I1054+Result_notebook_retravaill!J1054&gt;Result_notebook_retravaill!G1054,0,Result_notebook_retravaill!M1054))</f>
        <v>0</v>
      </c>
      <c r="M1054" s="31">
        <f t="shared" si="16"/>
        <v>0</v>
      </c>
    </row>
    <row r="1055" spans="1:13" x14ac:dyDescent="0.35">
      <c r="A1055">
        <f>Result_notebook_retravaill!A1055</f>
        <v>2036</v>
      </c>
      <c r="B1055" t="str">
        <f>Result_notebook_retravaill!B1055</f>
        <v>Graphite</v>
      </c>
      <c r="C1055" t="str">
        <f>Result_notebook_retravaill!C1055</f>
        <v>Canada Net-zero</v>
      </c>
      <c r="D1055" t="str">
        <f>Result_notebook_retravaill!D1055</f>
        <v>Production potential</v>
      </c>
      <c r="E1055" t="str">
        <f>Result_notebook_retravaill!E1055</f>
        <v>Current shares</v>
      </c>
      <c r="F1055" t="str">
        <f>Result_notebook_retravaill!F1055</f>
        <v>Expansion Extractive+Circularity</v>
      </c>
      <c r="G1055">
        <f>Result_notebook_retravaill!G1055</f>
        <v>3178.982459798764</v>
      </c>
      <c r="H1055" s="32">
        <f>IF(Result_notebook_retravaill!I1055&gt;Result_notebook_retravaill!G1055,Result_notebook_retravaill!I1055/Result_notebook_retravaill!N1055,Result_notebook_retravaill!H1055)</f>
        <v>104036.21692331611</v>
      </c>
      <c r="I1055" s="32">
        <f>Result_notebook_retravaill!K1055</f>
        <v>0</v>
      </c>
      <c r="J1055" s="32">
        <f>MIN(G1055,Result_notebook_retravaill!I1055)</f>
        <v>3178.982459798764</v>
      </c>
      <c r="K1055" s="32">
        <f>IF(Result_notebook_retravaill!I1055&gt;Result_notebook_retravaill!G1055,0,IF(Result_notebook_retravaill!I1055+Result_notebook_retravaill!J1055&gt;Result_notebook_retravaill!G1055,Result_notebook_retravaill!G1055-Result_notebook_retravaill!I1055,Result_notebook_retravaill!J1055))</f>
        <v>0</v>
      </c>
      <c r="L1055" s="32">
        <f>IF(Result_notebook_retravaill!I1055&gt;Result_notebook_retravaill!G1055,0,IF(Result_notebook_retravaill!I1055+Result_notebook_retravaill!J1055&gt;Result_notebook_retravaill!G1055,0,Result_notebook_retravaill!M1055))</f>
        <v>0</v>
      </c>
      <c r="M1055" s="31">
        <f t="shared" si="16"/>
        <v>0</v>
      </c>
    </row>
    <row r="1056" spans="1:13" x14ac:dyDescent="0.35">
      <c r="A1056">
        <f>Result_notebook_retravaill!A1056</f>
        <v>2036</v>
      </c>
      <c r="B1056" t="str">
        <f>Result_notebook_retravaill!B1056</f>
        <v>Graphite</v>
      </c>
      <c r="C1056" t="str">
        <f>Result_notebook_retravaill!C1056</f>
        <v>Canada Net-zero</v>
      </c>
      <c r="D1056" t="str">
        <f>Result_notebook_retravaill!D1056</f>
        <v>Production potential</v>
      </c>
      <c r="E1056" t="str">
        <f>Result_notebook_retravaill!E1056</f>
        <v>100% CAN</v>
      </c>
      <c r="F1056" t="str">
        <f>Result_notebook_retravaill!F1056</f>
        <v>Integrated</v>
      </c>
      <c r="G1056">
        <f>Result_notebook_retravaill!G1056</f>
        <v>3178.982459798764</v>
      </c>
      <c r="H1056" s="32">
        <f>IF(Result_notebook_retravaill!I1056&gt;Result_notebook_retravaill!G1056,Result_notebook_retravaill!I1056/Result_notebook_retravaill!N1056,Result_notebook_retravaill!H1056)</f>
        <v>104036.21692331611</v>
      </c>
      <c r="I1056" s="32">
        <f>Result_notebook_retravaill!K1056</f>
        <v>0</v>
      </c>
      <c r="J1056" s="32">
        <f>MIN(G1056,Result_notebook_retravaill!I1056)</f>
        <v>3178.982459798764</v>
      </c>
      <c r="K1056" s="32">
        <f>IF(Result_notebook_retravaill!I1056&gt;Result_notebook_retravaill!G1056,0,IF(Result_notebook_retravaill!I1056+Result_notebook_retravaill!J1056&gt;Result_notebook_retravaill!G1056,Result_notebook_retravaill!G1056-Result_notebook_retravaill!I1056,Result_notebook_retravaill!J1056))</f>
        <v>0</v>
      </c>
      <c r="L1056" s="32">
        <f>IF(Result_notebook_retravaill!I1056&gt;Result_notebook_retravaill!G1056,0,IF(Result_notebook_retravaill!I1056+Result_notebook_retravaill!J1056&gt;Result_notebook_retravaill!G1056,0,Result_notebook_retravaill!M1056))</f>
        <v>0</v>
      </c>
      <c r="M1056" s="31">
        <f t="shared" si="16"/>
        <v>0</v>
      </c>
    </row>
    <row r="1057" spans="1:13" x14ac:dyDescent="0.35">
      <c r="A1057">
        <f>Result_notebook_retravaill!A1057</f>
        <v>2036</v>
      </c>
      <c r="B1057" t="str">
        <f>Result_notebook_retravaill!B1057</f>
        <v>Graphite</v>
      </c>
      <c r="C1057" t="str">
        <f>Result_notebook_retravaill!C1057</f>
        <v>Current Measures</v>
      </c>
      <c r="D1057" t="str">
        <f>Result_notebook_retravaill!D1057</f>
        <v>Existing production</v>
      </c>
      <c r="E1057" t="str">
        <f>Result_notebook_retravaill!E1057</f>
        <v>Current shares</v>
      </c>
      <c r="F1057" t="str">
        <f>Result_notebook_retravaill!F1057</f>
        <v>NIMBY</v>
      </c>
      <c r="G1057">
        <f>Result_notebook_retravaill!G1057</f>
        <v>1181.081330457198</v>
      </c>
      <c r="H1057" s="32">
        <f>IF(Result_notebook_retravaill!I1057&gt;Result_notebook_retravaill!G1057,Result_notebook_retravaill!I1057/Result_notebook_retravaill!N1057,Result_notebook_retravaill!H1057)</f>
        <v>0</v>
      </c>
      <c r="I1057" s="32">
        <f>Result_notebook_retravaill!K1057</f>
        <v>1181.081330457198</v>
      </c>
      <c r="J1057" s="32">
        <f>MIN(G1057,Result_notebook_retravaill!I1057)</f>
        <v>0</v>
      </c>
      <c r="K1057" s="32">
        <f>IF(Result_notebook_retravaill!I1057&gt;Result_notebook_retravaill!G1057,0,IF(Result_notebook_retravaill!I1057+Result_notebook_retravaill!J1057&gt;Result_notebook_retravaill!G1057,Result_notebook_retravaill!G1057-Result_notebook_retravaill!I1057,Result_notebook_retravaill!J1057))</f>
        <v>0</v>
      </c>
      <c r="L1057" s="32">
        <f>IF(Result_notebook_retravaill!I1057&gt;Result_notebook_retravaill!G1057,0,IF(Result_notebook_retravaill!I1057+Result_notebook_retravaill!J1057&gt;Result_notebook_retravaill!G1057,0,Result_notebook_retravaill!M1057))</f>
        <v>1181.081330457198</v>
      </c>
      <c r="M1057" s="31">
        <f t="shared" si="16"/>
        <v>0</v>
      </c>
    </row>
    <row r="1058" spans="1:13" x14ac:dyDescent="0.35">
      <c r="A1058">
        <f>Result_notebook_retravaill!A1058</f>
        <v>2036</v>
      </c>
      <c r="B1058" t="str">
        <f>Result_notebook_retravaill!B1058</f>
        <v>Graphite</v>
      </c>
      <c r="C1058" t="str">
        <f>Result_notebook_retravaill!C1058</f>
        <v>Current Measures</v>
      </c>
      <c r="D1058" t="str">
        <f>Result_notebook_retravaill!D1058</f>
        <v>Existing production</v>
      </c>
      <c r="E1058" t="str">
        <f>Result_notebook_retravaill!E1058</f>
        <v>Current shares</v>
      </c>
      <c r="F1058" t="str">
        <f>Result_notebook_retravaill!F1058</f>
        <v>Status Quo</v>
      </c>
      <c r="G1058">
        <f>Result_notebook_retravaill!G1058</f>
        <v>1181.081330457198</v>
      </c>
      <c r="H1058" s="32">
        <f>IF(Result_notebook_retravaill!I1058&gt;Result_notebook_retravaill!G1058,Result_notebook_retravaill!I1058/Result_notebook_retravaill!N1058,Result_notebook_retravaill!H1058)</f>
        <v>0</v>
      </c>
      <c r="I1058" s="32">
        <f>Result_notebook_retravaill!K1058</f>
        <v>1181.081330457198</v>
      </c>
      <c r="J1058" s="32">
        <f>MIN(G1058,Result_notebook_retravaill!I1058)</f>
        <v>0</v>
      </c>
      <c r="K1058" s="32">
        <f>IF(Result_notebook_retravaill!I1058&gt;Result_notebook_retravaill!G1058,0,IF(Result_notebook_retravaill!I1058+Result_notebook_retravaill!J1058&gt;Result_notebook_retravaill!G1058,Result_notebook_retravaill!G1058-Result_notebook_retravaill!I1058,Result_notebook_retravaill!J1058))</f>
        <v>0</v>
      </c>
      <c r="L1058" s="32">
        <f>IF(Result_notebook_retravaill!I1058&gt;Result_notebook_retravaill!G1058,0,IF(Result_notebook_retravaill!I1058+Result_notebook_retravaill!J1058&gt;Result_notebook_retravaill!G1058,0,Result_notebook_retravaill!M1058))</f>
        <v>1181.081330457198</v>
      </c>
      <c r="M1058" s="31">
        <f t="shared" si="16"/>
        <v>0</v>
      </c>
    </row>
    <row r="1059" spans="1:13" x14ac:dyDescent="0.35">
      <c r="A1059">
        <f>Result_notebook_retravaill!A1059</f>
        <v>2036</v>
      </c>
      <c r="B1059" t="str">
        <f>Result_notebook_retravaill!B1059</f>
        <v>Graphite</v>
      </c>
      <c r="C1059" t="str">
        <f>Result_notebook_retravaill!C1059</f>
        <v>Current Measures</v>
      </c>
      <c r="D1059" t="str">
        <f>Result_notebook_retravaill!D1059</f>
        <v>Production potential</v>
      </c>
      <c r="E1059" t="str">
        <f>Result_notebook_retravaill!E1059</f>
        <v>Current shares</v>
      </c>
      <c r="F1059" t="str">
        <f>Result_notebook_retravaill!F1059</f>
        <v>Expansion Extractive</v>
      </c>
      <c r="G1059">
        <f>Result_notebook_retravaill!G1059</f>
        <v>1181.081330457198</v>
      </c>
      <c r="H1059" s="32">
        <f>IF(Result_notebook_retravaill!I1059&gt;Result_notebook_retravaill!G1059,Result_notebook_retravaill!I1059/Result_notebook_retravaill!N1059,Result_notebook_retravaill!H1059)</f>
        <v>104036.21692331611</v>
      </c>
      <c r="I1059" s="32">
        <f>Result_notebook_retravaill!K1059</f>
        <v>0</v>
      </c>
      <c r="J1059" s="32">
        <f>MIN(G1059,Result_notebook_retravaill!I1059)</f>
        <v>1181.081330457198</v>
      </c>
      <c r="K1059" s="32">
        <f>IF(Result_notebook_retravaill!I1059&gt;Result_notebook_retravaill!G1059,0,IF(Result_notebook_retravaill!I1059+Result_notebook_retravaill!J1059&gt;Result_notebook_retravaill!G1059,Result_notebook_retravaill!G1059-Result_notebook_retravaill!I1059,Result_notebook_retravaill!J1059))</f>
        <v>0</v>
      </c>
      <c r="L1059" s="32">
        <f>IF(Result_notebook_retravaill!I1059&gt;Result_notebook_retravaill!G1059,0,IF(Result_notebook_retravaill!I1059+Result_notebook_retravaill!J1059&gt;Result_notebook_retravaill!G1059,0,Result_notebook_retravaill!M1059))</f>
        <v>0</v>
      </c>
      <c r="M1059" s="31">
        <f t="shared" si="16"/>
        <v>0</v>
      </c>
    </row>
    <row r="1060" spans="1:13" x14ac:dyDescent="0.35">
      <c r="A1060">
        <f>Result_notebook_retravaill!A1060</f>
        <v>2036</v>
      </c>
      <c r="B1060" t="str">
        <f>Result_notebook_retravaill!B1060</f>
        <v>Graphite</v>
      </c>
      <c r="C1060" t="str">
        <f>Result_notebook_retravaill!C1060</f>
        <v>Current Measures</v>
      </c>
      <c r="D1060" t="str">
        <f>Result_notebook_retravaill!D1060</f>
        <v>Production potential</v>
      </c>
      <c r="E1060" t="str">
        <f>Result_notebook_retravaill!E1060</f>
        <v>Current shares</v>
      </c>
      <c r="F1060" t="str">
        <f>Result_notebook_retravaill!F1060</f>
        <v>Expansion Extractive+Circularity</v>
      </c>
      <c r="G1060">
        <f>Result_notebook_retravaill!G1060</f>
        <v>1181.081330457198</v>
      </c>
      <c r="H1060" s="32">
        <f>IF(Result_notebook_retravaill!I1060&gt;Result_notebook_retravaill!G1060,Result_notebook_retravaill!I1060/Result_notebook_retravaill!N1060,Result_notebook_retravaill!H1060)</f>
        <v>104036.21692331611</v>
      </c>
      <c r="I1060" s="32">
        <f>Result_notebook_retravaill!K1060</f>
        <v>0</v>
      </c>
      <c r="J1060" s="32">
        <f>MIN(G1060,Result_notebook_retravaill!I1060)</f>
        <v>1181.081330457198</v>
      </c>
      <c r="K1060" s="32">
        <f>IF(Result_notebook_retravaill!I1060&gt;Result_notebook_retravaill!G1060,0,IF(Result_notebook_retravaill!I1060+Result_notebook_retravaill!J1060&gt;Result_notebook_retravaill!G1060,Result_notebook_retravaill!G1060-Result_notebook_retravaill!I1060,Result_notebook_retravaill!J1060))</f>
        <v>0</v>
      </c>
      <c r="L1060" s="32">
        <f>IF(Result_notebook_retravaill!I1060&gt;Result_notebook_retravaill!G1060,0,IF(Result_notebook_retravaill!I1060+Result_notebook_retravaill!J1060&gt;Result_notebook_retravaill!G1060,0,Result_notebook_retravaill!M1060))</f>
        <v>0</v>
      </c>
      <c r="M1060" s="31">
        <f t="shared" si="16"/>
        <v>0</v>
      </c>
    </row>
    <row r="1061" spans="1:13" x14ac:dyDescent="0.35">
      <c r="A1061">
        <f>Result_notebook_retravaill!A1061</f>
        <v>2036</v>
      </c>
      <c r="B1061" t="str">
        <f>Result_notebook_retravaill!B1061</f>
        <v>Graphite</v>
      </c>
      <c r="C1061" t="str">
        <f>Result_notebook_retravaill!C1061</f>
        <v>Current Measures</v>
      </c>
      <c r="D1061" t="str">
        <f>Result_notebook_retravaill!D1061</f>
        <v>Production potential</v>
      </c>
      <c r="E1061" t="str">
        <f>Result_notebook_retravaill!E1061</f>
        <v>100% CAN</v>
      </c>
      <c r="F1061" t="str">
        <f>Result_notebook_retravaill!F1061</f>
        <v>Integrated</v>
      </c>
      <c r="G1061">
        <f>Result_notebook_retravaill!G1061</f>
        <v>1181.081330457198</v>
      </c>
      <c r="H1061" s="32">
        <f>IF(Result_notebook_retravaill!I1061&gt;Result_notebook_retravaill!G1061,Result_notebook_retravaill!I1061/Result_notebook_retravaill!N1061,Result_notebook_retravaill!H1061)</f>
        <v>104036.21692331611</v>
      </c>
      <c r="I1061" s="32">
        <f>Result_notebook_retravaill!K1061</f>
        <v>0</v>
      </c>
      <c r="J1061" s="32">
        <f>MIN(G1061,Result_notebook_retravaill!I1061)</f>
        <v>1181.081330457198</v>
      </c>
      <c r="K1061" s="32">
        <f>IF(Result_notebook_retravaill!I1061&gt;Result_notebook_retravaill!G1061,0,IF(Result_notebook_retravaill!I1061+Result_notebook_retravaill!J1061&gt;Result_notebook_retravaill!G1061,Result_notebook_retravaill!G1061-Result_notebook_retravaill!I1061,Result_notebook_retravaill!J1061))</f>
        <v>0</v>
      </c>
      <c r="L1061" s="32">
        <f>IF(Result_notebook_retravaill!I1061&gt;Result_notebook_retravaill!G1061,0,IF(Result_notebook_retravaill!I1061+Result_notebook_retravaill!J1061&gt;Result_notebook_retravaill!G1061,0,Result_notebook_retravaill!M1061))</f>
        <v>0</v>
      </c>
      <c r="M1061" s="31">
        <f t="shared" si="16"/>
        <v>0</v>
      </c>
    </row>
    <row r="1062" spans="1:13" x14ac:dyDescent="0.35">
      <c r="A1062">
        <f>Result_notebook_retravaill!A1062</f>
        <v>2036</v>
      </c>
      <c r="B1062" t="str">
        <f>Result_notebook_retravaill!B1062</f>
        <v>Graphite</v>
      </c>
      <c r="C1062" t="str">
        <f>Result_notebook_retravaill!C1062</f>
        <v>Global Net-zero</v>
      </c>
      <c r="D1062" t="str">
        <f>Result_notebook_retravaill!D1062</f>
        <v>Existing production</v>
      </c>
      <c r="E1062" t="str">
        <f>Result_notebook_retravaill!E1062</f>
        <v>Current shares</v>
      </c>
      <c r="F1062" t="str">
        <f>Result_notebook_retravaill!F1062</f>
        <v>NIMBY</v>
      </c>
      <c r="G1062">
        <f>Result_notebook_retravaill!G1062</f>
        <v>3028.4346514382819</v>
      </c>
      <c r="H1062" s="32">
        <f>IF(Result_notebook_retravaill!I1062&gt;Result_notebook_retravaill!G1062,Result_notebook_retravaill!I1062/Result_notebook_retravaill!N1062,Result_notebook_retravaill!H1062)</f>
        <v>0</v>
      </c>
      <c r="I1062" s="32">
        <f>Result_notebook_retravaill!K1062</f>
        <v>3028.4346514382819</v>
      </c>
      <c r="J1062" s="32">
        <f>MIN(G1062,Result_notebook_retravaill!I1062)</f>
        <v>0</v>
      </c>
      <c r="K1062" s="32">
        <f>IF(Result_notebook_retravaill!I1062&gt;Result_notebook_retravaill!G1062,0,IF(Result_notebook_retravaill!I1062+Result_notebook_retravaill!J1062&gt;Result_notebook_retravaill!G1062,Result_notebook_retravaill!G1062-Result_notebook_retravaill!I1062,Result_notebook_retravaill!J1062))</f>
        <v>0</v>
      </c>
      <c r="L1062" s="32">
        <f>IF(Result_notebook_retravaill!I1062&gt;Result_notebook_retravaill!G1062,0,IF(Result_notebook_retravaill!I1062+Result_notebook_retravaill!J1062&gt;Result_notebook_retravaill!G1062,0,Result_notebook_retravaill!M1062))</f>
        <v>3028.4346514382819</v>
      </c>
      <c r="M1062" s="31">
        <f t="shared" si="16"/>
        <v>0</v>
      </c>
    </row>
    <row r="1063" spans="1:13" x14ac:dyDescent="0.35">
      <c r="A1063">
        <f>Result_notebook_retravaill!A1063</f>
        <v>2036</v>
      </c>
      <c r="B1063" t="str">
        <f>Result_notebook_retravaill!B1063</f>
        <v>Graphite</v>
      </c>
      <c r="C1063" t="str">
        <f>Result_notebook_retravaill!C1063</f>
        <v>Global Net-zero</v>
      </c>
      <c r="D1063" t="str">
        <f>Result_notebook_retravaill!D1063</f>
        <v>Existing production</v>
      </c>
      <c r="E1063" t="str">
        <f>Result_notebook_retravaill!E1063</f>
        <v>Current shares</v>
      </c>
      <c r="F1063" t="str">
        <f>Result_notebook_retravaill!F1063</f>
        <v>Status Quo</v>
      </c>
      <c r="G1063">
        <f>Result_notebook_retravaill!G1063</f>
        <v>3028.4346514382819</v>
      </c>
      <c r="H1063" s="32">
        <f>IF(Result_notebook_retravaill!I1063&gt;Result_notebook_retravaill!G1063,Result_notebook_retravaill!I1063/Result_notebook_retravaill!N1063,Result_notebook_retravaill!H1063)</f>
        <v>0</v>
      </c>
      <c r="I1063" s="32">
        <f>Result_notebook_retravaill!K1063</f>
        <v>3028.4346514382819</v>
      </c>
      <c r="J1063" s="32">
        <f>MIN(G1063,Result_notebook_retravaill!I1063)</f>
        <v>0</v>
      </c>
      <c r="K1063" s="32">
        <f>IF(Result_notebook_retravaill!I1063&gt;Result_notebook_retravaill!G1063,0,IF(Result_notebook_retravaill!I1063+Result_notebook_retravaill!J1063&gt;Result_notebook_retravaill!G1063,Result_notebook_retravaill!G1063-Result_notebook_retravaill!I1063,Result_notebook_retravaill!J1063))</f>
        <v>0</v>
      </c>
      <c r="L1063" s="32">
        <f>IF(Result_notebook_retravaill!I1063&gt;Result_notebook_retravaill!G1063,0,IF(Result_notebook_retravaill!I1063+Result_notebook_retravaill!J1063&gt;Result_notebook_retravaill!G1063,0,Result_notebook_retravaill!M1063))</f>
        <v>3028.4346514382819</v>
      </c>
      <c r="M1063" s="31">
        <f t="shared" si="16"/>
        <v>0</v>
      </c>
    </row>
    <row r="1064" spans="1:13" x14ac:dyDescent="0.35">
      <c r="A1064">
        <f>Result_notebook_retravaill!A1064</f>
        <v>2036</v>
      </c>
      <c r="B1064" t="str">
        <f>Result_notebook_retravaill!B1064</f>
        <v>Graphite</v>
      </c>
      <c r="C1064" t="str">
        <f>Result_notebook_retravaill!C1064</f>
        <v>Global Net-zero</v>
      </c>
      <c r="D1064" t="str">
        <f>Result_notebook_retravaill!D1064</f>
        <v>Production potential</v>
      </c>
      <c r="E1064" t="str">
        <f>Result_notebook_retravaill!E1064</f>
        <v>Current shares</v>
      </c>
      <c r="F1064" t="str">
        <f>Result_notebook_retravaill!F1064</f>
        <v>Expansion Extractive</v>
      </c>
      <c r="G1064">
        <f>Result_notebook_retravaill!G1064</f>
        <v>3028.4346514382819</v>
      </c>
      <c r="H1064" s="32">
        <f>IF(Result_notebook_retravaill!I1064&gt;Result_notebook_retravaill!G1064,Result_notebook_retravaill!I1064/Result_notebook_retravaill!N1064,Result_notebook_retravaill!H1064)</f>
        <v>104036.21692331611</v>
      </c>
      <c r="I1064" s="32">
        <f>Result_notebook_retravaill!K1064</f>
        <v>0</v>
      </c>
      <c r="J1064" s="32">
        <f>MIN(G1064,Result_notebook_retravaill!I1064)</f>
        <v>3028.4346514382819</v>
      </c>
      <c r="K1064" s="32">
        <f>IF(Result_notebook_retravaill!I1064&gt;Result_notebook_retravaill!G1064,0,IF(Result_notebook_retravaill!I1064+Result_notebook_retravaill!J1064&gt;Result_notebook_retravaill!G1064,Result_notebook_retravaill!G1064-Result_notebook_retravaill!I1064,Result_notebook_retravaill!J1064))</f>
        <v>0</v>
      </c>
      <c r="L1064" s="32">
        <f>IF(Result_notebook_retravaill!I1064&gt;Result_notebook_retravaill!G1064,0,IF(Result_notebook_retravaill!I1064+Result_notebook_retravaill!J1064&gt;Result_notebook_retravaill!G1064,0,Result_notebook_retravaill!M1064))</f>
        <v>0</v>
      </c>
      <c r="M1064" s="31">
        <f t="shared" si="16"/>
        <v>0</v>
      </c>
    </row>
    <row r="1065" spans="1:13" x14ac:dyDescent="0.35">
      <c r="A1065">
        <f>Result_notebook_retravaill!A1065</f>
        <v>2036</v>
      </c>
      <c r="B1065" t="str">
        <f>Result_notebook_retravaill!B1065</f>
        <v>Graphite</v>
      </c>
      <c r="C1065" t="str">
        <f>Result_notebook_retravaill!C1065</f>
        <v>Global Net-zero</v>
      </c>
      <c r="D1065" t="str">
        <f>Result_notebook_retravaill!D1065</f>
        <v>Production potential</v>
      </c>
      <c r="E1065" t="str">
        <f>Result_notebook_retravaill!E1065</f>
        <v>Current shares</v>
      </c>
      <c r="F1065" t="str">
        <f>Result_notebook_retravaill!F1065</f>
        <v>Expansion Extractive+Circularity</v>
      </c>
      <c r="G1065">
        <f>Result_notebook_retravaill!G1065</f>
        <v>3028.4346514382819</v>
      </c>
      <c r="H1065" s="32">
        <f>IF(Result_notebook_retravaill!I1065&gt;Result_notebook_retravaill!G1065,Result_notebook_retravaill!I1065/Result_notebook_retravaill!N1065,Result_notebook_retravaill!H1065)</f>
        <v>104036.21692331611</v>
      </c>
      <c r="I1065" s="32">
        <f>Result_notebook_retravaill!K1065</f>
        <v>0</v>
      </c>
      <c r="J1065" s="32">
        <f>MIN(G1065,Result_notebook_retravaill!I1065)</f>
        <v>3028.4346514382819</v>
      </c>
      <c r="K1065" s="32">
        <f>IF(Result_notebook_retravaill!I1065&gt;Result_notebook_retravaill!G1065,0,IF(Result_notebook_retravaill!I1065+Result_notebook_retravaill!J1065&gt;Result_notebook_retravaill!G1065,Result_notebook_retravaill!G1065-Result_notebook_retravaill!I1065,Result_notebook_retravaill!J1065))</f>
        <v>0</v>
      </c>
      <c r="L1065" s="32">
        <f>IF(Result_notebook_retravaill!I1065&gt;Result_notebook_retravaill!G1065,0,IF(Result_notebook_retravaill!I1065+Result_notebook_retravaill!J1065&gt;Result_notebook_retravaill!G1065,0,Result_notebook_retravaill!M1065))</f>
        <v>0</v>
      </c>
      <c r="M1065" s="31">
        <f t="shared" si="16"/>
        <v>0</v>
      </c>
    </row>
    <row r="1066" spans="1:13" x14ac:dyDescent="0.35">
      <c r="A1066">
        <f>Result_notebook_retravaill!A1066</f>
        <v>2036</v>
      </c>
      <c r="B1066" t="str">
        <f>Result_notebook_retravaill!B1066</f>
        <v>Graphite</v>
      </c>
      <c r="C1066" t="str">
        <f>Result_notebook_retravaill!C1066</f>
        <v>Global Net-zero</v>
      </c>
      <c r="D1066" t="str">
        <f>Result_notebook_retravaill!D1066</f>
        <v>Production potential</v>
      </c>
      <c r="E1066" t="str">
        <f>Result_notebook_retravaill!E1066</f>
        <v>100% CAN</v>
      </c>
      <c r="F1066" t="str">
        <f>Result_notebook_retravaill!F1066</f>
        <v>Integrated</v>
      </c>
      <c r="G1066">
        <f>Result_notebook_retravaill!G1066</f>
        <v>3028.4346514382819</v>
      </c>
      <c r="H1066" s="32">
        <f>IF(Result_notebook_retravaill!I1066&gt;Result_notebook_retravaill!G1066,Result_notebook_retravaill!I1066/Result_notebook_retravaill!N1066,Result_notebook_retravaill!H1066)</f>
        <v>104036.21692331611</v>
      </c>
      <c r="I1066" s="32">
        <f>Result_notebook_retravaill!K1066</f>
        <v>0</v>
      </c>
      <c r="J1066" s="32">
        <f>MIN(G1066,Result_notebook_retravaill!I1066)</f>
        <v>3028.4346514382819</v>
      </c>
      <c r="K1066" s="32">
        <f>IF(Result_notebook_retravaill!I1066&gt;Result_notebook_retravaill!G1066,0,IF(Result_notebook_retravaill!I1066+Result_notebook_retravaill!J1066&gt;Result_notebook_retravaill!G1066,Result_notebook_retravaill!G1066-Result_notebook_retravaill!I1066,Result_notebook_retravaill!J1066))</f>
        <v>0</v>
      </c>
      <c r="L1066" s="32">
        <f>IF(Result_notebook_retravaill!I1066&gt;Result_notebook_retravaill!G1066,0,IF(Result_notebook_retravaill!I1066+Result_notebook_retravaill!J1066&gt;Result_notebook_retravaill!G1066,0,Result_notebook_retravaill!M1066))</f>
        <v>0</v>
      </c>
      <c r="M1066" s="31">
        <f t="shared" si="16"/>
        <v>0</v>
      </c>
    </row>
    <row r="1067" spans="1:13" x14ac:dyDescent="0.35">
      <c r="A1067">
        <f>Result_notebook_retravaill!A1067</f>
        <v>2036</v>
      </c>
      <c r="B1067" t="str">
        <f>Result_notebook_retravaill!B1067</f>
        <v>Lithium</v>
      </c>
      <c r="C1067" t="str">
        <f>Result_notebook_retravaill!C1067</f>
        <v>Canada Net-zero</v>
      </c>
      <c r="D1067" t="str">
        <f>Result_notebook_retravaill!D1067</f>
        <v>Existing production</v>
      </c>
      <c r="E1067" t="str">
        <f>Result_notebook_retravaill!E1067</f>
        <v>Current shares</v>
      </c>
      <c r="F1067" t="str">
        <f>Result_notebook_retravaill!F1067</f>
        <v>NIMBY</v>
      </c>
      <c r="G1067">
        <f>Result_notebook_retravaill!G1067</f>
        <v>68174.621934206763</v>
      </c>
      <c r="H1067" s="32">
        <f>IF(Result_notebook_retravaill!I1067&gt;Result_notebook_retravaill!G1067,Result_notebook_retravaill!I1067/Result_notebook_retravaill!N1067,Result_notebook_retravaill!H1067)</f>
        <v>0</v>
      </c>
      <c r="I1067" s="32">
        <f>Result_notebook_retravaill!K1067</f>
        <v>97392.317048866811</v>
      </c>
      <c r="J1067" s="32">
        <f>MIN(G1067,Result_notebook_retravaill!I1067)</f>
        <v>0</v>
      </c>
      <c r="K1067" s="32">
        <f>IF(Result_notebook_retravaill!I1067&gt;Result_notebook_retravaill!G1067,0,IF(Result_notebook_retravaill!I1067+Result_notebook_retravaill!J1067&gt;Result_notebook_retravaill!G1067,Result_notebook_retravaill!G1067-Result_notebook_retravaill!I1067,Result_notebook_retravaill!J1067))</f>
        <v>0</v>
      </c>
      <c r="L1067" s="32">
        <f>IF(Result_notebook_retravaill!I1067&gt;Result_notebook_retravaill!G1067,0,IF(Result_notebook_retravaill!I1067+Result_notebook_retravaill!J1067&gt;Result_notebook_retravaill!G1067,0,Result_notebook_retravaill!M1067))</f>
        <v>68174.621934206763</v>
      </c>
      <c r="M1067" s="31">
        <f t="shared" si="16"/>
        <v>0</v>
      </c>
    </row>
    <row r="1068" spans="1:13" x14ac:dyDescent="0.35">
      <c r="A1068">
        <f>Result_notebook_retravaill!A1068</f>
        <v>2036</v>
      </c>
      <c r="B1068" t="str">
        <f>Result_notebook_retravaill!B1068</f>
        <v>Lithium</v>
      </c>
      <c r="C1068" t="str">
        <f>Result_notebook_retravaill!C1068</f>
        <v>Canada Net-zero</v>
      </c>
      <c r="D1068" t="str">
        <f>Result_notebook_retravaill!D1068</f>
        <v>Existing production</v>
      </c>
      <c r="E1068" t="str">
        <f>Result_notebook_retravaill!E1068</f>
        <v>Current shares</v>
      </c>
      <c r="F1068" t="str">
        <f>Result_notebook_retravaill!F1068</f>
        <v>Status Quo</v>
      </c>
      <c r="G1068">
        <f>Result_notebook_retravaill!G1068</f>
        <v>68174.621934206763</v>
      </c>
      <c r="H1068" s="32">
        <f>IF(Result_notebook_retravaill!I1068&gt;Result_notebook_retravaill!G1068,Result_notebook_retravaill!I1068/Result_notebook_retravaill!N1068,Result_notebook_retravaill!H1068)</f>
        <v>37189</v>
      </c>
      <c r="I1068" s="32">
        <f>Result_notebook_retravaill!K1068</f>
        <v>60203.317048866811</v>
      </c>
      <c r="J1068" s="32">
        <f>MIN(G1068,Result_notebook_retravaill!I1068)</f>
        <v>26001.450642877979</v>
      </c>
      <c r="K1068" s="32">
        <f>IF(Result_notebook_retravaill!I1068&gt;Result_notebook_retravaill!G1068,0,IF(Result_notebook_retravaill!I1068+Result_notebook_retravaill!J1068&gt;Result_notebook_retravaill!G1068,Result_notebook_retravaill!G1068-Result_notebook_retravaill!I1068,Result_notebook_retravaill!J1068))</f>
        <v>3286.9321352489678</v>
      </c>
      <c r="L1068" s="32">
        <f>IF(Result_notebook_retravaill!I1068&gt;Result_notebook_retravaill!G1068,0,IF(Result_notebook_retravaill!I1068+Result_notebook_retravaill!J1068&gt;Result_notebook_retravaill!G1068,0,Result_notebook_retravaill!M1068))</f>
        <v>38886.239156079813</v>
      </c>
      <c r="M1068" s="31">
        <f t="shared" si="16"/>
        <v>0</v>
      </c>
    </row>
    <row r="1069" spans="1:13" x14ac:dyDescent="0.35">
      <c r="A1069">
        <f>Result_notebook_retravaill!A1069</f>
        <v>2036</v>
      </c>
      <c r="B1069" t="str">
        <f>Result_notebook_retravaill!B1069</f>
        <v>Lithium</v>
      </c>
      <c r="C1069" t="str">
        <f>Result_notebook_retravaill!C1069</f>
        <v>Canada Net-zero</v>
      </c>
      <c r="D1069" t="str">
        <f>Result_notebook_retravaill!D1069</f>
        <v>Production potential</v>
      </c>
      <c r="E1069" t="str">
        <f>Result_notebook_retravaill!E1069</f>
        <v>Current shares</v>
      </c>
      <c r="F1069" t="str">
        <f>Result_notebook_retravaill!F1069</f>
        <v>Expansion Extractive</v>
      </c>
      <c r="G1069">
        <f>Result_notebook_retravaill!G1069</f>
        <v>68174.621934206763</v>
      </c>
      <c r="H1069" s="32">
        <f>IF(Result_notebook_retravaill!I1069&gt;Result_notebook_retravaill!G1069,Result_notebook_retravaill!I1069/Result_notebook_retravaill!N1069,Result_notebook_retravaill!H1069)</f>
        <v>172949.93094217411</v>
      </c>
      <c r="I1069" s="32">
        <f>Result_notebook_retravaill!K1069</f>
        <v>0</v>
      </c>
      <c r="J1069" s="32">
        <f>MIN(G1069,Result_notebook_retravaill!I1069)</f>
        <v>68174.621934206763</v>
      </c>
      <c r="K1069" s="32">
        <f>IF(Result_notebook_retravaill!I1069&gt;Result_notebook_retravaill!G1069,0,IF(Result_notebook_retravaill!I1069+Result_notebook_retravaill!J1069&gt;Result_notebook_retravaill!G1069,Result_notebook_retravaill!G1069-Result_notebook_retravaill!I1069,Result_notebook_retravaill!J1069))</f>
        <v>0</v>
      </c>
      <c r="L1069" s="32">
        <f>IF(Result_notebook_retravaill!I1069&gt;Result_notebook_retravaill!G1069,0,IF(Result_notebook_retravaill!I1069+Result_notebook_retravaill!J1069&gt;Result_notebook_retravaill!G1069,0,Result_notebook_retravaill!M1069))</f>
        <v>0</v>
      </c>
      <c r="M1069" s="31">
        <f t="shared" si="16"/>
        <v>0</v>
      </c>
    </row>
    <row r="1070" spans="1:13" x14ac:dyDescent="0.35">
      <c r="A1070">
        <f>Result_notebook_retravaill!A1070</f>
        <v>2036</v>
      </c>
      <c r="B1070" t="str">
        <f>Result_notebook_retravaill!B1070</f>
        <v>Lithium</v>
      </c>
      <c r="C1070" t="str">
        <f>Result_notebook_retravaill!C1070</f>
        <v>Canada Net-zero</v>
      </c>
      <c r="D1070" t="str">
        <f>Result_notebook_retravaill!D1070</f>
        <v>Production potential</v>
      </c>
      <c r="E1070" t="str">
        <f>Result_notebook_retravaill!E1070</f>
        <v>Current shares</v>
      </c>
      <c r="F1070" t="str">
        <f>Result_notebook_retravaill!F1070</f>
        <v>Expansion Extractive+Circularity</v>
      </c>
      <c r="G1070">
        <f>Result_notebook_retravaill!G1070</f>
        <v>68174.621934206763</v>
      </c>
      <c r="H1070" s="32">
        <f>IF(Result_notebook_retravaill!I1070&gt;Result_notebook_retravaill!G1070,Result_notebook_retravaill!I1070/Result_notebook_retravaill!N1070,Result_notebook_retravaill!H1070)</f>
        <v>172949.93094217411</v>
      </c>
      <c r="I1070" s="32">
        <f>Result_notebook_retravaill!K1070</f>
        <v>0</v>
      </c>
      <c r="J1070" s="32">
        <f>MIN(G1070,Result_notebook_retravaill!I1070)</f>
        <v>68174.621934206763</v>
      </c>
      <c r="K1070" s="32">
        <f>IF(Result_notebook_retravaill!I1070&gt;Result_notebook_retravaill!G1070,0,IF(Result_notebook_retravaill!I1070+Result_notebook_retravaill!J1070&gt;Result_notebook_retravaill!G1070,Result_notebook_retravaill!G1070-Result_notebook_retravaill!I1070,Result_notebook_retravaill!J1070))</f>
        <v>0</v>
      </c>
      <c r="L1070" s="32">
        <f>IF(Result_notebook_retravaill!I1070&gt;Result_notebook_retravaill!G1070,0,IF(Result_notebook_retravaill!I1070+Result_notebook_retravaill!J1070&gt;Result_notebook_retravaill!G1070,0,Result_notebook_retravaill!M1070))</f>
        <v>0</v>
      </c>
      <c r="M1070" s="31">
        <f t="shared" si="16"/>
        <v>0</v>
      </c>
    </row>
    <row r="1071" spans="1:13" x14ac:dyDescent="0.35">
      <c r="A1071">
        <f>Result_notebook_retravaill!A1071</f>
        <v>2036</v>
      </c>
      <c r="B1071" t="str">
        <f>Result_notebook_retravaill!B1071</f>
        <v>Lithium</v>
      </c>
      <c r="C1071" t="str">
        <f>Result_notebook_retravaill!C1071</f>
        <v>Canada Net-zero</v>
      </c>
      <c r="D1071" t="str">
        <f>Result_notebook_retravaill!D1071</f>
        <v>Production potential</v>
      </c>
      <c r="E1071" t="str">
        <f>Result_notebook_retravaill!E1071</f>
        <v>100% CAN</v>
      </c>
      <c r="F1071" t="str">
        <f>Result_notebook_retravaill!F1071</f>
        <v>Integrated</v>
      </c>
      <c r="G1071">
        <f>Result_notebook_retravaill!G1071</f>
        <v>68174.621934206763</v>
      </c>
      <c r="H1071" s="32">
        <f>IF(Result_notebook_retravaill!I1071&gt;Result_notebook_retravaill!G1071,Result_notebook_retravaill!I1071/Result_notebook_retravaill!N1071,Result_notebook_retravaill!H1071)</f>
        <v>172949.93094217411</v>
      </c>
      <c r="I1071" s="32">
        <f>Result_notebook_retravaill!K1071</f>
        <v>0</v>
      </c>
      <c r="J1071" s="32">
        <f>MIN(G1071,Result_notebook_retravaill!I1071)</f>
        <v>68174.621934206763</v>
      </c>
      <c r="K1071" s="32">
        <f>IF(Result_notebook_retravaill!I1071&gt;Result_notebook_retravaill!G1071,0,IF(Result_notebook_retravaill!I1071+Result_notebook_retravaill!J1071&gt;Result_notebook_retravaill!G1071,Result_notebook_retravaill!G1071-Result_notebook_retravaill!I1071,Result_notebook_retravaill!J1071))</f>
        <v>0</v>
      </c>
      <c r="L1071" s="32">
        <f>IF(Result_notebook_retravaill!I1071&gt;Result_notebook_retravaill!G1071,0,IF(Result_notebook_retravaill!I1071+Result_notebook_retravaill!J1071&gt;Result_notebook_retravaill!G1071,0,Result_notebook_retravaill!M1071))</f>
        <v>0</v>
      </c>
      <c r="M1071" s="31">
        <f t="shared" si="16"/>
        <v>0</v>
      </c>
    </row>
    <row r="1072" spans="1:13" x14ac:dyDescent="0.35">
      <c r="A1072">
        <f>Result_notebook_retravaill!A1072</f>
        <v>2036</v>
      </c>
      <c r="B1072" t="str">
        <f>Result_notebook_retravaill!B1072</f>
        <v>Lithium</v>
      </c>
      <c r="C1072" t="str">
        <f>Result_notebook_retravaill!C1072</f>
        <v>Current Measures</v>
      </c>
      <c r="D1072" t="str">
        <f>Result_notebook_retravaill!D1072</f>
        <v>Existing production</v>
      </c>
      <c r="E1072" t="str">
        <f>Result_notebook_retravaill!E1072</f>
        <v>Current shares</v>
      </c>
      <c r="F1072" t="str">
        <f>Result_notebook_retravaill!F1072</f>
        <v>NIMBY</v>
      </c>
      <c r="G1072">
        <f>Result_notebook_retravaill!G1072</f>
        <v>25328.788125042582</v>
      </c>
      <c r="H1072" s="32">
        <f>IF(Result_notebook_retravaill!I1072&gt;Result_notebook_retravaill!G1072,Result_notebook_retravaill!I1072/Result_notebook_retravaill!N1072,Result_notebook_retravaill!H1072)</f>
        <v>0</v>
      </c>
      <c r="I1072" s="32">
        <f>Result_notebook_retravaill!K1072</f>
        <v>36183.98303577512</v>
      </c>
      <c r="J1072" s="32">
        <f>MIN(G1072,Result_notebook_retravaill!I1072)</f>
        <v>0</v>
      </c>
      <c r="K1072" s="32">
        <f>IF(Result_notebook_retravaill!I1072&gt;Result_notebook_retravaill!G1072,0,IF(Result_notebook_retravaill!I1072+Result_notebook_retravaill!J1072&gt;Result_notebook_retravaill!G1072,Result_notebook_retravaill!G1072-Result_notebook_retravaill!I1072,Result_notebook_retravaill!J1072))</f>
        <v>0</v>
      </c>
      <c r="L1072" s="32">
        <f>IF(Result_notebook_retravaill!I1072&gt;Result_notebook_retravaill!G1072,0,IF(Result_notebook_retravaill!I1072+Result_notebook_retravaill!J1072&gt;Result_notebook_retravaill!G1072,0,Result_notebook_retravaill!M1072))</f>
        <v>25328.788125042582</v>
      </c>
      <c r="M1072" s="31">
        <f t="shared" si="16"/>
        <v>0</v>
      </c>
    </row>
    <row r="1073" spans="1:13" x14ac:dyDescent="0.35">
      <c r="A1073">
        <f>Result_notebook_retravaill!A1073</f>
        <v>2036</v>
      </c>
      <c r="B1073" t="str">
        <f>Result_notebook_retravaill!B1073</f>
        <v>Lithium</v>
      </c>
      <c r="C1073" t="str">
        <f>Result_notebook_retravaill!C1073</f>
        <v>Current Measures</v>
      </c>
      <c r="D1073" t="str">
        <f>Result_notebook_retravaill!D1073</f>
        <v>Existing production</v>
      </c>
      <c r="E1073" t="str">
        <f>Result_notebook_retravaill!E1073</f>
        <v>Current shares</v>
      </c>
      <c r="F1073" t="str">
        <f>Result_notebook_retravaill!F1073</f>
        <v>Status Quo</v>
      </c>
      <c r="G1073">
        <f>Result_notebook_retravaill!G1073</f>
        <v>25328.788125042582</v>
      </c>
      <c r="H1073" s="32">
        <f>IF(Result_notebook_retravaill!I1073&gt;Result_notebook_retravaill!G1073,Result_notebook_retravaill!I1073/Result_notebook_retravaill!N1073,Result_notebook_retravaill!H1073)</f>
        <v>33015.409395705414</v>
      </c>
      <c r="I1073" s="32">
        <f>Result_notebook_retravaill!K1073</f>
        <v>0</v>
      </c>
      <c r="J1073" s="32">
        <f>MIN(G1073,Result_notebook_retravaill!I1073)</f>
        <v>25328.788125042582</v>
      </c>
      <c r="K1073" s="32">
        <f>IF(Result_notebook_retravaill!I1073&gt;Result_notebook_retravaill!G1073,0,IF(Result_notebook_retravaill!I1073+Result_notebook_retravaill!J1073&gt;Result_notebook_retravaill!G1073,Result_notebook_retravaill!G1073-Result_notebook_retravaill!I1073,Result_notebook_retravaill!J1073))</f>
        <v>0</v>
      </c>
      <c r="L1073" s="32">
        <f>IF(Result_notebook_retravaill!I1073&gt;Result_notebook_retravaill!G1073,0,IF(Result_notebook_retravaill!I1073+Result_notebook_retravaill!J1073&gt;Result_notebook_retravaill!G1073,0,Result_notebook_retravaill!M1073))</f>
        <v>0</v>
      </c>
      <c r="M1073" s="31">
        <f t="shared" si="16"/>
        <v>0</v>
      </c>
    </row>
    <row r="1074" spans="1:13" x14ac:dyDescent="0.35">
      <c r="A1074">
        <f>Result_notebook_retravaill!A1074</f>
        <v>2036</v>
      </c>
      <c r="B1074" t="str">
        <f>Result_notebook_retravaill!B1074</f>
        <v>Lithium</v>
      </c>
      <c r="C1074" t="str">
        <f>Result_notebook_retravaill!C1074</f>
        <v>Current Measures</v>
      </c>
      <c r="D1074" t="str">
        <f>Result_notebook_retravaill!D1074</f>
        <v>Production potential</v>
      </c>
      <c r="E1074" t="str">
        <f>Result_notebook_retravaill!E1074</f>
        <v>Current shares</v>
      </c>
      <c r="F1074" t="str">
        <f>Result_notebook_retravaill!F1074</f>
        <v>Expansion Extractive</v>
      </c>
      <c r="G1074">
        <f>Result_notebook_retravaill!G1074</f>
        <v>25328.788125042582</v>
      </c>
      <c r="H1074" s="32">
        <f>IF(Result_notebook_retravaill!I1074&gt;Result_notebook_retravaill!G1074,Result_notebook_retravaill!I1074/Result_notebook_retravaill!N1074,Result_notebook_retravaill!H1074)</f>
        <v>172949.93094217411</v>
      </c>
      <c r="I1074" s="32">
        <f>Result_notebook_retravaill!K1074</f>
        <v>0</v>
      </c>
      <c r="J1074" s="32">
        <f>MIN(G1074,Result_notebook_retravaill!I1074)</f>
        <v>25328.788125042582</v>
      </c>
      <c r="K1074" s="32">
        <f>IF(Result_notebook_retravaill!I1074&gt;Result_notebook_retravaill!G1074,0,IF(Result_notebook_retravaill!I1074+Result_notebook_retravaill!J1074&gt;Result_notebook_retravaill!G1074,Result_notebook_retravaill!G1074-Result_notebook_retravaill!I1074,Result_notebook_retravaill!J1074))</f>
        <v>0</v>
      </c>
      <c r="L1074" s="32">
        <f>IF(Result_notebook_retravaill!I1074&gt;Result_notebook_retravaill!G1074,0,IF(Result_notebook_retravaill!I1074+Result_notebook_retravaill!J1074&gt;Result_notebook_retravaill!G1074,0,Result_notebook_retravaill!M1074))</f>
        <v>0</v>
      </c>
      <c r="M1074" s="31">
        <f t="shared" si="16"/>
        <v>0</v>
      </c>
    </row>
    <row r="1075" spans="1:13" x14ac:dyDescent="0.35">
      <c r="A1075">
        <f>Result_notebook_retravaill!A1075</f>
        <v>2036</v>
      </c>
      <c r="B1075" t="str">
        <f>Result_notebook_retravaill!B1075</f>
        <v>Lithium</v>
      </c>
      <c r="C1075" t="str">
        <f>Result_notebook_retravaill!C1075</f>
        <v>Current Measures</v>
      </c>
      <c r="D1075" t="str">
        <f>Result_notebook_retravaill!D1075</f>
        <v>Production potential</v>
      </c>
      <c r="E1075" t="str">
        <f>Result_notebook_retravaill!E1075</f>
        <v>Current shares</v>
      </c>
      <c r="F1075" t="str">
        <f>Result_notebook_retravaill!F1075</f>
        <v>Expansion Extractive+Circularity</v>
      </c>
      <c r="G1075">
        <f>Result_notebook_retravaill!G1075</f>
        <v>25328.788125042582</v>
      </c>
      <c r="H1075" s="32">
        <f>IF(Result_notebook_retravaill!I1075&gt;Result_notebook_retravaill!G1075,Result_notebook_retravaill!I1075/Result_notebook_retravaill!N1075,Result_notebook_retravaill!H1075)</f>
        <v>172949.93094217411</v>
      </c>
      <c r="I1075" s="32">
        <f>Result_notebook_retravaill!K1075</f>
        <v>0</v>
      </c>
      <c r="J1075" s="32">
        <f>MIN(G1075,Result_notebook_retravaill!I1075)</f>
        <v>25328.788125042582</v>
      </c>
      <c r="K1075" s="32">
        <f>IF(Result_notebook_retravaill!I1075&gt;Result_notebook_retravaill!G1075,0,IF(Result_notebook_retravaill!I1075+Result_notebook_retravaill!J1075&gt;Result_notebook_retravaill!G1075,Result_notebook_retravaill!G1075-Result_notebook_retravaill!I1075,Result_notebook_retravaill!J1075))</f>
        <v>0</v>
      </c>
      <c r="L1075" s="32">
        <f>IF(Result_notebook_retravaill!I1075&gt;Result_notebook_retravaill!G1075,0,IF(Result_notebook_retravaill!I1075+Result_notebook_retravaill!J1075&gt;Result_notebook_retravaill!G1075,0,Result_notebook_retravaill!M1075))</f>
        <v>0</v>
      </c>
      <c r="M1075" s="31">
        <f t="shared" si="16"/>
        <v>0</v>
      </c>
    </row>
    <row r="1076" spans="1:13" x14ac:dyDescent="0.35">
      <c r="A1076">
        <f>Result_notebook_retravaill!A1076</f>
        <v>2036</v>
      </c>
      <c r="B1076" t="str">
        <f>Result_notebook_retravaill!B1076</f>
        <v>Lithium</v>
      </c>
      <c r="C1076" t="str">
        <f>Result_notebook_retravaill!C1076</f>
        <v>Current Measures</v>
      </c>
      <c r="D1076" t="str">
        <f>Result_notebook_retravaill!D1076</f>
        <v>Production potential</v>
      </c>
      <c r="E1076" t="str">
        <f>Result_notebook_retravaill!E1076</f>
        <v>100% CAN</v>
      </c>
      <c r="F1076" t="str">
        <f>Result_notebook_retravaill!F1076</f>
        <v>Integrated</v>
      </c>
      <c r="G1076">
        <f>Result_notebook_retravaill!G1076</f>
        <v>25328.788125042582</v>
      </c>
      <c r="H1076" s="32">
        <f>IF(Result_notebook_retravaill!I1076&gt;Result_notebook_retravaill!G1076,Result_notebook_retravaill!I1076/Result_notebook_retravaill!N1076,Result_notebook_retravaill!H1076)</f>
        <v>172949.93094217411</v>
      </c>
      <c r="I1076" s="32">
        <f>Result_notebook_retravaill!K1076</f>
        <v>0</v>
      </c>
      <c r="J1076" s="32">
        <f>MIN(G1076,Result_notebook_retravaill!I1076)</f>
        <v>25328.788125042582</v>
      </c>
      <c r="K1076" s="32">
        <f>IF(Result_notebook_retravaill!I1076&gt;Result_notebook_retravaill!G1076,0,IF(Result_notebook_retravaill!I1076+Result_notebook_retravaill!J1076&gt;Result_notebook_retravaill!G1076,Result_notebook_retravaill!G1076-Result_notebook_retravaill!I1076,Result_notebook_retravaill!J1076))</f>
        <v>0</v>
      </c>
      <c r="L1076" s="32">
        <f>IF(Result_notebook_retravaill!I1076&gt;Result_notebook_retravaill!G1076,0,IF(Result_notebook_retravaill!I1076+Result_notebook_retravaill!J1076&gt;Result_notebook_retravaill!G1076,0,Result_notebook_retravaill!M1076))</f>
        <v>0</v>
      </c>
      <c r="M1076" s="31">
        <f t="shared" si="16"/>
        <v>0</v>
      </c>
    </row>
    <row r="1077" spans="1:13" x14ac:dyDescent="0.35">
      <c r="A1077">
        <f>Result_notebook_retravaill!A1077</f>
        <v>2036</v>
      </c>
      <c r="B1077" t="str">
        <f>Result_notebook_retravaill!B1077</f>
        <v>Lithium</v>
      </c>
      <c r="C1077" t="str">
        <f>Result_notebook_retravaill!C1077</f>
        <v>Global Net-zero</v>
      </c>
      <c r="D1077" t="str">
        <f>Result_notebook_retravaill!D1077</f>
        <v>Existing production</v>
      </c>
      <c r="E1077" t="str">
        <f>Result_notebook_retravaill!E1077</f>
        <v>Current shares</v>
      </c>
      <c r="F1077" t="str">
        <f>Result_notebook_retravaill!F1077</f>
        <v>NIMBY</v>
      </c>
      <c r="G1077">
        <f>Result_notebook_retravaill!G1077</f>
        <v>64946.06057918453</v>
      </c>
      <c r="H1077" s="32">
        <f>IF(Result_notebook_retravaill!I1077&gt;Result_notebook_retravaill!G1077,Result_notebook_retravaill!I1077/Result_notebook_retravaill!N1077,Result_notebook_retravaill!H1077)</f>
        <v>0</v>
      </c>
      <c r="I1077" s="32">
        <f>Result_notebook_retravaill!K1077</f>
        <v>92780.086541692188</v>
      </c>
      <c r="J1077" s="32">
        <f>MIN(G1077,Result_notebook_retravaill!I1077)</f>
        <v>0</v>
      </c>
      <c r="K1077" s="32">
        <f>IF(Result_notebook_retravaill!I1077&gt;Result_notebook_retravaill!G1077,0,IF(Result_notebook_retravaill!I1077+Result_notebook_retravaill!J1077&gt;Result_notebook_retravaill!G1077,Result_notebook_retravaill!G1077-Result_notebook_retravaill!I1077,Result_notebook_retravaill!J1077))</f>
        <v>0</v>
      </c>
      <c r="L1077" s="32">
        <f>IF(Result_notebook_retravaill!I1077&gt;Result_notebook_retravaill!G1077,0,IF(Result_notebook_retravaill!I1077+Result_notebook_retravaill!J1077&gt;Result_notebook_retravaill!G1077,0,Result_notebook_retravaill!M1077))</f>
        <v>64946.06057918453</v>
      </c>
      <c r="M1077" s="31">
        <f t="shared" si="16"/>
        <v>0</v>
      </c>
    </row>
    <row r="1078" spans="1:13" x14ac:dyDescent="0.35">
      <c r="A1078">
        <f>Result_notebook_retravaill!A1078</f>
        <v>2036</v>
      </c>
      <c r="B1078" t="str">
        <f>Result_notebook_retravaill!B1078</f>
        <v>Lithium</v>
      </c>
      <c r="C1078" t="str">
        <f>Result_notebook_retravaill!C1078</f>
        <v>Global Net-zero</v>
      </c>
      <c r="D1078" t="str">
        <f>Result_notebook_retravaill!D1078</f>
        <v>Existing production</v>
      </c>
      <c r="E1078" t="str">
        <f>Result_notebook_retravaill!E1078</f>
        <v>Current shares</v>
      </c>
      <c r="F1078" t="str">
        <f>Result_notebook_retravaill!F1078</f>
        <v>Status Quo</v>
      </c>
      <c r="G1078">
        <f>Result_notebook_retravaill!G1078</f>
        <v>64946.06057918453</v>
      </c>
      <c r="H1078" s="32">
        <f>IF(Result_notebook_retravaill!I1078&gt;Result_notebook_retravaill!G1078,Result_notebook_retravaill!I1078/Result_notebook_retravaill!N1078,Result_notebook_retravaill!H1078)</f>
        <v>37189</v>
      </c>
      <c r="I1078" s="32">
        <f>Result_notebook_retravaill!K1078</f>
        <v>55591.086541692188</v>
      </c>
      <c r="J1078" s="32">
        <f>MIN(G1078,Result_notebook_retravaill!I1078)</f>
        <v>26001.450642877979</v>
      </c>
      <c r="K1078" s="32">
        <f>IF(Result_notebook_retravaill!I1078&gt;Result_notebook_retravaill!G1078,0,IF(Result_notebook_retravaill!I1078+Result_notebook_retravaill!J1078&gt;Result_notebook_retravaill!G1078,Result_notebook_retravaill!G1078-Result_notebook_retravaill!I1078,Result_notebook_retravaill!J1078))</f>
        <v>3286.9321352489678</v>
      </c>
      <c r="L1078" s="32">
        <f>IF(Result_notebook_retravaill!I1078&gt;Result_notebook_retravaill!G1078,0,IF(Result_notebook_retravaill!I1078+Result_notebook_retravaill!J1078&gt;Result_notebook_retravaill!G1078,0,Result_notebook_retravaill!M1078))</f>
        <v>35657.67780105758</v>
      </c>
      <c r="M1078" s="31">
        <f t="shared" si="16"/>
        <v>0</v>
      </c>
    </row>
    <row r="1079" spans="1:13" x14ac:dyDescent="0.35">
      <c r="A1079">
        <f>Result_notebook_retravaill!A1079</f>
        <v>2036</v>
      </c>
      <c r="B1079" t="str">
        <f>Result_notebook_retravaill!B1079</f>
        <v>Lithium</v>
      </c>
      <c r="C1079" t="str">
        <f>Result_notebook_retravaill!C1079</f>
        <v>Global Net-zero</v>
      </c>
      <c r="D1079" t="str">
        <f>Result_notebook_retravaill!D1079</f>
        <v>Production potential</v>
      </c>
      <c r="E1079" t="str">
        <f>Result_notebook_retravaill!E1079</f>
        <v>Current shares</v>
      </c>
      <c r="F1079" t="str">
        <f>Result_notebook_retravaill!F1079</f>
        <v>Expansion Extractive</v>
      </c>
      <c r="G1079">
        <f>Result_notebook_retravaill!G1079</f>
        <v>64946.06057918453</v>
      </c>
      <c r="H1079" s="32">
        <f>IF(Result_notebook_retravaill!I1079&gt;Result_notebook_retravaill!G1079,Result_notebook_retravaill!I1079/Result_notebook_retravaill!N1079,Result_notebook_retravaill!H1079)</f>
        <v>172949.93094217411</v>
      </c>
      <c r="I1079" s="32">
        <f>Result_notebook_retravaill!K1079</f>
        <v>0</v>
      </c>
      <c r="J1079" s="32">
        <f>MIN(G1079,Result_notebook_retravaill!I1079)</f>
        <v>64946.06057918453</v>
      </c>
      <c r="K1079" s="32">
        <f>IF(Result_notebook_retravaill!I1079&gt;Result_notebook_retravaill!G1079,0,IF(Result_notebook_retravaill!I1079+Result_notebook_retravaill!J1079&gt;Result_notebook_retravaill!G1079,Result_notebook_retravaill!G1079-Result_notebook_retravaill!I1079,Result_notebook_retravaill!J1079))</f>
        <v>0</v>
      </c>
      <c r="L1079" s="32">
        <f>IF(Result_notebook_retravaill!I1079&gt;Result_notebook_retravaill!G1079,0,IF(Result_notebook_retravaill!I1079+Result_notebook_retravaill!J1079&gt;Result_notebook_retravaill!G1079,0,Result_notebook_retravaill!M1079))</f>
        <v>0</v>
      </c>
      <c r="M1079" s="31">
        <f t="shared" si="16"/>
        <v>0</v>
      </c>
    </row>
    <row r="1080" spans="1:13" x14ac:dyDescent="0.35">
      <c r="A1080">
        <f>Result_notebook_retravaill!A1080</f>
        <v>2036</v>
      </c>
      <c r="B1080" t="str">
        <f>Result_notebook_retravaill!B1080</f>
        <v>Lithium</v>
      </c>
      <c r="C1080" t="str">
        <f>Result_notebook_retravaill!C1080</f>
        <v>Global Net-zero</v>
      </c>
      <c r="D1080" t="str">
        <f>Result_notebook_retravaill!D1080</f>
        <v>Production potential</v>
      </c>
      <c r="E1080" t="str">
        <f>Result_notebook_retravaill!E1080</f>
        <v>Current shares</v>
      </c>
      <c r="F1080" t="str">
        <f>Result_notebook_retravaill!F1080</f>
        <v>Expansion Extractive+Circularity</v>
      </c>
      <c r="G1080">
        <f>Result_notebook_retravaill!G1080</f>
        <v>64946.06057918453</v>
      </c>
      <c r="H1080" s="32">
        <f>IF(Result_notebook_retravaill!I1080&gt;Result_notebook_retravaill!G1080,Result_notebook_retravaill!I1080/Result_notebook_retravaill!N1080,Result_notebook_retravaill!H1080)</f>
        <v>172949.93094217411</v>
      </c>
      <c r="I1080" s="32">
        <f>Result_notebook_retravaill!K1080</f>
        <v>0</v>
      </c>
      <c r="J1080" s="32">
        <f>MIN(G1080,Result_notebook_retravaill!I1080)</f>
        <v>64946.06057918453</v>
      </c>
      <c r="K1080" s="32">
        <f>IF(Result_notebook_retravaill!I1080&gt;Result_notebook_retravaill!G1080,0,IF(Result_notebook_retravaill!I1080+Result_notebook_retravaill!J1080&gt;Result_notebook_retravaill!G1080,Result_notebook_retravaill!G1080-Result_notebook_retravaill!I1080,Result_notebook_retravaill!J1080))</f>
        <v>0</v>
      </c>
      <c r="L1080" s="32">
        <f>IF(Result_notebook_retravaill!I1080&gt;Result_notebook_retravaill!G1080,0,IF(Result_notebook_retravaill!I1080+Result_notebook_retravaill!J1080&gt;Result_notebook_retravaill!G1080,0,Result_notebook_retravaill!M1080))</f>
        <v>0</v>
      </c>
      <c r="M1080" s="31">
        <f t="shared" si="16"/>
        <v>0</v>
      </c>
    </row>
    <row r="1081" spans="1:13" x14ac:dyDescent="0.35">
      <c r="A1081">
        <f>Result_notebook_retravaill!A1081</f>
        <v>2036</v>
      </c>
      <c r="B1081" t="str">
        <f>Result_notebook_retravaill!B1081</f>
        <v>Lithium</v>
      </c>
      <c r="C1081" t="str">
        <f>Result_notebook_retravaill!C1081</f>
        <v>Global Net-zero</v>
      </c>
      <c r="D1081" t="str">
        <f>Result_notebook_retravaill!D1081</f>
        <v>Production potential</v>
      </c>
      <c r="E1081" t="str">
        <f>Result_notebook_retravaill!E1081</f>
        <v>100% CAN</v>
      </c>
      <c r="F1081" t="str">
        <f>Result_notebook_retravaill!F1081</f>
        <v>Integrated</v>
      </c>
      <c r="G1081">
        <f>Result_notebook_retravaill!G1081</f>
        <v>64946.06057918453</v>
      </c>
      <c r="H1081" s="32">
        <f>IF(Result_notebook_retravaill!I1081&gt;Result_notebook_retravaill!G1081,Result_notebook_retravaill!I1081/Result_notebook_retravaill!N1081,Result_notebook_retravaill!H1081)</f>
        <v>172949.93094217411</v>
      </c>
      <c r="I1081" s="32">
        <f>Result_notebook_retravaill!K1081</f>
        <v>0</v>
      </c>
      <c r="J1081" s="32">
        <f>MIN(G1081,Result_notebook_retravaill!I1081)</f>
        <v>64946.06057918453</v>
      </c>
      <c r="K1081" s="32">
        <f>IF(Result_notebook_retravaill!I1081&gt;Result_notebook_retravaill!G1081,0,IF(Result_notebook_retravaill!I1081+Result_notebook_retravaill!J1081&gt;Result_notebook_retravaill!G1081,Result_notebook_retravaill!G1081-Result_notebook_retravaill!I1081,Result_notebook_retravaill!J1081))</f>
        <v>0</v>
      </c>
      <c r="L1081" s="32">
        <f>IF(Result_notebook_retravaill!I1081&gt;Result_notebook_retravaill!G1081,0,IF(Result_notebook_retravaill!I1081+Result_notebook_retravaill!J1081&gt;Result_notebook_retravaill!G1081,0,Result_notebook_retravaill!M1081))</f>
        <v>0</v>
      </c>
      <c r="M1081" s="31">
        <f t="shared" si="16"/>
        <v>0</v>
      </c>
    </row>
    <row r="1082" spans="1:13" x14ac:dyDescent="0.35">
      <c r="A1082">
        <f>Result_notebook_retravaill!A1082</f>
        <v>2037</v>
      </c>
      <c r="B1082" t="str">
        <f>Result_notebook_retravaill!B1082</f>
        <v>Cobalt</v>
      </c>
      <c r="C1082" t="str">
        <f>Result_notebook_retravaill!C1082</f>
        <v>Canada Net-zero</v>
      </c>
      <c r="D1082" t="str">
        <f>Result_notebook_retravaill!D1082</f>
        <v>Existing production</v>
      </c>
      <c r="E1082" t="str">
        <f>Result_notebook_retravaill!E1082</f>
        <v>Current shares</v>
      </c>
      <c r="F1082" t="str">
        <f>Result_notebook_retravaill!F1082</f>
        <v>NIMBY</v>
      </c>
      <c r="G1082">
        <f>Result_notebook_retravaill!G1082</f>
        <v>195842.1780346538</v>
      </c>
      <c r="H1082" s="32">
        <f>IF(Result_notebook_retravaill!I1082&gt;Result_notebook_retravaill!G1082,Result_notebook_retravaill!I1082/Result_notebook_retravaill!N1082,Result_notebook_retravaill!H1082)</f>
        <v>0</v>
      </c>
      <c r="I1082" s="32">
        <f>Result_notebook_retravaill!K1082</f>
        <v>445095.8591696677</v>
      </c>
      <c r="J1082" s="32">
        <f>MIN(G1082,Result_notebook_retravaill!I1082)</f>
        <v>0</v>
      </c>
      <c r="K1082" s="32">
        <f>IF(Result_notebook_retravaill!I1082&gt;Result_notebook_retravaill!G1082,0,IF(Result_notebook_retravaill!I1082+Result_notebook_retravaill!J1082&gt;Result_notebook_retravaill!G1082,Result_notebook_retravaill!G1082-Result_notebook_retravaill!I1082,Result_notebook_retravaill!J1082))</f>
        <v>0</v>
      </c>
      <c r="L1082" s="32">
        <f>IF(Result_notebook_retravaill!I1082&gt;Result_notebook_retravaill!G1082,0,IF(Result_notebook_retravaill!I1082+Result_notebook_retravaill!J1082&gt;Result_notebook_retravaill!G1082,0,Result_notebook_retravaill!M1082))</f>
        <v>195842.1780346538</v>
      </c>
      <c r="M1082" s="31">
        <f t="shared" si="16"/>
        <v>0</v>
      </c>
    </row>
    <row r="1083" spans="1:13" x14ac:dyDescent="0.35">
      <c r="A1083">
        <f>Result_notebook_retravaill!A1083</f>
        <v>2037</v>
      </c>
      <c r="B1083" t="str">
        <f>Result_notebook_retravaill!B1083</f>
        <v>Cobalt</v>
      </c>
      <c r="C1083" t="str">
        <f>Result_notebook_retravaill!C1083</f>
        <v>Canada Net-zero</v>
      </c>
      <c r="D1083" t="str">
        <f>Result_notebook_retravaill!D1083</f>
        <v>Existing production</v>
      </c>
      <c r="E1083" t="str">
        <f>Result_notebook_retravaill!E1083</f>
        <v>Current shares</v>
      </c>
      <c r="F1083" t="str">
        <f>Result_notebook_retravaill!F1083</f>
        <v>Status Quo</v>
      </c>
      <c r="G1083">
        <f>Result_notebook_retravaill!G1083</f>
        <v>195842.1780346538</v>
      </c>
      <c r="H1083" s="32">
        <f>IF(Result_notebook_retravaill!I1083&gt;Result_notebook_retravaill!G1083,Result_notebook_retravaill!I1083/Result_notebook_retravaill!N1083,Result_notebook_retravaill!H1083)</f>
        <v>947</v>
      </c>
      <c r="I1083" s="32">
        <f>Result_notebook_retravaill!K1083</f>
        <v>444148.8591696677</v>
      </c>
      <c r="J1083" s="32">
        <f>MIN(G1083,Result_notebook_retravaill!I1083)</f>
        <v>401.70019146980081</v>
      </c>
      <c r="K1083" s="32">
        <f>IF(Result_notebook_retravaill!I1083&gt;Result_notebook_retravaill!G1083,0,IF(Result_notebook_retravaill!I1083+Result_notebook_retravaill!J1083&gt;Result_notebook_retravaill!G1083,Result_notebook_retravaill!G1083-Result_notebook_retravaill!I1083,Result_notebook_retravaill!J1083))</f>
        <v>14.361006235767377</v>
      </c>
      <c r="L1083" s="32">
        <f>IF(Result_notebook_retravaill!I1083&gt;Result_notebook_retravaill!G1083,0,IF(Result_notebook_retravaill!I1083+Result_notebook_retravaill!J1083&gt;Result_notebook_retravaill!G1083,0,Result_notebook_retravaill!M1083))</f>
        <v>195426.11683694823</v>
      </c>
      <c r="M1083" s="31">
        <f t="shared" si="16"/>
        <v>0</v>
      </c>
    </row>
    <row r="1084" spans="1:13" x14ac:dyDescent="0.35">
      <c r="A1084">
        <f>Result_notebook_retravaill!A1084</f>
        <v>2037</v>
      </c>
      <c r="B1084" t="str">
        <f>Result_notebook_retravaill!B1084</f>
        <v>Cobalt</v>
      </c>
      <c r="C1084" t="str">
        <f>Result_notebook_retravaill!C1084</f>
        <v>Canada Net-zero</v>
      </c>
      <c r="D1084" t="str">
        <f>Result_notebook_retravaill!D1084</f>
        <v>Production potential</v>
      </c>
      <c r="E1084" t="str">
        <f>Result_notebook_retravaill!E1084</f>
        <v>Current shares</v>
      </c>
      <c r="F1084" t="str">
        <f>Result_notebook_retravaill!F1084</f>
        <v>Expansion Extractive</v>
      </c>
      <c r="G1084">
        <f>Result_notebook_retravaill!G1084</f>
        <v>195842.1780346538</v>
      </c>
      <c r="H1084" s="32">
        <f>IF(Result_notebook_retravaill!I1084&gt;Result_notebook_retravaill!G1084,Result_notebook_retravaill!I1084/Result_notebook_retravaill!N1084,Result_notebook_retravaill!H1084)</f>
        <v>20461.41490497061</v>
      </c>
      <c r="I1084" s="32">
        <f>Result_notebook_retravaill!K1084</f>
        <v>424634.44426469709</v>
      </c>
      <c r="J1084" s="32">
        <f>MIN(G1084,Result_notebook_retravaill!I1084)</f>
        <v>8679.3603855012989</v>
      </c>
      <c r="K1084" s="32">
        <f>IF(Result_notebook_retravaill!I1084&gt;Result_notebook_retravaill!G1084,0,IF(Result_notebook_retravaill!I1084+Result_notebook_retravaill!J1084&gt;Result_notebook_retravaill!G1084,Result_notebook_retravaill!G1084-Result_notebook_retravaill!I1084,Result_notebook_retravaill!J1084))</f>
        <v>310.29198209388232</v>
      </c>
      <c r="L1084" s="32">
        <f>IF(Result_notebook_retravaill!I1084&gt;Result_notebook_retravaill!G1084,0,IF(Result_notebook_retravaill!I1084+Result_notebook_retravaill!J1084&gt;Result_notebook_retravaill!G1084,0,Result_notebook_retravaill!M1084))</f>
        <v>186852.52566705862</v>
      </c>
      <c r="M1084" s="31">
        <f t="shared" si="16"/>
        <v>0</v>
      </c>
    </row>
    <row r="1085" spans="1:13" x14ac:dyDescent="0.35">
      <c r="A1085">
        <f>Result_notebook_retravaill!A1085</f>
        <v>2037</v>
      </c>
      <c r="B1085" t="str">
        <f>Result_notebook_retravaill!B1085</f>
        <v>Cobalt</v>
      </c>
      <c r="C1085" t="str">
        <f>Result_notebook_retravaill!C1085</f>
        <v>Canada Net-zero</v>
      </c>
      <c r="D1085" t="str">
        <f>Result_notebook_retravaill!D1085</f>
        <v>Production potential</v>
      </c>
      <c r="E1085" t="str">
        <f>Result_notebook_retravaill!E1085</f>
        <v>Current shares</v>
      </c>
      <c r="F1085" t="str">
        <f>Result_notebook_retravaill!F1085</f>
        <v>Expansion Extractive+Circularity</v>
      </c>
      <c r="G1085">
        <f>Result_notebook_retravaill!G1085</f>
        <v>195842.1780346538</v>
      </c>
      <c r="H1085" s="32">
        <f>IF(Result_notebook_retravaill!I1085&gt;Result_notebook_retravaill!G1085,Result_notebook_retravaill!I1085/Result_notebook_retravaill!N1085,Result_notebook_retravaill!H1085)</f>
        <v>20461.41490497061</v>
      </c>
      <c r="I1085" s="32">
        <f>Result_notebook_retravaill!K1085</f>
        <v>424634.44426469709</v>
      </c>
      <c r="J1085" s="32">
        <f>MIN(G1085,Result_notebook_retravaill!I1085)</f>
        <v>8679.3603855012989</v>
      </c>
      <c r="K1085" s="32">
        <f>IF(Result_notebook_retravaill!I1085&gt;Result_notebook_retravaill!G1085,0,IF(Result_notebook_retravaill!I1085+Result_notebook_retravaill!J1085&gt;Result_notebook_retravaill!G1085,Result_notebook_retravaill!G1085-Result_notebook_retravaill!I1085,Result_notebook_retravaill!J1085))</f>
        <v>310.29198209388232</v>
      </c>
      <c r="L1085" s="32">
        <f>IF(Result_notebook_retravaill!I1085&gt;Result_notebook_retravaill!G1085,0,IF(Result_notebook_retravaill!I1085+Result_notebook_retravaill!J1085&gt;Result_notebook_retravaill!G1085,0,Result_notebook_retravaill!M1085))</f>
        <v>186852.52566705862</v>
      </c>
      <c r="M1085" s="31">
        <f t="shared" si="16"/>
        <v>0</v>
      </c>
    </row>
    <row r="1086" spans="1:13" x14ac:dyDescent="0.35">
      <c r="A1086">
        <f>Result_notebook_retravaill!A1086</f>
        <v>2037</v>
      </c>
      <c r="B1086" t="str">
        <f>Result_notebook_retravaill!B1086</f>
        <v>Cobalt</v>
      </c>
      <c r="C1086" t="str">
        <f>Result_notebook_retravaill!C1086</f>
        <v>Canada Net-zero</v>
      </c>
      <c r="D1086" t="str">
        <f>Result_notebook_retravaill!D1086</f>
        <v>Production potential</v>
      </c>
      <c r="E1086" t="str">
        <f>Result_notebook_retravaill!E1086</f>
        <v>100% CAN</v>
      </c>
      <c r="F1086" t="str">
        <f>Result_notebook_retravaill!F1086</f>
        <v>Integrated</v>
      </c>
      <c r="G1086">
        <f>Result_notebook_retravaill!G1086</f>
        <v>195842.1780346538</v>
      </c>
      <c r="H1086" s="32">
        <f>IF(Result_notebook_retravaill!I1086&gt;Result_notebook_retravaill!G1086,Result_notebook_retravaill!I1086/Result_notebook_retravaill!N1086,Result_notebook_retravaill!H1086)</f>
        <v>20461.41490497061</v>
      </c>
      <c r="I1086" s="32">
        <f>Result_notebook_retravaill!K1086</f>
        <v>424634.44426469709</v>
      </c>
      <c r="J1086" s="32">
        <f>MIN(G1086,Result_notebook_retravaill!I1086)</f>
        <v>8989.6523675951903</v>
      </c>
      <c r="K1086" s="32">
        <f>IF(Result_notebook_retravaill!I1086&gt;Result_notebook_retravaill!G1086,0,IF(Result_notebook_retravaill!I1086+Result_notebook_retravaill!J1086&gt;Result_notebook_retravaill!G1086,Result_notebook_retravaill!G1086-Result_notebook_retravaill!I1086,Result_notebook_retravaill!J1086))</f>
        <v>0</v>
      </c>
      <c r="L1086" s="32">
        <f>IF(Result_notebook_retravaill!I1086&gt;Result_notebook_retravaill!G1086,0,IF(Result_notebook_retravaill!I1086+Result_notebook_retravaill!J1086&gt;Result_notebook_retravaill!G1086,0,Result_notebook_retravaill!M1086))</f>
        <v>186852.52566705859</v>
      </c>
      <c r="M1086" s="31">
        <f t="shared" si="16"/>
        <v>0</v>
      </c>
    </row>
    <row r="1087" spans="1:13" x14ac:dyDescent="0.35">
      <c r="A1087">
        <f>Result_notebook_retravaill!A1087</f>
        <v>2037</v>
      </c>
      <c r="B1087" t="str">
        <f>Result_notebook_retravaill!B1087</f>
        <v>Cobalt</v>
      </c>
      <c r="C1087" t="str">
        <f>Result_notebook_retravaill!C1087</f>
        <v>Current Measures</v>
      </c>
      <c r="D1087" t="str">
        <f>Result_notebook_retravaill!D1087</f>
        <v>Existing production</v>
      </c>
      <c r="E1087" t="str">
        <f>Result_notebook_retravaill!E1087</f>
        <v>Current shares</v>
      </c>
      <c r="F1087" t="str">
        <f>Result_notebook_retravaill!F1087</f>
        <v>NIMBY</v>
      </c>
      <c r="G1087">
        <f>Result_notebook_retravaill!G1087</f>
        <v>73598.891657163113</v>
      </c>
      <c r="H1087" s="32">
        <f>IF(Result_notebook_retravaill!I1087&gt;Result_notebook_retravaill!G1087,Result_notebook_retravaill!I1087/Result_notebook_retravaill!N1087,Result_notebook_retravaill!H1087)</f>
        <v>0</v>
      </c>
      <c r="I1087" s="32">
        <f>Result_notebook_retravaill!K1087</f>
        <v>167270.20831173431</v>
      </c>
      <c r="J1087" s="32">
        <f>MIN(G1087,Result_notebook_retravaill!I1087)</f>
        <v>0</v>
      </c>
      <c r="K1087" s="32">
        <f>IF(Result_notebook_retravaill!I1087&gt;Result_notebook_retravaill!G1087,0,IF(Result_notebook_retravaill!I1087+Result_notebook_retravaill!J1087&gt;Result_notebook_retravaill!G1087,Result_notebook_retravaill!G1087-Result_notebook_retravaill!I1087,Result_notebook_retravaill!J1087))</f>
        <v>0</v>
      </c>
      <c r="L1087" s="32">
        <f>IF(Result_notebook_retravaill!I1087&gt;Result_notebook_retravaill!G1087,0,IF(Result_notebook_retravaill!I1087+Result_notebook_retravaill!J1087&gt;Result_notebook_retravaill!G1087,0,Result_notebook_retravaill!M1087))</f>
        <v>73598.891657163113</v>
      </c>
      <c r="M1087" s="31">
        <f t="shared" si="16"/>
        <v>0</v>
      </c>
    </row>
    <row r="1088" spans="1:13" x14ac:dyDescent="0.35">
      <c r="A1088">
        <f>Result_notebook_retravaill!A1088</f>
        <v>2037</v>
      </c>
      <c r="B1088" t="str">
        <f>Result_notebook_retravaill!B1088</f>
        <v>Cobalt</v>
      </c>
      <c r="C1088" t="str">
        <f>Result_notebook_retravaill!C1088</f>
        <v>Current Measures</v>
      </c>
      <c r="D1088" t="str">
        <f>Result_notebook_retravaill!D1088</f>
        <v>Existing production</v>
      </c>
      <c r="E1088" t="str">
        <f>Result_notebook_retravaill!E1088</f>
        <v>Current shares</v>
      </c>
      <c r="F1088" t="str">
        <f>Result_notebook_retravaill!F1088</f>
        <v>Status Quo</v>
      </c>
      <c r="G1088">
        <f>Result_notebook_retravaill!G1088</f>
        <v>73598.891657163113</v>
      </c>
      <c r="H1088" s="32">
        <f>IF(Result_notebook_retravaill!I1088&gt;Result_notebook_retravaill!G1088,Result_notebook_retravaill!I1088/Result_notebook_retravaill!N1088,Result_notebook_retravaill!H1088)</f>
        <v>947</v>
      </c>
      <c r="I1088" s="32">
        <f>Result_notebook_retravaill!K1088</f>
        <v>166323.20831173431</v>
      </c>
      <c r="J1088" s="32">
        <f>MIN(G1088,Result_notebook_retravaill!I1088)</f>
        <v>401.70019146980081</v>
      </c>
      <c r="K1088" s="32">
        <f>IF(Result_notebook_retravaill!I1088&gt;Result_notebook_retravaill!G1088,0,IF(Result_notebook_retravaill!I1088+Result_notebook_retravaill!J1088&gt;Result_notebook_retravaill!G1088,Result_notebook_retravaill!G1088-Result_notebook_retravaill!I1088,Result_notebook_retravaill!J1088))</f>
        <v>14.361006235767377</v>
      </c>
      <c r="L1088" s="32">
        <f>IF(Result_notebook_retravaill!I1088&gt;Result_notebook_retravaill!G1088,0,IF(Result_notebook_retravaill!I1088+Result_notebook_retravaill!J1088&gt;Result_notebook_retravaill!G1088,0,Result_notebook_retravaill!M1088))</f>
        <v>73182.830459457546</v>
      </c>
      <c r="M1088" s="31">
        <f t="shared" si="16"/>
        <v>0</v>
      </c>
    </row>
    <row r="1089" spans="1:13" x14ac:dyDescent="0.35">
      <c r="A1089">
        <f>Result_notebook_retravaill!A1089</f>
        <v>2037</v>
      </c>
      <c r="B1089" t="str">
        <f>Result_notebook_retravaill!B1089</f>
        <v>Cobalt</v>
      </c>
      <c r="C1089" t="str">
        <f>Result_notebook_retravaill!C1089</f>
        <v>Current Measures</v>
      </c>
      <c r="D1089" t="str">
        <f>Result_notebook_retravaill!D1089</f>
        <v>Production potential</v>
      </c>
      <c r="E1089" t="str">
        <f>Result_notebook_retravaill!E1089</f>
        <v>Current shares</v>
      </c>
      <c r="F1089" t="str">
        <f>Result_notebook_retravaill!F1089</f>
        <v>Expansion Extractive</v>
      </c>
      <c r="G1089">
        <f>Result_notebook_retravaill!G1089</f>
        <v>73598.891657163113</v>
      </c>
      <c r="H1089" s="32">
        <f>IF(Result_notebook_retravaill!I1089&gt;Result_notebook_retravaill!G1089,Result_notebook_retravaill!I1089/Result_notebook_retravaill!N1089,Result_notebook_retravaill!H1089)</f>
        <v>20461.41490497061</v>
      </c>
      <c r="I1089" s="32">
        <f>Result_notebook_retravaill!K1089</f>
        <v>146808.7934067637</v>
      </c>
      <c r="J1089" s="32">
        <f>MIN(G1089,Result_notebook_retravaill!I1089)</f>
        <v>8679.3603855012989</v>
      </c>
      <c r="K1089" s="32">
        <f>IF(Result_notebook_retravaill!I1089&gt;Result_notebook_retravaill!G1089,0,IF(Result_notebook_retravaill!I1089+Result_notebook_retravaill!J1089&gt;Result_notebook_retravaill!G1089,Result_notebook_retravaill!G1089-Result_notebook_retravaill!I1089,Result_notebook_retravaill!J1089))</f>
        <v>310.29198209388232</v>
      </c>
      <c r="L1089" s="32">
        <f>IF(Result_notebook_retravaill!I1089&gt;Result_notebook_retravaill!G1089,0,IF(Result_notebook_retravaill!I1089+Result_notebook_retravaill!J1089&gt;Result_notebook_retravaill!G1089,0,Result_notebook_retravaill!M1089))</f>
        <v>64609.239289567922</v>
      </c>
      <c r="M1089" s="31">
        <f t="shared" si="16"/>
        <v>0</v>
      </c>
    </row>
    <row r="1090" spans="1:13" x14ac:dyDescent="0.35">
      <c r="A1090">
        <f>Result_notebook_retravaill!A1090</f>
        <v>2037</v>
      </c>
      <c r="B1090" t="str">
        <f>Result_notebook_retravaill!B1090</f>
        <v>Cobalt</v>
      </c>
      <c r="C1090" t="str">
        <f>Result_notebook_retravaill!C1090</f>
        <v>Current Measures</v>
      </c>
      <c r="D1090" t="str">
        <f>Result_notebook_retravaill!D1090</f>
        <v>Production potential</v>
      </c>
      <c r="E1090" t="str">
        <f>Result_notebook_retravaill!E1090</f>
        <v>Current shares</v>
      </c>
      <c r="F1090" t="str">
        <f>Result_notebook_retravaill!F1090</f>
        <v>Expansion Extractive+Circularity</v>
      </c>
      <c r="G1090">
        <f>Result_notebook_retravaill!G1090</f>
        <v>73598.891657163113</v>
      </c>
      <c r="H1090" s="32">
        <f>IF(Result_notebook_retravaill!I1090&gt;Result_notebook_retravaill!G1090,Result_notebook_retravaill!I1090/Result_notebook_retravaill!N1090,Result_notebook_retravaill!H1090)</f>
        <v>20461.41490497061</v>
      </c>
      <c r="I1090" s="32">
        <f>Result_notebook_retravaill!K1090</f>
        <v>146808.7934067637</v>
      </c>
      <c r="J1090" s="32">
        <f>MIN(G1090,Result_notebook_retravaill!I1090)</f>
        <v>8679.3603855012989</v>
      </c>
      <c r="K1090" s="32">
        <f>IF(Result_notebook_retravaill!I1090&gt;Result_notebook_retravaill!G1090,0,IF(Result_notebook_retravaill!I1090+Result_notebook_retravaill!J1090&gt;Result_notebook_retravaill!G1090,Result_notebook_retravaill!G1090-Result_notebook_retravaill!I1090,Result_notebook_retravaill!J1090))</f>
        <v>310.29198209388232</v>
      </c>
      <c r="L1090" s="32">
        <f>IF(Result_notebook_retravaill!I1090&gt;Result_notebook_retravaill!G1090,0,IF(Result_notebook_retravaill!I1090+Result_notebook_retravaill!J1090&gt;Result_notebook_retravaill!G1090,0,Result_notebook_retravaill!M1090))</f>
        <v>64609.239289567922</v>
      </c>
      <c r="M1090" s="31">
        <f t="shared" si="16"/>
        <v>0</v>
      </c>
    </row>
    <row r="1091" spans="1:13" x14ac:dyDescent="0.35">
      <c r="A1091">
        <f>Result_notebook_retravaill!A1091</f>
        <v>2037</v>
      </c>
      <c r="B1091" t="str">
        <f>Result_notebook_retravaill!B1091</f>
        <v>Cobalt</v>
      </c>
      <c r="C1091" t="str">
        <f>Result_notebook_retravaill!C1091</f>
        <v>Current Measures</v>
      </c>
      <c r="D1091" t="str">
        <f>Result_notebook_retravaill!D1091</f>
        <v>Production potential</v>
      </c>
      <c r="E1091" t="str">
        <f>Result_notebook_retravaill!E1091</f>
        <v>100% CAN</v>
      </c>
      <c r="F1091" t="str">
        <f>Result_notebook_retravaill!F1091</f>
        <v>Integrated</v>
      </c>
      <c r="G1091">
        <f>Result_notebook_retravaill!G1091</f>
        <v>73598.891657163113</v>
      </c>
      <c r="H1091" s="32">
        <f>IF(Result_notebook_retravaill!I1091&gt;Result_notebook_retravaill!G1091,Result_notebook_retravaill!I1091/Result_notebook_retravaill!N1091,Result_notebook_retravaill!H1091)</f>
        <v>20461.41490497061</v>
      </c>
      <c r="I1091" s="32">
        <f>Result_notebook_retravaill!K1091</f>
        <v>146808.7934067637</v>
      </c>
      <c r="J1091" s="32">
        <f>MIN(G1091,Result_notebook_retravaill!I1091)</f>
        <v>8989.6523675951903</v>
      </c>
      <c r="K1091" s="32">
        <f>IF(Result_notebook_retravaill!I1091&gt;Result_notebook_retravaill!G1091,0,IF(Result_notebook_retravaill!I1091+Result_notebook_retravaill!J1091&gt;Result_notebook_retravaill!G1091,Result_notebook_retravaill!G1091-Result_notebook_retravaill!I1091,Result_notebook_retravaill!J1091))</f>
        <v>0</v>
      </c>
      <c r="L1091" s="32">
        <f>IF(Result_notebook_retravaill!I1091&gt;Result_notebook_retravaill!G1091,0,IF(Result_notebook_retravaill!I1091+Result_notebook_retravaill!J1091&gt;Result_notebook_retravaill!G1091,0,Result_notebook_retravaill!M1091))</f>
        <v>64609.239289567922</v>
      </c>
      <c r="M1091" s="31">
        <f t="shared" ref="M1091:M1154" si="17">SUM(J1091:L1091)-G1091</f>
        <v>0</v>
      </c>
    </row>
    <row r="1092" spans="1:13" x14ac:dyDescent="0.35">
      <c r="A1092">
        <f>Result_notebook_retravaill!A1092</f>
        <v>2037</v>
      </c>
      <c r="B1092" t="str">
        <f>Result_notebook_retravaill!B1092</f>
        <v>Cobalt</v>
      </c>
      <c r="C1092" t="str">
        <f>Result_notebook_retravaill!C1092</f>
        <v>Global Net-zero</v>
      </c>
      <c r="D1092" t="str">
        <f>Result_notebook_retravaill!D1092</f>
        <v>Existing production</v>
      </c>
      <c r="E1092" t="str">
        <f>Result_notebook_retravaill!E1092</f>
        <v>Current shares</v>
      </c>
      <c r="F1092" t="str">
        <f>Result_notebook_retravaill!F1092</f>
        <v>NIMBY</v>
      </c>
      <c r="G1092">
        <f>Result_notebook_retravaill!G1092</f>
        <v>186507.43822649619</v>
      </c>
      <c r="H1092" s="32">
        <f>IF(Result_notebook_retravaill!I1092&gt;Result_notebook_retravaill!G1092,Result_notebook_retravaill!I1092/Result_notebook_retravaill!N1092,Result_notebook_retravaill!H1092)</f>
        <v>0</v>
      </c>
      <c r="I1092" s="32">
        <f>Result_notebook_retravaill!K1092</f>
        <v>423880.541423855</v>
      </c>
      <c r="J1092" s="32">
        <f>MIN(G1092,Result_notebook_retravaill!I1092)</f>
        <v>0</v>
      </c>
      <c r="K1092" s="32">
        <f>IF(Result_notebook_retravaill!I1092&gt;Result_notebook_retravaill!G1092,0,IF(Result_notebook_retravaill!I1092+Result_notebook_retravaill!J1092&gt;Result_notebook_retravaill!G1092,Result_notebook_retravaill!G1092-Result_notebook_retravaill!I1092,Result_notebook_retravaill!J1092))</f>
        <v>0</v>
      </c>
      <c r="L1092" s="32">
        <f>IF(Result_notebook_retravaill!I1092&gt;Result_notebook_retravaill!G1092,0,IF(Result_notebook_retravaill!I1092+Result_notebook_retravaill!J1092&gt;Result_notebook_retravaill!G1092,0,Result_notebook_retravaill!M1092))</f>
        <v>186507.43822649619</v>
      </c>
      <c r="M1092" s="31">
        <f t="shared" si="17"/>
        <v>0</v>
      </c>
    </row>
    <row r="1093" spans="1:13" x14ac:dyDescent="0.35">
      <c r="A1093">
        <f>Result_notebook_retravaill!A1093</f>
        <v>2037</v>
      </c>
      <c r="B1093" t="str">
        <f>Result_notebook_retravaill!B1093</f>
        <v>Cobalt</v>
      </c>
      <c r="C1093" t="str">
        <f>Result_notebook_retravaill!C1093</f>
        <v>Global Net-zero</v>
      </c>
      <c r="D1093" t="str">
        <f>Result_notebook_retravaill!D1093</f>
        <v>Existing production</v>
      </c>
      <c r="E1093" t="str">
        <f>Result_notebook_retravaill!E1093</f>
        <v>Current shares</v>
      </c>
      <c r="F1093" t="str">
        <f>Result_notebook_retravaill!F1093</f>
        <v>Status Quo</v>
      </c>
      <c r="G1093">
        <f>Result_notebook_retravaill!G1093</f>
        <v>186507.43822649619</v>
      </c>
      <c r="H1093" s="32">
        <f>IF(Result_notebook_retravaill!I1093&gt;Result_notebook_retravaill!G1093,Result_notebook_retravaill!I1093/Result_notebook_retravaill!N1093,Result_notebook_retravaill!H1093)</f>
        <v>947</v>
      </c>
      <c r="I1093" s="32">
        <f>Result_notebook_retravaill!K1093</f>
        <v>422933.541423855</v>
      </c>
      <c r="J1093" s="32">
        <f>MIN(G1093,Result_notebook_retravaill!I1093)</f>
        <v>401.70019146980081</v>
      </c>
      <c r="K1093" s="32">
        <f>IF(Result_notebook_retravaill!I1093&gt;Result_notebook_retravaill!G1093,0,IF(Result_notebook_retravaill!I1093+Result_notebook_retravaill!J1093&gt;Result_notebook_retravaill!G1093,Result_notebook_retravaill!G1093-Result_notebook_retravaill!I1093,Result_notebook_retravaill!J1093))</f>
        <v>14.361006235767377</v>
      </c>
      <c r="L1093" s="32">
        <f>IF(Result_notebook_retravaill!I1093&gt;Result_notebook_retravaill!G1093,0,IF(Result_notebook_retravaill!I1093+Result_notebook_retravaill!J1093&gt;Result_notebook_retravaill!G1093,0,Result_notebook_retravaill!M1093))</f>
        <v>186091.37702879065</v>
      </c>
      <c r="M1093" s="31">
        <f t="shared" si="17"/>
        <v>0</v>
      </c>
    </row>
    <row r="1094" spans="1:13" x14ac:dyDescent="0.35">
      <c r="A1094">
        <f>Result_notebook_retravaill!A1094</f>
        <v>2037</v>
      </c>
      <c r="B1094" t="str">
        <f>Result_notebook_retravaill!B1094</f>
        <v>Cobalt</v>
      </c>
      <c r="C1094" t="str">
        <f>Result_notebook_retravaill!C1094</f>
        <v>Global Net-zero</v>
      </c>
      <c r="D1094" t="str">
        <f>Result_notebook_retravaill!D1094</f>
        <v>Production potential</v>
      </c>
      <c r="E1094" t="str">
        <f>Result_notebook_retravaill!E1094</f>
        <v>Current shares</v>
      </c>
      <c r="F1094" t="str">
        <f>Result_notebook_retravaill!F1094</f>
        <v>Expansion Extractive</v>
      </c>
      <c r="G1094">
        <f>Result_notebook_retravaill!G1094</f>
        <v>186507.43822649619</v>
      </c>
      <c r="H1094" s="32">
        <f>IF(Result_notebook_retravaill!I1094&gt;Result_notebook_retravaill!G1094,Result_notebook_retravaill!I1094/Result_notebook_retravaill!N1094,Result_notebook_retravaill!H1094)</f>
        <v>20461.41490497061</v>
      </c>
      <c r="I1094" s="32">
        <f>Result_notebook_retravaill!K1094</f>
        <v>403419.12651888438</v>
      </c>
      <c r="J1094" s="32">
        <f>MIN(G1094,Result_notebook_retravaill!I1094)</f>
        <v>8679.3603855012989</v>
      </c>
      <c r="K1094" s="32">
        <f>IF(Result_notebook_retravaill!I1094&gt;Result_notebook_retravaill!G1094,0,IF(Result_notebook_retravaill!I1094+Result_notebook_retravaill!J1094&gt;Result_notebook_retravaill!G1094,Result_notebook_retravaill!G1094-Result_notebook_retravaill!I1094,Result_notebook_retravaill!J1094))</f>
        <v>310.29198209388232</v>
      </c>
      <c r="L1094" s="32">
        <f>IF(Result_notebook_retravaill!I1094&gt;Result_notebook_retravaill!G1094,0,IF(Result_notebook_retravaill!I1094+Result_notebook_retravaill!J1094&gt;Result_notebook_retravaill!G1094,0,Result_notebook_retravaill!M1094))</f>
        <v>177517.78585890101</v>
      </c>
      <c r="M1094" s="31">
        <f t="shared" si="17"/>
        <v>0</v>
      </c>
    </row>
    <row r="1095" spans="1:13" x14ac:dyDescent="0.35">
      <c r="A1095">
        <f>Result_notebook_retravaill!A1095</f>
        <v>2037</v>
      </c>
      <c r="B1095" t="str">
        <f>Result_notebook_retravaill!B1095</f>
        <v>Cobalt</v>
      </c>
      <c r="C1095" t="str">
        <f>Result_notebook_retravaill!C1095</f>
        <v>Global Net-zero</v>
      </c>
      <c r="D1095" t="str">
        <f>Result_notebook_retravaill!D1095</f>
        <v>Production potential</v>
      </c>
      <c r="E1095" t="str">
        <f>Result_notebook_retravaill!E1095</f>
        <v>Current shares</v>
      </c>
      <c r="F1095" t="str">
        <f>Result_notebook_retravaill!F1095</f>
        <v>Expansion Extractive+Circularity</v>
      </c>
      <c r="G1095">
        <f>Result_notebook_retravaill!G1095</f>
        <v>186507.43822649619</v>
      </c>
      <c r="H1095" s="32">
        <f>IF(Result_notebook_retravaill!I1095&gt;Result_notebook_retravaill!G1095,Result_notebook_retravaill!I1095/Result_notebook_retravaill!N1095,Result_notebook_retravaill!H1095)</f>
        <v>20461.41490497061</v>
      </c>
      <c r="I1095" s="32">
        <f>Result_notebook_retravaill!K1095</f>
        <v>403419.12651888438</v>
      </c>
      <c r="J1095" s="32">
        <f>MIN(G1095,Result_notebook_retravaill!I1095)</f>
        <v>8679.3603855012989</v>
      </c>
      <c r="K1095" s="32">
        <f>IF(Result_notebook_retravaill!I1095&gt;Result_notebook_retravaill!G1095,0,IF(Result_notebook_retravaill!I1095+Result_notebook_retravaill!J1095&gt;Result_notebook_retravaill!G1095,Result_notebook_retravaill!G1095-Result_notebook_retravaill!I1095,Result_notebook_retravaill!J1095))</f>
        <v>310.29198209388232</v>
      </c>
      <c r="L1095" s="32">
        <f>IF(Result_notebook_retravaill!I1095&gt;Result_notebook_retravaill!G1095,0,IF(Result_notebook_retravaill!I1095+Result_notebook_retravaill!J1095&gt;Result_notebook_retravaill!G1095,0,Result_notebook_retravaill!M1095))</f>
        <v>177517.78585890101</v>
      </c>
      <c r="M1095" s="31">
        <f t="shared" si="17"/>
        <v>0</v>
      </c>
    </row>
    <row r="1096" spans="1:13" x14ac:dyDescent="0.35">
      <c r="A1096">
        <f>Result_notebook_retravaill!A1096</f>
        <v>2037</v>
      </c>
      <c r="B1096" t="str">
        <f>Result_notebook_retravaill!B1096</f>
        <v>Cobalt</v>
      </c>
      <c r="C1096" t="str">
        <f>Result_notebook_retravaill!C1096</f>
        <v>Global Net-zero</v>
      </c>
      <c r="D1096" t="str">
        <f>Result_notebook_retravaill!D1096</f>
        <v>Production potential</v>
      </c>
      <c r="E1096" t="str">
        <f>Result_notebook_retravaill!E1096</f>
        <v>100% CAN</v>
      </c>
      <c r="F1096" t="str">
        <f>Result_notebook_retravaill!F1096</f>
        <v>Integrated</v>
      </c>
      <c r="G1096">
        <f>Result_notebook_retravaill!G1096</f>
        <v>186507.43822649619</v>
      </c>
      <c r="H1096" s="32">
        <f>IF(Result_notebook_retravaill!I1096&gt;Result_notebook_retravaill!G1096,Result_notebook_retravaill!I1096/Result_notebook_retravaill!N1096,Result_notebook_retravaill!H1096)</f>
        <v>20461.41490497061</v>
      </c>
      <c r="I1096" s="32">
        <f>Result_notebook_retravaill!K1096</f>
        <v>403419.12651888438</v>
      </c>
      <c r="J1096" s="32">
        <f>MIN(G1096,Result_notebook_retravaill!I1096)</f>
        <v>8989.6523675951903</v>
      </c>
      <c r="K1096" s="32">
        <f>IF(Result_notebook_retravaill!I1096&gt;Result_notebook_retravaill!G1096,0,IF(Result_notebook_retravaill!I1096+Result_notebook_retravaill!J1096&gt;Result_notebook_retravaill!G1096,Result_notebook_retravaill!G1096-Result_notebook_retravaill!I1096,Result_notebook_retravaill!J1096))</f>
        <v>0</v>
      </c>
      <c r="L1096" s="32">
        <f>IF(Result_notebook_retravaill!I1096&gt;Result_notebook_retravaill!G1096,0,IF(Result_notebook_retravaill!I1096+Result_notebook_retravaill!J1096&gt;Result_notebook_retravaill!G1096,0,Result_notebook_retravaill!M1096))</f>
        <v>177517.78585890101</v>
      </c>
      <c r="M1096" s="31">
        <f t="shared" si="17"/>
        <v>0</v>
      </c>
    </row>
    <row r="1097" spans="1:13" x14ac:dyDescent="0.35">
      <c r="A1097">
        <f>Result_notebook_retravaill!A1097</f>
        <v>2037</v>
      </c>
      <c r="B1097" t="str">
        <f>Result_notebook_retravaill!B1097</f>
        <v>Copper</v>
      </c>
      <c r="C1097" t="str">
        <f>Result_notebook_retravaill!C1097</f>
        <v>Canada Net-zero</v>
      </c>
      <c r="D1097" t="str">
        <f>Result_notebook_retravaill!D1097</f>
        <v>Existing production</v>
      </c>
      <c r="E1097" t="str">
        <f>Result_notebook_retravaill!E1097</f>
        <v>Current shares</v>
      </c>
      <c r="F1097" t="str">
        <f>Result_notebook_retravaill!F1097</f>
        <v>NIMBY</v>
      </c>
      <c r="G1097">
        <f>Result_notebook_retravaill!G1097</f>
        <v>1478036.3950053221</v>
      </c>
      <c r="H1097" s="32">
        <f>IF(Result_notebook_retravaill!I1097&gt;Result_notebook_retravaill!G1097,Result_notebook_retravaill!I1097/Result_notebook_retravaill!N1097,Result_notebook_retravaill!H1097)</f>
        <v>0</v>
      </c>
      <c r="I1097" s="32">
        <f>Result_notebook_retravaill!K1097</f>
        <v>1780766.7409702679</v>
      </c>
      <c r="J1097" s="32">
        <f>MIN(G1097,Result_notebook_retravaill!I1097)</f>
        <v>0</v>
      </c>
      <c r="K1097" s="32">
        <f>IF(Result_notebook_retravaill!I1097&gt;Result_notebook_retravaill!G1097,0,IF(Result_notebook_retravaill!I1097+Result_notebook_retravaill!J1097&gt;Result_notebook_retravaill!G1097,Result_notebook_retravaill!G1097-Result_notebook_retravaill!I1097,Result_notebook_retravaill!J1097))</f>
        <v>0</v>
      </c>
      <c r="L1097" s="32">
        <f>IF(Result_notebook_retravaill!I1097&gt;Result_notebook_retravaill!G1097,0,IF(Result_notebook_retravaill!I1097+Result_notebook_retravaill!J1097&gt;Result_notebook_retravaill!G1097,0,Result_notebook_retravaill!M1097))</f>
        <v>1478036.3950053221</v>
      </c>
      <c r="M1097" s="31">
        <f t="shared" si="17"/>
        <v>0</v>
      </c>
    </row>
    <row r="1098" spans="1:13" x14ac:dyDescent="0.35">
      <c r="A1098">
        <f>Result_notebook_retravaill!A1098</f>
        <v>2037</v>
      </c>
      <c r="B1098" t="str">
        <f>Result_notebook_retravaill!B1098</f>
        <v>Copper</v>
      </c>
      <c r="C1098" t="str">
        <f>Result_notebook_retravaill!C1098</f>
        <v>Canada Net-zero</v>
      </c>
      <c r="D1098" t="str">
        <f>Result_notebook_retravaill!D1098</f>
        <v>Existing production</v>
      </c>
      <c r="E1098" t="str">
        <f>Result_notebook_retravaill!E1098</f>
        <v>Current shares</v>
      </c>
      <c r="F1098" t="str">
        <f>Result_notebook_retravaill!F1098</f>
        <v>Status Quo</v>
      </c>
      <c r="G1098">
        <f>Result_notebook_retravaill!G1098</f>
        <v>1478036.3950053221</v>
      </c>
      <c r="H1098" s="32">
        <f>IF(Result_notebook_retravaill!I1098&gt;Result_notebook_retravaill!G1098,Result_notebook_retravaill!I1098/Result_notebook_retravaill!N1098,Result_notebook_retravaill!H1098)</f>
        <v>216675</v>
      </c>
      <c r="I1098" s="32">
        <f>Result_notebook_retravaill!K1098</f>
        <v>1564091.7409702679</v>
      </c>
      <c r="J1098" s="32">
        <f>MIN(G1098,Result_notebook_retravaill!I1098)</f>
        <v>113886.262360209</v>
      </c>
      <c r="K1098" s="32">
        <f>IF(Result_notebook_retravaill!I1098&gt;Result_notebook_retravaill!G1098,0,IF(Result_notebook_retravaill!I1098+Result_notebook_retravaill!J1098&gt;Result_notebook_retravaill!G1098,Result_notebook_retravaill!G1098-Result_notebook_retravaill!I1098,Result_notebook_retravaill!J1098))</f>
        <v>66982.275775384114</v>
      </c>
      <c r="L1098" s="32">
        <f>IF(Result_notebook_retravaill!I1098&gt;Result_notebook_retravaill!G1098,0,IF(Result_notebook_retravaill!I1098+Result_notebook_retravaill!J1098&gt;Result_notebook_retravaill!G1098,0,Result_notebook_retravaill!M1098))</f>
        <v>1297167.8568697288</v>
      </c>
      <c r="M1098" s="31">
        <f t="shared" si="17"/>
        <v>0</v>
      </c>
    </row>
    <row r="1099" spans="1:13" x14ac:dyDescent="0.35">
      <c r="A1099">
        <f>Result_notebook_retravaill!A1099</f>
        <v>2037</v>
      </c>
      <c r="B1099" t="str">
        <f>Result_notebook_retravaill!B1099</f>
        <v>Copper</v>
      </c>
      <c r="C1099" t="str">
        <f>Result_notebook_retravaill!C1099</f>
        <v>Canada Net-zero</v>
      </c>
      <c r="D1099" t="str">
        <f>Result_notebook_retravaill!D1099</f>
        <v>Production potential</v>
      </c>
      <c r="E1099" t="str">
        <f>Result_notebook_retravaill!E1099</f>
        <v>Current shares</v>
      </c>
      <c r="F1099" t="str">
        <f>Result_notebook_retravaill!F1099</f>
        <v>Expansion Extractive</v>
      </c>
      <c r="G1099">
        <f>Result_notebook_retravaill!G1099</f>
        <v>1478036.3950053221</v>
      </c>
      <c r="H1099" s="32">
        <f>IF(Result_notebook_retravaill!I1099&gt;Result_notebook_retravaill!G1099,Result_notebook_retravaill!I1099/Result_notebook_retravaill!N1099,Result_notebook_retravaill!H1099)</f>
        <v>973099.29728133942</v>
      </c>
      <c r="I1099" s="32">
        <f>Result_notebook_retravaill!K1099</f>
        <v>807667.44368892827</v>
      </c>
      <c r="J1099" s="32">
        <f>MIN(G1099,Result_notebook_retravaill!I1099)</f>
        <v>511469.4444339106</v>
      </c>
      <c r="K1099" s="32">
        <f>IF(Result_notebook_retravaill!I1099&gt;Result_notebook_retravaill!G1099,0,IF(Result_notebook_retravaill!I1099+Result_notebook_retravaill!J1099&gt;Result_notebook_retravaill!G1099,Result_notebook_retravaill!G1099-Result_notebook_retravaill!I1099,Result_notebook_retravaill!J1099))</f>
        <v>300821.07066957996</v>
      </c>
      <c r="L1099" s="32">
        <f>IF(Result_notebook_retravaill!I1099&gt;Result_notebook_retravaill!G1099,0,IF(Result_notebook_retravaill!I1099+Result_notebook_retravaill!J1099&gt;Result_notebook_retravaill!G1099,0,Result_notebook_retravaill!M1099))</f>
        <v>665745.8799018315</v>
      </c>
      <c r="M1099" s="31">
        <f t="shared" si="17"/>
        <v>0</v>
      </c>
    </row>
    <row r="1100" spans="1:13" x14ac:dyDescent="0.35">
      <c r="A1100">
        <f>Result_notebook_retravaill!A1100</f>
        <v>2037</v>
      </c>
      <c r="B1100" t="str">
        <f>Result_notebook_retravaill!B1100</f>
        <v>Copper</v>
      </c>
      <c r="C1100" t="str">
        <f>Result_notebook_retravaill!C1100</f>
        <v>Canada Net-zero</v>
      </c>
      <c r="D1100" t="str">
        <f>Result_notebook_retravaill!D1100</f>
        <v>Production potential</v>
      </c>
      <c r="E1100" t="str">
        <f>Result_notebook_retravaill!E1100</f>
        <v>Current shares</v>
      </c>
      <c r="F1100" t="str">
        <f>Result_notebook_retravaill!F1100</f>
        <v>Expansion Extractive+Circularity</v>
      </c>
      <c r="G1100">
        <f>Result_notebook_retravaill!G1100</f>
        <v>1478036.3950053221</v>
      </c>
      <c r="H1100" s="32">
        <f>IF(Result_notebook_retravaill!I1100&gt;Result_notebook_retravaill!G1100,Result_notebook_retravaill!I1100/Result_notebook_retravaill!N1100,Result_notebook_retravaill!H1100)</f>
        <v>973099.29728133942</v>
      </c>
      <c r="I1100" s="32">
        <f>Result_notebook_retravaill!K1100</f>
        <v>807667.44368892827</v>
      </c>
      <c r="J1100" s="32">
        <f>MIN(G1100,Result_notebook_retravaill!I1100)</f>
        <v>511469.4444339106</v>
      </c>
      <c r="K1100" s="32">
        <f>IF(Result_notebook_retravaill!I1100&gt;Result_notebook_retravaill!G1100,0,IF(Result_notebook_retravaill!I1100+Result_notebook_retravaill!J1100&gt;Result_notebook_retravaill!G1100,Result_notebook_retravaill!G1100-Result_notebook_retravaill!I1100,Result_notebook_retravaill!J1100))</f>
        <v>300821.07066957996</v>
      </c>
      <c r="L1100" s="32">
        <f>IF(Result_notebook_retravaill!I1100&gt;Result_notebook_retravaill!G1100,0,IF(Result_notebook_retravaill!I1100+Result_notebook_retravaill!J1100&gt;Result_notebook_retravaill!G1100,0,Result_notebook_retravaill!M1100))</f>
        <v>665745.8799018315</v>
      </c>
      <c r="M1100" s="31">
        <f t="shared" si="17"/>
        <v>0</v>
      </c>
    </row>
    <row r="1101" spans="1:13" x14ac:dyDescent="0.35">
      <c r="A1101">
        <f>Result_notebook_retravaill!A1101</f>
        <v>2037</v>
      </c>
      <c r="B1101" t="str">
        <f>Result_notebook_retravaill!B1101</f>
        <v>Copper</v>
      </c>
      <c r="C1101" t="str">
        <f>Result_notebook_retravaill!C1101</f>
        <v>Canada Net-zero</v>
      </c>
      <c r="D1101" t="str">
        <f>Result_notebook_retravaill!D1101</f>
        <v>Production potential</v>
      </c>
      <c r="E1101" t="str">
        <f>Result_notebook_retravaill!E1101</f>
        <v>100% CAN</v>
      </c>
      <c r="F1101" t="str">
        <f>Result_notebook_retravaill!F1101</f>
        <v>Integrated</v>
      </c>
      <c r="G1101">
        <f>Result_notebook_retravaill!G1101</f>
        <v>1478036.3950053221</v>
      </c>
      <c r="H1101" s="32">
        <f>IF(Result_notebook_retravaill!I1101&gt;Result_notebook_retravaill!G1101,Result_notebook_retravaill!I1101/Result_notebook_retravaill!N1101,Result_notebook_retravaill!H1101)</f>
        <v>973099.29728133942</v>
      </c>
      <c r="I1101" s="32">
        <f>Result_notebook_retravaill!K1101</f>
        <v>807667.44368892827</v>
      </c>
      <c r="J1101" s="32">
        <f>MIN(G1101,Result_notebook_retravaill!I1101)</f>
        <v>812290.51510349091</v>
      </c>
      <c r="K1101" s="32">
        <f>IF(Result_notebook_retravaill!I1101&gt;Result_notebook_retravaill!G1101,0,IF(Result_notebook_retravaill!I1101+Result_notebook_retravaill!J1101&gt;Result_notebook_retravaill!G1101,Result_notebook_retravaill!G1101-Result_notebook_retravaill!I1101,Result_notebook_retravaill!J1101))</f>
        <v>0</v>
      </c>
      <c r="L1101" s="32">
        <f>IF(Result_notebook_retravaill!I1101&gt;Result_notebook_retravaill!G1101,0,IF(Result_notebook_retravaill!I1101+Result_notebook_retravaill!J1101&gt;Result_notebook_retravaill!G1101,0,Result_notebook_retravaill!M1101))</f>
        <v>665745.87990183115</v>
      </c>
      <c r="M1101" s="31">
        <f t="shared" si="17"/>
        <v>0</v>
      </c>
    </row>
    <row r="1102" spans="1:13" x14ac:dyDescent="0.35">
      <c r="A1102">
        <f>Result_notebook_retravaill!A1102</f>
        <v>2037</v>
      </c>
      <c r="B1102" t="str">
        <f>Result_notebook_retravaill!B1102</f>
        <v>Copper</v>
      </c>
      <c r="C1102" t="str">
        <f>Result_notebook_retravaill!C1102</f>
        <v>Current Measures</v>
      </c>
      <c r="D1102" t="str">
        <f>Result_notebook_retravaill!D1102</f>
        <v>Existing production</v>
      </c>
      <c r="E1102" t="str">
        <f>Result_notebook_retravaill!E1102</f>
        <v>Current shares</v>
      </c>
      <c r="F1102" t="str">
        <f>Result_notebook_retravaill!F1102</f>
        <v>NIMBY</v>
      </c>
      <c r="G1102">
        <f>Result_notebook_retravaill!G1102</f>
        <v>1130192.3701368021</v>
      </c>
      <c r="H1102" s="32">
        <f>IF(Result_notebook_retravaill!I1102&gt;Result_notebook_retravaill!G1102,Result_notebook_retravaill!I1102/Result_notebook_retravaill!N1102,Result_notebook_retravaill!H1102)</f>
        <v>0</v>
      </c>
      <c r="I1102" s="32">
        <f>Result_notebook_retravaill!K1102</f>
        <v>1361677.5543816891</v>
      </c>
      <c r="J1102" s="32">
        <f>MIN(G1102,Result_notebook_retravaill!I1102)</f>
        <v>0</v>
      </c>
      <c r="K1102" s="32">
        <f>IF(Result_notebook_retravaill!I1102&gt;Result_notebook_retravaill!G1102,0,IF(Result_notebook_retravaill!I1102+Result_notebook_retravaill!J1102&gt;Result_notebook_retravaill!G1102,Result_notebook_retravaill!G1102-Result_notebook_retravaill!I1102,Result_notebook_retravaill!J1102))</f>
        <v>0</v>
      </c>
      <c r="L1102" s="32">
        <f>IF(Result_notebook_retravaill!I1102&gt;Result_notebook_retravaill!G1102,0,IF(Result_notebook_retravaill!I1102+Result_notebook_retravaill!J1102&gt;Result_notebook_retravaill!G1102,0,Result_notebook_retravaill!M1102))</f>
        <v>1130192.3701368021</v>
      </c>
      <c r="M1102" s="31">
        <f t="shared" si="17"/>
        <v>0</v>
      </c>
    </row>
    <row r="1103" spans="1:13" x14ac:dyDescent="0.35">
      <c r="A1103">
        <f>Result_notebook_retravaill!A1103</f>
        <v>2037</v>
      </c>
      <c r="B1103" t="str">
        <f>Result_notebook_retravaill!B1103</f>
        <v>Copper</v>
      </c>
      <c r="C1103" t="str">
        <f>Result_notebook_retravaill!C1103</f>
        <v>Current Measures</v>
      </c>
      <c r="D1103" t="str">
        <f>Result_notebook_retravaill!D1103</f>
        <v>Existing production</v>
      </c>
      <c r="E1103" t="str">
        <f>Result_notebook_retravaill!E1103</f>
        <v>Current shares</v>
      </c>
      <c r="F1103" t="str">
        <f>Result_notebook_retravaill!F1103</f>
        <v>Status Quo</v>
      </c>
      <c r="G1103">
        <f>Result_notebook_retravaill!G1103</f>
        <v>1130192.3701368021</v>
      </c>
      <c r="H1103" s="32">
        <f>IF(Result_notebook_retravaill!I1103&gt;Result_notebook_retravaill!G1103,Result_notebook_retravaill!I1103/Result_notebook_retravaill!N1103,Result_notebook_retravaill!H1103)</f>
        <v>216675</v>
      </c>
      <c r="I1103" s="32">
        <f>Result_notebook_retravaill!K1103</f>
        <v>1145002.5543816891</v>
      </c>
      <c r="J1103" s="32">
        <f>MIN(G1103,Result_notebook_retravaill!I1103)</f>
        <v>113886.262360209</v>
      </c>
      <c r="K1103" s="32">
        <f>IF(Result_notebook_retravaill!I1103&gt;Result_notebook_retravaill!G1103,0,IF(Result_notebook_retravaill!I1103+Result_notebook_retravaill!J1103&gt;Result_notebook_retravaill!G1103,Result_notebook_retravaill!G1103-Result_notebook_retravaill!I1103,Result_notebook_retravaill!J1103))</f>
        <v>66982.275775384114</v>
      </c>
      <c r="L1103" s="32">
        <f>IF(Result_notebook_retravaill!I1103&gt;Result_notebook_retravaill!G1103,0,IF(Result_notebook_retravaill!I1103+Result_notebook_retravaill!J1103&gt;Result_notebook_retravaill!G1103,0,Result_notebook_retravaill!M1103))</f>
        <v>949323.83200120879</v>
      </c>
      <c r="M1103" s="31">
        <f t="shared" si="17"/>
        <v>0</v>
      </c>
    </row>
    <row r="1104" spans="1:13" x14ac:dyDescent="0.35">
      <c r="A1104">
        <f>Result_notebook_retravaill!A1104</f>
        <v>2037</v>
      </c>
      <c r="B1104" t="str">
        <f>Result_notebook_retravaill!B1104</f>
        <v>Copper</v>
      </c>
      <c r="C1104" t="str">
        <f>Result_notebook_retravaill!C1104</f>
        <v>Current Measures</v>
      </c>
      <c r="D1104" t="str">
        <f>Result_notebook_retravaill!D1104</f>
        <v>Production potential</v>
      </c>
      <c r="E1104" t="str">
        <f>Result_notebook_retravaill!E1104</f>
        <v>Current shares</v>
      </c>
      <c r="F1104" t="str">
        <f>Result_notebook_retravaill!F1104</f>
        <v>Expansion Extractive</v>
      </c>
      <c r="G1104">
        <f>Result_notebook_retravaill!G1104</f>
        <v>1130192.3701368021</v>
      </c>
      <c r="H1104" s="32">
        <f>IF(Result_notebook_retravaill!I1104&gt;Result_notebook_retravaill!G1104,Result_notebook_retravaill!I1104/Result_notebook_retravaill!N1104,Result_notebook_retravaill!H1104)</f>
        <v>973099.29728133942</v>
      </c>
      <c r="I1104" s="32">
        <f>Result_notebook_retravaill!K1104</f>
        <v>388578.25710034987</v>
      </c>
      <c r="J1104" s="32">
        <f>MIN(G1104,Result_notebook_retravaill!I1104)</f>
        <v>511469.4444339106</v>
      </c>
      <c r="K1104" s="32">
        <f>IF(Result_notebook_retravaill!I1104&gt;Result_notebook_retravaill!G1104,0,IF(Result_notebook_retravaill!I1104+Result_notebook_retravaill!J1104&gt;Result_notebook_retravaill!G1104,Result_notebook_retravaill!G1104-Result_notebook_retravaill!I1104,Result_notebook_retravaill!J1104))</f>
        <v>300821.07066957996</v>
      </c>
      <c r="L1104" s="32">
        <f>IF(Result_notebook_retravaill!I1104&gt;Result_notebook_retravaill!G1104,0,IF(Result_notebook_retravaill!I1104+Result_notebook_retravaill!J1104&gt;Result_notebook_retravaill!G1104,0,Result_notebook_retravaill!M1104))</f>
        <v>317901.85503331159</v>
      </c>
      <c r="M1104" s="31">
        <f t="shared" si="17"/>
        <v>0</v>
      </c>
    </row>
    <row r="1105" spans="1:13" x14ac:dyDescent="0.35">
      <c r="A1105">
        <f>Result_notebook_retravaill!A1105</f>
        <v>2037</v>
      </c>
      <c r="B1105" t="str">
        <f>Result_notebook_retravaill!B1105</f>
        <v>Copper</v>
      </c>
      <c r="C1105" t="str">
        <f>Result_notebook_retravaill!C1105</f>
        <v>Current Measures</v>
      </c>
      <c r="D1105" t="str">
        <f>Result_notebook_retravaill!D1105</f>
        <v>Production potential</v>
      </c>
      <c r="E1105" t="str">
        <f>Result_notebook_retravaill!E1105</f>
        <v>Current shares</v>
      </c>
      <c r="F1105" t="str">
        <f>Result_notebook_retravaill!F1105</f>
        <v>Expansion Extractive+Circularity</v>
      </c>
      <c r="G1105">
        <f>Result_notebook_retravaill!G1105</f>
        <v>1130192.3701368021</v>
      </c>
      <c r="H1105" s="32">
        <f>IF(Result_notebook_retravaill!I1105&gt;Result_notebook_retravaill!G1105,Result_notebook_retravaill!I1105/Result_notebook_retravaill!N1105,Result_notebook_retravaill!H1105)</f>
        <v>973099.29728133942</v>
      </c>
      <c r="I1105" s="32">
        <f>Result_notebook_retravaill!K1105</f>
        <v>388578.25710034987</v>
      </c>
      <c r="J1105" s="32">
        <f>MIN(G1105,Result_notebook_retravaill!I1105)</f>
        <v>511469.4444339106</v>
      </c>
      <c r="K1105" s="32">
        <f>IF(Result_notebook_retravaill!I1105&gt;Result_notebook_retravaill!G1105,0,IF(Result_notebook_retravaill!I1105+Result_notebook_retravaill!J1105&gt;Result_notebook_retravaill!G1105,Result_notebook_retravaill!G1105-Result_notebook_retravaill!I1105,Result_notebook_retravaill!J1105))</f>
        <v>300821.07066957996</v>
      </c>
      <c r="L1105" s="32">
        <f>IF(Result_notebook_retravaill!I1105&gt;Result_notebook_retravaill!G1105,0,IF(Result_notebook_retravaill!I1105+Result_notebook_retravaill!J1105&gt;Result_notebook_retravaill!G1105,0,Result_notebook_retravaill!M1105))</f>
        <v>317901.85503331159</v>
      </c>
      <c r="M1105" s="31">
        <f t="shared" si="17"/>
        <v>0</v>
      </c>
    </row>
    <row r="1106" spans="1:13" x14ac:dyDescent="0.35">
      <c r="A1106">
        <f>Result_notebook_retravaill!A1106</f>
        <v>2037</v>
      </c>
      <c r="B1106" t="str">
        <f>Result_notebook_retravaill!B1106</f>
        <v>Copper</v>
      </c>
      <c r="C1106" t="str">
        <f>Result_notebook_retravaill!C1106</f>
        <v>Current Measures</v>
      </c>
      <c r="D1106" t="str">
        <f>Result_notebook_retravaill!D1106</f>
        <v>Production potential</v>
      </c>
      <c r="E1106" t="str">
        <f>Result_notebook_retravaill!E1106</f>
        <v>100% CAN</v>
      </c>
      <c r="F1106" t="str">
        <f>Result_notebook_retravaill!F1106</f>
        <v>Integrated</v>
      </c>
      <c r="G1106">
        <f>Result_notebook_retravaill!G1106</f>
        <v>1130192.3701368021</v>
      </c>
      <c r="H1106" s="32">
        <f>IF(Result_notebook_retravaill!I1106&gt;Result_notebook_retravaill!G1106,Result_notebook_retravaill!I1106/Result_notebook_retravaill!N1106,Result_notebook_retravaill!H1106)</f>
        <v>973099.29728133942</v>
      </c>
      <c r="I1106" s="32">
        <f>Result_notebook_retravaill!K1106</f>
        <v>388578.25710034987</v>
      </c>
      <c r="J1106" s="32">
        <f>MIN(G1106,Result_notebook_retravaill!I1106)</f>
        <v>812290.51510349091</v>
      </c>
      <c r="K1106" s="32">
        <f>IF(Result_notebook_retravaill!I1106&gt;Result_notebook_retravaill!G1106,0,IF(Result_notebook_retravaill!I1106+Result_notebook_retravaill!J1106&gt;Result_notebook_retravaill!G1106,Result_notebook_retravaill!G1106-Result_notebook_retravaill!I1106,Result_notebook_retravaill!J1106))</f>
        <v>0</v>
      </c>
      <c r="L1106" s="32">
        <f>IF(Result_notebook_retravaill!I1106&gt;Result_notebook_retravaill!G1106,0,IF(Result_notebook_retravaill!I1106+Result_notebook_retravaill!J1106&gt;Result_notebook_retravaill!G1106,0,Result_notebook_retravaill!M1106))</f>
        <v>317901.85503331118</v>
      </c>
      <c r="M1106" s="31">
        <f t="shared" si="17"/>
        <v>0</v>
      </c>
    </row>
    <row r="1107" spans="1:13" x14ac:dyDescent="0.35">
      <c r="A1107">
        <f>Result_notebook_retravaill!A1107</f>
        <v>2037</v>
      </c>
      <c r="B1107" t="str">
        <f>Result_notebook_retravaill!B1107</f>
        <v>Copper</v>
      </c>
      <c r="C1107" t="str">
        <f>Result_notebook_retravaill!C1107</f>
        <v>Global Net-zero</v>
      </c>
      <c r="D1107" t="str">
        <f>Result_notebook_retravaill!D1107</f>
        <v>Existing production</v>
      </c>
      <c r="E1107" t="str">
        <f>Result_notebook_retravaill!E1107</f>
        <v>Current shares</v>
      </c>
      <c r="F1107" t="str">
        <f>Result_notebook_retravaill!F1107</f>
        <v>NIMBY</v>
      </c>
      <c r="G1107">
        <f>Result_notebook_retravaill!G1107</f>
        <v>1402619.85449987</v>
      </c>
      <c r="H1107" s="32">
        <f>IF(Result_notebook_retravaill!I1107&gt;Result_notebook_retravaill!G1107,Result_notebook_retravaill!I1107/Result_notebook_retravaill!N1107,Result_notebook_retravaill!H1107)</f>
        <v>0</v>
      </c>
      <c r="I1107" s="32">
        <f>Result_notebook_retravaill!K1107</f>
        <v>1689903.4391564699</v>
      </c>
      <c r="J1107" s="32">
        <f>MIN(G1107,Result_notebook_retravaill!I1107)</f>
        <v>0</v>
      </c>
      <c r="K1107" s="32">
        <f>IF(Result_notebook_retravaill!I1107&gt;Result_notebook_retravaill!G1107,0,IF(Result_notebook_retravaill!I1107+Result_notebook_retravaill!J1107&gt;Result_notebook_retravaill!G1107,Result_notebook_retravaill!G1107-Result_notebook_retravaill!I1107,Result_notebook_retravaill!J1107))</f>
        <v>0</v>
      </c>
      <c r="L1107" s="32">
        <f>IF(Result_notebook_retravaill!I1107&gt;Result_notebook_retravaill!G1107,0,IF(Result_notebook_retravaill!I1107+Result_notebook_retravaill!J1107&gt;Result_notebook_retravaill!G1107,0,Result_notebook_retravaill!M1107))</f>
        <v>1402619.85449987</v>
      </c>
      <c r="M1107" s="31">
        <f t="shared" si="17"/>
        <v>0</v>
      </c>
    </row>
    <row r="1108" spans="1:13" x14ac:dyDescent="0.35">
      <c r="A1108">
        <f>Result_notebook_retravaill!A1108</f>
        <v>2037</v>
      </c>
      <c r="B1108" t="str">
        <f>Result_notebook_retravaill!B1108</f>
        <v>Copper</v>
      </c>
      <c r="C1108" t="str">
        <f>Result_notebook_retravaill!C1108</f>
        <v>Global Net-zero</v>
      </c>
      <c r="D1108" t="str">
        <f>Result_notebook_retravaill!D1108</f>
        <v>Existing production</v>
      </c>
      <c r="E1108" t="str">
        <f>Result_notebook_retravaill!E1108</f>
        <v>Current shares</v>
      </c>
      <c r="F1108" t="str">
        <f>Result_notebook_retravaill!F1108</f>
        <v>Status Quo</v>
      </c>
      <c r="G1108">
        <f>Result_notebook_retravaill!G1108</f>
        <v>1402619.85449987</v>
      </c>
      <c r="H1108" s="32">
        <f>IF(Result_notebook_retravaill!I1108&gt;Result_notebook_retravaill!G1108,Result_notebook_retravaill!I1108/Result_notebook_retravaill!N1108,Result_notebook_retravaill!H1108)</f>
        <v>216675</v>
      </c>
      <c r="I1108" s="32">
        <f>Result_notebook_retravaill!K1108</f>
        <v>1473228.4391564699</v>
      </c>
      <c r="J1108" s="32">
        <f>MIN(G1108,Result_notebook_retravaill!I1108)</f>
        <v>113886.262360209</v>
      </c>
      <c r="K1108" s="32">
        <f>IF(Result_notebook_retravaill!I1108&gt;Result_notebook_retravaill!G1108,0,IF(Result_notebook_retravaill!I1108+Result_notebook_retravaill!J1108&gt;Result_notebook_retravaill!G1108,Result_notebook_retravaill!G1108-Result_notebook_retravaill!I1108,Result_notebook_retravaill!J1108))</f>
        <v>66982.275775384114</v>
      </c>
      <c r="L1108" s="32">
        <f>IF(Result_notebook_retravaill!I1108&gt;Result_notebook_retravaill!G1108,0,IF(Result_notebook_retravaill!I1108+Result_notebook_retravaill!J1108&gt;Result_notebook_retravaill!G1108,0,Result_notebook_retravaill!M1108))</f>
        <v>1221751.3163642769</v>
      </c>
      <c r="M1108" s="31">
        <f t="shared" si="17"/>
        <v>0</v>
      </c>
    </row>
    <row r="1109" spans="1:13" x14ac:dyDescent="0.35">
      <c r="A1109">
        <f>Result_notebook_retravaill!A1109</f>
        <v>2037</v>
      </c>
      <c r="B1109" t="str">
        <f>Result_notebook_retravaill!B1109</f>
        <v>Copper</v>
      </c>
      <c r="C1109" t="str">
        <f>Result_notebook_retravaill!C1109</f>
        <v>Global Net-zero</v>
      </c>
      <c r="D1109" t="str">
        <f>Result_notebook_retravaill!D1109</f>
        <v>Production potential</v>
      </c>
      <c r="E1109" t="str">
        <f>Result_notebook_retravaill!E1109</f>
        <v>Current shares</v>
      </c>
      <c r="F1109" t="str">
        <f>Result_notebook_retravaill!F1109</f>
        <v>Expansion Extractive</v>
      </c>
      <c r="G1109">
        <f>Result_notebook_retravaill!G1109</f>
        <v>1402619.85449987</v>
      </c>
      <c r="H1109" s="32">
        <f>IF(Result_notebook_retravaill!I1109&gt;Result_notebook_retravaill!G1109,Result_notebook_retravaill!I1109/Result_notebook_retravaill!N1109,Result_notebook_retravaill!H1109)</f>
        <v>973099.29728133942</v>
      </c>
      <c r="I1109" s="32">
        <f>Result_notebook_retravaill!K1109</f>
        <v>716804.14187513047</v>
      </c>
      <c r="J1109" s="32">
        <f>MIN(G1109,Result_notebook_retravaill!I1109)</f>
        <v>511469.4444339106</v>
      </c>
      <c r="K1109" s="32">
        <f>IF(Result_notebook_retravaill!I1109&gt;Result_notebook_retravaill!G1109,0,IF(Result_notebook_retravaill!I1109+Result_notebook_retravaill!J1109&gt;Result_notebook_retravaill!G1109,Result_notebook_retravaill!G1109-Result_notebook_retravaill!I1109,Result_notebook_retravaill!J1109))</f>
        <v>300821.07066957996</v>
      </c>
      <c r="L1109" s="32">
        <f>IF(Result_notebook_retravaill!I1109&gt;Result_notebook_retravaill!G1109,0,IF(Result_notebook_retravaill!I1109+Result_notebook_retravaill!J1109&gt;Result_notebook_retravaill!G1109,0,Result_notebook_retravaill!M1109))</f>
        <v>590329.33939637942</v>
      </c>
      <c r="M1109" s="31">
        <f t="shared" si="17"/>
        <v>0</v>
      </c>
    </row>
    <row r="1110" spans="1:13" x14ac:dyDescent="0.35">
      <c r="A1110">
        <f>Result_notebook_retravaill!A1110</f>
        <v>2037</v>
      </c>
      <c r="B1110" t="str">
        <f>Result_notebook_retravaill!B1110</f>
        <v>Copper</v>
      </c>
      <c r="C1110" t="str">
        <f>Result_notebook_retravaill!C1110</f>
        <v>Global Net-zero</v>
      </c>
      <c r="D1110" t="str">
        <f>Result_notebook_retravaill!D1110</f>
        <v>Production potential</v>
      </c>
      <c r="E1110" t="str">
        <f>Result_notebook_retravaill!E1110</f>
        <v>Current shares</v>
      </c>
      <c r="F1110" t="str">
        <f>Result_notebook_retravaill!F1110</f>
        <v>Expansion Extractive+Circularity</v>
      </c>
      <c r="G1110">
        <f>Result_notebook_retravaill!G1110</f>
        <v>1402619.85449987</v>
      </c>
      <c r="H1110" s="32">
        <f>IF(Result_notebook_retravaill!I1110&gt;Result_notebook_retravaill!G1110,Result_notebook_retravaill!I1110/Result_notebook_retravaill!N1110,Result_notebook_retravaill!H1110)</f>
        <v>973099.29728133942</v>
      </c>
      <c r="I1110" s="32">
        <f>Result_notebook_retravaill!K1110</f>
        <v>716804.14187513047</v>
      </c>
      <c r="J1110" s="32">
        <f>MIN(G1110,Result_notebook_retravaill!I1110)</f>
        <v>511469.4444339106</v>
      </c>
      <c r="K1110" s="32">
        <f>IF(Result_notebook_retravaill!I1110&gt;Result_notebook_retravaill!G1110,0,IF(Result_notebook_retravaill!I1110+Result_notebook_retravaill!J1110&gt;Result_notebook_retravaill!G1110,Result_notebook_retravaill!G1110-Result_notebook_retravaill!I1110,Result_notebook_retravaill!J1110))</f>
        <v>300821.07066957996</v>
      </c>
      <c r="L1110" s="32">
        <f>IF(Result_notebook_retravaill!I1110&gt;Result_notebook_retravaill!G1110,0,IF(Result_notebook_retravaill!I1110+Result_notebook_retravaill!J1110&gt;Result_notebook_retravaill!G1110,0,Result_notebook_retravaill!M1110))</f>
        <v>590329.33939637942</v>
      </c>
      <c r="M1110" s="31">
        <f t="shared" si="17"/>
        <v>0</v>
      </c>
    </row>
    <row r="1111" spans="1:13" x14ac:dyDescent="0.35">
      <c r="A1111">
        <f>Result_notebook_retravaill!A1111</f>
        <v>2037</v>
      </c>
      <c r="B1111" t="str">
        <f>Result_notebook_retravaill!B1111</f>
        <v>Copper</v>
      </c>
      <c r="C1111" t="str">
        <f>Result_notebook_retravaill!C1111</f>
        <v>Global Net-zero</v>
      </c>
      <c r="D1111" t="str">
        <f>Result_notebook_retravaill!D1111</f>
        <v>Production potential</v>
      </c>
      <c r="E1111" t="str">
        <f>Result_notebook_retravaill!E1111</f>
        <v>100% CAN</v>
      </c>
      <c r="F1111" t="str">
        <f>Result_notebook_retravaill!F1111</f>
        <v>Integrated</v>
      </c>
      <c r="G1111">
        <f>Result_notebook_retravaill!G1111</f>
        <v>1402619.85449987</v>
      </c>
      <c r="H1111" s="32">
        <f>IF(Result_notebook_retravaill!I1111&gt;Result_notebook_retravaill!G1111,Result_notebook_retravaill!I1111/Result_notebook_retravaill!N1111,Result_notebook_retravaill!H1111)</f>
        <v>973099.29728133942</v>
      </c>
      <c r="I1111" s="32">
        <f>Result_notebook_retravaill!K1111</f>
        <v>716804.14187513047</v>
      </c>
      <c r="J1111" s="32">
        <f>MIN(G1111,Result_notebook_retravaill!I1111)</f>
        <v>812290.51510349091</v>
      </c>
      <c r="K1111" s="32">
        <f>IF(Result_notebook_retravaill!I1111&gt;Result_notebook_retravaill!G1111,0,IF(Result_notebook_retravaill!I1111+Result_notebook_retravaill!J1111&gt;Result_notebook_retravaill!G1111,Result_notebook_retravaill!G1111-Result_notebook_retravaill!I1111,Result_notebook_retravaill!J1111))</f>
        <v>0</v>
      </c>
      <c r="L1111" s="32">
        <f>IF(Result_notebook_retravaill!I1111&gt;Result_notebook_retravaill!G1111,0,IF(Result_notebook_retravaill!I1111+Result_notebook_retravaill!J1111&gt;Result_notebook_retravaill!G1111,0,Result_notebook_retravaill!M1111))</f>
        <v>590329.33939637907</v>
      </c>
      <c r="M1111" s="31">
        <f t="shared" si="17"/>
        <v>0</v>
      </c>
    </row>
    <row r="1112" spans="1:13" x14ac:dyDescent="0.35">
      <c r="A1112">
        <f>Result_notebook_retravaill!A1112</f>
        <v>2037</v>
      </c>
      <c r="B1112" t="str">
        <f>Result_notebook_retravaill!B1112</f>
        <v>Neodymium</v>
      </c>
      <c r="C1112" t="str">
        <f>Result_notebook_retravaill!C1112</f>
        <v>Canada Net-zero</v>
      </c>
      <c r="D1112" t="str">
        <f>Result_notebook_retravaill!D1112</f>
        <v>Existing production</v>
      </c>
      <c r="E1112" t="str">
        <f>Result_notebook_retravaill!E1112</f>
        <v>Current shares</v>
      </c>
      <c r="F1112" t="str">
        <f>Result_notebook_retravaill!F1112</f>
        <v>NIMBY</v>
      </c>
      <c r="G1112">
        <f>Result_notebook_retravaill!G1112</f>
        <v>5975.1221443033437</v>
      </c>
      <c r="H1112" s="32">
        <f>IF(Result_notebook_retravaill!I1112&gt;Result_notebook_retravaill!G1112,Result_notebook_retravaill!I1112/Result_notebook_retravaill!N1112,Result_notebook_retravaill!H1112)</f>
        <v>0</v>
      </c>
      <c r="I1112" s="32">
        <f>Result_notebook_retravaill!K1112</f>
        <v>9958.5369071722398</v>
      </c>
      <c r="J1112" s="32">
        <f>MIN(G1112,Result_notebook_retravaill!I1112)</f>
        <v>0</v>
      </c>
      <c r="K1112" s="32">
        <f>IF(Result_notebook_retravaill!I1112&gt;Result_notebook_retravaill!G1112,0,IF(Result_notebook_retravaill!I1112+Result_notebook_retravaill!J1112&gt;Result_notebook_retravaill!G1112,Result_notebook_retravaill!G1112-Result_notebook_retravaill!I1112,Result_notebook_retravaill!J1112))</f>
        <v>0</v>
      </c>
      <c r="L1112" s="32">
        <f>IF(Result_notebook_retravaill!I1112&gt;Result_notebook_retravaill!G1112,0,IF(Result_notebook_retravaill!I1112+Result_notebook_retravaill!J1112&gt;Result_notebook_retravaill!G1112,0,Result_notebook_retravaill!M1112))</f>
        <v>5975.1221443033437</v>
      </c>
      <c r="M1112" s="31">
        <f t="shared" si="17"/>
        <v>0</v>
      </c>
    </row>
    <row r="1113" spans="1:13" x14ac:dyDescent="0.35">
      <c r="A1113">
        <f>Result_notebook_retravaill!A1113</f>
        <v>2037</v>
      </c>
      <c r="B1113" t="str">
        <f>Result_notebook_retravaill!B1113</f>
        <v>Neodymium</v>
      </c>
      <c r="C1113" t="str">
        <f>Result_notebook_retravaill!C1113</f>
        <v>Canada Net-zero</v>
      </c>
      <c r="D1113" t="str">
        <f>Result_notebook_retravaill!D1113</f>
        <v>Existing production</v>
      </c>
      <c r="E1113" t="str">
        <f>Result_notebook_retravaill!E1113</f>
        <v>Current shares</v>
      </c>
      <c r="F1113" t="str">
        <f>Result_notebook_retravaill!F1113</f>
        <v>Status Quo</v>
      </c>
      <c r="G1113">
        <f>Result_notebook_retravaill!G1113</f>
        <v>5975.1221443033437</v>
      </c>
      <c r="H1113" s="32">
        <f>IF(Result_notebook_retravaill!I1113&gt;Result_notebook_retravaill!G1113,Result_notebook_retravaill!I1113/Result_notebook_retravaill!N1113,Result_notebook_retravaill!H1113)</f>
        <v>0</v>
      </c>
      <c r="I1113" s="32">
        <f>Result_notebook_retravaill!K1113</f>
        <v>9958.5369071722398</v>
      </c>
      <c r="J1113" s="32">
        <f>MIN(G1113,Result_notebook_retravaill!I1113)</f>
        <v>0</v>
      </c>
      <c r="K1113" s="32">
        <f>IF(Result_notebook_retravaill!I1113&gt;Result_notebook_retravaill!G1113,0,IF(Result_notebook_retravaill!I1113+Result_notebook_retravaill!J1113&gt;Result_notebook_retravaill!G1113,Result_notebook_retravaill!G1113-Result_notebook_retravaill!I1113,Result_notebook_retravaill!J1113))</f>
        <v>0</v>
      </c>
      <c r="L1113" s="32">
        <f>IF(Result_notebook_retravaill!I1113&gt;Result_notebook_retravaill!G1113,0,IF(Result_notebook_retravaill!I1113+Result_notebook_retravaill!J1113&gt;Result_notebook_retravaill!G1113,0,Result_notebook_retravaill!M1113))</f>
        <v>5975.1221443033437</v>
      </c>
      <c r="M1113" s="31">
        <f t="shared" si="17"/>
        <v>0</v>
      </c>
    </row>
    <row r="1114" spans="1:13" x14ac:dyDescent="0.35">
      <c r="A1114">
        <f>Result_notebook_retravaill!A1114</f>
        <v>2037</v>
      </c>
      <c r="B1114" t="str">
        <f>Result_notebook_retravaill!B1114</f>
        <v>Neodymium</v>
      </c>
      <c r="C1114" t="str">
        <f>Result_notebook_retravaill!C1114</f>
        <v>Canada Net-zero</v>
      </c>
      <c r="D1114" t="str">
        <f>Result_notebook_retravaill!D1114</f>
        <v>Production potential</v>
      </c>
      <c r="E1114" t="str">
        <f>Result_notebook_retravaill!E1114</f>
        <v>Current shares</v>
      </c>
      <c r="F1114" t="str">
        <f>Result_notebook_retravaill!F1114</f>
        <v>Expansion Extractive</v>
      </c>
      <c r="G1114">
        <f>Result_notebook_retravaill!G1114</f>
        <v>5975.1221443033437</v>
      </c>
      <c r="H1114" s="32">
        <f>IF(Result_notebook_retravaill!I1114&gt;Result_notebook_retravaill!G1114,Result_notebook_retravaill!I1114/Result_notebook_retravaill!N1114,Result_notebook_retravaill!H1114)</f>
        <v>157.05645137680381</v>
      </c>
      <c r="I1114" s="32">
        <f>Result_notebook_retravaill!K1114</f>
        <v>9801.4804557954358</v>
      </c>
      <c r="J1114" s="32">
        <f>MIN(G1114,Result_notebook_retravaill!I1114)</f>
        <v>94.005183124447228</v>
      </c>
      <c r="K1114" s="32">
        <f>IF(Result_notebook_retravaill!I1114&gt;Result_notebook_retravaill!G1114,0,IF(Result_notebook_retravaill!I1114+Result_notebook_retravaill!J1114&gt;Result_notebook_retravaill!G1114,Result_notebook_retravaill!G1114-Result_notebook_retravaill!I1114,Result_notebook_retravaill!J1114))</f>
        <v>63.051268252356579</v>
      </c>
      <c r="L1114" s="32">
        <f>IF(Result_notebook_retravaill!I1114&gt;Result_notebook_retravaill!G1114,0,IF(Result_notebook_retravaill!I1114+Result_notebook_retravaill!J1114&gt;Result_notebook_retravaill!G1114,0,Result_notebook_retravaill!M1114))</f>
        <v>5818.0656929265397</v>
      </c>
      <c r="M1114" s="31">
        <f t="shared" si="17"/>
        <v>0</v>
      </c>
    </row>
    <row r="1115" spans="1:13" x14ac:dyDescent="0.35">
      <c r="A1115">
        <f>Result_notebook_retravaill!A1115</f>
        <v>2037</v>
      </c>
      <c r="B1115" t="str">
        <f>Result_notebook_retravaill!B1115</f>
        <v>Neodymium</v>
      </c>
      <c r="C1115" t="str">
        <f>Result_notebook_retravaill!C1115</f>
        <v>Canada Net-zero</v>
      </c>
      <c r="D1115" t="str">
        <f>Result_notebook_retravaill!D1115</f>
        <v>Production potential</v>
      </c>
      <c r="E1115" t="str">
        <f>Result_notebook_retravaill!E1115</f>
        <v>Current shares</v>
      </c>
      <c r="F1115" t="str">
        <f>Result_notebook_retravaill!F1115</f>
        <v>Expansion Extractive+Circularity</v>
      </c>
      <c r="G1115">
        <f>Result_notebook_retravaill!G1115</f>
        <v>5975.1221443033437</v>
      </c>
      <c r="H1115" s="32">
        <f>IF(Result_notebook_retravaill!I1115&gt;Result_notebook_retravaill!G1115,Result_notebook_retravaill!I1115/Result_notebook_retravaill!N1115,Result_notebook_retravaill!H1115)</f>
        <v>157.05645137680381</v>
      </c>
      <c r="I1115" s="32">
        <f>Result_notebook_retravaill!K1115</f>
        <v>9801.4804557954358</v>
      </c>
      <c r="J1115" s="32">
        <f>MIN(G1115,Result_notebook_retravaill!I1115)</f>
        <v>94.005183124447228</v>
      </c>
      <c r="K1115" s="32">
        <f>IF(Result_notebook_retravaill!I1115&gt;Result_notebook_retravaill!G1115,0,IF(Result_notebook_retravaill!I1115+Result_notebook_retravaill!J1115&gt;Result_notebook_retravaill!G1115,Result_notebook_retravaill!G1115-Result_notebook_retravaill!I1115,Result_notebook_retravaill!J1115))</f>
        <v>63.051268252356579</v>
      </c>
      <c r="L1115" s="32">
        <f>IF(Result_notebook_retravaill!I1115&gt;Result_notebook_retravaill!G1115,0,IF(Result_notebook_retravaill!I1115+Result_notebook_retravaill!J1115&gt;Result_notebook_retravaill!G1115,0,Result_notebook_retravaill!M1115))</f>
        <v>5818.0656929265397</v>
      </c>
      <c r="M1115" s="31">
        <f t="shared" si="17"/>
        <v>0</v>
      </c>
    </row>
    <row r="1116" spans="1:13" x14ac:dyDescent="0.35">
      <c r="A1116">
        <f>Result_notebook_retravaill!A1116</f>
        <v>2037</v>
      </c>
      <c r="B1116" t="str">
        <f>Result_notebook_retravaill!B1116</f>
        <v>Neodymium</v>
      </c>
      <c r="C1116" t="str">
        <f>Result_notebook_retravaill!C1116</f>
        <v>Canada Net-zero</v>
      </c>
      <c r="D1116" t="str">
        <f>Result_notebook_retravaill!D1116</f>
        <v>Production potential</v>
      </c>
      <c r="E1116" t="str">
        <f>Result_notebook_retravaill!E1116</f>
        <v>100% CAN</v>
      </c>
      <c r="F1116" t="str">
        <f>Result_notebook_retravaill!F1116</f>
        <v>Integrated</v>
      </c>
      <c r="G1116">
        <f>Result_notebook_retravaill!G1116</f>
        <v>5975.1221443033437</v>
      </c>
      <c r="H1116" s="32">
        <f>IF(Result_notebook_retravaill!I1116&gt;Result_notebook_retravaill!G1116,Result_notebook_retravaill!I1116/Result_notebook_retravaill!N1116,Result_notebook_retravaill!H1116)</f>
        <v>157.05645137680381</v>
      </c>
      <c r="I1116" s="32">
        <f>Result_notebook_retravaill!K1116</f>
        <v>9801.4804557954358</v>
      </c>
      <c r="J1116" s="32">
        <f>MIN(G1116,Result_notebook_retravaill!I1116)</f>
        <v>94.005183124447228</v>
      </c>
      <c r="K1116" s="32">
        <f>IF(Result_notebook_retravaill!I1116&gt;Result_notebook_retravaill!G1116,0,IF(Result_notebook_retravaill!I1116+Result_notebook_retravaill!J1116&gt;Result_notebook_retravaill!G1116,Result_notebook_retravaill!G1116-Result_notebook_retravaill!I1116,Result_notebook_retravaill!J1116))</f>
        <v>63.051268252356579</v>
      </c>
      <c r="L1116" s="32">
        <f>IF(Result_notebook_retravaill!I1116&gt;Result_notebook_retravaill!G1116,0,IF(Result_notebook_retravaill!I1116+Result_notebook_retravaill!J1116&gt;Result_notebook_retravaill!G1116,0,Result_notebook_retravaill!M1116))</f>
        <v>5818.0656929265397</v>
      </c>
      <c r="M1116" s="31">
        <f t="shared" si="17"/>
        <v>0</v>
      </c>
    </row>
    <row r="1117" spans="1:13" x14ac:dyDescent="0.35">
      <c r="A1117">
        <f>Result_notebook_retravaill!A1117</f>
        <v>2037</v>
      </c>
      <c r="B1117" t="str">
        <f>Result_notebook_retravaill!B1117</f>
        <v>Neodymium</v>
      </c>
      <c r="C1117" t="str">
        <f>Result_notebook_retravaill!C1117</f>
        <v>Current Measures</v>
      </c>
      <c r="D1117" t="str">
        <f>Result_notebook_retravaill!D1117</f>
        <v>Existing production</v>
      </c>
      <c r="E1117" t="str">
        <f>Result_notebook_retravaill!E1117</f>
        <v>Current shares</v>
      </c>
      <c r="F1117" t="str">
        <f>Result_notebook_retravaill!F1117</f>
        <v>NIMBY</v>
      </c>
      <c r="G1117">
        <f>Result_notebook_retravaill!G1117</f>
        <v>1928.421284278415</v>
      </c>
      <c r="H1117" s="32">
        <f>IF(Result_notebook_retravaill!I1117&gt;Result_notebook_retravaill!G1117,Result_notebook_retravaill!I1117/Result_notebook_retravaill!N1117,Result_notebook_retravaill!H1117)</f>
        <v>0</v>
      </c>
      <c r="I1117" s="32">
        <f>Result_notebook_retravaill!K1117</f>
        <v>3214.035473797358</v>
      </c>
      <c r="J1117" s="32">
        <f>MIN(G1117,Result_notebook_retravaill!I1117)</f>
        <v>0</v>
      </c>
      <c r="K1117" s="32">
        <f>IF(Result_notebook_retravaill!I1117&gt;Result_notebook_retravaill!G1117,0,IF(Result_notebook_retravaill!I1117+Result_notebook_retravaill!J1117&gt;Result_notebook_retravaill!G1117,Result_notebook_retravaill!G1117-Result_notebook_retravaill!I1117,Result_notebook_retravaill!J1117))</f>
        <v>0</v>
      </c>
      <c r="L1117" s="32">
        <f>IF(Result_notebook_retravaill!I1117&gt;Result_notebook_retravaill!G1117,0,IF(Result_notebook_retravaill!I1117+Result_notebook_retravaill!J1117&gt;Result_notebook_retravaill!G1117,0,Result_notebook_retravaill!M1117))</f>
        <v>1928.421284278415</v>
      </c>
      <c r="M1117" s="31">
        <f t="shared" si="17"/>
        <v>0</v>
      </c>
    </row>
    <row r="1118" spans="1:13" x14ac:dyDescent="0.35">
      <c r="A1118">
        <f>Result_notebook_retravaill!A1118</f>
        <v>2037</v>
      </c>
      <c r="B1118" t="str">
        <f>Result_notebook_retravaill!B1118</f>
        <v>Neodymium</v>
      </c>
      <c r="C1118" t="str">
        <f>Result_notebook_retravaill!C1118</f>
        <v>Current Measures</v>
      </c>
      <c r="D1118" t="str">
        <f>Result_notebook_retravaill!D1118</f>
        <v>Existing production</v>
      </c>
      <c r="E1118" t="str">
        <f>Result_notebook_retravaill!E1118</f>
        <v>Current shares</v>
      </c>
      <c r="F1118" t="str">
        <f>Result_notebook_retravaill!F1118</f>
        <v>Status Quo</v>
      </c>
      <c r="G1118">
        <f>Result_notebook_retravaill!G1118</f>
        <v>1928.421284278415</v>
      </c>
      <c r="H1118" s="32">
        <f>IF(Result_notebook_retravaill!I1118&gt;Result_notebook_retravaill!G1118,Result_notebook_retravaill!I1118/Result_notebook_retravaill!N1118,Result_notebook_retravaill!H1118)</f>
        <v>0</v>
      </c>
      <c r="I1118" s="32">
        <f>Result_notebook_retravaill!K1118</f>
        <v>3214.035473797358</v>
      </c>
      <c r="J1118" s="32">
        <f>MIN(G1118,Result_notebook_retravaill!I1118)</f>
        <v>0</v>
      </c>
      <c r="K1118" s="32">
        <f>IF(Result_notebook_retravaill!I1118&gt;Result_notebook_retravaill!G1118,0,IF(Result_notebook_retravaill!I1118+Result_notebook_retravaill!J1118&gt;Result_notebook_retravaill!G1118,Result_notebook_retravaill!G1118-Result_notebook_retravaill!I1118,Result_notebook_retravaill!J1118))</f>
        <v>0</v>
      </c>
      <c r="L1118" s="32">
        <f>IF(Result_notebook_retravaill!I1118&gt;Result_notebook_retravaill!G1118,0,IF(Result_notebook_retravaill!I1118+Result_notebook_retravaill!J1118&gt;Result_notebook_retravaill!G1118,0,Result_notebook_retravaill!M1118))</f>
        <v>1928.421284278415</v>
      </c>
      <c r="M1118" s="31">
        <f t="shared" si="17"/>
        <v>0</v>
      </c>
    </row>
    <row r="1119" spans="1:13" x14ac:dyDescent="0.35">
      <c r="A1119">
        <f>Result_notebook_retravaill!A1119</f>
        <v>2037</v>
      </c>
      <c r="B1119" t="str">
        <f>Result_notebook_retravaill!B1119</f>
        <v>Neodymium</v>
      </c>
      <c r="C1119" t="str">
        <f>Result_notebook_retravaill!C1119</f>
        <v>Current Measures</v>
      </c>
      <c r="D1119" t="str">
        <f>Result_notebook_retravaill!D1119</f>
        <v>Production potential</v>
      </c>
      <c r="E1119" t="str">
        <f>Result_notebook_retravaill!E1119</f>
        <v>Current shares</v>
      </c>
      <c r="F1119" t="str">
        <f>Result_notebook_retravaill!F1119</f>
        <v>Expansion Extractive</v>
      </c>
      <c r="G1119">
        <f>Result_notebook_retravaill!G1119</f>
        <v>1928.421284278415</v>
      </c>
      <c r="H1119" s="32">
        <f>IF(Result_notebook_retravaill!I1119&gt;Result_notebook_retravaill!G1119,Result_notebook_retravaill!I1119/Result_notebook_retravaill!N1119,Result_notebook_retravaill!H1119)</f>
        <v>157.05645137680381</v>
      </c>
      <c r="I1119" s="32">
        <f>Result_notebook_retravaill!K1119</f>
        <v>3056.979022420554</v>
      </c>
      <c r="J1119" s="32">
        <f>MIN(G1119,Result_notebook_retravaill!I1119)</f>
        <v>94.005183124447228</v>
      </c>
      <c r="K1119" s="32">
        <f>IF(Result_notebook_retravaill!I1119&gt;Result_notebook_retravaill!G1119,0,IF(Result_notebook_retravaill!I1119+Result_notebook_retravaill!J1119&gt;Result_notebook_retravaill!G1119,Result_notebook_retravaill!G1119-Result_notebook_retravaill!I1119,Result_notebook_retravaill!J1119))</f>
        <v>63.051268252356579</v>
      </c>
      <c r="L1119" s="32">
        <f>IF(Result_notebook_retravaill!I1119&gt;Result_notebook_retravaill!G1119,0,IF(Result_notebook_retravaill!I1119+Result_notebook_retravaill!J1119&gt;Result_notebook_retravaill!G1119,0,Result_notebook_retravaill!M1119))</f>
        <v>1771.3648329016114</v>
      </c>
      <c r="M1119" s="31">
        <f t="shared" si="17"/>
        <v>0</v>
      </c>
    </row>
    <row r="1120" spans="1:13" x14ac:dyDescent="0.35">
      <c r="A1120">
        <f>Result_notebook_retravaill!A1120</f>
        <v>2037</v>
      </c>
      <c r="B1120" t="str">
        <f>Result_notebook_retravaill!B1120</f>
        <v>Neodymium</v>
      </c>
      <c r="C1120" t="str">
        <f>Result_notebook_retravaill!C1120</f>
        <v>Current Measures</v>
      </c>
      <c r="D1120" t="str">
        <f>Result_notebook_retravaill!D1120</f>
        <v>Production potential</v>
      </c>
      <c r="E1120" t="str">
        <f>Result_notebook_retravaill!E1120</f>
        <v>Current shares</v>
      </c>
      <c r="F1120" t="str">
        <f>Result_notebook_retravaill!F1120</f>
        <v>Expansion Extractive+Circularity</v>
      </c>
      <c r="G1120">
        <f>Result_notebook_retravaill!G1120</f>
        <v>1928.421284278415</v>
      </c>
      <c r="H1120" s="32">
        <f>IF(Result_notebook_retravaill!I1120&gt;Result_notebook_retravaill!G1120,Result_notebook_retravaill!I1120/Result_notebook_retravaill!N1120,Result_notebook_retravaill!H1120)</f>
        <v>157.05645137680381</v>
      </c>
      <c r="I1120" s="32">
        <f>Result_notebook_retravaill!K1120</f>
        <v>3056.979022420554</v>
      </c>
      <c r="J1120" s="32">
        <f>MIN(G1120,Result_notebook_retravaill!I1120)</f>
        <v>94.005183124447228</v>
      </c>
      <c r="K1120" s="32">
        <f>IF(Result_notebook_retravaill!I1120&gt;Result_notebook_retravaill!G1120,0,IF(Result_notebook_retravaill!I1120+Result_notebook_retravaill!J1120&gt;Result_notebook_retravaill!G1120,Result_notebook_retravaill!G1120-Result_notebook_retravaill!I1120,Result_notebook_retravaill!J1120))</f>
        <v>63.051268252356579</v>
      </c>
      <c r="L1120" s="32">
        <f>IF(Result_notebook_retravaill!I1120&gt;Result_notebook_retravaill!G1120,0,IF(Result_notebook_retravaill!I1120+Result_notebook_retravaill!J1120&gt;Result_notebook_retravaill!G1120,0,Result_notebook_retravaill!M1120))</f>
        <v>1771.3648329016114</v>
      </c>
      <c r="M1120" s="31">
        <f t="shared" si="17"/>
        <v>0</v>
      </c>
    </row>
    <row r="1121" spans="1:13" x14ac:dyDescent="0.35">
      <c r="A1121">
        <f>Result_notebook_retravaill!A1121</f>
        <v>2037</v>
      </c>
      <c r="B1121" t="str">
        <f>Result_notebook_retravaill!B1121</f>
        <v>Neodymium</v>
      </c>
      <c r="C1121" t="str">
        <f>Result_notebook_retravaill!C1121</f>
        <v>Current Measures</v>
      </c>
      <c r="D1121" t="str">
        <f>Result_notebook_retravaill!D1121</f>
        <v>Production potential</v>
      </c>
      <c r="E1121" t="str">
        <f>Result_notebook_retravaill!E1121</f>
        <v>100% CAN</v>
      </c>
      <c r="F1121" t="str">
        <f>Result_notebook_retravaill!F1121</f>
        <v>Integrated</v>
      </c>
      <c r="G1121">
        <f>Result_notebook_retravaill!G1121</f>
        <v>1928.421284278415</v>
      </c>
      <c r="H1121" s="32">
        <f>IF(Result_notebook_retravaill!I1121&gt;Result_notebook_retravaill!G1121,Result_notebook_retravaill!I1121/Result_notebook_retravaill!N1121,Result_notebook_retravaill!H1121)</f>
        <v>157.05645137680381</v>
      </c>
      <c r="I1121" s="32">
        <f>Result_notebook_retravaill!K1121</f>
        <v>3056.979022420554</v>
      </c>
      <c r="J1121" s="32">
        <f>MIN(G1121,Result_notebook_retravaill!I1121)</f>
        <v>94.005183124447228</v>
      </c>
      <c r="K1121" s="32">
        <f>IF(Result_notebook_retravaill!I1121&gt;Result_notebook_retravaill!G1121,0,IF(Result_notebook_retravaill!I1121+Result_notebook_retravaill!J1121&gt;Result_notebook_retravaill!G1121,Result_notebook_retravaill!G1121-Result_notebook_retravaill!I1121,Result_notebook_retravaill!J1121))</f>
        <v>63.051268252356579</v>
      </c>
      <c r="L1121" s="32">
        <f>IF(Result_notebook_retravaill!I1121&gt;Result_notebook_retravaill!G1121,0,IF(Result_notebook_retravaill!I1121+Result_notebook_retravaill!J1121&gt;Result_notebook_retravaill!G1121,0,Result_notebook_retravaill!M1121))</f>
        <v>1771.3648329016114</v>
      </c>
      <c r="M1121" s="31">
        <f t="shared" si="17"/>
        <v>0</v>
      </c>
    </row>
    <row r="1122" spans="1:13" x14ac:dyDescent="0.35">
      <c r="A1122">
        <f>Result_notebook_retravaill!A1122</f>
        <v>2037</v>
      </c>
      <c r="B1122" t="str">
        <f>Result_notebook_retravaill!B1122</f>
        <v>Neodymium</v>
      </c>
      <c r="C1122" t="str">
        <f>Result_notebook_retravaill!C1122</f>
        <v>Global Net-zero</v>
      </c>
      <c r="D1122" t="str">
        <f>Result_notebook_retravaill!D1122</f>
        <v>Existing production</v>
      </c>
      <c r="E1122" t="str">
        <f>Result_notebook_retravaill!E1122</f>
        <v>Current shares</v>
      </c>
      <c r="F1122" t="str">
        <f>Result_notebook_retravaill!F1122</f>
        <v>NIMBY</v>
      </c>
      <c r="G1122">
        <f>Result_notebook_retravaill!G1122</f>
        <v>5732.0456775822131</v>
      </c>
      <c r="H1122" s="32">
        <f>IF(Result_notebook_retravaill!I1122&gt;Result_notebook_retravaill!G1122,Result_notebook_retravaill!I1122/Result_notebook_retravaill!N1122,Result_notebook_retravaill!H1122)</f>
        <v>0</v>
      </c>
      <c r="I1122" s="32">
        <f>Result_notebook_retravaill!K1122</f>
        <v>9553.4094626370224</v>
      </c>
      <c r="J1122" s="32">
        <f>MIN(G1122,Result_notebook_retravaill!I1122)</f>
        <v>0</v>
      </c>
      <c r="K1122" s="32">
        <f>IF(Result_notebook_retravaill!I1122&gt;Result_notebook_retravaill!G1122,0,IF(Result_notebook_retravaill!I1122+Result_notebook_retravaill!J1122&gt;Result_notebook_retravaill!G1122,Result_notebook_retravaill!G1122-Result_notebook_retravaill!I1122,Result_notebook_retravaill!J1122))</f>
        <v>0</v>
      </c>
      <c r="L1122" s="32">
        <f>IF(Result_notebook_retravaill!I1122&gt;Result_notebook_retravaill!G1122,0,IF(Result_notebook_retravaill!I1122+Result_notebook_retravaill!J1122&gt;Result_notebook_retravaill!G1122,0,Result_notebook_retravaill!M1122))</f>
        <v>5732.0456775822131</v>
      </c>
      <c r="M1122" s="31">
        <f t="shared" si="17"/>
        <v>0</v>
      </c>
    </row>
    <row r="1123" spans="1:13" x14ac:dyDescent="0.35">
      <c r="A1123">
        <f>Result_notebook_retravaill!A1123</f>
        <v>2037</v>
      </c>
      <c r="B1123" t="str">
        <f>Result_notebook_retravaill!B1123</f>
        <v>Neodymium</v>
      </c>
      <c r="C1123" t="str">
        <f>Result_notebook_retravaill!C1123</f>
        <v>Global Net-zero</v>
      </c>
      <c r="D1123" t="str">
        <f>Result_notebook_retravaill!D1123</f>
        <v>Existing production</v>
      </c>
      <c r="E1123" t="str">
        <f>Result_notebook_retravaill!E1123</f>
        <v>Current shares</v>
      </c>
      <c r="F1123" t="str">
        <f>Result_notebook_retravaill!F1123</f>
        <v>Status Quo</v>
      </c>
      <c r="G1123">
        <f>Result_notebook_retravaill!G1123</f>
        <v>5732.0456775822131</v>
      </c>
      <c r="H1123" s="32">
        <f>IF(Result_notebook_retravaill!I1123&gt;Result_notebook_retravaill!G1123,Result_notebook_retravaill!I1123/Result_notebook_retravaill!N1123,Result_notebook_retravaill!H1123)</f>
        <v>0</v>
      </c>
      <c r="I1123" s="32">
        <f>Result_notebook_retravaill!K1123</f>
        <v>9553.4094626370224</v>
      </c>
      <c r="J1123" s="32">
        <f>MIN(G1123,Result_notebook_retravaill!I1123)</f>
        <v>0</v>
      </c>
      <c r="K1123" s="32">
        <f>IF(Result_notebook_retravaill!I1123&gt;Result_notebook_retravaill!G1123,0,IF(Result_notebook_retravaill!I1123+Result_notebook_retravaill!J1123&gt;Result_notebook_retravaill!G1123,Result_notebook_retravaill!G1123-Result_notebook_retravaill!I1123,Result_notebook_retravaill!J1123))</f>
        <v>0</v>
      </c>
      <c r="L1123" s="32">
        <f>IF(Result_notebook_retravaill!I1123&gt;Result_notebook_retravaill!G1123,0,IF(Result_notebook_retravaill!I1123+Result_notebook_retravaill!J1123&gt;Result_notebook_retravaill!G1123,0,Result_notebook_retravaill!M1123))</f>
        <v>5732.0456775822131</v>
      </c>
      <c r="M1123" s="31">
        <f t="shared" si="17"/>
        <v>0</v>
      </c>
    </row>
    <row r="1124" spans="1:13" x14ac:dyDescent="0.35">
      <c r="A1124">
        <f>Result_notebook_retravaill!A1124</f>
        <v>2037</v>
      </c>
      <c r="B1124" t="str">
        <f>Result_notebook_retravaill!B1124</f>
        <v>Neodymium</v>
      </c>
      <c r="C1124" t="str">
        <f>Result_notebook_retravaill!C1124</f>
        <v>Global Net-zero</v>
      </c>
      <c r="D1124" t="str">
        <f>Result_notebook_retravaill!D1124</f>
        <v>Production potential</v>
      </c>
      <c r="E1124" t="str">
        <f>Result_notebook_retravaill!E1124</f>
        <v>Current shares</v>
      </c>
      <c r="F1124" t="str">
        <f>Result_notebook_retravaill!F1124</f>
        <v>Expansion Extractive</v>
      </c>
      <c r="G1124">
        <f>Result_notebook_retravaill!G1124</f>
        <v>5732.0456775822131</v>
      </c>
      <c r="H1124" s="32">
        <f>IF(Result_notebook_retravaill!I1124&gt;Result_notebook_retravaill!G1124,Result_notebook_retravaill!I1124/Result_notebook_retravaill!N1124,Result_notebook_retravaill!H1124)</f>
        <v>157.05645137680381</v>
      </c>
      <c r="I1124" s="32">
        <f>Result_notebook_retravaill!K1124</f>
        <v>9396.3530112602184</v>
      </c>
      <c r="J1124" s="32">
        <f>MIN(G1124,Result_notebook_retravaill!I1124)</f>
        <v>94.005183124447228</v>
      </c>
      <c r="K1124" s="32">
        <f>IF(Result_notebook_retravaill!I1124&gt;Result_notebook_retravaill!G1124,0,IF(Result_notebook_retravaill!I1124+Result_notebook_retravaill!J1124&gt;Result_notebook_retravaill!G1124,Result_notebook_retravaill!G1124-Result_notebook_retravaill!I1124,Result_notebook_retravaill!J1124))</f>
        <v>63.051268252356579</v>
      </c>
      <c r="L1124" s="32">
        <f>IF(Result_notebook_retravaill!I1124&gt;Result_notebook_retravaill!G1124,0,IF(Result_notebook_retravaill!I1124+Result_notebook_retravaill!J1124&gt;Result_notebook_retravaill!G1124,0,Result_notebook_retravaill!M1124))</f>
        <v>5574.9892262054091</v>
      </c>
      <c r="M1124" s="31">
        <f t="shared" si="17"/>
        <v>0</v>
      </c>
    </row>
    <row r="1125" spans="1:13" x14ac:dyDescent="0.35">
      <c r="A1125">
        <f>Result_notebook_retravaill!A1125</f>
        <v>2037</v>
      </c>
      <c r="B1125" t="str">
        <f>Result_notebook_retravaill!B1125</f>
        <v>Neodymium</v>
      </c>
      <c r="C1125" t="str">
        <f>Result_notebook_retravaill!C1125</f>
        <v>Global Net-zero</v>
      </c>
      <c r="D1125" t="str">
        <f>Result_notebook_retravaill!D1125</f>
        <v>Production potential</v>
      </c>
      <c r="E1125" t="str">
        <f>Result_notebook_retravaill!E1125</f>
        <v>Current shares</v>
      </c>
      <c r="F1125" t="str">
        <f>Result_notebook_retravaill!F1125</f>
        <v>Expansion Extractive+Circularity</v>
      </c>
      <c r="G1125">
        <f>Result_notebook_retravaill!G1125</f>
        <v>5732.0456775822131</v>
      </c>
      <c r="H1125" s="32">
        <f>IF(Result_notebook_retravaill!I1125&gt;Result_notebook_retravaill!G1125,Result_notebook_retravaill!I1125/Result_notebook_retravaill!N1125,Result_notebook_retravaill!H1125)</f>
        <v>157.05645137680381</v>
      </c>
      <c r="I1125" s="32">
        <f>Result_notebook_retravaill!K1125</f>
        <v>9396.3530112602184</v>
      </c>
      <c r="J1125" s="32">
        <f>MIN(G1125,Result_notebook_retravaill!I1125)</f>
        <v>94.005183124447228</v>
      </c>
      <c r="K1125" s="32">
        <f>IF(Result_notebook_retravaill!I1125&gt;Result_notebook_retravaill!G1125,0,IF(Result_notebook_retravaill!I1125+Result_notebook_retravaill!J1125&gt;Result_notebook_retravaill!G1125,Result_notebook_retravaill!G1125-Result_notebook_retravaill!I1125,Result_notebook_retravaill!J1125))</f>
        <v>63.051268252356579</v>
      </c>
      <c r="L1125" s="32">
        <f>IF(Result_notebook_retravaill!I1125&gt;Result_notebook_retravaill!G1125,0,IF(Result_notebook_retravaill!I1125+Result_notebook_retravaill!J1125&gt;Result_notebook_retravaill!G1125,0,Result_notebook_retravaill!M1125))</f>
        <v>5574.9892262054091</v>
      </c>
      <c r="M1125" s="31">
        <f t="shared" si="17"/>
        <v>0</v>
      </c>
    </row>
    <row r="1126" spans="1:13" x14ac:dyDescent="0.35">
      <c r="A1126">
        <f>Result_notebook_retravaill!A1126</f>
        <v>2037</v>
      </c>
      <c r="B1126" t="str">
        <f>Result_notebook_retravaill!B1126</f>
        <v>Neodymium</v>
      </c>
      <c r="C1126" t="str">
        <f>Result_notebook_retravaill!C1126</f>
        <v>Global Net-zero</v>
      </c>
      <c r="D1126" t="str">
        <f>Result_notebook_retravaill!D1126</f>
        <v>Production potential</v>
      </c>
      <c r="E1126" t="str">
        <f>Result_notebook_retravaill!E1126</f>
        <v>100% CAN</v>
      </c>
      <c r="F1126" t="str">
        <f>Result_notebook_retravaill!F1126</f>
        <v>Integrated</v>
      </c>
      <c r="G1126">
        <f>Result_notebook_retravaill!G1126</f>
        <v>5732.0456775822131</v>
      </c>
      <c r="H1126" s="32">
        <f>IF(Result_notebook_retravaill!I1126&gt;Result_notebook_retravaill!G1126,Result_notebook_retravaill!I1126/Result_notebook_retravaill!N1126,Result_notebook_retravaill!H1126)</f>
        <v>157.05645137680381</v>
      </c>
      <c r="I1126" s="32">
        <f>Result_notebook_retravaill!K1126</f>
        <v>9396.3530112602184</v>
      </c>
      <c r="J1126" s="32">
        <f>MIN(G1126,Result_notebook_retravaill!I1126)</f>
        <v>94.005183124447228</v>
      </c>
      <c r="K1126" s="32">
        <f>IF(Result_notebook_retravaill!I1126&gt;Result_notebook_retravaill!G1126,0,IF(Result_notebook_retravaill!I1126+Result_notebook_retravaill!J1126&gt;Result_notebook_retravaill!G1126,Result_notebook_retravaill!G1126-Result_notebook_retravaill!I1126,Result_notebook_retravaill!J1126))</f>
        <v>63.051268252356579</v>
      </c>
      <c r="L1126" s="32">
        <f>IF(Result_notebook_retravaill!I1126&gt;Result_notebook_retravaill!G1126,0,IF(Result_notebook_retravaill!I1126+Result_notebook_retravaill!J1126&gt;Result_notebook_retravaill!G1126,0,Result_notebook_retravaill!M1126))</f>
        <v>5574.9892262054091</v>
      </c>
      <c r="M1126" s="31">
        <f t="shared" si="17"/>
        <v>0</v>
      </c>
    </row>
    <row r="1127" spans="1:13" x14ac:dyDescent="0.35">
      <c r="A1127">
        <f>Result_notebook_retravaill!A1127</f>
        <v>2037</v>
      </c>
      <c r="B1127" t="str">
        <f>Result_notebook_retravaill!B1127</f>
        <v>Nickel</v>
      </c>
      <c r="C1127" t="str">
        <f>Result_notebook_retravaill!C1127</f>
        <v>Canada Net-zero</v>
      </c>
      <c r="D1127" t="str">
        <f>Result_notebook_retravaill!D1127</f>
        <v>Existing production</v>
      </c>
      <c r="E1127" t="str">
        <f>Result_notebook_retravaill!E1127</f>
        <v>Current shares</v>
      </c>
      <c r="F1127" t="str">
        <f>Result_notebook_retravaill!F1127</f>
        <v>NIMBY</v>
      </c>
      <c r="G1127">
        <f>Result_notebook_retravaill!G1127</f>
        <v>177436.22424093171</v>
      </c>
      <c r="H1127" s="32">
        <f>IF(Result_notebook_retravaill!I1127&gt;Result_notebook_retravaill!G1127,Result_notebook_retravaill!I1127/Result_notebook_retravaill!N1127,Result_notebook_retravaill!H1127)</f>
        <v>0</v>
      </c>
      <c r="I1127" s="32">
        <f>Result_notebook_retravaill!K1127</f>
        <v>224602.81549485019</v>
      </c>
      <c r="J1127" s="32">
        <f>MIN(G1127,Result_notebook_retravaill!I1127)</f>
        <v>0</v>
      </c>
      <c r="K1127" s="32">
        <f>IF(Result_notebook_retravaill!I1127&gt;Result_notebook_retravaill!G1127,0,IF(Result_notebook_retravaill!I1127+Result_notebook_retravaill!J1127&gt;Result_notebook_retravaill!G1127,Result_notebook_retravaill!G1127-Result_notebook_retravaill!I1127,Result_notebook_retravaill!J1127))</f>
        <v>0</v>
      </c>
      <c r="L1127" s="32">
        <f>IF(Result_notebook_retravaill!I1127&gt;Result_notebook_retravaill!G1127,0,IF(Result_notebook_retravaill!I1127+Result_notebook_retravaill!J1127&gt;Result_notebook_retravaill!G1127,0,Result_notebook_retravaill!M1127))</f>
        <v>177436.22424093171</v>
      </c>
      <c r="M1127" s="31">
        <f t="shared" si="17"/>
        <v>0</v>
      </c>
    </row>
    <row r="1128" spans="1:13" x14ac:dyDescent="0.35">
      <c r="A1128">
        <f>Result_notebook_retravaill!A1128</f>
        <v>2037</v>
      </c>
      <c r="B1128" t="str">
        <f>Result_notebook_retravaill!B1128</f>
        <v>Nickel</v>
      </c>
      <c r="C1128" t="str">
        <f>Result_notebook_retravaill!C1128</f>
        <v>Canada Net-zero</v>
      </c>
      <c r="D1128" t="str">
        <f>Result_notebook_retravaill!D1128</f>
        <v>Existing production</v>
      </c>
      <c r="E1128" t="str">
        <f>Result_notebook_retravaill!E1128</f>
        <v>Current shares</v>
      </c>
      <c r="F1128" t="str">
        <f>Result_notebook_retravaill!F1128</f>
        <v>Status Quo</v>
      </c>
      <c r="G1128">
        <f>Result_notebook_retravaill!G1128</f>
        <v>177436.22424093171</v>
      </c>
      <c r="H1128" s="32">
        <f>IF(Result_notebook_retravaill!I1128&gt;Result_notebook_retravaill!G1128,Result_notebook_retravaill!I1128/Result_notebook_retravaill!N1128,Result_notebook_retravaill!H1128)</f>
        <v>82660</v>
      </c>
      <c r="I1128" s="32">
        <f>Result_notebook_retravaill!K1128</f>
        <v>141942.81549485019</v>
      </c>
      <c r="J1128" s="32">
        <f>MIN(G1128,Result_notebook_retravaill!I1128)</f>
        <v>46362.344345082623</v>
      </c>
      <c r="K1128" s="32">
        <f>IF(Result_notebook_retravaill!I1128&gt;Result_notebook_retravaill!G1128,0,IF(Result_notebook_retravaill!I1128+Result_notebook_retravaill!J1128&gt;Result_notebook_retravaill!G1128,Result_notebook_retravaill!G1128-Result_notebook_retravaill!I1128,Result_notebook_retravaill!J1128))</f>
        <v>11431.086780795828</v>
      </c>
      <c r="L1128" s="32">
        <f>IF(Result_notebook_retravaill!I1128&gt;Result_notebook_retravaill!G1128,0,IF(Result_notebook_retravaill!I1128+Result_notebook_retravaill!J1128&gt;Result_notebook_retravaill!G1128,0,Result_notebook_retravaill!M1128))</f>
        <v>119642.79311505327</v>
      </c>
      <c r="M1128" s="31">
        <f t="shared" si="17"/>
        <v>0</v>
      </c>
    </row>
    <row r="1129" spans="1:13" x14ac:dyDescent="0.35">
      <c r="A1129">
        <f>Result_notebook_retravaill!A1129</f>
        <v>2037</v>
      </c>
      <c r="B1129" t="str">
        <f>Result_notebook_retravaill!B1129</f>
        <v>Nickel</v>
      </c>
      <c r="C1129" t="str">
        <f>Result_notebook_retravaill!C1129</f>
        <v>Canada Net-zero</v>
      </c>
      <c r="D1129" t="str">
        <f>Result_notebook_retravaill!D1129</f>
        <v>Production potential</v>
      </c>
      <c r="E1129" t="str">
        <f>Result_notebook_retravaill!E1129</f>
        <v>Current shares</v>
      </c>
      <c r="F1129" t="str">
        <f>Result_notebook_retravaill!F1129</f>
        <v>Expansion Extractive</v>
      </c>
      <c r="G1129">
        <f>Result_notebook_retravaill!G1129</f>
        <v>177436.22424093171</v>
      </c>
      <c r="H1129" s="32">
        <f>IF(Result_notebook_retravaill!I1129&gt;Result_notebook_retravaill!G1129,Result_notebook_retravaill!I1129/Result_notebook_retravaill!N1129,Result_notebook_retravaill!H1129)</f>
        <v>246851.46808035299</v>
      </c>
      <c r="I1129" s="32">
        <f>Result_notebook_retravaill!K1129</f>
        <v>0</v>
      </c>
      <c r="J1129" s="32">
        <f>MIN(G1129,Result_notebook_retravaill!I1129)</f>
        <v>138454.06200375629</v>
      </c>
      <c r="K1129" s="32">
        <f>IF(Result_notebook_retravaill!I1129&gt;Result_notebook_retravaill!G1129,0,IF(Result_notebook_retravaill!I1129+Result_notebook_retravaill!J1129&gt;Result_notebook_retravaill!G1129,Result_notebook_retravaill!G1129-Result_notebook_retravaill!I1129,Result_notebook_retravaill!J1129))</f>
        <v>34137.195180176233</v>
      </c>
      <c r="L1129" s="32">
        <f>IF(Result_notebook_retravaill!I1129&gt;Result_notebook_retravaill!G1129,0,IF(Result_notebook_retravaill!I1129+Result_notebook_retravaill!J1129&gt;Result_notebook_retravaill!G1129,0,Result_notebook_retravaill!M1129))</f>
        <v>4844.9670569991576</v>
      </c>
      <c r="M1129" s="31">
        <f t="shared" si="17"/>
        <v>0</v>
      </c>
    </row>
    <row r="1130" spans="1:13" x14ac:dyDescent="0.35">
      <c r="A1130">
        <f>Result_notebook_retravaill!A1130</f>
        <v>2037</v>
      </c>
      <c r="B1130" t="str">
        <f>Result_notebook_retravaill!B1130</f>
        <v>Nickel</v>
      </c>
      <c r="C1130" t="str">
        <f>Result_notebook_retravaill!C1130</f>
        <v>Canada Net-zero</v>
      </c>
      <c r="D1130" t="str">
        <f>Result_notebook_retravaill!D1130</f>
        <v>Production potential</v>
      </c>
      <c r="E1130" t="str">
        <f>Result_notebook_retravaill!E1130</f>
        <v>Current shares</v>
      </c>
      <c r="F1130" t="str">
        <f>Result_notebook_retravaill!F1130</f>
        <v>Expansion Extractive+Circularity</v>
      </c>
      <c r="G1130">
        <f>Result_notebook_retravaill!G1130</f>
        <v>177436.22424093171</v>
      </c>
      <c r="H1130" s="32">
        <f>IF(Result_notebook_retravaill!I1130&gt;Result_notebook_retravaill!G1130,Result_notebook_retravaill!I1130/Result_notebook_retravaill!N1130,Result_notebook_retravaill!H1130)</f>
        <v>246851.46808035299</v>
      </c>
      <c r="I1130" s="32">
        <f>Result_notebook_retravaill!K1130</f>
        <v>0</v>
      </c>
      <c r="J1130" s="32">
        <f>MIN(G1130,Result_notebook_retravaill!I1130)</f>
        <v>138454.06200375629</v>
      </c>
      <c r="K1130" s="32">
        <f>IF(Result_notebook_retravaill!I1130&gt;Result_notebook_retravaill!G1130,0,IF(Result_notebook_retravaill!I1130+Result_notebook_retravaill!J1130&gt;Result_notebook_retravaill!G1130,Result_notebook_retravaill!G1130-Result_notebook_retravaill!I1130,Result_notebook_retravaill!J1130))</f>
        <v>34137.195180176233</v>
      </c>
      <c r="L1130" s="32">
        <f>IF(Result_notebook_retravaill!I1130&gt;Result_notebook_retravaill!G1130,0,IF(Result_notebook_retravaill!I1130+Result_notebook_retravaill!J1130&gt;Result_notebook_retravaill!G1130,0,Result_notebook_retravaill!M1130))</f>
        <v>4844.9670569991576</v>
      </c>
      <c r="M1130" s="31">
        <f t="shared" si="17"/>
        <v>0</v>
      </c>
    </row>
    <row r="1131" spans="1:13" x14ac:dyDescent="0.35">
      <c r="A1131">
        <f>Result_notebook_retravaill!A1131</f>
        <v>2037</v>
      </c>
      <c r="B1131" t="str">
        <f>Result_notebook_retravaill!B1131</f>
        <v>Nickel</v>
      </c>
      <c r="C1131" t="str">
        <f>Result_notebook_retravaill!C1131</f>
        <v>Canada Net-zero</v>
      </c>
      <c r="D1131" t="str">
        <f>Result_notebook_retravaill!D1131</f>
        <v>Production potential</v>
      </c>
      <c r="E1131" t="str">
        <f>Result_notebook_retravaill!E1131</f>
        <v>100% CAN</v>
      </c>
      <c r="F1131" t="str">
        <f>Result_notebook_retravaill!F1131</f>
        <v>Integrated</v>
      </c>
      <c r="G1131">
        <f>Result_notebook_retravaill!G1131</f>
        <v>177436.22424093171</v>
      </c>
      <c r="H1131" s="32">
        <f>IF(Result_notebook_retravaill!I1131&gt;Result_notebook_retravaill!G1131,Result_notebook_retravaill!I1131/Result_notebook_retravaill!N1131,Result_notebook_retravaill!H1131)</f>
        <v>278056.80482139922</v>
      </c>
      <c r="I1131" s="32">
        <f>Result_notebook_retravaill!K1131</f>
        <v>0</v>
      </c>
      <c r="J1131" s="32">
        <f>MIN(G1131,Result_notebook_retravaill!I1131)</f>
        <v>177436.22424093171</v>
      </c>
      <c r="K1131" s="32">
        <f>IF(Result_notebook_retravaill!I1131&gt;Result_notebook_retravaill!G1131,0,IF(Result_notebook_retravaill!I1131+Result_notebook_retravaill!J1131&gt;Result_notebook_retravaill!G1131,Result_notebook_retravaill!G1131-Result_notebook_retravaill!I1131,Result_notebook_retravaill!J1131))</f>
        <v>0</v>
      </c>
      <c r="L1131" s="32">
        <f>IF(Result_notebook_retravaill!I1131&gt;Result_notebook_retravaill!G1131,0,IF(Result_notebook_retravaill!I1131+Result_notebook_retravaill!J1131&gt;Result_notebook_retravaill!G1131,0,Result_notebook_retravaill!M1131))</f>
        <v>0</v>
      </c>
      <c r="M1131" s="31">
        <f t="shared" si="17"/>
        <v>0</v>
      </c>
    </row>
    <row r="1132" spans="1:13" x14ac:dyDescent="0.35">
      <c r="A1132">
        <f>Result_notebook_retravaill!A1132</f>
        <v>2037</v>
      </c>
      <c r="B1132" t="str">
        <f>Result_notebook_retravaill!B1132</f>
        <v>Nickel</v>
      </c>
      <c r="C1132" t="str">
        <f>Result_notebook_retravaill!C1132</f>
        <v>Current Measures</v>
      </c>
      <c r="D1132" t="str">
        <f>Result_notebook_retravaill!D1132</f>
        <v>Existing production</v>
      </c>
      <c r="E1132" t="str">
        <f>Result_notebook_retravaill!E1132</f>
        <v>Current shares</v>
      </c>
      <c r="F1132" t="str">
        <f>Result_notebook_retravaill!F1132</f>
        <v>NIMBY</v>
      </c>
      <c r="G1132">
        <f>Result_notebook_retravaill!G1132</f>
        <v>69481.842507553956</v>
      </c>
      <c r="H1132" s="32">
        <f>IF(Result_notebook_retravaill!I1132&gt;Result_notebook_retravaill!G1132,Result_notebook_retravaill!I1132/Result_notebook_retravaill!N1132,Result_notebook_retravaill!H1132)</f>
        <v>0</v>
      </c>
      <c r="I1132" s="32">
        <f>Result_notebook_retravaill!K1132</f>
        <v>87951.699376650577</v>
      </c>
      <c r="J1132" s="32">
        <f>MIN(G1132,Result_notebook_retravaill!I1132)</f>
        <v>0</v>
      </c>
      <c r="K1132" s="32">
        <f>IF(Result_notebook_retravaill!I1132&gt;Result_notebook_retravaill!G1132,0,IF(Result_notebook_retravaill!I1132+Result_notebook_retravaill!J1132&gt;Result_notebook_retravaill!G1132,Result_notebook_retravaill!G1132-Result_notebook_retravaill!I1132,Result_notebook_retravaill!J1132))</f>
        <v>0</v>
      </c>
      <c r="L1132" s="32">
        <f>IF(Result_notebook_retravaill!I1132&gt;Result_notebook_retravaill!G1132,0,IF(Result_notebook_retravaill!I1132+Result_notebook_retravaill!J1132&gt;Result_notebook_retravaill!G1132,0,Result_notebook_retravaill!M1132))</f>
        <v>69481.842507553956</v>
      </c>
      <c r="M1132" s="31">
        <f t="shared" si="17"/>
        <v>0</v>
      </c>
    </row>
    <row r="1133" spans="1:13" x14ac:dyDescent="0.35">
      <c r="A1133">
        <f>Result_notebook_retravaill!A1133</f>
        <v>2037</v>
      </c>
      <c r="B1133" t="str">
        <f>Result_notebook_retravaill!B1133</f>
        <v>Nickel</v>
      </c>
      <c r="C1133" t="str">
        <f>Result_notebook_retravaill!C1133</f>
        <v>Current Measures</v>
      </c>
      <c r="D1133" t="str">
        <f>Result_notebook_retravaill!D1133</f>
        <v>Existing production</v>
      </c>
      <c r="E1133" t="str">
        <f>Result_notebook_retravaill!E1133</f>
        <v>Current shares</v>
      </c>
      <c r="F1133" t="str">
        <f>Result_notebook_retravaill!F1133</f>
        <v>Status Quo</v>
      </c>
      <c r="G1133">
        <f>Result_notebook_retravaill!G1133</f>
        <v>69481.842507553956</v>
      </c>
      <c r="H1133" s="32">
        <f>IF(Result_notebook_retravaill!I1133&gt;Result_notebook_retravaill!G1133,Result_notebook_retravaill!I1133/Result_notebook_retravaill!N1133,Result_notebook_retravaill!H1133)</f>
        <v>82660</v>
      </c>
      <c r="I1133" s="32">
        <f>Result_notebook_retravaill!K1133</f>
        <v>5291.6993766505766</v>
      </c>
      <c r="J1133" s="32">
        <f>MIN(G1133,Result_notebook_retravaill!I1133)</f>
        <v>46362.344345082623</v>
      </c>
      <c r="K1133" s="32">
        <f>IF(Result_notebook_retravaill!I1133&gt;Result_notebook_retravaill!G1133,0,IF(Result_notebook_retravaill!I1133+Result_notebook_retravaill!J1133&gt;Result_notebook_retravaill!G1133,Result_notebook_retravaill!G1133-Result_notebook_retravaill!I1133,Result_notebook_retravaill!J1133))</f>
        <v>11431.086780795828</v>
      </c>
      <c r="L1133" s="32">
        <f>IF(Result_notebook_retravaill!I1133&gt;Result_notebook_retravaill!G1133,0,IF(Result_notebook_retravaill!I1133+Result_notebook_retravaill!J1133&gt;Result_notebook_retravaill!G1133,0,Result_notebook_retravaill!M1133))</f>
        <v>11688.411381675502</v>
      </c>
      <c r="M1133" s="31">
        <f t="shared" si="17"/>
        <v>0</v>
      </c>
    </row>
    <row r="1134" spans="1:13" x14ac:dyDescent="0.35">
      <c r="A1134">
        <f>Result_notebook_retravaill!A1134</f>
        <v>2037</v>
      </c>
      <c r="B1134" t="str">
        <f>Result_notebook_retravaill!B1134</f>
        <v>Nickel</v>
      </c>
      <c r="C1134" t="str">
        <f>Result_notebook_retravaill!C1134</f>
        <v>Current Measures</v>
      </c>
      <c r="D1134" t="str">
        <f>Result_notebook_retravaill!D1134</f>
        <v>Production potential</v>
      </c>
      <c r="E1134" t="str">
        <f>Result_notebook_retravaill!E1134</f>
        <v>Current shares</v>
      </c>
      <c r="F1134" t="str">
        <f>Result_notebook_retravaill!F1134</f>
        <v>Expansion Extractive</v>
      </c>
      <c r="G1134">
        <f>Result_notebook_retravaill!G1134</f>
        <v>69481.842507553956</v>
      </c>
      <c r="H1134" s="32">
        <f>IF(Result_notebook_retravaill!I1134&gt;Result_notebook_retravaill!G1134,Result_notebook_retravaill!I1134/Result_notebook_retravaill!N1134,Result_notebook_retravaill!H1134)</f>
        <v>198026.18640695108</v>
      </c>
      <c r="I1134" s="32">
        <f>Result_notebook_retravaill!K1134</f>
        <v>0</v>
      </c>
      <c r="J1134" s="32">
        <f>MIN(G1134,Result_notebook_retravaill!I1134)</f>
        <v>69481.842507553956</v>
      </c>
      <c r="K1134" s="32">
        <f>IF(Result_notebook_retravaill!I1134&gt;Result_notebook_retravaill!G1134,0,IF(Result_notebook_retravaill!I1134+Result_notebook_retravaill!J1134&gt;Result_notebook_retravaill!G1134,Result_notebook_retravaill!G1134-Result_notebook_retravaill!I1134,Result_notebook_retravaill!J1134))</f>
        <v>0</v>
      </c>
      <c r="L1134" s="32">
        <f>IF(Result_notebook_retravaill!I1134&gt;Result_notebook_retravaill!G1134,0,IF(Result_notebook_retravaill!I1134+Result_notebook_retravaill!J1134&gt;Result_notebook_retravaill!G1134,0,Result_notebook_retravaill!M1134))</f>
        <v>0</v>
      </c>
      <c r="M1134" s="31">
        <f t="shared" si="17"/>
        <v>0</v>
      </c>
    </row>
    <row r="1135" spans="1:13" x14ac:dyDescent="0.35">
      <c r="A1135">
        <f>Result_notebook_retravaill!A1135</f>
        <v>2037</v>
      </c>
      <c r="B1135" t="str">
        <f>Result_notebook_retravaill!B1135</f>
        <v>Nickel</v>
      </c>
      <c r="C1135" t="str">
        <f>Result_notebook_retravaill!C1135</f>
        <v>Current Measures</v>
      </c>
      <c r="D1135" t="str">
        <f>Result_notebook_retravaill!D1135</f>
        <v>Production potential</v>
      </c>
      <c r="E1135" t="str">
        <f>Result_notebook_retravaill!E1135</f>
        <v>Current shares</v>
      </c>
      <c r="F1135" t="str">
        <f>Result_notebook_retravaill!F1135</f>
        <v>Expansion Extractive+Circularity</v>
      </c>
      <c r="G1135">
        <f>Result_notebook_retravaill!G1135</f>
        <v>69481.842507553956</v>
      </c>
      <c r="H1135" s="32">
        <f>IF(Result_notebook_retravaill!I1135&gt;Result_notebook_retravaill!G1135,Result_notebook_retravaill!I1135/Result_notebook_retravaill!N1135,Result_notebook_retravaill!H1135)</f>
        <v>198026.18640695108</v>
      </c>
      <c r="I1135" s="32">
        <f>Result_notebook_retravaill!K1135</f>
        <v>0</v>
      </c>
      <c r="J1135" s="32">
        <f>MIN(G1135,Result_notebook_retravaill!I1135)</f>
        <v>69481.842507553956</v>
      </c>
      <c r="K1135" s="32">
        <f>IF(Result_notebook_retravaill!I1135&gt;Result_notebook_retravaill!G1135,0,IF(Result_notebook_retravaill!I1135+Result_notebook_retravaill!J1135&gt;Result_notebook_retravaill!G1135,Result_notebook_retravaill!G1135-Result_notebook_retravaill!I1135,Result_notebook_retravaill!J1135))</f>
        <v>0</v>
      </c>
      <c r="L1135" s="32">
        <f>IF(Result_notebook_retravaill!I1135&gt;Result_notebook_retravaill!G1135,0,IF(Result_notebook_retravaill!I1135+Result_notebook_retravaill!J1135&gt;Result_notebook_retravaill!G1135,0,Result_notebook_retravaill!M1135))</f>
        <v>0</v>
      </c>
      <c r="M1135" s="31">
        <f t="shared" si="17"/>
        <v>0</v>
      </c>
    </row>
    <row r="1136" spans="1:13" x14ac:dyDescent="0.35">
      <c r="A1136">
        <f>Result_notebook_retravaill!A1136</f>
        <v>2037</v>
      </c>
      <c r="B1136" t="str">
        <f>Result_notebook_retravaill!B1136</f>
        <v>Nickel</v>
      </c>
      <c r="C1136" t="str">
        <f>Result_notebook_retravaill!C1136</f>
        <v>Current Measures</v>
      </c>
      <c r="D1136" t="str">
        <f>Result_notebook_retravaill!D1136</f>
        <v>Production potential</v>
      </c>
      <c r="E1136" t="str">
        <f>Result_notebook_retravaill!E1136</f>
        <v>100% CAN</v>
      </c>
      <c r="F1136" t="str">
        <f>Result_notebook_retravaill!F1136</f>
        <v>Integrated</v>
      </c>
      <c r="G1136">
        <f>Result_notebook_retravaill!G1136</f>
        <v>69481.842507553956</v>
      </c>
      <c r="H1136" s="32">
        <f>IF(Result_notebook_retravaill!I1136&gt;Result_notebook_retravaill!G1136,Result_notebook_retravaill!I1136/Result_notebook_retravaill!N1136,Result_notebook_retravaill!H1136)</f>
        <v>278056.80482139922</v>
      </c>
      <c r="I1136" s="32">
        <f>Result_notebook_retravaill!K1136</f>
        <v>0</v>
      </c>
      <c r="J1136" s="32">
        <f>MIN(G1136,Result_notebook_retravaill!I1136)</f>
        <v>69481.842507553956</v>
      </c>
      <c r="K1136" s="32">
        <f>IF(Result_notebook_retravaill!I1136&gt;Result_notebook_retravaill!G1136,0,IF(Result_notebook_retravaill!I1136+Result_notebook_retravaill!J1136&gt;Result_notebook_retravaill!G1136,Result_notebook_retravaill!G1136-Result_notebook_retravaill!I1136,Result_notebook_retravaill!J1136))</f>
        <v>0</v>
      </c>
      <c r="L1136" s="32">
        <f>IF(Result_notebook_retravaill!I1136&gt;Result_notebook_retravaill!G1136,0,IF(Result_notebook_retravaill!I1136+Result_notebook_retravaill!J1136&gt;Result_notebook_retravaill!G1136,0,Result_notebook_retravaill!M1136))</f>
        <v>0</v>
      </c>
      <c r="M1136" s="31">
        <f t="shared" si="17"/>
        <v>0</v>
      </c>
    </row>
    <row r="1137" spans="1:13" x14ac:dyDescent="0.35">
      <c r="A1137">
        <f>Result_notebook_retravaill!A1137</f>
        <v>2037</v>
      </c>
      <c r="B1137" t="str">
        <f>Result_notebook_retravaill!B1137</f>
        <v>Nickel</v>
      </c>
      <c r="C1137" t="str">
        <f>Result_notebook_retravaill!C1137</f>
        <v>Global Net-zero</v>
      </c>
      <c r="D1137" t="str">
        <f>Result_notebook_retravaill!D1137</f>
        <v>Existing production</v>
      </c>
      <c r="E1137" t="str">
        <f>Result_notebook_retravaill!E1137</f>
        <v>Current shares</v>
      </c>
      <c r="F1137" t="str">
        <f>Result_notebook_retravaill!F1137</f>
        <v>NIMBY</v>
      </c>
      <c r="G1137">
        <f>Result_notebook_retravaill!G1137</f>
        <v>170535.0212582692</v>
      </c>
      <c r="H1137" s="32">
        <f>IF(Result_notebook_retravaill!I1137&gt;Result_notebook_retravaill!G1137,Result_notebook_retravaill!I1137/Result_notebook_retravaill!N1137,Result_notebook_retravaill!H1137)</f>
        <v>0</v>
      </c>
      <c r="I1137" s="32">
        <f>Result_notebook_retravaill!K1137</f>
        <v>215867.11551679639</v>
      </c>
      <c r="J1137" s="32">
        <f>MIN(G1137,Result_notebook_retravaill!I1137)</f>
        <v>0</v>
      </c>
      <c r="K1137" s="32">
        <f>IF(Result_notebook_retravaill!I1137&gt;Result_notebook_retravaill!G1137,0,IF(Result_notebook_retravaill!I1137+Result_notebook_retravaill!J1137&gt;Result_notebook_retravaill!G1137,Result_notebook_retravaill!G1137-Result_notebook_retravaill!I1137,Result_notebook_retravaill!J1137))</f>
        <v>0</v>
      </c>
      <c r="L1137" s="32">
        <f>IF(Result_notebook_retravaill!I1137&gt;Result_notebook_retravaill!G1137,0,IF(Result_notebook_retravaill!I1137+Result_notebook_retravaill!J1137&gt;Result_notebook_retravaill!G1137,0,Result_notebook_retravaill!M1137))</f>
        <v>170535.0212582692</v>
      </c>
      <c r="M1137" s="31">
        <f t="shared" si="17"/>
        <v>0</v>
      </c>
    </row>
    <row r="1138" spans="1:13" x14ac:dyDescent="0.35">
      <c r="A1138">
        <f>Result_notebook_retravaill!A1138</f>
        <v>2037</v>
      </c>
      <c r="B1138" t="str">
        <f>Result_notebook_retravaill!B1138</f>
        <v>Nickel</v>
      </c>
      <c r="C1138" t="str">
        <f>Result_notebook_retravaill!C1138</f>
        <v>Global Net-zero</v>
      </c>
      <c r="D1138" t="str">
        <f>Result_notebook_retravaill!D1138</f>
        <v>Existing production</v>
      </c>
      <c r="E1138" t="str">
        <f>Result_notebook_retravaill!E1138</f>
        <v>Current shares</v>
      </c>
      <c r="F1138" t="str">
        <f>Result_notebook_retravaill!F1138</f>
        <v>Status Quo</v>
      </c>
      <c r="G1138">
        <f>Result_notebook_retravaill!G1138</f>
        <v>170535.0212582692</v>
      </c>
      <c r="H1138" s="32">
        <f>IF(Result_notebook_retravaill!I1138&gt;Result_notebook_retravaill!G1138,Result_notebook_retravaill!I1138/Result_notebook_retravaill!N1138,Result_notebook_retravaill!H1138)</f>
        <v>82660</v>
      </c>
      <c r="I1138" s="32">
        <f>Result_notebook_retravaill!K1138</f>
        <v>133207.11551679639</v>
      </c>
      <c r="J1138" s="32">
        <f>MIN(G1138,Result_notebook_retravaill!I1138)</f>
        <v>46362.344345082623</v>
      </c>
      <c r="K1138" s="32">
        <f>IF(Result_notebook_retravaill!I1138&gt;Result_notebook_retravaill!G1138,0,IF(Result_notebook_retravaill!I1138+Result_notebook_retravaill!J1138&gt;Result_notebook_retravaill!G1138,Result_notebook_retravaill!G1138-Result_notebook_retravaill!I1138,Result_notebook_retravaill!J1138))</f>
        <v>11431.086780795828</v>
      </c>
      <c r="L1138" s="32">
        <f>IF(Result_notebook_retravaill!I1138&gt;Result_notebook_retravaill!G1138,0,IF(Result_notebook_retravaill!I1138+Result_notebook_retravaill!J1138&gt;Result_notebook_retravaill!G1138,0,Result_notebook_retravaill!M1138))</f>
        <v>112741.59013239077</v>
      </c>
      <c r="M1138" s="31">
        <f t="shared" si="17"/>
        <v>0</v>
      </c>
    </row>
    <row r="1139" spans="1:13" x14ac:dyDescent="0.35">
      <c r="A1139">
        <f>Result_notebook_retravaill!A1139</f>
        <v>2037</v>
      </c>
      <c r="B1139" t="str">
        <f>Result_notebook_retravaill!B1139</f>
        <v>Nickel</v>
      </c>
      <c r="C1139" t="str">
        <f>Result_notebook_retravaill!C1139</f>
        <v>Global Net-zero</v>
      </c>
      <c r="D1139" t="str">
        <f>Result_notebook_retravaill!D1139</f>
        <v>Production potential</v>
      </c>
      <c r="E1139" t="str">
        <f>Result_notebook_retravaill!E1139</f>
        <v>Current shares</v>
      </c>
      <c r="F1139" t="str">
        <f>Result_notebook_retravaill!F1139</f>
        <v>Expansion Extractive</v>
      </c>
      <c r="G1139">
        <f>Result_notebook_retravaill!G1139</f>
        <v>170535.0212582692</v>
      </c>
      <c r="H1139" s="32">
        <f>IF(Result_notebook_retravaill!I1139&gt;Result_notebook_retravaill!G1139,Result_notebook_retravaill!I1139/Result_notebook_retravaill!N1139,Result_notebook_retravaill!H1139)</f>
        <v>246851.46808035299</v>
      </c>
      <c r="I1139" s="32">
        <f>Result_notebook_retravaill!K1139</f>
        <v>0</v>
      </c>
      <c r="J1139" s="32">
        <f>MIN(G1139,Result_notebook_retravaill!I1139)</f>
        <v>138454.06200375629</v>
      </c>
      <c r="K1139" s="32">
        <f>IF(Result_notebook_retravaill!I1139&gt;Result_notebook_retravaill!G1139,0,IF(Result_notebook_retravaill!I1139+Result_notebook_retravaill!J1139&gt;Result_notebook_retravaill!G1139,Result_notebook_retravaill!G1139-Result_notebook_retravaill!I1139,Result_notebook_retravaill!J1139))</f>
        <v>32080.959254512913</v>
      </c>
      <c r="L1139" s="32">
        <f>IF(Result_notebook_retravaill!I1139&gt;Result_notebook_retravaill!G1139,0,IF(Result_notebook_retravaill!I1139+Result_notebook_retravaill!J1139&gt;Result_notebook_retravaill!G1139,0,Result_notebook_retravaill!M1139))</f>
        <v>0</v>
      </c>
      <c r="M1139" s="31">
        <f t="shared" si="17"/>
        <v>0</v>
      </c>
    </row>
    <row r="1140" spans="1:13" x14ac:dyDescent="0.35">
      <c r="A1140">
        <f>Result_notebook_retravaill!A1140</f>
        <v>2037</v>
      </c>
      <c r="B1140" t="str">
        <f>Result_notebook_retravaill!B1140</f>
        <v>Nickel</v>
      </c>
      <c r="C1140" t="str">
        <f>Result_notebook_retravaill!C1140</f>
        <v>Global Net-zero</v>
      </c>
      <c r="D1140" t="str">
        <f>Result_notebook_retravaill!D1140</f>
        <v>Production potential</v>
      </c>
      <c r="E1140" t="str">
        <f>Result_notebook_retravaill!E1140</f>
        <v>Current shares</v>
      </c>
      <c r="F1140" t="str">
        <f>Result_notebook_retravaill!F1140</f>
        <v>Expansion Extractive+Circularity</v>
      </c>
      <c r="G1140">
        <f>Result_notebook_retravaill!G1140</f>
        <v>170535.0212582692</v>
      </c>
      <c r="H1140" s="32">
        <f>IF(Result_notebook_retravaill!I1140&gt;Result_notebook_retravaill!G1140,Result_notebook_retravaill!I1140/Result_notebook_retravaill!N1140,Result_notebook_retravaill!H1140)</f>
        <v>246851.46808035299</v>
      </c>
      <c r="I1140" s="32">
        <f>Result_notebook_retravaill!K1140</f>
        <v>0</v>
      </c>
      <c r="J1140" s="32">
        <f>MIN(G1140,Result_notebook_retravaill!I1140)</f>
        <v>138454.06200375629</v>
      </c>
      <c r="K1140" s="32">
        <f>IF(Result_notebook_retravaill!I1140&gt;Result_notebook_retravaill!G1140,0,IF(Result_notebook_retravaill!I1140+Result_notebook_retravaill!J1140&gt;Result_notebook_retravaill!G1140,Result_notebook_retravaill!G1140-Result_notebook_retravaill!I1140,Result_notebook_retravaill!J1140))</f>
        <v>32080.959254512913</v>
      </c>
      <c r="L1140" s="32">
        <f>IF(Result_notebook_retravaill!I1140&gt;Result_notebook_retravaill!G1140,0,IF(Result_notebook_retravaill!I1140+Result_notebook_retravaill!J1140&gt;Result_notebook_retravaill!G1140,0,Result_notebook_retravaill!M1140))</f>
        <v>0</v>
      </c>
      <c r="M1140" s="31">
        <f t="shared" si="17"/>
        <v>0</v>
      </c>
    </row>
    <row r="1141" spans="1:13" x14ac:dyDescent="0.35">
      <c r="A1141">
        <f>Result_notebook_retravaill!A1141</f>
        <v>2037</v>
      </c>
      <c r="B1141" t="str">
        <f>Result_notebook_retravaill!B1141</f>
        <v>Nickel</v>
      </c>
      <c r="C1141" t="str">
        <f>Result_notebook_retravaill!C1141</f>
        <v>Global Net-zero</v>
      </c>
      <c r="D1141" t="str">
        <f>Result_notebook_retravaill!D1141</f>
        <v>Production potential</v>
      </c>
      <c r="E1141" t="str">
        <f>Result_notebook_retravaill!E1141</f>
        <v>100% CAN</v>
      </c>
      <c r="F1141" t="str">
        <f>Result_notebook_retravaill!F1141</f>
        <v>Integrated</v>
      </c>
      <c r="G1141">
        <f>Result_notebook_retravaill!G1141</f>
        <v>170535.0212582692</v>
      </c>
      <c r="H1141" s="32">
        <f>IF(Result_notebook_retravaill!I1141&gt;Result_notebook_retravaill!G1141,Result_notebook_retravaill!I1141/Result_notebook_retravaill!N1141,Result_notebook_retravaill!H1141)</f>
        <v>278056.80482139922</v>
      </c>
      <c r="I1141" s="32">
        <f>Result_notebook_retravaill!K1141</f>
        <v>0</v>
      </c>
      <c r="J1141" s="32">
        <f>MIN(G1141,Result_notebook_retravaill!I1141)</f>
        <v>170535.0212582692</v>
      </c>
      <c r="K1141" s="32">
        <f>IF(Result_notebook_retravaill!I1141&gt;Result_notebook_retravaill!G1141,0,IF(Result_notebook_retravaill!I1141+Result_notebook_retravaill!J1141&gt;Result_notebook_retravaill!G1141,Result_notebook_retravaill!G1141-Result_notebook_retravaill!I1141,Result_notebook_retravaill!J1141))</f>
        <v>0</v>
      </c>
      <c r="L1141" s="32">
        <f>IF(Result_notebook_retravaill!I1141&gt;Result_notebook_retravaill!G1141,0,IF(Result_notebook_retravaill!I1141+Result_notebook_retravaill!J1141&gt;Result_notebook_retravaill!G1141,0,Result_notebook_retravaill!M1141))</f>
        <v>0</v>
      </c>
      <c r="M1141" s="31">
        <f t="shared" si="17"/>
        <v>0</v>
      </c>
    </row>
    <row r="1142" spans="1:13" x14ac:dyDescent="0.35">
      <c r="A1142">
        <f>Result_notebook_retravaill!A1142</f>
        <v>2037</v>
      </c>
      <c r="B1142" t="str">
        <f>Result_notebook_retravaill!B1142</f>
        <v>Graphite</v>
      </c>
      <c r="C1142" t="str">
        <f>Result_notebook_retravaill!C1142</f>
        <v>Canada Net-zero</v>
      </c>
      <c r="D1142" t="str">
        <f>Result_notebook_retravaill!D1142</f>
        <v>Existing production</v>
      </c>
      <c r="E1142" t="str">
        <f>Result_notebook_retravaill!E1142</f>
        <v>Current shares</v>
      </c>
      <c r="F1142" t="str">
        <f>Result_notebook_retravaill!F1142</f>
        <v>NIMBY</v>
      </c>
      <c r="G1142">
        <f>Result_notebook_retravaill!G1142</f>
        <v>3230.4798003226651</v>
      </c>
      <c r="H1142" s="32">
        <f>IF(Result_notebook_retravaill!I1142&gt;Result_notebook_retravaill!G1142,Result_notebook_retravaill!I1142/Result_notebook_retravaill!N1142,Result_notebook_retravaill!H1142)</f>
        <v>0</v>
      </c>
      <c r="I1142" s="32">
        <f>Result_notebook_retravaill!K1142</f>
        <v>3230.4798003226651</v>
      </c>
      <c r="J1142" s="32">
        <f>MIN(G1142,Result_notebook_retravaill!I1142)</f>
        <v>0</v>
      </c>
      <c r="K1142" s="32">
        <f>IF(Result_notebook_retravaill!I1142&gt;Result_notebook_retravaill!G1142,0,IF(Result_notebook_retravaill!I1142+Result_notebook_retravaill!J1142&gt;Result_notebook_retravaill!G1142,Result_notebook_retravaill!G1142-Result_notebook_retravaill!I1142,Result_notebook_retravaill!J1142))</f>
        <v>0</v>
      </c>
      <c r="L1142" s="32">
        <f>IF(Result_notebook_retravaill!I1142&gt;Result_notebook_retravaill!G1142,0,IF(Result_notebook_retravaill!I1142+Result_notebook_retravaill!J1142&gt;Result_notebook_retravaill!G1142,0,Result_notebook_retravaill!M1142))</f>
        <v>3230.4798003226651</v>
      </c>
      <c r="M1142" s="31">
        <f t="shared" si="17"/>
        <v>0</v>
      </c>
    </row>
    <row r="1143" spans="1:13" x14ac:dyDescent="0.35">
      <c r="A1143">
        <f>Result_notebook_retravaill!A1143</f>
        <v>2037</v>
      </c>
      <c r="B1143" t="str">
        <f>Result_notebook_retravaill!B1143</f>
        <v>Graphite</v>
      </c>
      <c r="C1143" t="str">
        <f>Result_notebook_retravaill!C1143</f>
        <v>Canada Net-zero</v>
      </c>
      <c r="D1143" t="str">
        <f>Result_notebook_retravaill!D1143</f>
        <v>Existing production</v>
      </c>
      <c r="E1143" t="str">
        <f>Result_notebook_retravaill!E1143</f>
        <v>Current shares</v>
      </c>
      <c r="F1143" t="str">
        <f>Result_notebook_retravaill!F1143</f>
        <v>Status Quo</v>
      </c>
      <c r="G1143">
        <f>Result_notebook_retravaill!G1143</f>
        <v>3230.4798003226651</v>
      </c>
      <c r="H1143" s="32">
        <f>IF(Result_notebook_retravaill!I1143&gt;Result_notebook_retravaill!G1143,Result_notebook_retravaill!I1143/Result_notebook_retravaill!N1143,Result_notebook_retravaill!H1143)</f>
        <v>0</v>
      </c>
      <c r="I1143" s="32">
        <f>Result_notebook_retravaill!K1143</f>
        <v>3230.4798003226651</v>
      </c>
      <c r="J1143" s="32">
        <f>MIN(G1143,Result_notebook_retravaill!I1143)</f>
        <v>0</v>
      </c>
      <c r="K1143" s="32">
        <f>IF(Result_notebook_retravaill!I1143&gt;Result_notebook_retravaill!G1143,0,IF(Result_notebook_retravaill!I1143+Result_notebook_retravaill!J1143&gt;Result_notebook_retravaill!G1143,Result_notebook_retravaill!G1143-Result_notebook_retravaill!I1143,Result_notebook_retravaill!J1143))</f>
        <v>0</v>
      </c>
      <c r="L1143" s="32">
        <f>IF(Result_notebook_retravaill!I1143&gt;Result_notebook_retravaill!G1143,0,IF(Result_notebook_retravaill!I1143+Result_notebook_retravaill!J1143&gt;Result_notebook_retravaill!G1143,0,Result_notebook_retravaill!M1143))</f>
        <v>3230.4798003226651</v>
      </c>
      <c r="M1143" s="31">
        <f t="shared" si="17"/>
        <v>0</v>
      </c>
    </row>
    <row r="1144" spans="1:13" x14ac:dyDescent="0.35">
      <c r="A1144">
        <f>Result_notebook_retravaill!A1144</f>
        <v>2037</v>
      </c>
      <c r="B1144" t="str">
        <f>Result_notebook_retravaill!B1144</f>
        <v>Graphite</v>
      </c>
      <c r="C1144" t="str">
        <f>Result_notebook_retravaill!C1144</f>
        <v>Canada Net-zero</v>
      </c>
      <c r="D1144" t="str">
        <f>Result_notebook_retravaill!D1144</f>
        <v>Production potential</v>
      </c>
      <c r="E1144" t="str">
        <f>Result_notebook_retravaill!E1144</f>
        <v>Current shares</v>
      </c>
      <c r="F1144" t="str">
        <f>Result_notebook_retravaill!F1144</f>
        <v>Expansion Extractive</v>
      </c>
      <c r="G1144">
        <f>Result_notebook_retravaill!G1144</f>
        <v>3230.4798003226651</v>
      </c>
      <c r="H1144" s="32">
        <f>IF(Result_notebook_retravaill!I1144&gt;Result_notebook_retravaill!G1144,Result_notebook_retravaill!I1144/Result_notebook_retravaill!N1144,Result_notebook_retravaill!H1144)</f>
        <v>125561.57551128366</v>
      </c>
      <c r="I1144" s="32">
        <f>Result_notebook_retravaill!K1144</f>
        <v>0</v>
      </c>
      <c r="J1144" s="32">
        <f>MIN(G1144,Result_notebook_retravaill!I1144)</f>
        <v>3230.4798003226651</v>
      </c>
      <c r="K1144" s="32">
        <f>IF(Result_notebook_retravaill!I1144&gt;Result_notebook_retravaill!G1144,0,IF(Result_notebook_retravaill!I1144+Result_notebook_retravaill!J1144&gt;Result_notebook_retravaill!G1144,Result_notebook_retravaill!G1144-Result_notebook_retravaill!I1144,Result_notebook_retravaill!J1144))</f>
        <v>0</v>
      </c>
      <c r="L1144" s="32">
        <f>IF(Result_notebook_retravaill!I1144&gt;Result_notebook_retravaill!G1144,0,IF(Result_notebook_retravaill!I1144+Result_notebook_retravaill!J1144&gt;Result_notebook_retravaill!G1144,0,Result_notebook_retravaill!M1144))</f>
        <v>0</v>
      </c>
      <c r="M1144" s="31">
        <f t="shared" si="17"/>
        <v>0</v>
      </c>
    </row>
    <row r="1145" spans="1:13" x14ac:dyDescent="0.35">
      <c r="A1145">
        <f>Result_notebook_retravaill!A1145</f>
        <v>2037</v>
      </c>
      <c r="B1145" t="str">
        <f>Result_notebook_retravaill!B1145</f>
        <v>Graphite</v>
      </c>
      <c r="C1145" t="str">
        <f>Result_notebook_retravaill!C1145</f>
        <v>Canada Net-zero</v>
      </c>
      <c r="D1145" t="str">
        <f>Result_notebook_retravaill!D1145</f>
        <v>Production potential</v>
      </c>
      <c r="E1145" t="str">
        <f>Result_notebook_retravaill!E1145</f>
        <v>Current shares</v>
      </c>
      <c r="F1145" t="str">
        <f>Result_notebook_retravaill!F1145</f>
        <v>Expansion Extractive+Circularity</v>
      </c>
      <c r="G1145">
        <f>Result_notebook_retravaill!G1145</f>
        <v>3230.4798003226651</v>
      </c>
      <c r="H1145" s="32">
        <f>IF(Result_notebook_retravaill!I1145&gt;Result_notebook_retravaill!G1145,Result_notebook_retravaill!I1145/Result_notebook_retravaill!N1145,Result_notebook_retravaill!H1145)</f>
        <v>125561.57551128366</v>
      </c>
      <c r="I1145" s="32">
        <f>Result_notebook_retravaill!K1145</f>
        <v>0</v>
      </c>
      <c r="J1145" s="32">
        <f>MIN(G1145,Result_notebook_retravaill!I1145)</f>
        <v>3230.4798003226651</v>
      </c>
      <c r="K1145" s="32">
        <f>IF(Result_notebook_retravaill!I1145&gt;Result_notebook_retravaill!G1145,0,IF(Result_notebook_retravaill!I1145+Result_notebook_retravaill!J1145&gt;Result_notebook_retravaill!G1145,Result_notebook_retravaill!G1145-Result_notebook_retravaill!I1145,Result_notebook_retravaill!J1145))</f>
        <v>0</v>
      </c>
      <c r="L1145" s="32">
        <f>IF(Result_notebook_retravaill!I1145&gt;Result_notebook_retravaill!G1145,0,IF(Result_notebook_retravaill!I1145+Result_notebook_retravaill!J1145&gt;Result_notebook_retravaill!G1145,0,Result_notebook_retravaill!M1145))</f>
        <v>0</v>
      </c>
      <c r="M1145" s="31">
        <f t="shared" si="17"/>
        <v>0</v>
      </c>
    </row>
    <row r="1146" spans="1:13" x14ac:dyDescent="0.35">
      <c r="A1146">
        <f>Result_notebook_retravaill!A1146</f>
        <v>2037</v>
      </c>
      <c r="B1146" t="str">
        <f>Result_notebook_retravaill!B1146</f>
        <v>Graphite</v>
      </c>
      <c r="C1146" t="str">
        <f>Result_notebook_retravaill!C1146</f>
        <v>Canada Net-zero</v>
      </c>
      <c r="D1146" t="str">
        <f>Result_notebook_retravaill!D1146</f>
        <v>Production potential</v>
      </c>
      <c r="E1146" t="str">
        <f>Result_notebook_retravaill!E1146</f>
        <v>100% CAN</v>
      </c>
      <c r="F1146" t="str">
        <f>Result_notebook_retravaill!F1146</f>
        <v>Integrated</v>
      </c>
      <c r="G1146">
        <f>Result_notebook_retravaill!G1146</f>
        <v>3230.4798003226651</v>
      </c>
      <c r="H1146" s="32">
        <f>IF(Result_notebook_retravaill!I1146&gt;Result_notebook_retravaill!G1146,Result_notebook_retravaill!I1146/Result_notebook_retravaill!N1146,Result_notebook_retravaill!H1146)</f>
        <v>125561.57551128366</v>
      </c>
      <c r="I1146" s="32">
        <f>Result_notebook_retravaill!K1146</f>
        <v>0</v>
      </c>
      <c r="J1146" s="32">
        <f>MIN(G1146,Result_notebook_retravaill!I1146)</f>
        <v>3230.4798003226651</v>
      </c>
      <c r="K1146" s="32">
        <f>IF(Result_notebook_retravaill!I1146&gt;Result_notebook_retravaill!G1146,0,IF(Result_notebook_retravaill!I1146+Result_notebook_retravaill!J1146&gt;Result_notebook_retravaill!G1146,Result_notebook_retravaill!G1146-Result_notebook_retravaill!I1146,Result_notebook_retravaill!J1146))</f>
        <v>0</v>
      </c>
      <c r="L1146" s="32">
        <f>IF(Result_notebook_retravaill!I1146&gt;Result_notebook_retravaill!G1146,0,IF(Result_notebook_retravaill!I1146+Result_notebook_retravaill!J1146&gt;Result_notebook_retravaill!G1146,0,Result_notebook_retravaill!M1146))</f>
        <v>0</v>
      </c>
      <c r="M1146" s="31">
        <f t="shared" si="17"/>
        <v>0</v>
      </c>
    </row>
    <row r="1147" spans="1:13" x14ac:dyDescent="0.35">
      <c r="A1147">
        <f>Result_notebook_retravaill!A1147</f>
        <v>2037</v>
      </c>
      <c r="B1147" t="str">
        <f>Result_notebook_retravaill!B1147</f>
        <v>Graphite</v>
      </c>
      <c r="C1147" t="str">
        <f>Result_notebook_retravaill!C1147</f>
        <v>Current Measures</v>
      </c>
      <c r="D1147" t="str">
        <f>Result_notebook_retravaill!D1147</f>
        <v>Existing production</v>
      </c>
      <c r="E1147" t="str">
        <f>Result_notebook_retravaill!E1147</f>
        <v>Current shares</v>
      </c>
      <c r="F1147" t="str">
        <f>Result_notebook_retravaill!F1147</f>
        <v>NIMBY</v>
      </c>
      <c r="G1147">
        <f>Result_notebook_retravaill!G1147</f>
        <v>1189.986753633372</v>
      </c>
      <c r="H1147" s="32">
        <f>IF(Result_notebook_retravaill!I1147&gt;Result_notebook_retravaill!G1147,Result_notebook_retravaill!I1147/Result_notebook_retravaill!N1147,Result_notebook_retravaill!H1147)</f>
        <v>0</v>
      </c>
      <c r="I1147" s="32">
        <f>Result_notebook_retravaill!K1147</f>
        <v>1189.986753633372</v>
      </c>
      <c r="J1147" s="32">
        <f>MIN(G1147,Result_notebook_retravaill!I1147)</f>
        <v>0</v>
      </c>
      <c r="K1147" s="32">
        <f>IF(Result_notebook_retravaill!I1147&gt;Result_notebook_retravaill!G1147,0,IF(Result_notebook_retravaill!I1147+Result_notebook_retravaill!J1147&gt;Result_notebook_retravaill!G1147,Result_notebook_retravaill!G1147-Result_notebook_retravaill!I1147,Result_notebook_retravaill!J1147))</f>
        <v>0</v>
      </c>
      <c r="L1147" s="32">
        <f>IF(Result_notebook_retravaill!I1147&gt;Result_notebook_retravaill!G1147,0,IF(Result_notebook_retravaill!I1147+Result_notebook_retravaill!J1147&gt;Result_notebook_retravaill!G1147,0,Result_notebook_retravaill!M1147))</f>
        <v>1189.986753633372</v>
      </c>
      <c r="M1147" s="31">
        <f t="shared" si="17"/>
        <v>0</v>
      </c>
    </row>
    <row r="1148" spans="1:13" x14ac:dyDescent="0.35">
      <c r="A1148">
        <f>Result_notebook_retravaill!A1148</f>
        <v>2037</v>
      </c>
      <c r="B1148" t="str">
        <f>Result_notebook_retravaill!B1148</f>
        <v>Graphite</v>
      </c>
      <c r="C1148" t="str">
        <f>Result_notebook_retravaill!C1148</f>
        <v>Current Measures</v>
      </c>
      <c r="D1148" t="str">
        <f>Result_notebook_retravaill!D1148</f>
        <v>Existing production</v>
      </c>
      <c r="E1148" t="str">
        <f>Result_notebook_retravaill!E1148</f>
        <v>Current shares</v>
      </c>
      <c r="F1148" t="str">
        <f>Result_notebook_retravaill!F1148</f>
        <v>Status Quo</v>
      </c>
      <c r="G1148">
        <f>Result_notebook_retravaill!G1148</f>
        <v>1189.986753633372</v>
      </c>
      <c r="H1148" s="32">
        <f>IF(Result_notebook_retravaill!I1148&gt;Result_notebook_retravaill!G1148,Result_notebook_retravaill!I1148/Result_notebook_retravaill!N1148,Result_notebook_retravaill!H1148)</f>
        <v>0</v>
      </c>
      <c r="I1148" s="32">
        <f>Result_notebook_retravaill!K1148</f>
        <v>1189.986753633372</v>
      </c>
      <c r="J1148" s="32">
        <f>MIN(G1148,Result_notebook_retravaill!I1148)</f>
        <v>0</v>
      </c>
      <c r="K1148" s="32">
        <f>IF(Result_notebook_retravaill!I1148&gt;Result_notebook_retravaill!G1148,0,IF(Result_notebook_retravaill!I1148+Result_notebook_retravaill!J1148&gt;Result_notebook_retravaill!G1148,Result_notebook_retravaill!G1148-Result_notebook_retravaill!I1148,Result_notebook_retravaill!J1148))</f>
        <v>0</v>
      </c>
      <c r="L1148" s="32">
        <f>IF(Result_notebook_retravaill!I1148&gt;Result_notebook_retravaill!G1148,0,IF(Result_notebook_retravaill!I1148+Result_notebook_retravaill!J1148&gt;Result_notebook_retravaill!G1148,0,Result_notebook_retravaill!M1148))</f>
        <v>1189.986753633372</v>
      </c>
      <c r="M1148" s="31">
        <f t="shared" si="17"/>
        <v>0</v>
      </c>
    </row>
    <row r="1149" spans="1:13" x14ac:dyDescent="0.35">
      <c r="A1149">
        <f>Result_notebook_retravaill!A1149</f>
        <v>2037</v>
      </c>
      <c r="B1149" t="str">
        <f>Result_notebook_retravaill!B1149</f>
        <v>Graphite</v>
      </c>
      <c r="C1149" t="str">
        <f>Result_notebook_retravaill!C1149</f>
        <v>Current Measures</v>
      </c>
      <c r="D1149" t="str">
        <f>Result_notebook_retravaill!D1149</f>
        <v>Production potential</v>
      </c>
      <c r="E1149" t="str">
        <f>Result_notebook_retravaill!E1149</f>
        <v>Current shares</v>
      </c>
      <c r="F1149" t="str">
        <f>Result_notebook_retravaill!F1149</f>
        <v>Expansion Extractive</v>
      </c>
      <c r="G1149">
        <f>Result_notebook_retravaill!G1149</f>
        <v>1189.986753633372</v>
      </c>
      <c r="H1149" s="32">
        <f>IF(Result_notebook_retravaill!I1149&gt;Result_notebook_retravaill!G1149,Result_notebook_retravaill!I1149/Result_notebook_retravaill!N1149,Result_notebook_retravaill!H1149)</f>
        <v>125561.57551128366</v>
      </c>
      <c r="I1149" s="32">
        <f>Result_notebook_retravaill!K1149</f>
        <v>0</v>
      </c>
      <c r="J1149" s="32">
        <f>MIN(G1149,Result_notebook_retravaill!I1149)</f>
        <v>1189.986753633372</v>
      </c>
      <c r="K1149" s="32">
        <f>IF(Result_notebook_retravaill!I1149&gt;Result_notebook_retravaill!G1149,0,IF(Result_notebook_retravaill!I1149+Result_notebook_retravaill!J1149&gt;Result_notebook_retravaill!G1149,Result_notebook_retravaill!G1149-Result_notebook_retravaill!I1149,Result_notebook_retravaill!J1149))</f>
        <v>0</v>
      </c>
      <c r="L1149" s="32">
        <f>IF(Result_notebook_retravaill!I1149&gt;Result_notebook_retravaill!G1149,0,IF(Result_notebook_retravaill!I1149+Result_notebook_retravaill!J1149&gt;Result_notebook_retravaill!G1149,0,Result_notebook_retravaill!M1149))</f>
        <v>0</v>
      </c>
      <c r="M1149" s="31">
        <f t="shared" si="17"/>
        <v>0</v>
      </c>
    </row>
    <row r="1150" spans="1:13" x14ac:dyDescent="0.35">
      <c r="A1150">
        <f>Result_notebook_retravaill!A1150</f>
        <v>2037</v>
      </c>
      <c r="B1150" t="str">
        <f>Result_notebook_retravaill!B1150</f>
        <v>Graphite</v>
      </c>
      <c r="C1150" t="str">
        <f>Result_notebook_retravaill!C1150</f>
        <v>Current Measures</v>
      </c>
      <c r="D1150" t="str">
        <f>Result_notebook_retravaill!D1150</f>
        <v>Production potential</v>
      </c>
      <c r="E1150" t="str">
        <f>Result_notebook_retravaill!E1150</f>
        <v>Current shares</v>
      </c>
      <c r="F1150" t="str">
        <f>Result_notebook_retravaill!F1150</f>
        <v>Expansion Extractive+Circularity</v>
      </c>
      <c r="G1150">
        <f>Result_notebook_retravaill!G1150</f>
        <v>1189.986753633372</v>
      </c>
      <c r="H1150" s="32">
        <f>IF(Result_notebook_retravaill!I1150&gt;Result_notebook_retravaill!G1150,Result_notebook_retravaill!I1150/Result_notebook_retravaill!N1150,Result_notebook_retravaill!H1150)</f>
        <v>125561.57551128366</v>
      </c>
      <c r="I1150" s="32">
        <f>Result_notebook_retravaill!K1150</f>
        <v>0</v>
      </c>
      <c r="J1150" s="32">
        <f>MIN(G1150,Result_notebook_retravaill!I1150)</f>
        <v>1189.986753633372</v>
      </c>
      <c r="K1150" s="32">
        <f>IF(Result_notebook_retravaill!I1150&gt;Result_notebook_retravaill!G1150,0,IF(Result_notebook_retravaill!I1150+Result_notebook_retravaill!J1150&gt;Result_notebook_retravaill!G1150,Result_notebook_retravaill!G1150-Result_notebook_retravaill!I1150,Result_notebook_retravaill!J1150))</f>
        <v>0</v>
      </c>
      <c r="L1150" s="32">
        <f>IF(Result_notebook_retravaill!I1150&gt;Result_notebook_retravaill!G1150,0,IF(Result_notebook_retravaill!I1150+Result_notebook_retravaill!J1150&gt;Result_notebook_retravaill!G1150,0,Result_notebook_retravaill!M1150))</f>
        <v>0</v>
      </c>
      <c r="M1150" s="31">
        <f t="shared" si="17"/>
        <v>0</v>
      </c>
    </row>
    <row r="1151" spans="1:13" x14ac:dyDescent="0.35">
      <c r="A1151">
        <f>Result_notebook_retravaill!A1151</f>
        <v>2037</v>
      </c>
      <c r="B1151" t="str">
        <f>Result_notebook_retravaill!B1151</f>
        <v>Graphite</v>
      </c>
      <c r="C1151" t="str">
        <f>Result_notebook_retravaill!C1151</f>
        <v>Current Measures</v>
      </c>
      <c r="D1151" t="str">
        <f>Result_notebook_retravaill!D1151</f>
        <v>Production potential</v>
      </c>
      <c r="E1151" t="str">
        <f>Result_notebook_retravaill!E1151</f>
        <v>100% CAN</v>
      </c>
      <c r="F1151" t="str">
        <f>Result_notebook_retravaill!F1151</f>
        <v>Integrated</v>
      </c>
      <c r="G1151">
        <f>Result_notebook_retravaill!G1151</f>
        <v>1189.986753633372</v>
      </c>
      <c r="H1151" s="32">
        <f>IF(Result_notebook_retravaill!I1151&gt;Result_notebook_retravaill!G1151,Result_notebook_retravaill!I1151/Result_notebook_retravaill!N1151,Result_notebook_retravaill!H1151)</f>
        <v>125561.57551128366</v>
      </c>
      <c r="I1151" s="32">
        <f>Result_notebook_retravaill!K1151</f>
        <v>0</v>
      </c>
      <c r="J1151" s="32">
        <f>MIN(G1151,Result_notebook_retravaill!I1151)</f>
        <v>1189.986753633372</v>
      </c>
      <c r="K1151" s="32">
        <f>IF(Result_notebook_retravaill!I1151&gt;Result_notebook_retravaill!G1151,0,IF(Result_notebook_retravaill!I1151+Result_notebook_retravaill!J1151&gt;Result_notebook_retravaill!G1151,Result_notebook_retravaill!G1151-Result_notebook_retravaill!I1151,Result_notebook_retravaill!J1151))</f>
        <v>0</v>
      </c>
      <c r="L1151" s="32">
        <f>IF(Result_notebook_retravaill!I1151&gt;Result_notebook_retravaill!G1151,0,IF(Result_notebook_retravaill!I1151+Result_notebook_retravaill!J1151&gt;Result_notebook_retravaill!G1151,0,Result_notebook_retravaill!M1151))</f>
        <v>0</v>
      </c>
      <c r="M1151" s="31">
        <f t="shared" si="17"/>
        <v>0</v>
      </c>
    </row>
    <row r="1152" spans="1:13" x14ac:dyDescent="0.35">
      <c r="A1152">
        <f>Result_notebook_retravaill!A1152</f>
        <v>2037</v>
      </c>
      <c r="B1152" t="str">
        <f>Result_notebook_retravaill!B1152</f>
        <v>Graphite</v>
      </c>
      <c r="C1152" t="str">
        <f>Result_notebook_retravaill!C1152</f>
        <v>Global Net-zero</v>
      </c>
      <c r="D1152" t="str">
        <f>Result_notebook_retravaill!D1152</f>
        <v>Existing production</v>
      </c>
      <c r="E1152" t="str">
        <f>Result_notebook_retravaill!E1152</f>
        <v>Current shares</v>
      </c>
      <c r="F1152" t="str">
        <f>Result_notebook_retravaill!F1152</f>
        <v>NIMBY</v>
      </c>
      <c r="G1152">
        <f>Result_notebook_retravaill!G1152</f>
        <v>3080.4826094202749</v>
      </c>
      <c r="H1152" s="32">
        <f>IF(Result_notebook_retravaill!I1152&gt;Result_notebook_retravaill!G1152,Result_notebook_retravaill!I1152/Result_notebook_retravaill!N1152,Result_notebook_retravaill!H1152)</f>
        <v>0</v>
      </c>
      <c r="I1152" s="32">
        <f>Result_notebook_retravaill!K1152</f>
        <v>3080.4826094202749</v>
      </c>
      <c r="J1152" s="32">
        <f>MIN(G1152,Result_notebook_retravaill!I1152)</f>
        <v>0</v>
      </c>
      <c r="K1152" s="32">
        <f>IF(Result_notebook_retravaill!I1152&gt;Result_notebook_retravaill!G1152,0,IF(Result_notebook_retravaill!I1152+Result_notebook_retravaill!J1152&gt;Result_notebook_retravaill!G1152,Result_notebook_retravaill!G1152-Result_notebook_retravaill!I1152,Result_notebook_retravaill!J1152))</f>
        <v>0</v>
      </c>
      <c r="L1152" s="32">
        <f>IF(Result_notebook_retravaill!I1152&gt;Result_notebook_retravaill!G1152,0,IF(Result_notebook_retravaill!I1152+Result_notebook_retravaill!J1152&gt;Result_notebook_retravaill!G1152,0,Result_notebook_retravaill!M1152))</f>
        <v>3080.4826094202749</v>
      </c>
      <c r="M1152" s="31">
        <f t="shared" si="17"/>
        <v>0</v>
      </c>
    </row>
    <row r="1153" spans="1:13" x14ac:dyDescent="0.35">
      <c r="A1153">
        <f>Result_notebook_retravaill!A1153</f>
        <v>2037</v>
      </c>
      <c r="B1153" t="str">
        <f>Result_notebook_retravaill!B1153</f>
        <v>Graphite</v>
      </c>
      <c r="C1153" t="str">
        <f>Result_notebook_retravaill!C1153</f>
        <v>Global Net-zero</v>
      </c>
      <c r="D1153" t="str">
        <f>Result_notebook_retravaill!D1153</f>
        <v>Existing production</v>
      </c>
      <c r="E1153" t="str">
        <f>Result_notebook_retravaill!E1153</f>
        <v>Current shares</v>
      </c>
      <c r="F1153" t="str">
        <f>Result_notebook_retravaill!F1153</f>
        <v>Status Quo</v>
      </c>
      <c r="G1153">
        <f>Result_notebook_retravaill!G1153</f>
        <v>3080.4826094202749</v>
      </c>
      <c r="H1153" s="32">
        <f>IF(Result_notebook_retravaill!I1153&gt;Result_notebook_retravaill!G1153,Result_notebook_retravaill!I1153/Result_notebook_retravaill!N1153,Result_notebook_retravaill!H1153)</f>
        <v>0</v>
      </c>
      <c r="I1153" s="32">
        <f>Result_notebook_retravaill!K1153</f>
        <v>3080.4826094202749</v>
      </c>
      <c r="J1153" s="32">
        <f>MIN(G1153,Result_notebook_retravaill!I1153)</f>
        <v>0</v>
      </c>
      <c r="K1153" s="32">
        <f>IF(Result_notebook_retravaill!I1153&gt;Result_notebook_retravaill!G1153,0,IF(Result_notebook_retravaill!I1153+Result_notebook_retravaill!J1153&gt;Result_notebook_retravaill!G1153,Result_notebook_retravaill!G1153-Result_notebook_retravaill!I1153,Result_notebook_retravaill!J1153))</f>
        <v>0</v>
      </c>
      <c r="L1153" s="32">
        <f>IF(Result_notebook_retravaill!I1153&gt;Result_notebook_retravaill!G1153,0,IF(Result_notebook_retravaill!I1153+Result_notebook_retravaill!J1153&gt;Result_notebook_retravaill!G1153,0,Result_notebook_retravaill!M1153))</f>
        <v>3080.4826094202749</v>
      </c>
      <c r="M1153" s="31">
        <f t="shared" si="17"/>
        <v>0</v>
      </c>
    </row>
    <row r="1154" spans="1:13" x14ac:dyDescent="0.35">
      <c r="A1154">
        <f>Result_notebook_retravaill!A1154</f>
        <v>2037</v>
      </c>
      <c r="B1154" t="str">
        <f>Result_notebook_retravaill!B1154</f>
        <v>Graphite</v>
      </c>
      <c r="C1154" t="str">
        <f>Result_notebook_retravaill!C1154</f>
        <v>Global Net-zero</v>
      </c>
      <c r="D1154" t="str">
        <f>Result_notebook_retravaill!D1154</f>
        <v>Production potential</v>
      </c>
      <c r="E1154" t="str">
        <f>Result_notebook_retravaill!E1154</f>
        <v>Current shares</v>
      </c>
      <c r="F1154" t="str">
        <f>Result_notebook_retravaill!F1154</f>
        <v>Expansion Extractive</v>
      </c>
      <c r="G1154">
        <f>Result_notebook_retravaill!G1154</f>
        <v>3080.4826094202749</v>
      </c>
      <c r="H1154" s="32">
        <f>IF(Result_notebook_retravaill!I1154&gt;Result_notebook_retravaill!G1154,Result_notebook_retravaill!I1154/Result_notebook_retravaill!N1154,Result_notebook_retravaill!H1154)</f>
        <v>125561.57551128366</v>
      </c>
      <c r="I1154" s="32">
        <f>Result_notebook_retravaill!K1154</f>
        <v>0</v>
      </c>
      <c r="J1154" s="32">
        <f>MIN(G1154,Result_notebook_retravaill!I1154)</f>
        <v>3080.4826094202749</v>
      </c>
      <c r="K1154" s="32">
        <f>IF(Result_notebook_retravaill!I1154&gt;Result_notebook_retravaill!G1154,0,IF(Result_notebook_retravaill!I1154+Result_notebook_retravaill!J1154&gt;Result_notebook_retravaill!G1154,Result_notebook_retravaill!G1154-Result_notebook_retravaill!I1154,Result_notebook_retravaill!J1154))</f>
        <v>0</v>
      </c>
      <c r="L1154" s="32">
        <f>IF(Result_notebook_retravaill!I1154&gt;Result_notebook_retravaill!G1154,0,IF(Result_notebook_retravaill!I1154+Result_notebook_retravaill!J1154&gt;Result_notebook_retravaill!G1154,0,Result_notebook_retravaill!M1154))</f>
        <v>0</v>
      </c>
      <c r="M1154" s="31">
        <f t="shared" si="17"/>
        <v>0</v>
      </c>
    </row>
    <row r="1155" spans="1:13" x14ac:dyDescent="0.35">
      <c r="A1155">
        <f>Result_notebook_retravaill!A1155</f>
        <v>2037</v>
      </c>
      <c r="B1155" t="str">
        <f>Result_notebook_retravaill!B1155</f>
        <v>Graphite</v>
      </c>
      <c r="C1155" t="str">
        <f>Result_notebook_retravaill!C1155</f>
        <v>Global Net-zero</v>
      </c>
      <c r="D1155" t="str">
        <f>Result_notebook_retravaill!D1155</f>
        <v>Production potential</v>
      </c>
      <c r="E1155" t="str">
        <f>Result_notebook_retravaill!E1155</f>
        <v>Current shares</v>
      </c>
      <c r="F1155" t="str">
        <f>Result_notebook_retravaill!F1155</f>
        <v>Expansion Extractive+Circularity</v>
      </c>
      <c r="G1155">
        <f>Result_notebook_retravaill!G1155</f>
        <v>3080.4826094202749</v>
      </c>
      <c r="H1155" s="32">
        <f>IF(Result_notebook_retravaill!I1155&gt;Result_notebook_retravaill!G1155,Result_notebook_retravaill!I1155/Result_notebook_retravaill!N1155,Result_notebook_retravaill!H1155)</f>
        <v>125561.57551128366</v>
      </c>
      <c r="I1155" s="32">
        <f>Result_notebook_retravaill!K1155</f>
        <v>0</v>
      </c>
      <c r="J1155" s="32">
        <f>MIN(G1155,Result_notebook_retravaill!I1155)</f>
        <v>3080.4826094202749</v>
      </c>
      <c r="K1155" s="32">
        <f>IF(Result_notebook_retravaill!I1155&gt;Result_notebook_retravaill!G1155,0,IF(Result_notebook_retravaill!I1155+Result_notebook_retravaill!J1155&gt;Result_notebook_retravaill!G1155,Result_notebook_retravaill!G1155-Result_notebook_retravaill!I1155,Result_notebook_retravaill!J1155))</f>
        <v>0</v>
      </c>
      <c r="L1155" s="32">
        <f>IF(Result_notebook_retravaill!I1155&gt;Result_notebook_retravaill!G1155,0,IF(Result_notebook_retravaill!I1155+Result_notebook_retravaill!J1155&gt;Result_notebook_retravaill!G1155,0,Result_notebook_retravaill!M1155))</f>
        <v>0</v>
      </c>
      <c r="M1155" s="31">
        <f t="shared" ref="M1155:M1218" si="18">SUM(J1155:L1155)-G1155</f>
        <v>0</v>
      </c>
    </row>
    <row r="1156" spans="1:13" x14ac:dyDescent="0.35">
      <c r="A1156">
        <f>Result_notebook_retravaill!A1156</f>
        <v>2037</v>
      </c>
      <c r="B1156" t="str">
        <f>Result_notebook_retravaill!B1156</f>
        <v>Graphite</v>
      </c>
      <c r="C1156" t="str">
        <f>Result_notebook_retravaill!C1156</f>
        <v>Global Net-zero</v>
      </c>
      <c r="D1156" t="str">
        <f>Result_notebook_retravaill!D1156</f>
        <v>Production potential</v>
      </c>
      <c r="E1156" t="str">
        <f>Result_notebook_retravaill!E1156</f>
        <v>100% CAN</v>
      </c>
      <c r="F1156" t="str">
        <f>Result_notebook_retravaill!F1156</f>
        <v>Integrated</v>
      </c>
      <c r="G1156">
        <f>Result_notebook_retravaill!G1156</f>
        <v>3080.4826094202749</v>
      </c>
      <c r="H1156" s="32">
        <f>IF(Result_notebook_retravaill!I1156&gt;Result_notebook_retravaill!G1156,Result_notebook_retravaill!I1156/Result_notebook_retravaill!N1156,Result_notebook_retravaill!H1156)</f>
        <v>125561.57551128366</v>
      </c>
      <c r="I1156" s="32">
        <f>Result_notebook_retravaill!K1156</f>
        <v>0</v>
      </c>
      <c r="J1156" s="32">
        <f>MIN(G1156,Result_notebook_retravaill!I1156)</f>
        <v>3080.4826094202749</v>
      </c>
      <c r="K1156" s="32">
        <f>IF(Result_notebook_retravaill!I1156&gt;Result_notebook_retravaill!G1156,0,IF(Result_notebook_retravaill!I1156+Result_notebook_retravaill!J1156&gt;Result_notebook_retravaill!G1156,Result_notebook_retravaill!G1156-Result_notebook_retravaill!I1156,Result_notebook_retravaill!J1156))</f>
        <v>0</v>
      </c>
      <c r="L1156" s="32">
        <f>IF(Result_notebook_retravaill!I1156&gt;Result_notebook_retravaill!G1156,0,IF(Result_notebook_retravaill!I1156+Result_notebook_retravaill!J1156&gt;Result_notebook_retravaill!G1156,0,Result_notebook_retravaill!M1156))</f>
        <v>0</v>
      </c>
      <c r="M1156" s="31">
        <f t="shared" si="18"/>
        <v>0</v>
      </c>
    </row>
    <row r="1157" spans="1:13" x14ac:dyDescent="0.35">
      <c r="A1157">
        <f>Result_notebook_retravaill!A1157</f>
        <v>2037</v>
      </c>
      <c r="B1157" t="str">
        <f>Result_notebook_retravaill!B1157</f>
        <v>Lithium</v>
      </c>
      <c r="C1157" t="str">
        <f>Result_notebook_retravaill!C1157</f>
        <v>Canada Net-zero</v>
      </c>
      <c r="D1157" t="str">
        <f>Result_notebook_retravaill!D1157</f>
        <v>Existing production</v>
      </c>
      <c r="E1157" t="str">
        <f>Result_notebook_retravaill!E1157</f>
        <v>Current shares</v>
      </c>
      <c r="F1157" t="str">
        <f>Result_notebook_retravaill!F1157</f>
        <v>NIMBY</v>
      </c>
      <c r="G1157">
        <f>Result_notebook_retravaill!G1157</f>
        <v>73716.882405397235</v>
      </c>
      <c r="H1157" s="32">
        <f>IF(Result_notebook_retravaill!I1157&gt;Result_notebook_retravaill!G1157,Result_notebook_retravaill!I1157/Result_notebook_retravaill!N1157,Result_notebook_retravaill!H1157)</f>
        <v>0</v>
      </c>
      <c r="I1157" s="32">
        <f>Result_notebook_retravaill!K1157</f>
        <v>105309.8320077103</v>
      </c>
      <c r="J1157" s="32">
        <f>MIN(G1157,Result_notebook_retravaill!I1157)</f>
        <v>0</v>
      </c>
      <c r="K1157" s="32">
        <f>IF(Result_notebook_retravaill!I1157&gt;Result_notebook_retravaill!G1157,0,IF(Result_notebook_retravaill!I1157+Result_notebook_retravaill!J1157&gt;Result_notebook_retravaill!G1157,Result_notebook_retravaill!G1157-Result_notebook_retravaill!I1157,Result_notebook_retravaill!J1157))</f>
        <v>0</v>
      </c>
      <c r="L1157" s="32">
        <f>IF(Result_notebook_retravaill!I1157&gt;Result_notebook_retravaill!G1157,0,IF(Result_notebook_retravaill!I1157+Result_notebook_retravaill!J1157&gt;Result_notebook_retravaill!G1157,0,Result_notebook_retravaill!M1157))</f>
        <v>73716.882405397235</v>
      </c>
      <c r="M1157" s="31">
        <f t="shared" si="18"/>
        <v>0</v>
      </c>
    </row>
    <row r="1158" spans="1:13" x14ac:dyDescent="0.35">
      <c r="A1158">
        <f>Result_notebook_retravaill!A1158</f>
        <v>2037</v>
      </c>
      <c r="B1158" t="str">
        <f>Result_notebook_retravaill!B1158</f>
        <v>Lithium</v>
      </c>
      <c r="C1158" t="str">
        <f>Result_notebook_retravaill!C1158</f>
        <v>Canada Net-zero</v>
      </c>
      <c r="D1158" t="str">
        <f>Result_notebook_retravaill!D1158</f>
        <v>Existing production</v>
      </c>
      <c r="E1158" t="str">
        <f>Result_notebook_retravaill!E1158</f>
        <v>Current shares</v>
      </c>
      <c r="F1158" t="str">
        <f>Result_notebook_retravaill!F1158</f>
        <v>Status Quo</v>
      </c>
      <c r="G1158">
        <f>Result_notebook_retravaill!G1158</f>
        <v>73716.882405397235</v>
      </c>
      <c r="H1158" s="32">
        <f>IF(Result_notebook_retravaill!I1158&gt;Result_notebook_retravaill!G1158,Result_notebook_retravaill!I1158/Result_notebook_retravaill!N1158,Result_notebook_retravaill!H1158)</f>
        <v>39270</v>
      </c>
      <c r="I1158" s="32">
        <f>Result_notebook_retravaill!K1158</f>
        <v>66039.832007710342</v>
      </c>
      <c r="J1158" s="32">
        <f>MIN(G1158,Result_notebook_retravaill!I1158)</f>
        <v>27456.42439285322</v>
      </c>
      <c r="K1158" s="32">
        <f>IF(Result_notebook_retravaill!I1158&gt;Result_notebook_retravaill!G1158,0,IF(Result_notebook_retravaill!I1158+Result_notebook_retravaill!J1158&gt;Result_notebook_retravaill!G1158,Result_notebook_retravaill!G1158-Result_notebook_retravaill!I1158,Result_notebook_retravaill!J1158))</f>
        <v>3470.8603337338136</v>
      </c>
      <c r="L1158" s="32">
        <f>IF(Result_notebook_retravaill!I1158&gt;Result_notebook_retravaill!G1158,0,IF(Result_notebook_retravaill!I1158+Result_notebook_retravaill!J1158&gt;Result_notebook_retravaill!G1158,0,Result_notebook_retravaill!M1158))</f>
        <v>42789.597678810205</v>
      </c>
      <c r="M1158" s="31">
        <f t="shared" si="18"/>
        <v>0</v>
      </c>
    </row>
    <row r="1159" spans="1:13" x14ac:dyDescent="0.35">
      <c r="A1159">
        <f>Result_notebook_retravaill!A1159</f>
        <v>2037</v>
      </c>
      <c r="B1159" t="str">
        <f>Result_notebook_retravaill!B1159</f>
        <v>Lithium</v>
      </c>
      <c r="C1159" t="str">
        <f>Result_notebook_retravaill!C1159</f>
        <v>Canada Net-zero</v>
      </c>
      <c r="D1159" t="str">
        <f>Result_notebook_retravaill!D1159</f>
        <v>Production potential</v>
      </c>
      <c r="E1159" t="str">
        <f>Result_notebook_retravaill!E1159</f>
        <v>Current shares</v>
      </c>
      <c r="F1159" t="str">
        <f>Result_notebook_retravaill!F1159</f>
        <v>Expansion Extractive</v>
      </c>
      <c r="G1159">
        <f>Result_notebook_retravaill!G1159</f>
        <v>73716.882405397235</v>
      </c>
      <c r="H1159" s="32">
        <f>IF(Result_notebook_retravaill!I1159&gt;Result_notebook_retravaill!G1159,Result_notebook_retravaill!I1159/Result_notebook_retravaill!N1159,Result_notebook_retravaill!H1159)</f>
        <v>230581.74490134718</v>
      </c>
      <c r="I1159" s="32">
        <f>Result_notebook_retravaill!K1159</f>
        <v>0</v>
      </c>
      <c r="J1159" s="32">
        <f>MIN(G1159,Result_notebook_retravaill!I1159)</f>
        <v>73716.882405397235</v>
      </c>
      <c r="K1159" s="32">
        <f>IF(Result_notebook_retravaill!I1159&gt;Result_notebook_retravaill!G1159,0,IF(Result_notebook_retravaill!I1159+Result_notebook_retravaill!J1159&gt;Result_notebook_retravaill!G1159,Result_notebook_retravaill!G1159-Result_notebook_retravaill!I1159,Result_notebook_retravaill!J1159))</f>
        <v>0</v>
      </c>
      <c r="L1159" s="32">
        <f>IF(Result_notebook_retravaill!I1159&gt;Result_notebook_retravaill!G1159,0,IF(Result_notebook_retravaill!I1159+Result_notebook_retravaill!J1159&gt;Result_notebook_retravaill!G1159,0,Result_notebook_retravaill!M1159))</f>
        <v>0</v>
      </c>
      <c r="M1159" s="31">
        <f t="shared" si="18"/>
        <v>0</v>
      </c>
    </row>
    <row r="1160" spans="1:13" x14ac:dyDescent="0.35">
      <c r="A1160">
        <f>Result_notebook_retravaill!A1160</f>
        <v>2037</v>
      </c>
      <c r="B1160" t="str">
        <f>Result_notebook_retravaill!B1160</f>
        <v>Lithium</v>
      </c>
      <c r="C1160" t="str">
        <f>Result_notebook_retravaill!C1160</f>
        <v>Canada Net-zero</v>
      </c>
      <c r="D1160" t="str">
        <f>Result_notebook_retravaill!D1160</f>
        <v>Production potential</v>
      </c>
      <c r="E1160" t="str">
        <f>Result_notebook_retravaill!E1160</f>
        <v>Current shares</v>
      </c>
      <c r="F1160" t="str">
        <f>Result_notebook_retravaill!F1160</f>
        <v>Expansion Extractive+Circularity</v>
      </c>
      <c r="G1160">
        <f>Result_notebook_retravaill!G1160</f>
        <v>73716.882405397235</v>
      </c>
      <c r="H1160" s="32">
        <f>IF(Result_notebook_retravaill!I1160&gt;Result_notebook_retravaill!G1160,Result_notebook_retravaill!I1160/Result_notebook_retravaill!N1160,Result_notebook_retravaill!H1160)</f>
        <v>230581.74490134718</v>
      </c>
      <c r="I1160" s="32">
        <f>Result_notebook_retravaill!K1160</f>
        <v>0</v>
      </c>
      <c r="J1160" s="32">
        <f>MIN(G1160,Result_notebook_retravaill!I1160)</f>
        <v>73716.882405397235</v>
      </c>
      <c r="K1160" s="32">
        <f>IF(Result_notebook_retravaill!I1160&gt;Result_notebook_retravaill!G1160,0,IF(Result_notebook_retravaill!I1160+Result_notebook_retravaill!J1160&gt;Result_notebook_retravaill!G1160,Result_notebook_retravaill!G1160-Result_notebook_retravaill!I1160,Result_notebook_retravaill!J1160))</f>
        <v>0</v>
      </c>
      <c r="L1160" s="32">
        <f>IF(Result_notebook_retravaill!I1160&gt;Result_notebook_retravaill!G1160,0,IF(Result_notebook_retravaill!I1160+Result_notebook_retravaill!J1160&gt;Result_notebook_retravaill!G1160,0,Result_notebook_retravaill!M1160))</f>
        <v>0</v>
      </c>
      <c r="M1160" s="31">
        <f t="shared" si="18"/>
        <v>0</v>
      </c>
    </row>
    <row r="1161" spans="1:13" x14ac:dyDescent="0.35">
      <c r="A1161">
        <f>Result_notebook_retravaill!A1161</f>
        <v>2037</v>
      </c>
      <c r="B1161" t="str">
        <f>Result_notebook_retravaill!B1161</f>
        <v>Lithium</v>
      </c>
      <c r="C1161" t="str">
        <f>Result_notebook_retravaill!C1161</f>
        <v>Canada Net-zero</v>
      </c>
      <c r="D1161" t="str">
        <f>Result_notebook_retravaill!D1161</f>
        <v>Production potential</v>
      </c>
      <c r="E1161" t="str">
        <f>Result_notebook_retravaill!E1161</f>
        <v>100% CAN</v>
      </c>
      <c r="F1161" t="str">
        <f>Result_notebook_retravaill!F1161</f>
        <v>Integrated</v>
      </c>
      <c r="G1161">
        <f>Result_notebook_retravaill!G1161</f>
        <v>73716.882405397235</v>
      </c>
      <c r="H1161" s="32">
        <f>IF(Result_notebook_retravaill!I1161&gt;Result_notebook_retravaill!G1161,Result_notebook_retravaill!I1161/Result_notebook_retravaill!N1161,Result_notebook_retravaill!H1161)</f>
        <v>230581.74490134718</v>
      </c>
      <c r="I1161" s="32">
        <f>Result_notebook_retravaill!K1161</f>
        <v>0</v>
      </c>
      <c r="J1161" s="32">
        <f>MIN(G1161,Result_notebook_retravaill!I1161)</f>
        <v>73716.882405397235</v>
      </c>
      <c r="K1161" s="32">
        <f>IF(Result_notebook_retravaill!I1161&gt;Result_notebook_retravaill!G1161,0,IF(Result_notebook_retravaill!I1161+Result_notebook_retravaill!J1161&gt;Result_notebook_retravaill!G1161,Result_notebook_retravaill!G1161-Result_notebook_retravaill!I1161,Result_notebook_retravaill!J1161))</f>
        <v>0</v>
      </c>
      <c r="L1161" s="32">
        <f>IF(Result_notebook_retravaill!I1161&gt;Result_notebook_retravaill!G1161,0,IF(Result_notebook_retravaill!I1161+Result_notebook_retravaill!J1161&gt;Result_notebook_retravaill!G1161,0,Result_notebook_retravaill!M1161))</f>
        <v>0</v>
      </c>
      <c r="M1161" s="31">
        <f t="shared" si="18"/>
        <v>0</v>
      </c>
    </row>
    <row r="1162" spans="1:13" x14ac:dyDescent="0.35">
      <c r="A1162">
        <f>Result_notebook_retravaill!A1162</f>
        <v>2037</v>
      </c>
      <c r="B1162" t="str">
        <f>Result_notebook_retravaill!B1162</f>
        <v>Lithium</v>
      </c>
      <c r="C1162" t="str">
        <f>Result_notebook_retravaill!C1162</f>
        <v>Current Measures</v>
      </c>
      <c r="D1162" t="str">
        <f>Result_notebook_retravaill!D1162</f>
        <v>Existing production</v>
      </c>
      <c r="E1162" t="str">
        <f>Result_notebook_retravaill!E1162</f>
        <v>Current shares</v>
      </c>
      <c r="F1162" t="str">
        <f>Result_notebook_retravaill!F1162</f>
        <v>NIMBY</v>
      </c>
      <c r="G1162">
        <f>Result_notebook_retravaill!G1162</f>
        <v>27154.51542919709</v>
      </c>
      <c r="H1162" s="32">
        <f>IF(Result_notebook_retravaill!I1162&gt;Result_notebook_retravaill!G1162,Result_notebook_retravaill!I1162/Result_notebook_retravaill!N1162,Result_notebook_retravaill!H1162)</f>
        <v>0</v>
      </c>
      <c r="I1162" s="32">
        <f>Result_notebook_retravaill!K1162</f>
        <v>38792.164898852992</v>
      </c>
      <c r="J1162" s="32">
        <f>MIN(G1162,Result_notebook_retravaill!I1162)</f>
        <v>0</v>
      </c>
      <c r="K1162" s="32">
        <f>IF(Result_notebook_retravaill!I1162&gt;Result_notebook_retravaill!G1162,0,IF(Result_notebook_retravaill!I1162+Result_notebook_retravaill!J1162&gt;Result_notebook_retravaill!G1162,Result_notebook_retravaill!G1162-Result_notebook_retravaill!I1162,Result_notebook_retravaill!J1162))</f>
        <v>0</v>
      </c>
      <c r="L1162" s="32">
        <f>IF(Result_notebook_retravaill!I1162&gt;Result_notebook_retravaill!G1162,0,IF(Result_notebook_retravaill!I1162+Result_notebook_retravaill!J1162&gt;Result_notebook_retravaill!G1162,0,Result_notebook_retravaill!M1162))</f>
        <v>27154.51542919709</v>
      </c>
      <c r="M1162" s="31">
        <f t="shared" si="18"/>
        <v>0</v>
      </c>
    </row>
    <row r="1163" spans="1:13" x14ac:dyDescent="0.35">
      <c r="A1163">
        <f>Result_notebook_retravaill!A1163</f>
        <v>2037</v>
      </c>
      <c r="B1163" t="str">
        <f>Result_notebook_retravaill!B1163</f>
        <v>Lithium</v>
      </c>
      <c r="C1163" t="str">
        <f>Result_notebook_retravaill!C1163</f>
        <v>Current Measures</v>
      </c>
      <c r="D1163" t="str">
        <f>Result_notebook_retravaill!D1163</f>
        <v>Existing production</v>
      </c>
      <c r="E1163" t="str">
        <f>Result_notebook_retravaill!E1163</f>
        <v>Current shares</v>
      </c>
      <c r="F1163" t="str">
        <f>Result_notebook_retravaill!F1163</f>
        <v>Status Quo</v>
      </c>
      <c r="G1163">
        <f>Result_notebook_retravaill!G1163</f>
        <v>27154.51542919709</v>
      </c>
      <c r="H1163" s="32">
        <f>IF(Result_notebook_retravaill!I1163&gt;Result_notebook_retravaill!G1163,Result_notebook_retravaill!I1163/Result_notebook_retravaill!N1163,Result_notebook_retravaill!H1163)</f>
        <v>34862.866088610928</v>
      </c>
      <c r="I1163" s="32">
        <f>Result_notebook_retravaill!K1163</f>
        <v>0</v>
      </c>
      <c r="J1163" s="32">
        <f>MIN(G1163,Result_notebook_retravaill!I1163)</f>
        <v>27154.51542919709</v>
      </c>
      <c r="K1163" s="32">
        <f>IF(Result_notebook_retravaill!I1163&gt;Result_notebook_retravaill!G1163,0,IF(Result_notebook_retravaill!I1163+Result_notebook_retravaill!J1163&gt;Result_notebook_retravaill!G1163,Result_notebook_retravaill!G1163-Result_notebook_retravaill!I1163,Result_notebook_retravaill!J1163))</f>
        <v>0</v>
      </c>
      <c r="L1163" s="32">
        <f>IF(Result_notebook_retravaill!I1163&gt;Result_notebook_retravaill!G1163,0,IF(Result_notebook_retravaill!I1163+Result_notebook_retravaill!J1163&gt;Result_notebook_retravaill!G1163,0,Result_notebook_retravaill!M1163))</f>
        <v>0</v>
      </c>
      <c r="M1163" s="31">
        <f t="shared" si="18"/>
        <v>0</v>
      </c>
    </row>
    <row r="1164" spans="1:13" x14ac:dyDescent="0.35">
      <c r="A1164">
        <f>Result_notebook_retravaill!A1164</f>
        <v>2037</v>
      </c>
      <c r="B1164" t="str">
        <f>Result_notebook_retravaill!B1164</f>
        <v>Lithium</v>
      </c>
      <c r="C1164" t="str">
        <f>Result_notebook_retravaill!C1164</f>
        <v>Current Measures</v>
      </c>
      <c r="D1164" t="str">
        <f>Result_notebook_retravaill!D1164</f>
        <v>Production potential</v>
      </c>
      <c r="E1164" t="str">
        <f>Result_notebook_retravaill!E1164</f>
        <v>Current shares</v>
      </c>
      <c r="F1164" t="str">
        <f>Result_notebook_retravaill!F1164</f>
        <v>Expansion Extractive</v>
      </c>
      <c r="G1164">
        <f>Result_notebook_retravaill!G1164</f>
        <v>27154.51542919709</v>
      </c>
      <c r="H1164" s="32">
        <f>IF(Result_notebook_retravaill!I1164&gt;Result_notebook_retravaill!G1164,Result_notebook_retravaill!I1164/Result_notebook_retravaill!N1164,Result_notebook_retravaill!H1164)</f>
        <v>230581.74490134718</v>
      </c>
      <c r="I1164" s="32">
        <f>Result_notebook_retravaill!K1164</f>
        <v>0</v>
      </c>
      <c r="J1164" s="32">
        <f>MIN(G1164,Result_notebook_retravaill!I1164)</f>
        <v>27154.51542919709</v>
      </c>
      <c r="K1164" s="32">
        <f>IF(Result_notebook_retravaill!I1164&gt;Result_notebook_retravaill!G1164,0,IF(Result_notebook_retravaill!I1164+Result_notebook_retravaill!J1164&gt;Result_notebook_retravaill!G1164,Result_notebook_retravaill!G1164-Result_notebook_retravaill!I1164,Result_notebook_retravaill!J1164))</f>
        <v>0</v>
      </c>
      <c r="L1164" s="32">
        <f>IF(Result_notebook_retravaill!I1164&gt;Result_notebook_retravaill!G1164,0,IF(Result_notebook_retravaill!I1164+Result_notebook_retravaill!J1164&gt;Result_notebook_retravaill!G1164,0,Result_notebook_retravaill!M1164))</f>
        <v>0</v>
      </c>
      <c r="M1164" s="31">
        <f t="shared" si="18"/>
        <v>0</v>
      </c>
    </row>
    <row r="1165" spans="1:13" x14ac:dyDescent="0.35">
      <c r="A1165">
        <f>Result_notebook_retravaill!A1165</f>
        <v>2037</v>
      </c>
      <c r="B1165" t="str">
        <f>Result_notebook_retravaill!B1165</f>
        <v>Lithium</v>
      </c>
      <c r="C1165" t="str">
        <f>Result_notebook_retravaill!C1165</f>
        <v>Current Measures</v>
      </c>
      <c r="D1165" t="str">
        <f>Result_notebook_retravaill!D1165</f>
        <v>Production potential</v>
      </c>
      <c r="E1165" t="str">
        <f>Result_notebook_retravaill!E1165</f>
        <v>Current shares</v>
      </c>
      <c r="F1165" t="str">
        <f>Result_notebook_retravaill!F1165</f>
        <v>Expansion Extractive+Circularity</v>
      </c>
      <c r="G1165">
        <f>Result_notebook_retravaill!G1165</f>
        <v>27154.51542919709</v>
      </c>
      <c r="H1165" s="32">
        <f>IF(Result_notebook_retravaill!I1165&gt;Result_notebook_retravaill!G1165,Result_notebook_retravaill!I1165/Result_notebook_retravaill!N1165,Result_notebook_retravaill!H1165)</f>
        <v>230581.74490134718</v>
      </c>
      <c r="I1165" s="32">
        <f>Result_notebook_retravaill!K1165</f>
        <v>0</v>
      </c>
      <c r="J1165" s="32">
        <f>MIN(G1165,Result_notebook_retravaill!I1165)</f>
        <v>27154.51542919709</v>
      </c>
      <c r="K1165" s="32">
        <f>IF(Result_notebook_retravaill!I1165&gt;Result_notebook_retravaill!G1165,0,IF(Result_notebook_retravaill!I1165+Result_notebook_retravaill!J1165&gt;Result_notebook_retravaill!G1165,Result_notebook_retravaill!G1165-Result_notebook_retravaill!I1165,Result_notebook_retravaill!J1165))</f>
        <v>0</v>
      </c>
      <c r="L1165" s="32">
        <f>IF(Result_notebook_retravaill!I1165&gt;Result_notebook_retravaill!G1165,0,IF(Result_notebook_retravaill!I1165+Result_notebook_retravaill!J1165&gt;Result_notebook_retravaill!G1165,0,Result_notebook_retravaill!M1165))</f>
        <v>0</v>
      </c>
      <c r="M1165" s="31">
        <f t="shared" si="18"/>
        <v>0</v>
      </c>
    </row>
    <row r="1166" spans="1:13" x14ac:dyDescent="0.35">
      <c r="A1166">
        <f>Result_notebook_retravaill!A1166</f>
        <v>2037</v>
      </c>
      <c r="B1166" t="str">
        <f>Result_notebook_retravaill!B1166</f>
        <v>Lithium</v>
      </c>
      <c r="C1166" t="str">
        <f>Result_notebook_retravaill!C1166</f>
        <v>Current Measures</v>
      </c>
      <c r="D1166" t="str">
        <f>Result_notebook_retravaill!D1166</f>
        <v>Production potential</v>
      </c>
      <c r="E1166" t="str">
        <f>Result_notebook_retravaill!E1166</f>
        <v>100% CAN</v>
      </c>
      <c r="F1166" t="str">
        <f>Result_notebook_retravaill!F1166</f>
        <v>Integrated</v>
      </c>
      <c r="G1166">
        <f>Result_notebook_retravaill!G1166</f>
        <v>27154.51542919709</v>
      </c>
      <c r="H1166" s="32">
        <f>IF(Result_notebook_retravaill!I1166&gt;Result_notebook_retravaill!G1166,Result_notebook_retravaill!I1166/Result_notebook_retravaill!N1166,Result_notebook_retravaill!H1166)</f>
        <v>230581.74490134718</v>
      </c>
      <c r="I1166" s="32">
        <f>Result_notebook_retravaill!K1166</f>
        <v>0</v>
      </c>
      <c r="J1166" s="32">
        <f>MIN(G1166,Result_notebook_retravaill!I1166)</f>
        <v>27154.51542919709</v>
      </c>
      <c r="K1166" s="32">
        <f>IF(Result_notebook_retravaill!I1166&gt;Result_notebook_retravaill!G1166,0,IF(Result_notebook_retravaill!I1166+Result_notebook_retravaill!J1166&gt;Result_notebook_retravaill!G1166,Result_notebook_retravaill!G1166-Result_notebook_retravaill!I1166,Result_notebook_retravaill!J1166))</f>
        <v>0</v>
      </c>
      <c r="L1166" s="32">
        <f>IF(Result_notebook_retravaill!I1166&gt;Result_notebook_retravaill!G1166,0,IF(Result_notebook_retravaill!I1166+Result_notebook_retravaill!J1166&gt;Result_notebook_retravaill!G1166,0,Result_notebook_retravaill!M1166))</f>
        <v>0</v>
      </c>
      <c r="M1166" s="31">
        <f t="shared" si="18"/>
        <v>0</v>
      </c>
    </row>
    <row r="1167" spans="1:13" x14ac:dyDescent="0.35">
      <c r="A1167">
        <f>Result_notebook_retravaill!A1167</f>
        <v>2037</v>
      </c>
      <c r="B1167" t="str">
        <f>Result_notebook_retravaill!B1167</f>
        <v>Lithium</v>
      </c>
      <c r="C1167" t="str">
        <f>Result_notebook_retravaill!C1167</f>
        <v>Global Net-zero</v>
      </c>
      <c r="D1167" t="str">
        <f>Result_notebook_retravaill!D1167</f>
        <v>Existing production</v>
      </c>
      <c r="E1167" t="str">
        <f>Result_notebook_retravaill!E1167</f>
        <v>Current shares</v>
      </c>
      <c r="F1167" t="str">
        <f>Result_notebook_retravaill!F1167</f>
        <v>NIMBY</v>
      </c>
      <c r="G1167">
        <f>Result_notebook_retravaill!G1167</f>
        <v>70294.070325969486</v>
      </c>
      <c r="H1167" s="32">
        <f>IF(Result_notebook_retravaill!I1167&gt;Result_notebook_retravaill!G1167,Result_notebook_retravaill!I1167/Result_notebook_retravaill!N1167,Result_notebook_retravaill!H1167)</f>
        <v>0</v>
      </c>
      <c r="I1167" s="32">
        <f>Result_notebook_retravaill!K1167</f>
        <v>100420.10046567069</v>
      </c>
      <c r="J1167" s="32">
        <f>MIN(G1167,Result_notebook_retravaill!I1167)</f>
        <v>0</v>
      </c>
      <c r="K1167" s="32">
        <f>IF(Result_notebook_retravaill!I1167&gt;Result_notebook_retravaill!G1167,0,IF(Result_notebook_retravaill!I1167+Result_notebook_retravaill!J1167&gt;Result_notebook_retravaill!G1167,Result_notebook_retravaill!G1167-Result_notebook_retravaill!I1167,Result_notebook_retravaill!J1167))</f>
        <v>0</v>
      </c>
      <c r="L1167" s="32">
        <f>IF(Result_notebook_retravaill!I1167&gt;Result_notebook_retravaill!G1167,0,IF(Result_notebook_retravaill!I1167+Result_notebook_retravaill!J1167&gt;Result_notebook_retravaill!G1167,0,Result_notebook_retravaill!M1167))</f>
        <v>70294.070325969486</v>
      </c>
      <c r="M1167" s="31">
        <f t="shared" si="18"/>
        <v>0</v>
      </c>
    </row>
    <row r="1168" spans="1:13" x14ac:dyDescent="0.35">
      <c r="A1168">
        <f>Result_notebook_retravaill!A1168</f>
        <v>2037</v>
      </c>
      <c r="B1168" t="str">
        <f>Result_notebook_retravaill!B1168</f>
        <v>Lithium</v>
      </c>
      <c r="C1168" t="str">
        <f>Result_notebook_retravaill!C1168</f>
        <v>Global Net-zero</v>
      </c>
      <c r="D1168" t="str">
        <f>Result_notebook_retravaill!D1168</f>
        <v>Existing production</v>
      </c>
      <c r="E1168" t="str">
        <f>Result_notebook_retravaill!E1168</f>
        <v>Current shares</v>
      </c>
      <c r="F1168" t="str">
        <f>Result_notebook_retravaill!F1168</f>
        <v>Status Quo</v>
      </c>
      <c r="G1168">
        <f>Result_notebook_retravaill!G1168</f>
        <v>70294.070325969486</v>
      </c>
      <c r="H1168" s="32">
        <f>IF(Result_notebook_retravaill!I1168&gt;Result_notebook_retravaill!G1168,Result_notebook_retravaill!I1168/Result_notebook_retravaill!N1168,Result_notebook_retravaill!H1168)</f>
        <v>39270</v>
      </c>
      <c r="I1168" s="32">
        <f>Result_notebook_retravaill!K1168</f>
        <v>61150.100465670686</v>
      </c>
      <c r="J1168" s="32">
        <f>MIN(G1168,Result_notebook_retravaill!I1168)</f>
        <v>27456.42439285322</v>
      </c>
      <c r="K1168" s="32">
        <f>IF(Result_notebook_retravaill!I1168&gt;Result_notebook_retravaill!G1168,0,IF(Result_notebook_retravaill!I1168+Result_notebook_retravaill!J1168&gt;Result_notebook_retravaill!G1168,Result_notebook_retravaill!G1168-Result_notebook_retravaill!I1168,Result_notebook_retravaill!J1168))</f>
        <v>3470.8603337338136</v>
      </c>
      <c r="L1168" s="32">
        <f>IF(Result_notebook_retravaill!I1168&gt;Result_notebook_retravaill!G1168,0,IF(Result_notebook_retravaill!I1168+Result_notebook_retravaill!J1168&gt;Result_notebook_retravaill!G1168,0,Result_notebook_retravaill!M1168))</f>
        <v>39366.785599382456</v>
      </c>
      <c r="M1168" s="31">
        <f t="shared" si="18"/>
        <v>0</v>
      </c>
    </row>
    <row r="1169" spans="1:13" x14ac:dyDescent="0.35">
      <c r="A1169">
        <f>Result_notebook_retravaill!A1169</f>
        <v>2037</v>
      </c>
      <c r="B1169" t="str">
        <f>Result_notebook_retravaill!B1169</f>
        <v>Lithium</v>
      </c>
      <c r="C1169" t="str">
        <f>Result_notebook_retravaill!C1169</f>
        <v>Global Net-zero</v>
      </c>
      <c r="D1169" t="str">
        <f>Result_notebook_retravaill!D1169</f>
        <v>Production potential</v>
      </c>
      <c r="E1169" t="str">
        <f>Result_notebook_retravaill!E1169</f>
        <v>Current shares</v>
      </c>
      <c r="F1169" t="str">
        <f>Result_notebook_retravaill!F1169</f>
        <v>Expansion Extractive</v>
      </c>
      <c r="G1169">
        <f>Result_notebook_retravaill!G1169</f>
        <v>70294.070325969486</v>
      </c>
      <c r="H1169" s="32">
        <f>IF(Result_notebook_retravaill!I1169&gt;Result_notebook_retravaill!G1169,Result_notebook_retravaill!I1169/Result_notebook_retravaill!N1169,Result_notebook_retravaill!H1169)</f>
        <v>230581.74490134718</v>
      </c>
      <c r="I1169" s="32">
        <f>Result_notebook_retravaill!K1169</f>
        <v>0</v>
      </c>
      <c r="J1169" s="32">
        <f>MIN(G1169,Result_notebook_retravaill!I1169)</f>
        <v>70294.070325969486</v>
      </c>
      <c r="K1169" s="32">
        <f>IF(Result_notebook_retravaill!I1169&gt;Result_notebook_retravaill!G1169,0,IF(Result_notebook_retravaill!I1169+Result_notebook_retravaill!J1169&gt;Result_notebook_retravaill!G1169,Result_notebook_retravaill!G1169-Result_notebook_retravaill!I1169,Result_notebook_retravaill!J1169))</f>
        <v>0</v>
      </c>
      <c r="L1169" s="32">
        <f>IF(Result_notebook_retravaill!I1169&gt;Result_notebook_retravaill!G1169,0,IF(Result_notebook_retravaill!I1169+Result_notebook_retravaill!J1169&gt;Result_notebook_retravaill!G1169,0,Result_notebook_retravaill!M1169))</f>
        <v>0</v>
      </c>
      <c r="M1169" s="31">
        <f t="shared" si="18"/>
        <v>0</v>
      </c>
    </row>
    <row r="1170" spans="1:13" x14ac:dyDescent="0.35">
      <c r="A1170">
        <f>Result_notebook_retravaill!A1170</f>
        <v>2037</v>
      </c>
      <c r="B1170" t="str">
        <f>Result_notebook_retravaill!B1170</f>
        <v>Lithium</v>
      </c>
      <c r="C1170" t="str">
        <f>Result_notebook_retravaill!C1170</f>
        <v>Global Net-zero</v>
      </c>
      <c r="D1170" t="str">
        <f>Result_notebook_retravaill!D1170</f>
        <v>Production potential</v>
      </c>
      <c r="E1170" t="str">
        <f>Result_notebook_retravaill!E1170</f>
        <v>Current shares</v>
      </c>
      <c r="F1170" t="str">
        <f>Result_notebook_retravaill!F1170</f>
        <v>Expansion Extractive+Circularity</v>
      </c>
      <c r="G1170">
        <f>Result_notebook_retravaill!G1170</f>
        <v>70294.070325969486</v>
      </c>
      <c r="H1170" s="32">
        <f>IF(Result_notebook_retravaill!I1170&gt;Result_notebook_retravaill!G1170,Result_notebook_retravaill!I1170/Result_notebook_retravaill!N1170,Result_notebook_retravaill!H1170)</f>
        <v>230581.74490134718</v>
      </c>
      <c r="I1170" s="32">
        <f>Result_notebook_retravaill!K1170</f>
        <v>0</v>
      </c>
      <c r="J1170" s="32">
        <f>MIN(G1170,Result_notebook_retravaill!I1170)</f>
        <v>70294.070325969486</v>
      </c>
      <c r="K1170" s="32">
        <f>IF(Result_notebook_retravaill!I1170&gt;Result_notebook_retravaill!G1170,0,IF(Result_notebook_retravaill!I1170+Result_notebook_retravaill!J1170&gt;Result_notebook_retravaill!G1170,Result_notebook_retravaill!G1170-Result_notebook_retravaill!I1170,Result_notebook_retravaill!J1170))</f>
        <v>0</v>
      </c>
      <c r="L1170" s="32">
        <f>IF(Result_notebook_retravaill!I1170&gt;Result_notebook_retravaill!G1170,0,IF(Result_notebook_retravaill!I1170+Result_notebook_retravaill!J1170&gt;Result_notebook_retravaill!G1170,0,Result_notebook_retravaill!M1170))</f>
        <v>0</v>
      </c>
      <c r="M1170" s="31">
        <f t="shared" si="18"/>
        <v>0</v>
      </c>
    </row>
    <row r="1171" spans="1:13" x14ac:dyDescent="0.35">
      <c r="A1171">
        <f>Result_notebook_retravaill!A1171</f>
        <v>2037</v>
      </c>
      <c r="B1171" t="str">
        <f>Result_notebook_retravaill!B1171</f>
        <v>Lithium</v>
      </c>
      <c r="C1171" t="str">
        <f>Result_notebook_retravaill!C1171</f>
        <v>Global Net-zero</v>
      </c>
      <c r="D1171" t="str">
        <f>Result_notebook_retravaill!D1171</f>
        <v>Production potential</v>
      </c>
      <c r="E1171" t="str">
        <f>Result_notebook_retravaill!E1171</f>
        <v>100% CAN</v>
      </c>
      <c r="F1171" t="str">
        <f>Result_notebook_retravaill!F1171</f>
        <v>Integrated</v>
      </c>
      <c r="G1171">
        <f>Result_notebook_retravaill!G1171</f>
        <v>70294.070325969486</v>
      </c>
      <c r="H1171" s="32">
        <f>IF(Result_notebook_retravaill!I1171&gt;Result_notebook_retravaill!G1171,Result_notebook_retravaill!I1171/Result_notebook_retravaill!N1171,Result_notebook_retravaill!H1171)</f>
        <v>230581.74490134718</v>
      </c>
      <c r="I1171" s="32">
        <f>Result_notebook_retravaill!K1171</f>
        <v>0</v>
      </c>
      <c r="J1171" s="32">
        <f>MIN(G1171,Result_notebook_retravaill!I1171)</f>
        <v>70294.070325969486</v>
      </c>
      <c r="K1171" s="32">
        <f>IF(Result_notebook_retravaill!I1171&gt;Result_notebook_retravaill!G1171,0,IF(Result_notebook_retravaill!I1171+Result_notebook_retravaill!J1171&gt;Result_notebook_retravaill!G1171,Result_notebook_retravaill!G1171-Result_notebook_retravaill!I1171,Result_notebook_retravaill!J1171))</f>
        <v>0</v>
      </c>
      <c r="L1171" s="32">
        <f>IF(Result_notebook_retravaill!I1171&gt;Result_notebook_retravaill!G1171,0,IF(Result_notebook_retravaill!I1171+Result_notebook_retravaill!J1171&gt;Result_notebook_retravaill!G1171,0,Result_notebook_retravaill!M1171))</f>
        <v>0</v>
      </c>
      <c r="M1171" s="31">
        <f t="shared" si="18"/>
        <v>0</v>
      </c>
    </row>
    <row r="1172" spans="1:13" x14ac:dyDescent="0.35">
      <c r="A1172">
        <f>Result_notebook_retravaill!A1172</f>
        <v>2038</v>
      </c>
      <c r="B1172" t="str">
        <f>Result_notebook_retravaill!B1172</f>
        <v>Cobalt</v>
      </c>
      <c r="C1172" t="str">
        <f>Result_notebook_retravaill!C1172</f>
        <v>Canada Net-zero</v>
      </c>
      <c r="D1172" t="str">
        <f>Result_notebook_retravaill!D1172</f>
        <v>Existing production</v>
      </c>
      <c r="E1172" t="str">
        <f>Result_notebook_retravaill!E1172</f>
        <v>Current shares</v>
      </c>
      <c r="F1172" t="str">
        <f>Result_notebook_retravaill!F1172</f>
        <v>NIMBY</v>
      </c>
      <c r="G1172">
        <f>Result_notebook_retravaill!G1172</f>
        <v>217957.7461959504</v>
      </c>
      <c r="H1172" s="32">
        <f>IF(Result_notebook_retravaill!I1172&gt;Result_notebook_retravaill!G1172,Result_notebook_retravaill!I1172/Result_notebook_retravaill!N1172,Result_notebook_retravaill!H1172)</f>
        <v>0</v>
      </c>
      <c r="I1172" s="32">
        <f>Result_notebook_retravaill!K1172</f>
        <v>495358.51408170548</v>
      </c>
      <c r="J1172" s="32">
        <f>MIN(G1172,Result_notebook_retravaill!I1172)</f>
        <v>0</v>
      </c>
      <c r="K1172" s="32">
        <f>IF(Result_notebook_retravaill!I1172&gt;Result_notebook_retravaill!G1172,0,IF(Result_notebook_retravaill!I1172+Result_notebook_retravaill!J1172&gt;Result_notebook_retravaill!G1172,Result_notebook_retravaill!G1172-Result_notebook_retravaill!I1172,Result_notebook_retravaill!J1172))</f>
        <v>0</v>
      </c>
      <c r="L1172" s="32">
        <f>IF(Result_notebook_retravaill!I1172&gt;Result_notebook_retravaill!G1172,0,IF(Result_notebook_retravaill!I1172+Result_notebook_retravaill!J1172&gt;Result_notebook_retravaill!G1172,0,Result_notebook_retravaill!M1172))</f>
        <v>217957.7461959504</v>
      </c>
      <c r="M1172" s="31">
        <f t="shared" si="18"/>
        <v>0</v>
      </c>
    </row>
    <row r="1173" spans="1:13" x14ac:dyDescent="0.35">
      <c r="A1173">
        <f>Result_notebook_retravaill!A1173</f>
        <v>2038</v>
      </c>
      <c r="B1173" t="str">
        <f>Result_notebook_retravaill!B1173</f>
        <v>Cobalt</v>
      </c>
      <c r="C1173" t="str">
        <f>Result_notebook_retravaill!C1173</f>
        <v>Canada Net-zero</v>
      </c>
      <c r="D1173" t="str">
        <f>Result_notebook_retravaill!D1173</f>
        <v>Existing production</v>
      </c>
      <c r="E1173" t="str">
        <f>Result_notebook_retravaill!E1173</f>
        <v>Current shares</v>
      </c>
      <c r="F1173" t="str">
        <f>Result_notebook_retravaill!F1173</f>
        <v>Status Quo</v>
      </c>
      <c r="G1173">
        <f>Result_notebook_retravaill!G1173</f>
        <v>217957.7461959504</v>
      </c>
      <c r="H1173" s="32">
        <f>IF(Result_notebook_retravaill!I1173&gt;Result_notebook_retravaill!G1173,Result_notebook_retravaill!I1173/Result_notebook_retravaill!N1173,Result_notebook_retravaill!H1173)</f>
        <v>261</v>
      </c>
      <c r="I1173" s="32">
        <f>Result_notebook_retravaill!K1173</f>
        <v>495097.51408170548</v>
      </c>
      <c r="J1173" s="32">
        <f>MIN(G1173,Result_notebook_retravaill!I1173)</f>
        <v>110.71145720551</v>
      </c>
      <c r="K1173" s="32">
        <f>IF(Result_notebook_retravaill!I1173&gt;Result_notebook_retravaill!G1173,0,IF(Result_notebook_retravaill!I1173+Result_notebook_retravaill!J1173&gt;Result_notebook_retravaill!G1173,Result_notebook_retravaill!G1173-Result_notebook_retravaill!I1173,Result_notebook_retravaill!J1173))</f>
        <v>3.9579964387912554</v>
      </c>
      <c r="L1173" s="32">
        <f>IF(Result_notebook_retravaill!I1173&gt;Result_notebook_retravaill!G1173,0,IF(Result_notebook_retravaill!I1173+Result_notebook_retravaill!J1173&gt;Result_notebook_retravaill!G1173,0,Result_notebook_retravaill!M1173))</f>
        <v>217843.07674230612</v>
      </c>
      <c r="M1173" s="31">
        <f t="shared" si="18"/>
        <v>0</v>
      </c>
    </row>
    <row r="1174" spans="1:13" x14ac:dyDescent="0.35">
      <c r="A1174">
        <f>Result_notebook_retravaill!A1174</f>
        <v>2038</v>
      </c>
      <c r="B1174" t="str">
        <f>Result_notebook_retravaill!B1174</f>
        <v>Cobalt</v>
      </c>
      <c r="C1174" t="str">
        <f>Result_notebook_retravaill!C1174</f>
        <v>Canada Net-zero</v>
      </c>
      <c r="D1174" t="str">
        <f>Result_notebook_retravaill!D1174</f>
        <v>Production potential</v>
      </c>
      <c r="E1174" t="str">
        <f>Result_notebook_retravaill!E1174</f>
        <v>Current shares</v>
      </c>
      <c r="F1174" t="str">
        <f>Result_notebook_retravaill!F1174</f>
        <v>Expansion Extractive</v>
      </c>
      <c r="G1174">
        <f>Result_notebook_retravaill!G1174</f>
        <v>217957.7461959504</v>
      </c>
      <c r="H1174" s="32">
        <f>IF(Result_notebook_retravaill!I1174&gt;Result_notebook_retravaill!G1174,Result_notebook_retravaill!I1174/Result_notebook_retravaill!N1174,Result_notebook_retravaill!H1174)</f>
        <v>23517.33411697366</v>
      </c>
      <c r="I1174" s="32">
        <f>Result_notebook_retravaill!K1174</f>
        <v>471841.1799647318</v>
      </c>
      <c r="J1174" s="32">
        <f>MIN(G1174,Result_notebook_retravaill!I1174)</f>
        <v>9975.625784210768</v>
      </c>
      <c r="K1174" s="32">
        <f>IF(Result_notebook_retravaill!I1174&gt;Result_notebook_retravaill!G1174,0,IF(Result_notebook_retravaill!I1174+Result_notebook_retravaill!J1174&gt;Result_notebook_retravaill!G1174,Result_notebook_retravaill!G1174-Result_notebook_retravaill!I1174,Result_notebook_retravaill!J1174))</f>
        <v>356.63419419480852</v>
      </c>
      <c r="L1174" s="32">
        <f>IF(Result_notebook_retravaill!I1174&gt;Result_notebook_retravaill!G1174,0,IF(Result_notebook_retravaill!I1174+Result_notebook_retravaill!J1174&gt;Result_notebook_retravaill!G1174,0,Result_notebook_retravaill!M1174))</f>
        <v>207625.48621754479</v>
      </c>
      <c r="M1174" s="31">
        <f t="shared" si="18"/>
        <v>0</v>
      </c>
    </row>
    <row r="1175" spans="1:13" x14ac:dyDescent="0.35">
      <c r="A1175">
        <f>Result_notebook_retravaill!A1175</f>
        <v>2038</v>
      </c>
      <c r="B1175" t="str">
        <f>Result_notebook_retravaill!B1175</f>
        <v>Cobalt</v>
      </c>
      <c r="C1175" t="str">
        <f>Result_notebook_retravaill!C1175</f>
        <v>Canada Net-zero</v>
      </c>
      <c r="D1175" t="str">
        <f>Result_notebook_retravaill!D1175</f>
        <v>Production potential</v>
      </c>
      <c r="E1175" t="str">
        <f>Result_notebook_retravaill!E1175</f>
        <v>Current shares</v>
      </c>
      <c r="F1175" t="str">
        <f>Result_notebook_retravaill!F1175</f>
        <v>Expansion Extractive+Circularity</v>
      </c>
      <c r="G1175">
        <f>Result_notebook_retravaill!G1175</f>
        <v>217957.7461959504</v>
      </c>
      <c r="H1175" s="32">
        <f>IF(Result_notebook_retravaill!I1175&gt;Result_notebook_retravaill!G1175,Result_notebook_retravaill!I1175/Result_notebook_retravaill!N1175,Result_notebook_retravaill!H1175)</f>
        <v>23517.33411697366</v>
      </c>
      <c r="I1175" s="32">
        <f>Result_notebook_retravaill!K1175</f>
        <v>471841.1799647318</v>
      </c>
      <c r="J1175" s="32">
        <f>MIN(G1175,Result_notebook_retravaill!I1175)</f>
        <v>9975.625784210768</v>
      </c>
      <c r="K1175" s="32">
        <f>IF(Result_notebook_retravaill!I1175&gt;Result_notebook_retravaill!G1175,0,IF(Result_notebook_retravaill!I1175+Result_notebook_retravaill!J1175&gt;Result_notebook_retravaill!G1175,Result_notebook_retravaill!G1175-Result_notebook_retravaill!I1175,Result_notebook_retravaill!J1175))</f>
        <v>356.63419419480852</v>
      </c>
      <c r="L1175" s="32">
        <f>IF(Result_notebook_retravaill!I1175&gt;Result_notebook_retravaill!G1175,0,IF(Result_notebook_retravaill!I1175+Result_notebook_retravaill!J1175&gt;Result_notebook_retravaill!G1175,0,Result_notebook_retravaill!M1175))</f>
        <v>207625.48621754479</v>
      </c>
      <c r="M1175" s="31">
        <f t="shared" si="18"/>
        <v>0</v>
      </c>
    </row>
    <row r="1176" spans="1:13" x14ac:dyDescent="0.35">
      <c r="A1176">
        <f>Result_notebook_retravaill!A1176</f>
        <v>2038</v>
      </c>
      <c r="B1176" t="str">
        <f>Result_notebook_retravaill!B1176</f>
        <v>Cobalt</v>
      </c>
      <c r="C1176" t="str">
        <f>Result_notebook_retravaill!C1176</f>
        <v>Canada Net-zero</v>
      </c>
      <c r="D1176" t="str">
        <f>Result_notebook_retravaill!D1176</f>
        <v>Production potential</v>
      </c>
      <c r="E1176" t="str">
        <f>Result_notebook_retravaill!E1176</f>
        <v>100% CAN</v>
      </c>
      <c r="F1176" t="str">
        <f>Result_notebook_retravaill!F1176</f>
        <v>Integrated</v>
      </c>
      <c r="G1176">
        <f>Result_notebook_retravaill!G1176</f>
        <v>217957.7461959504</v>
      </c>
      <c r="H1176" s="32">
        <f>IF(Result_notebook_retravaill!I1176&gt;Result_notebook_retravaill!G1176,Result_notebook_retravaill!I1176/Result_notebook_retravaill!N1176,Result_notebook_retravaill!H1176)</f>
        <v>23517.33411697366</v>
      </c>
      <c r="I1176" s="32">
        <f>Result_notebook_retravaill!K1176</f>
        <v>471841.1799647318</v>
      </c>
      <c r="J1176" s="32">
        <f>MIN(G1176,Result_notebook_retravaill!I1176)</f>
        <v>10332.259978405589</v>
      </c>
      <c r="K1176" s="32">
        <f>IF(Result_notebook_retravaill!I1176&gt;Result_notebook_retravaill!G1176,0,IF(Result_notebook_retravaill!I1176+Result_notebook_retravaill!J1176&gt;Result_notebook_retravaill!G1176,Result_notebook_retravaill!G1176-Result_notebook_retravaill!I1176,Result_notebook_retravaill!J1176))</f>
        <v>0</v>
      </c>
      <c r="L1176" s="32">
        <f>IF(Result_notebook_retravaill!I1176&gt;Result_notebook_retravaill!G1176,0,IF(Result_notebook_retravaill!I1176+Result_notebook_retravaill!J1176&gt;Result_notebook_retravaill!G1176,0,Result_notebook_retravaill!M1176))</f>
        <v>207625.48621754479</v>
      </c>
      <c r="M1176" s="31">
        <f t="shared" si="18"/>
        <v>0</v>
      </c>
    </row>
    <row r="1177" spans="1:13" x14ac:dyDescent="0.35">
      <c r="A1177">
        <f>Result_notebook_retravaill!A1177</f>
        <v>2038</v>
      </c>
      <c r="B1177" t="str">
        <f>Result_notebook_retravaill!B1177</f>
        <v>Cobalt</v>
      </c>
      <c r="C1177" t="str">
        <f>Result_notebook_retravaill!C1177</f>
        <v>Current Measures</v>
      </c>
      <c r="D1177" t="str">
        <f>Result_notebook_retravaill!D1177</f>
        <v>Existing production</v>
      </c>
      <c r="E1177" t="str">
        <f>Result_notebook_retravaill!E1177</f>
        <v>Current shares</v>
      </c>
      <c r="F1177" t="str">
        <f>Result_notebook_retravaill!F1177</f>
        <v>NIMBY</v>
      </c>
      <c r="G1177">
        <f>Result_notebook_retravaill!G1177</f>
        <v>81581.249659793117</v>
      </c>
      <c r="H1177" s="32">
        <f>IF(Result_notebook_retravaill!I1177&gt;Result_notebook_retravaill!G1177,Result_notebook_retravaill!I1177/Result_notebook_retravaill!N1177,Result_notebook_retravaill!H1177)</f>
        <v>0</v>
      </c>
      <c r="I1177" s="32">
        <f>Result_notebook_retravaill!K1177</f>
        <v>185411.93104498429</v>
      </c>
      <c r="J1177" s="32">
        <f>MIN(G1177,Result_notebook_retravaill!I1177)</f>
        <v>0</v>
      </c>
      <c r="K1177" s="32">
        <f>IF(Result_notebook_retravaill!I1177&gt;Result_notebook_retravaill!G1177,0,IF(Result_notebook_retravaill!I1177+Result_notebook_retravaill!J1177&gt;Result_notebook_retravaill!G1177,Result_notebook_retravaill!G1177-Result_notebook_retravaill!I1177,Result_notebook_retravaill!J1177))</f>
        <v>0</v>
      </c>
      <c r="L1177" s="32">
        <f>IF(Result_notebook_retravaill!I1177&gt;Result_notebook_retravaill!G1177,0,IF(Result_notebook_retravaill!I1177+Result_notebook_retravaill!J1177&gt;Result_notebook_retravaill!G1177,0,Result_notebook_retravaill!M1177))</f>
        <v>81581.249659793117</v>
      </c>
      <c r="M1177" s="31">
        <f t="shared" si="18"/>
        <v>0</v>
      </c>
    </row>
    <row r="1178" spans="1:13" x14ac:dyDescent="0.35">
      <c r="A1178">
        <f>Result_notebook_retravaill!A1178</f>
        <v>2038</v>
      </c>
      <c r="B1178" t="str">
        <f>Result_notebook_retravaill!B1178</f>
        <v>Cobalt</v>
      </c>
      <c r="C1178" t="str">
        <f>Result_notebook_retravaill!C1178</f>
        <v>Current Measures</v>
      </c>
      <c r="D1178" t="str">
        <f>Result_notebook_retravaill!D1178</f>
        <v>Existing production</v>
      </c>
      <c r="E1178" t="str">
        <f>Result_notebook_retravaill!E1178</f>
        <v>Current shares</v>
      </c>
      <c r="F1178" t="str">
        <f>Result_notebook_retravaill!F1178</f>
        <v>Status Quo</v>
      </c>
      <c r="G1178">
        <f>Result_notebook_retravaill!G1178</f>
        <v>81581.249659793117</v>
      </c>
      <c r="H1178" s="32">
        <f>IF(Result_notebook_retravaill!I1178&gt;Result_notebook_retravaill!G1178,Result_notebook_retravaill!I1178/Result_notebook_retravaill!N1178,Result_notebook_retravaill!H1178)</f>
        <v>261</v>
      </c>
      <c r="I1178" s="32">
        <f>Result_notebook_retravaill!K1178</f>
        <v>185150.93104498429</v>
      </c>
      <c r="J1178" s="32">
        <f>MIN(G1178,Result_notebook_retravaill!I1178)</f>
        <v>110.71145720551</v>
      </c>
      <c r="K1178" s="32">
        <f>IF(Result_notebook_retravaill!I1178&gt;Result_notebook_retravaill!G1178,0,IF(Result_notebook_retravaill!I1178+Result_notebook_retravaill!J1178&gt;Result_notebook_retravaill!G1178,Result_notebook_retravaill!G1178-Result_notebook_retravaill!I1178,Result_notebook_retravaill!J1178))</f>
        <v>3.9579964387912554</v>
      </c>
      <c r="L1178" s="32">
        <f>IF(Result_notebook_retravaill!I1178&gt;Result_notebook_retravaill!G1178,0,IF(Result_notebook_retravaill!I1178+Result_notebook_retravaill!J1178&gt;Result_notebook_retravaill!G1178,0,Result_notebook_retravaill!M1178))</f>
        <v>81466.580206148807</v>
      </c>
      <c r="M1178" s="31">
        <f t="shared" si="18"/>
        <v>0</v>
      </c>
    </row>
    <row r="1179" spans="1:13" x14ac:dyDescent="0.35">
      <c r="A1179">
        <f>Result_notebook_retravaill!A1179</f>
        <v>2038</v>
      </c>
      <c r="B1179" t="str">
        <f>Result_notebook_retravaill!B1179</f>
        <v>Cobalt</v>
      </c>
      <c r="C1179" t="str">
        <f>Result_notebook_retravaill!C1179</f>
        <v>Current Measures</v>
      </c>
      <c r="D1179" t="str">
        <f>Result_notebook_retravaill!D1179</f>
        <v>Production potential</v>
      </c>
      <c r="E1179" t="str">
        <f>Result_notebook_retravaill!E1179</f>
        <v>Current shares</v>
      </c>
      <c r="F1179" t="str">
        <f>Result_notebook_retravaill!F1179</f>
        <v>Expansion Extractive</v>
      </c>
      <c r="G1179">
        <f>Result_notebook_retravaill!G1179</f>
        <v>81581.249659793117</v>
      </c>
      <c r="H1179" s="32">
        <f>IF(Result_notebook_retravaill!I1179&gt;Result_notebook_retravaill!G1179,Result_notebook_retravaill!I1179/Result_notebook_retravaill!N1179,Result_notebook_retravaill!H1179)</f>
        <v>23517.33411697366</v>
      </c>
      <c r="I1179" s="32">
        <f>Result_notebook_retravaill!K1179</f>
        <v>161894.59692801069</v>
      </c>
      <c r="J1179" s="32">
        <f>MIN(G1179,Result_notebook_retravaill!I1179)</f>
        <v>9975.625784210768</v>
      </c>
      <c r="K1179" s="32">
        <f>IF(Result_notebook_retravaill!I1179&gt;Result_notebook_retravaill!G1179,0,IF(Result_notebook_retravaill!I1179+Result_notebook_retravaill!J1179&gt;Result_notebook_retravaill!G1179,Result_notebook_retravaill!G1179-Result_notebook_retravaill!I1179,Result_notebook_retravaill!J1179))</f>
        <v>356.63419419480852</v>
      </c>
      <c r="L1179" s="32">
        <f>IF(Result_notebook_retravaill!I1179&gt;Result_notebook_retravaill!G1179,0,IF(Result_notebook_retravaill!I1179+Result_notebook_retravaill!J1179&gt;Result_notebook_retravaill!G1179,0,Result_notebook_retravaill!M1179))</f>
        <v>71248.989681387538</v>
      </c>
      <c r="M1179" s="31">
        <f t="shared" si="18"/>
        <v>0</v>
      </c>
    </row>
    <row r="1180" spans="1:13" x14ac:dyDescent="0.35">
      <c r="A1180">
        <f>Result_notebook_retravaill!A1180</f>
        <v>2038</v>
      </c>
      <c r="B1180" t="str">
        <f>Result_notebook_retravaill!B1180</f>
        <v>Cobalt</v>
      </c>
      <c r="C1180" t="str">
        <f>Result_notebook_retravaill!C1180</f>
        <v>Current Measures</v>
      </c>
      <c r="D1180" t="str">
        <f>Result_notebook_retravaill!D1180</f>
        <v>Production potential</v>
      </c>
      <c r="E1180" t="str">
        <f>Result_notebook_retravaill!E1180</f>
        <v>Current shares</v>
      </c>
      <c r="F1180" t="str">
        <f>Result_notebook_retravaill!F1180</f>
        <v>Expansion Extractive+Circularity</v>
      </c>
      <c r="G1180">
        <f>Result_notebook_retravaill!G1180</f>
        <v>81581.249659793117</v>
      </c>
      <c r="H1180" s="32">
        <f>IF(Result_notebook_retravaill!I1180&gt;Result_notebook_retravaill!G1180,Result_notebook_retravaill!I1180/Result_notebook_retravaill!N1180,Result_notebook_retravaill!H1180)</f>
        <v>23517.33411697366</v>
      </c>
      <c r="I1180" s="32">
        <f>Result_notebook_retravaill!K1180</f>
        <v>161894.59692801069</v>
      </c>
      <c r="J1180" s="32">
        <f>MIN(G1180,Result_notebook_retravaill!I1180)</f>
        <v>9975.625784210768</v>
      </c>
      <c r="K1180" s="32">
        <f>IF(Result_notebook_retravaill!I1180&gt;Result_notebook_retravaill!G1180,0,IF(Result_notebook_retravaill!I1180+Result_notebook_retravaill!J1180&gt;Result_notebook_retravaill!G1180,Result_notebook_retravaill!G1180-Result_notebook_retravaill!I1180,Result_notebook_retravaill!J1180))</f>
        <v>356.63419419480852</v>
      </c>
      <c r="L1180" s="32">
        <f>IF(Result_notebook_retravaill!I1180&gt;Result_notebook_retravaill!G1180,0,IF(Result_notebook_retravaill!I1180+Result_notebook_retravaill!J1180&gt;Result_notebook_retravaill!G1180,0,Result_notebook_retravaill!M1180))</f>
        <v>71248.989681387538</v>
      </c>
      <c r="M1180" s="31">
        <f t="shared" si="18"/>
        <v>0</v>
      </c>
    </row>
    <row r="1181" spans="1:13" x14ac:dyDescent="0.35">
      <c r="A1181">
        <f>Result_notebook_retravaill!A1181</f>
        <v>2038</v>
      </c>
      <c r="B1181" t="str">
        <f>Result_notebook_retravaill!B1181</f>
        <v>Cobalt</v>
      </c>
      <c r="C1181" t="str">
        <f>Result_notebook_retravaill!C1181</f>
        <v>Current Measures</v>
      </c>
      <c r="D1181" t="str">
        <f>Result_notebook_retravaill!D1181</f>
        <v>Production potential</v>
      </c>
      <c r="E1181" t="str">
        <f>Result_notebook_retravaill!E1181</f>
        <v>100% CAN</v>
      </c>
      <c r="F1181" t="str">
        <f>Result_notebook_retravaill!F1181</f>
        <v>Integrated</v>
      </c>
      <c r="G1181">
        <f>Result_notebook_retravaill!G1181</f>
        <v>81581.249659793117</v>
      </c>
      <c r="H1181" s="32">
        <f>IF(Result_notebook_retravaill!I1181&gt;Result_notebook_retravaill!G1181,Result_notebook_retravaill!I1181/Result_notebook_retravaill!N1181,Result_notebook_retravaill!H1181)</f>
        <v>23517.33411697366</v>
      </c>
      <c r="I1181" s="32">
        <f>Result_notebook_retravaill!K1181</f>
        <v>161894.59692801069</v>
      </c>
      <c r="J1181" s="32">
        <f>MIN(G1181,Result_notebook_retravaill!I1181)</f>
        <v>10332.259978405589</v>
      </c>
      <c r="K1181" s="32">
        <f>IF(Result_notebook_retravaill!I1181&gt;Result_notebook_retravaill!G1181,0,IF(Result_notebook_retravaill!I1181+Result_notebook_retravaill!J1181&gt;Result_notebook_retravaill!G1181,Result_notebook_retravaill!G1181-Result_notebook_retravaill!I1181,Result_notebook_retravaill!J1181))</f>
        <v>0</v>
      </c>
      <c r="L1181" s="32">
        <f>IF(Result_notebook_retravaill!I1181&gt;Result_notebook_retravaill!G1181,0,IF(Result_notebook_retravaill!I1181+Result_notebook_retravaill!J1181&gt;Result_notebook_retravaill!G1181,0,Result_notebook_retravaill!M1181))</f>
        <v>71248.989681387524</v>
      </c>
      <c r="M1181" s="31">
        <f t="shared" si="18"/>
        <v>0</v>
      </c>
    </row>
    <row r="1182" spans="1:13" x14ac:dyDescent="0.35">
      <c r="A1182">
        <f>Result_notebook_retravaill!A1182</f>
        <v>2038</v>
      </c>
      <c r="B1182" t="str">
        <f>Result_notebook_retravaill!B1182</f>
        <v>Cobalt</v>
      </c>
      <c r="C1182" t="str">
        <f>Result_notebook_retravaill!C1182</f>
        <v>Global Net-zero</v>
      </c>
      <c r="D1182" t="str">
        <f>Result_notebook_retravaill!D1182</f>
        <v>Existing production</v>
      </c>
      <c r="E1182" t="str">
        <f>Result_notebook_retravaill!E1182</f>
        <v>Current shares</v>
      </c>
      <c r="F1182" t="str">
        <f>Result_notebook_retravaill!F1182</f>
        <v>NIMBY</v>
      </c>
      <c r="G1182">
        <f>Result_notebook_retravaill!G1182</f>
        <v>207519.60886178669</v>
      </c>
      <c r="H1182" s="32">
        <f>IF(Result_notebook_retravaill!I1182&gt;Result_notebook_retravaill!G1182,Result_notebook_retravaill!I1182/Result_notebook_retravaill!N1182,Result_notebook_retravaill!H1182)</f>
        <v>0</v>
      </c>
      <c r="I1182" s="32">
        <f>Result_notebook_retravaill!K1182</f>
        <v>471635.47468587878</v>
      </c>
      <c r="J1182" s="32">
        <f>MIN(G1182,Result_notebook_retravaill!I1182)</f>
        <v>0</v>
      </c>
      <c r="K1182" s="32">
        <f>IF(Result_notebook_retravaill!I1182&gt;Result_notebook_retravaill!G1182,0,IF(Result_notebook_retravaill!I1182+Result_notebook_retravaill!J1182&gt;Result_notebook_retravaill!G1182,Result_notebook_retravaill!G1182-Result_notebook_retravaill!I1182,Result_notebook_retravaill!J1182))</f>
        <v>0</v>
      </c>
      <c r="L1182" s="32">
        <f>IF(Result_notebook_retravaill!I1182&gt;Result_notebook_retravaill!G1182,0,IF(Result_notebook_retravaill!I1182+Result_notebook_retravaill!J1182&gt;Result_notebook_retravaill!G1182,0,Result_notebook_retravaill!M1182))</f>
        <v>207519.60886178669</v>
      </c>
      <c r="M1182" s="31">
        <f t="shared" si="18"/>
        <v>0</v>
      </c>
    </row>
    <row r="1183" spans="1:13" x14ac:dyDescent="0.35">
      <c r="A1183">
        <f>Result_notebook_retravaill!A1183</f>
        <v>2038</v>
      </c>
      <c r="B1183" t="str">
        <f>Result_notebook_retravaill!B1183</f>
        <v>Cobalt</v>
      </c>
      <c r="C1183" t="str">
        <f>Result_notebook_retravaill!C1183</f>
        <v>Global Net-zero</v>
      </c>
      <c r="D1183" t="str">
        <f>Result_notebook_retravaill!D1183</f>
        <v>Existing production</v>
      </c>
      <c r="E1183" t="str">
        <f>Result_notebook_retravaill!E1183</f>
        <v>Current shares</v>
      </c>
      <c r="F1183" t="str">
        <f>Result_notebook_retravaill!F1183</f>
        <v>Status Quo</v>
      </c>
      <c r="G1183">
        <f>Result_notebook_retravaill!G1183</f>
        <v>207519.60886178669</v>
      </c>
      <c r="H1183" s="32">
        <f>IF(Result_notebook_retravaill!I1183&gt;Result_notebook_retravaill!G1183,Result_notebook_retravaill!I1183/Result_notebook_retravaill!N1183,Result_notebook_retravaill!H1183)</f>
        <v>261</v>
      </c>
      <c r="I1183" s="32">
        <f>Result_notebook_retravaill!K1183</f>
        <v>471374.47468587878</v>
      </c>
      <c r="J1183" s="32">
        <f>MIN(G1183,Result_notebook_retravaill!I1183)</f>
        <v>110.71145720551</v>
      </c>
      <c r="K1183" s="32">
        <f>IF(Result_notebook_retravaill!I1183&gt;Result_notebook_retravaill!G1183,0,IF(Result_notebook_retravaill!I1183+Result_notebook_retravaill!J1183&gt;Result_notebook_retravaill!G1183,Result_notebook_retravaill!G1183-Result_notebook_retravaill!I1183,Result_notebook_retravaill!J1183))</f>
        <v>3.9579964387912554</v>
      </c>
      <c r="L1183" s="32">
        <f>IF(Result_notebook_retravaill!I1183&gt;Result_notebook_retravaill!G1183,0,IF(Result_notebook_retravaill!I1183+Result_notebook_retravaill!J1183&gt;Result_notebook_retravaill!G1183,0,Result_notebook_retravaill!M1183))</f>
        <v>207404.93940814241</v>
      </c>
      <c r="M1183" s="31">
        <f t="shared" si="18"/>
        <v>0</v>
      </c>
    </row>
    <row r="1184" spans="1:13" x14ac:dyDescent="0.35">
      <c r="A1184">
        <f>Result_notebook_retravaill!A1184</f>
        <v>2038</v>
      </c>
      <c r="B1184" t="str">
        <f>Result_notebook_retravaill!B1184</f>
        <v>Cobalt</v>
      </c>
      <c r="C1184" t="str">
        <f>Result_notebook_retravaill!C1184</f>
        <v>Global Net-zero</v>
      </c>
      <c r="D1184" t="str">
        <f>Result_notebook_retravaill!D1184</f>
        <v>Production potential</v>
      </c>
      <c r="E1184" t="str">
        <f>Result_notebook_retravaill!E1184</f>
        <v>Current shares</v>
      </c>
      <c r="F1184" t="str">
        <f>Result_notebook_retravaill!F1184</f>
        <v>Expansion Extractive</v>
      </c>
      <c r="G1184">
        <f>Result_notebook_retravaill!G1184</f>
        <v>207519.60886178669</v>
      </c>
      <c r="H1184" s="32">
        <f>IF(Result_notebook_retravaill!I1184&gt;Result_notebook_retravaill!G1184,Result_notebook_retravaill!I1184/Result_notebook_retravaill!N1184,Result_notebook_retravaill!H1184)</f>
        <v>23517.33411697366</v>
      </c>
      <c r="I1184" s="32">
        <f>Result_notebook_retravaill!K1184</f>
        <v>448118.14056890522</v>
      </c>
      <c r="J1184" s="32">
        <f>MIN(G1184,Result_notebook_retravaill!I1184)</f>
        <v>9975.625784210768</v>
      </c>
      <c r="K1184" s="32">
        <f>IF(Result_notebook_retravaill!I1184&gt;Result_notebook_retravaill!G1184,0,IF(Result_notebook_retravaill!I1184+Result_notebook_retravaill!J1184&gt;Result_notebook_retravaill!G1184,Result_notebook_retravaill!G1184-Result_notebook_retravaill!I1184,Result_notebook_retravaill!J1184))</f>
        <v>356.63419419480852</v>
      </c>
      <c r="L1184" s="32">
        <f>IF(Result_notebook_retravaill!I1184&gt;Result_notebook_retravaill!G1184,0,IF(Result_notebook_retravaill!I1184+Result_notebook_retravaill!J1184&gt;Result_notebook_retravaill!G1184,0,Result_notebook_retravaill!M1184))</f>
        <v>197187.34888338108</v>
      </c>
      <c r="M1184" s="31">
        <f t="shared" si="18"/>
        <v>0</v>
      </c>
    </row>
    <row r="1185" spans="1:13" x14ac:dyDescent="0.35">
      <c r="A1185">
        <f>Result_notebook_retravaill!A1185</f>
        <v>2038</v>
      </c>
      <c r="B1185" t="str">
        <f>Result_notebook_retravaill!B1185</f>
        <v>Cobalt</v>
      </c>
      <c r="C1185" t="str">
        <f>Result_notebook_retravaill!C1185</f>
        <v>Global Net-zero</v>
      </c>
      <c r="D1185" t="str">
        <f>Result_notebook_retravaill!D1185</f>
        <v>Production potential</v>
      </c>
      <c r="E1185" t="str">
        <f>Result_notebook_retravaill!E1185</f>
        <v>Current shares</v>
      </c>
      <c r="F1185" t="str">
        <f>Result_notebook_retravaill!F1185</f>
        <v>Expansion Extractive+Circularity</v>
      </c>
      <c r="G1185">
        <f>Result_notebook_retravaill!G1185</f>
        <v>207519.60886178669</v>
      </c>
      <c r="H1185" s="32">
        <f>IF(Result_notebook_retravaill!I1185&gt;Result_notebook_retravaill!G1185,Result_notebook_retravaill!I1185/Result_notebook_retravaill!N1185,Result_notebook_retravaill!H1185)</f>
        <v>23517.33411697366</v>
      </c>
      <c r="I1185" s="32">
        <f>Result_notebook_retravaill!K1185</f>
        <v>448118.14056890522</v>
      </c>
      <c r="J1185" s="32">
        <f>MIN(G1185,Result_notebook_retravaill!I1185)</f>
        <v>9975.625784210768</v>
      </c>
      <c r="K1185" s="32">
        <f>IF(Result_notebook_retravaill!I1185&gt;Result_notebook_retravaill!G1185,0,IF(Result_notebook_retravaill!I1185+Result_notebook_retravaill!J1185&gt;Result_notebook_retravaill!G1185,Result_notebook_retravaill!G1185-Result_notebook_retravaill!I1185,Result_notebook_retravaill!J1185))</f>
        <v>356.63419419480852</v>
      </c>
      <c r="L1185" s="32">
        <f>IF(Result_notebook_retravaill!I1185&gt;Result_notebook_retravaill!G1185,0,IF(Result_notebook_retravaill!I1185+Result_notebook_retravaill!J1185&gt;Result_notebook_retravaill!G1185,0,Result_notebook_retravaill!M1185))</f>
        <v>197187.34888338108</v>
      </c>
      <c r="M1185" s="31">
        <f t="shared" si="18"/>
        <v>0</v>
      </c>
    </row>
    <row r="1186" spans="1:13" x14ac:dyDescent="0.35">
      <c r="A1186">
        <f>Result_notebook_retravaill!A1186</f>
        <v>2038</v>
      </c>
      <c r="B1186" t="str">
        <f>Result_notebook_retravaill!B1186</f>
        <v>Cobalt</v>
      </c>
      <c r="C1186" t="str">
        <f>Result_notebook_retravaill!C1186</f>
        <v>Global Net-zero</v>
      </c>
      <c r="D1186" t="str">
        <f>Result_notebook_retravaill!D1186</f>
        <v>Production potential</v>
      </c>
      <c r="E1186" t="str">
        <f>Result_notebook_retravaill!E1186</f>
        <v>100% CAN</v>
      </c>
      <c r="F1186" t="str">
        <f>Result_notebook_retravaill!F1186</f>
        <v>Integrated</v>
      </c>
      <c r="G1186">
        <f>Result_notebook_retravaill!G1186</f>
        <v>207519.60886178669</v>
      </c>
      <c r="H1186" s="32">
        <f>IF(Result_notebook_retravaill!I1186&gt;Result_notebook_retravaill!G1186,Result_notebook_retravaill!I1186/Result_notebook_retravaill!N1186,Result_notebook_retravaill!H1186)</f>
        <v>23517.33411697366</v>
      </c>
      <c r="I1186" s="32">
        <f>Result_notebook_retravaill!K1186</f>
        <v>448118.14056890522</v>
      </c>
      <c r="J1186" s="32">
        <f>MIN(G1186,Result_notebook_retravaill!I1186)</f>
        <v>10332.259978405589</v>
      </c>
      <c r="K1186" s="32">
        <f>IF(Result_notebook_retravaill!I1186&gt;Result_notebook_retravaill!G1186,0,IF(Result_notebook_retravaill!I1186+Result_notebook_retravaill!J1186&gt;Result_notebook_retravaill!G1186,Result_notebook_retravaill!G1186-Result_notebook_retravaill!I1186,Result_notebook_retravaill!J1186))</f>
        <v>0</v>
      </c>
      <c r="L1186" s="32">
        <f>IF(Result_notebook_retravaill!I1186&gt;Result_notebook_retravaill!G1186,0,IF(Result_notebook_retravaill!I1186+Result_notebook_retravaill!J1186&gt;Result_notebook_retravaill!G1186,0,Result_notebook_retravaill!M1186))</f>
        <v>197187.34888338111</v>
      </c>
      <c r="M1186" s="31">
        <f t="shared" si="18"/>
        <v>0</v>
      </c>
    </row>
    <row r="1187" spans="1:13" x14ac:dyDescent="0.35">
      <c r="A1187">
        <f>Result_notebook_retravaill!A1187</f>
        <v>2038</v>
      </c>
      <c r="B1187" t="str">
        <f>Result_notebook_retravaill!B1187</f>
        <v>Copper</v>
      </c>
      <c r="C1187" t="str">
        <f>Result_notebook_retravaill!C1187</f>
        <v>Canada Net-zero</v>
      </c>
      <c r="D1187" t="str">
        <f>Result_notebook_retravaill!D1187</f>
        <v>Existing production</v>
      </c>
      <c r="E1187" t="str">
        <f>Result_notebook_retravaill!E1187</f>
        <v>Current shares</v>
      </c>
      <c r="F1187" t="str">
        <f>Result_notebook_retravaill!F1187</f>
        <v>NIMBY</v>
      </c>
      <c r="G1187">
        <f>Result_notebook_retravaill!G1187</f>
        <v>1525342.03872534</v>
      </c>
      <c r="H1187" s="32">
        <f>IF(Result_notebook_retravaill!I1187&gt;Result_notebook_retravaill!G1187,Result_notebook_retravaill!I1187/Result_notebook_retravaill!N1187,Result_notebook_retravaill!H1187)</f>
        <v>0</v>
      </c>
      <c r="I1187" s="32">
        <f>Result_notebook_retravaill!K1187</f>
        <v>1837761.492440169</v>
      </c>
      <c r="J1187" s="32">
        <f>MIN(G1187,Result_notebook_retravaill!I1187)</f>
        <v>0</v>
      </c>
      <c r="K1187" s="32">
        <f>IF(Result_notebook_retravaill!I1187&gt;Result_notebook_retravaill!G1187,0,IF(Result_notebook_retravaill!I1187+Result_notebook_retravaill!J1187&gt;Result_notebook_retravaill!G1187,Result_notebook_retravaill!G1187-Result_notebook_retravaill!I1187,Result_notebook_retravaill!J1187))</f>
        <v>0</v>
      </c>
      <c r="L1187" s="32">
        <f>IF(Result_notebook_retravaill!I1187&gt;Result_notebook_retravaill!G1187,0,IF(Result_notebook_retravaill!I1187+Result_notebook_retravaill!J1187&gt;Result_notebook_retravaill!G1187,0,Result_notebook_retravaill!M1187))</f>
        <v>1525342.03872534</v>
      </c>
      <c r="M1187" s="31">
        <f t="shared" si="18"/>
        <v>0</v>
      </c>
    </row>
    <row r="1188" spans="1:13" x14ac:dyDescent="0.35">
      <c r="A1188">
        <f>Result_notebook_retravaill!A1188</f>
        <v>2038</v>
      </c>
      <c r="B1188" t="str">
        <f>Result_notebook_retravaill!B1188</f>
        <v>Copper</v>
      </c>
      <c r="C1188" t="str">
        <f>Result_notebook_retravaill!C1188</f>
        <v>Canada Net-zero</v>
      </c>
      <c r="D1188" t="str">
        <f>Result_notebook_retravaill!D1188</f>
        <v>Existing production</v>
      </c>
      <c r="E1188" t="str">
        <f>Result_notebook_retravaill!E1188</f>
        <v>Current shares</v>
      </c>
      <c r="F1188" t="str">
        <f>Result_notebook_retravaill!F1188</f>
        <v>Status Quo</v>
      </c>
      <c r="G1188">
        <f>Result_notebook_retravaill!G1188</f>
        <v>1525342.03872534</v>
      </c>
      <c r="H1188" s="32">
        <f>IF(Result_notebook_retravaill!I1188&gt;Result_notebook_retravaill!G1188,Result_notebook_retravaill!I1188/Result_notebook_retravaill!N1188,Result_notebook_retravaill!H1188)</f>
        <v>149633</v>
      </c>
      <c r="I1188" s="32">
        <f>Result_notebook_retravaill!K1188</f>
        <v>1688128.492440169</v>
      </c>
      <c r="J1188" s="32">
        <f>MIN(G1188,Result_notebook_retravaill!I1188)</f>
        <v>78648.404734026277</v>
      </c>
      <c r="K1188" s="32">
        <f>IF(Result_notebook_retravaill!I1188&gt;Result_notebook_retravaill!G1188,0,IF(Result_notebook_retravaill!I1188+Result_notebook_retravaill!J1188&gt;Result_notebook_retravaill!G1188,Result_notebook_retravaill!G1188-Result_notebook_retravaill!I1188,Result_notebook_retravaill!J1188))</f>
        <v>46257.107977838066</v>
      </c>
      <c r="L1188" s="32">
        <f>IF(Result_notebook_retravaill!I1188&gt;Result_notebook_retravaill!G1188,0,IF(Result_notebook_retravaill!I1188+Result_notebook_retravaill!J1188&gt;Result_notebook_retravaill!G1188,0,Result_notebook_retravaill!M1188))</f>
        <v>1400436.5260134761</v>
      </c>
      <c r="M1188" s="31">
        <f t="shared" si="18"/>
        <v>0</v>
      </c>
    </row>
    <row r="1189" spans="1:13" x14ac:dyDescent="0.35">
      <c r="A1189">
        <f>Result_notebook_retravaill!A1189</f>
        <v>2038</v>
      </c>
      <c r="B1189" t="str">
        <f>Result_notebook_retravaill!B1189</f>
        <v>Copper</v>
      </c>
      <c r="C1189" t="str">
        <f>Result_notebook_retravaill!C1189</f>
        <v>Canada Net-zero</v>
      </c>
      <c r="D1189" t="str">
        <f>Result_notebook_retravaill!D1189</f>
        <v>Production potential</v>
      </c>
      <c r="E1189" t="str">
        <f>Result_notebook_retravaill!E1189</f>
        <v>Current shares</v>
      </c>
      <c r="F1189" t="str">
        <f>Result_notebook_retravaill!F1189</f>
        <v>Expansion Extractive</v>
      </c>
      <c r="G1189">
        <f>Result_notebook_retravaill!G1189</f>
        <v>1525342.03872534</v>
      </c>
      <c r="H1189" s="32">
        <f>IF(Result_notebook_retravaill!I1189&gt;Result_notebook_retravaill!G1189,Result_notebook_retravaill!I1189/Result_notebook_retravaill!N1189,Result_notebook_retravaill!H1189)</f>
        <v>1022879.179171539</v>
      </c>
      <c r="I1189" s="32">
        <f>Result_notebook_retravaill!K1189</f>
        <v>814882.31326862948</v>
      </c>
      <c r="J1189" s="32">
        <f>MIN(G1189,Result_notebook_retravaill!I1189)</f>
        <v>537634.18281723827</v>
      </c>
      <c r="K1189" s="32">
        <f>IF(Result_notebook_retravaill!I1189&gt;Result_notebook_retravaill!G1189,0,IF(Result_notebook_retravaill!I1189+Result_notebook_retravaill!J1189&gt;Result_notebook_retravaill!G1189,Result_notebook_retravaill!G1189-Result_notebook_retravaill!I1189,Result_notebook_retravaill!J1189))</f>
        <v>316209.87776239344</v>
      </c>
      <c r="L1189" s="32">
        <f>IF(Result_notebook_retravaill!I1189&gt;Result_notebook_retravaill!G1189,0,IF(Result_notebook_retravaill!I1189+Result_notebook_retravaill!J1189&gt;Result_notebook_retravaill!G1189,0,Result_notebook_retravaill!M1189))</f>
        <v>671497.97814570833</v>
      </c>
      <c r="M1189" s="31">
        <f t="shared" si="18"/>
        <v>0</v>
      </c>
    </row>
    <row r="1190" spans="1:13" x14ac:dyDescent="0.35">
      <c r="A1190">
        <f>Result_notebook_retravaill!A1190</f>
        <v>2038</v>
      </c>
      <c r="B1190" t="str">
        <f>Result_notebook_retravaill!B1190</f>
        <v>Copper</v>
      </c>
      <c r="C1190" t="str">
        <f>Result_notebook_retravaill!C1190</f>
        <v>Canada Net-zero</v>
      </c>
      <c r="D1190" t="str">
        <f>Result_notebook_retravaill!D1190</f>
        <v>Production potential</v>
      </c>
      <c r="E1190" t="str">
        <f>Result_notebook_retravaill!E1190</f>
        <v>Current shares</v>
      </c>
      <c r="F1190" t="str">
        <f>Result_notebook_retravaill!F1190</f>
        <v>Expansion Extractive+Circularity</v>
      </c>
      <c r="G1190">
        <f>Result_notebook_retravaill!G1190</f>
        <v>1525342.03872534</v>
      </c>
      <c r="H1190" s="32">
        <f>IF(Result_notebook_retravaill!I1190&gt;Result_notebook_retravaill!G1190,Result_notebook_retravaill!I1190/Result_notebook_retravaill!N1190,Result_notebook_retravaill!H1190)</f>
        <v>1022879.179171539</v>
      </c>
      <c r="I1190" s="32">
        <f>Result_notebook_retravaill!K1190</f>
        <v>814882.31326862948</v>
      </c>
      <c r="J1190" s="32">
        <f>MIN(G1190,Result_notebook_retravaill!I1190)</f>
        <v>537634.18281723827</v>
      </c>
      <c r="K1190" s="32">
        <f>IF(Result_notebook_retravaill!I1190&gt;Result_notebook_retravaill!G1190,0,IF(Result_notebook_retravaill!I1190+Result_notebook_retravaill!J1190&gt;Result_notebook_retravaill!G1190,Result_notebook_retravaill!G1190-Result_notebook_retravaill!I1190,Result_notebook_retravaill!J1190))</f>
        <v>316209.87776239344</v>
      </c>
      <c r="L1190" s="32">
        <f>IF(Result_notebook_retravaill!I1190&gt;Result_notebook_retravaill!G1190,0,IF(Result_notebook_retravaill!I1190+Result_notebook_retravaill!J1190&gt;Result_notebook_retravaill!G1190,0,Result_notebook_retravaill!M1190))</f>
        <v>671497.97814570833</v>
      </c>
      <c r="M1190" s="31">
        <f t="shared" si="18"/>
        <v>0</v>
      </c>
    </row>
    <row r="1191" spans="1:13" x14ac:dyDescent="0.35">
      <c r="A1191">
        <f>Result_notebook_retravaill!A1191</f>
        <v>2038</v>
      </c>
      <c r="B1191" t="str">
        <f>Result_notebook_retravaill!B1191</f>
        <v>Copper</v>
      </c>
      <c r="C1191" t="str">
        <f>Result_notebook_retravaill!C1191</f>
        <v>Canada Net-zero</v>
      </c>
      <c r="D1191" t="str">
        <f>Result_notebook_retravaill!D1191</f>
        <v>Production potential</v>
      </c>
      <c r="E1191" t="str">
        <f>Result_notebook_retravaill!E1191</f>
        <v>100% CAN</v>
      </c>
      <c r="F1191" t="str">
        <f>Result_notebook_retravaill!F1191</f>
        <v>Integrated</v>
      </c>
      <c r="G1191">
        <f>Result_notebook_retravaill!G1191</f>
        <v>1525342.03872534</v>
      </c>
      <c r="H1191" s="32">
        <f>IF(Result_notebook_retravaill!I1191&gt;Result_notebook_retravaill!G1191,Result_notebook_retravaill!I1191/Result_notebook_retravaill!N1191,Result_notebook_retravaill!H1191)</f>
        <v>1022879.179171539</v>
      </c>
      <c r="I1191" s="32">
        <f>Result_notebook_retravaill!K1191</f>
        <v>814882.31326862948</v>
      </c>
      <c r="J1191" s="32">
        <f>MIN(G1191,Result_notebook_retravaill!I1191)</f>
        <v>853844.06057963229</v>
      </c>
      <c r="K1191" s="32">
        <f>IF(Result_notebook_retravaill!I1191&gt;Result_notebook_retravaill!G1191,0,IF(Result_notebook_retravaill!I1191+Result_notebook_retravaill!J1191&gt;Result_notebook_retravaill!G1191,Result_notebook_retravaill!G1191-Result_notebook_retravaill!I1191,Result_notebook_retravaill!J1191))</f>
        <v>0</v>
      </c>
      <c r="L1191" s="32">
        <f>IF(Result_notebook_retravaill!I1191&gt;Result_notebook_retravaill!G1191,0,IF(Result_notebook_retravaill!I1191+Result_notebook_retravaill!J1191&gt;Result_notebook_retravaill!G1191,0,Result_notebook_retravaill!M1191))</f>
        <v>671497.97814570775</v>
      </c>
      <c r="M1191" s="31">
        <f t="shared" si="18"/>
        <v>0</v>
      </c>
    </row>
    <row r="1192" spans="1:13" x14ac:dyDescent="0.35">
      <c r="A1192">
        <f>Result_notebook_retravaill!A1192</f>
        <v>2038</v>
      </c>
      <c r="B1192" t="str">
        <f>Result_notebook_retravaill!B1192</f>
        <v>Copper</v>
      </c>
      <c r="C1192" t="str">
        <f>Result_notebook_retravaill!C1192</f>
        <v>Current Measures</v>
      </c>
      <c r="D1192" t="str">
        <f>Result_notebook_retravaill!D1192</f>
        <v>Existing production</v>
      </c>
      <c r="E1192" t="str">
        <f>Result_notebook_retravaill!E1192</f>
        <v>Current shares</v>
      </c>
      <c r="F1192" t="str">
        <f>Result_notebook_retravaill!F1192</f>
        <v>NIMBY</v>
      </c>
      <c r="G1192">
        <f>Result_notebook_retravaill!G1192</f>
        <v>1157581.233594937</v>
      </c>
      <c r="H1192" s="32">
        <f>IF(Result_notebook_retravaill!I1192&gt;Result_notebook_retravaill!G1192,Result_notebook_retravaill!I1192/Result_notebook_retravaill!N1192,Result_notebook_retravaill!H1192)</f>
        <v>0</v>
      </c>
      <c r="I1192" s="32">
        <f>Result_notebook_retravaill!K1192</f>
        <v>1394676.1850541411</v>
      </c>
      <c r="J1192" s="32">
        <f>MIN(G1192,Result_notebook_retravaill!I1192)</f>
        <v>0</v>
      </c>
      <c r="K1192" s="32">
        <f>IF(Result_notebook_retravaill!I1192&gt;Result_notebook_retravaill!G1192,0,IF(Result_notebook_retravaill!I1192+Result_notebook_retravaill!J1192&gt;Result_notebook_retravaill!G1192,Result_notebook_retravaill!G1192-Result_notebook_retravaill!I1192,Result_notebook_retravaill!J1192))</f>
        <v>0</v>
      </c>
      <c r="L1192" s="32">
        <f>IF(Result_notebook_retravaill!I1192&gt;Result_notebook_retravaill!G1192,0,IF(Result_notebook_retravaill!I1192+Result_notebook_retravaill!J1192&gt;Result_notebook_retravaill!G1192,0,Result_notebook_retravaill!M1192))</f>
        <v>1157581.233594937</v>
      </c>
      <c r="M1192" s="31">
        <f t="shared" si="18"/>
        <v>0</v>
      </c>
    </row>
    <row r="1193" spans="1:13" x14ac:dyDescent="0.35">
      <c r="A1193">
        <f>Result_notebook_retravaill!A1193</f>
        <v>2038</v>
      </c>
      <c r="B1193" t="str">
        <f>Result_notebook_retravaill!B1193</f>
        <v>Copper</v>
      </c>
      <c r="C1193" t="str">
        <f>Result_notebook_retravaill!C1193</f>
        <v>Current Measures</v>
      </c>
      <c r="D1193" t="str">
        <f>Result_notebook_retravaill!D1193</f>
        <v>Existing production</v>
      </c>
      <c r="E1193" t="str">
        <f>Result_notebook_retravaill!E1193</f>
        <v>Current shares</v>
      </c>
      <c r="F1193" t="str">
        <f>Result_notebook_retravaill!F1193</f>
        <v>Status Quo</v>
      </c>
      <c r="G1193">
        <f>Result_notebook_retravaill!G1193</f>
        <v>1157581.233594937</v>
      </c>
      <c r="H1193" s="32">
        <f>IF(Result_notebook_retravaill!I1193&gt;Result_notebook_retravaill!G1193,Result_notebook_retravaill!I1193/Result_notebook_retravaill!N1193,Result_notebook_retravaill!H1193)</f>
        <v>149633</v>
      </c>
      <c r="I1193" s="32">
        <f>Result_notebook_retravaill!K1193</f>
        <v>1245043.1850541411</v>
      </c>
      <c r="J1193" s="32">
        <f>MIN(G1193,Result_notebook_retravaill!I1193)</f>
        <v>78648.404734026277</v>
      </c>
      <c r="K1193" s="32">
        <f>IF(Result_notebook_retravaill!I1193&gt;Result_notebook_retravaill!G1193,0,IF(Result_notebook_retravaill!I1193+Result_notebook_retravaill!J1193&gt;Result_notebook_retravaill!G1193,Result_notebook_retravaill!G1193-Result_notebook_retravaill!I1193,Result_notebook_retravaill!J1193))</f>
        <v>46257.107977838066</v>
      </c>
      <c r="L1193" s="32">
        <f>IF(Result_notebook_retravaill!I1193&gt;Result_notebook_retravaill!G1193,0,IF(Result_notebook_retravaill!I1193+Result_notebook_retravaill!J1193&gt;Result_notebook_retravaill!G1193,0,Result_notebook_retravaill!M1193))</f>
        <v>1032675.7208830731</v>
      </c>
      <c r="M1193" s="31">
        <f t="shared" si="18"/>
        <v>0</v>
      </c>
    </row>
    <row r="1194" spans="1:13" x14ac:dyDescent="0.35">
      <c r="A1194">
        <f>Result_notebook_retravaill!A1194</f>
        <v>2038</v>
      </c>
      <c r="B1194" t="str">
        <f>Result_notebook_retravaill!B1194</f>
        <v>Copper</v>
      </c>
      <c r="C1194" t="str">
        <f>Result_notebook_retravaill!C1194</f>
        <v>Current Measures</v>
      </c>
      <c r="D1194" t="str">
        <f>Result_notebook_retravaill!D1194</f>
        <v>Production potential</v>
      </c>
      <c r="E1194" t="str">
        <f>Result_notebook_retravaill!E1194</f>
        <v>Current shares</v>
      </c>
      <c r="F1194" t="str">
        <f>Result_notebook_retravaill!F1194</f>
        <v>Expansion Extractive</v>
      </c>
      <c r="G1194">
        <f>Result_notebook_retravaill!G1194</f>
        <v>1157581.233594937</v>
      </c>
      <c r="H1194" s="32">
        <f>IF(Result_notebook_retravaill!I1194&gt;Result_notebook_retravaill!G1194,Result_notebook_retravaill!I1194/Result_notebook_retravaill!N1194,Result_notebook_retravaill!H1194)</f>
        <v>1022879.179171539</v>
      </c>
      <c r="I1194" s="32">
        <f>Result_notebook_retravaill!K1194</f>
        <v>371797.00588260178</v>
      </c>
      <c r="J1194" s="32">
        <f>MIN(G1194,Result_notebook_retravaill!I1194)</f>
        <v>537634.18281723827</v>
      </c>
      <c r="K1194" s="32">
        <f>IF(Result_notebook_retravaill!I1194&gt;Result_notebook_retravaill!G1194,0,IF(Result_notebook_retravaill!I1194+Result_notebook_retravaill!J1194&gt;Result_notebook_retravaill!G1194,Result_notebook_retravaill!G1194-Result_notebook_retravaill!I1194,Result_notebook_retravaill!J1194))</f>
        <v>316209.87776239344</v>
      </c>
      <c r="L1194" s="32">
        <f>IF(Result_notebook_retravaill!I1194&gt;Result_notebook_retravaill!G1194,0,IF(Result_notebook_retravaill!I1194+Result_notebook_retravaill!J1194&gt;Result_notebook_retravaill!G1194,0,Result_notebook_retravaill!M1194))</f>
        <v>303737.17301530531</v>
      </c>
      <c r="M1194" s="31">
        <f t="shared" si="18"/>
        <v>0</v>
      </c>
    </row>
    <row r="1195" spans="1:13" x14ac:dyDescent="0.35">
      <c r="A1195">
        <f>Result_notebook_retravaill!A1195</f>
        <v>2038</v>
      </c>
      <c r="B1195" t="str">
        <f>Result_notebook_retravaill!B1195</f>
        <v>Copper</v>
      </c>
      <c r="C1195" t="str">
        <f>Result_notebook_retravaill!C1195</f>
        <v>Current Measures</v>
      </c>
      <c r="D1195" t="str">
        <f>Result_notebook_retravaill!D1195</f>
        <v>Production potential</v>
      </c>
      <c r="E1195" t="str">
        <f>Result_notebook_retravaill!E1195</f>
        <v>Current shares</v>
      </c>
      <c r="F1195" t="str">
        <f>Result_notebook_retravaill!F1195</f>
        <v>Expansion Extractive+Circularity</v>
      </c>
      <c r="G1195">
        <f>Result_notebook_retravaill!G1195</f>
        <v>1157581.233594937</v>
      </c>
      <c r="H1195" s="32">
        <f>IF(Result_notebook_retravaill!I1195&gt;Result_notebook_retravaill!G1195,Result_notebook_retravaill!I1195/Result_notebook_retravaill!N1195,Result_notebook_retravaill!H1195)</f>
        <v>1022879.179171539</v>
      </c>
      <c r="I1195" s="32">
        <f>Result_notebook_retravaill!K1195</f>
        <v>371797.00588260178</v>
      </c>
      <c r="J1195" s="32">
        <f>MIN(G1195,Result_notebook_retravaill!I1195)</f>
        <v>537634.18281723827</v>
      </c>
      <c r="K1195" s="32">
        <f>IF(Result_notebook_retravaill!I1195&gt;Result_notebook_retravaill!G1195,0,IF(Result_notebook_retravaill!I1195+Result_notebook_retravaill!J1195&gt;Result_notebook_retravaill!G1195,Result_notebook_retravaill!G1195-Result_notebook_retravaill!I1195,Result_notebook_retravaill!J1195))</f>
        <v>316209.87776239344</v>
      </c>
      <c r="L1195" s="32">
        <f>IF(Result_notebook_retravaill!I1195&gt;Result_notebook_retravaill!G1195,0,IF(Result_notebook_retravaill!I1195+Result_notebook_retravaill!J1195&gt;Result_notebook_retravaill!G1195,0,Result_notebook_retravaill!M1195))</f>
        <v>303737.17301530531</v>
      </c>
      <c r="M1195" s="31">
        <f t="shared" si="18"/>
        <v>0</v>
      </c>
    </row>
    <row r="1196" spans="1:13" x14ac:dyDescent="0.35">
      <c r="A1196">
        <f>Result_notebook_retravaill!A1196</f>
        <v>2038</v>
      </c>
      <c r="B1196" t="str">
        <f>Result_notebook_retravaill!B1196</f>
        <v>Copper</v>
      </c>
      <c r="C1196" t="str">
        <f>Result_notebook_retravaill!C1196</f>
        <v>Current Measures</v>
      </c>
      <c r="D1196" t="str">
        <f>Result_notebook_retravaill!D1196</f>
        <v>Production potential</v>
      </c>
      <c r="E1196" t="str">
        <f>Result_notebook_retravaill!E1196</f>
        <v>100% CAN</v>
      </c>
      <c r="F1196" t="str">
        <f>Result_notebook_retravaill!F1196</f>
        <v>Integrated</v>
      </c>
      <c r="G1196">
        <f>Result_notebook_retravaill!G1196</f>
        <v>1157581.233594937</v>
      </c>
      <c r="H1196" s="32">
        <f>IF(Result_notebook_retravaill!I1196&gt;Result_notebook_retravaill!G1196,Result_notebook_retravaill!I1196/Result_notebook_retravaill!N1196,Result_notebook_retravaill!H1196)</f>
        <v>1022879.179171539</v>
      </c>
      <c r="I1196" s="32">
        <f>Result_notebook_retravaill!K1196</f>
        <v>371797.00588260178</v>
      </c>
      <c r="J1196" s="32">
        <f>MIN(G1196,Result_notebook_retravaill!I1196)</f>
        <v>853844.06057963229</v>
      </c>
      <c r="K1196" s="32">
        <f>IF(Result_notebook_retravaill!I1196&gt;Result_notebook_retravaill!G1196,0,IF(Result_notebook_retravaill!I1196+Result_notebook_retravaill!J1196&gt;Result_notebook_retravaill!G1196,Result_notebook_retravaill!G1196-Result_notebook_retravaill!I1196,Result_notebook_retravaill!J1196))</f>
        <v>0</v>
      </c>
      <c r="L1196" s="32">
        <f>IF(Result_notebook_retravaill!I1196&gt;Result_notebook_retravaill!G1196,0,IF(Result_notebook_retravaill!I1196+Result_notebook_retravaill!J1196&gt;Result_notebook_retravaill!G1196,0,Result_notebook_retravaill!M1196))</f>
        <v>303737.17301530472</v>
      </c>
      <c r="M1196" s="31">
        <f t="shared" si="18"/>
        <v>0</v>
      </c>
    </row>
    <row r="1197" spans="1:13" x14ac:dyDescent="0.35">
      <c r="A1197">
        <f>Result_notebook_retravaill!A1197</f>
        <v>2038</v>
      </c>
      <c r="B1197" t="str">
        <f>Result_notebook_retravaill!B1197</f>
        <v>Copper</v>
      </c>
      <c r="C1197" t="str">
        <f>Result_notebook_retravaill!C1197</f>
        <v>Global Net-zero</v>
      </c>
      <c r="D1197" t="str">
        <f>Result_notebook_retravaill!D1197</f>
        <v>Existing production</v>
      </c>
      <c r="E1197" t="str">
        <f>Result_notebook_retravaill!E1197</f>
        <v>Current shares</v>
      </c>
      <c r="F1197" t="str">
        <f>Result_notebook_retravaill!F1197</f>
        <v>NIMBY</v>
      </c>
      <c r="G1197">
        <f>Result_notebook_retravaill!G1197</f>
        <v>1440730.5458499959</v>
      </c>
      <c r="H1197" s="32">
        <f>IF(Result_notebook_retravaill!I1197&gt;Result_notebook_retravaill!G1197,Result_notebook_retravaill!I1197/Result_notebook_retravaill!N1197,Result_notebook_retravaill!H1197)</f>
        <v>0</v>
      </c>
      <c r="I1197" s="32">
        <f>Result_notebook_retravaill!K1197</f>
        <v>1735819.934759031</v>
      </c>
      <c r="J1197" s="32">
        <f>MIN(G1197,Result_notebook_retravaill!I1197)</f>
        <v>0</v>
      </c>
      <c r="K1197" s="32">
        <f>IF(Result_notebook_retravaill!I1197&gt;Result_notebook_retravaill!G1197,0,IF(Result_notebook_retravaill!I1197+Result_notebook_retravaill!J1197&gt;Result_notebook_retravaill!G1197,Result_notebook_retravaill!G1197-Result_notebook_retravaill!I1197,Result_notebook_retravaill!J1197))</f>
        <v>0</v>
      </c>
      <c r="L1197" s="32">
        <f>IF(Result_notebook_retravaill!I1197&gt;Result_notebook_retravaill!G1197,0,IF(Result_notebook_retravaill!I1197+Result_notebook_retravaill!J1197&gt;Result_notebook_retravaill!G1197,0,Result_notebook_retravaill!M1197))</f>
        <v>1440730.5458499959</v>
      </c>
      <c r="M1197" s="31">
        <f t="shared" si="18"/>
        <v>0</v>
      </c>
    </row>
    <row r="1198" spans="1:13" x14ac:dyDescent="0.35">
      <c r="A1198">
        <f>Result_notebook_retravaill!A1198</f>
        <v>2038</v>
      </c>
      <c r="B1198" t="str">
        <f>Result_notebook_retravaill!B1198</f>
        <v>Copper</v>
      </c>
      <c r="C1198" t="str">
        <f>Result_notebook_retravaill!C1198</f>
        <v>Global Net-zero</v>
      </c>
      <c r="D1198" t="str">
        <f>Result_notebook_retravaill!D1198</f>
        <v>Existing production</v>
      </c>
      <c r="E1198" t="str">
        <f>Result_notebook_retravaill!E1198</f>
        <v>Current shares</v>
      </c>
      <c r="F1198" t="str">
        <f>Result_notebook_retravaill!F1198</f>
        <v>Status Quo</v>
      </c>
      <c r="G1198">
        <f>Result_notebook_retravaill!G1198</f>
        <v>1440730.5458499959</v>
      </c>
      <c r="H1198" s="32">
        <f>IF(Result_notebook_retravaill!I1198&gt;Result_notebook_retravaill!G1198,Result_notebook_retravaill!I1198/Result_notebook_retravaill!N1198,Result_notebook_retravaill!H1198)</f>
        <v>149633</v>
      </c>
      <c r="I1198" s="32">
        <f>Result_notebook_retravaill!K1198</f>
        <v>1586186.934759031</v>
      </c>
      <c r="J1198" s="32">
        <f>MIN(G1198,Result_notebook_retravaill!I1198)</f>
        <v>78648.404734026277</v>
      </c>
      <c r="K1198" s="32">
        <f>IF(Result_notebook_retravaill!I1198&gt;Result_notebook_retravaill!G1198,0,IF(Result_notebook_retravaill!I1198+Result_notebook_retravaill!J1198&gt;Result_notebook_retravaill!G1198,Result_notebook_retravaill!G1198-Result_notebook_retravaill!I1198,Result_notebook_retravaill!J1198))</f>
        <v>46257.107977838066</v>
      </c>
      <c r="L1198" s="32">
        <f>IF(Result_notebook_retravaill!I1198&gt;Result_notebook_retravaill!G1198,0,IF(Result_notebook_retravaill!I1198+Result_notebook_retravaill!J1198&gt;Result_notebook_retravaill!G1198,0,Result_notebook_retravaill!M1198))</f>
        <v>1315825.033138132</v>
      </c>
      <c r="M1198" s="31">
        <f t="shared" si="18"/>
        <v>0</v>
      </c>
    </row>
    <row r="1199" spans="1:13" x14ac:dyDescent="0.35">
      <c r="A1199">
        <f>Result_notebook_retravaill!A1199</f>
        <v>2038</v>
      </c>
      <c r="B1199" t="str">
        <f>Result_notebook_retravaill!B1199</f>
        <v>Copper</v>
      </c>
      <c r="C1199" t="str">
        <f>Result_notebook_retravaill!C1199</f>
        <v>Global Net-zero</v>
      </c>
      <c r="D1199" t="str">
        <f>Result_notebook_retravaill!D1199</f>
        <v>Production potential</v>
      </c>
      <c r="E1199" t="str">
        <f>Result_notebook_retravaill!E1199</f>
        <v>Current shares</v>
      </c>
      <c r="F1199" t="str">
        <f>Result_notebook_retravaill!F1199</f>
        <v>Expansion Extractive</v>
      </c>
      <c r="G1199">
        <f>Result_notebook_retravaill!G1199</f>
        <v>1440730.5458499959</v>
      </c>
      <c r="H1199" s="32">
        <f>IF(Result_notebook_retravaill!I1199&gt;Result_notebook_retravaill!G1199,Result_notebook_retravaill!I1199/Result_notebook_retravaill!N1199,Result_notebook_retravaill!H1199)</f>
        <v>1022879.179171539</v>
      </c>
      <c r="I1199" s="32">
        <f>Result_notebook_retravaill!K1199</f>
        <v>712940.75558749202</v>
      </c>
      <c r="J1199" s="32">
        <f>MIN(G1199,Result_notebook_retravaill!I1199)</f>
        <v>537634.18281723827</v>
      </c>
      <c r="K1199" s="32">
        <f>IF(Result_notebook_retravaill!I1199&gt;Result_notebook_retravaill!G1199,0,IF(Result_notebook_retravaill!I1199+Result_notebook_retravaill!J1199&gt;Result_notebook_retravaill!G1199,Result_notebook_retravaill!G1199-Result_notebook_retravaill!I1199,Result_notebook_retravaill!J1199))</f>
        <v>316209.87776239344</v>
      </c>
      <c r="L1199" s="32">
        <f>IF(Result_notebook_retravaill!I1199&gt;Result_notebook_retravaill!G1199,0,IF(Result_notebook_retravaill!I1199+Result_notebook_retravaill!J1199&gt;Result_notebook_retravaill!G1199,0,Result_notebook_retravaill!M1199))</f>
        <v>586886.48527036421</v>
      </c>
      <c r="M1199" s="31">
        <f t="shared" si="18"/>
        <v>0</v>
      </c>
    </row>
    <row r="1200" spans="1:13" x14ac:dyDescent="0.35">
      <c r="A1200">
        <f>Result_notebook_retravaill!A1200</f>
        <v>2038</v>
      </c>
      <c r="B1200" t="str">
        <f>Result_notebook_retravaill!B1200</f>
        <v>Copper</v>
      </c>
      <c r="C1200" t="str">
        <f>Result_notebook_retravaill!C1200</f>
        <v>Global Net-zero</v>
      </c>
      <c r="D1200" t="str">
        <f>Result_notebook_retravaill!D1200</f>
        <v>Production potential</v>
      </c>
      <c r="E1200" t="str">
        <f>Result_notebook_retravaill!E1200</f>
        <v>Current shares</v>
      </c>
      <c r="F1200" t="str">
        <f>Result_notebook_retravaill!F1200</f>
        <v>Expansion Extractive+Circularity</v>
      </c>
      <c r="G1200">
        <f>Result_notebook_retravaill!G1200</f>
        <v>1440730.5458499959</v>
      </c>
      <c r="H1200" s="32">
        <f>IF(Result_notebook_retravaill!I1200&gt;Result_notebook_retravaill!G1200,Result_notebook_retravaill!I1200/Result_notebook_retravaill!N1200,Result_notebook_retravaill!H1200)</f>
        <v>1022879.179171539</v>
      </c>
      <c r="I1200" s="32">
        <f>Result_notebook_retravaill!K1200</f>
        <v>712940.75558749202</v>
      </c>
      <c r="J1200" s="32">
        <f>MIN(G1200,Result_notebook_retravaill!I1200)</f>
        <v>537634.18281723827</v>
      </c>
      <c r="K1200" s="32">
        <f>IF(Result_notebook_retravaill!I1200&gt;Result_notebook_retravaill!G1200,0,IF(Result_notebook_retravaill!I1200+Result_notebook_retravaill!J1200&gt;Result_notebook_retravaill!G1200,Result_notebook_retravaill!G1200-Result_notebook_retravaill!I1200,Result_notebook_retravaill!J1200))</f>
        <v>316209.87776239344</v>
      </c>
      <c r="L1200" s="32">
        <f>IF(Result_notebook_retravaill!I1200&gt;Result_notebook_retravaill!G1200,0,IF(Result_notebook_retravaill!I1200+Result_notebook_retravaill!J1200&gt;Result_notebook_retravaill!G1200,0,Result_notebook_retravaill!M1200))</f>
        <v>586886.48527036421</v>
      </c>
      <c r="M1200" s="31">
        <f t="shared" si="18"/>
        <v>0</v>
      </c>
    </row>
    <row r="1201" spans="1:13" x14ac:dyDescent="0.35">
      <c r="A1201">
        <f>Result_notebook_retravaill!A1201</f>
        <v>2038</v>
      </c>
      <c r="B1201" t="str">
        <f>Result_notebook_retravaill!B1201</f>
        <v>Copper</v>
      </c>
      <c r="C1201" t="str">
        <f>Result_notebook_retravaill!C1201</f>
        <v>Global Net-zero</v>
      </c>
      <c r="D1201" t="str">
        <f>Result_notebook_retravaill!D1201</f>
        <v>Production potential</v>
      </c>
      <c r="E1201" t="str">
        <f>Result_notebook_retravaill!E1201</f>
        <v>100% CAN</v>
      </c>
      <c r="F1201" t="str">
        <f>Result_notebook_retravaill!F1201</f>
        <v>Integrated</v>
      </c>
      <c r="G1201">
        <f>Result_notebook_retravaill!G1201</f>
        <v>1440730.5458499959</v>
      </c>
      <c r="H1201" s="32">
        <f>IF(Result_notebook_retravaill!I1201&gt;Result_notebook_retravaill!G1201,Result_notebook_retravaill!I1201/Result_notebook_retravaill!N1201,Result_notebook_retravaill!H1201)</f>
        <v>1022879.179171539</v>
      </c>
      <c r="I1201" s="32">
        <f>Result_notebook_retravaill!K1201</f>
        <v>712940.75558749202</v>
      </c>
      <c r="J1201" s="32">
        <f>MIN(G1201,Result_notebook_retravaill!I1201)</f>
        <v>853844.06057963229</v>
      </c>
      <c r="K1201" s="32">
        <f>IF(Result_notebook_retravaill!I1201&gt;Result_notebook_retravaill!G1201,0,IF(Result_notebook_retravaill!I1201+Result_notebook_retravaill!J1201&gt;Result_notebook_retravaill!G1201,Result_notebook_retravaill!G1201-Result_notebook_retravaill!I1201,Result_notebook_retravaill!J1201))</f>
        <v>0</v>
      </c>
      <c r="L1201" s="32">
        <f>IF(Result_notebook_retravaill!I1201&gt;Result_notebook_retravaill!G1201,0,IF(Result_notebook_retravaill!I1201+Result_notebook_retravaill!J1201&gt;Result_notebook_retravaill!G1201,0,Result_notebook_retravaill!M1201))</f>
        <v>586886.48527036363</v>
      </c>
      <c r="M1201" s="31">
        <f t="shared" si="18"/>
        <v>0</v>
      </c>
    </row>
    <row r="1202" spans="1:13" x14ac:dyDescent="0.35">
      <c r="A1202">
        <f>Result_notebook_retravaill!A1202</f>
        <v>2038</v>
      </c>
      <c r="B1202" t="str">
        <f>Result_notebook_retravaill!B1202</f>
        <v>Neodymium</v>
      </c>
      <c r="C1202" t="str">
        <f>Result_notebook_retravaill!C1202</f>
        <v>Canada Net-zero</v>
      </c>
      <c r="D1202" t="str">
        <f>Result_notebook_retravaill!D1202</f>
        <v>Existing production</v>
      </c>
      <c r="E1202" t="str">
        <f>Result_notebook_retravaill!E1202</f>
        <v>Current shares</v>
      </c>
      <c r="F1202" t="str">
        <f>Result_notebook_retravaill!F1202</f>
        <v>NIMBY</v>
      </c>
      <c r="G1202">
        <f>Result_notebook_retravaill!G1202</f>
        <v>6459.3329184039349</v>
      </c>
      <c r="H1202" s="32">
        <f>IF(Result_notebook_retravaill!I1202&gt;Result_notebook_retravaill!G1202,Result_notebook_retravaill!I1202/Result_notebook_retravaill!N1202,Result_notebook_retravaill!H1202)</f>
        <v>0</v>
      </c>
      <c r="I1202" s="32">
        <f>Result_notebook_retravaill!K1202</f>
        <v>10765.554864006561</v>
      </c>
      <c r="J1202" s="32">
        <f>MIN(G1202,Result_notebook_retravaill!I1202)</f>
        <v>0</v>
      </c>
      <c r="K1202" s="32">
        <f>IF(Result_notebook_retravaill!I1202&gt;Result_notebook_retravaill!G1202,0,IF(Result_notebook_retravaill!I1202+Result_notebook_retravaill!J1202&gt;Result_notebook_retravaill!G1202,Result_notebook_retravaill!G1202-Result_notebook_retravaill!I1202,Result_notebook_retravaill!J1202))</f>
        <v>0</v>
      </c>
      <c r="L1202" s="32">
        <f>IF(Result_notebook_retravaill!I1202&gt;Result_notebook_retravaill!G1202,0,IF(Result_notebook_retravaill!I1202+Result_notebook_retravaill!J1202&gt;Result_notebook_retravaill!G1202,0,Result_notebook_retravaill!M1202))</f>
        <v>6459.3329184039349</v>
      </c>
      <c r="M1202" s="31">
        <f t="shared" si="18"/>
        <v>0</v>
      </c>
    </row>
    <row r="1203" spans="1:13" x14ac:dyDescent="0.35">
      <c r="A1203">
        <f>Result_notebook_retravaill!A1203</f>
        <v>2038</v>
      </c>
      <c r="B1203" t="str">
        <f>Result_notebook_retravaill!B1203</f>
        <v>Neodymium</v>
      </c>
      <c r="C1203" t="str">
        <f>Result_notebook_retravaill!C1203</f>
        <v>Canada Net-zero</v>
      </c>
      <c r="D1203" t="str">
        <f>Result_notebook_retravaill!D1203</f>
        <v>Existing production</v>
      </c>
      <c r="E1203" t="str">
        <f>Result_notebook_retravaill!E1203</f>
        <v>Current shares</v>
      </c>
      <c r="F1203" t="str">
        <f>Result_notebook_retravaill!F1203</f>
        <v>Status Quo</v>
      </c>
      <c r="G1203">
        <f>Result_notebook_retravaill!G1203</f>
        <v>6459.3329184039349</v>
      </c>
      <c r="H1203" s="32">
        <f>IF(Result_notebook_retravaill!I1203&gt;Result_notebook_retravaill!G1203,Result_notebook_retravaill!I1203/Result_notebook_retravaill!N1203,Result_notebook_retravaill!H1203)</f>
        <v>0</v>
      </c>
      <c r="I1203" s="32">
        <f>Result_notebook_retravaill!K1203</f>
        <v>10765.554864006561</v>
      </c>
      <c r="J1203" s="32">
        <f>MIN(G1203,Result_notebook_retravaill!I1203)</f>
        <v>0</v>
      </c>
      <c r="K1203" s="32">
        <f>IF(Result_notebook_retravaill!I1203&gt;Result_notebook_retravaill!G1203,0,IF(Result_notebook_retravaill!I1203+Result_notebook_retravaill!J1203&gt;Result_notebook_retravaill!G1203,Result_notebook_retravaill!G1203-Result_notebook_retravaill!I1203,Result_notebook_retravaill!J1203))</f>
        <v>0</v>
      </c>
      <c r="L1203" s="32">
        <f>IF(Result_notebook_retravaill!I1203&gt;Result_notebook_retravaill!G1203,0,IF(Result_notebook_retravaill!I1203+Result_notebook_retravaill!J1203&gt;Result_notebook_retravaill!G1203,0,Result_notebook_retravaill!M1203))</f>
        <v>6459.3329184039349</v>
      </c>
      <c r="M1203" s="31">
        <f t="shared" si="18"/>
        <v>0</v>
      </c>
    </row>
    <row r="1204" spans="1:13" x14ac:dyDescent="0.35">
      <c r="A1204">
        <f>Result_notebook_retravaill!A1204</f>
        <v>2038</v>
      </c>
      <c r="B1204" t="str">
        <f>Result_notebook_retravaill!B1204</f>
        <v>Neodymium</v>
      </c>
      <c r="C1204" t="str">
        <f>Result_notebook_retravaill!C1204</f>
        <v>Canada Net-zero</v>
      </c>
      <c r="D1204" t="str">
        <f>Result_notebook_retravaill!D1204</f>
        <v>Production potential</v>
      </c>
      <c r="E1204" t="str">
        <f>Result_notebook_retravaill!E1204</f>
        <v>Current shares</v>
      </c>
      <c r="F1204" t="str">
        <f>Result_notebook_retravaill!F1204</f>
        <v>Expansion Extractive</v>
      </c>
      <c r="G1204">
        <f>Result_notebook_retravaill!G1204</f>
        <v>6459.3329184039349</v>
      </c>
      <c r="H1204" s="32">
        <f>IF(Result_notebook_retravaill!I1204&gt;Result_notebook_retravaill!G1204,Result_notebook_retravaill!I1204/Result_notebook_retravaill!N1204,Result_notebook_retravaill!H1204)</f>
        <v>220.01865184508691</v>
      </c>
      <c r="I1204" s="32">
        <f>Result_notebook_retravaill!K1204</f>
        <v>10545.536212161471</v>
      </c>
      <c r="J1204" s="32">
        <f>MIN(G1204,Result_notebook_retravaill!I1204)</f>
        <v>131.6908250261543</v>
      </c>
      <c r="K1204" s="32">
        <f>IF(Result_notebook_retravaill!I1204&gt;Result_notebook_retravaill!G1204,0,IF(Result_notebook_retravaill!I1204+Result_notebook_retravaill!J1204&gt;Result_notebook_retravaill!G1204,Result_notebook_retravaill!G1204-Result_notebook_retravaill!I1204,Result_notebook_retravaill!J1204))</f>
        <v>88.327826818932607</v>
      </c>
      <c r="L1204" s="32">
        <f>IF(Result_notebook_retravaill!I1204&gt;Result_notebook_retravaill!G1204,0,IF(Result_notebook_retravaill!I1204+Result_notebook_retravaill!J1204&gt;Result_notebook_retravaill!G1204,0,Result_notebook_retravaill!M1204))</f>
        <v>6239.3142665588484</v>
      </c>
      <c r="M1204" s="31">
        <f t="shared" si="18"/>
        <v>0</v>
      </c>
    </row>
    <row r="1205" spans="1:13" x14ac:dyDescent="0.35">
      <c r="A1205">
        <f>Result_notebook_retravaill!A1205</f>
        <v>2038</v>
      </c>
      <c r="B1205" t="str">
        <f>Result_notebook_retravaill!B1205</f>
        <v>Neodymium</v>
      </c>
      <c r="C1205" t="str">
        <f>Result_notebook_retravaill!C1205</f>
        <v>Canada Net-zero</v>
      </c>
      <c r="D1205" t="str">
        <f>Result_notebook_retravaill!D1205</f>
        <v>Production potential</v>
      </c>
      <c r="E1205" t="str">
        <f>Result_notebook_retravaill!E1205</f>
        <v>Current shares</v>
      </c>
      <c r="F1205" t="str">
        <f>Result_notebook_retravaill!F1205</f>
        <v>Expansion Extractive+Circularity</v>
      </c>
      <c r="G1205">
        <f>Result_notebook_retravaill!G1205</f>
        <v>6459.3329184039349</v>
      </c>
      <c r="H1205" s="32">
        <f>IF(Result_notebook_retravaill!I1205&gt;Result_notebook_retravaill!G1205,Result_notebook_retravaill!I1205/Result_notebook_retravaill!N1205,Result_notebook_retravaill!H1205)</f>
        <v>220.01865184508691</v>
      </c>
      <c r="I1205" s="32">
        <f>Result_notebook_retravaill!K1205</f>
        <v>10545.536212161471</v>
      </c>
      <c r="J1205" s="32">
        <f>MIN(G1205,Result_notebook_retravaill!I1205)</f>
        <v>131.6908250261543</v>
      </c>
      <c r="K1205" s="32">
        <f>IF(Result_notebook_retravaill!I1205&gt;Result_notebook_retravaill!G1205,0,IF(Result_notebook_retravaill!I1205+Result_notebook_retravaill!J1205&gt;Result_notebook_retravaill!G1205,Result_notebook_retravaill!G1205-Result_notebook_retravaill!I1205,Result_notebook_retravaill!J1205))</f>
        <v>88.327826818932607</v>
      </c>
      <c r="L1205" s="32">
        <f>IF(Result_notebook_retravaill!I1205&gt;Result_notebook_retravaill!G1205,0,IF(Result_notebook_retravaill!I1205+Result_notebook_retravaill!J1205&gt;Result_notebook_retravaill!G1205,0,Result_notebook_retravaill!M1205))</f>
        <v>6239.3142665588484</v>
      </c>
      <c r="M1205" s="31">
        <f t="shared" si="18"/>
        <v>0</v>
      </c>
    </row>
    <row r="1206" spans="1:13" x14ac:dyDescent="0.35">
      <c r="A1206">
        <f>Result_notebook_retravaill!A1206</f>
        <v>2038</v>
      </c>
      <c r="B1206" t="str">
        <f>Result_notebook_retravaill!B1206</f>
        <v>Neodymium</v>
      </c>
      <c r="C1206" t="str">
        <f>Result_notebook_retravaill!C1206</f>
        <v>Canada Net-zero</v>
      </c>
      <c r="D1206" t="str">
        <f>Result_notebook_retravaill!D1206</f>
        <v>Production potential</v>
      </c>
      <c r="E1206" t="str">
        <f>Result_notebook_retravaill!E1206</f>
        <v>100% CAN</v>
      </c>
      <c r="F1206" t="str">
        <f>Result_notebook_retravaill!F1206</f>
        <v>Integrated</v>
      </c>
      <c r="G1206">
        <f>Result_notebook_retravaill!G1206</f>
        <v>6459.3329184039349</v>
      </c>
      <c r="H1206" s="32">
        <f>IF(Result_notebook_retravaill!I1206&gt;Result_notebook_retravaill!G1206,Result_notebook_retravaill!I1206/Result_notebook_retravaill!N1206,Result_notebook_retravaill!H1206)</f>
        <v>220.01865184508691</v>
      </c>
      <c r="I1206" s="32">
        <f>Result_notebook_retravaill!K1206</f>
        <v>10545.536212161471</v>
      </c>
      <c r="J1206" s="32">
        <f>MIN(G1206,Result_notebook_retravaill!I1206)</f>
        <v>131.6908250261543</v>
      </c>
      <c r="K1206" s="32">
        <f>IF(Result_notebook_retravaill!I1206&gt;Result_notebook_retravaill!G1206,0,IF(Result_notebook_retravaill!I1206+Result_notebook_retravaill!J1206&gt;Result_notebook_retravaill!G1206,Result_notebook_retravaill!G1206-Result_notebook_retravaill!I1206,Result_notebook_retravaill!J1206))</f>
        <v>88.327826818932607</v>
      </c>
      <c r="L1206" s="32">
        <f>IF(Result_notebook_retravaill!I1206&gt;Result_notebook_retravaill!G1206,0,IF(Result_notebook_retravaill!I1206+Result_notebook_retravaill!J1206&gt;Result_notebook_retravaill!G1206,0,Result_notebook_retravaill!M1206))</f>
        <v>6239.3142665588484</v>
      </c>
      <c r="M1206" s="31">
        <f t="shared" si="18"/>
        <v>0</v>
      </c>
    </row>
    <row r="1207" spans="1:13" x14ac:dyDescent="0.35">
      <c r="A1207">
        <f>Result_notebook_retravaill!A1207</f>
        <v>2038</v>
      </c>
      <c r="B1207" t="str">
        <f>Result_notebook_retravaill!B1207</f>
        <v>Neodymium</v>
      </c>
      <c r="C1207" t="str">
        <f>Result_notebook_retravaill!C1207</f>
        <v>Current Measures</v>
      </c>
      <c r="D1207" t="str">
        <f>Result_notebook_retravaill!D1207</f>
        <v>Existing production</v>
      </c>
      <c r="E1207" t="str">
        <f>Result_notebook_retravaill!E1207</f>
        <v>Current shares</v>
      </c>
      <c r="F1207" t="str">
        <f>Result_notebook_retravaill!F1207</f>
        <v>NIMBY</v>
      </c>
      <c r="G1207">
        <f>Result_notebook_retravaill!G1207</f>
        <v>2100.0711128337948</v>
      </c>
      <c r="H1207" s="32">
        <f>IF(Result_notebook_retravaill!I1207&gt;Result_notebook_retravaill!G1207,Result_notebook_retravaill!I1207/Result_notebook_retravaill!N1207,Result_notebook_retravaill!H1207)</f>
        <v>0</v>
      </c>
      <c r="I1207" s="32">
        <f>Result_notebook_retravaill!K1207</f>
        <v>3500.1185213896579</v>
      </c>
      <c r="J1207" s="32">
        <f>MIN(G1207,Result_notebook_retravaill!I1207)</f>
        <v>0</v>
      </c>
      <c r="K1207" s="32">
        <f>IF(Result_notebook_retravaill!I1207&gt;Result_notebook_retravaill!G1207,0,IF(Result_notebook_retravaill!I1207+Result_notebook_retravaill!J1207&gt;Result_notebook_retravaill!G1207,Result_notebook_retravaill!G1207-Result_notebook_retravaill!I1207,Result_notebook_retravaill!J1207))</f>
        <v>0</v>
      </c>
      <c r="L1207" s="32">
        <f>IF(Result_notebook_retravaill!I1207&gt;Result_notebook_retravaill!G1207,0,IF(Result_notebook_retravaill!I1207+Result_notebook_retravaill!J1207&gt;Result_notebook_retravaill!G1207,0,Result_notebook_retravaill!M1207))</f>
        <v>2100.0711128337948</v>
      </c>
      <c r="M1207" s="31">
        <f t="shared" si="18"/>
        <v>0</v>
      </c>
    </row>
    <row r="1208" spans="1:13" x14ac:dyDescent="0.35">
      <c r="A1208">
        <f>Result_notebook_retravaill!A1208</f>
        <v>2038</v>
      </c>
      <c r="B1208" t="str">
        <f>Result_notebook_retravaill!B1208</f>
        <v>Neodymium</v>
      </c>
      <c r="C1208" t="str">
        <f>Result_notebook_retravaill!C1208</f>
        <v>Current Measures</v>
      </c>
      <c r="D1208" t="str">
        <f>Result_notebook_retravaill!D1208</f>
        <v>Existing production</v>
      </c>
      <c r="E1208" t="str">
        <f>Result_notebook_retravaill!E1208</f>
        <v>Current shares</v>
      </c>
      <c r="F1208" t="str">
        <f>Result_notebook_retravaill!F1208</f>
        <v>Status Quo</v>
      </c>
      <c r="G1208">
        <f>Result_notebook_retravaill!G1208</f>
        <v>2100.0711128337948</v>
      </c>
      <c r="H1208" s="32">
        <f>IF(Result_notebook_retravaill!I1208&gt;Result_notebook_retravaill!G1208,Result_notebook_retravaill!I1208/Result_notebook_retravaill!N1208,Result_notebook_retravaill!H1208)</f>
        <v>0</v>
      </c>
      <c r="I1208" s="32">
        <f>Result_notebook_retravaill!K1208</f>
        <v>3500.1185213896579</v>
      </c>
      <c r="J1208" s="32">
        <f>MIN(G1208,Result_notebook_retravaill!I1208)</f>
        <v>0</v>
      </c>
      <c r="K1208" s="32">
        <f>IF(Result_notebook_retravaill!I1208&gt;Result_notebook_retravaill!G1208,0,IF(Result_notebook_retravaill!I1208+Result_notebook_retravaill!J1208&gt;Result_notebook_retravaill!G1208,Result_notebook_retravaill!G1208-Result_notebook_retravaill!I1208,Result_notebook_retravaill!J1208))</f>
        <v>0</v>
      </c>
      <c r="L1208" s="32">
        <f>IF(Result_notebook_retravaill!I1208&gt;Result_notebook_retravaill!G1208,0,IF(Result_notebook_retravaill!I1208+Result_notebook_retravaill!J1208&gt;Result_notebook_retravaill!G1208,0,Result_notebook_retravaill!M1208))</f>
        <v>2100.0711128337948</v>
      </c>
      <c r="M1208" s="31">
        <f t="shared" si="18"/>
        <v>0</v>
      </c>
    </row>
    <row r="1209" spans="1:13" x14ac:dyDescent="0.35">
      <c r="A1209">
        <f>Result_notebook_retravaill!A1209</f>
        <v>2038</v>
      </c>
      <c r="B1209" t="str">
        <f>Result_notebook_retravaill!B1209</f>
        <v>Neodymium</v>
      </c>
      <c r="C1209" t="str">
        <f>Result_notebook_retravaill!C1209</f>
        <v>Current Measures</v>
      </c>
      <c r="D1209" t="str">
        <f>Result_notebook_retravaill!D1209</f>
        <v>Production potential</v>
      </c>
      <c r="E1209" t="str">
        <f>Result_notebook_retravaill!E1209</f>
        <v>Current shares</v>
      </c>
      <c r="F1209" t="str">
        <f>Result_notebook_retravaill!F1209</f>
        <v>Expansion Extractive</v>
      </c>
      <c r="G1209">
        <f>Result_notebook_retravaill!G1209</f>
        <v>2100.0711128337948</v>
      </c>
      <c r="H1209" s="32">
        <f>IF(Result_notebook_retravaill!I1209&gt;Result_notebook_retravaill!G1209,Result_notebook_retravaill!I1209/Result_notebook_retravaill!N1209,Result_notebook_retravaill!H1209)</f>
        <v>220.01865184508691</v>
      </c>
      <c r="I1209" s="32">
        <f>Result_notebook_retravaill!K1209</f>
        <v>3280.099869544571</v>
      </c>
      <c r="J1209" s="32">
        <f>MIN(G1209,Result_notebook_retravaill!I1209)</f>
        <v>131.6908250261543</v>
      </c>
      <c r="K1209" s="32">
        <f>IF(Result_notebook_retravaill!I1209&gt;Result_notebook_retravaill!G1209,0,IF(Result_notebook_retravaill!I1209+Result_notebook_retravaill!J1209&gt;Result_notebook_retravaill!G1209,Result_notebook_retravaill!G1209-Result_notebook_retravaill!I1209,Result_notebook_retravaill!J1209))</f>
        <v>88.327826818932607</v>
      </c>
      <c r="L1209" s="32">
        <f>IF(Result_notebook_retravaill!I1209&gt;Result_notebook_retravaill!G1209,0,IF(Result_notebook_retravaill!I1209+Result_notebook_retravaill!J1209&gt;Result_notebook_retravaill!G1209,0,Result_notebook_retravaill!M1209))</f>
        <v>1880.0524609887084</v>
      </c>
      <c r="M1209" s="31">
        <f t="shared" si="18"/>
        <v>0</v>
      </c>
    </row>
    <row r="1210" spans="1:13" x14ac:dyDescent="0.35">
      <c r="A1210">
        <f>Result_notebook_retravaill!A1210</f>
        <v>2038</v>
      </c>
      <c r="B1210" t="str">
        <f>Result_notebook_retravaill!B1210</f>
        <v>Neodymium</v>
      </c>
      <c r="C1210" t="str">
        <f>Result_notebook_retravaill!C1210</f>
        <v>Current Measures</v>
      </c>
      <c r="D1210" t="str">
        <f>Result_notebook_retravaill!D1210</f>
        <v>Production potential</v>
      </c>
      <c r="E1210" t="str">
        <f>Result_notebook_retravaill!E1210</f>
        <v>Current shares</v>
      </c>
      <c r="F1210" t="str">
        <f>Result_notebook_retravaill!F1210</f>
        <v>Expansion Extractive+Circularity</v>
      </c>
      <c r="G1210">
        <f>Result_notebook_retravaill!G1210</f>
        <v>2100.0711128337948</v>
      </c>
      <c r="H1210" s="32">
        <f>IF(Result_notebook_retravaill!I1210&gt;Result_notebook_retravaill!G1210,Result_notebook_retravaill!I1210/Result_notebook_retravaill!N1210,Result_notebook_retravaill!H1210)</f>
        <v>220.01865184508691</v>
      </c>
      <c r="I1210" s="32">
        <f>Result_notebook_retravaill!K1210</f>
        <v>3280.099869544571</v>
      </c>
      <c r="J1210" s="32">
        <f>MIN(G1210,Result_notebook_retravaill!I1210)</f>
        <v>131.6908250261543</v>
      </c>
      <c r="K1210" s="32">
        <f>IF(Result_notebook_retravaill!I1210&gt;Result_notebook_retravaill!G1210,0,IF(Result_notebook_retravaill!I1210+Result_notebook_retravaill!J1210&gt;Result_notebook_retravaill!G1210,Result_notebook_retravaill!G1210-Result_notebook_retravaill!I1210,Result_notebook_retravaill!J1210))</f>
        <v>88.327826818932607</v>
      </c>
      <c r="L1210" s="32">
        <f>IF(Result_notebook_retravaill!I1210&gt;Result_notebook_retravaill!G1210,0,IF(Result_notebook_retravaill!I1210+Result_notebook_retravaill!J1210&gt;Result_notebook_retravaill!G1210,0,Result_notebook_retravaill!M1210))</f>
        <v>1880.0524609887084</v>
      </c>
      <c r="M1210" s="31">
        <f t="shared" si="18"/>
        <v>0</v>
      </c>
    </row>
    <row r="1211" spans="1:13" x14ac:dyDescent="0.35">
      <c r="A1211">
        <f>Result_notebook_retravaill!A1211</f>
        <v>2038</v>
      </c>
      <c r="B1211" t="str">
        <f>Result_notebook_retravaill!B1211</f>
        <v>Neodymium</v>
      </c>
      <c r="C1211" t="str">
        <f>Result_notebook_retravaill!C1211</f>
        <v>Current Measures</v>
      </c>
      <c r="D1211" t="str">
        <f>Result_notebook_retravaill!D1211</f>
        <v>Production potential</v>
      </c>
      <c r="E1211" t="str">
        <f>Result_notebook_retravaill!E1211</f>
        <v>100% CAN</v>
      </c>
      <c r="F1211" t="str">
        <f>Result_notebook_retravaill!F1211</f>
        <v>Integrated</v>
      </c>
      <c r="G1211">
        <f>Result_notebook_retravaill!G1211</f>
        <v>2100.0711128337948</v>
      </c>
      <c r="H1211" s="32">
        <f>IF(Result_notebook_retravaill!I1211&gt;Result_notebook_retravaill!G1211,Result_notebook_retravaill!I1211/Result_notebook_retravaill!N1211,Result_notebook_retravaill!H1211)</f>
        <v>220.01865184508691</v>
      </c>
      <c r="I1211" s="32">
        <f>Result_notebook_retravaill!K1211</f>
        <v>3280.099869544571</v>
      </c>
      <c r="J1211" s="32">
        <f>MIN(G1211,Result_notebook_retravaill!I1211)</f>
        <v>131.6908250261543</v>
      </c>
      <c r="K1211" s="32">
        <f>IF(Result_notebook_retravaill!I1211&gt;Result_notebook_retravaill!G1211,0,IF(Result_notebook_retravaill!I1211+Result_notebook_retravaill!J1211&gt;Result_notebook_retravaill!G1211,Result_notebook_retravaill!G1211-Result_notebook_retravaill!I1211,Result_notebook_retravaill!J1211))</f>
        <v>88.327826818932607</v>
      </c>
      <c r="L1211" s="32">
        <f>IF(Result_notebook_retravaill!I1211&gt;Result_notebook_retravaill!G1211,0,IF(Result_notebook_retravaill!I1211+Result_notebook_retravaill!J1211&gt;Result_notebook_retravaill!G1211,0,Result_notebook_retravaill!M1211))</f>
        <v>1880.0524609887084</v>
      </c>
      <c r="M1211" s="31">
        <f t="shared" si="18"/>
        <v>0</v>
      </c>
    </row>
    <row r="1212" spans="1:13" x14ac:dyDescent="0.35">
      <c r="A1212">
        <f>Result_notebook_retravaill!A1212</f>
        <v>2038</v>
      </c>
      <c r="B1212" t="str">
        <f>Result_notebook_retravaill!B1212</f>
        <v>Neodymium</v>
      </c>
      <c r="C1212" t="str">
        <f>Result_notebook_retravaill!C1212</f>
        <v>Global Net-zero</v>
      </c>
      <c r="D1212" t="str">
        <f>Result_notebook_retravaill!D1212</f>
        <v>Existing production</v>
      </c>
      <c r="E1212" t="str">
        <f>Result_notebook_retravaill!E1212</f>
        <v>Current shares</v>
      </c>
      <c r="F1212" t="str">
        <f>Result_notebook_retravaill!F1212</f>
        <v>NIMBY</v>
      </c>
      <c r="G1212">
        <f>Result_notebook_retravaill!G1212</f>
        <v>6193.6061432774541</v>
      </c>
      <c r="H1212" s="32">
        <f>IF(Result_notebook_retravaill!I1212&gt;Result_notebook_retravaill!G1212,Result_notebook_retravaill!I1212/Result_notebook_retravaill!N1212,Result_notebook_retravaill!H1212)</f>
        <v>0</v>
      </c>
      <c r="I1212" s="32">
        <f>Result_notebook_retravaill!K1212</f>
        <v>10322.67690546242</v>
      </c>
      <c r="J1212" s="32">
        <f>MIN(G1212,Result_notebook_retravaill!I1212)</f>
        <v>0</v>
      </c>
      <c r="K1212" s="32">
        <f>IF(Result_notebook_retravaill!I1212&gt;Result_notebook_retravaill!G1212,0,IF(Result_notebook_retravaill!I1212+Result_notebook_retravaill!J1212&gt;Result_notebook_retravaill!G1212,Result_notebook_retravaill!G1212-Result_notebook_retravaill!I1212,Result_notebook_retravaill!J1212))</f>
        <v>0</v>
      </c>
      <c r="L1212" s="32">
        <f>IF(Result_notebook_retravaill!I1212&gt;Result_notebook_retravaill!G1212,0,IF(Result_notebook_retravaill!I1212+Result_notebook_retravaill!J1212&gt;Result_notebook_retravaill!G1212,0,Result_notebook_retravaill!M1212))</f>
        <v>6193.6061432774541</v>
      </c>
      <c r="M1212" s="31">
        <f t="shared" si="18"/>
        <v>0</v>
      </c>
    </row>
    <row r="1213" spans="1:13" x14ac:dyDescent="0.35">
      <c r="A1213">
        <f>Result_notebook_retravaill!A1213</f>
        <v>2038</v>
      </c>
      <c r="B1213" t="str">
        <f>Result_notebook_retravaill!B1213</f>
        <v>Neodymium</v>
      </c>
      <c r="C1213" t="str">
        <f>Result_notebook_retravaill!C1213</f>
        <v>Global Net-zero</v>
      </c>
      <c r="D1213" t="str">
        <f>Result_notebook_retravaill!D1213</f>
        <v>Existing production</v>
      </c>
      <c r="E1213" t="str">
        <f>Result_notebook_retravaill!E1213</f>
        <v>Current shares</v>
      </c>
      <c r="F1213" t="str">
        <f>Result_notebook_retravaill!F1213</f>
        <v>Status Quo</v>
      </c>
      <c r="G1213">
        <f>Result_notebook_retravaill!G1213</f>
        <v>6193.6061432774541</v>
      </c>
      <c r="H1213" s="32">
        <f>IF(Result_notebook_retravaill!I1213&gt;Result_notebook_retravaill!G1213,Result_notebook_retravaill!I1213/Result_notebook_retravaill!N1213,Result_notebook_retravaill!H1213)</f>
        <v>0</v>
      </c>
      <c r="I1213" s="32">
        <f>Result_notebook_retravaill!K1213</f>
        <v>10322.67690546242</v>
      </c>
      <c r="J1213" s="32">
        <f>MIN(G1213,Result_notebook_retravaill!I1213)</f>
        <v>0</v>
      </c>
      <c r="K1213" s="32">
        <f>IF(Result_notebook_retravaill!I1213&gt;Result_notebook_retravaill!G1213,0,IF(Result_notebook_retravaill!I1213+Result_notebook_retravaill!J1213&gt;Result_notebook_retravaill!G1213,Result_notebook_retravaill!G1213-Result_notebook_retravaill!I1213,Result_notebook_retravaill!J1213))</f>
        <v>0</v>
      </c>
      <c r="L1213" s="32">
        <f>IF(Result_notebook_retravaill!I1213&gt;Result_notebook_retravaill!G1213,0,IF(Result_notebook_retravaill!I1213+Result_notebook_retravaill!J1213&gt;Result_notebook_retravaill!G1213,0,Result_notebook_retravaill!M1213))</f>
        <v>6193.6061432774541</v>
      </c>
      <c r="M1213" s="31">
        <f t="shared" si="18"/>
        <v>0</v>
      </c>
    </row>
    <row r="1214" spans="1:13" x14ac:dyDescent="0.35">
      <c r="A1214">
        <f>Result_notebook_retravaill!A1214</f>
        <v>2038</v>
      </c>
      <c r="B1214" t="str">
        <f>Result_notebook_retravaill!B1214</f>
        <v>Neodymium</v>
      </c>
      <c r="C1214" t="str">
        <f>Result_notebook_retravaill!C1214</f>
        <v>Global Net-zero</v>
      </c>
      <c r="D1214" t="str">
        <f>Result_notebook_retravaill!D1214</f>
        <v>Production potential</v>
      </c>
      <c r="E1214" t="str">
        <f>Result_notebook_retravaill!E1214</f>
        <v>Current shares</v>
      </c>
      <c r="F1214" t="str">
        <f>Result_notebook_retravaill!F1214</f>
        <v>Expansion Extractive</v>
      </c>
      <c r="G1214">
        <f>Result_notebook_retravaill!G1214</f>
        <v>6193.6061432774541</v>
      </c>
      <c r="H1214" s="32">
        <f>IF(Result_notebook_retravaill!I1214&gt;Result_notebook_retravaill!G1214,Result_notebook_retravaill!I1214/Result_notebook_retravaill!N1214,Result_notebook_retravaill!H1214)</f>
        <v>220.01865184508691</v>
      </c>
      <c r="I1214" s="32">
        <f>Result_notebook_retravaill!K1214</f>
        <v>10102.658253617339</v>
      </c>
      <c r="J1214" s="32">
        <f>MIN(G1214,Result_notebook_retravaill!I1214)</f>
        <v>131.6908250261543</v>
      </c>
      <c r="K1214" s="32">
        <f>IF(Result_notebook_retravaill!I1214&gt;Result_notebook_retravaill!G1214,0,IF(Result_notebook_retravaill!I1214+Result_notebook_retravaill!J1214&gt;Result_notebook_retravaill!G1214,Result_notebook_retravaill!G1214-Result_notebook_retravaill!I1214,Result_notebook_retravaill!J1214))</f>
        <v>88.327826818932607</v>
      </c>
      <c r="L1214" s="32">
        <f>IF(Result_notebook_retravaill!I1214&gt;Result_notebook_retravaill!G1214,0,IF(Result_notebook_retravaill!I1214+Result_notebook_retravaill!J1214&gt;Result_notebook_retravaill!G1214,0,Result_notebook_retravaill!M1214))</f>
        <v>5973.5874914323676</v>
      </c>
      <c r="M1214" s="31">
        <f t="shared" si="18"/>
        <v>0</v>
      </c>
    </row>
    <row r="1215" spans="1:13" x14ac:dyDescent="0.35">
      <c r="A1215">
        <f>Result_notebook_retravaill!A1215</f>
        <v>2038</v>
      </c>
      <c r="B1215" t="str">
        <f>Result_notebook_retravaill!B1215</f>
        <v>Neodymium</v>
      </c>
      <c r="C1215" t="str">
        <f>Result_notebook_retravaill!C1215</f>
        <v>Global Net-zero</v>
      </c>
      <c r="D1215" t="str">
        <f>Result_notebook_retravaill!D1215</f>
        <v>Production potential</v>
      </c>
      <c r="E1215" t="str">
        <f>Result_notebook_retravaill!E1215</f>
        <v>Current shares</v>
      </c>
      <c r="F1215" t="str">
        <f>Result_notebook_retravaill!F1215</f>
        <v>Expansion Extractive+Circularity</v>
      </c>
      <c r="G1215">
        <f>Result_notebook_retravaill!G1215</f>
        <v>6193.6061432774541</v>
      </c>
      <c r="H1215" s="32">
        <f>IF(Result_notebook_retravaill!I1215&gt;Result_notebook_retravaill!G1215,Result_notebook_retravaill!I1215/Result_notebook_retravaill!N1215,Result_notebook_retravaill!H1215)</f>
        <v>220.01865184508691</v>
      </c>
      <c r="I1215" s="32">
        <f>Result_notebook_retravaill!K1215</f>
        <v>10102.658253617339</v>
      </c>
      <c r="J1215" s="32">
        <f>MIN(G1215,Result_notebook_retravaill!I1215)</f>
        <v>131.6908250261543</v>
      </c>
      <c r="K1215" s="32">
        <f>IF(Result_notebook_retravaill!I1215&gt;Result_notebook_retravaill!G1215,0,IF(Result_notebook_retravaill!I1215+Result_notebook_retravaill!J1215&gt;Result_notebook_retravaill!G1215,Result_notebook_retravaill!G1215-Result_notebook_retravaill!I1215,Result_notebook_retravaill!J1215))</f>
        <v>88.327826818932607</v>
      </c>
      <c r="L1215" s="32">
        <f>IF(Result_notebook_retravaill!I1215&gt;Result_notebook_retravaill!G1215,0,IF(Result_notebook_retravaill!I1215+Result_notebook_retravaill!J1215&gt;Result_notebook_retravaill!G1215,0,Result_notebook_retravaill!M1215))</f>
        <v>5973.5874914323676</v>
      </c>
      <c r="M1215" s="31">
        <f t="shared" si="18"/>
        <v>0</v>
      </c>
    </row>
    <row r="1216" spans="1:13" x14ac:dyDescent="0.35">
      <c r="A1216">
        <f>Result_notebook_retravaill!A1216</f>
        <v>2038</v>
      </c>
      <c r="B1216" t="str">
        <f>Result_notebook_retravaill!B1216</f>
        <v>Neodymium</v>
      </c>
      <c r="C1216" t="str">
        <f>Result_notebook_retravaill!C1216</f>
        <v>Global Net-zero</v>
      </c>
      <c r="D1216" t="str">
        <f>Result_notebook_retravaill!D1216</f>
        <v>Production potential</v>
      </c>
      <c r="E1216" t="str">
        <f>Result_notebook_retravaill!E1216</f>
        <v>100% CAN</v>
      </c>
      <c r="F1216" t="str">
        <f>Result_notebook_retravaill!F1216</f>
        <v>Integrated</v>
      </c>
      <c r="G1216">
        <f>Result_notebook_retravaill!G1216</f>
        <v>6193.6061432774541</v>
      </c>
      <c r="H1216" s="32">
        <f>IF(Result_notebook_retravaill!I1216&gt;Result_notebook_retravaill!G1216,Result_notebook_retravaill!I1216/Result_notebook_retravaill!N1216,Result_notebook_retravaill!H1216)</f>
        <v>220.01865184508691</v>
      </c>
      <c r="I1216" s="32">
        <f>Result_notebook_retravaill!K1216</f>
        <v>10102.658253617339</v>
      </c>
      <c r="J1216" s="32">
        <f>MIN(G1216,Result_notebook_retravaill!I1216)</f>
        <v>131.6908250261543</v>
      </c>
      <c r="K1216" s="32">
        <f>IF(Result_notebook_retravaill!I1216&gt;Result_notebook_retravaill!G1216,0,IF(Result_notebook_retravaill!I1216+Result_notebook_retravaill!J1216&gt;Result_notebook_retravaill!G1216,Result_notebook_retravaill!G1216-Result_notebook_retravaill!I1216,Result_notebook_retravaill!J1216))</f>
        <v>88.327826818932607</v>
      </c>
      <c r="L1216" s="32">
        <f>IF(Result_notebook_retravaill!I1216&gt;Result_notebook_retravaill!G1216,0,IF(Result_notebook_retravaill!I1216+Result_notebook_retravaill!J1216&gt;Result_notebook_retravaill!G1216,0,Result_notebook_retravaill!M1216))</f>
        <v>5973.5874914323676</v>
      </c>
      <c r="M1216" s="31">
        <f t="shared" si="18"/>
        <v>0</v>
      </c>
    </row>
    <row r="1217" spans="1:13" x14ac:dyDescent="0.35">
      <c r="A1217">
        <f>Result_notebook_retravaill!A1217</f>
        <v>2038</v>
      </c>
      <c r="B1217" t="str">
        <f>Result_notebook_retravaill!B1217</f>
        <v>Nickel</v>
      </c>
      <c r="C1217" t="str">
        <f>Result_notebook_retravaill!C1217</f>
        <v>Canada Net-zero</v>
      </c>
      <c r="D1217" t="str">
        <f>Result_notebook_retravaill!D1217</f>
        <v>Existing production</v>
      </c>
      <c r="E1217" t="str">
        <f>Result_notebook_retravaill!E1217</f>
        <v>Current shares</v>
      </c>
      <c r="F1217" t="str">
        <f>Result_notebook_retravaill!F1217</f>
        <v>NIMBY</v>
      </c>
      <c r="G1217">
        <f>Result_notebook_retravaill!G1217</f>
        <v>187518.08361798589</v>
      </c>
      <c r="H1217" s="32">
        <f>IF(Result_notebook_retravaill!I1217&gt;Result_notebook_retravaill!G1217,Result_notebook_retravaill!I1217/Result_notebook_retravaill!N1217,Result_notebook_retravaill!H1217)</f>
        <v>0</v>
      </c>
      <c r="I1217" s="32">
        <f>Result_notebook_retravaill!K1217</f>
        <v>237364.66280757709</v>
      </c>
      <c r="J1217" s="32">
        <f>MIN(G1217,Result_notebook_retravaill!I1217)</f>
        <v>0</v>
      </c>
      <c r="K1217" s="32">
        <f>IF(Result_notebook_retravaill!I1217&gt;Result_notebook_retravaill!G1217,0,IF(Result_notebook_retravaill!I1217+Result_notebook_retravaill!J1217&gt;Result_notebook_retravaill!G1217,Result_notebook_retravaill!G1217-Result_notebook_retravaill!I1217,Result_notebook_retravaill!J1217))</f>
        <v>0</v>
      </c>
      <c r="L1217" s="32">
        <f>IF(Result_notebook_retravaill!I1217&gt;Result_notebook_retravaill!G1217,0,IF(Result_notebook_retravaill!I1217+Result_notebook_retravaill!J1217&gt;Result_notebook_retravaill!G1217,0,Result_notebook_retravaill!M1217))</f>
        <v>187518.08361798589</v>
      </c>
      <c r="M1217" s="31">
        <f t="shared" si="18"/>
        <v>0</v>
      </c>
    </row>
    <row r="1218" spans="1:13" x14ac:dyDescent="0.35">
      <c r="A1218">
        <f>Result_notebook_retravaill!A1218</f>
        <v>2038</v>
      </c>
      <c r="B1218" t="str">
        <f>Result_notebook_retravaill!B1218</f>
        <v>Nickel</v>
      </c>
      <c r="C1218" t="str">
        <f>Result_notebook_retravaill!C1218</f>
        <v>Canada Net-zero</v>
      </c>
      <c r="D1218" t="str">
        <f>Result_notebook_retravaill!D1218</f>
        <v>Existing production</v>
      </c>
      <c r="E1218" t="str">
        <f>Result_notebook_retravaill!E1218</f>
        <v>Current shares</v>
      </c>
      <c r="F1218" t="str">
        <f>Result_notebook_retravaill!F1218</f>
        <v>Status Quo</v>
      </c>
      <c r="G1218">
        <f>Result_notebook_retravaill!G1218</f>
        <v>187518.08361798589</v>
      </c>
      <c r="H1218" s="32">
        <f>IF(Result_notebook_retravaill!I1218&gt;Result_notebook_retravaill!G1218,Result_notebook_retravaill!I1218/Result_notebook_retravaill!N1218,Result_notebook_retravaill!H1218)</f>
        <v>40840</v>
      </c>
      <c r="I1218" s="32">
        <f>Result_notebook_retravaill!K1218</f>
        <v>196524.66280757709</v>
      </c>
      <c r="J1218" s="32">
        <f>MIN(G1218,Result_notebook_retravaill!I1218)</f>
        <v>22906.340951526421</v>
      </c>
      <c r="K1218" s="32">
        <f>IF(Result_notebook_retravaill!I1218&gt;Result_notebook_retravaill!G1218,0,IF(Result_notebook_retravaill!I1218+Result_notebook_retravaill!J1218&gt;Result_notebook_retravaill!G1218,Result_notebook_retravaill!G1218-Result_notebook_retravaill!I1218,Result_notebook_retravaill!J1218))</f>
        <v>5647.7810806641901</v>
      </c>
      <c r="L1218" s="32">
        <f>IF(Result_notebook_retravaill!I1218&gt;Result_notebook_retravaill!G1218,0,IF(Result_notebook_retravaill!I1218+Result_notebook_retravaill!J1218&gt;Result_notebook_retravaill!G1218,0,Result_notebook_retravaill!M1218))</f>
        <v>158963.9615857953</v>
      </c>
      <c r="M1218" s="31">
        <f t="shared" si="18"/>
        <v>0</v>
      </c>
    </row>
    <row r="1219" spans="1:13" x14ac:dyDescent="0.35">
      <c r="A1219">
        <f>Result_notebook_retravaill!A1219</f>
        <v>2038</v>
      </c>
      <c r="B1219" t="str">
        <f>Result_notebook_retravaill!B1219</f>
        <v>Nickel</v>
      </c>
      <c r="C1219" t="str">
        <f>Result_notebook_retravaill!C1219</f>
        <v>Canada Net-zero</v>
      </c>
      <c r="D1219" t="str">
        <f>Result_notebook_retravaill!D1219</f>
        <v>Production potential</v>
      </c>
      <c r="E1219" t="str">
        <f>Result_notebook_retravaill!E1219</f>
        <v>Current shares</v>
      </c>
      <c r="F1219" t="str">
        <f>Result_notebook_retravaill!F1219</f>
        <v>Expansion Extractive</v>
      </c>
      <c r="G1219">
        <f>Result_notebook_retravaill!G1219</f>
        <v>187518.08361798589</v>
      </c>
      <c r="H1219" s="32">
        <f>IF(Result_notebook_retravaill!I1219&gt;Result_notebook_retravaill!G1219,Result_notebook_retravaill!I1219/Result_notebook_retravaill!N1219,Result_notebook_retravaill!H1219)</f>
        <v>258091.26037832</v>
      </c>
      <c r="I1219" s="32">
        <f>Result_notebook_retravaill!K1219</f>
        <v>0</v>
      </c>
      <c r="J1219" s="32">
        <f>MIN(G1219,Result_notebook_retravaill!I1219)</f>
        <v>144758.23718988689</v>
      </c>
      <c r="K1219" s="32">
        <f>IF(Result_notebook_retravaill!I1219&gt;Result_notebook_retravaill!G1219,0,IF(Result_notebook_retravaill!I1219+Result_notebook_retravaill!J1219&gt;Result_notebook_retravaill!G1219,Result_notebook_retravaill!G1219-Result_notebook_retravaill!I1219,Result_notebook_retravaill!J1219))</f>
        <v>35691.550868008082</v>
      </c>
      <c r="L1219" s="32">
        <f>IF(Result_notebook_retravaill!I1219&gt;Result_notebook_retravaill!G1219,0,IF(Result_notebook_retravaill!I1219+Result_notebook_retravaill!J1219&gt;Result_notebook_retravaill!G1219,0,Result_notebook_retravaill!M1219))</f>
        <v>7068.295560090919</v>
      </c>
      <c r="M1219" s="31">
        <f t="shared" ref="M1219:M1282" si="19">SUM(J1219:L1219)-G1219</f>
        <v>0</v>
      </c>
    </row>
    <row r="1220" spans="1:13" x14ac:dyDescent="0.35">
      <c r="A1220">
        <f>Result_notebook_retravaill!A1220</f>
        <v>2038</v>
      </c>
      <c r="B1220" t="str">
        <f>Result_notebook_retravaill!B1220</f>
        <v>Nickel</v>
      </c>
      <c r="C1220" t="str">
        <f>Result_notebook_retravaill!C1220</f>
        <v>Canada Net-zero</v>
      </c>
      <c r="D1220" t="str">
        <f>Result_notebook_retravaill!D1220</f>
        <v>Production potential</v>
      </c>
      <c r="E1220" t="str">
        <f>Result_notebook_retravaill!E1220</f>
        <v>Current shares</v>
      </c>
      <c r="F1220" t="str">
        <f>Result_notebook_retravaill!F1220</f>
        <v>Expansion Extractive+Circularity</v>
      </c>
      <c r="G1220">
        <f>Result_notebook_retravaill!G1220</f>
        <v>187518.08361798589</v>
      </c>
      <c r="H1220" s="32">
        <f>IF(Result_notebook_retravaill!I1220&gt;Result_notebook_retravaill!G1220,Result_notebook_retravaill!I1220/Result_notebook_retravaill!N1220,Result_notebook_retravaill!H1220)</f>
        <v>258091.26037832</v>
      </c>
      <c r="I1220" s="32">
        <f>Result_notebook_retravaill!K1220</f>
        <v>0</v>
      </c>
      <c r="J1220" s="32">
        <f>MIN(G1220,Result_notebook_retravaill!I1220)</f>
        <v>144758.23718988689</v>
      </c>
      <c r="K1220" s="32">
        <f>IF(Result_notebook_retravaill!I1220&gt;Result_notebook_retravaill!G1220,0,IF(Result_notebook_retravaill!I1220+Result_notebook_retravaill!J1220&gt;Result_notebook_retravaill!G1220,Result_notebook_retravaill!G1220-Result_notebook_retravaill!I1220,Result_notebook_retravaill!J1220))</f>
        <v>35691.550868008082</v>
      </c>
      <c r="L1220" s="32">
        <f>IF(Result_notebook_retravaill!I1220&gt;Result_notebook_retravaill!G1220,0,IF(Result_notebook_retravaill!I1220+Result_notebook_retravaill!J1220&gt;Result_notebook_retravaill!G1220,0,Result_notebook_retravaill!M1220))</f>
        <v>7068.295560090919</v>
      </c>
      <c r="M1220" s="31">
        <f t="shared" si="19"/>
        <v>0</v>
      </c>
    </row>
    <row r="1221" spans="1:13" x14ac:dyDescent="0.35">
      <c r="A1221">
        <f>Result_notebook_retravaill!A1221</f>
        <v>2038</v>
      </c>
      <c r="B1221" t="str">
        <f>Result_notebook_retravaill!B1221</f>
        <v>Nickel</v>
      </c>
      <c r="C1221" t="str">
        <f>Result_notebook_retravaill!C1221</f>
        <v>Canada Net-zero</v>
      </c>
      <c r="D1221" t="str">
        <f>Result_notebook_retravaill!D1221</f>
        <v>Production potential</v>
      </c>
      <c r="E1221" t="str">
        <f>Result_notebook_retravaill!E1221</f>
        <v>100% CAN</v>
      </c>
      <c r="F1221" t="str">
        <f>Result_notebook_retravaill!F1221</f>
        <v>Integrated</v>
      </c>
      <c r="G1221">
        <f>Result_notebook_retravaill!G1221</f>
        <v>187518.08361798589</v>
      </c>
      <c r="H1221" s="32">
        <f>IF(Result_notebook_retravaill!I1221&gt;Result_notebook_retravaill!G1221,Result_notebook_retravaill!I1221/Result_notebook_retravaill!N1221,Result_notebook_retravaill!H1221)</f>
        <v>290717.45763230964</v>
      </c>
      <c r="I1221" s="32">
        <f>Result_notebook_retravaill!K1221</f>
        <v>0</v>
      </c>
      <c r="J1221" s="32">
        <f>MIN(G1221,Result_notebook_retravaill!I1221)</f>
        <v>187518.08361798589</v>
      </c>
      <c r="K1221" s="32">
        <f>IF(Result_notebook_retravaill!I1221&gt;Result_notebook_retravaill!G1221,0,IF(Result_notebook_retravaill!I1221+Result_notebook_retravaill!J1221&gt;Result_notebook_retravaill!G1221,Result_notebook_retravaill!G1221-Result_notebook_retravaill!I1221,Result_notebook_retravaill!J1221))</f>
        <v>0</v>
      </c>
      <c r="L1221" s="32">
        <f>IF(Result_notebook_retravaill!I1221&gt;Result_notebook_retravaill!G1221,0,IF(Result_notebook_retravaill!I1221+Result_notebook_retravaill!J1221&gt;Result_notebook_retravaill!G1221,0,Result_notebook_retravaill!M1221))</f>
        <v>0</v>
      </c>
      <c r="M1221" s="31">
        <f t="shared" si="19"/>
        <v>0</v>
      </c>
    </row>
    <row r="1222" spans="1:13" x14ac:dyDescent="0.35">
      <c r="A1222">
        <f>Result_notebook_retravaill!A1222</f>
        <v>2038</v>
      </c>
      <c r="B1222" t="str">
        <f>Result_notebook_retravaill!B1222</f>
        <v>Nickel</v>
      </c>
      <c r="C1222" t="str">
        <f>Result_notebook_retravaill!C1222</f>
        <v>Current Measures</v>
      </c>
      <c r="D1222" t="str">
        <f>Result_notebook_retravaill!D1222</f>
        <v>Existing production</v>
      </c>
      <c r="E1222" t="str">
        <f>Result_notebook_retravaill!E1222</f>
        <v>Current shares</v>
      </c>
      <c r="F1222" t="str">
        <f>Result_notebook_retravaill!F1222</f>
        <v>NIMBY</v>
      </c>
      <c r="G1222">
        <f>Result_notebook_retravaill!G1222</f>
        <v>73173.599088158604</v>
      </c>
      <c r="H1222" s="32">
        <f>IF(Result_notebook_retravaill!I1222&gt;Result_notebook_retravaill!G1222,Result_notebook_retravaill!I1222/Result_notebook_retravaill!N1222,Result_notebook_retravaill!H1222)</f>
        <v>0</v>
      </c>
      <c r="I1222" s="32">
        <f>Result_notebook_retravaill!K1222</f>
        <v>92624.808972352665</v>
      </c>
      <c r="J1222" s="32">
        <f>MIN(G1222,Result_notebook_retravaill!I1222)</f>
        <v>0</v>
      </c>
      <c r="K1222" s="32">
        <f>IF(Result_notebook_retravaill!I1222&gt;Result_notebook_retravaill!G1222,0,IF(Result_notebook_retravaill!I1222+Result_notebook_retravaill!J1222&gt;Result_notebook_retravaill!G1222,Result_notebook_retravaill!G1222-Result_notebook_retravaill!I1222,Result_notebook_retravaill!J1222))</f>
        <v>0</v>
      </c>
      <c r="L1222" s="32">
        <f>IF(Result_notebook_retravaill!I1222&gt;Result_notebook_retravaill!G1222,0,IF(Result_notebook_retravaill!I1222+Result_notebook_retravaill!J1222&gt;Result_notebook_retravaill!G1222,0,Result_notebook_retravaill!M1222))</f>
        <v>73173.599088158604</v>
      </c>
      <c r="M1222" s="31">
        <f t="shared" si="19"/>
        <v>0</v>
      </c>
    </row>
    <row r="1223" spans="1:13" x14ac:dyDescent="0.35">
      <c r="A1223">
        <f>Result_notebook_retravaill!A1223</f>
        <v>2038</v>
      </c>
      <c r="B1223" t="str">
        <f>Result_notebook_retravaill!B1223</f>
        <v>Nickel</v>
      </c>
      <c r="C1223" t="str">
        <f>Result_notebook_retravaill!C1223</f>
        <v>Current Measures</v>
      </c>
      <c r="D1223" t="str">
        <f>Result_notebook_retravaill!D1223</f>
        <v>Existing production</v>
      </c>
      <c r="E1223" t="str">
        <f>Result_notebook_retravaill!E1223</f>
        <v>Current shares</v>
      </c>
      <c r="F1223" t="str">
        <f>Result_notebook_retravaill!F1223</f>
        <v>Status Quo</v>
      </c>
      <c r="G1223">
        <f>Result_notebook_retravaill!G1223</f>
        <v>73173.599088158604</v>
      </c>
      <c r="H1223" s="32">
        <f>IF(Result_notebook_retravaill!I1223&gt;Result_notebook_retravaill!G1223,Result_notebook_retravaill!I1223/Result_notebook_retravaill!N1223,Result_notebook_retravaill!H1223)</f>
        <v>40840</v>
      </c>
      <c r="I1223" s="32">
        <f>Result_notebook_retravaill!K1223</f>
        <v>51784.808972352657</v>
      </c>
      <c r="J1223" s="32">
        <f>MIN(G1223,Result_notebook_retravaill!I1223)</f>
        <v>22906.340951526421</v>
      </c>
      <c r="K1223" s="32">
        <f>IF(Result_notebook_retravaill!I1223&gt;Result_notebook_retravaill!G1223,0,IF(Result_notebook_retravaill!I1223+Result_notebook_retravaill!J1223&gt;Result_notebook_retravaill!G1223,Result_notebook_retravaill!G1223-Result_notebook_retravaill!I1223,Result_notebook_retravaill!J1223))</f>
        <v>5647.7810806641901</v>
      </c>
      <c r="L1223" s="32">
        <f>IF(Result_notebook_retravaill!I1223&gt;Result_notebook_retravaill!G1223,0,IF(Result_notebook_retravaill!I1223+Result_notebook_retravaill!J1223&gt;Result_notebook_retravaill!G1223,0,Result_notebook_retravaill!M1223))</f>
        <v>44619.477055967989</v>
      </c>
      <c r="M1223" s="31">
        <f t="shared" si="19"/>
        <v>0</v>
      </c>
    </row>
    <row r="1224" spans="1:13" x14ac:dyDescent="0.35">
      <c r="A1224">
        <f>Result_notebook_retravaill!A1224</f>
        <v>2038</v>
      </c>
      <c r="B1224" t="str">
        <f>Result_notebook_retravaill!B1224</f>
        <v>Nickel</v>
      </c>
      <c r="C1224" t="str">
        <f>Result_notebook_retravaill!C1224</f>
        <v>Current Measures</v>
      </c>
      <c r="D1224" t="str">
        <f>Result_notebook_retravaill!D1224</f>
        <v>Production potential</v>
      </c>
      <c r="E1224" t="str">
        <f>Result_notebook_retravaill!E1224</f>
        <v>Current shares</v>
      </c>
      <c r="F1224" t="str">
        <f>Result_notebook_retravaill!F1224</f>
        <v>Expansion Extractive</v>
      </c>
      <c r="G1224">
        <f>Result_notebook_retravaill!G1224</f>
        <v>73173.599088158604</v>
      </c>
      <c r="H1224" s="32">
        <f>IF(Result_notebook_retravaill!I1224&gt;Result_notebook_retravaill!G1224,Result_notebook_retravaill!I1224/Result_notebook_retravaill!N1224,Result_notebook_retravaill!H1224)</f>
        <v>207042.83606304353</v>
      </c>
      <c r="I1224" s="32">
        <f>Result_notebook_retravaill!K1224</f>
        <v>0</v>
      </c>
      <c r="J1224" s="32">
        <f>MIN(G1224,Result_notebook_retravaill!I1224)</f>
        <v>73173.599088158604</v>
      </c>
      <c r="K1224" s="32">
        <f>IF(Result_notebook_retravaill!I1224&gt;Result_notebook_retravaill!G1224,0,IF(Result_notebook_retravaill!I1224+Result_notebook_retravaill!J1224&gt;Result_notebook_retravaill!G1224,Result_notebook_retravaill!G1224-Result_notebook_retravaill!I1224,Result_notebook_retravaill!J1224))</f>
        <v>0</v>
      </c>
      <c r="L1224" s="32">
        <f>IF(Result_notebook_retravaill!I1224&gt;Result_notebook_retravaill!G1224,0,IF(Result_notebook_retravaill!I1224+Result_notebook_retravaill!J1224&gt;Result_notebook_retravaill!G1224,0,Result_notebook_retravaill!M1224))</f>
        <v>0</v>
      </c>
      <c r="M1224" s="31">
        <f t="shared" si="19"/>
        <v>0</v>
      </c>
    </row>
    <row r="1225" spans="1:13" x14ac:dyDescent="0.35">
      <c r="A1225">
        <f>Result_notebook_retravaill!A1225</f>
        <v>2038</v>
      </c>
      <c r="B1225" t="str">
        <f>Result_notebook_retravaill!B1225</f>
        <v>Nickel</v>
      </c>
      <c r="C1225" t="str">
        <f>Result_notebook_retravaill!C1225</f>
        <v>Current Measures</v>
      </c>
      <c r="D1225" t="str">
        <f>Result_notebook_retravaill!D1225</f>
        <v>Production potential</v>
      </c>
      <c r="E1225" t="str">
        <f>Result_notebook_retravaill!E1225</f>
        <v>Current shares</v>
      </c>
      <c r="F1225" t="str">
        <f>Result_notebook_retravaill!F1225</f>
        <v>Expansion Extractive+Circularity</v>
      </c>
      <c r="G1225">
        <f>Result_notebook_retravaill!G1225</f>
        <v>73173.599088158604</v>
      </c>
      <c r="H1225" s="32">
        <f>IF(Result_notebook_retravaill!I1225&gt;Result_notebook_retravaill!G1225,Result_notebook_retravaill!I1225/Result_notebook_retravaill!N1225,Result_notebook_retravaill!H1225)</f>
        <v>207042.83606304353</v>
      </c>
      <c r="I1225" s="32">
        <f>Result_notebook_retravaill!K1225</f>
        <v>0</v>
      </c>
      <c r="J1225" s="32">
        <f>MIN(G1225,Result_notebook_retravaill!I1225)</f>
        <v>73173.599088158604</v>
      </c>
      <c r="K1225" s="32">
        <f>IF(Result_notebook_retravaill!I1225&gt;Result_notebook_retravaill!G1225,0,IF(Result_notebook_retravaill!I1225+Result_notebook_retravaill!J1225&gt;Result_notebook_retravaill!G1225,Result_notebook_retravaill!G1225-Result_notebook_retravaill!I1225,Result_notebook_retravaill!J1225))</f>
        <v>0</v>
      </c>
      <c r="L1225" s="32">
        <f>IF(Result_notebook_retravaill!I1225&gt;Result_notebook_retravaill!G1225,0,IF(Result_notebook_retravaill!I1225+Result_notebook_retravaill!J1225&gt;Result_notebook_retravaill!G1225,0,Result_notebook_retravaill!M1225))</f>
        <v>0</v>
      </c>
      <c r="M1225" s="31">
        <f t="shared" si="19"/>
        <v>0</v>
      </c>
    </row>
    <row r="1226" spans="1:13" x14ac:dyDescent="0.35">
      <c r="A1226">
        <f>Result_notebook_retravaill!A1226</f>
        <v>2038</v>
      </c>
      <c r="B1226" t="str">
        <f>Result_notebook_retravaill!B1226</f>
        <v>Nickel</v>
      </c>
      <c r="C1226" t="str">
        <f>Result_notebook_retravaill!C1226</f>
        <v>Current Measures</v>
      </c>
      <c r="D1226" t="str">
        <f>Result_notebook_retravaill!D1226</f>
        <v>Production potential</v>
      </c>
      <c r="E1226" t="str">
        <f>Result_notebook_retravaill!E1226</f>
        <v>100% CAN</v>
      </c>
      <c r="F1226" t="str">
        <f>Result_notebook_retravaill!F1226</f>
        <v>Integrated</v>
      </c>
      <c r="G1226">
        <f>Result_notebook_retravaill!G1226</f>
        <v>73173.599088158604</v>
      </c>
      <c r="H1226" s="32">
        <f>IF(Result_notebook_retravaill!I1226&gt;Result_notebook_retravaill!G1226,Result_notebook_retravaill!I1226/Result_notebook_retravaill!N1226,Result_notebook_retravaill!H1226)</f>
        <v>290717.45763230964</v>
      </c>
      <c r="I1226" s="32">
        <f>Result_notebook_retravaill!K1226</f>
        <v>0</v>
      </c>
      <c r="J1226" s="32">
        <f>MIN(G1226,Result_notebook_retravaill!I1226)</f>
        <v>73173.599088158604</v>
      </c>
      <c r="K1226" s="32">
        <f>IF(Result_notebook_retravaill!I1226&gt;Result_notebook_retravaill!G1226,0,IF(Result_notebook_retravaill!I1226+Result_notebook_retravaill!J1226&gt;Result_notebook_retravaill!G1226,Result_notebook_retravaill!G1226-Result_notebook_retravaill!I1226,Result_notebook_retravaill!J1226))</f>
        <v>0</v>
      </c>
      <c r="L1226" s="32">
        <f>IF(Result_notebook_retravaill!I1226&gt;Result_notebook_retravaill!G1226,0,IF(Result_notebook_retravaill!I1226+Result_notebook_retravaill!J1226&gt;Result_notebook_retravaill!G1226,0,Result_notebook_retravaill!M1226))</f>
        <v>0</v>
      </c>
      <c r="M1226" s="31">
        <f t="shared" si="19"/>
        <v>0</v>
      </c>
    </row>
    <row r="1227" spans="1:13" x14ac:dyDescent="0.35">
      <c r="A1227">
        <f>Result_notebook_retravaill!A1227</f>
        <v>2038</v>
      </c>
      <c r="B1227" t="str">
        <f>Result_notebook_retravaill!B1227</f>
        <v>Nickel</v>
      </c>
      <c r="C1227" t="str">
        <f>Result_notebook_retravaill!C1227</f>
        <v>Global Net-zero</v>
      </c>
      <c r="D1227" t="str">
        <f>Result_notebook_retravaill!D1227</f>
        <v>Existing production</v>
      </c>
      <c r="E1227" t="str">
        <f>Result_notebook_retravaill!E1227</f>
        <v>Current shares</v>
      </c>
      <c r="F1227" t="str">
        <f>Result_notebook_retravaill!F1227</f>
        <v>NIMBY</v>
      </c>
      <c r="G1227">
        <f>Result_notebook_retravaill!G1227</f>
        <v>180012.93508836121</v>
      </c>
      <c r="H1227" s="32">
        <f>IF(Result_notebook_retravaill!I1227&gt;Result_notebook_retravaill!G1227,Result_notebook_retravaill!I1227/Result_notebook_retravaill!N1227,Result_notebook_retravaill!H1227)</f>
        <v>0</v>
      </c>
      <c r="I1227" s="32">
        <f>Result_notebook_retravaill!K1227</f>
        <v>227864.47479539391</v>
      </c>
      <c r="J1227" s="32">
        <f>MIN(G1227,Result_notebook_retravaill!I1227)</f>
        <v>0</v>
      </c>
      <c r="K1227" s="32">
        <f>IF(Result_notebook_retravaill!I1227&gt;Result_notebook_retravaill!G1227,0,IF(Result_notebook_retravaill!I1227+Result_notebook_retravaill!J1227&gt;Result_notebook_retravaill!G1227,Result_notebook_retravaill!G1227-Result_notebook_retravaill!I1227,Result_notebook_retravaill!J1227))</f>
        <v>0</v>
      </c>
      <c r="L1227" s="32">
        <f>IF(Result_notebook_retravaill!I1227&gt;Result_notebook_retravaill!G1227,0,IF(Result_notebook_retravaill!I1227+Result_notebook_retravaill!J1227&gt;Result_notebook_retravaill!G1227,0,Result_notebook_retravaill!M1227))</f>
        <v>180012.93508836121</v>
      </c>
      <c r="M1227" s="31">
        <f t="shared" si="19"/>
        <v>0</v>
      </c>
    </row>
    <row r="1228" spans="1:13" x14ac:dyDescent="0.35">
      <c r="A1228">
        <f>Result_notebook_retravaill!A1228</f>
        <v>2038</v>
      </c>
      <c r="B1228" t="str">
        <f>Result_notebook_retravaill!B1228</f>
        <v>Nickel</v>
      </c>
      <c r="C1228" t="str">
        <f>Result_notebook_retravaill!C1228</f>
        <v>Global Net-zero</v>
      </c>
      <c r="D1228" t="str">
        <f>Result_notebook_retravaill!D1228</f>
        <v>Existing production</v>
      </c>
      <c r="E1228" t="str">
        <f>Result_notebook_retravaill!E1228</f>
        <v>Current shares</v>
      </c>
      <c r="F1228" t="str">
        <f>Result_notebook_retravaill!F1228</f>
        <v>Status Quo</v>
      </c>
      <c r="G1228">
        <f>Result_notebook_retravaill!G1228</f>
        <v>180012.93508836121</v>
      </c>
      <c r="H1228" s="32">
        <f>IF(Result_notebook_retravaill!I1228&gt;Result_notebook_retravaill!G1228,Result_notebook_retravaill!I1228/Result_notebook_retravaill!N1228,Result_notebook_retravaill!H1228)</f>
        <v>40840</v>
      </c>
      <c r="I1228" s="32">
        <f>Result_notebook_retravaill!K1228</f>
        <v>187024.47479539391</v>
      </c>
      <c r="J1228" s="32">
        <f>MIN(G1228,Result_notebook_retravaill!I1228)</f>
        <v>22906.340951526421</v>
      </c>
      <c r="K1228" s="32">
        <f>IF(Result_notebook_retravaill!I1228&gt;Result_notebook_retravaill!G1228,0,IF(Result_notebook_retravaill!I1228+Result_notebook_retravaill!J1228&gt;Result_notebook_retravaill!G1228,Result_notebook_retravaill!G1228-Result_notebook_retravaill!I1228,Result_notebook_retravaill!J1228))</f>
        <v>5647.7810806641901</v>
      </c>
      <c r="L1228" s="32">
        <f>IF(Result_notebook_retravaill!I1228&gt;Result_notebook_retravaill!G1228,0,IF(Result_notebook_retravaill!I1228+Result_notebook_retravaill!J1228&gt;Result_notebook_retravaill!G1228,0,Result_notebook_retravaill!M1228))</f>
        <v>151458.81305617062</v>
      </c>
      <c r="M1228" s="31">
        <f t="shared" si="19"/>
        <v>0</v>
      </c>
    </row>
    <row r="1229" spans="1:13" x14ac:dyDescent="0.35">
      <c r="A1229">
        <f>Result_notebook_retravaill!A1229</f>
        <v>2038</v>
      </c>
      <c r="B1229" t="str">
        <f>Result_notebook_retravaill!B1229</f>
        <v>Nickel</v>
      </c>
      <c r="C1229" t="str">
        <f>Result_notebook_retravaill!C1229</f>
        <v>Global Net-zero</v>
      </c>
      <c r="D1229" t="str">
        <f>Result_notebook_retravaill!D1229</f>
        <v>Production potential</v>
      </c>
      <c r="E1229" t="str">
        <f>Result_notebook_retravaill!E1229</f>
        <v>Current shares</v>
      </c>
      <c r="F1229" t="str">
        <f>Result_notebook_retravaill!F1229</f>
        <v>Expansion Extractive</v>
      </c>
      <c r="G1229">
        <f>Result_notebook_retravaill!G1229</f>
        <v>180012.93508836121</v>
      </c>
      <c r="H1229" s="32">
        <f>IF(Result_notebook_retravaill!I1229&gt;Result_notebook_retravaill!G1229,Result_notebook_retravaill!I1229/Result_notebook_retravaill!N1229,Result_notebook_retravaill!H1229)</f>
        <v>258091.26037832</v>
      </c>
      <c r="I1229" s="32">
        <f>Result_notebook_retravaill!K1229</f>
        <v>0</v>
      </c>
      <c r="J1229" s="32">
        <f>MIN(G1229,Result_notebook_retravaill!I1229)</f>
        <v>144758.23718988689</v>
      </c>
      <c r="K1229" s="32">
        <f>IF(Result_notebook_retravaill!I1229&gt;Result_notebook_retravaill!G1229,0,IF(Result_notebook_retravaill!I1229+Result_notebook_retravaill!J1229&gt;Result_notebook_retravaill!G1229,Result_notebook_retravaill!G1229-Result_notebook_retravaill!I1229,Result_notebook_retravaill!J1229))</f>
        <v>35254.697898474318</v>
      </c>
      <c r="L1229" s="32">
        <f>IF(Result_notebook_retravaill!I1229&gt;Result_notebook_retravaill!G1229,0,IF(Result_notebook_retravaill!I1229+Result_notebook_retravaill!J1229&gt;Result_notebook_retravaill!G1229,0,Result_notebook_retravaill!M1229))</f>
        <v>0</v>
      </c>
      <c r="M1229" s="31">
        <f t="shared" si="19"/>
        <v>0</v>
      </c>
    </row>
    <row r="1230" spans="1:13" x14ac:dyDescent="0.35">
      <c r="A1230">
        <f>Result_notebook_retravaill!A1230</f>
        <v>2038</v>
      </c>
      <c r="B1230" t="str">
        <f>Result_notebook_retravaill!B1230</f>
        <v>Nickel</v>
      </c>
      <c r="C1230" t="str">
        <f>Result_notebook_retravaill!C1230</f>
        <v>Global Net-zero</v>
      </c>
      <c r="D1230" t="str">
        <f>Result_notebook_retravaill!D1230</f>
        <v>Production potential</v>
      </c>
      <c r="E1230" t="str">
        <f>Result_notebook_retravaill!E1230</f>
        <v>Current shares</v>
      </c>
      <c r="F1230" t="str">
        <f>Result_notebook_retravaill!F1230</f>
        <v>Expansion Extractive+Circularity</v>
      </c>
      <c r="G1230">
        <f>Result_notebook_retravaill!G1230</f>
        <v>180012.93508836121</v>
      </c>
      <c r="H1230" s="32">
        <f>IF(Result_notebook_retravaill!I1230&gt;Result_notebook_retravaill!G1230,Result_notebook_retravaill!I1230/Result_notebook_retravaill!N1230,Result_notebook_retravaill!H1230)</f>
        <v>258091.26037832</v>
      </c>
      <c r="I1230" s="32">
        <f>Result_notebook_retravaill!K1230</f>
        <v>0</v>
      </c>
      <c r="J1230" s="32">
        <f>MIN(G1230,Result_notebook_retravaill!I1230)</f>
        <v>144758.23718988689</v>
      </c>
      <c r="K1230" s="32">
        <f>IF(Result_notebook_retravaill!I1230&gt;Result_notebook_retravaill!G1230,0,IF(Result_notebook_retravaill!I1230+Result_notebook_retravaill!J1230&gt;Result_notebook_retravaill!G1230,Result_notebook_retravaill!G1230-Result_notebook_retravaill!I1230,Result_notebook_retravaill!J1230))</f>
        <v>35254.697898474318</v>
      </c>
      <c r="L1230" s="32">
        <f>IF(Result_notebook_retravaill!I1230&gt;Result_notebook_retravaill!G1230,0,IF(Result_notebook_retravaill!I1230+Result_notebook_retravaill!J1230&gt;Result_notebook_retravaill!G1230,0,Result_notebook_retravaill!M1230))</f>
        <v>0</v>
      </c>
      <c r="M1230" s="31">
        <f t="shared" si="19"/>
        <v>0</v>
      </c>
    </row>
    <row r="1231" spans="1:13" x14ac:dyDescent="0.35">
      <c r="A1231">
        <f>Result_notebook_retravaill!A1231</f>
        <v>2038</v>
      </c>
      <c r="B1231" t="str">
        <f>Result_notebook_retravaill!B1231</f>
        <v>Nickel</v>
      </c>
      <c r="C1231" t="str">
        <f>Result_notebook_retravaill!C1231</f>
        <v>Global Net-zero</v>
      </c>
      <c r="D1231" t="str">
        <f>Result_notebook_retravaill!D1231</f>
        <v>Production potential</v>
      </c>
      <c r="E1231" t="str">
        <f>Result_notebook_retravaill!E1231</f>
        <v>100% CAN</v>
      </c>
      <c r="F1231" t="str">
        <f>Result_notebook_retravaill!F1231</f>
        <v>Integrated</v>
      </c>
      <c r="G1231">
        <f>Result_notebook_retravaill!G1231</f>
        <v>180012.93508836121</v>
      </c>
      <c r="H1231" s="32">
        <f>IF(Result_notebook_retravaill!I1231&gt;Result_notebook_retravaill!G1231,Result_notebook_retravaill!I1231/Result_notebook_retravaill!N1231,Result_notebook_retravaill!H1231)</f>
        <v>290717.45763230964</v>
      </c>
      <c r="I1231" s="32">
        <f>Result_notebook_retravaill!K1231</f>
        <v>0</v>
      </c>
      <c r="J1231" s="32">
        <f>MIN(G1231,Result_notebook_retravaill!I1231)</f>
        <v>180012.93508836121</v>
      </c>
      <c r="K1231" s="32">
        <f>IF(Result_notebook_retravaill!I1231&gt;Result_notebook_retravaill!G1231,0,IF(Result_notebook_retravaill!I1231+Result_notebook_retravaill!J1231&gt;Result_notebook_retravaill!G1231,Result_notebook_retravaill!G1231-Result_notebook_retravaill!I1231,Result_notebook_retravaill!J1231))</f>
        <v>0</v>
      </c>
      <c r="L1231" s="32">
        <f>IF(Result_notebook_retravaill!I1231&gt;Result_notebook_retravaill!G1231,0,IF(Result_notebook_retravaill!I1231+Result_notebook_retravaill!J1231&gt;Result_notebook_retravaill!G1231,0,Result_notebook_retravaill!M1231))</f>
        <v>0</v>
      </c>
      <c r="M1231" s="31">
        <f t="shared" si="19"/>
        <v>0</v>
      </c>
    </row>
    <row r="1232" spans="1:13" x14ac:dyDescent="0.35">
      <c r="A1232">
        <f>Result_notebook_retravaill!A1232</f>
        <v>2038</v>
      </c>
      <c r="B1232" t="str">
        <f>Result_notebook_retravaill!B1232</f>
        <v>Graphite</v>
      </c>
      <c r="C1232" t="str">
        <f>Result_notebook_retravaill!C1232</f>
        <v>Canada Net-zero</v>
      </c>
      <c r="D1232" t="str">
        <f>Result_notebook_retravaill!D1232</f>
        <v>Existing production</v>
      </c>
      <c r="E1232" t="str">
        <f>Result_notebook_retravaill!E1232</f>
        <v>Current shares</v>
      </c>
      <c r="F1232" t="str">
        <f>Result_notebook_retravaill!F1232</f>
        <v>NIMBY</v>
      </c>
      <c r="G1232">
        <f>Result_notebook_retravaill!G1232</f>
        <v>3217.8690369252022</v>
      </c>
      <c r="H1232" s="32">
        <f>IF(Result_notebook_retravaill!I1232&gt;Result_notebook_retravaill!G1232,Result_notebook_retravaill!I1232/Result_notebook_retravaill!N1232,Result_notebook_retravaill!H1232)</f>
        <v>0</v>
      </c>
      <c r="I1232" s="32">
        <f>Result_notebook_retravaill!K1232</f>
        <v>3217.8690369252022</v>
      </c>
      <c r="J1232" s="32">
        <f>MIN(G1232,Result_notebook_retravaill!I1232)</f>
        <v>0</v>
      </c>
      <c r="K1232" s="32">
        <f>IF(Result_notebook_retravaill!I1232&gt;Result_notebook_retravaill!G1232,0,IF(Result_notebook_retravaill!I1232+Result_notebook_retravaill!J1232&gt;Result_notebook_retravaill!G1232,Result_notebook_retravaill!G1232-Result_notebook_retravaill!I1232,Result_notebook_retravaill!J1232))</f>
        <v>0</v>
      </c>
      <c r="L1232" s="32">
        <f>IF(Result_notebook_retravaill!I1232&gt;Result_notebook_retravaill!G1232,0,IF(Result_notebook_retravaill!I1232+Result_notebook_retravaill!J1232&gt;Result_notebook_retravaill!G1232,0,Result_notebook_retravaill!M1232))</f>
        <v>3217.8690369252022</v>
      </c>
      <c r="M1232" s="31">
        <f t="shared" si="19"/>
        <v>0</v>
      </c>
    </row>
    <row r="1233" spans="1:13" x14ac:dyDescent="0.35">
      <c r="A1233">
        <f>Result_notebook_retravaill!A1233</f>
        <v>2038</v>
      </c>
      <c r="B1233" t="str">
        <f>Result_notebook_retravaill!B1233</f>
        <v>Graphite</v>
      </c>
      <c r="C1233" t="str">
        <f>Result_notebook_retravaill!C1233</f>
        <v>Canada Net-zero</v>
      </c>
      <c r="D1233" t="str">
        <f>Result_notebook_retravaill!D1233</f>
        <v>Existing production</v>
      </c>
      <c r="E1233" t="str">
        <f>Result_notebook_retravaill!E1233</f>
        <v>Current shares</v>
      </c>
      <c r="F1233" t="str">
        <f>Result_notebook_retravaill!F1233</f>
        <v>Status Quo</v>
      </c>
      <c r="G1233">
        <f>Result_notebook_retravaill!G1233</f>
        <v>3217.8690369252022</v>
      </c>
      <c r="H1233" s="32">
        <f>IF(Result_notebook_retravaill!I1233&gt;Result_notebook_retravaill!G1233,Result_notebook_retravaill!I1233/Result_notebook_retravaill!N1233,Result_notebook_retravaill!H1233)</f>
        <v>0</v>
      </c>
      <c r="I1233" s="32">
        <f>Result_notebook_retravaill!K1233</f>
        <v>3217.8690369252022</v>
      </c>
      <c r="J1233" s="32">
        <f>MIN(G1233,Result_notebook_retravaill!I1233)</f>
        <v>0</v>
      </c>
      <c r="K1233" s="32">
        <f>IF(Result_notebook_retravaill!I1233&gt;Result_notebook_retravaill!G1233,0,IF(Result_notebook_retravaill!I1233+Result_notebook_retravaill!J1233&gt;Result_notebook_retravaill!G1233,Result_notebook_retravaill!G1233-Result_notebook_retravaill!I1233,Result_notebook_retravaill!J1233))</f>
        <v>0</v>
      </c>
      <c r="L1233" s="32">
        <f>IF(Result_notebook_retravaill!I1233&gt;Result_notebook_retravaill!G1233,0,IF(Result_notebook_retravaill!I1233+Result_notebook_retravaill!J1233&gt;Result_notebook_retravaill!G1233,0,Result_notebook_retravaill!M1233))</f>
        <v>3217.8690369252022</v>
      </c>
      <c r="M1233" s="31">
        <f t="shared" si="19"/>
        <v>0</v>
      </c>
    </row>
    <row r="1234" spans="1:13" x14ac:dyDescent="0.35">
      <c r="A1234">
        <f>Result_notebook_retravaill!A1234</f>
        <v>2038</v>
      </c>
      <c r="B1234" t="str">
        <f>Result_notebook_retravaill!B1234</f>
        <v>Graphite</v>
      </c>
      <c r="C1234" t="str">
        <f>Result_notebook_retravaill!C1234</f>
        <v>Canada Net-zero</v>
      </c>
      <c r="D1234" t="str">
        <f>Result_notebook_retravaill!D1234</f>
        <v>Production potential</v>
      </c>
      <c r="E1234" t="str">
        <f>Result_notebook_retravaill!E1234</f>
        <v>Current shares</v>
      </c>
      <c r="F1234" t="str">
        <f>Result_notebook_retravaill!F1234</f>
        <v>Expansion Extractive</v>
      </c>
      <c r="G1234">
        <f>Result_notebook_retravaill!G1234</f>
        <v>3217.8690369252022</v>
      </c>
      <c r="H1234" s="32">
        <f>IF(Result_notebook_retravaill!I1234&gt;Result_notebook_retravaill!G1234,Result_notebook_retravaill!I1234/Result_notebook_retravaill!N1234,Result_notebook_retravaill!H1234)</f>
        <v>151540.58568370005</v>
      </c>
      <c r="I1234" s="32">
        <f>Result_notebook_retravaill!K1234</f>
        <v>0</v>
      </c>
      <c r="J1234" s="32">
        <f>MIN(G1234,Result_notebook_retravaill!I1234)</f>
        <v>3217.8690369252022</v>
      </c>
      <c r="K1234" s="32">
        <f>IF(Result_notebook_retravaill!I1234&gt;Result_notebook_retravaill!G1234,0,IF(Result_notebook_retravaill!I1234+Result_notebook_retravaill!J1234&gt;Result_notebook_retravaill!G1234,Result_notebook_retravaill!G1234-Result_notebook_retravaill!I1234,Result_notebook_retravaill!J1234))</f>
        <v>0</v>
      </c>
      <c r="L1234" s="32">
        <f>IF(Result_notebook_retravaill!I1234&gt;Result_notebook_retravaill!G1234,0,IF(Result_notebook_retravaill!I1234+Result_notebook_retravaill!J1234&gt;Result_notebook_retravaill!G1234,0,Result_notebook_retravaill!M1234))</f>
        <v>0</v>
      </c>
      <c r="M1234" s="31">
        <f t="shared" si="19"/>
        <v>0</v>
      </c>
    </row>
    <row r="1235" spans="1:13" x14ac:dyDescent="0.35">
      <c r="A1235">
        <f>Result_notebook_retravaill!A1235</f>
        <v>2038</v>
      </c>
      <c r="B1235" t="str">
        <f>Result_notebook_retravaill!B1235</f>
        <v>Graphite</v>
      </c>
      <c r="C1235" t="str">
        <f>Result_notebook_retravaill!C1235</f>
        <v>Canada Net-zero</v>
      </c>
      <c r="D1235" t="str">
        <f>Result_notebook_retravaill!D1235</f>
        <v>Production potential</v>
      </c>
      <c r="E1235" t="str">
        <f>Result_notebook_retravaill!E1235</f>
        <v>Current shares</v>
      </c>
      <c r="F1235" t="str">
        <f>Result_notebook_retravaill!F1235</f>
        <v>Expansion Extractive+Circularity</v>
      </c>
      <c r="G1235">
        <f>Result_notebook_retravaill!G1235</f>
        <v>3217.8690369252022</v>
      </c>
      <c r="H1235" s="32">
        <f>IF(Result_notebook_retravaill!I1235&gt;Result_notebook_retravaill!G1235,Result_notebook_retravaill!I1235/Result_notebook_retravaill!N1235,Result_notebook_retravaill!H1235)</f>
        <v>151540.58568370005</v>
      </c>
      <c r="I1235" s="32">
        <f>Result_notebook_retravaill!K1235</f>
        <v>0</v>
      </c>
      <c r="J1235" s="32">
        <f>MIN(G1235,Result_notebook_retravaill!I1235)</f>
        <v>3217.8690369252022</v>
      </c>
      <c r="K1235" s="32">
        <f>IF(Result_notebook_retravaill!I1235&gt;Result_notebook_retravaill!G1235,0,IF(Result_notebook_retravaill!I1235+Result_notebook_retravaill!J1235&gt;Result_notebook_retravaill!G1235,Result_notebook_retravaill!G1235-Result_notebook_retravaill!I1235,Result_notebook_retravaill!J1235))</f>
        <v>0</v>
      </c>
      <c r="L1235" s="32">
        <f>IF(Result_notebook_retravaill!I1235&gt;Result_notebook_retravaill!G1235,0,IF(Result_notebook_retravaill!I1235+Result_notebook_retravaill!J1235&gt;Result_notebook_retravaill!G1235,0,Result_notebook_retravaill!M1235))</f>
        <v>0</v>
      </c>
      <c r="M1235" s="31">
        <f t="shared" si="19"/>
        <v>0</v>
      </c>
    </row>
    <row r="1236" spans="1:13" x14ac:dyDescent="0.35">
      <c r="A1236">
        <f>Result_notebook_retravaill!A1236</f>
        <v>2038</v>
      </c>
      <c r="B1236" t="str">
        <f>Result_notebook_retravaill!B1236</f>
        <v>Graphite</v>
      </c>
      <c r="C1236" t="str">
        <f>Result_notebook_retravaill!C1236</f>
        <v>Canada Net-zero</v>
      </c>
      <c r="D1236" t="str">
        <f>Result_notebook_retravaill!D1236</f>
        <v>Production potential</v>
      </c>
      <c r="E1236" t="str">
        <f>Result_notebook_retravaill!E1236</f>
        <v>100% CAN</v>
      </c>
      <c r="F1236" t="str">
        <f>Result_notebook_retravaill!F1236</f>
        <v>Integrated</v>
      </c>
      <c r="G1236">
        <f>Result_notebook_retravaill!G1236</f>
        <v>3217.8690369252022</v>
      </c>
      <c r="H1236" s="32">
        <f>IF(Result_notebook_retravaill!I1236&gt;Result_notebook_retravaill!G1236,Result_notebook_retravaill!I1236/Result_notebook_retravaill!N1236,Result_notebook_retravaill!H1236)</f>
        <v>151540.58568370005</v>
      </c>
      <c r="I1236" s="32">
        <f>Result_notebook_retravaill!K1236</f>
        <v>0</v>
      </c>
      <c r="J1236" s="32">
        <f>MIN(G1236,Result_notebook_retravaill!I1236)</f>
        <v>3217.8690369252022</v>
      </c>
      <c r="K1236" s="32">
        <f>IF(Result_notebook_retravaill!I1236&gt;Result_notebook_retravaill!G1236,0,IF(Result_notebook_retravaill!I1236+Result_notebook_retravaill!J1236&gt;Result_notebook_retravaill!G1236,Result_notebook_retravaill!G1236-Result_notebook_retravaill!I1236,Result_notebook_retravaill!J1236))</f>
        <v>0</v>
      </c>
      <c r="L1236" s="32">
        <f>IF(Result_notebook_retravaill!I1236&gt;Result_notebook_retravaill!G1236,0,IF(Result_notebook_retravaill!I1236+Result_notebook_retravaill!J1236&gt;Result_notebook_retravaill!G1236,0,Result_notebook_retravaill!M1236))</f>
        <v>0</v>
      </c>
      <c r="M1236" s="31">
        <f t="shared" si="19"/>
        <v>0</v>
      </c>
    </row>
    <row r="1237" spans="1:13" x14ac:dyDescent="0.35">
      <c r="A1237">
        <f>Result_notebook_retravaill!A1237</f>
        <v>2038</v>
      </c>
      <c r="B1237" t="str">
        <f>Result_notebook_retravaill!B1237</f>
        <v>Graphite</v>
      </c>
      <c r="C1237" t="str">
        <f>Result_notebook_retravaill!C1237</f>
        <v>Current Measures</v>
      </c>
      <c r="D1237" t="str">
        <f>Result_notebook_retravaill!D1237</f>
        <v>Existing production</v>
      </c>
      <c r="E1237" t="str">
        <f>Result_notebook_retravaill!E1237</f>
        <v>Current shares</v>
      </c>
      <c r="F1237" t="str">
        <f>Result_notebook_retravaill!F1237</f>
        <v>NIMBY</v>
      </c>
      <c r="G1237">
        <f>Result_notebook_retravaill!G1237</f>
        <v>1181.563288191096</v>
      </c>
      <c r="H1237" s="32">
        <f>IF(Result_notebook_retravaill!I1237&gt;Result_notebook_retravaill!G1237,Result_notebook_retravaill!I1237/Result_notebook_retravaill!N1237,Result_notebook_retravaill!H1237)</f>
        <v>0</v>
      </c>
      <c r="I1237" s="32">
        <f>Result_notebook_retravaill!K1237</f>
        <v>1181.563288191096</v>
      </c>
      <c r="J1237" s="32">
        <f>MIN(G1237,Result_notebook_retravaill!I1237)</f>
        <v>0</v>
      </c>
      <c r="K1237" s="32">
        <f>IF(Result_notebook_retravaill!I1237&gt;Result_notebook_retravaill!G1237,0,IF(Result_notebook_retravaill!I1237+Result_notebook_retravaill!J1237&gt;Result_notebook_retravaill!G1237,Result_notebook_retravaill!G1237-Result_notebook_retravaill!I1237,Result_notebook_retravaill!J1237))</f>
        <v>0</v>
      </c>
      <c r="L1237" s="32">
        <f>IF(Result_notebook_retravaill!I1237&gt;Result_notebook_retravaill!G1237,0,IF(Result_notebook_retravaill!I1237+Result_notebook_retravaill!J1237&gt;Result_notebook_retravaill!G1237,0,Result_notebook_retravaill!M1237))</f>
        <v>1181.563288191096</v>
      </c>
      <c r="M1237" s="31">
        <f t="shared" si="19"/>
        <v>0</v>
      </c>
    </row>
    <row r="1238" spans="1:13" x14ac:dyDescent="0.35">
      <c r="A1238">
        <f>Result_notebook_retravaill!A1238</f>
        <v>2038</v>
      </c>
      <c r="B1238" t="str">
        <f>Result_notebook_retravaill!B1238</f>
        <v>Graphite</v>
      </c>
      <c r="C1238" t="str">
        <f>Result_notebook_retravaill!C1238</f>
        <v>Current Measures</v>
      </c>
      <c r="D1238" t="str">
        <f>Result_notebook_retravaill!D1238</f>
        <v>Existing production</v>
      </c>
      <c r="E1238" t="str">
        <f>Result_notebook_retravaill!E1238</f>
        <v>Current shares</v>
      </c>
      <c r="F1238" t="str">
        <f>Result_notebook_retravaill!F1238</f>
        <v>Status Quo</v>
      </c>
      <c r="G1238">
        <f>Result_notebook_retravaill!G1238</f>
        <v>1181.563288191096</v>
      </c>
      <c r="H1238" s="32">
        <f>IF(Result_notebook_retravaill!I1238&gt;Result_notebook_retravaill!G1238,Result_notebook_retravaill!I1238/Result_notebook_retravaill!N1238,Result_notebook_retravaill!H1238)</f>
        <v>0</v>
      </c>
      <c r="I1238" s="32">
        <f>Result_notebook_retravaill!K1238</f>
        <v>1181.563288191096</v>
      </c>
      <c r="J1238" s="32">
        <f>MIN(G1238,Result_notebook_retravaill!I1238)</f>
        <v>0</v>
      </c>
      <c r="K1238" s="32">
        <f>IF(Result_notebook_retravaill!I1238&gt;Result_notebook_retravaill!G1238,0,IF(Result_notebook_retravaill!I1238+Result_notebook_retravaill!J1238&gt;Result_notebook_retravaill!G1238,Result_notebook_retravaill!G1238-Result_notebook_retravaill!I1238,Result_notebook_retravaill!J1238))</f>
        <v>0</v>
      </c>
      <c r="L1238" s="32">
        <f>IF(Result_notebook_retravaill!I1238&gt;Result_notebook_retravaill!G1238,0,IF(Result_notebook_retravaill!I1238+Result_notebook_retravaill!J1238&gt;Result_notebook_retravaill!G1238,0,Result_notebook_retravaill!M1238))</f>
        <v>1181.563288191096</v>
      </c>
      <c r="M1238" s="31">
        <f t="shared" si="19"/>
        <v>0</v>
      </c>
    </row>
    <row r="1239" spans="1:13" x14ac:dyDescent="0.35">
      <c r="A1239">
        <f>Result_notebook_retravaill!A1239</f>
        <v>2038</v>
      </c>
      <c r="B1239" t="str">
        <f>Result_notebook_retravaill!B1239</f>
        <v>Graphite</v>
      </c>
      <c r="C1239" t="str">
        <f>Result_notebook_retravaill!C1239</f>
        <v>Current Measures</v>
      </c>
      <c r="D1239" t="str">
        <f>Result_notebook_retravaill!D1239</f>
        <v>Production potential</v>
      </c>
      <c r="E1239" t="str">
        <f>Result_notebook_retravaill!E1239</f>
        <v>Current shares</v>
      </c>
      <c r="F1239" t="str">
        <f>Result_notebook_retravaill!F1239</f>
        <v>Expansion Extractive</v>
      </c>
      <c r="G1239">
        <f>Result_notebook_retravaill!G1239</f>
        <v>1181.563288191096</v>
      </c>
      <c r="H1239" s="32">
        <f>IF(Result_notebook_retravaill!I1239&gt;Result_notebook_retravaill!G1239,Result_notebook_retravaill!I1239/Result_notebook_retravaill!N1239,Result_notebook_retravaill!H1239)</f>
        <v>151540.58568370005</v>
      </c>
      <c r="I1239" s="32">
        <f>Result_notebook_retravaill!K1239</f>
        <v>0</v>
      </c>
      <c r="J1239" s="32">
        <f>MIN(G1239,Result_notebook_retravaill!I1239)</f>
        <v>1181.563288191096</v>
      </c>
      <c r="K1239" s="32">
        <f>IF(Result_notebook_retravaill!I1239&gt;Result_notebook_retravaill!G1239,0,IF(Result_notebook_retravaill!I1239+Result_notebook_retravaill!J1239&gt;Result_notebook_retravaill!G1239,Result_notebook_retravaill!G1239-Result_notebook_retravaill!I1239,Result_notebook_retravaill!J1239))</f>
        <v>0</v>
      </c>
      <c r="L1239" s="32">
        <f>IF(Result_notebook_retravaill!I1239&gt;Result_notebook_retravaill!G1239,0,IF(Result_notebook_retravaill!I1239+Result_notebook_retravaill!J1239&gt;Result_notebook_retravaill!G1239,0,Result_notebook_retravaill!M1239))</f>
        <v>0</v>
      </c>
      <c r="M1239" s="31">
        <f t="shared" si="19"/>
        <v>0</v>
      </c>
    </row>
    <row r="1240" spans="1:13" x14ac:dyDescent="0.35">
      <c r="A1240">
        <f>Result_notebook_retravaill!A1240</f>
        <v>2038</v>
      </c>
      <c r="B1240" t="str">
        <f>Result_notebook_retravaill!B1240</f>
        <v>Graphite</v>
      </c>
      <c r="C1240" t="str">
        <f>Result_notebook_retravaill!C1240</f>
        <v>Current Measures</v>
      </c>
      <c r="D1240" t="str">
        <f>Result_notebook_retravaill!D1240</f>
        <v>Production potential</v>
      </c>
      <c r="E1240" t="str">
        <f>Result_notebook_retravaill!E1240</f>
        <v>Current shares</v>
      </c>
      <c r="F1240" t="str">
        <f>Result_notebook_retravaill!F1240</f>
        <v>Expansion Extractive+Circularity</v>
      </c>
      <c r="G1240">
        <f>Result_notebook_retravaill!G1240</f>
        <v>1181.563288191096</v>
      </c>
      <c r="H1240" s="32">
        <f>IF(Result_notebook_retravaill!I1240&gt;Result_notebook_retravaill!G1240,Result_notebook_retravaill!I1240/Result_notebook_retravaill!N1240,Result_notebook_retravaill!H1240)</f>
        <v>151540.58568370005</v>
      </c>
      <c r="I1240" s="32">
        <f>Result_notebook_retravaill!K1240</f>
        <v>0</v>
      </c>
      <c r="J1240" s="32">
        <f>MIN(G1240,Result_notebook_retravaill!I1240)</f>
        <v>1181.563288191096</v>
      </c>
      <c r="K1240" s="32">
        <f>IF(Result_notebook_retravaill!I1240&gt;Result_notebook_retravaill!G1240,0,IF(Result_notebook_retravaill!I1240+Result_notebook_retravaill!J1240&gt;Result_notebook_retravaill!G1240,Result_notebook_retravaill!G1240-Result_notebook_retravaill!I1240,Result_notebook_retravaill!J1240))</f>
        <v>0</v>
      </c>
      <c r="L1240" s="32">
        <f>IF(Result_notebook_retravaill!I1240&gt;Result_notebook_retravaill!G1240,0,IF(Result_notebook_retravaill!I1240+Result_notebook_retravaill!J1240&gt;Result_notebook_retravaill!G1240,0,Result_notebook_retravaill!M1240))</f>
        <v>0</v>
      </c>
      <c r="M1240" s="31">
        <f t="shared" si="19"/>
        <v>0</v>
      </c>
    </row>
    <row r="1241" spans="1:13" x14ac:dyDescent="0.35">
      <c r="A1241">
        <f>Result_notebook_retravaill!A1241</f>
        <v>2038</v>
      </c>
      <c r="B1241" t="str">
        <f>Result_notebook_retravaill!B1241</f>
        <v>Graphite</v>
      </c>
      <c r="C1241" t="str">
        <f>Result_notebook_retravaill!C1241</f>
        <v>Current Measures</v>
      </c>
      <c r="D1241" t="str">
        <f>Result_notebook_retravaill!D1241</f>
        <v>Production potential</v>
      </c>
      <c r="E1241" t="str">
        <f>Result_notebook_retravaill!E1241</f>
        <v>100% CAN</v>
      </c>
      <c r="F1241" t="str">
        <f>Result_notebook_retravaill!F1241</f>
        <v>Integrated</v>
      </c>
      <c r="G1241">
        <f>Result_notebook_retravaill!G1241</f>
        <v>1181.563288191096</v>
      </c>
      <c r="H1241" s="32">
        <f>IF(Result_notebook_retravaill!I1241&gt;Result_notebook_retravaill!G1241,Result_notebook_retravaill!I1241/Result_notebook_retravaill!N1241,Result_notebook_retravaill!H1241)</f>
        <v>151540.58568370005</v>
      </c>
      <c r="I1241" s="32">
        <f>Result_notebook_retravaill!K1241</f>
        <v>0</v>
      </c>
      <c r="J1241" s="32">
        <f>MIN(G1241,Result_notebook_retravaill!I1241)</f>
        <v>1181.563288191096</v>
      </c>
      <c r="K1241" s="32">
        <f>IF(Result_notebook_retravaill!I1241&gt;Result_notebook_retravaill!G1241,0,IF(Result_notebook_retravaill!I1241+Result_notebook_retravaill!J1241&gt;Result_notebook_retravaill!G1241,Result_notebook_retravaill!G1241-Result_notebook_retravaill!I1241,Result_notebook_retravaill!J1241))</f>
        <v>0</v>
      </c>
      <c r="L1241" s="32">
        <f>IF(Result_notebook_retravaill!I1241&gt;Result_notebook_retravaill!G1241,0,IF(Result_notebook_retravaill!I1241+Result_notebook_retravaill!J1241&gt;Result_notebook_retravaill!G1241,0,Result_notebook_retravaill!M1241))</f>
        <v>0</v>
      </c>
      <c r="M1241" s="31">
        <f t="shared" si="19"/>
        <v>0</v>
      </c>
    </row>
    <row r="1242" spans="1:13" x14ac:dyDescent="0.35">
      <c r="A1242">
        <f>Result_notebook_retravaill!A1242</f>
        <v>2038</v>
      </c>
      <c r="B1242" t="str">
        <f>Result_notebook_retravaill!B1242</f>
        <v>Graphite</v>
      </c>
      <c r="C1242" t="str">
        <f>Result_notebook_retravaill!C1242</f>
        <v>Global Net-zero</v>
      </c>
      <c r="D1242" t="str">
        <f>Result_notebook_retravaill!D1242</f>
        <v>Existing production</v>
      </c>
      <c r="E1242" t="str">
        <f>Result_notebook_retravaill!E1242</f>
        <v>Current shares</v>
      </c>
      <c r="F1242" t="str">
        <f>Result_notebook_retravaill!F1242</f>
        <v>NIMBY</v>
      </c>
      <c r="G1242">
        <f>Result_notebook_retravaill!G1242</f>
        <v>3068.3631462626749</v>
      </c>
      <c r="H1242" s="32">
        <f>IF(Result_notebook_retravaill!I1242&gt;Result_notebook_retravaill!G1242,Result_notebook_retravaill!I1242/Result_notebook_retravaill!N1242,Result_notebook_retravaill!H1242)</f>
        <v>0</v>
      </c>
      <c r="I1242" s="32">
        <f>Result_notebook_retravaill!K1242</f>
        <v>3068.3631462626749</v>
      </c>
      <c r="J1242" s="32">
        <f>MIN(G1242,Result_notebook_retravaill!I1242)</f>
        <v>0</v>
      </c>
      <c r="K1242" s="32">
        <f>IF(Result_notebook_retravaill!I1242&gt;Result_notebook_retravaill!G1242,0,IF(Result_notebook_retravaill!I1242+Result_notebook_retravaill!J1242&gt;Result_notebook_retravaill!G1242,Result_notebook_retravaill!G1242-Result_notebook_retravaill!I1242,Result_notebook_retravaill!J1242))</f>
        <v>0</v>
      </c>
      <c r="L1242" s="32">
        <f>IF(Result_notebook_retravaill!I1242&gt;Result_notebook_retravaill!G1242,0,IF(Result_notebook_retravaill!I1242+Result_notebook_retravaill!J1242&gt;Result_notebook_retravaill!G1242,0,Result_notebook_retravaill!M1242))</f>
        <v>3068.3631462626749</v>
      </c>
      <c r="M1242" s="31">
        <f t="shared" si="19"/>
        <v>0</v>
      </c>
    </row>
    <row r="1243" spans="1:13" x14ac:dyDescent="0.35">
      <c r="A1243">
        <f>Result_notebook_retravaill!A1243</f>
        <v>2038</v>
      </c>
      <c r="B1243" t="str">
        <f>Result_notebook_retravaill!B1243</f>
        <v>Graphite</v>
      </c>
      <c r="C1243" t="str">
        <f>Result_notebook_retravaill!C1243</f>
        <v>Global Net-zero</v>
      </c>
      <c r="D1243" t="str">
        <f>Result_notebook_retravaill!D1243</f>
        <v>Existing production</v>
      </c>
      <c r="E1243" t="str">
        <f>Result_notebook_retravaill!E1243</f>
        <v>Current shares</v>
      </c>
      <c r="F1243" t="str">
        <f>Result_notebook_retravaill!F1243</f>
        <v>Status Quo</v>
      </c>
      <c r="G1243">
        <f>Result_notebook_retravaill!G1243</f>
        <v>3068.3631462626749</v>
      </c>
      <c r="H1243" s="32">
        <f>IF(Result_notebook_retravaill!I1243&gt;Result_notebook_retravaill!G1243,Result_notebook_retravaill!I1243/Result_notebook_retravaill!N1243,Result_notebook_retravaill!H1243)</f>
        <v>0</v>
      </c>
      <c r="I1243" s="32">
        <f>Result_notebook_retravaill!K1243</f>
        <v>3068.3631462626749</v>
      </c>
      <c r="J1243" s="32">
        <f>MIN(G1243,Result_notebook_retravaill!I1243)</f>
        <v>0</v>
      </c>
      <c r="K1243" s="32">
        <f>IF(Result_notebook_retravaill!I1243&gt;Result_notebook_retravaill!G1243,0,IF(Result_notebook_retravaill!I1243+Result_notebook_retravaill!J1243&gt;Result_notebook_retravaill!G1243,Result_notebook_retravaill!G1243-Result_notebook_retravaill!I1243,Result_notebook_retravaill!J1243))</f>
        <v>0</v>
      </c>
      <c r="L1243" s="32">
        <f>IF(Result_notebook_retravaill!I1243&gt;Result_notebook_retravaill!G1243,0,IF(Result_notebook_retravaill!I1243+Result_notebook_retravaill!J1243&gt;Result_notebook_retravaill!G1243,0,Result_notebook_retravaill!M1243))</f>
        <v>3068.3631462626749</v>
      </c>
      <c r="M1243" s="31">
        <f t="shared" si="19"/>
        <v>0</v>
      </c>
    </row>
    <row r="1244" spans="1:13" x14ac:dyDescent="0.35">
      <c r="A1244">
        <f>Result_notebook_retravaill!A1244</f>
        <v>2038</v>
      </c>
      <c r="B1244" t="str">
        <f>Result_notebook_retravaill!B1244</f>
        <v>Graphite</v>
      </c>
      <c r="C1244" t="str">
        <f>Result_notebook_retravaill!C1244</f>
        <v>Global Net-zero</v>
      </c>
      <c r="D1244" t="str">
        <f>Result_notebook_retravaill!D1244</f>
        <v>Production potential</v>
      </c>
      <c r="E1244" t="str">
        <f>Result_notebook_retravaill!E1244</f>
        <v>Current shares</v>
      </c>
      <c r="F1244" t="str">
        <f>Result_notebook_retravaill!F1244</f>
        <v>Expansion Extractive</v>
      </c>
      <c r="G1244">
        <f>Result_notebook_retravaill!G1244</f>
        <v>3068.3631462626749</v>
      </c>
      <c r="H1244" s="32">
        <f>IF(Result_notebook_retravaill!I1244&gt;Result_notebook_retravaill!G1244,Result_notebook_retravaill!I1244/Result_notebook_retravaill!N1244,Result_notebook_retravaill!H1244)</f>
        <v>151540.58568370005</v>
      </c>
      <c r="I1244" s="32">
        <f>Result_notebook_retravaill!K1244</f>
        <v>0</v>
      </c>
      <c r="J1244" s="32">
        <f>MIN(G1244,Result_notebook_retravaill!I1244)</f>
        <v>3068.3631462626749</v>
      </c>
      <c r="K1244" s="32">
        <f>IF(Result_notebook_retravaill!I1244&gt;Result_notebook_retravaill!G1244,0,IF(Result_notebook_retravaill!I1244+Result_notebook_retravaill!J1244&gt;Result_notebook_retravaill!G1244,Result_notebook_retravaill!G1244-Result_notebook_retravaill!I1244,Result_notebook_retravaill!J1244))</f>
        <v>0</v>
      </c>
      <c r="L1244" s="32">
        <f>IF(Result_notebook_retravaill!I1244&gt;Result_notebook_retravaill!G1244,0,IF(Result_notebook_retravaill!I1244+Result_notebook_retravaill!J1244&gt;Result_notebook_retravaill!G1244,0,Result_notebook_retravaill!M1244))</f>
        <v>0</v>
      </c>
      <c r="M1244" s="31">
        <f t="shared" si="19"/>
        <v>0</v>
      </c>
    </row>
    <row r="1245" spans="1:13" x14ac:dyDescent="0.35">
      <c r="A1245">
        <f>Result_notebook_retravaill!A1245</f>
        <v>2038</v>
      </c>
      <c r="B1245" t="str">
        <f>Result_notebook_retravaill!B1245</f>
        <v>Graphite</v>
      </c>
      <c r="C1245" t="str">
        <f>Result_notebook_retravaill!C1245</f>
        <v>Global Net-zero</v>
      </c>
      <c r="D1245" t="str">
        <f>Result_notebook_retravaill!D1245</f>
        <v>Production potential</v>
      </c>
      <c r="E1245" t="str">
        <f>Result_notebook_retravaill!E1245</f>
        <v>Current shares</v>
      </c>
      <c r="F1245" t="str">
        <f>Result_notebook_retravaill!F1245</f>
        <v>Expansion Extractive+Circularity</v>
      </c>
      <c r="G1245">
        <f>Result_notebook_retravaill!G1245</f>
        <v>3068.3631462626749</v>
      </c>
      <c r="H1245" s="32">
        <f>IF(Result_notebook_retravaill!I1245&gt;Result_notebook_retravaill!G1245,Result_notebook_retravaill!I1245/Result_notebook_retravaill!N1245,Result_notebook_retravaill!H1245)</f>
        <v>151540.58568370005</v>
      </c>
      <c r="I1245" s="32">
        <f>Result_notebook_retravaill!K1245</f>
        <v>0</v>
      </c>
      <c r="J1245" s="32">
        <f>MIN(G1245,Result_notebook_retravaill!I1245)</f>
        <v>3068.3631462626749</v>
      </c>
      <c r="K1245" s="32">
        <f>IF(Result_notebook_retravaill!I1245&gt;Result_notebook_retravaill!G1245,0,IF(Result_notebook_retravaill!I1245+Result_notebook_retravaill!J1245&gt;Result_notebook_retravaill!G1245,Result_notebook_retravaill!G1245-Result_notebook_retravaill!I1245,Result_notebook_retravaill!J1245))</f>
        <v>0</v>
      </c>
      <c r="L1245" s="32">
        <f>IF(Result_notebook_retravaill!I1245&gt;Result_notebook_retravaill!G1245,0,IF(Result_notebook_retravaill!I1245+Result_notebook_retravaill!J1245&gt;Result_notebook_retravaill!G1245,0,Result_notebook_retravaill!M1245))</f>
        <v>0</v>
      </c>
      <c r="M1245" s="31">
        <f t="shared" si="19"/>
        <v>0</v>
      </c>
    </row>
    <row r="1246" spans="1:13" x14ac:dyDescent="0.35">
      <c r="A1246">
        <f>Result_notebook_retravaill!A1246</f>
        <v>2038</v>
      </c>
      <c r="B1246" t="str">
        <f>Result_notebook_retravaill!B1246</f>
        <v>Graphite</v>
      </c>
      <c r="C1246" t="str">
        <f>Result_notebook_retravaill!C1246</f>
        <v>Global Net-zero</v>
      </c>
      <c r="D1246" t="str">
        <f>Result_notebook_retravaill!D1246</f>
        <v>Production potential</v>
      </c>
      <c r="E1246" t="str">
        <f>Result_notebook_retravaill!E1246</f>
        <v>100% CAN</v>
      </c>
      <c r="F1246" t="str">
        <f>Result_notebook_retravaill!F1246</f>
        <v>Integrated</v>
      </c>
      <c r="G1246">
        <f>Result_notebook_retravaill!G1246</f>
        <v>3068.3631462626749</v>
      </c>
      <c r="H1246" s="32">
        <f>IF(Result_notebook_retravaill!I1246&gt;Result_notebook_retravaill!G1246,Result_notebook_retravaill!I1246/Result_notebook_retravaill!N1246,Result_notebook_retravaill!H1246)</f>
        <v>151540.58568370005</v>
      </c>
      <c r="I1246" s="32">
        <f>Result_notebook_retravaill!K1246</f>
        <v>0</v>
      </c>
      <c r="J1246" s="32">
        <f>MIN(G1246,Result_notebook_retravaill!I1246)</f>
        <v>3068.3631462626749</v>
      </c>
      <c r="K1246" s="32">
        <f>IF(Result_notebook_retravaill!I1246&gt;Result_notebook_retravaill!G1246,0,IF(Result_notebook_retravaill!I1246+Result_notebook_retravaill!J1246&gt;Result_notebook_retravaill!G1246,Result_notebook_retravaill!G1246-Result_notebook_retravaill!I1246,Result_notebook_retravaill!J1246))</f>
        <v>0</v>
      </c>
      <c r="L1246" s="32">
        <f>IF(Result_notebook_retravaill!I1246&gt;Result_notebook_retravaill!G1246,0,IF(Result_notebook_retravaill!I1246+Result_notebook_retravaill!J1246&gt;Result_notebook_retravaill!G1246,0,Result_notebook_retravaill!M1246))</f>
        <v>0</v>
      </c>
      <c r="M1246" s="31">
        <f t="shared" si="19"/>
        <v>0</v>
      </c>
    </row>
    <row r="1247" spans="1:13" x14ac:dyDescent="0.35">
      <c r="A1247">
        <f>Result_notebook_retravaill!A1247</f>
        <v>2038</v>
      </c>
      <c r="B1247" t="str">
        <f>Result_notebook_retravaill!B1247</f>
        <v>Lithium</v>
      </c>
      <c r="C1247" t="str">
        <f>Result_notebook_retravaill!C1247</f>
        <v>Canada Net-zero</v>
      </c>
      <c r="D1247" t="str">
        <f>Result_notebook_retravaill!D1247</f>
        <v>Existing production</v>
      </c>
      <c r="E1247" t="str">
        <f>Result_notebook_retravaill!E1247</f>
        <v>Current shares</v>
      </c>
      <c r="F1247" t="str">
        <f>Result_notebook_retravaill!F1247</f>
        <v>NIMBY</v>
      </c>
      <c r="G1247">
        <f>Result_notebook_retravaill!G1247</f>
        <v>78705.260511419096</v>
      </c>
      <c r="H1247" s="32">
        <f>IF(Result_notebook_retravaill!I1247&gt;Result_notebook_retravaill!G1247,Result_notebook_retravaill!I1247/Result_notebook_retravaill!N1247,Result_notebook_retravaill!H1247)</f>
        <v>0</v>
      </c>
      <c r="I1247" s="32">
        <f>Result_notebook_retravaill!K1247</f>
        <v>112436.08644488439</v>
      </c>
      <c r="J1247" s="32">
        <f>MIN(G1247,Result_notebook_retravaill!I1247)</f>
        <v>0</v>
      </c>
      <c r="K1247" s="32">
        <f>IF(Result_notebook_retravaill!I1247&gt;Result_notebook_retravaill!G1247,0,IF(Result_notebook_retravaill!I1247+Result_notebook_retravaill!J1247&gt;Result_notebook_retravaill!G1247,Result_notebook_retravaill!G1247-Result_notebook_retravaill!I1247,Result_notebook_retravaill!J1247))</f>
        <v>0</v>
      </c>
      <c r="L1247" s="32">
        <f>IF(Result_notebook_retravaill!I1247&gt;Result_notebook_retravaill!G1247,0,IF(Result_notebook_retravaill!I1247+Result_notebook_retravaill!J1247&gt;Result_notebook_retravaill!G1247,0,Result_notebook_retravaill!M1247))</f>
        <v>78705.260511419096</v>
      </c>
      <c r="M1247" s="31">
        <f t="shared" si="19"/>
        <v>0</v>
      </c>
    </row>
    <row r="1248" spans="1:13" x14ac:dyDescent="0.35">
      <c r="A1248">
        <f>Result_notebook_retravaill!A1248</f>
        <v>2038</v>
      </c>
      <c r="B1248" t="str">
        <f>Result_notebook_retravaill!B1248</f>
        <v>Lithium</v>
      </c>
      <c r="C1248" t="str">
        <f>Result_notebook_retravaill!C1248</f>
        <v>Canada Net-zero</v>
      </c>
      <c r="D1248" t="str">
        <f>Result_notebook_retravaill!D1248</f>
        <v>Existing production</v>
      </c>
      <c r="E1248" t="str">
        <f>Result_notebook_retravaill!E1248</f>
        <v>Current shares</v>
      </c>
      <c r="F1248" t="str">
        <f>Result_notebook_retravaill!F1248</f>
        <v>Status Quo</v>
      </c>
      <c r="G1248">
        <f>Result_notebook_retravaill!G1248</f>
        <v>78705.260511419096</v>
      </c>
      <c r="H1248" s="32">
        <f>IF(Result_notebook_retravaill!I1248&gt;Result_notebook_retravaill!G1248,Result_notebook_retravaill!I1248/Result_notebook_retravaill!N1248,Result_notebook_retravaill!H1248)</f>
        <v>42575</v>
      </c>
      <c r="I1248" s="32">
        <f>Result_notebook_retravaill!K1248</f>
        <v>69861.086444884422</v>
      </c>
      <c r="J1248" s="32">
        <f>MIN(G1248,Result_notebook_retravaill!I1248)</f>
        <v>29767.182799229071</v>
      </c>
      <c r="K1248" s="32">
        <f>IF(Result_notebook_retravaill!I1248&gt;Result_notebook_retravaill!G1248,0,IF(Result_notebook_retravaill!I1248+Result_notebook_retravaill!J1248&gt;Result_notebook_retravaill!G1248,Result_notebook_retravaill!G1248-Result_notebook_retravaill!I1248,Result_notebook_retravaill!J1248))</f>
        <v>3762.97119197141</v>
      </c>
      <c r="L1248" s="32">
        <f>IF(Result_notebook_retravaill!I1248&gt;Result_notebook_retravaill!G1248,0,IF(Result_notebook_retravaill!I1248+Result_notebook_retravaill!J1248&gt;Result_notebook_retravaill!G1248,0,Result_notebook_retravaill!M1248))</f>
        <v>45175.106520218607</v>
      </c>
      <c r="M1248" s="31">
        <f t="shared" si="19"/>
        <v>0</v>
      </c>
    </row>
    <row r="1249" spans="1:13" x14ac:dyDescent="0.35">
      <c r="A1249">
        <f>Result_notebook_retravaill!A1249</f>
        <v>2038</v>
      </c>
      <c r="B1249" t="str">
        <f>Result_notebook_retravaill!B1249</f>
        <v>Lithium</v>
      </c>
      <c r="C1249" t="str">
        <f>Result_notebook_retravaill!C1249</f>
        <v>Canada Net-zero</v>
      </c>
      <c r="D1249" t="str">
        <f>Result_notebook_retravaill!D1249</f>
        <v>Production potential</v>
      </c>
      <c r="E1249" t="str">
        <f>Result_notebook_retravaill!E1249</f>
        <v>Current shares</v>
      </c>
      <c r="F1249" t="str">
        <f>Result_notebook_retravaill!F1249</f>
        <v>Expansion Extractive</v>
      </c>
      <c r="G1249">
        <f>Result_notebook_retravaill!G1249</f>
        <v>78705.260511419096</v>
      </c>
      <c r="H1249" s="32">
        <f>IF(Result_notebook_retravaill!I1249&gt;Result_notebook_retravaill!G1249,Result_notebook_retravaill!I1249/Result_notebook_retravaill!N1249,Result_notebook_retravaill!H1249)</f>
        <v>307418.11108052242</v>
      </c>
      <c r="I1249" s="32">
        <f>Result_notebook_retravaill!K1249</f>
        <v>0</v>
      </c>
      <c r="J1249" s="32">
        <f>MIN(G1249,Result_notebook_retravaill!I1249)</f>
        <v>78705.260511419096</v>
      </c>
      <c r="K1249" s="32">
        <f>IF(Result_notebook_retravaill!I1249&gt;Result_notebook_retravaill!G1249,0,IF(Result_notebook_retravaill!I1249+Result_notebook_retravaill!J1249&gt;Result_notebook_retravaill!G1249,Result_notebook_retravaill!G1249-Result_notebook_retravaill!I1249,Result_notebook_retravaill!J1249))</f>
        <v>0</v>
      </c>
      <c r="L1249" s="32">
        <f>IF(Result_notebook_retravaill!I1249&gt;Result_notebook_retravaill!G1249,0,IF(Result_notebook_retravaill!I1249+Result_notebook_retravaill!J1249&gt;Result_notebook_retravaill!G1249,0,Result_notebook_retravaill!M1249))</f>
        <v>0</v>
      </c>
      <c r="M1249" s="31">
        <f t="shared" si="19"/>
        <v>0</v>
      </c>
    </row>
    <row r="1250" spans="1:13" x14ac:dyDescent="0.35">
      <c r="A1250">
        <f>Result_notebook_retravaill!A1250</f>
        <v>2038</v>
      </c>
      <c r="B1250" t="str">
        <f>Result_notebook_retravaill!B1250</f>
        <v>Lithium</v>
      </c>
      <c r="C1250" t="str">
        <f>Result_notebook_retravaill!C1250</f>
        <v>Canada Net-zero</v>
      </c>
      <c r="D1250" t="str">
        <f>Result_notebook_retravaill!D1250</f>
        <v>Production potential</v>
      </c>
      <c r="E1250" t="str">
        <f>Result_notebook_retravaill!E1250</f>
        <v>Current shares</v>
      </c>
      <c r="F1250" t="str">
        <f>Result_notebook_retravaill!F1250</f>
        <v>Expansion Extractive+Circularity</v>
      </c>
      <c r="G1250">
        <f>Result_notebook_retravaill!G1250</f>
        <v>78705.260511419096</v>
      </c>
      <c r="H1250" s="32">
        <f>IF(Result_notebook_retravaill!I1250&gt;Result_notebook_retravaill!G1250,Result_notebook_retravaill!I1250/Result_notebook_retravaill!N1250,Result_notebook_retravaill!H1250)</f>
        <v>307418.11108052242</v>
      </c>
      <c r="I1250" s="32">
        <f>Result_notebook_retravaill!K1250</f>
        <v>0</v>
      </c>
      <c r="J1250" s="32">
        <f>MIN(G1250,Result_notebook_retravaill!I1250)</f>
        <v>78705.260511419096</v>
      </c>
      <c r="K1250" s="32">
        <f>IF(Result_notebook_retravaill!I1250&gt;Result_notebook_retravaill!G1250,0,IF(Result_notebook_retravaill!I1250+Result_notebook_retravaill!J1250&gt;Result_notebook_retravaill!G1250,Result_notebook_retravaill!G1250-Result_notebook_retravaill!I1250,Result_notebook_retravaill!J1250))</f>
        <v>0</v>
      </c>
      <c r="L1250" s="32">
        <f>IF(Result_notebook_retravaill!I1250&gt;Result_notebook_retravaill!G1250,0,IF(Result_notebook_retravaill!I1250+Result_notebook_retravaill!J1250&gt;Result_notebook_retravaill!G1250,0,Result_notebook_retravaill!M1250))</f>
        <v>0</v>
      </c>
      <c r="M1250" s="31">
        <f t="shared" si="19"/>
        <v>0</v>
      </c>
    </row>
    <row r="1251" spans="1:13" x14ac:dyDescent="0.35">
      <c r="A1251">
        <f>Result_notebook_retravaill!A1251</f>
        <v>2038</v>
      </c>
      <c r="B1251" t="str">
        <f>Result_notebook_retravaill!B1251</f>
        <v>Lithium</v>
      </c>
      <c r="C1251" t="str">
        <f>Result_notebook_retravaill!C1251</f>
        <v>Canada Net-zero</v>
      </c>
      <c r="D1251" t="str">
        <f>Result_notebook_retravaill!D1251</f>
        <v>Production potential</v>
      </c>
      <c r="E1251" t="str">
        <f>Result_notebook_retravaill!E1251</f>
        <v>100% CAN</v>
      </c>
      <c r="F1251" t="str">
        <f>Result_notebook_retravaill!F1251</f>
        <v>Integrated</v>
      </c>
      <c r="G1251">
        <f>Result_notebook_retravaill!G1251</f>
        <v>78705.260511419096</v>
      </c>
      <c r="H1251" s="32">
        <f>IF(Result_notebook_retravaill!I1251&gt;Result_notebook_retravaill!G1251,Result_notebook_retravaill!I1251/Result_notebook_retravaill!N1251,Result_notebook_retravaill!H1251)</f>
        <v>307418.11108052242</v>
      </c>
      <c r="I1251" s="32">
        <f>Result_notebook_retravaill!K1251</f>
        <v>0</v>
      </c>
      <c r="J1251" s="32">
        <f>MIN(G1251,Result_notebook_retravaill!I1251)</f>
        <v>78705.260511419096</v>
      </c>
      <c r="K1251" s="32">
        <f>IF(Result_notebook_retravaill!I1251&gt;Result_notebook_retravaill!G1251,0,IF(Result_notebook_retravaill!I1251+Result_notebook_retravaill!J1251&gt;Result_notebook_retravaill!G1251,Result_notebook_retravaill!G1251-Result_notebook_retravaill!I1251,Result_notebook_retravaill!J1251))</f>
        <v>0</v>
      </c>
      <c r="L1251" s="32">
        <f>IF(Result_notebook_retravaill!I1251&gt;Result_notebook_retravaill!G1251,0,IF(Result_notebook_retravaill!I1251+Result_notebook_retravaill!J1251&gt;Result_notebook_retravaill!G1251,0,Result_notebook_retravaill!M1251))</f>
        <v>0</v>
      </c>
      <c r="M1251" s="31">
        <f t="shared" si="19"/>
        <v>0</v>
      </c>
    </row>
    <row r="1252" spans="1:13" x14ac:dyDescent="0.35">
      <c r="A1252">
        <f>Result_notebook_retravaill!A1252</f>
        <v>2038</v>
      </c>
      <c r="B1252" t="str">
        <f>Result_notebook_retravaill!B1252</f>
        <v>Lithium</v>
      </c>
      <c r="C1252" t="str">
        <f>Result_notebook_retravaill!C1252</f>
        <v>Current Measures</v>
      </c>
      <c r="D1252" t="str">
        <f>Result_notebook_retravaill!D1252</f>
        <v>Existing production</v>
      </c>
      <c r="E1252" t="str">
        <f>Result_notebook_retravaill!E1252</f>
        <v>Current shares</v>
      </c>
      <c r="F1252" t="str">
        <f>Result_notebook_retravaill!F1252</f>
        <v>NIMBY</v>
      </c>
      <c r="G1252">
        <f>Result_notebook_retravaill!G1252</f>
        <v>28899.636790896191</v>
      </c>
      <c r="H1252" s="32">
        <f>IF(Result_notebook_retravaill!I1252&gt;Result_notebook_retravaill!G1252,Result_notebook_retravaill!I1252/Result_notebook_retravaill!N1252,Result_notebook_retravaill!H1252)</f>
        <v>0</v>
      </c>
      <c r="I1252" s="32">
        <f>Result_notebook_retravaill!K1252</f>
        <v>41285.195415565991</v>
      </c>
      <c r="J1252" s="32">
        <f>MIN(G1252,Result_notebook_retravaill!I1252)</f>
        <v>0</v>
      </c>
      <c r="K1252" s="32">
        <f>IF(Result_notebook_retravaill!I1252&gt;Result_notebook_retravaill!G1252,0,IF(Result_notebook_retravaill!I1252+Result_notebook_retravaill!J1252&gt;Result_notebook_retravaill!G1252,Result_notebook_retravaill!G1252-Result_notebook_retravaill!I1252,Result_notebook_retravaill!J1252))</f>
        <v>0</v>
      </c>
      <c r="L1252" s="32">
        <f>IF(Result_notebook_retravaill!I1252&gt;Result_notebook_retravaill!G1252,0,IF(Result_notebook_retravaill!I1252+Result_notebook_retravaill!J1252&gt;Result_notebook_retravaill!G1252,0,Result_notebook_retravaill!M1252))</f>
        <v>28899.636790896191</v>
      </c>
      <c r="M1252" s="31">
        <f t="shared" si="19"/>
        <v>0</v>
      </c>
    </row>
    <row r="1253" spans="1:13" x14ac:dyDescent="0.35">
      <c r="A1253">
        <f>Result_notebook_retravaill!A1253</f>
        <v>2038</v>
      </c>
      <c r="B1253" t="str">
        <f>Result_notebook_retravaill!B1253</f>
        <v>Lithium</v>
      </c>
      <c r="C1253" t="str">
        <f>Result_notebook_retravaill!C1253</f>
        <v>Current Measures</v>
      </c>
      <c r="D1253" t="str">
        <f>Result_notebook_retravaill!D1253</f>
        <v>Existing production</v>
      </c>
      <c r="E1253" t="str">
        <f>Result_notebook_retravaill!E1253</f>
        <v>Current shares</v>
      </c>
      <c r="F1253" t="str">
        <f>Result_notebook_retravaill!F1253</f>
        <v>Status Quo</v>
      </c>
      <c r="G1253">
        <f>Result_notebook_retravaill!G1253</f>
        <v>28899.636790896191</v>
      </c>
      <c r="H1253" s="32">
        <f>IF(Result_notebook_retravaill!I1253&gt;Result_notebook_retravaill!G1253,Result_notebook_retravaill!I1253/Result_notebook_retravaill!N1253,Result_notebook_retravaill!H1253)</f>
        <v>37796.957568693921</v>
      </c>
      <c r="I1253" s="32">
        <f>Result_notebook_retravaill!K1253</f>
        <v>0</v>
      </c>
      <c r="J1253" s="32">
        <f>MIN(G1253,Result_notebook_retravaill!I1253)</f>
        <v>28899.636790896191</v>
      </c>
      <c r="K1253" s="32">
        <f>IF(Result_notebook_retravaill!I1253&gt;Result_notebook_retravaill!G1253,0,IF(Result_notebook_retravaill!I1253+Result_notebook_retravaill!J1253&gt;Result_notebook_retravaill!G1253,Result_notebook_retravaill!G1253-Result_notebook_retravaill!I1253,Result_notebook_retravaill!J1253))</f>
        <v>0</v>
      </c>
      <c r="L1253" s="32">
        <f>IF(Result_notebook_retravaill!I1253&gt;Result_notebook_retravaill!G1253,0,IF(Result_notebook_retravaill!I1253+Result_notebook_retravaill!J1253&gt;Result_notebook_retravaill!G1253,0,Result_notebook_retravaill!M1253))</f>
        <v>0</v>
      </c>
      <c r="M1253" s="31">
        <f t="shared" si="19"/>
        <v>0</v>
      </c>
    </row>
    <row r="1254" spans="1:13" x14ac:dyDescent="0.35">
      <c r="A1254">
        <f>Result_notebook_retravaill!A1254</f>
        <v>2038</v>
      </c>
      <c r="B1254" t="str">
        <f>Result_notebook_retravaill!B1254</f>
        <v>Lithium</v>
      </c>
      <c r="C1254" t="str">
        <f>Result_notebook_retravaill!C1254</f>
        <v>Current Measures</v>
      </c>
      <c r="D1254" t="str">
        <f>Result_notebook_retravaill!D1254</f>
        <v>Production potential</v>
      </c>
      <c r="E1254" t="str">
        <f>Result_notebook_retravaill!E1254</f>
        <v>Current shares</v>
      </c>
      <c r="F1254" t="str">
        <f>Result_notebook_retravaill!F1254</f>
        <v>Expansion Extractive</v>
      </c>
      <c r="G1254">
        <f>Result_notebook_retravaill!G1254</f>
        <v>28899.636790896191</v>
      </c>
      <c r="H1254" s="32">
        <f>IF(Result_notebook_retravaill!I1254&gt;Result_notebook_retravaill!G1254,Result_notebook_retravaill!I1254/Result_notebook_retravaill!N1254,Result_notebook_retravaill!H1254)</f>
        <v>307418.11108052242</v>
      </c>
      <c r="I1254" s="32">
        <f>Result_notebook_retravaill!K1254</f>
        <v>0</v>
      </c>
      <c r="J1254" s="32">
        <f>MIN(G1254,Result_notebook_retravaill!I1254)</f>
        <v>28899.636790896191</v>
      </c>
      <c r="K1254" s="32">
        <f>IF(Result_notebook_retravaill!I1254&gt;Result_notebook_retravaill!G1254,0,IF(Result_notebook_retravaill!I1254+Result_notebook_retravaill!J1254&gt;Result_notebook_retravaill!G1254,Result_notebook_retravaill!G1254-Result_notebook_retravaill!I1254,Result_notebook_retravaill!J1254))</f>
        <v>0</v>
      </c>
      <c r="L1254" s="32">
        <f>IF(Result_notebook_retravaill!I1254&gt;Result_notebook_retravaill!G1254,0,IF(Result_notebook_retravaill!I1254+Result_notebook_retravaill!J1254&gt;Result_notebook_retravaill!G1254,0,Result_notebook_retravaill!M1254))</f>
        <v>0</v>
      </c>
      <c r="M1254" s="31">
        <f t="shared" si="19"/>
        <v>0</v>
      </c>
    </row>
    <row r="1255" spans="1:13" x14ac:dyDescent="0.35">
      <c r="A1255">
        <f>Result_notebook_retravaill!A1255</f>
        <v>2038</v>
      </c>
      <c r="B1255" t="str">
        <f>Result_notebook_retravaill!B1255</f>
        <v>Lithium</v>
      </c>
      <c r="C1255" t="str">
        <f>Result_notebook_retravaill!C1255</f>
        <v>Current Measures</v>
      </c>
      <c r="D1255" t="str">
        <f>Result_notebook_retravaill!D1255</f>
        <v>Production potential</v>
      </c>
      <c r="E1255" t="str">
        <f>Result_notebook_retravaill!E1255</f>
        <v>Current shares</v>
      </c>
      <c r="F1255" t="str">
        <f>Result_notebook_retravaill!F1255</f>
        <v>Expansion Extractive+Circularity</v>
      </c>
      <c r="G1255">
        <f>Result_notebook_retravaill!G1255</f>
        <v>28899.636790896191</v>
      </c>
      <c r="H1255" s="32">
        <f>IF(Result_notebook_retravaill!I1255&gt;Result_notebook_retravaill!G1255,Result_notebook_retravaill!I1255/Result_notebook_retravaill!N1255,Result_notebook_retravaill!H1255)</f>
        <v>307418.11108052242</v>
      </c>
      <c r="I1255" s="32">
        <f>Result_notebook_retravaill!K1255</f>
        <v>0</v>
      </c>
      <c r="J1255" s="32">
        <f>MIN(G1255,Result_notebook_retravaill!I1255)</f>
        <v>28899.636790896191</v>
      </c>
      <c r="K1255" s="32">
        <f>IF(Result_notebook_retravaill!I1255&gt;Result_notebook_retravaill!G1255,0,IF(Result_notebook_retravaill!I1255+Result_notebook_retravaill!J1255&gt;Result_notebook_retravaill!G1255,Result_notebook_retravaill!G1255-Result_notebook_retravaill!I1255,Result_notebook_retravaill!J1255))</f>
        <v>0</v>
      </c>
      <c r="L1255" s="32">
        <f>IF(Result_notebook_retravaill!I1255&gt;Result_notebook_retravaill!G1255,0,IF(Result_notebook_retravaill!I1255+Result_notebook_retravaill!J1255&gt;Result_notebook_retravaill!G1255,0,Result_notebook_retravaill!M1255))</f>
        <v>0</v>
      </c>
      <c r="M1255" s="31">
        <f t="shared" si="19"/>
        <v>0</v>
      </c>
    </row>
    <row r="1256" spans="1:13" x14ac:dyDescent="0.35">
      <c r="A1256">
        <f>Result_notebook_retravaill!A1256</f>
        <v>2038</v>
      </c>
      <c r="B1256" t="str">
        <f>Result_notebook_retravaill!B1256</f>
        <v>Lithium</v>
      </c>
      <c r="C1256" t="str">
        <f>Result_notebook_retravaill!C1256</f>
        <v>Current Measures</v>
      </c>
      <c r="D1256" t="str">
        <f>Result_notebook_retravaill!D1256</f>
        <v>Production potential</v>
      </c>
      <c r="E1256" t="str">
        <f>Result_notebook_retravaill!E1256</f>
        <v>100% CAN</v>
      </c>
      <c r="F1256" t="str">
        <f>Result_notebook_retravaill!F1256</f>
        <v>Integrated</v>
      </c>
      <c r="G1256">
        <f>Result_notebook_retravaill!G1256</f>
        <v>28899.636790896191</v>
      </c>
      <c r="H1256" s="32">
        <f>IF(Result_notebook_retravaill!I1256&gt;Result_notebook_retravaill!G1256,Result_notebook_retravaill!I1256/Result_notebook_retravaill!N1256,Result_notebook_retravaill!H1256)</f>
        <v>307418.11108052242</v>
      </c>
      <c r="I1256" s="32">
        <f>Result_notebook_retravaill!K1256</f>
        <v>0</v>
      </c>
      <c r="J1256" s="32">
        <f>MIN(G1256,Result_notebook_retravaill!I1256)</f>
        <v>28899.636790896191</v>
      </c>
      <c r="K1256" s="32">
        <f>IF(Result_notebook_retravaill!I1256&gt;Result_notebook_retravaill!G1256,0,IF(Result_notebook_retravaill!I1256+Result_notebook_retravaill!J1256&gt;Result_notebook_retravaill!G1256,Result_notebook_retravaill!G1256-Result_notebook_retravaill!I1256,Result_notebook_retravaill!J1256))</f>
        <v>0</v>
      </c>
      <c r="L1256" s="32">
        <f>IF(Result_notebook_retravaill!I1256&gt;Result_notebook_retravaill!G1256,0,IF(Result_notebook_retravaill!I1256+Result_notebook_retravaill!J1256&gt;Result_notebook_retravaill!G1256,0,Result_notebook_retravaill!M1256))</f>
        <v>0</v>
      </c>
      <c r="M1256" s="31">
        <f t="shared" si="19"/>
        <v>0</v>
      </c>
    </row>
    <row r="1257" spans="1:13" x14ac:dyDescent="0.35">
      <c r="A1257">
        <f>Result_notebook_retravaill!A1257</f>
        <v>2038</v>
      </c>
      <c r="B1257" t="str">
        <f>Result_notebook_retravaill!B1257</f>
        <v>Lithium</v>
      </c>
      <c r="C1257" t="str">
        <f>Result_notebook_retravaill!C1257</f>
        <v>Global Net-zero</v>
      </c>
      <c r="D1257" t="str">
        <f>Result_notebook_retravaill!D1257</f>
        <v>Existing production</v>
      </c>
      <c r="E1257" t="str">
        <f>Result_notebook_retravaill!E1257</f>
        <v>Current shares</v>
      </c>
      <c r="F1257" t="str">
        <f>Result_notebook_retravaill!F1257</f>
        <v>NIMBY</v>
      </c>
      <c r="G1257">
        <f>Result_notebook_retravaill!G1257</f>
        <v>75048.523727678054</v>
      </c>
      <c r="H1257" s="32">
        <f>IF(Result_notebook_retravaill!I1257&gt;Result_notebook_retravaill!G1257,Result_notebook_retravaill!I1257/Result_notebook_retravaill!N1257,Result_notebook_retravaill!H1257)</f>
        <v>0</v>
      </c>
      <c r="I1257" s="32">
        <f>Result_notebook_retravaill!K1257</f>
        <v>107212.1767538258</v>
      </c>
      <c r="J1257" s="32">
        <f>MIN(G1257,Result_notebook_retravaill!I1257)</f>
        <v>0</v>
      </c>
      <c r="K1257" s="32">
        <f>IF(Result_notebook_retravaill!I1257&gt;Result_notebook_retravaill!G1257,0,IF(Result_notebook_retravaill!I1257+Result_notebook_retravaill!J1257&gt;Result_notebook_retravaill!G1257,Result_notebook_retravaill!G1257-Result_notebook_retravaill!I1257,Result_notebook_retravaill!J1257))</f>
        <v>0</v>
      </c>
      <c r="L1257" s="32">
        <f>IF(Result_notebook_retravaill!I1257&gt;Result_notebook_retravaill!G1257,0,IF(Result_notebook_retravaill!I1257+Result_notebook_retravaill!J1257&gt;Result_notebook_retravaill!G1257,0,Result_notebook_retravaill!M1257))</f>
        <v>75048.523727678054</v>
      </c>
      <c r="M1257" s="31">
        <f t="shared" si="19"/>
        <v>0</v>
      </c>
    </row>
    <row r="1258" spans="1:13" x14ac:dyDescent="0.35">
      <c r="A1258">
        <f>Result_notebook_retravaill!A1258</f>
        <v>2038</v>
      </c>
      <c r="B1258" t="str">
        <f>Result_notebook_retravaill!B1258</f>
        <v>Lithium</v>
      </c>
      <c r="C1258" t="str">
        <f>Result_notebook_retravaill!C1258</f>
        <v>Global Net-zero</v>
      </c>
      <c r="D1258" t="str">
        <f>Result_notebook_retravaill!D1258</f>
        <v>Existing production</v>
      </c>
      <c r="E1258" t="str">
        <f>Result_notebook_retravaill!E1258</f>
        <v>Current shares</v>
      </c>
      <c r="F1258" t="str">
        <f>Result_notebook_retravaill!F1258</f>
        <v>Status Quo</v>
      </c>
      <c r="G1258">
        <f>Result_notebook_retravaill!G1258</f>
        <v>75048.523727678054</v>
      </c>
      <c r="H1258" s="32">
        <f>IF(Result_notebook_retravaill!I1258&gt;Result_notebook_retravaill!G1258,Result_notebook_retravaill!I1258/Result_notebook_retravaill!N1258,Result_notebook_retravaill!H1258)</f>
        <v>42575</v>
      </c>
      <c r="I1258" s="32">
        <f>Result_notebook_retravaill!K1258</f>
        <v>64637.176753825799</v>
      </c>
      <c r="J1258" s="32">
        <f>MIN(G1258,Result_notebook_retravaill!I1258)</f>
        <v>29767.182799229071</v>
      </c>
      <c r="K1258" s="32">
        <f>IF(Result_notebook_retravaill!I1258&gt;Result_notebook_retravaill!G1258,0,IF(Result_notebook_retravaill!I1258+Result_notebook_retravaill!J1258&gt;Result_notebook_retravaill!G1258,Result_notebook_retravaill!G1258-Result_notebook_retravaill!I1258,Result_notebook_retravaill!J1258))</f>
        <v>3762.97119197141</v>
      </c>
      <c r="L1258" s="32">
        <f>IF(Result_notebook_retravaill!I1258&gt;Result_notebook_retravaill!G1258,0,IF(Result_notebook_retravaill!I1258+Result_notebook_retravaill!J1258&gt;Result_notebook_retravaill!G1258,0,Result_notebook_retravaill!M1258))</f>
        <v>41518.369736477573</v>
      </c>
      <c r="M1258" s="31">
        <f t="shared" si="19"/>
        <v>0</v>
      </c>
    </row>
    <row r="1259" spans="1:13" x14ac:dyDescent="0.35">
      <c r="A1259">
        <f>Result_notebook_retravaill!A1259</f>
        <v>2038</v>
      </c>
      <c r="B1259" t="str">
        <f>Result_notebook_retravaill!B1259</f>
        <v>Lithium</v>
      </c>
      <c r="C1259" t="str">
        <f>Result_notebook_retravaill!C1259</f>
        <v>Global Net-zero</v>
      </c>
      <c r="D1259" t="str">
        <f>Result_notebook_retravaill!D1259</f>
        <v>Production potential</v>
      </c>
      <c r="E1259" t="str">
        <f>Result_notebook_retravaill!E1259</f>
        <v>Current shares</v>
      </c>
      <c r="F1259" t="str">
        <f>Result_notebook_retravaill!F1259</f>
        <v>Expansion Extractive</v>
      </c>
      <c r="G1259">
        <f>Result_notebook_retravaill!G1259</f>
        <v>75048.523727678054</v>
      </c>
      <c r="H1259" s="32">
        <f>IF(Result_notebook_retravaill!I1259&gt;Result_notebook_retravaill!G1259,Result_notebook_retravaill!I1259/Result_notebook_retravaill!N1259,Result_notebook_retravaill!H1259)</f>
        <v>307418.11108052242</v>
      </c>
      <c r="I1259" s="32">
        <f>Result_notebook_retravaill!K1259</f>
        <v>0</v>
      </c>
      <c r="J1259" s="32">
        <f>MIN(G1259,Result_notebook_retravaill!I1259)</f>
        <v>75048.523727678054</v>
      </c>
      <c r="K1259" s="32">
        <f>IF(Result_notebook_retravaill!I1259&gt;Result_notebook_retravaill!G1259,0,IF(Result_notebook_retravaill!I1259+Result_notebook_retravaill!J1259&gt;Result_notebook_retravaill!G1259,Result_notebook_retravaill!G1259-Result_notebook_retravaill!I1259,Result_notebook_retravaill!J1259))</f>
        <v>0</v>
      </c>
      <c r="L1259" s="32">
        <f>IF(Result_notebook_retravaill!I1259&gt;Result_notebook_retravaill!G1259,0,IF(Result_notebook_retravaill!I1259+Result_notebook_retravaill!J1259&gt;Result_notebook_retravaill!G1259,0,Result_notebook_retravaill!M1259))</f>
        <v>0</v>
      </c>
      <c r="M1259" s="31">
        <f t="shared" si="19"/>
        <v>0</v>
      </c>
    </row>
    <row r="1260" spans="1:13" x14ac:dyDescent="0.35">
      <c r="A1260">
        <f>Result_notebook_retravaill!A1260</f>
        <v>2038</v>
      </c>
      <c r="B1260" t="str">
        <f>Result_notebook_retravaill!B1260</f>
        <v>Lithium</v>
      </c>
      <c r="C1260" t="str">
        <f>Result_notebook_retravaill!C1260</f>
        <v>Global Net-zero</v>
      </c>
      <c r="D1260" t="str">
        <f>Result_notebook_retravaill!D1260</f>
        <v>Production potential</v>
      </c>
      <c r="E1260" t="str">
        <f>Result_notebook_retravaill!E1260</f>
        <v>Current shares</v>
      </c>
      <c r="F1260" t="str">
        <f>Result_notebook_retravaill!F1260</f>
        <v>Expansion Extractive+Circularity</v>
      </c>
      <c r="G1260">
        <f>Result_notebook_retravaill!G1260</f>
        <v>75048.523727678054</v>
      </c>
      <c r="H1260" s="32">
        <f>IF(Result_notebook_retravaill!I1260&gt;Result_notebook_retravaill!G1260,Result_notebook_retravaill!I1260/Result_notebook_retravaill!N1260,Result_notebook_retravaill!H1260)</f>
        <v>307418.11108052242</v>
      </c>
      <c r="I1260" s="32">
        <f>Result_notebook_retravaill!K1260</f>
        <v>0</v>
      </c>
      <c r="J1260" s="32">
        <f>MIN(G1260,Result_notebook_retravaill!I1260)</f>
        <v>75048.523727678054</v>
      </c>
      <c r="K1260" s="32">
        <f>IF(Result_notebook_retravaill!I1260&gt;Result_notebook_retravaill!G1260,0,IF(Result_notebook_retravaill!I1260+Result_notebook_retravaill!J1260&gt;Result_notebook_retravaill!G1260,Result_notebook_retravaill!G1260-Result_notebook_retravaill!I1260,Result_notebook_retravaill!J1260))</f>
        <v>0</v>
      </c>
      <c r="L1260" s="32">
        <f>IF(Result_notebook_retravaill!I1260&gt;Result_notebook_retravaill!G1260,0,IF(Result_notebook_retravaill!I1260+Result_notebook_retravaill!J1260&gt;Result_notebook_retravaill!G1260,0,Result_notebook_retravaill!M1260))</f>
        <v>0</v>
      </c>
      <c r="M1260" s="31">
        <f t="shared" si="19"/>
        <v>0</v>
      </c>
    </row>
    <row r="1261" spans="1:13" x14ac:dyDescent="0.35">
      <c r="A1261">
        <f>Result_notebook_retravaill!A1261</f>
        <v>2038</v>
      </c>
      <c r="B1261" t="str">
        <f>Result_notebook_retravaill!B1261</f>
        <v>Lithium</v>
      </c>
      <c r="C1261" t="str">
        <f>Result_notebook_retravaill!C1261</f>
        <v>Global Net-zero</v>
      </c>
      <c r="D1261" t="str">
        <f>Result_notebook_retravaill!D1261</f>
        <v>Production potential</v>
      </c>
      <c r="E1261" t="str">
        <f>Result_notebook_retravaill!E1261</f>
        <v>100% CAN</v>
      </c>
      <c r="F1261" t="str">
        <f>Result_notebook_retravaill!F1261</f>
        <v>Integrated</v>
      </c>
      <c r="G1261">
        <f>Result_notebook_retravaill!G1261</f>
        <v>75048.523727678054</v>
      </c>
      <c r="H1261" s="32">
        <f>IF(Result_notebook_retravaill!I1261&gt;Result_notebook_retravaill!G1261,Result_notebook_retravaill!I1261/Result_notebook_retravaill!N1261,Result_notebook_retravaill!H1261)</f>
        <v>307418.11108052242</v>
      </c>
      <c r="I1261" s="32">
        <f>Result_notebook_retravaill!K1261</f>
        <v>0</v>
      </c>
      <c r="J1261" s="32">
        <f>MIN(G1261,Result_notebook_retravaill!I1261)</f>
        <v>75048.523727678054</v>
      </c>
      <c r="K1261" s="32">
        <f>IF(Result_notebook_retravaill!I1261&gt;Result_notebook_retravaill!G1261,0,IF(Result_notebook_retravaill!I1261+Result_notebook_retravaill!J1261&gt;Result_notebook_retravaill!G1261,Result_notebook_retravaill!G1261-Result_notebook_retravaill!I1261,Result_notebook_retravaill!J1261))</f>
        <v>0</v>
      </c>
      <c r="L1261" s="32">
        <f>IF(Result_notebook_retravaill!I1261&gt;Result_notebook_retravaill!G1261,0,IF(Result_notebook_retravaill!I1261+Result_notebook_retravaill!J1261&gt;Result_notebook_retravaill!G1261,0,Result_notebook_retravaill!M1261))</f>
        <v>0</v>
      </c>
      <c r="M1261" s="31">
        <f t="shared" si="19"/>
        <v>0</v>
      </c>
    </row>
    <row r="1262" spans="1:13" x14ac:dyDescent="0.35">
      <c r="A1262">
        <f>Result_notebook_retravaill!A1262</f>
        <v>2039</v>
      </c>
      <c r="B1262" t="str">
        <f>Result_notebook_retravaill!B1262</f>
        <v>Cobalt</v>
      </c>
      <c r="C1262" t="str">
        <f>Result_notebook_retravaill!C1262</f>
        <v>Canada Net-zero</v>
      </c>
      <c r="D1262" t="str">
        <f>Result_notebook_retravaill!D1262</f>
        <v>Existing production</v>
      </c>
      <c r="E1262" t="str">
        <f>Result_notebook_retravaill!E1262</f>
        <v>Current shares</v>
      </c>
      <c r="F1262" t="str">
        <f>Result_notebook_retravaill!F1262</f>
        <v>NIMBY</v>
      </c>
      <c r="G1262">
        <f>Result_notebook_retravaill!G1262</f>
        <v>240082.77165293321</v>
      </c>
      <c r="H1262" s="32">
        <f>IF(Result_notebook_retravaill!I1262&gt;Result_notebook_retravaill!G1262,Result_notebook_retravaill!I1262/Result_notebook_retravaill!N1262,Result_notebook_retravaill!H1262)</f>
        <v>0</v>
      </c>
      <c r="I1262" s="32">
        <f>Result_notebook_retravaill!K1262</f>
        <v>545642.6628475755</v>
      </c>
      <c r="J1262" s="32">
        <f>MIN(G1262,Result_notebook_retravaill!I1262)</f>
        <v>0</v>
      </c>
      <c r="K1262" s="32">
        <f>IF(Result_notebook_retravaill!I1262&gt;Result_notebook_retravaill!G1262,0,IF(Result_notebook_retravaill!I1262+Result_notebook_retravaill!J1262&gt;Result_notebook_retravaill!G1262,Result_notebook_retravaill!G1262-Result_notebook_retravaill!I1262,Result_notebook_retravaill!J1262))</f>
        <v>0</v>
      </c>
      <c r="L1262" s="32">
        <f>IF(Result_notebook_retravaill!I1262&gt;Result_notebook_retravaill!G1262,0,IF(Result_notebook_retravaill!I1262+Result_notebook_retravaill!J1262&gt;Result_notebook_retravaill!G1262,0,Result_notebook_retravaill!M1262))</f>
        <v>240082.77165293321</v>
      </c>
      <c r="M1262" s="31">
        <f t="shared" si="19"/>
        <v>0</v>
      </c>
    </row>
    <row r="1263" spans="1:13" x14ac:dyDescent="0.35">
      <c r="A1263">
        <f>Result_notebook_retravaill!A1263</f>
        <v>2039</v>
      </c>
      <c r="B1263" t="str">
        <f>Result_notebook_retravaill!B1263</f>
        <v>Cobalt</v>
      </c>
      <c r="C1263" t="str">
        <f>Result_notebook_retravaill!C1263</f>
        <v>Canada Net-zero</v>
      </c>
      <c r="D1263" t="str">
        <f>Result_notebook_retravaill!D1263</f>
        <v>Existing production</v>
      </c>
      <c r="E1263" t="str">
        <f>Result_notebook_retravaill!E1263</f>
        <v>Current shares</v>
      </c>
      <c r="F1263" t="str">
        <f>Result_notebook_retravaill!F1263</f>
        <v>Status Quo</v>
      </c>
      <c r="G1263">
        <f>Result_notebook_retravaill!G1263</f>
        <v>240082.77165293321</v>
      </c>
      <c r="H1263" s="32">
        <f>IF(Result_notebook_retravaill!I1263&gt;Result_notebook_retravaill!G1263,Result_notebook_retravaill!I1263/Result_notebook_retravaill!N1263,Result_notebook_retravaill!H1263)</f>
        <v>261</v>
      </c>
      <c r="I1263" s="32">
        <f>Result_notebook_retravaill!K1263</f>
        <v>545381.6628475755</v>
      </c>
      <c r="J1263" s="32">
        <f>MIN(G1263,Result_notebook_retravaill!I1263)</f>
        <v>110.71145720551</v>
      </c>
      <c r="K1263" s="32">
        <f>IF(Result_notebook_retravaill!I1263&gt;Result_notebook_retravaill!G1263,0,IF(Result_notebook_retravaill!I1263+Result_notebook_retravaill!J1263&gt;Result_notebook_retravaill!G1263,Result_notebook_retravaill!G1263-Result_notebook_retravaill!I1263,Result_notebook_retravaill!J1263))</f>
        <v>3.9579964387912554</v>
      </c>
      <c r="L1263" s="32">
        <f>IF(Result_notebook_retravaill!I1263&gt;Result_notebook_retravaill!G1263,0,IF(Result_notebook_retravaill!I1263+Result_notebook_retravaill!J1263&gt;Result_notebook_retravaill!G1263,0,Result_notebook_retravaill!M1263))</f>
        <v>239968.10219928893</v>
      </c>
      <c r="M1263" s="31">
        <f t="shared" si="19"/>
        <v>0</v>
      </c>
    </row>
    <row r="1264" spans="1:13" x14ac:dyDescent="0.35">
      <c r="A1264">
        <f>Result_notebook_retravaill!A1264</f>
        <v>2039</v>
      </c>
      <c r="B1264" t="str">
        <f>Result_notebook_retravaill!B1264</f>
        <v>Cobalt</v>
      </c>
      <c r="C1264" t="str">
        <f>Result_notebook_retravaill!C1264</f>
        <v>Canada Net-zero</v>
      </c>
      <c r="D1264" t="str">
        <f>Result_notebook_retravaill!D1264</f>
        <v>Production potential</v>
      </c>
      <c r="E1264" t="str">
        <f>Result_notebook_retravaill!E1264</f>
        <v>Current shares</v>
      </c>
      <c r="F1264" t="str">
        <f>Result_notebook_retravaill!F1264</f>
        <v>Expansion Extractive</v>
      </c>
      <c r="G1264">
        <f>Result_notebook_retravaill!G1264</f>
        <v>240082.77165293321</v>
      </c>
      <c r="H1264" s="32">
        <f>IF(Result_notebook_retravaill!I1264&gt;Result_notebook_retravaill!G1264,Result_notebook_retravaill!I1264/Result_notebook_retravaill!N1264,Result_notebook_retravaill!H1264)</f>
        <v>27029.65589320119</v>
      </c>
      <c r="I1264" s="32">
        <f>Result_notebook_retravaill!K1264</f>
        <v>518613.00695437432</v>
      </c>
      <c r="J1264" s="32">
        <f>MIN(G1264,Result_notebook_retravaill!I1264)</f>
        <v>11465.488857087381</v>
      </c>
      <c r="K1264" s="32">
        <f>IF(Result_notebook_retravaill!I1264&gt;Result_notebook_retravaill!G1264,0,IF(Result_notebook_retravaill!I1264+Result_notebook_retravaill!J1264&gt;Result_notebook_retravaill!G1264,Result_notebook_retravaill!G1264-Result_notebook_retravaill!I1264,Result_notebook_retravaill!J1264))</f>
        <v>409.89763129134735</v>
      </c>
      <c r="L1264" s="32">
        <f>IF(Result_notebook_retravaill!I1264&gt;Result_notebook_retravaill!G1264,0,IF(Result_notebook_retravaill!I1264+Result_notebook_retravaill!J1264&gt;Result_notebook_retravaill!G1264,0,Result_notebook_retravaill!M1264))</f>
        <v>228207.38516455443</v>
      </c>
      <c r="M1264" s="31">
        <f t="shared" si="19"/>
        <v>0</v>
      </c>
    </row>
    <row r="1265" spans="1:13" x14ac:dyDescent="0.35">
      <c r="A1265">
        <f>Result_notebook_retravaill!A1265</f>
        <v>2039</v>
      </c>
      <c r="B1265" t="str">
        <f>Result_notebook_retravaill!B1265</f>
        <v>Cobalt</v>
      </c>
      <c r="C1265" t="str">
        <f>Result_notebook_retravaill!C1265</f>
        <v>Canada Net-zero</v>
      </c>
      <c r="D1265" t="str">
        <f>Result_notebook_retravaill!D1265</f>
        <v>Production potential</v>
      </c>
      <c r="E1265" t="str">
        <f>Result_notebook_retravaill!E1265</f>
        <v>Current shares</v>
      </c>
      <c r="F1265" t="str">
        <f>Result_notebook_retravaill!F1265</f>
        <v>Expansion Extractive+Circularity</v>
      </c>
      <c r="G1265">
        <f>Result_notebook_retravaill!G1265</f>
        <v>240082.77165293321</v>
      </c>
      <c r="H1265" s="32">
        <f>IF(Result_notebook_retravaill!I1265&gt;Result_notebook_retravaill!G1265,Result_notebook_retravaill!I1265/Result_notebook_retravaill!N1265,Result_notebook_retravaill!H1265)</f>
        <v>27029.65589320119</v>
      </c>
      <c r="I1265" s="32">
        <f>Result_notebook_retravaill!K1265</f>
        <v>518613.00695437432</v>
      </c>
      <c r="J1265" s="32">
        <f>MIN(G1265,Result_notebook_retravaill!I1265)</f>
        <v>11465.488857087381</v>
      </c>
      <c r="K1265" s="32">
        <f>IF(Result_notebook_retravaill!I1265&gt;Result_notebook_retravaill!G1265,0,IF(Result_notebook_retravaill!I1265+Result_notebook_retravaill!J1265&gt;Result_notebook_retravaill!G1265,Result_notebook_retravaill!G1265-Result_notebook_retravaill!I1265,Result_notebook_retravaill!J1265))</f>
        <v>409.89763129134735</v>
      </c>
      <c r="L1265" s="32">
        <f>IF(Result_notebook_retravaill!I1265&gt;Result_notebook_retravaill!G1265,0,IF(Result_notebook_retravaill!I1265+Result_notebook_retravaill!J1265&gt;Result_notebook_retravaill!G1265,0,Result_notebook_retravaill!M1265))</f>
        <v>228207.38516455443</v>
      </c>
      <c r="M1265" s="31">
        <f t="shared" si="19"/>
        <v>0</v>
      </c>
    </row>
    <row r="1266" spans="1:13" x14ac:dyDescent="0.35">
      <c r="A1266">
        <f>Result_notebook_retravaill!A1266</f>
        <v>2039</v>
      </c>
      <c r="B1266" t="str">
        <f>Result_notebook_retravaill!B1266</f>
        <v>Cobalt</v>
      </c>
      <c r="C1266" t="str">
        <f>Result_notebook_retravaill!C1266</f>
        <v>Canada Net-zero</v>
      </c>
      <c r="D1266" t="str">
        <f>Result_notebook_retravaill!D1266</f>
        <v>Production potential</v>
      </c>
      <c r="E1266" t="str">
        <f>Result_notebook_retravaill!E1266</f>
        <v>100% CAN</v>
      </c>
      <c r="F1266" t="str">
        <f>Result_notebook_retravaill!F1266</f>
        <v>Integrated</v>
      </c>
      <c r="G1266">
        <f>Result_notebook_retravaill!G1266</f>
        <v>240082.77165293321</v>
      </c>
      <c r="H1266" s="32">
        <f>IF(Result_notebook_retravaill!I1266&gt;Result_notebook_retravaill!G1266,Result_notebook_retravaill!I1266/Result_notebook_retravaill!N1266,Result_notebook_retravaill!H1266)</f>
        <v>27029.65589320119</v>
      </c>
      <c r="I1266" s="32">
        <f>Result_notebook_retravaill!K1266</f>
        <v>518613.00695437432</v>
      </c>
      <c r="J1266" s="32">
        <f>MIN(G1266,Result_notebook_retravaill!I1266)</f>
        <v>11875.386488378739</v>
      </c>
      <c r="K1266" s="32">
        <f>IF(Result_notebook_retravaill!I1266&gt;Result_notebook_retravaill!G1266,0,IF(Result_notebook_retravaill!I1266+Result_notebook_retravaill!J1266&gt;Result_notebook_retravaill!G1266,Result_notebook_retravaill!G1266-Result_notebook_retravaill!I1266,Result_notebook_retravaill!J1266))</f>
        <v>0</v>
      </c>
      <c r="L1266" s="32">
        <f>IF(Result_notebook_retravaill!I1266&gt;Result_notebook_retravaill!G1266,0,IF(Result_notebook_retravaill!I1266+Result_notebook_retravaill!J1266&gt;Result_notebook_retravaill!G1266,0,Result_notebook_retravaill!M1266))</f>
        <v>228207.38516455449</v>
      </c>
      <c r="M1266" s="31">
        <f t="shared" si="19"/>
        <v>0</v>
      </c>
    </row>
    <row r="1267" spans="1:13" x14ac:dyDescent="0.35">
      <c r="A1267">
        <f>Result_notebook_retravaill!A1267</f>
        <v>2039</v>
      </c>
      <c r="B1267" t="str">
        <f>Result_notebook_retravaill!B1267</f>
        <v>Cobalt</v>
      </c>
      <c r="C1267" t="str">
        <f>Result_notebook_retravaill!C1267</f>
        <v>Current Measures</v>
      </c>
      <c r="D1267" t="str">
        <f>Result_notebook_retravaill!D1267</f>
        <v>Existing production</v>
      </c>
      <c r="E1267" t="str">
        <f>Result_notebook_retravaill!E1267</f>
        <v>Current shares</v>
      </c>
      <c r="F1267" t="str">
        <f>Result_notebook_retravaill!F1267</f>
        <v>NIMBY</v>
      </c>
      <c r="G1267">
        <f>Result_notebook_retravaill!G1267</f>
        <v>89882.885025704978</v>
      </c>
      <c r="H1267" s="32">
        <f>IF(Result_notebook_retravaill!I1267&gt;Result_notebook_retravaill!G1267,Result_notebook_retravaill!I1267/Result_notebook_retravaill!N1267,Result_notebook_retravaill!H1267)</f>
        <v>0</v>
      </c>
      <c r="I1267" s="32">
        <f>Result_notebook_retravaill!K1267</f>
        <v>204279.2841493295</v>
      </c>
      <c r="J1267" s="32">
        <f>MIN(G1267,Result_notebook_retravaill!I1267)</f>
        <v>0</v>
      </c>
      <c r="K1267" s="32">
        <f>IF(Result_notebook_retravaill!I1267&gt;Result_notebook_retravaill!G1267,0,IF(Result_notebook_retravaill!I1267+Result_notebook_retravaill!J1267&gt;Result_notebook_retravaill!G1267,Result_notebook_retravaill!G1267-Result_notebook_retravaill!I1267,Result_notebook_retravaill!J1267))</f>
        <v>0</v>
      </c>
      <c r="L1267" s="32">
        <f>IF(Result_notebook_retravaill!I1267&gt;Result_notebook_retravaill!G1267,0,IF(Result_notebook_retravaill!I1267+Result_notebook_retravaill!J1267&gt;Result_notebook_retravaill!G1267,0,Result_notebook_retravaill!M1267))</f>
        <v>89882.885025704978</v>
      </c>
      <c r="M1267" s="31">
        <f t="shared" si="19"/>
        <v>0</v>
      </c>
    </row>
    <row r="1268" spans="1:13" x14ac:dyDescent="0.35">
      <c r="A1268">
        <f>Result_notebook_retravaill!A1268</f>
        <v>2039</v>
      </c>
      <c r="B1268" t="str">
        <f>Result_notebook_retravaill!B1268</f>
        <v>Cobalt</v>
      </c>
      <c r="C1268" t="str">
        <f>Result_notebook_retravaill!C1268</f>
        <v>Current Measures</v>
      </c>
      <c r="D1268" t="str">
        <f>Result_notebook_retravaill!D1268</f>
        <v>Existing production</v>
      </c>
      <c r="E1268" t="str">
        <f>Result_notebook_retravaill!E1268</f>
        <v>Current shares</v>
      </c>
      <c r="F1268" t="str">
        <f>Result_notebook_retravaill!F1268</f>
        <v>Status Quo</v>
      </c>
      <c r="G1268">
        <f>Result_notebook_retravaill!G1268</f>
        <v>89882.885025704978</v>
      </c>
      <c r="H1268" s="32">
        <f>IF(Result_notebook_retravaill!I1268&gt;Result_notebook_retravaill!G1268,Result_notebook_retravaill!I1268/Result_notebook_retravaill!N1268,Result_notebook_retravaill!H1268)</f>
        <v>261</v>
      </c>
      <c r="I1268" s="32">
        <f>Result_notebook_retravaill!K1268</f>
        <v>204018.2841493295</v>
      </c>
      <c r="J1268" s="32">
        <f>MIN(G1268,Result_notebook_retravaill!I1268)</f>
        <v>110.71145720551</v>
      </c>
      <c r="K1268" s="32">
        <f>IF(Result_notebook_retravaill!I1268&gt;Result_notebook_retravaill!G1268,0,IF(Result_notebook_retravaill!I1268+Result_notebook_retravaill!J1268&gt;Result_notebook_retravaill!G1268,Result_notebook_retravaill!G1268-Result_notebook_retravaill!I1268,Result_notebook_retravaill!J1268))</f>
        <v>3.9579964387912554</v>
      </c>
      <c r="L1268" s="32">
        <f>IF(Result_notebook_retravaill!I1268&gt;Result_notebook_retravaill!G1268,0,IF(Result_notebook_retravaill!I1268+Result_notebook_retravaill!J1268&gt;Result_notebook_retravaill!G1268,0,Result_notebook_retravaill!M1268))</f>
        <v>89768.215572060668</v>
      </c>
      <c r="M1268" s="31">
        <f t="shared" si="19"/>
        <v>0</v>
      </c>
    </row>
    <row r="1269" spans="1:13" x14ac:dyDescent="0.35">
      <c r="A1269">
        <f>Result_notebook_retravaill!A1269</f>
        <v>2039</v>
      </c>
      <c r="B1269" t="str">
        <f>Result_notebook_retravaill!B1269</f>
        <v>Cobalt</v>
      </c>
      <c r="C1269" t="str">
        <f>Result_notebook_retravaill!C1269</f>
        <v>Current Measures</v>
      </c>
      <c r="D1269" t="str">
        <f>Result_notebook_retravaill!D1269</f>
        <v>Production potential</v>
      </c>
      <c r="E1269" t="str">
        <f>Result_notebook_retravaill!E1269</f>
        <v>Current shares</v>
      </c>
      <c r="F1269" t="str">
        <f>Result_notebook_retravaill!F1269</f>
        <v>Expansion Extractive</v>
      </c>
      <c r="G1269">
        <f>Result_notebook_retravaill!G1269</f>
        <v>89882.885025704978</v>
      </c>
      <c r="H1269" s="32">
        <f>IF(Result_notebook_retravaill!I1269&gt;Result_notebook_retravaill!G1269,Result_notebook_retravaill!I1269/Result_notebook_retravaill!N1269,Result_notebook_retravaill!H1269)</f>
        <v>27029.65589320119</v>
      </c>
      <c r="I1269" s="32">
        <f>Result_notebook_retravaill!K1269</f>
        <v>177249.62825612829</v>
      </c>
      <c r="J1269" s="32">
        <f>MIN(G1269,Result_notebook_retravaill!I1269)</f>
        <v>11465.488857087381</v>
      </c>
      <c r="K1269" s="32">
        <f>IF(Result_notebook_retravaill!I1269&gt;Result_notebook_retravaill!G1269,0,IF(Result_notebook_retravaill!I1269+Result_notebook_retravaill!J1269&gt;Result_notebook_retravaill!G1269,Result_notebook_retravaill!G1269-Result_notebook_retravaill!I1269,Result_notebook_retravaill!J1269))</f>
        <v>409.89763129134735</v>
      </c>
      <c r="L1269" s="32">
        <f>IF(Result_notebook_retravaill!I1269&gt;Result_notebook_retravaill!G1269,0,IF(Result_notebook_retravaill!I1269+Result_notebook_retravaill!J1269&gt;Result_notebook_retravaill!G1269,0,Result_notebook_retravaill!M1269))</f>
        <v>78007.498537326261</v>
      </c>
      <c r="M1269" s="31">
        <f t="shared" si="19"/>
        <v>0</v>
      </c>
    </row>
    <row r="1270" spans="1:13" x14ac:dyDescent="0.35">
      <c r="A1270">
        <f>Result_notebook_retravaill!A1270</f>
        <v>2039</v>
      </c>
      <c r="B1270" t="str">
        <f>Result_notebook_retravaill!B1270</f>
        <v>Cobalt</v>
      </c>
      <c r="C1270" t="str">
        <f>Result_notebook_retravaill!C1270</f>
        <v>Current Measures</v>
      </c>
      <c r="D1270" t="str">
        <f>Result_notebook_retravaill!D1270</f>
        <v>Production potential</v>
      </c>
      <c r="E1270" t="str">
        <f>Result_notebook_retravaill!E1270</f>
        <v>Current shares</v>
      </c>
      <c r="F1270" t="str">
        <f>Result_notebook_retravaill!F1270</f>
        <v>Expansion Extractive+Circularity</v>
      </c>
      <c r="G1270">
        <f>Result_notebook_retravaill!G1270</f>
        <v>89882.885025704978</v>
      </c>
      <c r="H1270" s="32">
        <f>IF(Result_notebook_retravaill!I1270&gt;Result_notebook_retravaill!G1270,Result_notebook_retravaill!I1270/Result_notebook_retravaill!N1270,Result_notebook_retravaill!H1270)</f>
        <v>27029.65589320119</v>
      </c>
      <c r="I1270" s="32">
        <f>Result_notebook_retravaill!K1270</f>
        <v>177249.62825612829</v>
      </c>
      <c r="J1270" s="32">
        <f>MIN(G1270,Result_notebook_retravaill!I1270)</f>
        <v>11465.488857087381</v>
      </c>
      <c r="K1270" s="32">
        <f>IF(Result_notebook_retravaill!I1270&gt;Result_notebook_retravaill!G1270,0,IF(Result_notebook_retravaill!I1270+Result_notebook_retravaill!J1270&gt;Result_notebook_retravaill!G1270,Result_notebook_retravaill!G1270-Result_notebook_retravaill!I1270,Result_notebook_retravaill!J1270))</f>
        <v>409.89763129134735</v>
      </c>
      <c r="L1270" s="32">
        <f>IF(Result_notebook_retravaill!I1270&gt;Result_notebook_retravaill!G1270,0,IF(Result_notebook_retravaill!I1270+Result_notebook_retravaill!J1270&gt;Result_notebook_retravaill!G1270,0,Result_notebook_retravaill!M1270))</f>
        <v>78007.498537326261</v>
      </c>
      <c r="M1270" s="31">
        <f t="shared" si="19"/>
        <v>0</v>
      </c>
    </row>
    <row r="1271" spans="1:13" x14ac:dyDescent="0.35">
      <c r="A1271">
        <f>Result_notebook_retravaill!A1271</f>
        <v>2039</v>
      </c>
      <c r="B1271" t="str">
        <f>Result_notebook_retravaill!B1271</f>
        <v>Cobalt</v>
      </c>
      <c r="C1271" t="str">
        <f>Result_notebook_retravaill!C1271</f>
        <v>Current Measures</v>
      </c>
      <c r="D1271" t="str">
        <f>Result_notebook_retravaill!D1271</f>
        <v>Production potential</v>
      </c>
      <c r="E1271" t="str">
        <f>Result_notebook_retravaill!E1271</f>
        <v>100% CAN</v>
      </c>
      <c r="F1271" t="str">
        <f>Result_notebook_retravaill!F1271</f>
        <v>Integrated</v>
      </c>
      <c r="G1271">
        <f>Result_notebook_retravaill!G1271</f>
        <v>89882.885025704978</v>
      </c>
      <c r="H1271" s="32">
        <f>IF(Result_notebook_retravaill!I1271&gt;Result_notebook_retravaill!G1271,Result_notebook_retravaill!I1271/Result_notebook_retravaill!N1271,Result_notebook_retravaill!H1271)</f>
        <v>27029.65589320119</v>
      </c>
      <c r="I1271" s="32">
        <f>Result_notebook_retravaill!K1271</f>
        <v>177249.62825612829</v>
      </c>
      <c r="J1271" s="32">
        <f>MIN(G1271,Result_notebook_retravaill!I1271)</f>
        <v>11875.386488378739</v>
      </c>
      <c r="K1271" s="32">
        <f>IF(Result_notebook_retravaill!I1271&gt;Result_notebook_retravaill!G1271,0,IF(Result_notebook_retravaill!I1271+Result_notebook_retravaill!J1271&gt;Result_notebook_retravaill!G1271,Result_notebook_retravaill!G1271-Result_notebook_retravaill!I1271,Result_notebook_retravaill!J1271))</f>
        <v>0</v>
      </c>
      <c r="L1271" s="32">
        <f>IF(Result_notebook_retravaill!I1271&gt;Result_notebook_retravaill!G1271,0,IF(Result_notebook_retravaill!I1271+Result_notebook_retravaill!J1271&gt;Result_notebook_retravaill!G1271,0,Result_notebook_retravaill!M1271))</f>
        <v>78007.498537326232</v>
      </c>
      <c r="M1271" s="31">
        <f t="shared" si="19"/>
        <v>0</v>
      </c>
    </row>
    <row r="1272" spans="1:13" x14ac:dyDescent="0.35">
      <c r="A1272">
        <f>Result_notebook_retravaill!A1272</f>
        <v>2039</v>
      </c>
      <c r="B1272" t="str">
        <f>Result_notebook_retravaill!B1272</f>
        <v>Cobalt</v>
      </c>
      <c r="C1272" t="str">
        <f>Result_notebook_retravaill!C1272</f>
        <v>Global Net-zero</v>
      </c>
      <c r="D1272" t="str">
        <f>Result_notebook_retravaill!D1272</f>
        <v>Existing production</v>
      </c>
      <c r="E1272" t="str">
        <f>Result_notebook_retravaill!E1272</f>
        <v>Current shares</v>
      </c>
      <c r="F1272" t="str">
        <f>Result_notebook_retravaill!F1272</f>
        <v>NIMBY</v>
      </c>
      <c r="G1272">
        <f>Result_notebook_retravaill!G1272</f>
        <v>228473.28301366579</v>
      </c>
      <c r="H1272" s="32">
        <f>IF(Result_notebook_retravaill!I1272&gt;Result_notebook_retravaill!G1272,Result_notebook_retravaill!I1272/Result_notebook_retravaill!N1272,Result_notebook_retravaill!H1272)</f>
        <v>0</v>
      </c>
      <c r="I1272" s="32">
        <f>Result_notebook_retravaill!K1272</f>
        <v>519257.46139469498</v>
      </c>
      <c r="J1272" s="32">
        <f>MIN(G1272,Result_notebook_retravaill!I1272)</f>
        <v>0</v>
      </c>
      <c r="K1272" s="32">
        <f>IF(Result_notebook_retravaill!I1272&gt;Result_notebook_retravaill!G1272,0,IF(Result_notebook_retravaill!I1272+Result_notebook_retravaill!J1272&gt;Result_notebook_retravaill!G1272,Result_notebook_retravaill!G1272-Result_notebook_retravaill!I1272,Result_notebook_retravaill!J1272))</f>
        <v>0</v>
      </c>
      <c r="L1272" s="32">
        <f>IF(Result_notebook_retravaill!I1272&gt;Result_notebook_retravaill!G1272,0,IF(Result_notebook_retravaill!I1272+Result_notebook_retravaill!J1272&gt;Result_notebook_retravaill!G1272,0,Result_notebook_retravaill!M1272))</f>
        <v>228473.28301366579</v>
      </c>
      <c r="M1272" s="31">
        <f t="shared" si="19"/>
        <v>0</v>
      </c>
    </row>
    <row r="1273" spans="1:13" x14ac:dyDescent="0.35">
      <c r="A1273">
        <f>Result_notebook_retravaill!A1273</f>
        <v>2039</v>
      </c>
      <c r="B1273" t="str">
        <f>Result_notebook_retravaill!B1273</f>
        <v>Cobalt</v>
      </c>
      <c r="C1273" t="str">
        <f>Result_notebook_retravaill!C1273</f>
        <v>Global Net-zero</v>
      </c>
      <c r="D1273" t="str">
        <f>Result_notebook_retravaill!D1273</f>
        <v>Existing production</v>
      </c>
      <c r="E1273" t="str">
        <f>Result_notebook_retravaill!E1273</f>
        <v>Current shares</v>
      </c>
      <c r="F1273" t="str">
        <f>Result_notebook_retravaill!F1273</f>
        <v>Status Quo</v>
      </c>
      <c r="G1273">
        <f>Result_notebook_retravaill!G1273</f>
        <v>228473.28301366579</v>
      </c>
      <c r="H1273" s="32">
        <f>IF(Result_notebook_retravaill!I1273&gt;Result_notebook_retravaill!G1273,Result_notebook_retravaill!I1273/Result_notebook_retravaill!N1273,Result_notebook_retravaill!H1273)</f>
        <v>261</v>
      </c>
      <c r="I1273" s="32">
        <f>Result_notebook_retravaill!K1273</f>
        <v>518996.46139469498</v>
      </c>
      <c r="J1273" s="32">
        <f>MIN(G1273,Result_notebook_retravaill!I1273)</f>
        <v>110.71145720551</v>
      </c>
      <c r="K1273" s="32">
        <f>IF(Result_notebook_retravaill!I1273&gt;Result_notebook_retravaill!G1273,0,IF(Result_notebook_retravaill!I1273+Result_notebook_retravaill!J1273&gt;Result_notebook_retravaill!G1273,Result_notebook_retravaill!G1273-Result_notebook_retravaill!I1273,Result_notebook_retravaill!J1273))</f>
        <v>3.9579964387912554</v>
      </c>
      <c r="L1273" s="32">
        <f>IF(Result_notebook_retravaill!I1273&gt;Result_notebook_retravaill!G1273,0,IF(Result_notebook_retravaill!I1273+Result_notebook_retravaill!J1273&gt;Result_notebook_retravaill!G1273,0,Result_notebook_retravaill!M1273))</f>
        <v>228358.61356002151</v>
      </c>
      <c r="M1273" s="31">
        <f t="shared" si="19"/>
        <v>0</v>
      </c>
    </row>
    <row r="1274" spans="1:13" x14ac:dyDescent="0.35">
      <c r="A1274">
        <f>Result_notebook_retravaill!A1274</f>
        <v>2039</v>
      </c>
      <c r="B1274" t="str">
        <f>Result_notebook_retravaill!B1274</f>
        <v>Cobalt</v>
      </c>
      <c r="C1274" t="str">
        <f>Result_notebook_retravaill!C1274</f>
        <v>Global Net-zero</v>
      </c>
      <c r="D1274" t="str">
        <f>Result_notebook_retravaill!D1274</f>
        <v>Production potential</v>
      </c>
      <c r="E1274" t="str">
        <f>Result_notebook_retravaill!E1274</f>
        <v>Current shares</v>
      </c>
      <c r="F1274" t="str">
        <f>Result_notebook_retravaill!F1274</f>
        <v>Expansion Extractive</v>
      </c>
      <c r="G1274">
        <f>Result_notebook_retravaill!G1274</f>
        <v>228473.28301366579</v>
      </c>
      <c r="H1274" s="32">
        <f>IF(Result_notebook_retravaill!I1274&gt;Result_notebook_retravaill!G1274,Result_notebook_retravaill!I1274/Result_notebook_retravaill!N1274,Result_notebook_retravaill!H1274)</f>
        <v>27029.65589320119</v>
      </c>
      <c r="I1274" s="32">
        <f>Result_notebook_retravaill!K1274</f>
        <v>492227.8055014938</v>
      </c>
      <c r="J1274" s="32">
        <f>MIN(G1274,Result_notebook_retravaill!I1274)</f>
        <v>11465.488857087381</v>
      </c>
      <c r="K1274" s="32">
        <f>IF(Result_notebook_retravaill!I1274&gt;Result_notebook_retravaill!G1274,0,IF(Result_notebook_retravaill!I1274+Result_notebook_retravaill!J1274&gt;Result_notebook_retravaill!G1274,Result_notebook_retravaill!G1274-Result_notebook_retravaill!I1274,Result_notebook_retravaill!J1274))</f>
        <v>409.89763129134735</v>
      </c>
      <c r="L1274" s="32">
        <f>IF(Result_notebook_retravaill!I1274&gt;Result_notebook_retravaill!G1274,0,IF(Result_notebook_retravaill!I1274+Result_notebook_retravaill!J1274&gt;Result_notebook_retravaill!G1274,0,Result_notebook_retravaill!M1274))</f>
        <v>216597.89652528704</v>
      </c>
      <c r="M1274" s="31">
        <f t="shared" si="19"/>
        <v>0</v>
      </c>
    </row>
    <row r="1275" spans="1:13" x14ac:dyDescent="0.35">
      <c r="A1275">
        <f>Result_notebook_retravaill!A1275</f>
        <v>2039</v>
      </c>
      <c r="B1275" t="str">
        <f>Result_notebook_retravaill!B1275</f>
        <v>Cobalt</v>
      </c>
      <c r="C1275" t="str">
        <f>Result_notebook_retravaill!C1275</f>
        <v>Global Net-zero</v>
      </c>
      <c r="D1275" t="str">
        <f>Result_notebook_retravaill!D1275</f>
        <v>Production potential</v>
      </c>
      <c r="E1275" t="str">
        <f>Result_notebook_retravaill!E1275</f>
        <v>Current shares</v>
      </c>
      <c r="F1275" t="str">
        <f>Result_notebook_retravaill!F1275</f>
        <v>Expansion Extractive+Circularity</v>
      </c>
      <c r="G1275">
        <f>Result_notebook_retravaill!G1275</f>
        <v>228473.28301366579</v>
      </c>
      <c r="H1275" s="32">
        <f>IF(Result_notebook_retravaill!I1275&gt;Result_notebook_retravaill!G1275,Result_notebook_retravaill!I1275/Result_notebook_retravaill!N1275,Result_notebook_retravaill!H1275)</f>
        <v>27029.65589320119</v>
      </c>
      <c r="I1275" s="32">
        <f>Result_notebook_retravaill!K1275</f>
        <v>492227.8055014938</v>
      </c>
      <c r="J1275" s="32">
        <f>MIN(G1275,Result_notebook_retravaill!I1275)</f>
        <v>11465.488857087381</v>
      </c>
      <c r="K1275" s="32">
        <f>IF(Result_notebook_retravaill!I1275&gt;Result_notebook_retravaill!G1275,0,IF(Result_notebook_retravaill!I1275+Result_notebook_retravaill!J1275&gt;Result_notebook_retravaill!G1275,Result_notebook_retravaill!G1275-Result_notebook_retravaill!I1275,Result_notebook_retravaill!J1275))</f>
        <v>409.89763129134735</v>
      </c>
      <c r="L1275" s="32">
        <f>IF(Result_notebook_retravaill!I1275&gt;Result_notebook_retravaill!G1275,0,IF(Result_notebook_retravaill!I1275+Result_notebook_retravaill!J1275&gt;Result_notebook_retravaill!G1275,0,Result_notebook_retravaill!M1275))</f>
        <v>216597.89652528704</v>
      </c>
      <c r="M1275" s="31">
        <f t="shared" si="19"/>
        <v>0</v>
      </c>
    </row>
    <row r="1276" spans="1:13" x14ac:dyDescent="0.35">
      <c r="A1276">
        <f>Result_notebook_retravaill!A1276</f>
        <v>2039</v>
      </c>
      <c r="B1276" t="str">
        <f>Result_notebook_retravaill!B1276</f>
        <v>Cobalt</v>
      </c>
      <c r="C1276" t="str">
        <f>Result_notebook_retravaill!C1276</f>
        <v>Global Net-zero</v>
      </c>
      <c r="D1276" t="str">
        <f>Result_notebook_retravaill!D1276</f>
        <v>Production potential</v>
      </c>
      <c r="E1276" t="str">
        <f>Result_notebook_retravaill!E1276</f>
        <v>100% CAN</v>
      </c>
      <c r="F1276" t="str">
        <f>Result_notebook_retravaill!F1276</f>
        <v>Integrated</v>
      </c>
      <c r="G1276">
        <f>Result_notebook_retravaill!G1276</f>
        <v>228473.28301366579</v>
      </c>
      <c r="H1276" s="32">
        <f>IF(Result_notebook_retravaill!I1276&gt;Result_notebook_retravaill!G1276,Result_notebook_retravaill!I1276/Result_notebook_retravaill!N1276,Result_notebook_retravaill!H1276)</f>
        <v>27029.65589320119</v>
      </c>
      <c r="I1276" s="32">
        <f>Result_notebook_retravaill!K1276</f>
        <v>492227.8055014938</v>
      </c>
      <c r="J1276" s="32">
        <f>MIN(G1276,Result_notebook_retravaill!I1276)</f>
        <v>11875.386488378739</v>
      </c>
      <c r="K1276" s="32">
        <f>IF(Result_notebook_retravaill!I1276&gt;Result_notebook_retravaill!G1276,0,IF(Result_notebook_retravaill!I1276+Result_notebook_retravaill!J1276&gt;Result_notebook_retravaill!G1276,Result_notebook_retravaill!G1276-Result_notebook_retravaill!I1276,Result_notebook_retravaill!J1276))</f>
        <v>0</v>
      </c>
      <c r="L1276" s="32">
        <f>IF(Result_notebook_retravaill!I1276&gt;Result_notebook_retravaill!G1276,0,IF(Result_notebook_retravaill!I1276+Result_notebook_retravaill!J1276&gt;Result_notebook_retravaill!G1276,0,Result_notebook_retravaill!M1276))</f>
        <v>216597.89652528701</v>
      </c>
      <c r="M1276" s="31">
        <f t="shared" si="19"/>
        <v>0</v>
      </c>
    </row>
    <row r="1277" spans="1:13" x14ac:dyDescent="0.35">
      <c r="A1277">
        <f>Result_notebook_retravaill!A1277</f>
        <v>2039</v>
      </c>
      <c r="B1277" t="str">
        <f>Result_notebook_retravaill!B1277</f>
        <v>Copper</v>
      </c>
      <c r="C1277" t="str">
        <f>Result_notebook_retravaill!C1277</f>
        <v>Canada Net-zero</v>
      </c>
      <c r="D1277" t="str">
        <f>Result_notebook_retravaill!D1277</f>
        <v>Existing production</v>
      </c>
      <c r="E1277" t="str">
        <f>Result_notebook_retravaill!E1277</f>
        <v>Current shares</v>
      </c>
      <c r="F1277" t="str">
        <f>Result_notebook_retravaill!F1277</f>
        <v>NIMBY</v>
      </c>
      <c r="G1277">
        <f>Result_notebook_retravaill!G1277</f>
        <v>1574369.961054781</v>
      </c>
      <c r="H1277" s="32">
        <f>IF(Result_notebook_retravaill!I1277&gt;Result_notebook_retravaill!G1277,Result_notebook_retravaill!I1277/Result_notebook_retravaill!N1277,Result_notebook_retravaill!H1277)</f>
        <v>0</v>
      </c>
      <c r="I1277" s="32">
        <f>Result_notebook_retravaill!K1277</f>
        <v>1896831.278379254</v>
      </c>
      <c r="J1277" s="32">
        <f>MIN(G1277,Result_notebook_retravaill!I1277)</f>
        <v>0</v>
      </c>
      <c r="K1277" s="32">
        <f>IF(Result_notebook_retravaill!I1277&gt;Result_notebook_retravaill!G1277,0,IF(Result_notebook_retravaill!I1277+Result_notebook_retravaill!J1277&gt;Result_notebook_retravaill!G1277,Result_notebook_retravaill!G1277-Result_notebook_retravaill!I1277,Result_notebook_retravaill!J1277))</f>
        <v>0</v>
      </c>
      <c r="L1277" s="32">
        <f>IF(Result_notebook_retravaill!I1277&gt;Result_notebook_retravaill!G1277,0,IF(Result_notebook_retravaill!I1277+Result_notebook_retravaill!J1277&gt;Result_notebook_retravaill!G1277,0,Result_notebook_retravaill!M1277))</f>
        <v>1574369.961054781</v>
      </c>
      <c r="M1277" s="31">
        <f t="shared" si="19"/>
        <v>0</v>
      </c>
    </row>
    <row r="1278" spans="1:13" x14ac:dyDescent="0.35">
      <c r="A1278">
        <f>Result_notebook_retravaill!A1278</f>
        <v>2039</v>
      </c>
      <c r="B1278" t="str">
        <f>Result_notebook_retravaill!B1278</f>
        <v>Copper</v>
      </c>
      <c r="C1278" t="str">
        <f>Result_notebook_retravaill!C1278</f>
        <v>Canada Net-zero</v>
      </c>
      <c r="D1278" t="str">
        <f>Result_notebook_retravaill!D1278</f>
        <v>Existing production</v>
      </c>
      <c r="E1278" t="str">
        <f>Result_notebook_retravaill!E1278</f>
        <v>Current shares</v>
      </c>
      <c r="F1278" t="str">
        <f>Result_notebook_retravaill!F1278</f>
        <v>Status Quo</v>
      </c>
      <c r="G1278">
        <f>Result_notebook_retravaill!G1278</f>
        <v>1574369.961054781</v>
      </c>
      <c r="H1278" s="32">
        <f>IF(Result_notebook_retravaill!I1278&gt;Result_notebook_retravaill!G1278,Result_notebook_retravaill!I1278/Result_notebook_retravaill!N1278,Result_notebook_retravaill!H1278)</f>
        <v>174130</v>
      </c>
      <c r="I1278" s="32">
        <f>Result_notebook_retravaill!K1278</f>
        <v>1722701.278379254</v>
      </c>
      <c r="J1278" s="32">
        <f>MIN(G1278,Result_notebook_retravaill!I1278)</f>
        <v>91524.240751278106</v>
      </c>
      <c r="K1278" s="32">
        <f>IF(Result_notebook_retravaill!I1278&gt;Result_notebook_retravaill!G1278,0,IF(Result_notebook_retravaill!I1278+Result_notebook_retravaill!J1278&gt;Result_notebook_retravaill!G1278,Result_notebook_retravaill!G1278-Result_notebook_retravaill!I1278,Result_notebook_retravaill!J1278))</f>
        <v>53830.038909738752</v>
      </c>
      <c r="L1278" s="32">
        <f>IF(Result_notebook_retravaill!I1278&gt;Result_notebook_retravaill!G1278,0,IF(Result_notebook_retravaill!I1278+Result_notebook_retravaill!J1278&gt;Result_notebook_retravaill!G1278,0,Result_notebook_retravaill!M1278))</f>
        <v>1429015.6813937644</v>
      </c>
      <c r="M1278" s="31">
        <f t="shared" si="19"/>
        <v>0</v>
      </c>
    </row>
    <row r="1279" spans="1:13" x14ac:dyDescent="0.35">
      <c r="A1279">
        <f>Result_notebook_retravaill!A1279</f>
        <v>2039</v>
      </c>
      <c r="B1279" t="str">
        <f>Result_notebook_retravaill!B1279</f>
        <v>Copper</v>
      </c>
      <c r="C1279" t="str">
        <f>Result_notebook_retravaill!C1279</f>
        <v>Canada Net-zero</v>
      </c>
      <c r="D1279" t="str">
        <f>Result_notebook_retravaill!D1279</f>
        <v>Production potential</v>
      </c>
      <c r="E1279" t="str">
        <f>Result_notebook_retravaill!E1279</f>
        <v>Current shares</v>
      </c>
      <c r="F1279" t="str">
        <f>Result_notebook_retravaill!F1279</f>
        <v>Expansion Extractive</v>
      </c>
      <c r="G1279">
        <f>Result_notebook_retravaill!G1279</f>
        <v>1574369.961054781</v>
      </c>
      <c r="H1279" s="32">
        <f>IF(Result_notebook_retravaill!I1279&gt;Result_notebook_retravaill!G1279,Result_notebook_retravaill!I1279/Result_notebook_retravaill!N1279,Result_notebook_retravaill!H1279)</f>
        <v>1075205.601428098</v>
      </c>
      <c r="I1279" s="32">
        <f>Result_notebook_retravaill!K1279</f>
        <v>821625.67695115646</v>
      </c>
      <c r="J1279" s="32">
        <f>MIN(G1279,Result_notebook_retravaill!I1279)</f>
        <v>565137.40494014812</v>
      </c>
      <c r="K1279" s="32">
        <f>IF(Result_notebook_retravaill!I1279&gt;Result_notebook_retravaill!G1279,0,IF(Result_notebook_retravaill!I1279+Result_notebook_retravaill!J1279&gt;Result_notebook_retravaill!G1279,Result_notebook_retravaill!G1279-Result_notebook_retravaill!I1279,Result_notebook_retravaill!J1279))</f>
        <v>332385.91489601799</v>
      </c>
      <c r="L1279" s="32">
        <f>IF(Result_notebook_retravaill!I1279&gt;Result_notebook_retravaill!G1279,0,IF(Result_notebook_retravaill!I1279+Result_notebook_retravaill!J1279&gt;Result_notebook_retravaill!G1279,0,Result_notebook_retravaill!M1279))</f>
        <v>676846.641218615</v>
      </c>
      <c r="M1279" s="31">
        <f t="shared" si="19"/>
        <v>0</v>
      </c>
    </row>
    <row r="1280" spans="1:13" x14ac:dyDescent="0.35">
      <c r="A1280">
        <f>Result_notebook_retravaill!A1280</f>
        <v>2039</v>
      </c>
      <c r="B1280" t="str">
        <f>Result_notebook_retravaill!B1280</f>
        <v>Copper</v>
      </c>
      <c r="C1280" t="str">
        <f>Result_notebook_retravaill!C1280</f>
        <v>Canada Net-zero</v>
      </c>
      <c r="D1280" t="str">
        <f>Result_notebook_retravaill!D1280</f>
        <v>Production potential</v>
      </c>
      <c r="E1280" t="str">
        <f>Result_notebook_retravaill!E1280</f>
        <v>Current shares</v>
      </c>
      <c r="F1280" t="str">
        <f>Result_notebook_retravaill!F1280</f>
        <v>Expansion Extractive+Circularity</v>
      </c>
      <c r="G1280">
        <f>Result_notebook_retravaill!G1280</f>
        <v>1574369.961054781</v>
      </c>
      <c r="H1280" s="32">
        <f>IF(Result_notebook_retravaill!I1280&gt;Result_notebook_retravaill!G1280,Result_notebook_retravaill!I1280/Result_notebook_retravaill!N1280,Result_notebook_retravaill!H1280)</f>
        <v>1075205.601428098</v>
      </c>
      <c r="I1280" s="32">
        <f>Result_notebook_retravaill!K1280</f>
        <v>821625.67695115646</v>
      </c>
      <c r="J1280" s="32">
        <f>MIN(G1280,Result_notebook_retravaill!I1280)</f>
        <v>565137.40494014812</v>
      </c>
      <c r="K1280" s="32">
        <f>IF(Result_notebook_retravaill!I1280&gt;Result_notebook_retravaill!G1280,0,IF(Result_notebook_retravaill!I1280+Result_notebook_retravaill!J1280&gt;Result_notebook_retravaill!G1280,Result_notebook_retravaill!G1280-Result_notebook_retravaill!I1280,Result_notebook_retravaill!J1280))</f>
        <v>332385.91489601799</v>
      </c>
      <c r="L1280" s="32">
        <f>IF(Result_notebook_retravaill!I1280&gt;Result_notebook_retravaill!G1280,0,IF(Result_notebook_retravaill!I1280+Result_notebook_retravaill!J1280&gt;Result_notebook_retravaill!G1280,0,Result_notebook_retravaill!M1280))</f>
        <v>676846.641218615</v>
      </c>
      <c r="M1280" s="31">
        <f t="shared" si="19"/>
        <v>0</v>
      </c>
    </row>
    <row r="1281" spans="1:13" x14ac:dyDescent="0.35">
      <c r="A1281">
        <f>Result_notebook_retravaill!A1281</f>
        <v>2039</v>
      </c>
      <c r="B1281" t="str">
        <f>Result_notebook_retravaill!B1281</f>
        <v>Copper</v>
      </c>
      <c r="C1281" t="str">
        <f>Result_notebook_retravaill!C1281</f>
        <v>Canada Net-zero</v>
      </c>
      <c r="D1281" t="str">
        <f>Result_notebook_retravaill!D1281</f>
        <v>Production potential</v>
      </c>
      <c r="E1281" t="str">
        <f>Result_notebook_retravaill!E1281</f>
        <v>100% CAN</v>
      </c>
      <c r="F1281" t="str">
        <f>Result_notebook_retravaill!F1281</f>
        <v>Integrated</v>
      </c>
      <c r="G1281">
        <f>Result_notebook_retravaill!G1281</f>
        <v>1574369.961054781</v>
      </c>
      <c r="H1281" s="32">
        <f>IF(Result_notebook_retravaill!I1281&gt;Result_notebook_retravaill!G1281,Result_notebook_retravaill!I1281/Result_notebook_retravaill!N1281,Result_notebook_retravaill!H1281)</f>
        <v>1075205.601428098</v>
      </c>
      <c r="I1281" s="32">
        <f>Result_notebook_retravaill!K1281</f>
        <v>821625.67695115646</v>
      </c>
      <c r="J1281" s="32">
        <f>MIN(G1281,Result_notebook_retravaill!I1281)</f>
        <v>897523.31983616634</v>
      </c>
      <c r="K1281" s="32">
        <f>IF(Result_notebook_retravaill!I1281&gt;Result_notebook_retravaill!G1281,0,IF(Result_notebook_retravaill!I1281+Result_notebook_retravaill!J1281&gt;Result_notebook_retravaill!G1281,Result_notebook_retravaill!G1281-Result_notebook_retravaill!I1281,Result_notebook_retravaill!J1281))</f>
        <v>0</v>
      </c>
      <c r="L1281" s="32">
        <f>IF(Result_notebook_retravaill!I1281&gt;Result_notebook_retravaill!G1281,0,IF(Result_notebook_retravaill!I1281+Result_notebook_retravaill!J1281&gt;Result_notebook_retravaill!G1281,0,Result_notebook_retravaill!M1281))</f>
        <v>676846.64121861465</v>
      </c>
      <c r="M1281" s="31">
        <f t="shared" si="19"/>
        <v>0</v>
      </c>
    </row>
    <row r="1282" spans="1:13" x14ac:dyDescent="0.35">
      <c r="A1282">
        <f>Result_notebook_retravaill!A1282</f>
        <v>2039</v>
      </c>
      <c r="B1282" t="str">
        <f>Result_notebook_retravaill!B1282</f>
        <v>Copper</v>
      </c>
      <c r="C1282" t="str">
        <f>Result_notebook_retravaill!C1282</f>
        <v>Current Measures</v>
      </c>
      <c r="D1282" t="str">
        <f>Result_notebook_retravaill!D1282</f>
        <v>Existing production</v>
      </c>
      <c r="E1282" t="str">
        <f>Result_notebook_retravaill!E1282</f>
        <v>Current shares</v>
      </c>
      <c r="F1282" t="str">
        <f>Result_notebook_retravaill!F1282</f>
        <v>NIMBY</v>
      </c>
      <c r="G1282">
        <f>Result_notebook_retravaill!G1282</f>
        <v>1183188.8670452209</v>
      </c>
      <c r="H1282" s="32">
        <f>IF(Result_notebook_retravaill!I1282&gt;Result_notebook_retravaill!G1282,Result_notebook_retravaill!I1282/Result_notebook_retravaill!N1282,Result_notebook_retravaill!H1282)</f>
        <v>0</v>
      </c>
      <c r="I1282" s="32">
        <f>Result_notebook_retravaill!K1282</f>
        <v>1425528.75547617</v>
      </c>
      <c r="J1282" s="32">
        <f>MIN(G1282,Result_notebook_retravaill!I1282)</f>
        <v>0</v>
      </c>
      <c r="K1282" s="32">
        <f>IF(Result_notebook_retravaill!I1282&gt;Result_notebook_retravaill!G1282,0,IF(Result_notebook_retravaill!I1282+Result_notebook_retravaill!J1282&gt;Result_notebook_retravaill!G1282,Result_notebook_retravaill!G1282-Result_notebook_retravaill!I1282,Result_notebook_retravaill!J1282))</f>
        <v>0</v>
      </c>
      <c r="L1282" s="32">
        <f>IF(Result_notebook_retravaill!I1282&gt;Result_notebook_retravaill!G1282,0,IF(Result_notebook_retravaill!I1282+Result_notebook_retravaill!J1282&gt;Result_notebook_retravaill!G1282,0,Result_notebook_retravaill!M1282))</f>
        <v>1183188.8670452209</v>
      </c>
      <c r="M1282" s="31">
        <f t="shared" si="19"/>
        <v>0</v>
      </c>
    </row>
    <row r="1283" spans="1:13" x14ac:dyDescent="0.35">
      <c r="A1283">
        <f>Result_notebook_retravaill!A1283</f>
        <v>2039</v>
      </c>
      <c r="B1283" t="str">
        <f>Result_notebook_retravaill!B1283</f>
        <v>Copper</v>
      </c>
      <c r="C1283" t="str">
        <f>Result_notebook_retravaill!C1283</f>
        <v>Current Measures</v>
      </c>
      <c r="D1283" t="str">
        <f>Result_notebook_retravaill!D1283</f>
        <v>Existing production</v>
      </c>
      <c r="E1283" t="str">
        <f>Result_notebook_retravaill!E1283</f>
        <v>Current shares</v>
      </c>
      <c r="F1283" t="str">
        <f>Result_notebook_retravaill!F1283</f>
        <v>Status Quo</v>
      </c>
      <c r="G1283">
        <f>Result_notebook_retravaill!G1283</f>
        <v>1183188.8670452209</v>
      </c>
      <c r="H1283" s="32">
        <f>IF(Result_notebook_retravaill!I1283&gt;Result_notebook_retravaill!G1283,Result_notebook_retravaill!I1283/Result_notebook_retravaill!N1283,Result_notebook_retravaill!H1283)</f>
        <v>174130</v>
      </c>
      <c r="I1283" s="32">
        <f>Result_notebook_retravaill!K1283</f>
        <v>1251398.75547617</v>
      </c>
      <c r="J1283" s="32">
        <f>MIN(G1283,Result_notebook_retravaill!I1283)</f>
        <v>91524.240751278106</v>
      </c>
      <c r="K1283" s="32">
        <f>IF(Result_notebook_retravaill!I1283&gt;Result_notebook_retravaill!G1283,0,IF(Result_notebook_retravaill!I1283+Result_notebook_retravaill!J1283&gt;Result_notebook_retravaill!G1283,Result_notebook_retravaill!G1283-Result_notebook_retravaill!I1283,Result_notebook_retravaill!J1283))</f>
        <v>53830.038909738752</v>
      </c>
      <c r="L1283" s="32">
        <f>IF(Result_notebook_retravaill!I1283&gt;Result_notebook_retravaill!G1283,0,IF(Result_notebook_retravaill!I1283+Result_notebook_retravaill!J1283&gt;Result_notebook_retravaill!G1283,0,Result_notebook_retravaill!M1283))</f>
        <v>1037834.5873842043</v>
      </c>
      <c r="M1283" s="31">
        <f t="shared" ref="M1283:M1346" si="20">SUM(J1283:L1283)-G1283</f>
        <v>0</v>
      </c>
    </row>
    <row r="1284" spans="1:13" x14ac:dyDescent="0.35">
      <c r="A1284">
        <f>Result_notebook_retravaill!A1284</f>
        <v>2039</v>
      </c>
      <c r="B1284" t="str">
        <f>Result_notebook_retravaill!B1284</f>
        <v>Copper</v>
      </c>
      <c r="C1284" t="str">
        <f>Result_notebook_retravaill!C1284</f>
        <v>Current Measures</v>
      </c>
      <c r="D1284" t="str">
        <f>Result_notebook_retravaill!D1284</f>
        <v>Production potential</v>
      </c>
      <c r="E1284" t="str">
        <f>Result_notebook_retravaill!E1284</f>
        <v>Current shares</v>
      </c>
      <c r="F1284" t="str">
        <f>Result_notebook_retravaill!F1284</f>
        <v>Expansion Extractive</v>
      </c>
      <c r="G1284">
        <f>Result_notebook_retravaill!G1284</f>
        <v>1183188.8670452209</v>
      </c>
      <c r="H1284" s="32">
        <f>IF(Result_notebook_retravaill!I1284&gt;Result_notebook_retravaill!G1284,Result_notebook_retravaill!I1284/Result_notebook_retravaill!N1284,Result_notebook_retravaill!H1284)</f>
        <v>1075205.601428098</v>
      </c>
      <c r="I1284" s="32">
        <f>Result_notebook_retravaill!K1284</f>
        <v>350323.15404807188</v>
      </c>
      <c r="J1284" s="32">
        <f>MIN(G1284,Result_notebook_retravaill!I1284)</f>
        <v>565137.40494014812</v>
      </c>
      <c r="K1284" s="32">
        <f>IF(Result_notebook_retravaill!I1284&gt;Result_notebook_retravaill!G1284,0,IF(Result_notebook_retravaill!I1284+Result_notebook_retravaill!J1284&gt;Result_notebook_retravaill!G1284,Result_notebook_retravaill!G1284-Result_notebook_retravaill!I1284,Result_notebook_retravaill!J1284))</f>
        <v>332385.91489601799</v>
      </c>
      <c r="L1284" s="32">
        <f>IF(Result_notebook_retravaill!I1284&gt;Result_notebook_retravaill!G1284,0,IF(Result_notebook_retravaill!I1284+Result_notebook_retravaill!J1284&gt;Result_notebook_retravaill!G1284,0,Result_notebook_retravaill!M1284))</f>
        <v>285665.54720905481</v>
      </c>
      <c r="M1284" s="31">
        <f t="shared" si="20"/>
        <v>0</v>
      </c>
    </row>
    <row r="1285" spans="1:13" x14ac:dyDescent="0.35">
      <c r="A1285">
        <f>Result_notebook_retravaill!A1285</f>
        <v>2039</v>
      </c>
      <c r="B1285" t="str">
        <f>Result_notebook_retravaill!B1285</f>
        <v>Copper</v>
      </c>
      <c r="C1285" t="str">
        <f>Result_notebook_retravaill!C1285</f>
        <v>Current Measures</v>
      </c>
      <c r="D1285" t="str">
        <f>Result_notebook_retravaill!D1285</f>
        <v>Production potential</v>
      </c>
      <c r="E1285" t="str">
        <f>Result_notebook_retravaill!E1285</f>
        <v>Current shares</v>
      </c>
      <c r="F1285" t="str">
        <f>Result_notebook_retravaill!F1285</f>
        <v>Expansion Extractive+Circularity</v>
      </c>
      <c r="G1285">
        <f>Result_notebook_retravaill!G1285</f>
        <v>1183188.8670452209</v>
      </c>
      <c r="H1285" s="32">
        <f>IF(Result_notebook_retravaill!I1285&gt;Result_notebook_retravaill!G1285,Result_notebook_retravaill!I1285/Result_notebook_retravaill!N1285,Result_notebook_retravaill!H1285)</f>
        <v>1075205.601428098</v>
      </c>
      <c r="I1285" s="32">
        <f>Result_notebook_retravaill!K1285</f>
        <v>350323.15404807188</v>
      </c>
      <c r="J1285" s="32">
        <f>MIN(G1285,Result_notebook_retravaill!I1285)</f>
        <v>565137.40494014812</v>
      </c>
      <c r="K1285" s="32">
        <f>IF(Result_notebook_retravaill!I1285&gt;Result_notebook_retravaill!G1285,0,IF(Result_notebook_retravaill!I1285+Result_notebook_retravaill!J1285&gt;Result_notebook_retravaill!G1285,Result_notebook_retravaill!G1285-Result_notebook_retravaill!I1285,Result_notebook_retravaill!J1285))</f>
        <v>332385.91489601799</v>
      </c>
      <c r="L1285" s="32">
        <f>IF(Result_notebook_retravaill!I1285&gt;Result_notebook_retravaill!G1285,0,IF(Result_notebook_retravaill!I1285+Result_notebook_retravaill!J1285&gt;Result_notebook_retravaill!G1285,0,Result_notebook_retravaill!M1285))</f>
        <v>285665.54720905481</v>
      </c>
      <c r="M1285" s="31">
        <f t="shared" si="20"/>
        <v>0</v>
      </c>
    </row>
    <row r="1286" spans="1:13" x14ac:dyDescent="0.35">
      <c r="A1286">
        <f>Result_notebook_retravaill!A1286</f>
        <v>2039</v>
      </c>
      <c r="B1286" t="str">
        <f>Result_notebook_retravaill!B1286</f>
        <v>Copper</v>
      </c>
      <c r="C1286" t="str">
        <f>Result_notebook_retravaill!C1286</f>
        <v>Current Measures</v>
      </c>
      <c r="D1286" t="str">
        <f>Result_notebook_retravaill!D1286</f>
        <v>Production potential</v>
      </c>
      <c r="E1286" t="str">
        <f>Result_notebook_retravaill!E1286</f>
        <v>100% CAN</v>
      </c>
      <c r="F1286" t="str">
        <f>Result_notebook_retravaill!F1286</f>
        <v>Integrated</v>
      </c>
      <c r="G1286">
        <f>Result_notebook_retravaill!G1286</f>
        <v>1183188.8670452209</v>
      </c>
      <c r="H1286" s="32">
        <f>IF(Result_notebook_retravaill!I1286&gt;Result_notebook_retravaill!G1286,Result_notebook_retravaill!I1286/Result_notebook_retravaill!N1286,Result_notebook_retravaill!H1286)</f>
        <v>1075205.601428098</v>
      </c>
      <c r="I1286" s="32">
        <f>Result_notebook_retravaill!K1286</f>
        <v>350323.15404807188</v>
      </c>
      <c r="J1286" s="32">
        <f>MIN(G1286,Result_notebook_retravaill!I1286)</f>
        <v>897523.31983616634</v>
      </c>
      <c r="K1286" s="32">
        <f>IF(Result_notebook_retravaill!I1286&gt;Result_notebook_retravaill!G1286,0,IF(Result_notebook_retravaill!I1286+Result_notebook_retravaill!J1286&gt;Result_notebook_retravaill!G1286,Result_notebook_retravaill!G1286-Result_notebook_retravaill!I1286,Result_notebook_retravaill!J1286))</f>
        <v>0</v>
      </c>
      <c r="L1286" s="32">
        <f>IF(Result_notebook_retravaill!I1286&gt;Result_notebook_retravaill!G1286,0,IF(Result_notebook_retravaill!I1286+Result_notebook_retravaill!J1286&gt;Result_notebook_retravaill!G1286,0,Result_notebook_retravaill!M1286))</f>
        <v>285665.54720905458</v>
      </c>
      <c r="M1286" s="31">
        <f t="shared" si="20"/>
        <v>0</v>
      </c>
    </row>
    <row r="1287" spans="1:13" x14ac:dyDescent="0.35">
      <c r="A1287">
        <f>Result_notebook_retravaill!A1287</f>
        <v>2039</v>
      </c>
      <c r="B1287" t="str">
        <f>Result_notebook_retravaill!B1287</f>
        <v>Copper</v>
      </c>
      <c r="C1287" t="str">
        <f>Result_notebook_retravaill!C1287</f>
        <v>Global Net-zero</v>
      </c>
      <c r="D1287" t="str">
        <f>Result_notebook_retravaill!D1287</f>
        <v>Existing production</v>
      </c>
      <c r="E1287" t="str">
        <f>Result_notebook_retravaill!E1287</f>
        <v>Current shares</v>
      </c>
      <c r="F1287" t="str">
        <f>Result_notebook_retravaill!F1287</f>
        <v>NIMBY</v>
      </c>
      <c r="G1287">
        <f>Result_notebook_retravaill!G1287</f>
        <v>1479276.035916927</v>
      </c>
      <c r="H1287" s="32">
        <f>IF(Result_notebook_retravaill!I1287&gt;Result_notebook_retravaill!G1287,Result_notebook_retravaill!I1287/Result_notebook_retravaill!N1287,Result_notebook_retravaill!H1287)</f>
        <v>0</v>
      </c>
      <c r="I1287" s="32">
        <f>Result_notebook_retravaill!K1287</f>
        <v>1782260.2842372621</v>
      </c>
      <c r="J1287" s="32">
        <f>MIN(G1287,Result_notebook_retravaill!I1287)</f>
        <v>0</v>
      </c>
      <c r="K1287" s="32">
        <f>IF(Result_notebook_retravaill!I1287&gt;Result_notebook_retravaill!G1287,0,IF(Result_notebook_retravaill!I1287+Result_notebook_retravaill!J1287&gt;Result_notebook_retravaill!G1287,Result_notebook_retravaill!G1287-Result_notebook_retravaill!I1287,Result_notebook_retravaill!J1287))</f>
        <v>0</v>
      </c>
      <c r="L1287" s="32">
        <f>IF(Result_notebook_retravaill!I1287&gt;Result_notebook_retravaill!G1287,0,IF(Result_notebook_retravaill!I1287+Result_notebook_retravaill!J1287&gt;Result_notebook_retravaill!G1287,0,Result_notebook_retravaill!M1287))</f>
        <v>1479276.035916927</v>
      </c>
      <c r="M1287" s="31">
        <f t="shared" si="20"/>
        <v>0</v>
      </c>
    </row>
    <row r="1288" spans="1:13" x14ac:dyDescent="0.35">
      <c r="A1288">
        <f>Result_notebook_retravaill!A1288</f>
        <v>2039</v>
      </c>
      <c r="B1288" t="str">
        <f>Result_notebook_retravaill!B1288</f>
        <v>Copper</v>
      </c>
      <c r="C1288" t="str">
        <f>Result_notebook_retravaill!C1288</f>
        <v>Global Net-zero</v>
      </c>
      <c r="D1288" t="str">
        <f>Result_notebook_retravaill!D1288</f>
        <v>Existing production</v>
      </c>
      <c r="E1288" t="str">
        <f>Result_notebook_retravaill!E1288</f>
        <v>Current shares</v>
      </c>
      <c r="F1288" t="str">
        <f>Result_notebook_retravaill!F1288</f>
        <v>Status Quo</v>
      </c>
      <c r="G1288">
        <f>Result_notebook_retravaill!G1288</f>
        <v>1479276.035916927</v>
      </c>
      <c r="H1288" s="32">
        <f>IF(Result_notebook_retravaill!I1288&gt;Result_notebook_retravaill!G1288,Result_notebook_retravaill!I1288/Result_notebook_retravaill!N1288,Result_notebook_retravaill!H1288)</f>
        <v>174130</v>
      </c>
      <c r="I1288" s="32">
        <f>Result_notebook_retravaill!K1288</f>
        <v>1608130.2842372621</v>
      </c>
      <c r="J1288" s="32">
        <f>MIN(G1288,Result_notebook_retravaill!I1288)</f>
        <v>91524.240751278106</v>
      </c>
      <c r="K1288" s="32">
        <f>IF(Result_notebook_retravaill!I1288&gt;Result_notebook_retravaill!G1288,0,IF(Result_notebook_retravaill!I1288+Result_notebook_retravaill!J1288&gt;Result_notebook_retravaill!G1288,Result_notebook_retravaill!G1288-Result_notebook_retravaill!I1288,Result_notebook_retravaill!J1288))</f>
        <v>53830.038909738752</v>
      </c>
      <c r="L1288" s="32">
        <f>IF(Result_notebook_retravaill!I1288&gt;Result_notebook_retravaill!G1288,0,IF(Result_notebook_retravaill!I1288+Result_notebook_retravaill!J1288&gt;Result_notebook_retravaill!G1288,0,Result_notebook_retravaill!M1288))</f>
        <v>1333921.7562559103</v>
      </c>
      <c r="M1288" s="31">
        <f t="shared" si="20"/>
        <v>0</v>
      </c>
    </row>
    <row r="1289" spans="1:13" x14ac:dyDescent="0.35">
      <c r="A1289">
        <f>Result_notebook_retravaill!A1289</f>
        <v>2039</v>
      </c>
      <c r="B1289" t="str">
        <f>Result_notebook_retravaill!B1289</f>
        <v>Copper</v>
      </c>
      <c r="C1289" t="str">
        <f>Result_notebook_retravaill!C1289</f>
        <v>Global Net-zero</v>
      </c>
      <c r="D1289" t="str">
        <f>Result_notebook_retravaill!D1289</f>
        <v>Production potential</v>
      </c>
      <c r="E1289" t="str">
        <f>Result_notebook_retravaill!E1289</f>
        <v>Current shares</v>
      </c>
      <c r="F1289" t="str">
        <f>Result_notebook_retravaill!F1289</f>
        <v>Expansion Extractive</v>
      </c>
      <c r="G1289">
        <f>Result_notebook_retravaill!G1289</f>
        <v>1479276.035916927</v>
      </c>
      <c r="H1289" s="32">
        <f>IF(Result_notebook_retravaill!I1289&gt;Result_notebook_retravaill!G1289,Result_notebook_retravaill!I1289/Result_notebook_retravaill!N1289,Result_notebook_retravaill!H1289)</f>
        <v>1075205.601428098</v>
      </c>
      <c r="I1289" s="32">
        <f>Result_notebook_retravaill!K1289</f>
        <v>707054.68280916382</v>
      </c>
      <c r="J1289" s="32">
        <f>MIN(G1289,Result_notebook_retravaill!I1289)</f>
        <v>565137.40494014812</v>
      </c>
      <c r="K1289" s="32">
        <f>IF(Result_notebook_retravaill!I1289&gt;Result_notebook_retravaill!G1289,0,IF(Result_notebook_retravaill!I1289+Result_notebook_retravaill!J1289&gt;Result_notebook_retravaill!G1289,Result_notebook_retravaill!G1289-Result_notebook_retravaill!I1289,Result_notebook_retravaill!J1289))</f>
        <v>332385.91489601799</v>
      </c>
      <c r="L1289" s="32">
        <f>IF(Result_notebook_retravaill!I1289&gt;Result_notebook_retravaill!G1289,0,IF(Result_notebook_retravaill!I1289+Result_notebook_retravaill!J1289&gt;Result_notebook_retravaill!G1289,0,Result_notebook_retravaill!M1289))</f>
        <v>581752.71608076093</v>
      </c>
      <c r="M1289" s="31">
        <f t="shared" si="20"/>
        <v>0</v>
      </c>
    </row>
    <row r="1290" spans="1:13" x14ac:dyDescent="0.35">
      <c r="A1290">
        <f>Result_notebook_retravaill!A1290</f>
        <v>2039</v>
      </c>
      <c r="B1290" t="str">
        <f>Result_notebook_retravaill!B1290</f>
        <v>Copper</v>
      </c>
      <c r="C1290" t="str">
        <f>Result_notebook_retravaill!C1290</f>
        <v>Global Net-zero</v>
      </c>
      <c r="D1290" t="str">
        <f>Result_notebook_retravaill!D1290</f>
        <v>Production potential</v>
      </c>
      <c r="E1290" t="str">
        <f>Result_notebook_retravaill!E1290</f>
        <v>Current shares</v>
      </c>
      <c r="F1290" t="str">
        <f>Result_notebook_retravaill!F1290</f>
        <v>Expansion Extractive+Circularity</v>
      </c>
      <c r="G1290">
        <f>Result_notebook_retravaill!G1290</f>
        <v>1479276.035916927</v>
      </c>
      <c r="H1290" s="32">
        <f>IF(Result_notebook_retravaill!I1290&gt;Result_notebook_retravaill!G1290,Result_notebook_retravaill!I1290/Result_notebook_retravaill!N1290,Result_notebook_retravaill!H1290)</f>
        <v>1075205.601428098</v>
      </c>
      <c r="I1290" s="32">
        <f>Result_notebook_retravaill!K1290</f>
        <v>707054.68280916382</v>
      </c>
      <c r="J1290" s="32">
        <f>MIN(G1290,Result_notebook_retravaill!I1290)</f>
        <v>565137.40494014812</v>
      </c>
      <c r="K1290" s="32">
        <f>IF(Result_notebook_retravaill!I1290&gt;Result_notebook_retravaill!G1290,0,IF(Result_notebook_retravaill!I1290+Result_notebook_retravaill!J1290&gt;Result_notebook_retravaill!G1290,Result_notebook_retravaill!G1290-Result_notebook_retravaill!I1290,Result_notebook_retravaill!J1290))</f>
        <v>332385.91489601799</v>
      </c>
      <c r="L1290" s="32">
        <f>IF(Result_notebook_retravaill!I1290&gt;Result_notebook_retravaill!G1290,0,IF(Result_notebook_retravaill!I1290+Result_notebook_retravaill!J1290&gt;Result_notebook_retravaill!G1290,0,Result_notebook_retravaill!M1290))</f>
        <v>581752.71608076093</v>
      </c>
      <c r="M1290" s="31">
        <f t="shared" si="20"/>
        <v>0</v>
      </c>
    </row>
    <row r="1291" spans="1:13" x14ac:dyDescent="0.35">
      <c r="A1291">
        <f>Result_notebook_retravaill!A1291</f>
        <v>2039</v>
      </c>
      <c r="B1291" t="str">
        <f>Result_notebook_retravaill!B1291</f>
        <v>Copper</v>
      </c>
      <c r="C1291" t="str">
        <f>Result_notebook_retravaill!C1291</f>
        <v>Global Net-zero</v>
      </c>
      <c r="D1291" t="str">
        <f>Result_notebook_retravaill!D1291</f>
        <v>Production potential</v>
      </c>
      <c r="E1291" t="str">
        <f>Result_notebook_retravaill!E1291</f>
        <v>100% CAN</v>
      </c>
      <c r="F1291" t="str">
        <f>Result_notebook_retravaill!F1291</f>
        <v>Integrated</v>
      </c>
      <c r="G1291">
        <f>Result_notebook_retravaill!G1291</f>
        <v>1479276.035916927</v>
      </c>
      <c r="H1291" s="32">
        <f>IF(Result_notebook_retravaill!I1291&gt;Result_notebook_retravaill!G1291,Result_notebook_retravaill!I1291/Result_notebook_retravaill!N1291,Result_notebook_retravaill!H1291)</f>
        <v>1075205.601428098</v>
      </c>
      <c r="I1291" s="32">
        <f>Result_notebook_retravaill!K1291</f>
        <v>707054.68280916382</v>
      </c>
      <c r="J1291" s="32">
        <f>MIN(G1291,Result_notebook_retravaill!I1291)</f>
        <v>897523.31983616634</v>
      </c>
      <c r="K1291" s="32">
        <f>IF(Result_notebook_retravaill!I1291&gt;Result_notebook_retravaill!G1291,0,IF(Result_notebook_retravaill!I1291+Result_notebook_retravaill!J1291&gt;Result_notebook_retravaill!G1291,Result_notebook_retravaill!G1291-Result_notebook_retravaill!I1291,Result_notebook_retravaill!J1291))</f>
        <v>0</v>
      </c>
      <c r="L1291" s="32">
        <f>IF(Result_notebook_retravaill!I1291&gt;Result_notebook_retravaill!G1291,0,IF(Result_notebook_retravaill!I1291+Result_notebook_retravaill!J1291&gt;Result_notebook_retravaill!G1291,0,Result_notebook_retravaill!M1291))</f>
        <v>581752.7160807607</v>
      </c>
      <c r="M1291" s="31">
        <f t="shared" si="20"/>
        <v>0</v>
      </c>
    </row>
    <row r="1292" spans="1:13" x14ac:dyDescent="0.35">
      <c r="A1292">
        <f>Result_notebook_retravaill!A1292</f>
        <v>2039</v>
      </c>
      <c r="B1292" t="str">
        <f>Result_notebook_retravaill!B1292</f>
        <v>Neodymium</v>
      </c>
      <c r="C1292" t="str">
        <f>Result_notebook_retravaill!C1292</f>
        <v>Canada Net-zero</v>
      </c>
      <c r="D1292" t="str">
        <f>Result_notebook_retravaill!D1292</f>
        <v>Existing production</v>
      </c>
      <c r="E1292" t="str">
        <f>Result_notebook_retravaill!E1292</f>
        <v>Current shares</v>
      </c>
      <c r="F1292" t="str">
        <f>Result_notebook_retravaill!F1292</f>
        <v>NIMBY</v>
      </c>
      <c r="G1292">
        <f>Result_notebook_retravaill!G1292</f>
        <v>6923.3275332631974</v>
      </c>
      <c r="H1292" s="32">
        <f>IF(Result_notebook_retravaill!I1292&gt;Result_notebook_retravaill!G1292,Result_notebook_retravaill!I1292/Result_notebook_retravaill!N1292,Result_notebook_retravaill!H1292)</f>
        <v>0</v>
      </c>
      <c r="I1292" s="32">
        <f>Result_notebook_retravaill!K1292</f>
        <v>11538.87922210533</v>
      </c>
      <c r="J1292" s="32">
        <f>MIN(G1292,Result_notebook_retravaill!I1292)</f>
        <v>0</v>
      </c>
      <c r="K1292" s="32">
        <f>IF(Result_notebook_retravaill!I1292&gt;Result_notebook_retravaill!G1292,0,IF(Result_notebook_retravaill!I1292+Result_notebook_retravaill!J1292&gt;Result_notebook_retravaill!G1292,Result_notebook_retravaill!G1292-Result_notebook_retravaill!I1292,Result_notebook_retravaill!J1292))</f>
        <v>0</v>
      </c>
      <c r="L1292" s="32">
        <f>IF(Result_notebook_retravaill!I1292&gt;Result_notebook_retravaill!G1292,0,IF(Result_notebook_retravaill!I1292+Result_notebook_retravaill!J1292&gt;Result_notebook_retravaill!G1292,0,Result_notebook_retravaill!M1292))</f>
        <v>6923.3275332631974</v>
      </c>
      <c r="M1292" s="31">
        <f t="shared" si="20"/>
        <v>0</v>
      </c>
    </row>
    <row r="1293" spans="1:13" x14ac:dyDescent="0.35">
      <c r="A1293">
        <f>Result_notebook_retravaill!A1293</f>
        <v>2039</v>
      </c>
      <c r="B1293" t="str">
        <f>Result_notebook_retravaill!B1293</f>
        <v>Neodymium</v>
      </c>
      <c r="C1293" t="str">
        <f>Result_notebook_retravaill!C1293</f>
        <v>Canada Net-zero</v>
      </c>
      <c r="D1293" t="str">
        <f>Result_notebook_retravaill!D1293</f>
        <v>Existing production</v>
      </c>
      <c r="E1293" t="str">
        <f>Result_notebook_retravaill!E1293</f>
        <v>Current shares</v>
      </c>
      <c r="F1293" t="str">
        <f>Result_notebook_retravaill!F1293</f>
        <v>Status Quo</v>
      </c>
      <c r="G1293">
        <f>Result_notebook_retravaill!G1293</f>
        <v>6923.3275332631974</v>
      </c>
      <c r="H1293" s="32">
        <f>IF(Result_notebook_retravaill!I1293&gt;Result_notebook_retravaill!G1293,Result_notebook_retravaill!I1293/Result_notebook_retravaill!N1293,Result_notebook_retravaill!H1293)</f>
        <v>0</v>
      </c>
      <c r="I1293" s="32">
        <f>Result_notebook_retravaill!K1293</f>
        <v>11538.87922210533</v>
      </c>
      <c r="J1293" s="32">
        <f>MIN(G1293,Result_notebook_retravaill!I1293)</f>
        <v>0</v>
      </c>
      <c r="K1293" s="32">
        <f>IF(Result_notebook_retravaill!I1293&gt;Result_notebook_retravaill!G1293,0,IF(Result_notebook_retravaill!I1293+Result_notebook_retravaill!J1293&gt;Result_notebook_retravaill!G1293,Result_notebook_retravaill!G1293-Result_notebook_retravaill!I1293,Result_notebook_retravaill!J1293))</f>
        <v>0</v>
      </c>
      <c r="L1293" s="32">
        <f>IF(Result_notebook_retravaill!I1293&gt;Result_notebook_retravaill!G1293,0,IF(Result_notebook_retravaill!I1293+Result_notebook_retravaill!J1293&gt;Result_notebook_retravaill!G1293,0,Result_notebook_retravaill!M1293))</f>
        <v>6923.3275332631974</v>
      </c>
      <c r="M1293" s="31">
        <f t="shared" si="20"/>
        <v>0</v>
      </c>
    </row>
    <row r="1294" spans="1:13" x14ac:dyDescent="0.35">
      <c r="A1294">
        <f>Result_notebook_retravaill!A1294</f>
        <v>2039</v>
      </c>
      <c r="B1294" t="str">
        <f>Result_notebook_retravaill!B1294</f>
        <v>Neodymium</v>
      </c>
      <c r="C1294" t="str">
        <f>Result_notebook_retravaill!C1294</f>
        <v>Canada Net-zero</v>
      </c>
      <c r="D1294" t="str">
        <f>Result_notebook_retravaill!D1294</f>
        <v>Production potential</v>
      </c>
      <c r="E1294" t="str">
        <f>Result_notebook_retravaill!E1294</f>
        <v>Current shares</v>
      </c>
      <c r="F1294" t="str">
        <f>Result_notebook_retravaill!F1294</f>
        <v>Expansion Extractive</v>
      </c>
      <c r="G1294">
        <f>Result_notebook_retravaill!G1294</f>
        <v>6923.3275332631974</v>
      </c>
      <c r="H1294" s="32">
        <f>IF(Result_notebook_retravaill!I1294&gt;Result_notebook_retravaill!G1294,Result_notebook_retravaill!I1294/Result_notebook_retravaill!N1294,Result_notebook_retravaill!H1294)</f>
        <v>308.22170458690948</v>
      </c>
      <c r="I1294" s="32">
        <f>Result_notebook_retravaill!K1294</f>
        <v>11230.657517518421</v>
      </c>
      <c r="J1294" s="32">
        <f>MIN(G1294,Result_notebook_retravaill!I1294)</f>
        <v>184.48422544010839</v>
      </c>
      <c r="K1294" s="32">
        <f>IF(Result_notebook_retravaill!I1294&gt;Result_notebook_retravaill!G1294,0,IF(Result_notebook_retravaill!I1294+Result_notebook_retravaill!J1294&gt;Result_notebook_retravaill!G1294,Result_notebook_retravaill!G1294-Result_notebook_retravaill!I1294,Result_notebook_retravaill!J1294))</f>
        <v>123.73747914680109</v>
      </c>
      <c r="L1294" s="32">
        <f>IF(Result_notebook_retravaill!I1294&gt;Result_notebook_retravaill!G1294,0,IF(Result_notebook_retravaill!I1294+Result_notebook_retravaill!J1294&gt;Result_notebook_retravaill!G1294,0,Result_notebook_retravaill!M1294))</f>
        <v>6615.1058286762882</v>
      </c>
      <c r="M1294" s="31">
        <f t="shared" si="20"/>
        <v>0</v>
      </c>
    </row>
    <row r="1295" spans="1:13" x14ac:dyDescent="0.35">
      <c r="A1295">
        <f>Result_notebook_retravaill!A1295</f>
        <v>2039</v>
      </c>
      <c r="B1295" t="str">
        <f>Result_notebook_retravaill!B1295</f>
        <v>Neodymium</v>
      </c>
      <c r="C1295" t="str">
        <f>Result_notebook_retravaill!C1295</f>
        <v>Canada Net-zero</v>
      </c>
      <c r="D1295" t="str">
        <f>Result_notebook_retravaill!D1295</f>
        <v>Production potential</v>
      </c>
      <c r="E1295" t="str">
        <f>Result_notebook_retravaill!E1295</f>
        <v>Current shares</v>
      </c>
      <c r="F1295" t="str">
        <f>Result_notebook_retravaill!F1295</f>
        <v>Expansion Extractive+Circularity</v>
      </c>
      <c r="G1295">
        <f>Result_notebook_retravaill!G1295</f>
        <v>6923.3275332631974</v>
      </c>
      <c r="H1295" s="32">
        <f>IF(Result_notebook_retravaill!I1295&gt;Result_notebook_retravaill!G1295,Result_notebook_retravaill!I1295/Result_notebook_retravaill!N1295,Result_notebook_retravaill!H1295)</f>
        <v>308.22170458690948</v>
      </c>
      <c r="I1295" s="32">
        <f>Result_notebook_retravaill!K1295</f>
        <v>11230.657517518421</v>
      </c>
      <c r="J1295" s="32">
        <f>MIN(G1295,Result_notebook_retravaill!I1295)</f>
        <v>184.48422544010839</v>
      </c>
      <c r="K1295" s="32">
        <f>IF(Result_notebook_retravaill!I1295&gt;Result_notebook_retravaill!G1295,0,IF(Result_notebook_retravaill!I1295+Result_notebook_retravaill!J1295&gt;Result_notebook_retravaill!G1295,Result_notebook_retravaill!G1295-Result_notebook_retravaill!I1295,Result_notebook_retravaill!J1295))</f>
        <v>123.73747914680109</v>
      </c>
      <c r="L1295" s="32">
        <f>IF(Result_notebook_retravaill!I1295&gt;Result_notebook_retravaill!G1295,0,IF(Result_notebook_retravaill!I1295+Result_notebook_retravaill!J1295&gt;Result_notebook_retravaill!G1295,0,Result_notebook_retravaill!M1295))</f>
        <v>6615.1058286762882</v>
      </c>
      <c r="M1295" s="31">
        <f t="shared" si="20"/>
        <v>0</v>
      </c>
    </row>
    <row r="1296" spans="1:13" x14ac:dyDescent="0.35">
      <c r="A1296">
        <f>Result_notebook_retravaill!A1296</f>
        <v>2039</v>
      </c>
      <c r="B1296" t="str">
        <f>Result_notebook_retravaill!B1296</f>
        <v>Neodymium</v>
      </c>
      <c r="C1296" t="str">
        <f>Result_notebook_retravaill!C1296</f>
        <v>Canada Net-zero</v>
      </c>
      <c r="D1296" t="str">
        <f>Result_notebook_retravaill!D1296</f>
        <v>Production potential</v>
      </c>
      <c r="E1296" t="str">
        <f>Result_notebook_retravaill!E1296</f>
        <v>100% CAN</v>
      </c>
      <c r="F1296" t="str">
        <f>Result_notebook_retravaill!F1296</f>
        <v>Integrated</v>
      </c>
      <c r="G1296">
        <f>Result_notebook_retravaill!G1296</f>
        <v>6923.3275332631974</v>
      </c>
      <c r="H1296" s="32">
        <f>IF(Result_notebook_retravaill!I1296&gt;Result_notebook_retravaill!G1296,Result_notebook_retravaill!I1296/Result_notebook_retravaill!N1296,Result_notebook_retravaill!H1296)</f>
        <v>308.22170458690948</v>
      </c>
      <c r="I1296" s="32">
        <f>Result_notebook_retravaill!K1296</f>
        <v>11230.657517518421</v>
      </c>
      <c r="J1296" s="32">
        <f>MIN(G1296,Result_notebook_retravaill!I1296)</f>
        <v>184.48422544010839</v>
      </c>
      <c r="K1296" s="32">
        <f>IF(Result_notebook_retravaill!I1296&gt;Result_notebook_retravaill!G1296,0,IF(Result_notebook_retravaill!I1296+Result_notebook_retravaill!J1296&gt;Result_notebook_retravaill!G1296,Result_notebook_retravaill!G1296-Result_notebook_retravaill!I1296,Result_notebook_retravaill!J1296))</f>
        <v>123.73747914680109</v>
      </c>
      <c r="L1296" s="32">
        <f>IF(Result_notebook_retravaill!I1296&gt;Result_notebook_retravaill!G1296,0,IF(Result_notebook_retravaill!I1296+Result_notebook_retravaill!J1296&gt;Result_notebook_retravaill!G1296,0,Result_notebook_retravaill!M1296))</f>
        <v>6615.1058286762882</v>
      </c>
      <c r="M1296" s="31">
        <f t="shared" si="20"/>
        <v>0</v>
      </c>
    </row>
    <row r="1297" spans="1:13" x14ac:dyDescent="0.35">
      <c r="A1297">
        <f>Result_notebook_retravaill!A1297</f>
        <v>2039</v>
      </c>
      <c r="B1297" t="str">
        <f>Result_notebook_retravaill!B1297</f>
        <v>Neodymium</v>
      </c>
      <c r="C1297" t="str">
        <f>Result_notebook_retravaill!C1297</f>
        <v>Current Measures</v>
      </c>
      <c r="D1297" t="str">
        <f>Result_notebook_retravaill!D1297</f>
        <v>Existing production</v>
      </c>
      <c r="E1297" t="str">
        <f>Result_notebook_retravaill!E1297</f>
        <v>Current shares</v>
      </c>
      <c r="F1297" t="str">
        <f>Result_notebook_retravaill!F1297</f>
        <v>NIMBY</v>
      </c>
      <c r="G1297">
        <f>Result_notebook_retravaill!G1297</f>
        <v>2272.804134899478</v>
      </c>
      <c r="H1297" s="32">
        <f>IF(Result_notebook_retravaill!I1297&gt;Result_notebook_retravaill!G1297,Result_notebook_retravaill!I1297/Result_notebook_retravaill!N1297,Result_notebook_retravaill!H1297)</f>
        <v>0</v>
      </c>
      <c r="I1297" s="32">
        <f>Result_notebook_retravaill!K1297</f>
        <v>3788.0068914991298</v>
      </c>
      <c r="J1297" s="32">
        <f>MIN(G1297,Result_notebook_retravaill!I1297)</f>
        <v>0</v>
      </c>
      <c r="K1297" s="32">
        <f>IF(Result_notebook_retravaill!I1297&gt;Result_notebook_retravaill!G1297,0,IF(Result_notebook_retravaill!I1297+Result_notebook_retravaill!J1297&gt;Result_notebook_retravaill!G1297,Result_notebook_retravaill!G1297-Result_notebook_retravaill!I1297,Result_notebook_retravaill!J1297))</f>
        <v>0</v>
      </c>
      <c r="L1297" s="32">
        <f>IF(Result_notebook_retravaill!I1297&gt;Result_notebook_retravaill!G1297,0,IF(Result_notebook_retravaill!I1297+Result_notebook_retravaill!J1297&gt;Result_notebook_retravaill!G1297,0,Result_notebook_retravaill!M1297))</f>
        <v>2272.804134899478</v>
      </c>
      <c r="M1297" s="31">
        <f t="shared" si="20"/>
        <v>0</v>
      </c>
    </row>
    <row r="1298" spans="1:13" x14ac:dyDescent="0.35">
      <c r="A1298">
        <f>Result_notebook_retravaill!A1298</f>
        <v>2039</v>
      </c>
      <c r="B1298" t="str">
        <f>Result_notebook_retravaill!B1298</f>
        <v>Neodymium</v>
      </c>
      <c r="C1298" t="str">
        <f>Result_notebook_retravaill!C1298</f>
        <v>Current Measures</v>
      </c>
      <c r="D1298" t="str">
        <f>Result_notebook_retravaill!D1298</f>
        <v>Existing production</v>
      </c>
      <c r="E1298" t="str">
        <f>Result_notebook_retravaill!E1298</f>
        <v>Current shares</v>
      </c>
      <c r="F1298" t="str">
        <f>Result_notebook_retravaill!F1298</f>
        <v>Status Quo</v>
      </c>
      <c r="G1298">
        <f>Result_notebook_retravaill!G1298</f>
        <v>2272.804134899478</v>
      </c>
      <c r="H1298" s="32">
        <f>IF(Result_notebook_retravaill!I1298&gt;Result_notebook_retravaill!G1298,Result_notebook_retravaill!I1298/Result_notebook_retravaill!N1298,Result_notebook_retravaill!H1298)</f>
        <v>0</v>
      </c>
      <c r="I1298" s="32">
        <f>Result_notebook_retravaill!K1298</f>
        <v>3788.0068914991298</v>
      </c>
      <c r="J1298" s="32">
        <f>MIN(G1298,Result_notebook_retravaill!I1298)</f>
        <v>0</v>
      </c>
      <c r="K1298" s="32">
        <f>IF(Result_notebook_retravaill!I1298&gt;Result_notebook_retravaill!G1298,0,IF(Result_notebook_retravaill!I1298+Result_notebook_retravaill!J1298&gt;Result_notebook_retravaill!G1298,Result_notebook_retravaill!G1298-Result_notebook_retravaill!I1298,Result_notebook_retravaill!J1298))</f>
        <v>0</v>
      </c>
      <c r="L1298" s="32">
        <f>IF(Result_notebook_retravaill!I1298&gt;Result_notebook_retravaill!G1298,0,IF(Result_notebook_retravaill!I1298+Result_notebook_retravaill!J1298&gt;Result_notebook_retravaill!G1298,0,Result_notebook_retravaill!M1298))</f>
        <v>2272.804134899478</v>
      </c>
      <c r="M1298" s="31">
        <f t="shared" si="20"/>
        <v>0</v>
      </c>
    </row>
    <row r="1299" spans="1:13" x14ac:dyDescent="0.35">
      <c r="A1299">
        <f>Result_notebook_retravaill!A1299</f>
        <v>2039</v>
      </c>
      <c r="B1299" t="str">
        <f>Result_notebook_retravaill!B1299</f>
        <v>Neodymium</v>
      </c>
      <c r="C1299" t="str">
        <f>Result_notebook_retravaill!C1299</f>
        <v>Current Measures</v>
      </c>
      <c r="D1299" t="str">
        <f>Result_notebook_retravaill!D1299</f>
        <v>Production potential</v>
      </c>
      <c r="E1299" t="str">
        <f>Result_notebook_retravaill!E1299</f>
        <v>Current shares</v>
      </c>
      <c r="F1299" t="str">
        <f>Result_notebook_retravaill!F1299</f>
        <v>Expansion Extractive</v>
      </c>
      <c r="G1299">
        <f>Result_notebook_retravaill!G1299</f>
        <v>2272.804134899478</v>
      </c>
      <c r="H1299" s="32">
        <f>IF(Result_notebook_retravaill!I1299&gt;Result_notebook_retravaill!G1299,Result_notebook_retravaill!I1299/Result_notebook_retravaill!N1299,Result_notebook_retravaill!H1299)</f>
        <v>308.22170458690948</v>
      </c>
      <c r="I1299" s="32">
        <f>Result_notebook_retravaill!K1299</f>
        <v>3479.785186912221</v>
      </c>
      <c r="J1299" s="32">
        <f>MIN(G1299,Result_notebook_retravaill!I1299)</f>
        <v>184.48422544010839</v>
      </c>
      <c r="K1299" s="32">
        <f>IF(Result_notebook_retravaill!I1299&gt;Result_notebook_retravaill!G1299,0,IF(Result_notebook_retravaill!I1299+Result_notebook_retravaill!J1299&gt;Result_notebook_retravaill!G1299,Result_notebook_retravaill!G1299-Result_notebook_retravaill!I1299,Result_notebook_retravaill!J1299))</f>
        <v>123.73747914680109</v>
      </c>
      <c r="L1299" s="32">
        <f>IF(Result_notebook_retravaill!I1299&gt;Result_notebook_retravaill!G1299,0,IF(Result_notebook_retravaill!I1299+Result_notebook_retravaill!J1299&gt;Result_notebook_retravaill!G1299,0,Result_notebook_retravaill!M1299))</f>
        <v>1964.5824303125692</v>
      </c>
      <c r="M1299" s="31">
        <f t="shared" si="20"/>
        <v>0</v>
      </c>
    </row>
    <row r="1300" spans="1:13" x14ac:dyDescent="0.35">
      <c r="A1300">
        <f>Result_notebook_retravaill!A1300</f>
        <v>2039</v>
      </c>
      <c r="B1300" t="str">
        <f>Result_notebook_retravaill!B1300</f>
        <v>Neodymium</v>
      </c>
      <c r="C1300" t="str">
        <f>Result_notebook_retravaill!C1300</f>
        <v>Current Measures</v>
      </c>
      <c r="D1300" t="str">
        <f>Result_notebook_retravaill!D1300</f>
        <v>Production potential</v>
      </c>
      <c r="E1300" t="str">
        <f>Result_notebook_retravaill!E1300</f>
        <v>Current shares</v>
      </c>
      <c r="F1300" t="str">
        <f>Result_notebook_retravaill!F1300</f>
        <v>Expansion Extractive+Circularity</v>
      </c>
      <c r="G1300">
        <f>Result_notebook_retravaill!G1300</f>
        <v>2272.804134899478</v>
      </c>
      <c r="H1300" s="32">
        <f>IF(Result_notebook_retravaill!I1300&gt;Result_notebook_retravaill!G1300,Result_notebook_retravaill!I1300/Result_notebook_retravaill!N1300,Result_notebook_retravaill!H1300)</f>
        <v>308.22170458690948</v>
      </c>
      <c r="I1300" s="32">
        <f>Result_notebook_retravaill!K1300</f>
        <v>3479.785186912221</v>
      </c>
      <c r="J1300" s="32">
        <f>MIN(G1300,Result_notebook_retravaill!I1300)</f>
        <v>184.48422544010839</v>
      </c>
      <c r="K1300" s="32">
        <f>IF(Result_notebook_retravaill!I1300&gt;Result_notebook_retravaill!G1300,0,IF(Result_notebook_retravaill!I1300+Result_notebook_retravaill!J1300&gt;Result_notebook_retravaill!G1300,Result_notebook_retravaill!G1300-Result_notebook_retravaill!I1300,Result_notebook_retravaill!J1300))</f>
        <v>123.73747914680109</v>
      </c>
      <c r="L1300" s="32">
        <f>IF(Result_notebook_retravaill!I1300&gt;Result_notebook_retravaill!G1300,0,IF(Result_notebook_retravaill!I1300+Result_notebook_retravaill!J1300&gt;Result_notebook_retravaill!G1300,0,Result_notebook_retravaill!M1300))</f>
        <v>1964.5824303125692</v>
      </c>
      <c r="M1300" s="31">
        <f t="shared" si="20"/>
        <v>0</v>
      </c>
    </row>
    <row r="1301" spans="1:13" x14ac:dyDescent="0.35">
      <c r="A1301">
        <f>Result_notebook_retravaill!A1301</f>
        <v>2039</v>
      </c>
      <c r="B1301" t="str">
        <f>Result_notebook_retravaill!B1301</f>
        <v>Neodymium</v>
      </c>
      <c r="C1301" t="str">
        <f>Result_notebook_retravaill!C1301</f>
        <v>Current Measures</v>
      </c>
      <c r="D1301" t="str">
        <f>Result_notebook_retravaill!D1301</f>
        <v>Production potential</v>
      </c>
      <c r="E1301" t="str">
        <f>Result_notebook_retravaill!E1301</f>
        <v>100% CAN</v>
      </c>
      <c r="F1301" t="str">
        <f>Result_notebook_retravaill!F1301</f>
        <v>Integrated</v>
      </c>
      <c r="G1301">
        <f>Result_notebook_retravaill!G1301</f>
        <v>2272.804134899478</v>
      </c>
      <c r="H1301" s="32">
        <f>IF(Result_notebook_retravaill!I1301&gt;Result_notebook_retravaill!G1301,Result_notebook_retravaill!I1301/Result_notebook_retravaill!N1301,Result_notebook_retravaill!H1301)</f>
        <v>308.22170458690948</v>
      </c>
      <c r="I1301" s="32">
        <f>Result_notebook_retravaill!K1301</f>
        <v>3479.785186912221</v>
      </c>
      <c r="J1301" s="32">
        <f>MIN(G1301,Result_notebook_retravaill!I1301)</f>
        <v>184.48422544010839</v>
      </c>
      <c r="K1301" s="32">
        <f>IF(Result_notebook_retravaill!I1301&gt;Result_notebook_retravaill!G1301,0,IF(Result_notebook_retravaill!I1301+Result_notebook_retravaill!J1301&gt;Result_notebook_retravaill!G1301,Result_notebook_retravaill!G1301-Result_notebook_retravaill!I1301,Result_notebook_retravaill!J1301))</f>
        <v>123.73747914680109</v>
      </c>
      <c r="L1301" s="32">
        <f>IF(Result_notebook_retravaill!I1301&gt;Result_notebook_retravaill!G1301,0,IF(Result_notebook_retravaill!I1301+Result_notebook_retravaill!J1301&gt;Result_notebook_retravaill!G1301,0,Result_notebook_retravaill!M1301))</f>
        <v>1964.5824303125692</v>
      </c>
      <c r="M1301" s="31">
        <f t="shared" si="20"/>
        <v>0</v>
      </c>
    </row>
    <row r="1302" spans="1:13" x14ac:dyDescent="0.35">
      <c r="A1302">
        <f>Result_notebook_retravaill!A1302</f>
        <v>2039</v>
      </c>
      <c r="B1302" t="str">
        <f>Result_notebook_retravaill!B1302</f>
        <v>Neodymium</v>
      </c>
      <c r="C1302" t="str">
        <f>Result_notebook_retravaill!C1302</f>
        <v>Global Net-zero</v>
      </c>
      <c r="D1302" t="str">
        <f>Result_notebook_retravaill!D1302</f>
        <v>Existing production</v>
      </c>
      <c r="E1302" t="str">
        <f>Result_notebook_retravaill!E1302</f>
        <v>Current shares</v>
      </c>
      <c r="F1302" t="str">
        <f>Result_notebook_retravaill!F1302</f>
        <v>NIMBY</v>
      </c>
      <c r="G1302">
        <f>Result_notebook_retravaill!G1302</f>
        <v>6634.0960399936675</v>
      </c>
      <c r="H1302" s="32">
        <f>IF(Result_notebook_retravaill!I1302&gt;Result_notebook_retravaill!G1302,Result_notebook_retravaill!I1302/Result_notebook_retravaill!N1302,Result_notebook_retravaill!H1302)</f>
        <v>0</v>
      </c>
      <c r="I1302" s="32">
        <f>Result_notebook_retravaill!K1302</f>
        <v>11056.82673332278</v>
      </c>
      <c r="J1302" s="32">
        <f>MIN(G1302,Result_notebook_retravaill!I1302)</f>
        <v>0</v>
      </c>
      <c r="K1302" s="32">
        <f>IF(Result_notebook_retravaill!I1302&gt;Result_notebook_retravaill!G1302,0,IF(Result_notebook_retravaill!I1302+Result_notebook_retravaill!J1302&gt;Result_notebook_retravaill!G1302,Result_notebook_retravaill!G1302-Result_notebook_retravaill!I1302,Result_notebook_retravaill!J1302))</f>
        <v>0</v>
      </c>
      <c r="L1302" s="32">
        <f>IF(Result_notebook_retravaill!I1302&gt;Result_notebook_retravaill!G1302,0,IF(Result_notebook_retravaill!I1302+Result_notebook_retravaill!J1302&gt;Result_notebook_retravaill!G1302,0,Result_notebook_retravaill!M1302))</f>
        <v>6634.0960399936675</v>
      </c>
      <c r="M1302" s="31">
        <f t="shared" si="20"/>
        <v>0</v>
      </c>
    </row>
    <row r="1303" spans="1:13" x14ac:dyDescent="0.35">
      <c r="A1303">
        <f>Result_notebook_retravaill!A1303</f>
        <v>2039</v>
      </c>
      <c r="B1303" t="str">
        <f>Result_notebook_retravaill!B1303</f>
        <v>Neodymium</v>
      </c>
      <c r="C1303" t="str">
        <f>Result_notebook_retravaill!C1303</f>
        <v>Global Net-zero</v>
      </c>
      <c r="D1303" t="str">
        <f>Result_notebook_retravaill!D1303</f>
        <v>Existing production</v>
      </c>
      <c r="E1303" t="str">
        <f>Result_notebook_retravaill!E1303</f>
        <v>Current shares</v>
      </c>
      <c r="F1303" t="str">
        <f>Result_notebook_retravaill!F1303</f>
        <v>Status Quo</v>
      </c>
      <c r="G1303">
        <f>Result_notebook_retravaill!G1303</f>
        <v>6634.0960399936675</v>
      </c>
      <c r="H1303" s="32">
        <f>IF(Result_notebook_retravaill!I1303&gt;Result_notebook_retravaill!G1303,Result_notebook_retravaill!I1303/Result_notebook_retravaill!N1303,Result_notebook_retravaill!H1303)</f>
        <v>0</v>
      </c>
      <c r="I1303" s="32">
        <f>Result_notebook_retravaill!K1303</f>
        <v>11056.82673332278</v>
      </c>
      <c r="J1303" s="32">
        <f>MIN(G1303,Result_notebook_retravaill!I1303)</f>
        <v>0</v>
      </c>
      <c r="K1303" s="32">
        <f>IF(Result_notebook_retravaill!I1303&gt;Result_notebook_retravaill!G1303,0,IF(Result_notebook_retravaill!I1303+Result_notebook_retravaill!J1303&gt;Result_notebook_retravaill!G1303,Result_notebook_retravaill!G1303-Result_notebook_retravaill!I1303,Result_notebook_retravaill!J1303))</f>
        <v>0</v>
      </c>
      <c r="L1303" s="32">
        <f>IF(Result_notebook_retravaill!I1303&gt;Result_notebook_retravaill!G1303,0,IF(Result_notebook_retravaill!I1303+Result_notebook_retravaill!J1303&gt;Result_notebook_retravaill!G1303,0,Result_notebook_retravaill!M1303))</f>
        <v>6634.0960399936675</v>
      </c>
      <c r="M1303" s="31">
        <f t="shared" si="20"/>
        <v>0</v>
      </c>
    </row>
    <row r="1304" spans="1:13" x14ac:dyDescent="0.35">
      <c r="A1304">
        <f>Result_notebook_retravaill!A1304</f>
        <v>2039</v>
      </c>
      <c r="B1304" t="str">
        <f>Result_notebook_retravaill!B1304</f>
        <v>Neodymium</v>
      </c>
      <c r="C1304" t="str">
        <f>Result_notebook_retravaill!C1304</f>
        <v>Global Net-zero</v>
      </c>
      <c r="D1304" t="str">
        <f>Result_notebook_retravaill!D1304</f>
        <v>Production potential</v>
      </c>
      <c r="E1304" t="str">
        <f>Result_notebook_retravaill!E1304</f>
        <v>Current shares</v>
      </c>
      <c r="F1304" t="str">
        <f>Result_notebook_retravaill!F1304</f>
        <v>Expansion Extractive</v>
      </c>
      <c r="G1304">
        <f>Result_notebook_retravaill!G1304</f>
        <v>6634.0960399936675</v>
      </c>
      <c r="H1304" s="32">
        <f>IF(Result_notebook_retravaill!I1304&gt;Result_notebook_retravaill!G1304,Result_notebook_retravaill!I1304/Result_notebook_retravaill!N1304,Result_notebook_retravaill!H1304)</f>
        <v>308.22170458690948</v>
      </c>
      <c r="I1304" s="32">
        <f>Result_notebook_retravaill!K1304</f>
        <v>10748.60502873587</v>
      </c>
      <c r="J1304" s="32">
        <f>MIN(G1304,Result_notebook_retravaill!I1304)</f>
        <v>184.48422544010839</v>
      </c>
      <c r="K1304" s="32">
        <f>IF(Result_notebook_retravaill!I1304&gt;Result_notebook_retravaill!G1304,0,IF(Result_notebook_retravaill!I1304+Result_notebook_retravaill!J1304&gt;Result_notebook_retravaill!G1304,Result_notebook_retravaill!G1304-Result_notebook_retravaill!I1304,Result_notebook_retravaill!J1304))</f>
        <v>123.73747914680109</v>
      </c>
      <c r="L1304" s="32">
        <f>IF(Result_notebook_retravaill!I1304&gt;Result_notebook_retravaill!G1304,0,IF(Result_notebook_retravaill!I1304+Result_notebook_retravaill!J1304&gt;Result_notebook_retravaill!G1304,0,Result_notebook_retravaill!M1304))</f>
        <v>6325.8743354067583</v>
      </c>
      <c r="M1304" s="31">
        <f t="shared" si="20"/>
        <v>0</v>
      </c>
    </row>
    <row r="1305" spans="1:13" x14ac:dyDescent="0.35">
      <c r="A1305">
        <f>Result_notebook_retravaill!A1305</f>
        <v>2039</v>
      </c>
      <c r="B1305" t="str">
        <f>Result_notebook_retravaill!B1305</f>
        <v>Neodymium</v>
      </c>
      <c r="C1305" t="str">
        <f>Result_notebook_retravaill!C1305</f>
        <v>Global Net-zero</v>
      </c>
      <c r="D1305" t="str">
        <f>Result_notebook_retravaill!D1305</f>
        <v>Production potential</v>
      </c>
      <c r="E1305" t="str">
        <f>Result_notebook_retravaill!E1305</f>
        <v>Current shares</v>
      </c>
      <c r="F1305" t="str">
        <f>Result_notebook_retravaill!F1305</f>
        <v>Expansion Extractive+Circularity</v>
      </c>
      <c r="G1305">
        <f>Result_notebook_retravaill!G1305</f>
        <v>6634.0960399936675</v>
      </c>
      <c r="H1305" s="32">
        <f>IF(Result_notebook_retravaill!I1305&gt;Result_notebook_retravaill!G1305,Result_notebook_retravaill!I1305/Result_notebook_retravaill!N1305,Result_notebook_retravaill!H1305)</f>
        <v>308.22170458690948</v>
      </c>
      <c r="I1305" s="32">
        <f>Result_notebook_retravaill!K1305</f>
        <v>10748.60502873587</v>
      </c>
      <c r="J1305" s="32">
        <f>MIN(G1305,Result_notebook_retravaill!I1305)</f>
        <v>184.48422544010839</v>
      </c>
      <c r="K1305" s="32">
        <f>IF(Result_notebook_retravaill!I1305&gt;Result_notebook_retravaill!G1305,0,IF(Result_notebook_retravaill!I1305+Result_notebook_retravaill!J1305&gt;Result_notebook_retravaill!G1305,Result_notebook_retravaill!G1305-Result_notebook_retravaill!I1305,Result_notebook_retravaill!J1305))</f>
        <v>123.73747914680109</v>
      </c>
      <c r="L1305" s="32">
        <f>IF(Result_notebook_retravaill!I1305&gt;Result_notebook_retravaill!G1305,0,IF(Result_notebook_retravaill!I1305+Result_notebook_retravaill!J1305&gt;Result_notebook_retravaill!G1305,0,Result_notebook_retravaill!M1305))</f>
        <v>6325.8743354067583</v>
      </c>
      <c r="M1305" s="31">
        <f t="shared" si="20"/>
        <v>0</v>
      </c>
    </row>
    <row r="1306" spans="1:13" x14ac:dyDescent="0.35">
      <c r="A1306">
        <f>Result_notebook_retravaill!A1306</f>
        <v>2039</v>
      </c>
      <c r="B1306" t="str">
        <f>Result_notebook_retravaill!B1306</f>
        <v>Neodymium</v>
      </c>
      <c r="C1306" t="str">
        <f>Result_notebook_retravaill!C1306</f>
        <v>Global Net-zero</v>
      </c>
      <c r="D1306" t="str">
        <f>Result_notebook_retravaill!D1306</f>
        <v>Production potential</v>
      </c>
      <c r="E1306" t="str">
        <f>Result_notebook_retravaill!E1306</f>
        <v>100% CAN</v>
      </c>
      <c r="F1306" t="str">
        <f>Result_notebook_retravaill!F1306</f>
        <v>Integrated</v>
      </c>
      <c r="G1306">
        <f>Result_notebook_retravaill!G1306</f>
        <v>6634.0960399936675</v>
      </c>
      <c r="H1306" s="32">
        <f>IF(Result_notebook_retravaill!I1306&gt;Result_notebook_retravaill!G1306,Result_notebook_retravaill!I1306/Result_notebook_retravaill!N1306,Result_notebook_retravaill!H1306)</f>
        <v>308.22170458690948</v>
      </c>
      <c r="I1306" s="32">
        <f>Result_notebook_retravaill!K1306</f>
        <v>10748.60502873587</v>
      </c>
      <c r="J1306" s="32">
        <f>MIN(G1306,Result_notebook_retravaill!I1306)</f>
        <v>184.48422544010839</v>
      </c>
      <c r="K1306" s="32">
        <f>IF(Result_notebook_retravaill!I1306&gt;Result_notebook_retravaill!G1306,0,IF(Result_notebook_retravaill!I1306+Result_notebook_retravaill!J1306&gt;Result_notebook_retravaill!G1306,Result_notebook_retravaill!G1306-Result_notebook_retravaill!I1306,Result_notebook_retravaill!J1306))</f>
        <v>123.73747914680109</v>
      </c>
      <c r="L1306" s="32">
        <f>IF(Result_notebook_retravaill!I1306&gt;Result_notebook_retravaill!G1306,0,IF(Result_notebook_retravaill!I1306+Result_notebook_retravaill!J1306&gt;Result_notebook_retravaill!G1306,0,Result_notebook_retravaill!M1306))</f>
        <v>6325.8743354067583</v>
      </c>
      <c r="M1306" s="31">
        <f t="shared" si="20"/>
        <v>0</v>
      </c>
    </row>
    <row r="1307" spans="1:13" x14ac:dyDescent="0.35">
      <c r="A1307">
        <f>Result_notebook_retravaill!A1307</f>
        <v>2039</v>
      </c>
      <c r="B1307" t="str">
        <f>Result_notebook_retravaill!B1307</f>
        <v>Nickel</v>
      </c>
      <c r="C1307" t="str">
        <f>Result_notebook_retravaill!C1307</f>
        <v>Canada Net-zero</v>
      </c>
      <c r="D1307" t="str">
        <f>Result_notebook_retravaill!D1307</f>
        <v>Existing production</v>
      </c>
      <c r="E1307" t="str">
        <f>Result_notebook_retravaill!E1307</f>
        <v>Current shares</v>
      </c>
      <c r="F1307" t="str">
        <f>Result_notebook_retravaill!F1307</f>
        <v>NIMBY</v>
      </c>
      <c r="G1307">
        <f>Result_notebook_retravaill!G1307</f>
        <v>196109.6797893378</v>
      </c>
      <c r="H1307" s="32">
        <f>IF(Result_notebook_retravaill!I1307&gt;Result_notebook_retravaill!G1307,Result_notebook_retravaill!I1307/Result_notebook_retravaill!N1307,Result_notebook_retravaill!H1307)</f>
        <v>0</v>
      </c>
      <c r="I1307" s="32">
        <f>Result_notebook_retravaill!K1307</f>
        <v>248240.10099916169</v>
      </c>
      <c r="J1307" s="32">
        <f>MIN(G1307,Result_notebook_retravaill!I1307)</f>
        <v>0</v>
      </c>
      <c r="K1307" s="32">
        <f>IF(Result_notebook_retravaill!I1307&gt;Result_notebook_retravaill!G1307,0,IF(Result_notebook_retravaill!I1307+Result_notebook_retravaill!J1307&gt;Result_notebook_retravaill!G1307,Result_notebook_retravaill!G1307-Result_notebook_retravaill!I1307,Result_notebook_retravaill!J1307))</f>
        <v>0</v>
      </c>
      <c r="L1307" s="32">
        <f>IF(Result_notebook_retravaill!I1307&gt;Result_notebook_retravaill!G1307,0,IF(Result_notebook_retravaill!I1307+Result_notebook_retravaill!J1307&gt;Result_notebook_retravaill!G1307,0,Result_notebook_retravaill!M1307))</f>
        <v>196109.6797893378</v>
      </c>
      <c r="M1307" s="31">
        <f t="shared" si="20"/>
        <v>0</v>
      </c>
    </row>
    <row r="1308" spans="1:13" x14ac:dyDescent="0.35">
      <c r="A1308">
        <f>Result_notebook_retravaill!A1308</f>
        <v>2039</v>
      </c>
      <c r="B1308" t="str">
        <f>Result_notebook_retravaill!B1308</f>
        <v>Nickel</v>
      </c>
      <c r="C1308" t="str">
        <f>Result_notebook_retravaill!C1308</f>
        <v>Canada Net-zero</v>
      </c>
      <c r="D1308" t="str">
        <f>Result_notebook_retravaill!D1308</f>
        <v>Existing production</v>
      </c>
      <c r="E1308" t="str">
        <f>Result_notebook_retravaill!E1308</f>
        <v>Current shares</v>
      </c>
      <c r="F1308" t="str">
        <f>Result_notebook_retravaill!F1308</f>
        <v>Status Quo</v>
      </c>
      <c r="G1308">
        <f>Result_notebook_retravaill!G1308</f>
        <v>196109.6797893378</v>
      </c>
      <c r="H1308" s="32">
        <f>IF(Result_notebook_retravaill!I1308&gt;Result_notebook_retravaill!G1308,Result_notebook_retravaill!I1308/Result_notebook_retravaill!N1308,Result_notebook_retravaill!H1308)</f>
        <v>37000</v>
      </c>
      <c r="I1308" s="32">
        <f>Result_notebook_retravaill!K1308</f>
        <v>211240.10099916169</v>
      </c>
      <c r="J1308" s="32">
        <f>MIN(G1308,Result_notebook_retravaill!I1308)</f>
        <v>20752.561586838339</v>
      </c>
      <c r="K1308" s="32">
        <f>IF(Result_notebook_retravaill!I1308&gt;Result_notebook_retravaill!G1308,0,IF(Result_notebook_retravaill!I1308+Result_notebook_retravaill!J1308&gt;Result_notebook_retravaill!G1308,Result_notebook_retravaill!G1308-Result_notebook_retravaill!I1308,Result_notebook_retravaill!J1308))</f>
        <v>5116.7458370366039</v>
      </c>
      <c r="L1308" s="32">
        <f>IF(Result_notebook_retravaill!I1308&gt;Result_notebook_retravaill!G1308,0,IF(Result_notebook_retravaill!I1308+Result_notebook_retravaill!J1308&gt;Result_notebook_retravaill!G1308,0,Result_notebook_retravaill!M1308))</f>
        <v>170240.37236546288</v>
      </c>
      <c r="M1308" s="31">
        <f t="shared" si="20"/>
        <v>0</v>
      </c>
    </row>
    <row r="1309" spans="1:13" x14ac:dyDescent="0.35">
      <c r="A1309">
        <f>Result_notebook_retravaill!A1309</f>
        <v>2039</v>
      </c>
      <c r="B1309" t="str">
        <f>Result_notebook_retravaill!B1309</f>
        <v>Nickel</v>
      </c>
      <c r="C1309" t="str">
        <f>Result_notebook_retravaill!C1309</f>
        <v>Canada Net-zero</v>
      </c>
      <c r="D1309" t="str">
        <f>Result_notebook_retravaill!D1309</f>
        <v>Production potential</v>
      </c>
      <c r="E1309" t="str">
        <f>Result_notebook_retravaill!E1309</f>
        <v>Current shares</v>
      </c>
      <c r="F1309" t="str">
        <f>Result_notebook_retravaill!F1309</f>
        <v>Expansion Extractive</v>
      </c>
      <c r="G1309">
        <f>Result_notebook_retravaill!G1309</f>
        <v>196109.6797893378</v>
      </c>
      <c r="H1309" s="32">
        <f>IF(Result_notebook_retravaill!I1309&gt;Result_notebook_retravaill!G1309,Result_notebook_retravaill!I1309/Result_notebook_retravaill!N1309,Result_notebook_retravaill!H1309)</f>
        <v>269842.82978615753</v>
      </c>
      <c r="I1309" s="32">
        <f>Result_notebook_retravaill!K1309</f>
        <v>0</v>
      </c>
      <c r="J1309" s="32">
        <f>MIN(G1309,Result_notebook_retravaill!I1309)</f>
        <v>151349.45794335051</v>
      </c>
      <c r="K1309" s="32">
        <f>IF(Result_notebook_retravaill!I1309&gt;Result_notebook_retravaill!G1309,0,IF(Result_notebook_retravaill!I1309+Result_notebook_retravaill!J1309&gt;Result_notebook_retravaill!G1309,Result_notebook_retravaill!G1309-Result_notebook_retravaill!I1309,Result_notebook_retravaill!J1309))</f>
        <v>37316.680431418878</v>
      </c>
      <c r="L1309" s="32">
        <f>IF(Result_notebook_retravaill!I1309&gt;Result_notebook_retravaill!G1309,0,IF(Result_notebook_retravaill!I1309+Result_notebook_retravaill!J1309&gt;Result_notebook_retravaill!G1309,0,Result_notebook_retravaill!M1309))</f>
        <v>7443.5414145684335</v>
      </c>
      <c r="M1309" s="31">
        <f t="shared" si="20"/>
        <v>0</v>
      </c>
    </row>
    <row r="1310" spans="1:13" x14ac:dyDescent="0.35">
      <c r="A1310">
        <f>Result_notebook_retravaill!A1310</f>
        <v>2039</v>
      </c>
      <c r="B1310" t="str">
        <f>Result_notebook_retravaill!B1310</f>
        <v>Nickel</v>
      </c>
      <c r="C1310" t="str">
        <f>Result_notebook_retravaill!C1310</f>
        <v>Canada Net-zero</v>
      </c>
      <c r="D1310" t="str">
        <f>Result_notebook_retravaill!D1310</f>
        <v>Production potential</v>
      </c>
      <c r="E1310" t="str">
        <f>Result_notebook_retravaill!E1310</f>
        <v>Current shares</v>
      </c>
      <c r="F1310" t="str">
        <f>Result_notebook_retravaill!F1310</f>
        <v>Expansion Extractive+Circularity</v>
      </c>
      <c r="G1310">
        <f>Result_notebook_retravaill!G1310</f>
        <v>196109.6797893378</v>
      </c>
      <c r="H1310" s="32">
        <f>IF(Result_notebook_retravaill!I1310&gt;Result_notebook_retravaill!G1310,Result_notebook_retravaill!I1310/Result_notebook_retravaill!N1310,Result_notebook_retravaill!H1310)</f>
        <v>269842.82978615753</v>
      </c>
      <c r="I1310" s="32">
        <f>Result_notebook_retravaill!K1310</f>
        <v>0</v>
      </c>
      <c r="J1310" s="32">
        <f>MIN(G1310,Result_notebook_retravaill!I1310)</f>
        <v>151349.45794335051</v>
      </c>
      <c r="K1310" s="32">
        <f>IF(Result_notebook_retravaill!I1310&gt;Result_notebook_retravaill!G1310,0,IF(Result_notebook_retravaill!I1310+Result_notebook_retravaill!J1310&gt;Result_notebook_retravaill!G1310,Result_notebook_retravaill!G1310-Result_notebook_retravaill!I1310,Result_notebook_retravaill!J1310))</f>
        <v>37316.680431418878</v>
      </c>
      <c r="L1310" s="32">
        <f>IF(Result_notebook_retravaill!I1310&gt;Result_notebook_retravaill!G1310,0,IF(Result_notebook_retravaill!I1310+Result_notebook_retravaill!J1310&gt;Result_notebook_retravaill!G1310,0,Result_notebook_retravaill!M1310))</f>
        <v>7443.5414145684335</v>
      </c>
      <c r="M1310" s="31">
        <f t="shared" si="20"/>
        <v>0</v>
      </c>
    </row>
    <row r="1311" spans="1:13" x14ac:dyDescent="0.35">
      <c r="A1311">
        <f>Result_notebook_retravaill!A1311</f>
        <v>2039</v>
      </c>
      <c r="B1311" t="str">
        <f>Result_notebook_retravaill!B1311</f>
        <v>Nickel</v>
      </c>
      <c r="C1311" t="str">
        <f>Result_notebook_retravaill!C1311</f>
        <v>Canada Net-zero</v>
      </c>
      <c r="D1311" t="str">
        <f>Result_notebook_retravaill!D1311</f>
        <v>Production potential</v>
      </c>
      <c r="E1311" t="str">
        <f>Result_notebook_retravaill!E1311</f>
        <v>100% CAN</v>
      </c>
      <c r="F1311" t="str">
        <f>Result_notebook_retravaill!F1311</f>
        <v>Integrated</v>
      </c>
      <c r="G1311">
        <f>Result_notebook_retravaill!G1311</f>
        <v>196109.6797893378</v>
      </c>
      <c r="H1311" s="32">
        <f>IF(Result_notebook_retravaill!I1311&gt;Result_notebook_retravaill!G1311,Result_notebook_retravaill!I1311/Result_notebook_retravaill!N1311,Result_notebook_retravaill!H1311)</f>
        <v>303954.58304456988</v>
      </c>
      <c r="I1311" s="32">
        <f>Result_notebook_retravaill!K1311</f>
        <v>0</v>
      </c>
      <c r="J1311" s="32">
        <f>MIN(G1311,Result_notebook_retravaill!I1311)</f>
        <v>196109.6797893378</v>
      </c>
      <c r="K1311" s="32">
        <f>IF(Result_notebook_retravaill!I1311&gt;Result_notebook_retravaill!G1311,0,IF(Result_notebook_retravaill!I1311+Result_notebook_retravaill!J1311&gt;Result_notebook_retravaill!G1311,Result_notebook_retravaill!G1311-Result_notebook_retravaill!I1311,Result_notebook_retravaill!J1311))</f>
        <v>0</v>
      </c>
      <c r="L1311" s="32">
        <f>IF(Result_notebook_retravaill!I1311&gt;Result_notebook_retravaill!G1311,0,IF(Result_notebook_retravaill!I1311+Result_notebook_retravaill!J1311&gt;Result_notebook_retravaill!G1311,0,Result_notebook_retravaill!M1311))</f>
        <v>0</v>
      </c>
      <c r="M1311" s="31">
        <f t="shared" si="20"/>
        <v>0</v>
      </c>
    </row>
    <row r="1312" spans="1:13" x14ac:dyDescent="0.35">
      <c r="A1312">
        <f>Result_notebook_retravaill!A1312</f>
        <v>2039</v>
      </c>
      <c r="B1312" t="str">
        <f>Result_notebook_retravaill!B1312</f>
        <v>Nickel</v>
      </c>
      <c r="C1312" t="str">
        <f>Result_notebook_retravaill!C1312</f>
        <v>Current Measures</v>
      </c>
      <c r="D1312" t="str">
        <f>Result_notebook_retravaill!D1312</f>
        <v>Existing production</v>
      </c>
      <c r="E1312" t="str">
        <f>Result_notebook_retravaill!E1312</f>
        <v>Current shares</v>
      </c>
      <c r="F1312" t="str">
        <f>Result_notebook_retravaill!F1312</f>
        <v>NIMBY</v>
      </c>
      <c r="G1312">
        <f>Result_notebook_retravaill!G1312</f>
        <v>76434.087778382978</v>
      </c>
      <c r="H1312" s="32">
        <f>IF(Result_notebook_retravaill!I1312&gt;Result_notebook_retravaill!G1312,Result_notebook_retravaill!I1312/Result_notebook_retravaill!N1312,Result_notebook_retravaill!H1312)</f>
        <v>0</v>
      </c>
      <c r="I1312" s="32">
        <f>Result_notebook_retravaill!K1312</f>
        <v>96752.009846054396</v>
      </c>
      <c r="J1312" s="32">
        <f>MIN(G1312,Result_notebook_retravaill!I1312)</f>
        <v>0</v>
      </c>
      <c r="K1312" s="32">
        <f>IF(Result_notebook_retravaill!I1312&gt;Result_notebook_retravaill!G1312,0,IF(Result_notebook_retravaill!I1312+Result_notebook_retravaill!J1312&gt;Result_notebook_retravaill!G1312,Result_notebook_retravaill!G1312-Result_notebook_retravaill!I1312,Result_notebook_retravaill!J1312))</f>
        <v>0</v>
      </c>
      <c r="L1312" s="32">
        <f>IF(Result_notebook_retravaill!I1312&gt;Result_notebook_retravaill!G1312,0,IF(Result_notebook_retravaill!I1312+Result_notebook_retravaill!J1312&gt;Result_notebook_retravaill!G1312,0,Result_notebook_retravaill!M1312))</f>
        <v>76434.087778382978</v>
      </c>
      <c r="M1312" s="31">
        <f t="shared" si="20"/>
        <v>0</v>
      </c>
    </row>
    <row r="1313" spans="1:13" x14ac:dyDescent="0.35">
      <c r="A1313">
        <f>Result_notebook_retravaill!A1313</f>
        <v>2039</v>
      </c>
      <c r="B1313" t="str">
        <f>Result_notebook_retravaill!B1313</f>
        <v>Nickel</v>
      </c>
      <c r="C1313" t="str">
        <f>Result_notebook_retravaill!C1313</f>
        <v>Current Measures</v>
      </c>
      <c r="D1313" t="str">
        <f>Result_notebook_retravaill!D1313</f>
        <v>Existing production</v>
      </c>
      <c r="E1313" t="str">
        <f>Result_notebook_retravaill!E1313</f>
        <v>Current shares</v>
      </c>
      <c r="F1313" t="str">
        <f>Result_notebook_retravaill!F1313</f>
        <v>Status Quo</v>
      </c>
      <c r="G1313">
        <f>Result_notebook_retravaill!G1313</f>
        <v>76434.087778382978</v>
      </c>
      <c r="H1313" s="32">
        <f>IF(Result_notebook_retravaill!I1313&gt;Result_notebook_retravaill!G1313,Result_notebook_retravaill!I1313/Result_notebook_retravaill!N1313,Result_notebook_retravaill!H1313)</f>
        <v>37000</v>
      </c>
      <c r="I1313" s="32">
        <f>Result_notebook_retravaill!K1313</f>
        <v>59752.009846054403</v>
      </c>
      <c r="J1313" s="32">
        <f>MIN(G1313,Result_notebook_retravaill!I1313)</f>
        <v>20752.561586838339</v>
      </c>
      <c r="K1313" s="32">
        <f>IF(Result_notebook_retravaill!I1313&gt;Result_notebook_retravaill!G1313,0,IF(Result_notebook_retravaill!I1313+Result_notebook_retravaill!J1313&gt;Result_notebook_retravaill!G1313,Result_notebook_retravaill!G1313-Result_notebook_retravaill!I1313,Result_notebook_retravaill!J1313))</f>
        <v>5116.7458370366039</v>
      </c>
      <c r="L1313" s="32">
        <f>IF(Result_notebook_retravaill!I1313&gt;Result_notebook_retravaill!G1313,0,IF(Result_notebook_retravaill!I1313+Result_notebook_retravaill!J1313&gt;Result_notebook_retravaill!G1313,0,Result_notebook_retravaill!M1313))</f>
        <v>50564.780354508039</v>
      </c>
      <c r="M1313" s="31">
        <f t="shared" si="20"/>
        <v>0</v>
      </c>
    </row>
    <row r="1314" spans="1:13" x14ac:dyDescent="0.35">
      <c r="A1314">
        <f>Result_notebook_retravaill!A1314</f>
        <v>2039</v>
      </c>
      <c r="B1314" t="str">
        <f>Result_notebook_retravaill!B1314</f>
        <v>Nickel</v>
      </c>
      <c r="C1314" t="str">
        <f>Result_notebook_retravaill!C1314</f>
        <v>Current Measures</v>
      </c>
      <c r="D1314" t="str">
        <f>Result_notebook_retravaill!D1314</f>
        <v>Production potential</v>
      </c>
      <c r="E1314" t="str">
        <f>Result_notebook_retravaill!E1314</f>
        <v>Current shares</v>
      </c>
      <c r="F1314" t="str">
        <f>Result_notebook_retravaill!F1314</f>
        <v>Expansion Extractive</v>
      </c>
      <c r="G1314">
        <f>Result_notebook_retravaill!G1314</f>
        <v>76434.087778382978</v>
      </c>
      <c r="H1314" s="32">
        <f>IF(Result_notebook_retravaill!I1314&gt;Result_notebook_retravaill!G1314,Result_notebook_retravaill!I1314/Result_notebook_retravaill!N1314,Result_notebook_retravaill!H1314)</f>
        <v>216470.03733605018</v>
      </c>
      <c r="I1314" s="32">
        <f>Result_notebook_retravaill!K1314</f>
        <v>0</v>
      </c>
      <c r="J1314" s="32">
        <f>MIN(G1314,Result_notebook_retravaill!I1314)</f>
        <v>76434.087778382978</v>
      </c>
      <c r="K1314" s="32">
        <f>IF(Result_notebook_retravaill!I1314&gt;Result_notebook_retravaill!G1314,0,IF(Result_notebook_retravaill!I1314+Result_notebook_retravaill!J1314&gt;Result_notebook_retravaill!G1314,Result_notebook_retravaill!G1314-Result_notebook_retravaill!I1314,Result_notebook_retravaill!J1314))</f>
        <v>0</v>
      </c>
      <c r="L1314" s="32">
        <f>IF(Result_notebook_retravaill!I1314&gt;Result_notebook_retravaill!G1314,0,IF(Result_notebook_retravaill!I1314+Result_notebook_retravaill!J1314&gt;Result_notebook_retravaill!G1314,0,Result_notebook_retravaill!M1314))</f>
        <v>0</v>
      </c>
      <c r="M1314" s="31">
        <f t="shared" si="20"/>
        <v>0</v>
      </c>
    </row>
    <row r="1315" spans="1:13" x14ac:dyDescent="0.35">
      <c r="A1315">
        <f>Result_notebook_retravaill!A1315</f>
        <v>2039</v>
      </c>
      <c r="B1315" t="str">
        <f>Result_notebook_retravaill!B1315</f>
        <v>Nickel</v>
      </c>
      <c r="C1315" t="str">
        <f>Result_notebook_retravaill!C1315</f>
        <v>Current Measures</v>
      </c>
      <c r="D1315" t="str">
        <f>Result_notebook_retravaill!D1315</f>
        <v>Production potential</v>
      </c>
      <c r="E1315" t="str">
        <f>Result_notebook_retravaill!E1315</f>
        <v>Current shares</v>
      </c>
      <c r="F1315" t="str">
        <f>Result_notebook_retravaill!F1315</f>
        <v>Expansion Extractive+Circularity</v>
      </c>
      <c r="G1315">
        <f>Result_notebook_retravaill!G1315</f>
        <v>76434.087778382978</v>
      </c>
      <c r="H1315" s="32">
        <f>IF(Result_notebook_retravaill!I1315&gt;Result_notebook_retravaill!G1315,Result_notebook_retravaill!I1315/Result_notebook_retravaill!N1315,Result_notebook_retravaill!H1315)</f>
        <v>216470.03733605018</v>
      </c>
      <c r="I1315" s="32">
        <f>Result_notebook_retravaill!K1315</f>
        <v>0</v>
      </c>
      <c r="J1315" s="32">
        <f>MIN(G1315,Result_notebook_retravaill!I1315)</f>
        <v>76434.087778382978</v>
      </c>
      <c r="K1315" s="32">
        <f>IF(Result_notebook_retravaill!I1315&gt;Result_notebook_retravaill!G1315,0,IF(Result_notebook_retravaill!I1315+Result_notebook_retravaill!J1315&gt;Result_notebook_retravaill!G1315,Result_notebook_retravaill!G1315-Result_notebook_retravaill!I1315,Result_notebook_retravaill!J1315))</f>
        <v>0</v>
      </c>
      <c r="L1315" s="32">
        <f>IF(Result_notebook_retravaill!I1315&gt;Result_notebook_retravaill!G1315,0,IF(Result_notebook_retravaill!I1315+Result_notebook_retravaill!J1315&gt;Result_notebook_retravaill!G1315,0,Result_notebook_retravaill!M1315))</f>
        <v>0</v>
      </c>
      <c r="M1315" s="31">
        <f t="shared" si="20"/>
        <v>0</v>
      </c>
    </row>
    <row r="1316" spans="1:13" x14ac:dyDescent="0.35">
      <c r="A1316">
        <f>Result_notebook_retravaill!A1316</f>
        <v>2039</v>
      </c>
      <c r="B1316" t="str">
        <f>Result_notebook_retravaill!B1316</f>
        <v>Nickel</v>
      </c>
      <c r="C1316" t="str">
        <f>Result_notebook_retravaill!C1316</f>
        <v>Current Measures</v>
      </c>
      <c r="D1316" t="str">
        <f>Result_notebook_retravaill!D1316</f>
        <v>Production potential</v>
      </c>
      <c r="E1316" t="str">
        <f>Result_notebook_retravaill!E1316</f>
        <v>100% CAN</v>
      </c>
      <c r="F1316" t="str">
        <f>Result_notebook_retravaill!F1316</f>
        <v>Integrated</v>
      </c>
      <c r="G1316">
        <f>Result_notebook_retravaill!G1316</f>
        <v>76434.087778382978</v>
      </c>
      <c r="H1316" s="32">
        <f>IF(Result_notebook_retravaill!I1316&gt;Result_notebook_retravaill!G1316,Result_notebook_retravaill!I1316/Result_notebook_retravaill!N1316,Result_notebook_retravaill!H1316)</f>
        <v>303954.58304456988</v>
      </c>
      <c r="I1316" s="32">
        <f>Result_notebook_retravaill!K1316</f>
        <v>0</v>
      </c>
      <c r="J1316" s="32">
        <f>MIN(G1316,Result_notebook_retravaill!I1316)</f>
        <v>76434.087778382978</v>
      </c>
      <c r="K1316" s="32">
        <f>IF(Result_notebook_retravaill!I1316&gt;Result_notebook_retravaill!G1316,0,IF(Result_notebook_retravaill!I1316+Result_notebook_retravaill!J1316&gt;Result_notebook_retravaill!G1316,Result_notebook_retravaill!G1316-Result_notebook_retravaill!I1316,Result_notebook_retravaill!J1316))</f>
        <v>0</v>
      </c>
      <c r="L1316" s="32">
        <f>IF(Result_notebook_retravaill!I1316&gt;Result_notebook_retravaill!G1316,0,IF(Result_notebook_retravaill!I1316+Result_notebook_retravaill!J1316&gt;Result_notebook_retravaill!G1316,0,Result_notebook_retravaill!M1316))</f>
        <v>0</v>
      </c>
      <c r="M1316" s="31">
        <f t="shared" si="20"/>
        <v>0</v>
      </c>
    </row>
    <row r="1317" spans="1:13" x14ac:dyDescent="0.35">
      <c r="A1317">
        <f>Result_notebook_retravaill!A1317</f>
        <v>2039</v>
      </c>
      <c r="B1317" t="str">
        <f>Result_notebook_retravaill!B1317</f>
        <v>Nickel</v>
      </c>
      <c r="C1317" t="str">
        <f>Result_notebook_retravaill!C1317</f>
        <v>Global Net-zero</v>
      </c>
      <c r="D1317" t="str">
        <f>Result_notebook_retravaill!D1317</f>
        <v>Existing production</v>
      </c>
      <c r="E1317" t="str">
        <f>Result_notebook_retravaill!E1317</f>
        <v>Current shares</v>
      </c>
      <c r="F1317" t="str">
        <f>Result_notebook_retravaill!F1317</f>
        <v>NIMBY</v>
      </c>
      <c r="G1317">
        <f>Result_notebook_retravaill!G1317</f>
        <v>187945.44464517839</v>
      </c>
      <c r="H1317" s="32">
        <f>IF(Result_notebook_retravaill!I1317&gt;Result_notebook_retravaill!G1317,Result_notebook_retravaill!I1317/Result_notebook_retravaill!N1317,Result_notebook_retravaill!H1317)</f>
        <v>0</v>
      </c>
      <c r="I1317" s="32">
        <f>Result_notebook_retravaill!K1317</f>
        <v>237905.62613313721</v>
      </c>
      <c r="J1317" s="32">
        <f>MIN(G1317,Result_notebook_retravaill!I1317)</f>
        <v>0</v>
      </c>
      <c r="K1317" s="32">
        <f>IF(Result_notebook_retravaill!I1317&gt;Result_notebook_retravaill!G1317,0,IF(Result_notebook_retravaill!I1317+Result_notebook_retravaill!J1317&gt;Result_notebook_retravaill!G1317,Result_notebook_retravaill!G1317-Result_notebook_retravaill!I1317,Result_notebook_retravaill!J1317))</f>
        <v>0</v>
      </c>
      <c r="L1317" s="32">
        <f>IF(Result_notebook_retravaill!I1317&gt;Result_notebook_retravaill!G1317,0,IF(Result_notebook_retravaill!I1317+Result_notebook_retravaill!J1317&gt;Result_notebook_retravaill!G1317,0,Result_notebook_retravaill!M1317))</f>
        <v>187945.44464517839</v>
      </c>
      <c r="M1317" s="31">
        <f t="shared" si="20"/>
        <v>0</v>
      </c>
    </row>
    <row r="1318" spans="1:13" x14ac:dyDescent="0.35">
      <c r="A1318">
        <f>Result_notebook_retravaill!A1318</f>
        <v>2039</v>
      </c>
      <c r="B1318" t="str">
        <f>Result_notebook_retravaill!B1318</f>
        <v>Nickel</v>
      </c>
      <c r="C1318" t="str">
        <f>Result_notebook_retravaill!C1318</f>
        <v>Global Net-zero</v>
      </c>
      <c r="D1318" t="str">
        <f>Result_notebook_retravaill!D1318</f>
        <v>Existing production</v>
      </c>
      <c r="E1318" t="str">
        <f>Result_notebook_retravaill!E1318</f>
        <v>Current shares</v>
      </c>
      <c r="F1318" t="str">
        <f>Result_notebook_retravaill!F1318</f>
        <v>Status Quo</v>
      </c>
      <c r="G1318">
        <f>Result_notebook_retravaill!G1318</f>
        <v>187945.44464517839</v>
      </c>
      <c r="H1318" s="32">
        <f>IF(Result_notebook_retravaill!I1318&gt;Result_notebook_retravaill!G1318,Result_notebook_retravaill!I1318/Result_notebook_retravaill!N1318,Result_notebook_retravaill!H1318)</f>
        <v>37000</v>
      </c>
      <c r="I1318" s="32">
        <f>Result_notebook_retravaill!K1318</f>
        <v>200905.62613313721</v>
      </c>
      <c r="J1318" s="32">
        <f>MIN(G1318,Result_notebook_retravaill!I1318)</f>
        <v>20752.561586838339</v>
      </c>
      <c r="K1318" s="32">
        <f>IF(Result_notebook_retravaill!I1318&gt;Result_notebook_retravaill!G1318,0,IF(Result_notebook_retravaill!I1318+Result_notebook_retravaill!J1318&gt;Result_notebook_retravaill!G1318,Result_notebook_retravaill!G1318-Result_notebook_retravaill!I1318,Result_notebook_retravaill!J1318))</f>
        <v>5116.7458370366039</v>
      </c>
      <c r="L1318" s="32">
        <f>IF(Result_notebook_retravaill!I1318&gt;Result_notebook_retravaill!G1318,0,IF(Result_notebook_retravaill!I1318+Result_notebook_retravaill!J1318&gt;Result_notebook_retravaill!G1318,0,Result_notebook_retravaill!M1318))</f>
        <v>162076.13722130351</v>
      </c>
      <c r="M1318" s="31">
        <f t="shared" si="20"/>
        <v>0</v>
      </c>
    </row>
    <row r="1319" spans="1:13" x14ac:dyDescent="0.35">
      <c r="A1319">
        <f>Result_notebook_retravaill!A1319</f>
        <v>2039</v>
      </c>
      <c r="B1319" t="str">
        <f>Result_notebook_retravaill!B1319</f>
        <v>Nickel</v>
      </c>
      <c r="C1319" t="str">
        <f>Result_notebook_retravaill!C1319</f>
        <v>Global Net-zero</v>
      </c>
      <c r="D1319" t="str">
        <f>Result_notebook_retravaill!D1319</f>
        <v>Production potential</v>
      </c>
      <c r="E1319" t="str">
        <f>Result_notebook_retravaill!E1319</f>
        <v>Current shares</v>
      </c>
      <c r="F1319" t="str">
        <f>Result_notebook_retravaill!F1319</f>
        <v>Expansion Extractive</v>
      </c>
      <c r="G1319">
        <f>Result_notebook_retravaill!G1319</f>
        <v>187945.44464517839</v>
      </c>
      <c r="H1319" s="32">
        <f>IF(Result_notebook_retravaill!I1319&gt;Result_notebook_retravaill!G1319,Result_notebook_retravaill!I1319/Result_notebook_retravaill!N1319,Result_notebook_retravaill!H1319)</f>
        <v>269842.82978615753</v>
      </c>
      <c r="I1319" s="32">
        <f>Result_notebook_retravaill!K1319</f>
        <v>0</v>
      </c>
      <c r="J1319" s="32">
        <f>MIN(G1319,Result_notebook_retravaill!I1319)</f>
        <v>151349.45794335051</v>
      </c>
      <c r="K1319" s="32">
        <f>IF(Result_notebook_retravaill!I1319&gt;Result_notebook_retravaill!G1319,0,IF(Result_notebook_retravaill!I1319+Result_notebook_retravaill!J1319&gt;Result_notebook_retravaill!G1319,Result_notebook_retravaill!G1319-Result_notebook_retravaill!I1319,Result_notebook_retravaill!J1319))</f>
        <v>36595.986701827875</v>
      </c>
      <c r="L1319" s="32">
        <f>IF(Result_notebook_retravaill!I1319&gt;Result_notebook_retravaill!G1319,0,IF(Result_notebook_retravaill!I1319+Result_notebook_retravaill!J1319&gt;Result_notebook_retravaill!G1319,0,Result_notebook_retravaill!M1319))</f>
        <v>0</v>
      </c>
      <c r="M1319" s="31">
        <f t="shared" si="20"/>
        <v>0</v>
      </c>
    </row>
    <row r="1320" spans="1:13" x14ac:dyDescent="0.35">
      <c r="A1320">
        <f>Result_notebook_retravaill!A1320</f>
        <v>2039</v>
      </c>
      <c r="B1320" t="str">
        <f>Result_notebook_retravaill!B1320</f>
        <v>Nickel</v>
      </c>
      <c r="C1320" t="str">
        <f>Result_notebook_retravaill!C1320</f>
        <v>Global Net-zero</v>
      </c>
      <c r="D1320" t="str">
        <f>Result_notebook_retravaill!D1320</f>
        <v>Production potential</v>
      </c>
      <c r="E1320" t="str">
        <f>Result_notebook_retravaill!E1320</f>
        <v>Current shares</v>
      </c>
      <c r="F1320" t="str">
        <f>Result_notebook_retravaill!F1320</f>
        <v>Expansion Extractive+Circularity</v>
      </c>
      <c r="G1320">
        <f>Result_notebook_retravaill!G1320</f>
        <v>187945.44464517839</v>
      </c>
      <c r="H1320" s="32">
        <f>IF(Result_notebook_retravaill!I1320&gt;Result_notebook_retravaill!G1320,Result_notebook_retravaill!I1320/Result_notebook_retravaill!N1320,Result_notebook_retravaill!H1320)</f>
        <v>269842.82978615753</v>
      </c>
      <c r="I1320" s="32">
        <f>Result_notebook_retravaill!K1320</f>
        <v>0</v>
      </c>
      <c r="J1320" s="32">
        <f>MIN(G1320,Result_notebook_retravaill!I1320)</f>
        <v>151349.45794335051</v>
      </c>
      <c r="K1320" s="32">
        <f>IF(Result_notebook_retravaill!I1320&gt;Result_notebook_retravaill!G1320,0,IF(Result_notebook_retravaill!I1320+Result_notebook_retravaill!J1320&gt;Result_notebook_retravaill!G1320,Result_notebook_retravaill!G1320-Result_notebook_retravaill!I1320,Result_notebook_retravaill!J1320))</f>
        <v>36595.986701827875</v>
      </c>
      <c r="L1320" s="32">
        <f>IF(Result_notebook_retravaill!I1320&gt;Result_notebook_retravaill!G1320,0,IF(Result_notebook_retravaill!I1320+Result_notebook_retravaill!J1320&gt;Result_notebook_retravaill!G1320,0,Result_notebook_retravaill!M1320))</f>
        <v>0</v>
      </c>
      <c r="M1320" s="31">
        <f t="shared" si="20"/>
        <v>0</v>
      </c>
    </row>
    <row r="1321" spans="1:13" x14ac:dyDescent="0.35">
      <c r="A1321">
        <f>Result_notebook_retravaill!A1321</f>
        <v>2039</v>
      </c>
      <c r="B1321" t="str">
        <f>Result_notebook_retravaill!B1321</f>
        <v>Nickel</v>
      </c>
      <c r="C1321" t="str">
        <f>Result_notebook_retravaill!C1321</f>
        <v>Global Net-zero</v>
      </c>
      <c r="D1321" t="str">
        <f>Result_notebook_retravaill!D1321</f>
        <v>Production potential</v>
      </c>
      <c r="E1321" t="str">
        <f>Result_notebook_retravaill!E1321</f>
        <v>100% CAN</v>
      </c>
      <c r="F1321" t="str">
        <f>Result_notebook_retravaill!F1321</f>
        <v>Integrated</v>
      </c>
      <c r="G1321">
        <f>Result_notebook_retravaill!G1321</f>
        <v>187945.44464517839</v>
      </c>
      <c r="H1321" s="32">
        <f>IF(Result_notebook_retravaill!I1321&gt;Result_notebook_retravaill!G1321,Result_notebook_retravaill!I1321/Result_notebook_retravaill!N1321,Result_notebook_retravaill!H1321)</f>
        <v>303954.58304456988</v>
      </c>
      <c r="I1321" s="32">
        <f>Result_notebook_retravaill!K1321</f>
        <v>0</v>
      </c>
      <c r="J1321" s="32">
        <f>MIN(G1321,Result_notebook_retravaill!I1321)</f>
        <v>187945.44464517839</v>
      </c>
      <c r="K1321" s="32">
        <f>IF(Result_notebook_retravaill!I1321&gt;Result_notebook_retravaill!G1321,0,IF(Result_notebook_retravaill!I1321+Result_notebook_retravaill!J1321&gt;Result_notebook_retravaill!G1321,Result_notebook_retravaill!G1321-Result_notebook_retravaill!I1321,Result_notebook_retravaill!J1321))</f>
        <v>0</v>
      </c>
      <c r="L1321" s="32">
        <f>IF(Result_notebook_retravaill!I1321&gt;Result_notebook_retravaill!G1321,0,IF(Result_notebook_retravaill!I1321+Result_notebook_retravaill!J1321&gt;Result_notebook_retravaill!G1321,0,Result_notebook_retravaill!M1321))</f>
        <v>0</v>
      </c>
      <c r="M1321" s="31">
        <f t="shared" si="20"/>
        <v>0</v>
      </c>
    </row>
    <row r="1322" spans="1:13" x14ac:dyDescent="0.35">
      <c r="A1322">
        <f>Result_notebook_retravaill!A1322</f>
        <v>2039</v>
      </c>
      <c r="B1322" t="str">
        <f>Result_notebook_retravaill!B1322</f>
        <v>Graphite</v>
      </c>
      <c r="C1322" t="str">
        <f>Result_notebook_retravaill!C1322</f>
        <v>Canada Net-zero</v>
      </c>
      <c r="D1322" t="str">
        <f>Result_notebook_retravaill!D1322</f>
        <v>Existing production</v>
      </c>
      <c r="E1322" t="str">
        <f>Result_notebook_retravaill!E1322</f>
        <v>Current shares</v>
      </c>
      <c r="F1322" t="str">
        <f>Result_notebook_retravaill!F1322</f>
        <v>NIMBY</v>
      </c>
      <c r="G1322">
        <f>Result_notebook_retravaill!G1322</f>
        <v>3142.2560928391108</v>
      </c>
      <c r="H1322" s="32">
        <f>IF(Result_notebook_retravaill!I1322&gt;Result_notebook_retravaill!G1322,Result_notebook_retravaill!I1322/Result_notebook_retravaill!N1322,Result_notebook_retravaill!H1322)</f>
        <v>0</v>
      </c>
      <c r="I1322" s="32">
        <f>Result_notebook_retravaill!K1322</f>
        <v>3142.2560928391108</v>
      </c>
      <c r="J1322" s="32">
        <f>MIN(G1322,Result_notebook_retravaill!I1322)</f>
        <v>0</v>
      </c>
      <c r="K1322" s="32">
        <f>IF(Result_notebook_retravaill!I1322&gt;Result_notebook_retravaill!G1322,0,IF(Result_notebook_retravaill!I1322+Result_notebook_retravaill!J1322&gt;Result_notebook_retravaill!G1322,Result_notebook_retravaill!G1322-Result_notebook_retravaill!I1322,Result_notebook_retravaill!J1322))</f>
        <v>0</v>
      </c>
      <c r="L1322" s="32">
        <f>IF(Result_notebook_retravaill!I1322&gt;Result_notebook_retravaill!G1322,0,IF(Result_notebook_retravaill!I1322+Result_notebook_retravaill!J1322&gt;Result_notebook_retravaill!G1322,0,Result_notebook_retravaill!M1322))</f>
        <v>3142.2560928391108</v>
      </c>
      <c r="M1322" s="31">
        <f t="shared" si="20"/>
        <v>0</v>
      </c>
    </row>
    <row r="1323" spans="1:13" x14ac:dyDescent="0.35">
      <c r="A1323">
        <f>Result_notebook_retravaill!A1323</f>
        <v>2039</v>
      </c>
      <c r="B1323" t="str">
        <f>Result_notebook_retravaill!B1323</f>
        <v>Graphite</v>
      </c>
      <c r="C1323" t="str">
        <f>Result_notebook_retravaill!C1323</f>
        <v>Canada Net-zero</v>
      </c>
      <c r="D1323" t="str">
        <f>Result_notebook_retravaill!D1323</f>
        <v>Existing production</v>
      </c>
      <c r="E1323" t="str">
        <f>Result_notebook_retravaill!E1323</f>
        <v>Current shares</v>
      </c>
      <c r="F1323" t="str">
        <f>Result_notebook_retravaill!F1323</f>
        <v>Status Quo</v>
      </c>
      <c r="G1323">
        <f>Result_notebook_retravaill!G1323</f>
        <v>3142.2560928391108</v>
      </c>
      <c r="H1323" s="32">
        <f>IF(Result_notebook_retravaill!I1323&gt;Result_notebook_retravaill!G1323,Result_notebook_retravaill!I1323/Result_notebook_retravaill!N1323,Result_notebook_retravaill!H1323)</f>
        <v>0</v>
      </c>
      <c r="I1323" s="32">
        <f>Result_notebook_retravaill!K1323</f>
        <v>3142.2560928391108</v>
      </c>
      <c r="J1323" s="32">
        <f>MIN(G1323,Result_notebook_retravaill!I1323)</f>
        <v>0</v>
      </c>
      <c r="K1323" s="32">
        <f>IF(Result_notebook_retravaill!I1323&gt;Result_notebook_retravaill!G1323,0,IF(Result_notebook_retravaill!I1323+Result_notebook_retravaill!J1323&gt;Result_notebook_retravaill!G1323,Result_notebook_retravaill!G1323-Result_notebook_retravaill!I1323,Result_notebook_retravaill!J1323))</f>
        <v>0</v>
      </c>
      <c r="L1323" s="32">
        <f>IF(Result_notebook_retravaill!I1323&gt;Result_notebook_retravaill!G1323,0,IF(Result_notebook_retravaill!I1323+Result_notebook_retravaill!J1323&gt;Result_notebook_retravaill!G1323,0,Result_notebook_retravaill!M1323))</f>
        <v>3142.2560928391108</v>
      </c>
      <c r="M1323" s="31">
        <f t="shared" si="20"/>
        <v>0</v>
      </c>
    </row>
    <row r="1324" spans="1:13" x14ac:dyDescent="0.35">
      <c r="A1324">
        <f>Result_notebook_retravaill!A1324</f>
        <v>2039</v>
      </c>
      <c r="B1324" t="str">
        <f>Result_notebook_retravaill!B1324</f>
        <v>Graphite</v>
      </c>
      <c r="C1324" t="str">
        <f>Result_notebook_retravaill!C1324</f>
        <v>Canada Net-zero</v>
      </c>
      <c r="D1324" t="str">
        <f>Result_notebook_retravaill!D1324</f>
        <v>Production potential</v>
      </c>
      <c r="E1324" t="str">
        <f>Result_notebook_retravaill!E1324</f>
        <v>Current shares</v>
      </c>
      <c r="F1324" t="str">
        <f>Result_notebook_retravaill!F1324</f>
        <v>Expansion Extractive</v>
      </c>
      <c r="G1324">
        <f>Result_notebook_retravaill!G1324</f>
        <v>3142.2560928391108</v>
      </c>
      <c r="H1324" s="32">
        <f>IF(Result_notebook_retravaill!I1324&gt;Result_notebook_retravaill!G1324,Result_notebook_retravaill!I1324/Result_notebook_retravaill!N1324,Result_notebook_retravaill!H1324)</f>
        <v>182894.71931080634</v>
      </c>
      <c r="I1324" s="32">
        <f>Result_notebook_retravaill!K1324</f>
        <v>0</v>
      </c>
      <c r="J1324" s="32">
        <f>MIN(G1324,Result_notebook_retravaill!I1324)</f>
        <v>3142.2560928391108</v>
      </c>
      <c r="K1324" s="32">
        <f>IF(Result_notebook_retravaill!I1324&gt;Result_notebook_retravaill!G1324,0,IF(Result_notebook_retravaill!I1324+Result_notebook_retravaill!J1324&gt;Result_notebook_retravaill!G1324,Result_notebook_retravaill!G1324-Result_notebook_retravaill!I1324,Result_notebook_retravaill!J1324))</f>
        <v>0</v>
      </c>
      <c r="L1324" s="32">
        <f>IF(Result_notebook_retravaill!I1324&gt;Result_notebook_retravaill!G1324,0,IF(Result_notebook_retravaill!I1324+Result_notebook_retravaill!J1324&gt;Result_notebook_retravaill!G1324,0,Result_notebook_retravaill!M1324))</f>
        <v>0</v>
      </c>
      <c r="M1324" s="31">
        <f t="shared" si="20"/>
        <v>0</v>
      </c>
    </row>
    <row r="1325" spans="1:13" x14ac:dyDescent="0.35">
      <c r="A1325">
        <f>Result_notebook_retravaill!A1325</f>
        <v>2039</v>
      </c>
      <c r="B1325" t="str">
        <f>Result_notebook_retravaill!B1325</f>
        <v>Graphite</v>
      </c>
      <c r="C1325" t="str">
        <f>Result_notebook_retravaill!C1325</f>
        <v>Canada Net-zero</v>
      </c>
      <c r="D1325" t="str">
        <f>Result_notebook_retravaill!D1325</f>
        <v>Production potential</v>
      </c>
      <c r="E1325" t="str">
        <f>Result_notebook_retravaill!E1325</f>
        <v>Current shares</v>
      </c>
      <c r="F1325" t="str">
        <f>Result_notebook_retravaill!F1325</f>
        <v>Expansion Extractive+Circularity</v>
      </c>
      <c r="G1325">
        <f>Result_notebook_retravaill!G1325</f>
        <v>3142.2560928391108</v>
      </c>
      <c r="H1325" s="32">
        <f>IF(Result_notebook_retravaill!I1325&gt;Result_notebook_retravaill!G1325,Result_notebook_retravaill!I1325/Result_notebook_retravaill!N1325,Result_notebook_retravaill!H1325)</f>
        <v>182894.71931080634</v>
      </c>
      <c r="I1325" s="32">
        <f>Result_notebook_retravaill!K1325</f>
        <v>0</v>
      </c>
      <c r="J1325" s="32">
        <f>MIN(G1325,Result_notebook_retravaill!I1325)</f>
        <v>3142.2560928391108</v>
      </c>
      <c r="K1325" s="32">
        <f>IF(Result_notebook_retravaill!I1325&gt;Result_notebook_retravaill!G1325,0,IF(Result_notebook_retravaill!I1325+Result_notebook_retravaill!J1325&gt;Result_notebook_retravaill!G1325,Result_notebook_retravaill!G1325-Result_notebook_retravaill!I1325,Result_notebook_retravaill!J1325))</f>
        <v>0</v>
      </c>
      <c r="L1325" s="32">
        <f>IF(Result_notebook_retravaill!I1325&gt;Result_notebook_retravaill!G1325,0,IF(Result_notebook_retravaill!I1325+Result_notebook_retravaill!J1325&gt;Result_notebook_retravaill!G1325,0,Result_notebook_retravaill!M1325))</f>
        <v>0</v>
      </c>
      <c r="M1325" s="31">
        <f t="shared" si="20"/>
        <v>0</v>
      </c>
    </row>
    <row r="1326" spans="1:13" x14ac:dyDescent="0.35">
      <c r="A1326">
        <f>Result_notebook_retravaill!A1326</f>
        <v>2039</v>
      </c>
      <c r="B1326" t="str">
        <f>Result_notebook_retravaill!B1326</f>
        <v>Graphite</v>
      </c>
      <c r="C1326" t="str">
        <f>Result_notebook_retravaill!C1326</f>
        <v>Canada Net-zero</v>
      </c>
      <c r="D1326" t="str">
        <f>Result_notebook_retravaill!D1326</f>
        <v>Production potential</v>
      </c>
      <c r="E1326" t="str">
        <f>Result_notebook_retravaill!E1326</f>
        <v>100% CAN</v>
      </c>
      <c r="F1326" t="str">
        <f>Result_notebook_retravaill!F1326</f>
        <v>Integrated</v>
      </c>
      <c r="G1326">
        <f>Result_notebook_retravaill!G1326</f>
        <v>3142.2560928391108</v>
      </c>
      <c r="H1326" s="32">
        <f>IF(Result_notebook_retravaill!I1326&gt;Result_notebook_retravaill!G1326,Result_notebook_retravaill!I1326/Result_notebook_retravaill!N1326,Result_notebook_retravaill!H1326)</f>
        <v>182894.71931080634</v>
      </c>
      <c r="I1326" s="32">
        <f>Result_notebook_retravaill!K1326</f>
        <v>0</v>
      </c>
      <c r="J1326" s="32">
        <f>MIN(G1326,Result_notebook_retravaill!I1326)</f>
        <v>3142.2560928391108</v>
      </c>
      <c r="K1326" s="32">
        <f>IF(Result_notebook_retravaill!I1326&gt;Result_notebook_retravaill!G1326,0,IF(Result_notebook_retravaill!I1326+Result_notebook_retravaill!J1326&gt;Result_notebook_retravaill!G1326,Result_notebook_retravaill!G1326-Result_notebook_retravaill!I1326,Result_notebook_retravaill!J1326))</f>
        <v>0</v>
      </c>
      <c r="L1326" s="32">
        <f>IF(Result_notebook_retravaill!I1326&gt;Result_notebook_retravaill!G1326,0,IF(Result_notebook_retravaill!I1326+Result_notebook_retravaill!J1326&gt;Result_notebook_retravaill!G1326,0,Result_notebook_retravaill!M1326))</f>
        <v>0</v>
      </c>
      <c r="M1326" s="31">
        <f t="shared" si="20"/>
        <v>0</v>
      </c>
    </row>
    <row r="1327" spans="1:13" x14ac:dyDescent="0.35">
      <c r="A1327">
        <f>Result_notebook_retravaill!A1327</f>
        <v>2039</v>
      </c>
      <c r="B1327" t="str">
        <f>Result_notebook_retravaill!B1327</f>
        <v>Graphite</v>
      </c>
      <c r="C1327" t="str">
        <f>Result_notebook_retravaill!C1327</f>
        <v>Current Measures</v>
      </c>
      <c r="D1327" t="str">
        <f>Result_notebook_retravaill!D1327</f>
        <v>Existing production</v>
      </c>
      <c r="E1327" t="str">
        <f>Result_notebook_retravaill!E1327</f>
        <v>Current shares</v>
      </c>
      <c r="F1327" t="str">
        <f>Result_notebook_retravaill!F1327</f>
        <v>NIMBY</v>
      </c>
      <c r="G1327">
        <f>Result_notebook_retravaill!G1327</f>
        <v>1154.9982759766251</v>
      </c>
      <c r="H1327" s="32">
        <f>IF(Result_notebook_retravaill!I1327&gt;Result_notebook_retravaill!G1327,Result_notebook_retravaill!I1327/Result_notebook_retravaill!N1327,Result_notebook_retravaill!H1327)</f>
        <v>0</v>
      </c>
      <c r="I1327" s="32">
        <f>Result_notebook_retravaill!K1327</f>
        <v>1154.9982759766251</v>
      </c>
      <c r="J1327" s="32">
        <f>MIN(G1327,Result_notebook_retravaill!I1327)</f>
        <v>0</v>
      </c>
      <c r="K1327" s="32">
        <f>IF(Result_notebook_retravaill!I1327&gt;Result_notebook_retravaill!G1327,0,IF(Result_notebook_retravaill!I1327+Result_notebook_retravaill!J1327&gt;Result_notebook_retravaill!G1327,Result_notebook_retravaill!G1327-Result_notebook_retravaill!I1327,Result_notebook_retravaill!J1327))</f>
        <v>0</v>
      </c>
      <c r="L1327" s="32">
        <f>IF(Result_notebook_retravaill!I1327&gt;Result_notebook_retravaill!G1327,0,IF(Result_notebook_retravaill!I1327+Result_notebook_retravaill!J1327&gt;Result_notebook_retravaill!G1327,0,Result_notebook_retravaill!M1327))</f>
        <v>1154.9982759766251</v>
      </c>
      <c r="M1327" s="31">
        <f t="shared" si="20"/>
        <v>0</v>
      </c>
    </row>
    <row r="1328" spans="1:13" x14ac:dyDescent="0.35">
      <c r="A1328">
        <f>Result_notebook_retravaill!A1328</f>
        <v>2039</v>
      </c>
      <c r="B1328" t="str">
        <f>Result_notebook_retravaill!B1328</f>
        <v>Graphite</v>
      </c>
      <c r="C1328" t="str">
        <f>Result_notebook_retravaill!C1328</f>
        <v>Current Measures</v>
      </c>
      <c r="D1328" t="str">
        <f>Result_notebook_retravaill!D1328</f>
        <v>Existing production</v>
      </c>
      <c r="E1328" t="str">
        <f>Result_notebook_retravaill!E1328</f>
        <v>Current shares</v>
      </c>
      <c r="F1328" t="str">
        <f>Result_notebook_retravaill!F1328</f>
        <v>Status Quo</v>
      </c>
      <c r="G1328">
        <f>Result_notebook_retravaill!G1328</f>
        <v>1154.9982759766251</v>
      </c>
      <c r="H1328" s="32">
        <f>IF(Result_notebook_retravaill!I1328&gt;Result_notebook_retravaill!G1328,Result_notebook_retravaill!I1328/Result_notebook_retravaill!N1328,Result_notebook_retravaill!H1328)</f>
        <v>0</v>
      </c>
      <c r="I1328" s="32">
        <f>Result_notebook_retravaill!K1328</f>
        <v>1154.9982759766251</v>
      </c>
      <c r="J1328" s="32">
        <f>MIN(G1328,Result_notebook_retravaill!I1328)</f>
        <v>0</v>
      </c>
      <c r="K1328" s="32">
        <f>IF(Result_notebook_retravaill!I1328&gt;Result_notebook_retravaill!G1328,0,IF(Result_notebook_retravaill!I1328+Result_notebook_retravaill!J1328&gt;Result_notebook_retravaill!G1328,Result_notebook_retravaill!G1328-Result_notebook_retravaill!I1328,Result_notebook_retravaill!J1328))</f>
        <v>0</v>
      </c>
      <c r="L1328" s="32">
        <f>IF(Result_notebook_retravaill!I1328&gt;Result_notebook_retravaill!G1328,0,IF(Result_notebook_retravaill!I1328+Result_notebook_retravaill!J1328&gt;Result_notebook_retravaill!G1328,0,Result_notebook_retravaill!M1328))</f>
        <v>1154.9982759766251</v>
      </c>
      <c r="M1328" s="31">
        <f t="shared" si="20"/>
        <v>0</v>
      </c>
    </row>
    <row r="1329" spans="1:13" x14ac:dyDescent="0.35">
      <c r="A1329">
        <f>Result_notebook_retravaill!A1329</f>
        <v>2039</v>
      </c>
      <c r="B1329" t="str">
        <f>Result_notebook_retravaill!B1329</f>
        <v>Graphite</v>
      </c>
      <c r="C1329" t="str">
        <f>Result_notebook_retravaill!C1329</f>
        <v>Current Measures</v>
      </c>
      <c r="D1329" t="str">
        <f>Result_notebook_retravaill!D1329</f>
        <v>Production potential</v>
      </c>
      <c r="E1329" t="str">
        <f>Result_notebook_retravaill!E1329</f>
        <v>Current shares</v>
      </c>
      <c r="F1329" t="str">
        <f>Result_notebook_retravaill!F1329</f>
        <v>Expansion Extractive</v>
      </c>
      <c r="G1329">
        <f>Result_notebook_retravaill!G1329</f>
        <v>1154.9982759766251</v>
      </c>
      <c r="H1329" s="32">
        <f>IF(Result_notebook_retravaill!I1329&gt;Result_notebook_retravaill!G1329,Result_notebook_retravaill!I1329/Result_notebook_retravaill!N1329,Result_notebook_retravaill!H1329)</f>
        <v>182894.71931080634</v>
      </c>
      <c r="I1329" s="32">
        <f>Result_notebook_retravaill!K1329</f>
        <v>0</v>
      </c>
      <c r="J1329" s="32">
        <f>MIN(G1329,Result_notebook_retravaill!I1329)</f>
        <v>1154.9982759766251</v>
      </c>
      <c r="K1329" s="32">
        <f>IF(Result_notebook_retravaill!I1329&gt;Result_notebook_retravaill!G1329,0,IF(Result_notebook_retravaill!I1329+Result_notebook_retravaill!J1329&gt;Result_notebook_retravaill!G1329,Result_notebook_retravaill!G1329-Result_notebook_retravaill!I1329,Result_notebook_retravaill!J1329))</f>
        <v>0</v>
      </c>
      <c r="L1329" s="32">
        <f>IF(Result_notebook_retravaill!I1329&gt;Result_notebook_retravaill!G1329,0,IF(Result_notebook_retravaill!I1329+Result_notebook_retravaill!J1329&gt;Result_notebook_retravaill!G1329,0,Result_notebook_retravaill!M1329))</f>
        <v>0</v>
      </c>
      <c r="M1329" s="31">
        <f t="shared" si="20"/>
        <v>0</v>
      </c>
    </row>
    <row r="1330" spans="1:13" x14ac:dyDescent="0.35">
      <c r="A1330">
        <f>Result_notebook_retravaill!A1330</f>
        <v>2039</v>
      </c>
      <c r="B1330" t="str">
        <f>Result_notebook_retravaill!B1330</f>
        <v>Graphite</v>
      </c>
      <c r="C1330" t="str">
        <f>Result_notebook_retravaill!C1330</f>
        <v>Current Measures</v>
      </c>
      <c r="D1330" t="str">
        <f>Result_notebook_retravaill!D1330</f>
        <v>Production potential</v>
      </c>
      <c r="E1330" t="str">
        <f>Result_notebook_retravaill!E1330</f>
        <v>Current shares</v>
      </c>
      <c r="F1330" t="str">
        <f>Result_notebook_retravaill!F1330</f>
        <v>Expansion Extractive+Circularity</v>
      </c>
      <c r="G1330">
        <f>Result_notebook_retravaill!G1330</f>
        <v>1154.9982759766251</v>
      </c>
      <c r="H1330" s="32">
        <f>IF(Result_notebook_retravaill!I1330&gt;Result_notebook_retravaill!G1330,Result_notebook_retravaill!I1330/Result_notebook_retravaill!N1330,Result_notebook_retravaill!H1330)</f>
        <v>182894.71931080634</v>
      </c>
      <c r="I1330" s="32">
        <f>Result_notebook_retravaill!K1330</f>
        <v>0</v>
      </c>
      <c r="J1330" s="32">
        <f>MIN(G1330,Result_notebook_retravaill!I1330)</f>
        <v>1154.9982759766251</v>
      </c>
      <c r="K1330" s="32">
        <f>IF(Result_notebook_retravaill!I1330&gt;Result_notebook_retravaill!G1330,0,IF(Result_notebook_retravaill!I1330+Result_notebook_retravaill!J1330&gt;Result_notebook_retravaill!G1330,Result_notebook_retravaill!G1330-Result_notebook_retravaill!I1330,Result_notebook_retravaill!J1330))</f>
        <v>0</v>
      </c>
      <c r="L1330" s="32">
        <f>IF(Result_notebook_retravaill!I1330&gt;Result_notebook_retravaill!G1330,0,IF(Result_notebook_retravaill!I1330+Result_notebook_retravaill!J1330&gt;Result_notebook_retravaill!G1330,0,Result_notebook_retravaill!M1330))</f>
        <v>0</v>
      </c>
      <c r="M1330" s="31">
        <f t="shared" si="20"/>
        <v>0</v>
      </c>
    </row>
    <row r="1331" spans="1:13" x14ac:dyDescent="0.35">
      <c r="A1331">
        <f>Result_notebook_retravaill!A1331</f>
        <v>2039</v>
      </c>
      <c r="B1331" t="str">
        <f>Result_notebook_retravaill!B1331</f>
        <v>Graphite</v>
      </c>
      <c r="C1331" t="str">
        <f>Result_notebook_retravaill!C1331</f>
        <v>Current Measures</v>
      </c>
      <c r="D1331" t="str">
        <f>Result_notebook_retravaill!D1331</f>
        <v>Production potential</v>
      </c>
      <c r="E1331" t="str">
        <f>Result_notebook_retravaill!E1331</f>
        <v>100% CAN</v>
      </c>
      <c r="F1331" t="str">
        <f>Result_notebook_retravaill!F1331</f>
        <v>Integrated</v>
      </c>
      <c r="G1331">
        <f>Result_notebook_retravaill!G1331</f>
        <v>1154.9982759766251</v>
      </c>
      <c r="H1331" s="32">
        <f>IF(Result_notebook_retravaill!I1331&gt;Result_notebook_retravaill!G1331,Result_notebook_retravaill!I1331/Result_notebook_retravaill!N1331,Result_notebook_retravaill!H1331)</f>
        <v>182894.71931080634</v>
      </c>
      <c r="I1331" s="32">
        <f>Result_notebook_retravaill!K1331</f>
        <v>0</v>
      </c>
      <c r="J1331" s="32">
        <f>MIN(G1331,Result_notebook_retravaill!I1331)</f>
        <v>1154.9982759766251</v>
      </c>
      <c r="K1331" s="32">
        <f>IF(Result_notebook_retravaill!I1331&gt;Result_notebook_retravaill!G1331,0,IF(Result_notebook_retravaill!I1331+Result_notebook_retravaill!J1331&gt;Result_notebook_retravaill!G1331,Result_notebook_retravaill!G1331-Result_notebook_retravaill!I1331,Result_notebook_retravaill!J1331))</f>
        <v>0</v>
      </c>
      <c r="L1331" s="32">
        <f>IF(Result_notebook_retravaill!I1331&gt;Result_notebook_retravaill!G1331,0,IF(Result_notebook_retravaill!I1331+Result_notebook_retravaill!J1331&gt;Result_notebook_retravaill!G1331,0,Result_notebook_retravaill!M1331))</f>
        <v>0</v>
      </c>
      <c r="M1331" s="31">
        <f t="shared" si="20"/>
        <v>0</v>
      </c>
    </row>
    <row r="1332" spans="1:13" x14ac:dyDescent="0.35">
      <c r="A1332">
        <f>Result_notebook_retravaill!A1332</f>
        <v>2039</v>
      </c>
      <c r="B1332" t="str">
        <f>Result_notebook_retravaill!B1332</f>
        <v>Graphite</v>
      </c>
      <c r="C1332" t="str">
        <f>Result_notebook_retravaill!C1332</f>
        <v>Global Net-zero</v>
      </c>
      <c r="D1332" t="str">
        <f>Result_notebook_retravaill!D1332</f>
        <v>Existing production</v>
      </c>
      <c r="E1332" t="str">
        <f>Result_notebook_retravaill!E1332</f>
        <v>Current shares</v>
      </c>
      <c r="F1332" t="str">
        <f>Result_notebook_retravaill!F1332</f>
        <v>NIMBY</v>
      </c>
      <c r="G1332">
        <f>Result_notebook_retravaill!G1332</f>
        <v>2995.2738382071152</v>
      </c>
      <c r="H1332" s="32">
        <f>IF(Result_notebook_retravaill!I1332&gt;Result_notebook_retravaill!G1332,Result_notebook_retravaill!I1332/Result_notebook_retravaill!N1332,Result_notebook_retravaill!H1332)</f>
        <v>0</v>
      </c>
      <c r="I1332" s="32">
        <f>Result_notebook_retravaill!K1332</f>
        <v>2995.2738382071152</v>
      </c>
      <c r="J1332" s="32">
        <f>MIN(G1332,Result_notebook_retravaill!I1332)</f>
        <v>0</v>
      </c>
      <c r="K1332" s="32">
        <f>IF(Result_notebook_retravaill!I1332&gt;Result_notebook_retravaill!G1332,0,IF(Result_notebook_retravaill!I1332+Result_notebook_retravaill!J1332&gt;Result_notebook_retravaill!G1332,Result_notebook_retravaill!G1332-Result_notebook_retravaill!I1332,Result_notebook_retravaill!J1332))</f>
        <v>0</v>
      </c>
      <c r="L1332" s="32">
        <f>IF(Result_notebook_retravaill!I1332&gt;Result_notebook_retravaill!G1332,0,IF(Result_notebook_retravaill!I1332+Result_notebook_retravaill!J1332&gt;Result_notebook_retravaill!G1332,0,Result_notebook_retravaill!M1332))</f>
        <v>2995.2738382071152</v>
      </c>
      <c r="M1332" s="31">
        <f t="shared" si="20"/>
        <v>0</v>
      </c>
    </row>
    <row r="1333" spans="1:13" x14ac:dyDescent="0.35">
      <c r="A1333">
        <f>Result_notebook_retravaill!A1333</f>
        <v>2039</v>
      </c>
      <c r="B1333" t="str">
        <f>Result_notebook_retravaill!B1333</f>
        <v>Graphite</v>
      </c>
      <c r="C1333" t="str">
        <f>Result_notebook_retravaill!C1333</f>
        <v>Global Net-zero</v>
      </c>
      <c r="D1333" t="str">
        <f>Result_notebook_retravaill!D1333</f>
        <v>Existing production</v>
      </c>
      <c r="E1333" t="str">
        <f>Result_notebook_retravaill!E1333</f>
        <v>Current shares</v>
      </c>
      <c r="F1333" t="str">
        <f>Result_notebook_retravaill!F1333</f>
        <v>Status Quo</v>
      </c>
      <c r="G1333">
        <f>Result_notebook_retravaill!G1333</f>
        <v>2995.2738382071152</v>
      </c>
      <c r="H1333" s="32">
        <f>IF(Result_notebook_retravaill!I1333&gt;Result_notebook_retravaill!G1333,Result_notebook_retravaill!I1333/Result_notebook_retravaill!N1333,Result_notebook_retravaill!H1333)</f>
        <v>0</v>
      </c>
      <c r="I1333" s="32">
        <f>Result_notebook_retravaill!K1333</f>
        <v>2995.2738382071152</v>
      </c>
      <c r="J1333" s="32">
        <f>MIN(G1333,Result_notebook_retravaill!I1333)</f>
        <v>0</v>
      </c>
      <c r="K1333" s="32">
        <f>IF(Result_notebook_retravaill!I1333&gt;Result_notebook_retravaill!G1333,0,IF(Result_notebook_retravaill!I1333+Result_notebook_retravaill!J1333&gt;Result_notebook_retravaill!G1333,Result_notebook_retravaill!G1333-Result_notebook_retravaill!I1333,Result_notebook_retravaill!J1333))</f>
        <v>0</v>
      </c>
      <c r="L1333" s="32">
        <f>IF(Result_notebook_retravaill!I1333&gt;Result_notebook_retravaill!G1333,0,IF(Result_notebook_retravaill!I1333+Result_notebook_retravaill!J1333&gt;Result_notebook_retravaill!G1333,0,Result_notebook_retravaill!M1333))</f>
        <v>2995.2738382071152</v>
      </c>
      <c r="M1333" s="31">
        <f t="shared" si="20"/>
        <v>0</v>
      </c>
    </row>
    <row r="1334" spans="1:13" x14ac:dyDescent="0.35">
      <c r="A1334">
        <f>Result_notebook_retravaill!A1334</f>
        <v>2039</v>
      </c>
      <c r="B1334" t="str">
        <f>Result_notebook_retravaill!B1334</f>
        <v>Graphite</v>
      </c>
      <c r="C1334" t="str">
        <f>Result_notebook_retravaill!C1334</f>
        <v>Global Net-zero</v>
      </c>
      <c r="D1334" t="str">
        <f>Result_notebook_retravaill!D1334</f>
        <v>Production potential</v>
      </c>
      <c r="E1334" t="str">
        <f>Result_notebook_retravaill!E1334</f>
        <v>Current shares</v>
      </c>
      <c r="F1334" t="str">
        <f>Result_notebook_retravaill!F1334</f>
        <v>Expansion Extractive</v>
      </c>
      <c r="G1334">
        <f>Result_notebook_retravaill!G1334</f>
        <v>2995.2738382071152</v>
      </c>
      <c r="H1334" s="32">
        <f>IF(Result_notebook_retravaill!I1334&gt;Result_notebook_retravaill!G1334,Result_notebook_retravaill!I1334/Result_notebook_retravaill!N1334,Result_notebook_retravaill!H1334)</f>
        <v>182894.71931080634</v>
      </c>
      <c r="I1334" s="32">
        <f>Result_notebook_retravaill!K1334</f>
        <v>0</v>
      </c>
      <c r="J1334" s="32">
        <f>MIN(G1334,Result_notebook_retravaill!I1334)</f>
        <v>2995.2738382071152</v>
      </c>
      <c r="K1334" s="32">
        <f>IF(Result_notebook_retravaill!I1334&gt;Result_notebook_retravaill!G1334,0,IF(Result_notebook_retravaill!I1334+Result_notebook_retravaill!J1334&gt;Result_notebook_retravaill!G1334,Result_notebook_retravaill!G1334-Result_notebook_retravaill!I1334,Result_notebook_retravaill!J1334))</f>
        <v>0</v>
      </c>
      <c r="L1334" s="32">
        <f>IF(Result_notebook_retravaill!I1334&gt;Result_notebook_retravaill!G1334,0,IF(Result_notebook_retravaill!I1334+Result_notebook_retravaill!J1334&gt;Result_notebook_retravaill!G1334,0,Result_notebook_retravaill!M1334))</f>
        <v>0</v>
      </c>
      <c r="M1334" s="31">
        <f t="shared" si="20"/>
        <v>0</v>
      </c>
    </row>
    <row r="1335" spans="1:13" x14ac:dyDescent="0.35">
      <c r="A1335">
        <f>Result_notebook_retravaill!A1335</f>
        <v>2039</v>
      </c>
      <c r="B1335" t="str">
        <f>Result_notebook_retravaill!B1335</f>
        <v>Graphite</v>
      </c>
      <c r="C1335" t="str">
        <f>Result_notebook_retravaill!C1335</f>
        <v>Global Net-zero</v>
      </c>
      <c r="D1335" t="str">
        <f>Result_notebook_retravaill!D1335</f>
        <v>Production potential</v>
      </c>
      <c r="E1335" t="str">
        <f>Result_notebook_retravaill!E1335</f>
        <v>Current shares</v>
      </c>
      <c r="F1335" t="str">
        <f>Result_notebook_retravaill!F1335</f>
        <v>Expansion Extractive+Circularity</v>
      </c>
      <c r="G1335">
        <f>Result_notebook_retravaill!G1335</f>
        <v>2995.2738382071152</v>
      </c>
      <c r="H1335" s="32">
        <f>IF(Result_notebook_retravaill!I1335&gt;Result_notebook_retravaill!G1335,Result_notebook_retravaill!I1335/Result_notebook_retravaill!N1335,Result_notebook_retravaill!H1335)</f>
        <v>182894.71931080634</v>
      </c>
      <c r="I1335" s="32">
        <f>Result_notebook_retravaill!K1335</f>
        <v>0</v>
      </c>
      <c r="J1335" s="32">
        <f>MIN(G1335,Result_notebook_retravaill!I1335)</f>
        <v>2995.2738382071152</v>
      </c>
      <c r="K1335" s="32">
        <f>IF(Result_notebook_retravaill!I1335&gt;Result_notebook_retravaill!G1335,0,IF(Result_notebook_retravaill!I1335+Result_notebook_retravaill!J1335&gt;Result_notebook_retravaill!G1335,Result_notebook_retravaill!G1335-Result_notebook_retravaill!I1335,Result_notebook_retravaill!J1335))</f>
        <v>0</v>
      </c>
      <c r="L1335" s="32">
        <f>IF(Result_notebook_retravaill!I1335&gt;Result_notebook_retravaill!G1335,0,IF(Result_notebook_retravaill!I1335+Result_notebook_retravaill!J1335&gt;Result_notebook_retravaill!G1335,0,Result_notebook_retravaill!M1335))</f>
        <v>0</v>
      </c>
      <c r="M1335" s="31">
        <f t="shared" si="20"/>
        <v>0</v>
      </c>
    </row>
    <row r="1336" spans="1:13" x14ac:dyDescent="0.35">
      <c r="A1336">
        <f>Result_notebook_retravaill!A1336</f>
        <v>2039</v>
      </c>
      <c r="B1336" t="str">
        <f>Result_notebook_retravaill!B1336</f>
        <v>Graphite</v>
      </c>
      <c r="C1336" t="str">
        <f>Result_notebook_retravaill!C1336</f>
        <v>Global Net-zero</v>
      </c>
      <c r="D1336" t="str">
        <f>Result_notebook_retravaill!D1336</f>
        <v>Production potential</v>
      </c>
      <c r="E1336" t="str">
        <f>Result_notebook_retravaill!E1336</f>
        <v>100% CAN</v>
      </c>
      <c r="F1336" t="str">
        <f>Result_notebook_retravaill!F1336</f>
        <v>Integrated</v>
      </c>
      <c r="G1336">
        <f>Result_notebook_retravaill!G1336</f>
        <v>2995.2738382071152</v>
      </c>
      <c r="H1336" s="32">
        <f>IF(Result_notebook_retravaill!I1336&gt;Result_notebook_retravaill!G1336,Result_notebook_retravaill!I1336/Result_notebook_retravaill!N1336,Result_notebook_retravaill!H1336)</f>
        <v>182894.71931080634</v>
      </c>
      <c r="I1336" s="32">
        <f>Result_notebook_retravaill!K1336</f>
        <v>0</v>
      </c>
      <c r="J1336" s="32">
        <f>MIN(G1336,Result_notebook_retravaill!I1336)</f>
        <v>2995.2738382071152</v>
      </c>
      <c r="K1336" s="32">
        <f>IF(Result_notebook_retravaill!I1336&gt;Result_notebook_retravaill!G1336,0,IF(Result_notebook_retravaill!I1336+Result_notebook_retravaill!J1336&gt;Result_notebook_retravaill!G1336,Result_notebook_retravaill!G1336-Result_notebook_retravaill!I1336,Result_notebook_retravaill!J1336))</f>
        <v>0</v>
      </c>
      <c r="L1336" s="32">
        <f>IF(Result_notebook_retravaill!I1336&gt;Result_notebook_retravaill!G1336,0,IF(Result_notebook_retravaill!I1336+Result_notebook_retravaill!J1336&gt;Result_notebook_retravaill!G1336,0,Result_notebook_retravaill!M1336))</f>
        <v>0</v>
      </c>
      <c r="M1336" s="31">
        <f t="shared" si="20"/>
        <v>0</v>
      </c>
    </row>
    <row r="1337" spans="1:13" x14ac:dyDescent="0.35">
      <c r="A1337">
        <f>Result_notebook_retravaill!A1337</f>
        <v>2039</v>
      </c>
      <c r="B1337" t="str">
        <f>Result_notebook_retravaill!B1337</f>
        <v>Lithium</v>
      </c>
      <c r="C1337" t="str">
        <f>Result_notebook_retravaill!C1337</f>
        <v>Canada Net-zero</v>
      </c>
      <c r="D1337" t="str">
        <f>Result_notebook_retravaill!D1337</f>
        <v>Existing production</v>
      </c>
      <c r="E1337" t="str">
        <f>Result_notebook_retravaill!E1337</f>
        <v>Current shares</v>
      </c>
      <c r="F1337" t="str">
        <f>Result_notebook_retravaill!F1337</f>
        <v>NIMBY</v>
      </c>
      <c r="G1337">
        <f>Result_notebook_retravaill!G1337</f>
        <v>83112.060773278674</v>
      </c>
      <c r="H1337" s="32">
        <f>IF(Result_notebook_retravaill!I1337&gt;Result_notebook_retravaill!G1337,Result_notebook_retravaill!I1337/Result_notebook_retravaill!N1337,Result_notebook_retravaill!H1337)</f>
        <v>0</v>
      </c>
      <c r="I1337" s="32">
        <f>Result_notebook_retravaill!K1337</f>
        <v>118731.5153903981</v>
      </c>
      <c r="J1337" s="32">
        <f>MIN(G1337,Result_notebook_retravaill!I1337)</f>
        <v>0</v>
      </c>
      <c r="K1337" s="32">
        <f>IF(Result_notebook_retravaill!I1337&gt;Result_notebook_retravaill!G1337,0,IF(Result_notebook_retravaill!I1337+Result_notebook_retravaill!J1337&gt;Result_notebook_retravaill!G1337,Result_notebook_retravaill!G1337-Result_notebook_retravaill!I1337,Result_notebook_retravaill!J1337))</f>
        <v>0</v>
      </c>
      <c r="L1337" s="32">
        <f>IF(Result_notebook_retravaill!I1337&gt;Result_notebook_retravaill!G1337,0,IF(Result_notebook_retravaill!I1337+Result_notebook_retravaill!J1337&gt;Result_notebook_retravaill!G1337,0,Result_notebook_retravaill!M1337))</f>
        <v>83112.060773278674</v>
      </c>
      <c r="M1337" s="31">
        <f t="shared" si="20"/>
        <v>0</v>
      </c>
    </row>
    <row r="1338" spans="1:13" x14ac:dyDescent="0.35">
      <c r="A1338">
        <f>Result_notebook_retravaill!A1338</f>
        <v>2039</v>
      </c>
      <c r="B1338" t="str">
        <f>Result_notebook_retravaill!B1338</f>
        <v>Lithium</v>
      </c>
      <c r="C1338" t="str">
        <f>Result_notebook_retravaill!C1338</f>
        <v>Canada Net-zero</v>
      </c>
      <c r="D1338" t="str">
        <f>Result_notebook_retravaill!D1338</f>
        <v>Existing production</v>
      </c>
      <c r="E1338" t="str">
        <f>Result_notebook_retravaill!E1338</f>
        <v>Current shares</v>
      </c>
      <c r="F1338" t="str">
        <f>Result_notebook_retravaill!F1338</f>
        <v>Status Quo</v>
      </c>
      <c r="G1338">
        <f>Result_notebook_retravaill!G1338</f>
        <v>83112.060773278674</v>
      </c>
      <c r="H1338" s="32">
        <f>IF(Result_notebook_retravaill!I1338&gt;Result_notebook_retravaill!G1338,Result_notebook_retravaill!I1338/Result_notebook_retravaill!N1338,Result_notebook_retravaill!H1338)</f>
        <v>40971</v>
      </c>
      <c r="I1338" s="32">
        <f>Result_notebook_retravaill!K1338</f>
        <v>77760.515390398112</v>
      </c>
      <c r="J1338" s="32">
        <f>MIN(G1338,Result_notebook_retravaill!I1338)</f>
        <v>28645.71336388055</v>
      </c>
      <c r="K1338" s="32">
        <f>IF(Result_notebook_retravaill!I1338&gt;Result_notebook_retravaill!G1338,0,IF(Result_notebook_retravaill!I1338+Result_notebook_retravaill!J1338&gt;Result_notebook_retravaill!G1338,Result_notebook_retravaill!G1338-Result_notebook_retravaill!I1338,Result_notebook_retravaill!J1338))</f>
        <v>3621.202412360788</v>
      </c>
      <c r="L1338" s="32">
        <f>IF(Result_notebook_retravaill!I1338&gt;Result_notebook_retravaill!G1338,0,IF(Result_notebook_retravaill!I1338+Result_notebook_retravaill!J1338&gt;Result_notebook_retravaill!G1338,0,Result_notebook_retravaill!M1338))</f>
        <v>50845.144997037336</v>
      </c>
      <c r="M1338" s="31">
        <f t="shared" si="20"/>
        <v>0</v>
      </c>
    </row>
    <row r="1339" spans="1:13" x14ac:dyDescent="0.35">
      <c r="A1339">
        <f>Result_notebook_retravaill!A1339</f>
        <v>2039</v>
      </c>
      <c r="B1339" t="str">
        <f>Result_notebook_retravaill!B1339</f>
        <v>Lithium</v>
      </c>
      <c r="C1339" t="str">
        <f>Result_notebook_retravaill!C1339</f>
        <v>Canada Net-zero</v>
      </c>
      <c r="D1339" t="str">
        <f>Result_notebook_retravaill!D1339</f>
        <v>Production potential</v>
      </c>
      <c r="E1339" t="str">
        <f>Result_notebook_retravaill!E1339</f>
        <v>Current shares</v>
      </c>
      <c r="F1339" t="str">
        <f>Result_notebook_retravaill!F1339</f>
        <v>Expansion Extractive</v>
      </c>
      <c r="G1339">
        <f>Result_notebook_retravaill!G1339</f>
        <v>83112.060773278674</v>
      </c>
      <c r="H1339" s="32">
        <f>IF(Result_notebook_retravaill!I1339&gt;Result_notebook_retravaill!G1339,Result_notebook_retravaill!I1339/Result_notebook_retravaill!N1339,Result_notebook_retravaill!H1339)</f>
        <v>409858.53004430229</v>
      </c>
      <c r="I1339" s="32">
        <f>Result_notebook_retravaill!K1339</f>
        <v>0</v>
      </c>
      <c r="J1339" s="32">
        <f>MIN(G1339,Result_notebook_retravaill!I1339)</f>
        <v>83112.060773278674</v>
      </c>
      <c r="K1339" s="32">
        <f>IF(Result_notebook_retravaill!I1339&gt;Result_notebook_retravaill!G1339,0,IF(Result_notebook_retravaill!I1339+Result_notebook_retravaill!J1339&gt;Result_notebook_retravaill!G1339,Result_notebook_retravaill!G1339-Result_notebook_retravaill!I1339,Result_notebook_retravaill!J1339))</f>
        <v>0</v>
      </c>
      <c r="L1339" s="32">
        <f>IF(Result_notebook_retravaill!I1339&gt;Result_notebook_retravaill!G1339,0,IF(Result_notebook_retravaill!I1339+Result_notebook_retravaill!J1339&gt;Result_notebook_retravaill!G1339,0,Result_notebook_retravaill!M1339))</f>
        <v>0</v>
      </c>
      <c r="M1339" s="31">
        <f t="shared" si="20"/>
        <v>0</v>
      </c>
    </row>
    <row r="1340" spans="1:13" x14ac:dyDescent="0.35">
      <c r="A1340">
        <f>Result_notebook_retravaill!A1340</f>
        <v>2039</v>
      </c>
      <c r="B1340" t="str">
        <f>Result_notebook_retravaill!B1340</f>
        <v>Lithium</v>
      </c>
      <c r="C1340" t="str">
        <f>Result_notebook_retravaill!C1340</f>
        <v>Canada Net-zero</v>
      </c>
      <c r="D1340" t="str">
        <f>Result_notebook_retravaill!D1340</f>
        <v>Production potential</v>
      </c>
      <c r="E1340" t="str">
        <f>Result_notebook_retravaill!E1340</f>
        <v>Current shares</v>
      </c>
      <c r="F1340" t="str">
        <f>Result_notebook_retravaill!F1340</f>
        <v>Expansion Extractive+Circularity</v>
      </c>
      <c r="G1340">
        <f>Result_notebook_retravaill!G1340</f>
        <v>83112.060773278674</v>
      </c>
      <c r="H1340" s="32">
        <f>IF(Result_notebook_retravaill!I1340&gt;Result_notebook_retravaill!G1340,Result_notebook_retravaill!I1340/Result_notebook_retravaill!N1340,Result_notebook_retravaill!H1340)</f>
        <v>409858.53004430229</v>
      </c>
      <c r="I1340" s="32">
        <f>Result_notebook_retravaill!K1340</f>
        <v>0</v>
      </c>
      <c r="J1340" s="32">
        <f>MIN(G1340,Result_notebook_retravaill!I1340)</f>
        <v>83112.060773278674</v>
      </c>
      <c r="K1340" s="32">
        <f>IF(Result_notebook_retravaill!I1340&gt;Result_notebook_retravaill!G1340,0,IF(Result_notebook_retravaill!I1340+Result_notebook_retravaill!J1340&gt;Result_notebook_retravaill!G1340,Result_notebook_retravaill!G1340-Result_notebook_retravaill!I1340,Result_notebook_retravaill!J1340))</f>
        <v>0</v>
      </c>
      <c r="L1340" s="32">
        <f>IF(Result_notebook_retravaill!I1340&gt;Result_notebook_retravaill!G1340,0,IF(Result_notebook_retravaill!I1340+Result_notebook_retravaill!J1340&gt;Result_notebook_retravaill!G1340,0,Result_notebook_retravaill!M1340))</f>
        <v>0</v>
      </c>
      <c r="M1340" s="31">
        <f t="shared" si="20"/>
        <v>0</v>
      </c>
    </row>
    <row r="1341" spans="1:13" x14ac:dyDescent="0.35">
      <c r="A1341">
        <f>Result_notebook_retravaill!A1341</f>
        <v>2039</v>
      </c>
      <c r="B1341" t="str">
        <f>Result_notebook_retravaill!B1341</f>
        <v>Lithium</v>
      </c>
      <c r="C1341" t="str">
        <f>Result_notebook_retravaill!C1341</f>
        <v>Canada Net-zero</v>
      </c>
      <c r="D1341" t="str">
        <f>Result_notebook_retravaill!D1341</f>
        <v>Production potential</v>
      </c>
      <c r="E1341" t="str">
        <f>Result_notebook_retravaill!E1341</f>
        <v>100% CAN</v>
      </c>
      <c r="F1341" t="str">
        <f>Result_notebook_retravaill!F1341</f>
        <v>Integrated</v>
      </c>
      <c r="G1341">
        <f>Result_notebook_retravaill!G1341</f>
        <v>83112.060773278674</v>
      </c>
      <c r="H1341" s="32">
        <f>IF(Result_notebook_retravaill!I1341&gt;Result_notebook_retravaill!G1341,Result_notebook_retravaill!I1341/Result_notebook_retravaill!N1341,Result_notebook_retravaill!H1341)</f>
        <v>409858.53004430229</v>
      </c>
      <c r="I1341" s="32">
        <f>Result_notebook_retravaill!K1341</f>
        <v>0</v>
      </c>
      <c r="J1341" s="32">
        <f>MIN(G1341,Result_notebook_retravaill!I1341)</f>
        <v>83112.060773278674</v>
      </c>
      <c r="K1341" s="32">
        <f>IF(Result_notebook_retravaill!I1341&gt;Result_notebook_retravaill!G1341,0,IF(Result_notebook_retravaill!I1341+Result_notebook_retravaill!J1341&gt;Result_notebook_retravaill!G1341,Result_notebook_retravaill!G1341-Result_notebook_retravaill!I1341,Result_notebook_retravaill!J1341))</f>
        <v>0</v>
      </c>
      <c r="L1341" s="32">
        <f>IF(Result_notebook_retravaill!I1341&gt;Result_notebook_retravaill!G1341,0,IF(Result_notebook_retravaill!I1341+Result_notebook_retravaill!J1341&gt;Result_notebook_retravaill!G1341,0,Result_notebook_retravaill!M1341))</f>
        <v>0</v>
      </c>
      <c r="M1341" s="31">
        <f t="shared" si="20"/>
        <v>0</v>
      </c>
    </row>
    <row r="1342" spans="1:13" x14ac:dyDescent="0.35">
      <c r="A1342">
        <f>Result_notebook_retravaill!A1342</f>
        <v>2039</v>
      </c>
      <c r="B1342" t="str">
        <f>Result_notebook_retravaill!B1342</f>
        <v>Lithium</v>
      </c>
      <c r="C1342" t="str">
        <f>Result_notebook_retravaill!C1342</f>
        <v>Current Measures</v>
      </c>
      <c r="D1342" t="str">
        <f>Result_notebook_retravaill!D1342</f>
        <v>Existing production</v>
      </c>
      <c r="E1342" t="str">
        <f>Result_notebook_retravaill!E1342</f>
        <v>Current shares</v>
      </c>
      <c r="F1342" t="str">
        <f>Result_notebook_retravaill!F1342</f>
        <v>NIMBY</v>
      </c>
      <c r="G1342">
        <f>Result_notebook_retravaill!G1342</f>
        <v>30549.47912258418</v>
      </c>
      <c r="H1342" s="32">
        <f>IF(Result_notebook_retravaill!I1342&gt;Result_notebook_retravaill!G1342,Result_notebook_retravaill!I1342/Result_notebook_retravaill!N1342,Result_notebook_retravaill!H1342)</f>
        <v>0</v>
      </c>
      <c r="I1342" s="32">
        <f>Result_notebook_retravaill!K1342</f>
        <v>43642.113032263107</v>
      </c>
      <c r="J1342" s="32">
        <f>MIN(G1342,Result_notebook_retravaill!I1342)</f>
        <v>0</v>
      </c>
      <c r="K1342" s="32">
        <f>IF(Result_notebook_retravaill!I1342&gt;Result_notebook_retravaill!G1342,0,IF(Result_notebook_retravaill!I1342+Result_notebook_retravaill!J1342&gt;Result_notebook_retravaill!G1342,Result_notebook_retravaill!G1342-Result_notebook_retravaill!I1342,Result_notebook_retravaill!J1342))</f>
        <v>0</v>
      </c>
      <c r="L1342" s="32">
        <f>IF(Result_notebook_retravaill!I1342&gt;Result_notebook_retravaill!G1342,0,IF(Result_notebook_retravaill!I1342+Result_notebook_retravaill!J1342&gt;Result_notebook_retravaill!G1342,0,Result_notebook_retravaill!M1342))</f>
        <v>30549.47912258418</v>
      </c>
      <c r="M1342" s="31">
        <f t="shared" si="20"/>
        <v>0</v>
      </c>
    </row>
    <row r="1343" spans="1:13" x14ac:dyDescent="0.35">
      <c r="A1343">
        <f>Result_notebook_retravaill!A1343</f>
        <v>2039</v>
      </c>
      <c r="B1343" t="str">
        <f>Result_notebook_retravaill!B1343</f>
        <v>Lithium</v>
      </c>
      <c r="C1343" t="str">
        <f>Result_notebook_retravaill!C1343</f>
        <v>Current Measures</v>
      </c>
      <c r="D1343" t="str">
        <f>Result_notebook_retravaill!D1343</f>
        <v>Existing production</v>
      </c>
      <c r="E1343" t="str">
        <f>Result_notebook_retravaill!E1343</f>
        <v>Current shares</v>
      </c>
      <c r="F1343" t="str">
        <f>Result_notebook_retravaill!F1343</f>
        <v>Status Quo</v>
      </c>
      <c r="G1343">
        <f>Result_notebook_retravaill!G1343</f>
        <v>30549.47912258418</v>
      </c>
      <c r="H1343" s="32">
        <f>IF(Result_notebook_retravaill!I1343&gt;Result_notebook_retravaill!G1343,Result_notebook_retravaill!I1343/Result_notebook_retravaill!N1343,Result_notebook_retravaill!H1343)</f>
        <v>40971</v>
      </c>
      <c r="I1343" s="32">
        <f>Result_notebook_retravaill!K1343</f>
        <v>2671.1130322631138</v>
      </c>
      <c r="J1343" s="32">
        <f>MIN(G1343,Result_notebook_retravaill!I1343)</f>
        <v>28645.71336388055</v>
      </c>
      <c r="K1343" s="32">
        <f>IF(Result_notebook_retravaill!I1343&gt;Result_notebook_retravaill!G1343,0,IF(Result_notebook_retravaill!I1343+Result_notebook_retravaill!J1343&gt;Result_notebook_retravaill!G1343,Result_notebook_retravaill!G1343-Result_notebook_retravaill!I1343,Result_notebook_retravaill!J1343))</f>
        <v>1903.7657587036301</v>
      </c>
      <c r="L1343" s="32">
        <f>IF(Result_notebook_retravaill!I1343&gt;Result_notebook_retravaill!G1343,0,IF(Result_notebook_retravaill!I1343+Result_notebook_retravaill!J1343&gt;Result_notebook_retravaill!G1343,0,Result_notebook_retravaill!M1343))</f>
        <v>0</v>
      </c>
      <c r="M1343" s="31">
        <f t="shared" si="20"/>
        <v>0</v>
      </c>
    </row>
    <row r="1344" spans="1:13" x14ac:dyDescent="0.35">
      <c r="A1344">
        <f>Result_notebook_retravaill!A1344</f>
        <v>2039</v>
      </c>
      <c r="B1344" t="str">
        <f>Result_notebook_retravaill!B1344</f>
        <v>Lithium</v>
      </c>
      <c r="C1344" t="str">
        <f>Result_notebook_retravaill!C1344</f>
        <v>Current Measures</v>
      </c>
      <c r="D1344" t="str">
        <f>Result_notebook_retravaill!D1344</f>
        <v>Production potential</v>
      </c>
      <c r="E1344" t="str">
        <f>Result_notebook_retravaill!E1344</f>
        <v>Current shares</v>
      </c>
      <c r="F1344" t="str">
        <f>Result_notebook_retravaill!F1344</f>
        <v>Expansion Extractive</v>
      </c>
      <c r="G1344">
        <f>Result_notebook_retravaill!G1344</f>
        <v>30549.47912258418</v>
      </c>
      <c r="H1344" s="32">
        <f>IF(Result_notebook_retravaill!I1344&gt;Result_notebook_retravaill!G1344,Result_notebook_retravaill!I1344/Result_notebook_retravaill!N1344,Result_notebook_retravaill!H1344)</f>
        <v>409858.53004430229</v>
      </c>
      <c r="I1344" s="32">
        <f>Result_notebook_retravaill!K1344</f>
        <v>0</v>
      </c>
      <c r="J1344" s="32">
        <f>MIN(G1344,Result_notebook_retravaill!I1344)</f>
        <v>30549.47912258418</v>
      </c>
      <c r="K1344" s="32">
        <f>IF(Result_notebook_retravaill!I1344&gt;Result_notebook_retravaill!G1344,0,IF(Result_notebook_retravaill!I1344+Result_notebook_retravaill!J1344&gt;Result_notebook_retravaill!G1344,Result_notebook_retravaill!G1344-Result_notebook_retravaill!I1344,Result_notebook_retravaill!J1344))</f>
        <v>0</v>
      </c>
      <c r="L1344" s="32">
        <f>IF(Result_notebook_retravaill!I1344&gt;Result_notebook_retravaill!G1344,0,IF(Result_notebook_retravaill!I1344+Result_notebook_retravaill!J1344&gt;Result_notebook_retravaill!G1344,0,Result_notebook_retravaill!M1344))</f>
        <v>0</v>
      </c>
      <c r="M1344" s="31">
        <f t="shared" si="20"/>
        <v>0</v>
      </c>
    </row>
    <row r="1345" spans="1:13" x14ac:dyDescent="0.35">
      <c r="A1345">
        <f>Result_notebook_retravaill!A1345</f>
        <v>2039</v>
      </c>
      <c r="B1345" t="str">
        <f>Result_notebook_retravaill!B1345</f>
        <v>Lithium</v>
      </c>
      <c r="C1345" t="str">
        <f>Result_notebook_retravaill!C1345</f>
        <v>Current Measures</v>
      </c>
      <c r="D1345" t="str">
        <f>Result_notebook_retravaill!D1345</f>
        <v>Production potential</v>
      </c>
      <c r="E1345" t="str">
        <f>Result_notebook_retravaill!E1345</f>
        <v>Current shares</v>
      </c>
      <c r="F1345" t="str">
        <f>Result_notebook_retravaill!F1345</f>
        <v>Expansion Extractive+Circularity</v>
      </c>
      <c r="G1345">
        <f>Result_notebook_retravaill!G1345</f>
        <v>30549.47912258418</v>
      </c>
      <c r="H1345" s="32">
        <f>IF(Result_notebook_retravaill!I1345&gt;Result_notebook_retravaill!G1345,Result_notebook_retravaill!I1345/Result_notebook_retravaill!N1345,Result_notebook_retravaill!H1345)</f>
        <v>409858.53004430229</v>
      </c>
      <c r="I1345" s="32">
        <f>Result_notebook_retravaill!K1345</f>
        <v>0</v>
      </c>
      <c r="J1345" s="32">
        <f>MIN(G1345,Result_notebook_retravaill!I1345)</f>
        <v>30549.47912258418</v>
      </c>
      <c r="K1345" s="32">
        <f>IF(Result_notebook_retravaill!I1345&gt;Result_notebook_retravaill!G1345,0,IF(Result_notebook_retravaill!I1345+Result_notebook_retravaill!J1345&gt;Result_notebook_retravaill!G1345,Result_notebook_retravaill!G1345-Result_notebook_retravaill!I1345,Result_notebook_retravaill!J1345))</f>
        <v>0</v>
      </c>
      <c r="L1345" s="32">
        <f>IF(Result_notebook_retravaill!I1345&gt;Result_notebook_retravaill!G1345,0,IF(Result_notebook_retravaill!I1345+Result_notebook_retravaill!J1345&gt;Result_notebook_retravaill!G1345,0,Result_notebook_retravaill!M1345))</f>
        <v>0</v>
      </c>
      <c r="M1345" s="31">
        <f t="shared" si="20"/>
        <v>0</v>
      </c>
    </row>
    <row r="1346" spans="1:13" x14ac:dyDescent="0.35">
      <c r="A1346">
        <f>Result_notebook_retravaill!A1346</f>
        <v>2039</v>
      </c>
      <c r="B1346" t="str">
        <f>Result_notebook_retravaill!B1346</f>
        <v>Lithium</v>
      </c>
      <c r="C1346" t="str">
        <f>Result_notebook_retravaill!C1346</f>
        <v>Current Measures</v>
      </c>
      <c r="D1346" t="str">
        <f>Result_notebook_retravaill!D1346</f>
        <v>Production potential</v>
      </c>
      <c r="E1346" t="str">
        <f>Result_notebook_retravaill!E1346</f>
        <v>100% CAN</v>
      </c>
      <c r="F1346" t="str">
        <f>Result_notebook_retravaill!F1346</f>
        <v>Integrated</v>
      </c>
      <c r="G1346">
        <f>Result_notebook_retravaill!G1346</f>
        <v>30549.47912258418</v>
      </c>
      <c r="H1346" s="32">
        <f>IF(Result_notebook_retravaill!I1346&gt;Result_notebook_retravaill!G1346,Result_notebook_retravaill!I1346/Result_notebook_retravaill!N1346,Result_notebook_retravaill!H1346)</f>
        <v>409858.53004430229</v>
      </c>
      <c r="I1346" s="32">
        <f>Result_notebook_retravaill!K1346</f>
        <v>0</v>
      </c>
      <c r="J1346" s="32">
        <f>MIN(G1346,Result_notebook_retravaill!I1346)</f>
        <v>30549.47912258418</v>
      </c>
      <c r="K1346" s="32">
        <f>IF(Result_notebook_retravaill!I1346&gt;Result_notebook_retravaill!G1346,0,IF(Result_notebook_retravaill!I1346+Result_notebook_retravaill!J1346&gt;Result_notebook_retravaill!G1346,Result_notebook_retravaill!G1346-Result_notebook_retravaill!I1346,Result_notebook_retravaill!J1346))</f>
        <v>0</v>
      </c>
      <c r="L1346" s="32">
        <f>IF(Result_notebook_retravaill!I1346&gt;Result_notebook_retravaill!G1346,0,IF(Result_notebook_retravaill!I1346+Result_notebook_retravaill!J1346&gt;Result_notebook_retravaill!G1346,0,Result_notebook_retravaill!M1346))</f>
        <v>0</v>
      </c>
      <c r="M1346" s="31">
        <f t="shared" si="20"/>
        <v>0</v>
      </c>
    </row>
    <row r="1347" spans="1:13" x14ac:dyDescent="0.35">
      <c r="A1347">
        <f>Result_notebook_retravaill!A1347</f>
        <v>2039</v>
      </c>
      <c r="B1347" t="str">
        <f>Result_notebook_retravaill!B1347</f>
        <v>Lithium</v>
      </c>
      <c r="C1347" t="str">
        <f>Result_notebook_retravaill!C1347</f>
        <v>Global Net-zero</v>
      </c>
      <c r="D1347" t="str">
        <f>Result_notebook_retravaill!D1347</f>
        <v>Existing production</v>
      </c>
      <c r="E1347" t="str">
        <f>Result_notebook_retravaill!E1347</f>
        <v>Current shares</v>
      </c>
      <c r="F1347" t="str">
        <f>Result_notebook_retravaill!F1347</f>
        <v>NIMBY</v>
      </c>
      <c r="G1347">
        <f>Result_notebook_retravaill!G1347</f>
        <v>79224.408806461855</v>
      </c>
      <c r="H1347" s="32">
        <f>IF(Result_notebook_retravaill!I1347&gt;Result_notebook_retravaill!G1347,Result_notebook_retravaill!I1347/Result_notebook_retravaill!N1347,Result_notebook_retravaill!H1347)</f>
        <v>0</v>
      </c>
      <c r="I1347" s="32">
        <f>Result_notebook_retravaill!K1347</f>
        <v>113177.7268663741</v>
      </c>
      <c r="J1347" s="32">
        <f>MIN(G1347,Result_notebook_retravaill!I1347)</f>
        <v>0</v>
      </c>
      <c r="K1347" s="32">
        <f>IF(Result_notebook_retravaill!I1347&gt;Result_notebook_retravaill!G1347,0,IF(Result_notebook_retravaill!I1347+Result_notebook_retravaill!J1347&gt;Result_notebook_retravaill!G1347,Result_notebook_retravaill!G1347-Result_notebook_retravaill!I1347,Result_notebook_retravaill!J1347))</f>
        <v>0</v>
      </c>
      <c r="L1347" s="32">
        <f>IF(Result_notebook_retravaill!I1347&gt;Result_notebook_retravaill!G1347,0,IF(Result_notebook_retravaill!I1347+Result_notebook_retravaill!J1347&gt;Result_notebook_retravaill!G1347,0,Result_notebook_retravaill!M1347))</f>
        <v>79224.408806461855</v>
      </c>
      <c r="M1347" s="31">
        <f t="shared" ref="M1347:M1410" si="21">SUM(J1347:L1347)-G1347</f>
        <v>0</v>
      </c>
    </row>
    <row r="1348" spans="1:13" x14ac:dyDescent="0.35">
      <c r="A1348">
        <f>Result_notebook_retravaill!A1348</f>
        <v>2039</v>
      </c>
      <c r="B1348" t="str">
        <f>Result_notebook_retravaill!B1348</f>
        <v>Lithium</v>
      </c>
      <c r="C1348" t="str">
        <f>Result_notebook_retravaill!C1348</f>
        <v>Global Net-zero</v>
      </c>
      <c r="D1348" t="str">
        <f>Result_notebook_retravaill!D1348</f>
        <v>Existing production</v>
      </c>
      <c r="E1348" t="str">
        <f>Result_notebook_retravaill!E1348</f>
        <v>Current shares</v>
      </c>
      <c r="F1348" t="str">
        <f>Result_notebook_retravaill!F1348</f>
        <v>Status Quo</v>
      </c>
      <c r="G1348">
        <f>Result_notebook_retravaill!G1348</f>
        <v>79224.408806461855</v>
      </c>
      <c r="H1348" s="32">
        <f>IF(Result_notebook_retravaill!I1348&gt;Result_notebook_retravaill!G1348,Result_notebook_retravaill!I1348/Result_notebook_retravaill!N1348,Result_notebook_retravaill!H1348)</f>
        <v>40971</v>
      </c>
      <c r="I1348" s="32">
        <f>Result_notebook_retravaill!K1348</f>
        <v>72206.726866374083</v>
      </c>
      <c r="J1348" s="32">
        <f>MIN(G1348,Result_notebook_retravaill!I1348)</f>
        <v>28645.71336388055</v>
      </c>
      <c r="K1348" s="32">
        <f>IF(Result_notebook_retravaill!I1348&gt;Result_notebook_retravaill!G1348,0,IF(Result_notebook_retravaill!I1348+Result_notebook_retravaill!J1348&gt;Result_notebook_retravaill!G1348,Result_notebook_retravaill!G1348-Result_notebook_retravaill!I1348,Result_notebook_retravaill!J1348))</f>
        <v>3621.202412360788</v>
      </c>
      <c r="L1348" s="32">
        <f>IF(Result_notebook_retravaill!I1348&gt;Result_notebook_retravaill!G1348,0,IF(Result_notebook_retravaill!I1348+Result_notebook_retravaill!J1348&gt;Result_notebook_retravaill!G1348,0,Result_notebook_retravaill!M1348))</f>
        <v>46957.493030220518</v>
      </c>
      <c r="M1348" s="31">
        <f t="shared" si="21"/>
        <v>0</v>
      </c>
    </row>
    <row r="1349" spans="1:13" x14ac:dyDescent="0.35">
      <c r="A1349">
        <f>Result_notebook_retravaill!A1349</f>
        <v>2039</v>
      </c>
      <c r="B1349" t="str">
        <f>Result_notebook_retravaill!B1349</f>
        <v>Lithium</v>
      </c>
      <c r="C1349" t="str">
        <f>Result_notebook_retravaill!C1349</f>
        <v>Global Net-zero</v>
      </c>
      <c r="D1349" t="str">
        <f>Result_notebook_retravaill!D1349</f>
        <v>Production potential</v>
      </c>
      <c r="E1349" t="str">
        <f>Result_notebook_retravaill!E1349</f>
        <v>Current shares</v>
      </c>
      <c r="F1349" t="str">
        <f>Result_notebook_retravaill!F1349</f>
        <v>Expansion Extractive</v>
      </c>
      <c r="G1349">
        <f>Result_notebook_retravaill!G1349</f>
        <v>79224.408806461855</v>
      </c>
      <c r="H1349" s="32">
        <f>IF(Result_notebook_retravaill!I1349&gt;Result_notebook_retravaill!G1349,Result_notebook_retravaill!I1349/Result_notebook_retravaill!N1349,Result_notebook_retravaill!H1349)</f>
        <v>409858.53004430229</v>
      </c>
      <c r="I1349" s="32">
        <f>Result_notebook_retravaill!K1349</f>
        <v>0</v>
      </c>
      <c r="J1349" s="32">
        <f>MIN(G1349,Result_notebook_retravaill!I1349)</f>
        <v>79224.408806461855</v>
      </c>
      <c r="K1349" s="32">
        <f>IF(Result_notebook_retravaill!I1349&gt;Result_notebook_retravaill!G1349,0,IF(Result_notebook_retravaill!I1349+Result_notebook_retravaill!J1349&gt;Result_notebook_retravaill!G1349,Result_notebook_retravaill!G1349-Result_notebook_retravaill!I1349,Result_notebook_retravaill!J1349))</f>
        <v>0</v>
      </c>
      <c r="L1349" s="32">
        <f>IF(Result_notebook_retravaill!I1349&gt;Result_notebook_retravaill!G1349,0,IF(Result_notebook_retravaill!I1349+Result_notebook_retravaill!J1349&gt;Result_notebook_retravaill!G1349,0,Result_notebook_retravaill!M1349))</f>
        <v>0</v>
      </c>
      <c r="M1349" s="31">
        <f t="shared" si="21"/>
        <v>0</v>
      </c>
    </row>
    <row r="1350" spans="1:13" x14ac:dyDescent="0.35">
      <c r="A1350">
        <f>Result_notebook_retravaill!A1350</f>
        <v>2039</v>
      </c>
      <c r="B1350" t="str">
        <f>Result_notebook_retravaill!B1350</f>
        <v>Lithium</v>
      </c>
      <c r="C1350" t="str">
        <f>Result_notebook_retravaill!C1350</f>
        <v>Global Net-zero</v>
      </c>
      <c r="D1350" t="str">
        <f>Result_notebook_retravaill!D1350</f>
        <v>Production potential</v>
      </c>
      <c r="E1350" t="str">
        <f>Result_notebook_retravaill!E1350</f>
        <v>Current shares</v>
      </c>
      <c r="F1350" t="str">
        <f>Result_notebook_retravaill!F1350</f>
        <v>Expansion Extractive+Circularity</v>
      </c>
      <c r="G1350">
        <f>Result_notebook_retravaill!G1350</f>
        <v>79224.408806461855</v>
      </c>
      <c r="H1350" s="32">
        <f>IF(Result_notebook_retravaill!I1350&gt;Result_notebook_retravaill!G1350,Result_notebook_retravaill!I1350/Result_notebook_retravaill!N1350,Result_notebook_retravaill!H1350)</f>
        <v>409858.53004430229</v>
      </c>
      <c r="I1350" s="32">
        <f>Result_notebook_retravaill!K1350</f>
        <v>0</v>
      </c>
      <c r="J1350" s="32">
        <f>MIN(G1350,Result_notebook_retravaill!I1350)</f>
        <v>79224.408806461855</v>
      </c>
      <c r="K1350" s="32">
        <f>IF(Result_notebook_retravaill!I1350&gt;Result_notebook_retravaill!G1350,0,IF(Result_notebook_retravaill!I1350+Result_notebook_retravaill!J1350&gt;Result_notebook_retravaill!G1350,Result_notebook_retravaill!G1350-Result_notebook_retravaill!I1350,Result_notebook_retravaill!J1350))</f>
        <v>0</v>
      </c>
      <c r="L1350" s="32">
        <f>IF(Result_notebook_retravaill!I1350&gt;Result_notebook_retravaill!G1350,0,IF(Result_notebook_retravaill!I1350+Result_notebook_retravaill!J1350&gt;Result_notebook_retravaill!G1350,0,Result_notebook_retravaill!M1350))</f>
        <v>0</v>
      </c>
      <c r="M1350" s="31">
        <f t="shared" si="21"/>
        <v>0</v>
      </c>
    </row>
    <row r="1351" spans="1:13" x14ac:dyDescent="0.35">
      <c r="A1351">
        <f>Result_notebook_retravaill!A1351</f>
        <v>2039</v>
      </c>
      <c r="B1351" t="str">
        <f>Result_notebook_retravaill!B1351</f>
        <v>Lithium</v>
      </c>
      <c r="C1351" t="str">
        <f>Result_notebook_retravaill!C1351</f>
        <v>Global Net-zero</v>
      </c>
      <c r="D1351" t="str">
        <f>Result_notebook_retravaill!D1351</f>
        <v>Production potential</v>
      </c>
      <c r="E1351" t="str">
        <f>Result_notebook_retravaill!E1351</f>
        <v>100% CAN</v>
      </c>
      <c r="F1351" t="str">
        <f>Result_notebook_retravaill!F1351</f>
        <v>Integrated</v>
      </c>
      <c r="G1351">
        <f>Result_notebook_retravaill!G1351</f>
        <v>79224.408806461855</v>
      </c>
      <c r="H1351" s="32">
        <f>IF(Result_notebook_retravaill!I1351&gt;Result_notebook_retravaill!G1351,Result_notebook_retravaill!I1351/Result_notebook_retravaill!N1351,Result_notebook_retravaill!H1351)</f>
        <v>409858.53004430229</v>
      </c>
      <c r="I1351" s="32">
        <f>Result_notebook_retravaill!K1351</f>
        <v>0</v>
      </c>
      <c r="J1351" s="32">
        <f>MIN(G1351,Result_notebook_retravaill!I1351)</f>
        <v>79224.408806461855</v>
      </c>
      <c r="K1351" s="32">
        <f>IF(Result_notebook_retravaill!I1351&gt;Result_notebook_retravaill!G1351,0,IF(Result_notebook_retravaill!I1351+Result_notebook_retravaill!J1351&gt;Result_notebook_retravaill!G1351,Result_notebook_retravaill!G1351-Result_notebook_retravaill!I1351,Result_notebook_retravaill!J1351))</f>
        <v>0</v>
      </c>
      <c r="L1351" s="32">
        <f>IF(Result_notebook_retravaill!I1351&gt;Result_notebook_retravaill!G1351,0,IF(Result_notebook_retravaill!I1351+Result_notebook_retravaill!J1351&gt;Result_notebook_retravaill!G1351,0,Result_notebook_retravaill!M1351))</f>
        <v>0</v>
      </c>
      <c r="M1351" s="31">
        <f t="shared" si="21"/>
        <v>0</v>
      </c>
    </row>
    <row r="1352" spans="1:13" x14ac:dyDescent="0.35">
      <c r="A1352">
        <f>Result_notebook_retravaill!A1352</f>
        <v>2040</v>
      </c>
      <c r="B1352" t="str">
        <f>Result_notebook_retravaill!B1352</f>
        <v>Cobalt</v>
      </c>
      <c r="C1352" t="str">
        <f>Result_notebook_retravaill!C1352</f>
        <v>Canada Net-zero</v>
      </c>
      <c r="D1352" t="str">
        <f>Result_notebook_retravaill!D1352</f>
        <v>Existing production</v>
      </c>
      <c r="E1352" t="str">
        <f>Result_notebook_retravaill!E1352</f>
        <v>Current shares</v>
      </c>
      <c r="F1352" t="str">
        <f>Result_notebook_retravaill!F1352</f>
        <v>NIMBY</v>
      </c>
      <c r="G1352">
        <f>Result_notebook_retravaill!G1352</f>
        <v>262254.85822449211</v>
      </c>
      <c r="H1352" s="32">
        <f>IF(Result_notebook_retravaill!I1352&gt;Result_notebook_retravaill!G1352,Result_notebook_retravaill!I1352/Result_notebook_retravaill!N1352,Result_notebook_retravaill!H1352)</f>
        <v>0</v>
      </c>
      <c r="I1352" s="32">
        <f>Result_notebook_retravaill!K1352</f>
        <v>596033.76869202754</v>
      </c>
      <c r="J1352" s="32">
        <f>MIN(G1352,Result_notebook_retravaill!I1352)</f>
        <v>0</v>
      </c>
      <c r="K1352" s="32">
        <f>IF(Result_notebook_retravaill!I1352&gt;Result_notebook_retravaill!G1352,0,IF(Result_notebook_retravaill!I1352+Result_notebook_retravaill!J1352&gt;Result_notebook_retravaill!G1352,Result_notebook_retravaill!G1352-Result_notebook_retravaill!I1352,Result_notebook_retravaill!J1352))</f>
        <v>0</v>
      </c>
      <c r="L1352" s="32">
        <f>IF(Result_notebook_retravaill!I1352&gt;Result_notebook_retravaill!G1352,0,IF(Result_notebook_retravaill!I1352+Result_notebook_retravaill!J1352&gt;Result_notebook_retravaill!G1352,0,Result_notebook_retravaill!M1352))</f>
        <v>262254.85822449211</v>
      </c>
      <c r="M1352" s="31">
        <f t="shared" si="21"/>
        <v>0</v>
      </c>
    </row>
    <row r="1353" spans="1:13" x14ac:dyDescent="0.35">
      <c r="A1353">
        <f>Result_notebook_retravaill!A1353</f>
        <v>2040</v>
      </c>
      <c r="B1353" t="str">
        <f>Result_notebook_retravaill!B1353</f>
        <v>Cobalt</v>
      </c>
      <c r="C1353" t="str">
        <f>Result_notebook_retravaill!C1353</f>
        <v>Canada Net-zero</v>
      </c>
      <c r="D1353" t="str">
        <f>Result_notebook_retravaill!D1353</f>
        <v>Existing production</v>
      </c>
      <c r="E1353" t="str">
        <f>Result_notebook_retravaill!E1353</f>
        <v>Current shares</v>
      </c>
      <c r="F1353" t="str">
        <f>Result_notebook_retravaill!F1353</f>
        <v>Status Quo</v>
      </c>
      <c r="G1353">
        <f>Result_notebook_retravaill!G1353</f>
        <v>262254.85822449211</v>
      </c>
      <c r="H1353" s="32">
        <f>IF(Result_notebook_retravaill!I1353&gt;Result_notebook_retravaill!G1353,Result_notebook_retravaill!I1353/Result_notebook_retravaill!N1353,Result_notebook_retravaill!H1353)</f>
        <v>261</v>
      </c>
      <c r="I1353" s="32">
        <f>Result_notebook_retravaill!K1353</f>
        <v>595772.76869202754</v>
      </c>
      <c r="J1353" s="32">
        <f>MIN(G1353,Result_notebook_retravaill!I1353)</f>
        <v>110.71145720551</v>
      </c>
      <c r="K1353" s="32">
        <f>IF(Result_notebook_retravaill!I1353&gt;Result_notebook_retravaill!G1353,0,IF(Result_notebook_retravaill!I1353+Result_notebook_retravaill!J1353&gt;Result_notebook_retravaill!G1353,Result_notebook_retravaill!G1353-Result_notebook_retravaill!I1353,Result_notebook_retravaill!J1353))</f>
        <v>3.9579964387912554</v>
      </c>
      <c r="L1353" s="32">
        <f>IF(Result_notebook_retravaill!I1353&gt;Result_notebook_retravaill!G1353,0,IF(Result_notebook_retravaill!I1353+Result_notebook_retravaill!J1353&gt;Result_notebook_retravaill!G1353,0,Result_notebook_retravaill!M1353))</f>
        <v>262140.1887708478</v>
      </c>
      <c r="M1353" s="31">
        <f t="shared" si="21"/>
        <v>0</v>
      </c>
    </row>
    <row r="1354" spans="1:13" x14ac:dyDescent="0.35">
      <c r="A1354">
        <f>Result_notebook_retravaill!A1354</f>
        <v>2040</v>
      </c>
      <c r="B1354" t="str">
        <f>Result_notebook_retravaill!B1354</f>
        <v>Cobalt</v>
      </c>
      <c r="C1354" t="str">
        <f>Result_notebook_retravaill!C1354</f>
        <v>Canada Net-zero</v>
      </c>
      <c r="D1354" t="str">
        <f>Result_notebook_retravaill!D1354</f>
        <v>Production potential</v>
      </c>
      <c r="E1354" t="str">
        <f>Result_notebook_retravaill!E1354</f>
        <v>Current shares</v>
      </c>
      <c r="F1354" t="str">
        <f>Result_notebook_retravaill!F1354</f>
        <v>Expansion Extractive</v>
      </c>
      <c r="G1354">
        <f>Result_notebook_retravaill!G1354</f>
        <v>262254.85822449211</v>
      </c>
      <c r="H1354" s="32">
        <f>IF(Result_notebook_retravaill!I1354&gt;Result_notebook_retravaill!G1354,Result_notebook_retravaill!I1354/Result_notebook_retravaill!N1354,Result_notebook_retravaill!H1354)</f>
        <v>31066.54411043779</v>
      </c>
      <c r="I1354" s="32">
        <f>Result_notebook_retravaill!K1354</f>
        <v>564967.22458158981</v>
      </c>
      <c r="J1354" s="32">
        <f>MIN(G1354,Result_notebook_retravaill!I1354)</f>
        <v>13177.863482014651</v>
      </c>
      <c r="K1354" s="32">
        <f>IF(Result_notebook_retravaill!I1354&gt;Result_notebook_retravaill!G1354,0,IF(Result_notebook_retravaill!I1354+Result_notebook_retravaill!J1354&gt;Result_notebook_retravaill!G1354,Result_notebook_retravaill!G1354-Result_notebook_retravaill!I1354,Result_notebook_retravaill!J1354))</f>
        <v>471.11598066920487</v>
      </c>
      <c r="L1354" s="32">
        <f>IF(Result_notebook_retravaill!I1354&gt;Result_notebook_retravaill!G1354,0,IF(Result_notebook_retravaill!I1354+Result_notebook_retravaill!J1354&gt;Result_notebook_retravaill!G1354,0,Result_notebook_retravaill!M1354))</f>
        <v>248605.87876180827</v>
      </c>
      <c r="M1354" s="31">
        <f t="shared" si="21"/>
        <v>0</v>
      </c>
    </row>
    <row r="1355" spans="1:13" x14ac:dyDescent="0.35">
      <c r="A1355">
        <f>Result_notebook_retravaill!A1355</f>
        <v>2040</v>
      </c>
      <c r="B1355" t="str">
        <f>Result_notebook_retravaill!B1355</f>
        <v>Cobalt</v>
      </c>
      <c r="C1355" t="str">
        <f>Result_notebook_retravaill!C1355</f>
        <v>Canada Net-zero</v>
      </c>
      <c r="D1355" t="str">
        <f>Result_notebook_retravaill!D1355</f>
        <v>Production potential</v>
      </c>
      <c r="E1355" t="str">
        <f>Result_notebook_retravaill!E1355</f>
        <v>Current shares</v>
      </c>
      <c r="F1355" t="str">
        <f>Result_notebook_retravaill!F1355</f>
        <v>Expansion Extractive+Circularity</v>
      </c>
      <c r="G1355">
        <f>Result_notebook_retravaill!G1355</f>
        <v>262254.85822449211</v>
      </c>
      <c r="H1355" s="32">
        <f>IF(Result_notebook_retravaill!I1355&gt;Result_notebook_retravaill!G1355,Result_notebook_retravaill!I1355/Result_notebook_retravaill!N1355,Result_notebook_retravaill!H1355)</f>
        <v>31066.54411043779</v>
      </c>
      <c r="I1355" s="32">
        <f>Result_notebook_retravaill!K1355</f>
        <v>564967.22458158981</v>
      </c>
      <c r="J1355" s="32">
        <f>MIN(G1355,Result_notebook_retravaill!I1355)</f>
        <v>13177.863482014651</v>
      </c>
      <c r="K1355" s="32">
        <f>IF(Result_notebook_retravaill!I1355&gt;Result_notebook_retravaill!G1355,0,IF(Result_notebook_retravaill!I1355+Result_notebook_retravaill!J1355&gt;Result_notebook_retravaill!G1355,Result_notebook_retravaill!G1355-Result_notebook_retravaill!I1355,Result_notebook_retravaill!J1355))</f>
        <v>471.11598066920487</v>
      </c>
      <c r="L1355" s="32">
        <f>IF(Result_notebook_retravaill!I1355&gt;Result_notebook_retravaill!G1355,0,IF(Result_notebook_retravaill!I1355+Result_notebook_retravaill!J1355&gt;Result_notebook_retravaill!G1355,0,Result_notebook_retravaill!M1355))</f>
        <v>248605.87876180827</v>
      </c>
      <c r="M1355" s="31">
        <f t="shared" si="21"/>
        <v>0</v>
      </c>
    </row>
    <row r="1356" spans="1:13" x14ac:dyDescent="0.35">
      <c r="A1356">
        <f>Result_notebook_retravaill!A1356</f>
        <v>2040</v>
      </c>
      <c r="B1356" t="str">
        <f>Result_notebook_retravaill!B1356</f>
        <v>Cobalt</v>
      </c>
      <c r="C1356" t="str">
        <f>Result_notebook_retravaill!C1356</f>
        <v>Canada Net-zero</v>
      </c>
      <c r="D1356" t="str">
        <f>Result_notebook_retravaill!D1356</f>
        <v>Production potential</v>
      </c>
      <c r="E1356" t="str">
        <f>Result_notebook_retravaill!E1356</f>
        <v>100% CAN</v>
      </c>
      <c r="F1356" t="str">
        <f>Result_notebook_retravaill!F1356</f>
        <v>Integrated</v>
      </c>
      <c r="G1356">
        <f>Result_notebook_retravaill!G1356</f>
        <v>262254.85822449211</v>
      </c>
      <c r="H1356" s="32">
        <f>IF(Result_notebook_retravaill!I1356&gt;Result_notebook_retravaill!G1356,Result_notebook_retravaill!I1356/Result_notebook_retravaill!N1356,Result_notebook_retravaill!H1356)</f>
        <v>31066.54411043779</v>
      </c>
      <c r="I1356" s="32">
        <f>Result_notebook_retravaill!K1356</f>
        <v>564967.22458158981</v>
      </c>
      <c r="J1356" s="32">
        <f>MIN(G1356,Result_notebook_retravaill!I1356)</f>
        <v>13648.97946268387</v>
      </c>
      <c r="K1356" s="32">
        <f>IF(Result_notebook_retravaill!I1356&gt;Result_notebook_retravaill!G1356,0,IF(Result_notebook_retravaill!I1356+Result_notebook_retravaill!J1356&gt;Result_notebook_retravaill!G1356,Result_notebook_retravaill!G1356-Result_notebook_retravaill!I1356,Result_notebook_retravaill!J1356))</f>
        <v>-1.4551915228366852E-11</v>
      </c>
      <c r="L1356" s="32">
        <f>IF(Result_notebook_retravaill!I1356&gt;Result_notebook_retravaill!G1356,0,IF(Result_notebook_retravaill!I1356+Result_notebook_retravaill!J1356&gt;Result_notebook_retravaill!G1356,0,Result_notebook_retravaill!M1356))</f>
        <v>248605.87876180821</v>
      </c>
      <c r="M1356" s="31">
        <f t="shared" si="21"/>
        <v>0</v>
      </c>
    </row>
    <row r="1357" spans="1:13" x14ac:dyDescent="0.35">
      <c r="A1357">
        <f>Result_notebook_retravaill!A1357</f>
        <v>2040</v>
      </c>
      <c r="B1357" t="str">
        <f>Result_notebook_retravaill!B1357</f>
        <v>Cobalt</v>
      </c>
      <c r="C1357" t="str">
        <f>Result_notebook_retravaill!C1357</f>
        <v>Current Measures</v>
      </c>
      <c r="D1357" t="str">
        <f>Result_notebook_retravaill!D1357</f>
        <v>Existing production</v>
      </c>
      <c r="E1357" t="str">
        <f>Result_notebook_retravaill!E1357</f>
        <v>Current shares</v>
      </c>
      <c r="F1357" t="str">
        <f>Result_notebook_retravaill!F1357</f>
        <v>NIMBY</v>
      </c>
      <c r="G1357">
        <f>Result_notebook_retravaill!G1357</f>
        <v>98467.56791655843</v>
      </c>
      <c r="H1357" s="32">
        <f>IF(Result_notebook_retravaill!I1357&gt;Result_notebook_retravaill!G1357,Result_notebook_retravaill!I1357/Result_notebook_retravaill!N1357,Result_notebook_retravaill!H1357)</f>
        <v>0</v>
      </c>
      <c r="I1357" s="32">
        <f>Result_notebook_retravaill!K1357</f>
        <v>223789.9270830873</v>
      </c>
      <c r="J1357" s="32">
        <f>MIN(G1357,Result_notebook_retravaill!I1357)</f>
        <v>0</v>
      </c>
      <c r="K1357" s="32">
        <f>IF(Result_notebook_retravaill!I1357&gt;Result_notebook_retravaill!G1357,0,IF(Result_notebook_retravaill!I1357+Result_notebook_retravaill!J1357&gt;Result_notebook_retravaill!G1357,Result_notebook_retravaill!G1357-Result_notebook_retravaill!I1357,Result_notebook_retravaill!J1357))</f>
        <v>0</v>
      </c>
      <c r="L1357" s="32">
        <f>IF(Result_notebook_retravaill!I1357&gt;Result_notebook_retravaill!G1357,0,IF(Result_notebook_retravaill!I1357+Result_notebook_retravaill!J1357&gt;Result_notebook_retravaill!G1357,0,Result_notebook_retravaill!M1357))</f>
        <v>98467.56791655843</v>
      </c>
      <c r="M1357" s="31">
        <f t="shared" si="21"/>
        <v>0</v>
      </c>
    </row>
    <row r="1358" spans="1:13" x14ac:dyDescent="0.35">
      <c r="A1358">
        <f>Result_notebook_retravaill!A1358</f>
        <v>2040</v>
      </c>
      <c r="B1358" t="str">
        <f>Result_notebook_retravaill!B1358</f>
        <v>Cobalt</v>
      </c>
      <c r="C1358" t="str">
        <f>Result_notebook_retravaill!C1358</f>
        <v>Current Measures</v>
      </c>
      <c r="D1358" t="str">
        <f>Result_notebook_retravaill!D1358</f>
        <v>Existing production</v>
      </c>
      <c r="E1358" t="str">
        <f>Result_notebook_retravaill!E1358</f>
        <v>Current shares</v>
      </c>
      <c r="F1358" t="str">
        <f>Result_notebook_retravaill!F1358</f>
        <v>Status Quo</v>
      </c>
      <c r="G1358">
        <f>Result_notebook_retravaill!G1358</f>
        <v>98467.56791655843</v>
      </c>
      <c r="H1358" s="32">
        <f>IF(Result_notebook_retravaill!I1358&gt;Result_notebook_retravaill!G1358,Result_notebook_retravaill!I1358/Result_notebook_retravaill!N1358,Result_notebook_retravaill!H1358)</f>
        <v>261</v>
      </c>
      <c r="I1358" s="32">
        <f>Result_notebook_retravaill!K1358</f>
        <v>223528.9270830873</v>
      </c>
      <c r="J1358" s="32">
        <f>MIN(G1358,Result_notebook_retravaill!I1358)</f>
        <v>110.71145720551</v>
      </c>
      <c r="K1358" s="32">
        <f>IF(Result_notebook_retravaill!I1358&gt;Result_notebook_retravaill!G1358,0,IF(Result_notebook_retravaill!I1358+Result_notebook_retravaill!J1358&gt;Result_notebook_retravaill!G1358,Result_notebook_retravaill!G1358-Result_notebook_retravaill!I1358,Result_notebook_retravaill!J1358))</f>
        <v>3.9579964387912554</v>
      </c>
      <c r="L1358" s="32">
        <f>IF(Result_notebook_retravaill!I1358&gt;Result_notebook_retravaill!G1358,0,IF(Result_notebook_retravaill!I1358+Result_notebook_retravaill!J1358&gt;Result_notebook_retravaill!G1358,0,Result_notebook_retravaill!M1358))</f>
        <v>98352.89846291412</v>
      </c>
      <c r="M1358" s="31">
        <f t="shared" si="21"/>
        <v>0</v>
      </c>
    </row>
    <row r="1359" spans="1:13" x14ac:dyDescent="0.35">
      <c r="A1359">
        <f>Result_notebook_retravaill!A1359</f>
        <v>2040</v>
      </c>
      <c r="B1359" t="str">
        <f>Result_notebook_retravaill!B1359</f>
        <v>Cobalt</v>
      </c>
      <c r="C1359" t="str">
        <f>Result_notebook_retravaill!C1359</f>
        <v>Current Measures</v>
      </c>
      <c r="D1359" t="str">
        <f>Result_notebook_retravaill!D1359</f>
        <v>Production potential</v>
      </c>
      <c r="E1359" t="str">
        <f>Result_notebook_retravaill!E1359</f>
        <v>Current shares</v>
      </c>
      <c r="F1359" t="str">
        <f>Result_notebook_retravaill!F1359</f>
        <v>Expansion Extractive</v>
      </c>
      <c r="G1359">
        <f>Result_notebook_retravaill!G1359</f>
        <v>98467.56791655843</v>
      </c>
      <c r="H1359" s="32">
        <f>IF(Result_notebook_retravaill!I1359&gt;Result_notebook_retravaill!G1359,Result_notebook_retravaill!I1359/Result_notebook_retravaill!N1359,Result_notebook_retravaill!H1359)</f>
        <v>31066.54411043779</v>
      </c>
      <c r="I1359" s="32">
        <f>Result_notebook_retravaill!K1359</f>
        <v>192723.3829726495</v>
      </c>
      <c r="J1359" s="32">
        <f>MIN(G1359,Result_notebook_retravaill!I1359)</f>
        <v>13177.863482014651</v>
      </c>
      <c r="K1359" s="32">
        <f>IF(Result_notebook_retravaill!I1359&gt;Result_notebook_retravaill!G1359,0,IF(Result_notebook_retravaill!I1359+Result_notebook_retravaill!J1359&gt;Result_notebook_retravaill!G1359,Result_notebook_retravaill!G1359-Result_notebook_retravaill!I1359,Result_notebook_retravaill!J1359))</f>
        <v>471.11598066920487</v>
      </c>
      <c r="L1359" s="32">
        <f>IF(Result_notebook_retravaill!I1359&gt;Result_notebook_retravaill!G1359,0,IF(Result_notebook_retravaill!I1359+Result_notebook_retravaill!J1359&gt;Result_notebook_retravaill!G1359,0,Result_notebook_retravaill!M1359))</f>
        <v>84818.588453874589</v>
      </c>
      <c r="M1359" s="31">
        <f t="shared" si="21"/>
        <v>0</v>
      </c>
    </row>
    <row r="1360" spans="1:13" x14ac:dyDescent="0.35">
      <c r="A1360">
        <f>Result_notebook_retravaill!A1360</f>
        <v>2040</v>
      </c>
      <c r="B1360" t="str">
        <f>Result_notebook_retravaill!B1360</f>
        <v>Cobalt</v>
      </c>
      <c r="C1360" t="str">
        <f>Result_notebook_retravaill!C1360</f>
        <v>Current Measures</v>
      </c>
      <c r="D1360" t="str">
        <f>Result_notebook_retravaill!D1360</f>
        <v>Production potential</v>
      </c>
      <c r="E1360" t="str">
        <f>Result_notebook_retravaill!E1360</f>
        <v>Current shares</v>
      </c>
      <c r="F1360" t="str">
        <f>Result_notebook_retravaill!F1360</f>
        <v>Expansion Extractive+Circularity</v>
      </c>
      <c r="G1360">
        <f>Result_notebook_retravaill!G1360</f>
        <v>98467.56791655843</v>
      </c>
      <c r="H1360" s="32">
        <f>IF(Result_notebook_retravaill!I1360&gt;Result_notebook_retravaill!G1360,Result_notebook_retravaill!I1360/Result_notebook_retravaill!N1360,Result_notebook_retravaill!H1360)</f>
        <v>31066.54411043779</v>
      </c>
      <c r="I1360" s="32">
        <f>Result_notebook_retravaill!K1360</f>
        <v>192723.3829726495</v>
      </c>
      <c r="J1360" s="32">
        <f>MIN(G1360,Result_notebook_retravaill!I1360)</f>
        <v>13177.863482014651</v>
      </c>
      <c r="K1360" s="32">
        <f>IF(Result_notebook_retravaill!I1360&gt;Result_notebook_retravaill!G1360,0,IF(Result_notebook_retravaill!I1360+Result_notebook_retravaill!J1360&gt;Result_notebook_retravaill!G1360,Result_notebook_retravaill!G1360-Result_notebook_retravaill!I1360,Result_notebook_retravaill!J1360))</f>
        <v>471.11598066920487</v>
      </c>
      <c r="L1360" s="32">
        <f>IF(Result_notebook_retravaill!I1360&gt;Result_notebook_retravaill!G1360,0,IF(Result_notebook_retravaill!I1360+Result_notebook_retravaill!J1360&gt;Result_notebook_retravaill!G1360,0,Result_notebook_retravaill!M1360))</f>
        <v>84818.588453874589</v>
      </c>
      <c r="M1360" s="31">
        <f t="shared" si="21"/>
        <v>0</v>
      </c>
    </row>
    <row r="1361" spans="1:13" x14ac:dyDescent="0.35">
      <c r="A1361">
        <f>Result_notebook_retravaill!A1361</f>
        <v>2040</v>
      </c>
      <c r="B1361" t="str">
        <f>Result_notebook_retravaill!B1361</f>
        <v>Cobalt</v>
      </c>
      <c r="C1361" t="str">
        <f>Result_notebook_retravaill!C1361</f>
        <v>Current Measures</v>
      </c>
      <c r="D1361" t="str">
        <f>Result_notebook_retravaill!D1361</f>
        <v>Production potential</v>
      </c>
      <c r="E1361" t="str">
        <f>Result_notebook_retravaill!E1361</f>
        <v>100% CAN</v>
      </c>
      <c r="F1361" t="str">
        <f>Result_notebook_retravaill!F1361</f>
        <v>Integrated</v>
      </c>
      <c r="G1361">
        <f>Result_notebook_retravaill!G1361</f>
        <v>98467.56791655843</v>
      </c>
      <c r="H1361" s="32">
        <f>IF(Result_notebook_retravaill!I1361&gt;Result_notebook_retravaill!G1361,Result_notebook_retravaill!I1361/Result_notebook_retravaill!N1361,Result_notebook_retravaill!H1361)</f>
        <v>31066.54411043779</v>
      </c>
      <c r="I1361" s="32">
        <f>Result_notebook_retravaill!K1361</f>
        <v>192723.3829726495</v>
      </c>
      <c r="J1361" s="32">
        <f>MIN(G1361,Result_notebook_retravaill!I1361)</f>
        <v>13648.97946268387</v>
      </c>
      <c r="K1361" s="32">
        <f>IF(Result_notebook_retravaill!I1361&gt;Result_notebook_retravaill!G1361,0,IF(Result_notebook_retravaill!I1361+Result_notebook_retravaill!J1361&gt;Result_notebook_retravaill!G1361,Result_notebook_retravaill!G1361-Result_notebook_retravaill!I1361,Result_notebook_retravaill!J1361))</f>
        <v>-1.4551915228366852E-11</v>
      </c>
      <c r="L1361" s="32">
        <f>IF(Result_notebook_retravaill!I1361&gt;Result_notebook_retravaill!G1361,0,IF(Result_notebook_retravaill!I1361+Result_notebook_retravaill!J1361&gt;Result_notebook_retravaill!G1361,0,Result_notebook_retravaill!M1361))</f>
        <v>84818.588453874574</v>
      </c>
      <c r="M1361" s="31">
        <f t="shared" si="21"/>
        <v>0</v>
      </c>
    </row>
    <row r="1362" spans="1:13" x14ac:dyDescent="0.35">
      <c r="A1362">
        <f>Result_notebook_retravaill!A1362</f>
        <v>2040</v>
      </c>
      <c r="B1362" t="str">
        <f>Result_notebook_retravaill!B1362</f>
        <v>Cobalt</v>
      </c>
      <c r="C1362" t="str">
        <f>Result_notebook_retravaill!C1362</f>
        <v>Global Net-zero</v>
      </c>
      <c r="D1362" t="str">
        <f>Result_notebook_retravaill!D1362</f>
        <v>Existing production</v>
      </c>
      <c r="E1362" t="str">
        <f>Result_notebook_retravaill!E1362</f>
        <v>Current shares</v>
      </c>
      <c r="F1362" t="str">
        <f>Result_notebook_retravaill!F1362</f>
        <v>NIMBY</v>
      </c>
      <c r="G1362">
        <f>Result_notebook_retravaill!G1362</f>
        <v>249374.18781108601</v>
      </c>
      <c r="H1362" s="32">
        <f>IF(Result_notebook_retravaill!I1362&gt;Result_notebook_retravaill!G1362,Result_notebook_retravaill!I1362/Result_notebook_retravaill!N1362,Result_notebook_retravaill!H1362)</f>
        <v>0</v>
      </c>
      <c r="I1362" s="32">
        <f>Result_notebook_retravaill!K1362</f>
        <v>566759.51775246824</v>
      </c>
      <c r="J1362" s="32">
        <f>MIN(G1362,Result_notebook_retravaill!I1362)</f>
        <v>0</v>
      </c>
      <c r="K1362" s="32">
        <f>IF(Result_notebook_retravaill!I1362&gt;Result_notebook_retravaill!G1362,0,IF(Result_notebook_retravaill!I1362+Result_notebook_retravaill!J1362&gt;Result_notebook_retravaill!G1362,Result_notebook_retravaill!G1362-Result_notebook_retravaill!I1362,Result_notebook_retravaill!J1362))</f>
        <v>0</v>
      </c>
      <c r="L1362" s="32">
        <f>IF(Result_notebook_retravaill!I1362&gt;Result_notebook_retravaill!G1362,0,IF(Result_notebook_retravaill!I1362+Result_notebook_retravaill!J1362&gt;Result_notebook_retravaill!G1362,0,Result_notebook_retravaill!M1362))</f>
        <v>249374.18781108601</v>
      </c>
      <c r="M1362" s="31">
        <f t="shared" si="21"/>
        <v>0</v>
      </c>
    </row>
    <row r="1363" spans="1:13" x14ac:dyDescent="0.35">
      <c r="A1363">
        <f>Result_notebook_retravaill!A1363</f>
        <v>2040</v>
      </c>
      <c r="B1363" t="str">
        <f>Result_notebook_retravaill!B1363</f>
        <v>Cobalt</v>
      </c>
      <c r="C1363" t="str">
        <f>Result_notebook_retravaill!C1363</f>
        <v>Global Net-zero</v>
      </c>
      <c r="D1363" t="str">
        <f>Result_notebook_retravaill!D1363</f>
        <v>Existing production</v>
      </c>
      <c r="E1363" t="str">
        <f>Result_notebook_retravaill!E1363</f>
        <v>Current shares</v>
      </c>
      <c r="F1363" t="str">
        <f>Result_notebook_retravaill!F1363</f>
        <v>Status Quo</v>
      </c>
      <c r="G1363">
        <f>Result_notebook_retravaill!G1363</f>
        <v>249374.18781108601</v>
      </c>
      <c r="H1363" s="32">
        <f>IF(Result_notebook_retravaill!I1363&gt;Result_notebook_retravaill!G1363,Result_notebook_retravaill!I1363/Result_notebook_retravaill!N1363,Result_notebook_retravaill!H1363)</f>
        <v>261</v>
      </c>
      <c r="I1363" s="32">
        <f>Result_notebook_retravaill!K1363</f>
        <v>566498.51775246824</v>
      </c>
      <c r="J1363" s="32">
        <f>MIN(G1363,Result_notebook_retravaill!I1363)</f>
        <v>110.71145720551</v>
      </c>
      <c r="K1363" s="32">
        <f>IF(Result_notebook_retravaill!I1363&gt;Result_notebook_retravaill!G1363,0,IF(Result_notebook_retravaill!I1363+Result_notebook_retravaill!J1363&gt;Result_notebook_retravaill!G1363,Result_notebook_retravaill!G1363-Result_notebook_retravaill!I1363,Result_notebook_retravaill!J1363))</f>
        <v>3.9579964387912554</v>
      </c>
      <c r="L1363" s="32">
        <f>IF(Result_notebook_retravaill!I1363&gt;Result_notebook_retravaill!G1363,0,IF(Result_notebook_retravaill!I1363+Result_notebook_retravaill!J1363&gt;Result_notebook_retravaill!G1363,0,Result_notebook_retravaill!M1363))</f>
        <v>249259.51835744173</v>
      </c>
      <c r="M1363" s="31">
        <f t="shared" si="21"/>
        <v>0</v>
      </c>
    </row>
    <row r="1364" spans="1:13" x14ac:dyDescent="0.35">
      <c r="A1364">
        <f>Result_notebook_retravaill!A1364</f>
        <v>2040</v>
      </c>
      <c r="B1364" t="str">
        <f>Result_notebook_retravaill!B1364</f>
        <v>Cobalt</v>
      </c>
      <c r="C1364" t="str">
        <f>Result_notebook_retravaill!C1364</f>
        <v>Global Net-zero</v>
      </c>
      <c r="D1364" t="str">
        <f>Result_notebook_retravaill!D1364</f>
        <v>Production potential</v>
      </c>
      <c r="E1364" t="str">
        <f>Result_notebook_retravaill!E1364</f>
        <v>Current shares</v>
      </c>
      <c r="F1364" t="str">
        <f>Result_notebook_retravaill!F1364</f>
        <v>Expansion Extractive</v>
      </c>
      <c r="G1364">
        <f>Result_notebook_retravaill!G1364</f>
        <v>249374.18781108601</v>
      </c>
      <c r="H1364" s="32">
        <f>IF(Result_notebook_retravaill!I1364&gt;Result_notebook_retravaill!G1364,Result_notebook_retravaill!I1364/Result_notebook_retravaill!N1364,Result_notebook_retravaill!H1364)</f>
        <v>31066.54411043779</v>
      </c>
      <c r="I1364" s="32">
        <f>Result_notebook_retravaill!K1364</f>
        <v>535692.9736420305</v>
      </c>
      <c r="J1364" s="32">
        <f>MIN(G1364,Result_notebook_retravaill!I1364)</f>
        <v>13177.863482014651</v>
      </c>
      <c r="K1364" s="32">
        <f>IF(Result_notebook_retravaill!I1364&gt;Result_notebook_retravaill!G1364,0,IF(Result_notebook_retravaill!I1364+Result_notebook_retravaill!J1364&gt;Result_notebook_retravaill!G1364,Result_notebook_retravaill!G1364-Result_notebook_retravaill!I1364,Result_notebook_retravaill!J1364))</f>
        <v>471.11598066920487</v>
      </c>
      <c r="L1364" s="32">
        <f>IF(Result_notebook_retravaill!I1364&gt;Result_notebook_retravaill!G1364,0,IF(Result_notebook_retravaill!I1364+Result_notebook_retravaill!J1364&gt;Result_notebook_retravaill!G1364,0,Result_notebook_retravaill!M1364))</f>
        <v>235725.20834840217</v>
      </c>
      <c r="M1364" s="31">
        <f t="shared" si="21"/>
        <v>0</v>
      </c>
    </row>
    <row r="1365" spans="1:13" x14ac:dyDescent="0.35">
      <c r="A1365">
        <f>Result_notebook_retravaill!A1365</f>
        <v>2040</v>
      </c>
      <c r="B1365" t="str">
        <f>Result_notebook_retravaill!B1365</f>
        <v>Cobalt</v>
      </c>
      <c r="C1365" t="str">
        <f>Result_notebook_retravaill!C1365</f>
        <v>Global Net-zero</v>
      </c>
      <c r="D1365" t="str">
        <f>Result_notebook_retravaill!D1365</f>
        <v>Production potential</v>
      </c>
      <c r="E1365" t="str">
        <f>Result_notebook_retravaill!E1365</f>
        <v>Current shares</v>
      </c>
      <c r="F1365" t="str">
        <f>Result_notebook_retravaill!F1365</f>
        <v>Expansion Extractive+Circularity</v>
      </c>
      <c r="G1365">
        <f>Result_notebook_retravaill!G1365</f>
        <v>249374.18781108601</v>
      </c>
      <c r="H1365" s="32">
        <f>IF(Result_notebook_retravaill!I1365&gt;Result_notebook_retravaill!G1365,Result_notebook_retravaill!I1365/Result_notebook_retravaill!N1365,Result_notebook_retravaill!H1365)</f>
        <v>31066.54411043779</v>
      </c>
      <c r="I1365" s="32">
        <f>Result_notebook_retravaill!K1365</f>
        <v>535692.9736420305</v>
      </c>
      <c r="J1365" s="32">
        <f>MIN(G1365,Result_notebook_retravaill!I1365)</f>
        <v>13177.863482014651</v>
      </c>
      <c r="K1365" s="32">
        <f>IF(Result_notebook_retravaill!I1365&gt;Result_notebook_retravaill!G1365,0,IF(Result_notebook_retravaill!I1365+Result_notebook_retravaill!J1365&gt;Result_notebook_retravaill!G1365,Result_notebook_retravaill!G1365-Result_notebook_retravaill!I1365,Result_notebook_retravaill!J1365))</f>
        <v>471.11598066920487</v>
      </c>
      <c r="L1365" s="32">
        <f>IF(Result_notebook_retravaill!I1365&gt;Result_notebook_retravaill!G1365,0,IF(Result_notebook_retravaill!I1365+Result_notebook_retravaill!J1365&gt;Result_notebook_retravaill!G1365,0,Result_notebook_retravaill!M1365))</f>
        <v>235725.20834840217</v>
      </c>
      <c r="M1365" s="31">
        <f t="shared" si="21"/>
        <v>0</v>
      </c>
    </row>
    <row r="1366" spans="1:13" x14ac:dyDescent="0.35">
      <c r="A1366">
        <f>Result_notebook_retravaill!A1366</f>
        <v>2040</v>
      </c>
      <c r="B1366" t="str">
        <f>Result_notebook_retravaill!B1366</f>
        <v>Cobalt</v>
      </c>
      <c r="C1366" t="str">
        <f>Result_notebook_retravaill!C1366</f>
        <v>Global Net-zero</v>
      </c>
      <c r="D1366" t="str">
        <f>Result_notebook_retravaill!D1366</f>
        <v>Production potential</v>
      </c>
      <c r="E1366" t="str">
        <f>Result_notebook_retravaill!E1366</f>
        <v>100% CAN</v>
      </c>
      <c r="F1366" t="str">
        <f>Result_notebook_retravaill!F1366</f>
        <v>Integrated</v>
      </c>
      <c r="G1366">
        <f>Result_notebook_retravaill!G1366</f>
        <v>249374.18781108601</v>
      </c>
      <c r="H1366" s="32">
        <f>IF(Result_notebook_retravaill!I1366&gt;Result_notebook_retravaill!G1366,Result_notebook_retravaill!I1366/Result_notebook_retravaill!N1366,Result_notebook_retravaill!H1366)</f>
        <v>31066.54411043779</v>
      </c>
      <c r="I1366" s="32">
        <f>Result_notebook_retravaill!K1366</f>
        <v>535692.9736420305</v>
      </c>
      <c r="J1366" s="32">
        <f>MIN(G1366,Result_notebook_retravaill!I1366)</f>
        <v>13648.97946268387</v>
      </c>
      <c r="K1366" s="32">
        <f>IF(Result_notebook_retravaill!I1366&gt;Result_notebook_retravaill!G1366,0,IF(Result_notebook_retravaill!I1366+Result_notebook_retravaill!J1366&gt;Result_notebook_retravaill!G1366,Result_notebook_retravaill!G1366-Result_notebook_retravaill!I1366,Result_notebook_retravaill!J1366))</f>
        <v>-1.4551915228366852E-11</v>
      </c>
      <c r="L1366" s="32">
        <f>IF(Result_notebook_retravaill!I1366&gt;Result_notebook_retravaill!G1366,0,IF(Result_notebook_retravaill!I1366+Result_notebook_retravaill!J1366&gt;Result_notebook_retravaill!G1366,0,Result_notebook_retravaill!M1366))</f>
        <v>235725.20834840211</v>
      </c>
      <c r="M1366" s="31">
        <f t="shared" si="21"/>
        <v>0</v>
      </c>
    </row>
    <row r="1367" spans="1:13" x14ac:dyDescent="0.35">
      <c r="A1367">
        <f>Result_notebook_retravaill!A1367</f>
        <v>2040</v>
      </c>
      <c r="B1367" t="str">
        <f>Result_notebook_retravaill!B1367</f>
        <v>Copper</v>
      </c>
      <c r="C1367" t="str">
        <f>Result_notebook_retravaill!C1367</f>
        <v>Canada Net-zero</v>
      </c>
      <c r="D1367" t="str">
        <f>Result_notebook_retravaill!D1367</f>
        <v>Existing production</v>
      </c>
      <c r="E1367" t="str">
        <f>Result_notebook_retravaill!E1367</f>
        <v>Current shares</v>
      </c>
      <c r="F1367" t="str">
        <f>Result_notebook_retravaill!F1367</f>
        <v>NIMBY</v>
      </c>
      <c r="G1367">
        <f>Result_notebook_retravaill!G1367</f>
        <v>1618702.5825368459</v>
      </c>
      <c r="H1367" s="32">
        <f>IF(Result_notebook_retravaill!I1367&gt;Result_notebook_retravaill!G1367,Result_notebook_retravaill!I1367/Result_notebook_retravaill!N1367,Result_notebook_retravaill!H1367)</f>
        <v>0</v>
      </c>
      <c r="I1367" s="32">
        <f>Result_notebook_retravaill!K1367</f>
        <v>1950244.0753455979</v>
      </c>
      <c r="J1367" s="32">
        <f>MIN(G1367,Result_notebook_retravaill!I1367)</f>
        <v>0</v>
      </c>
      <c r="K1367" s="32">
        <f>IF(Result_notebook_retravaill!I1367&gt;Result_notebook_retravaill!G1367,0,IF(Result_notebook_retravaill!I1367+Result_notebook_retravaill!J1367&gt;Result_notebook_retravaill!G1367,Result_notebook_retravaill!G1367-Result_notebook_retravaill!I1367,Result_notebook_retravaill!J1367))</f>
        <v>0</v>
      </c>
      <c r="L1367" s="32">
        <f>IF(Result_notebook_retravaill!I1367&gt;Result_notebook_retravaill!G1367,0,IF(Result_notebook_retravaill!I1367+Result_notebook_retravaill!J1367&gt;Result_notebook_retravaill!G1367,0,Result_notebook_retravaill!M1367))</f>
        <v>1618702.5825368459</v>
      </c>
      <c r="M1367" s="31">
        <f t="shared" si="21"/>
        <v>0</v>
      </c>
    </row>
    <row r="1368" spans="1:13" x14ac:dyDescent="0.35">
      <c r="A1368">
        <f>Result_notebook_retravaill!A1368</f>
        <v>2040</v>
      </c>
      <c r="B1368" t="str">
        <f>Result_notebook_retravaill!B1368</f>
        <v>Copper</v>
      </c>
      <c r="C1368" t="str">
        <f>Result_notebook_retravaill!C1368</f>
        <v>Canada Net-zero</v>
      </c>
      <c r="D1368" t="str">
        <f>Result_notebook_retravaill!D1368</f>
        <v>Existing production</v>
      </c>
      <c r="E1368" t="str">
        <f>Result_notebook_retravaill!E1368</f>
        <v>Current shares</v>
      </c>
      <c r="F1368" t="str">
        <f>Result_notebook_retravaill!F1368</f>
        <v>Status Quo</v>
      </c>
      <c r="G1368">
        <f>Result_notebook_retravaill!G1368</f>
        <v>1618702.5825368459</v>
      </c>
      <c r="H1368" s="32">
        <f>IF(Result_notebook_retravaill!I1368&gt;Result_notebook_retravaill!G1368,Result_notebook_retravaill!I1368/Result_notebook_retravaill!N1368,Result_notebook_retravaill!H1368)</f>
        <v>183019</v>
      </c>
      <c r="I1368" s="32">
        <f>Result_notebook_retravaill!K1368</f>
        <v>1767225.0753455979</v>
      </c>
      <c r="J1368" s="32">
        <f>MIN(G1368,Result_notebook_retravaill!I1368)</f>
        <v>96196.376374307525</v>
      </c>
      <c r="K1368" s="32">
        <f>IF(Result_notebook_retravaill!I1368&gt;Result_notebook_retravaill!G1368,0,IF(Result_notebook_retravaill!I1368+Result_notebook_retravaill!J1368&gt;Result_notebook_retravaill!G1368,Result_notebook_retravaill!G1368-Result_notebook_retravaill!I1368,Result_notebook_retravaill!J1368))</f>
        <v>56577.958371455112</v>
      </c>
      <c r="L1368" s="32">
        <f>IF(Result_notebook_retravaill!I1368&gt;Result_notebook_retravaill!G1368,0,IF(Result_notebook_retravaill!I1368+Result_notebook_retravaill!J1368&gt;Result_notebook_retravaill!G1368,0,Result_notebook_retravaill!M1368))</f>
        <v>1465928.2477910828</v>
      </c>
      <c r="M1368" s="31">
        <f t="shared" si="21"/>
        <v>0</v>
      </c>
    </row>
    <row r="1369" spans="1:13" x14ac:dyDescent="0.35">
      <c r="A1369">
        <f>Result_notebook_retravaill!A1369</f>
        <v>2040</v>
      </c>
      <c r="B1369" t="str">
        <f>Result_notebook_retravaill!B1369</f>
        <v>Copper</v>
      </c>
      <c r="C1369" t="str">
        <f>Result_notebook_retravaill!C1369</f>
        <v>Canada Net-zero</v>
      </c>
      <c r="D1369" t="str">
        <f>Result_notebook_retravaill!D1369</f>
        <v>Production potential</v>
      </c>
      <c r="E1369" t="str">
        <f>Result_notebook_retravaill!E1369</f>
        <v>Current shares</v>
      </c>
      <c r="F1369" t="str">
        <f>Result_notebook_retravaill!F1369</f>
        <v>Expansion Extractive</v>
      </c>
      <c r="G1369">
        <f>Result_notebook_retravaill!G1369</f>
        <v>1618702.5825368459</v>
      </c>
      <c r="H1369" s="32">
        <f>IF(Result_notebook_retravaill!I1369&gt;Result_notebook_retravaill!G1369,Result_notebook_retravaill!I1369/Result_notebook_retravaill!N1369,Result_notebook_retravaill!H1369)</f>
        <v>1130208.8349072579</v>
      </c>
      <c r="I1369" s="32">
        <f>Result_notebook_retravaill!K1369</f>
        <v>820035.2404383393</v>
      </c>
      <c r="J1369" s="32">
        <f>MIN(G1369,Result_notebook_retravaill!I1369)</f>
        <v>594047.58229640755</v>
      </c>
      <c r="K1369" s="32">
        <f>IF(Result_notebook_retravaill!I1369&gt;Result_notebook_retravaill!G1369,0,IF(Result_notebook_retravaill!I1369+Result_notebook_retravaill!J1369&gt;Result_notebook_retravaill!G1369,Result_notebook_retravaill!G1369-Result_notebook_retravaill!I1369,Result_notebook_retravaill!J1369))</f>
        <v>349389.45362193859</v>
      </c>
      <c r="L1369" s="32">
        <f>IF(Result_notebook_retravaill!I1369&gt;Result_notebook_retravaill!G1369,0,IF(Result_notebook_retravaill!I1369+Result_notebook_retravaill!J1369&gt;Result_notebook_retravaill!G1369,0,Result_notebook_retravaill!M1369))</f>
        <v>675265.54661849944</v>
      </c>
      <c r="M1369" s="31">
        <f t="shared" si="21"/>
        <v>0</v>
      </c>
    </row>
    <row r="1370" spans="1:13" x14ac:dyDescent="0.35">
      <c r="A1370">
        <f>Result_notebook_retravaill!A1370</f>
        <v>2040</v>
      </c>
      <c r="B1370" t="str">
        <f>Result_notebook_retravaill!B1370</f>
        <v>Copper</v>
      </c>
      <c r="C1370" t="str">
        <f>Result_notebook_retravaill!C1370</f>
        <v>Canada Net-zero</v>
      </c>
      <c r="D1370" t="str">
        <f>Result_notebook_retravaill!D1370</f>
        <v>Production potential</v>
      </c>
      <c r="E1370" t="str">
        <f>Result_notebook_retravaill!E1370</f>
        <v>Current shares</v>
      </c>
      <c r="F1370" t="str">
        <f>Result_notebook_retravaill!F1370</f>
        <v>Expansion Extractive+Circularity</v>
      </c>
      <c r="G1370">
        <f>Result_notebook_retravaill!G1370</f>
        <v>1618702.5825368459</v>
      </c>
      <c r="H1370" s="32">
        <f>IF(Result_notebook_retravaill!I1370&gt;Result_notebook_retravaill!G1370,Result_notebook_retravaill!I1370/Result_notebook_retravaill!N1370,Result_notebook_retravaill!H1370)</f>
        <v>1130208.8349072579</v>
      </c>
      <c r="I1370" s="32">
        <f>Result_notebook_retravaill!K1370</f>
        <v>820035.2404383393</v>
      </c>
      <c r="J1370" s="32">
        <f>MIN(G1370,Result_notebook_retravaill!I1370)</f>
        <v>594047.58229640755</v>
      </c>
      <c r="K1370" s="32">
        <f>IF(Result_notebook_retravaill!I1370&gt;Result_notebook_retravaill!G1370,0,IF(Result_notebook_retravaill!I1370+Result_notebook_retravaill!J1370&gt;Result_notebook_retravaill!G1370,Result_notebook_retravaill!G1370-Result_notebook_retravaill!I1370,Result_notebook_retravaill!J1370))</f>
        <v>349389.45362193859</v>
      </c>
      <c r="L1370" s="32">
        <f>IF(Result_notebook_retravaill!I1370&gt;Result_notebook_retravaill!G1370,0,IF(Result_notebook_retravaill!I1370+Result_notebook_retravaill!J1370&gt;Result_notebook_retravaill!G1370,0,Result_notebook_retravaill!M1370))</f>
        <v>675265.54661849944</v>
      </c>
      <c r="M1370" s="31">
        <f t="shared" si="21"/>
        <v>0</v>
      </c>
    </row>
    <row r="1371" spans="1:13" x14ac:dyDescent="0.35">
      <c r="A1371">
        <f>Result_notebook_retravaill!A1371</f>
        <v>2040</v>
      </c>
      <c r="B1371" t="str">
        <f>Result_notebook_retravaill!B1371</f>
        <v>Copper</v>
      </c>
      <c r="C1371" t="str">
        <f>Result_notebook_retravaill!C1371</f>
        <v>Canada Net-zero</v>
      </c>
      <c r="D1371" t="str">
        <f>Result_notebook_retravaill!D1371</f>
        <v>Production potential</v>
      </c>
      <c r="E1371" t="str">
        <f>Result_notebook_retravaill!E1371</f>
        <v>100% CAN</v>
      </c>
      <c r="F1371" t="str">
        <f>Result_notebook_retravaill!F1371</f>
        <v>Integrated</v>
      </c>
      <c r="G1371">
        <f>Result_notebook_retravaill!G1371</f>
        <v>1618702.5825368459</v>
      </c>
      <c r="H1371" s="32">
        <f>IF(Result_notebook_retravaill!I1371&gt;Result_notebook_retravaill!G1371,Result_notebook_retravaill!I1371/Result_notebook_retravaill!N1371,Result_notebook_retravaill!H1371)</f>
        <v>1130208.8349072579</v>
      </c>
      <c r="I1371" s="32">
        <f>Result_notebook_retravaill!K1371</f>
        <v>820035.2404383393</v>
      </c>
      <c r="J1371" s="32">
        <f>MIN(G1371,Result_notebook_retravaill!I1371)</f>
        <v>943437.03591834707</v>
      </c>
      <c r="K1371" s="32">
        <f>IF(Result_notebook_retravaill!I1371&gt;Result_notebook_retravaill!G1371,0,IF(Result_notebook_retravaill!I1371+Result_notebook_retravaill!J1371&gt;Result_notebook_retravaill!G1371,Result_notebook_retravaill!G1371-Result_notebook_retravaill!I1371,Result_notebook_retravaill!J1371))</f>
        <v>-9.3132257461547852E-10</v>
      </c>
      <c r="L1371" s="32">
        <f>IF(Result_notebook_retravaill!I1371&gt;Result_notebook_retravaill!G1371,0,IF(Result_notebook_retravaill!I1371+Result_notebook_retravaill!J1371&gt;Result_notebook_retravaill!G1371,0,Result_notebook_retravaill!M1371))</f>
        <v>675265.54661849979</v>
      </c>
      <c r="M1371" s="31">
        <f t="shared" si="21"/>
        <v>0</v>
      </c>
    </row>
    <row r="1372" spans="1:13" x14ac:dyDescent="0.35">
      <c r="A1372">
        <f>Result_notebook_retravaill!A1372</f>
        <v>2040</v>
      </c>
      <c r="B1372" t="str">
        <f>Result_notebook_retravaill!B1372</f>
        <v>Copper</v>
      </c>
      <c r="C1372" t="str">
        <f>Result_notebook_retravaill!C1372</f>
        <v>Current Measures</v>
      </c>
      <c r="D1372" t="str">
        <f>Result_notebook_retravaill!D1372</f>
        <v>Existing production</v>
      </c>
      <c r="E1372" t="str">
        <f>Result_notebook_retravaill!E1372</f>
        <v>Current shares</v>
      </c>
      <c r="F1372" t="str">
        <f>Result_notebook_retravaill!F1372</f>
        <v>NIMBY</v>
      </c>
      <c r="G1372">
        <f>Result_notebook_retravaill!G1372</f>
        <v>1207361.2871372779</v>
      </c>
      <c r="H1372" s="32">
        <f>IF(Result_notebook_retravaill!I1372&gt;Result_notebook_retravaill!G1372,Result_notebook_retravaill!I1372/Result_notebook_retravaill!N1372,Result_notebook_retravaill!H1372)</f>
        <v>0</v>
      </c>
      <c r="I1372" s="32">
        <f>Result_notebook_retravaill!K1372</f>
        <v>1454652.153177443</v>
      </c>
      <c r="J1372" s="32">
        <f>MIN(G1372,Result_notebook_retravaill!I1372)</f>
        <v>0</v>
      </c>
      <c r="K1372" s="32">
        <f>IF(Result_notebook_retravaill!I1372&gt;Result_notebook_retravaill!G1372,0,IF(Result_notebook_retravaill!I1372+Result_notebook_retravaill!J1372&gt;Result_notebook_retravaill!G1372,Result_notebook_retravaill!G1372-Result_notebook_retravaill!I1372,Result_notebook_retravaill!J1372))</f>
        <v>0</v>
      </c>
      <c r="L1372" s="32">
        <f>IF(Result_notebook_retravaill!I1372&gt;Result_notebook_retravaill!G1372,0,IF(Result_notebook_retravaill!I1372+Result_notebook_retravaill!J1372&gt;Result_notebook_retravaill!G1372,0,Result_notebook_retravaill!M1372))</f>
        <v>1207361.2871372779</v>
      </c>
      <c r="M1372" s="31">
        <f t="shared" si="21"/>
        <v>0</v>
      </c>
    </row>
    <row r="1373" spans="1:13" x14ac:dyDescent="0.35">
      <c r="A1373">
        <f>Result_notebook_retravaill!A1373</f>
        <v>2040</v>
      </c>
      <c r="B1373" t="str">
        <f>Result_notebook_retravaill!B1373</f>
        <v>Copper</v>
      </c>
      <c r="C1373" t="str">
        <f>Result_notebook_retravaill!C1373</f>
        <v>Current Measures</v>
      </c>
      <c r="D1373" t="str">
        <f>Result_notebook_retravaill!D1373</f>
        <v>Existing production</v>
      </c>
      <c r="E1373" t="str">
        <f>Result_notebook_retravaill!E1373</f>
        <v>Current shares</v>
      </c>
      <c r="F1373" t="str">
        <f>Result_notebook_retravaill!F1373</f>
        <v>Status Quo</v>
      </c>
      <c r="G1373">
        <f>Result_notebook_retravaill!G1373</f>
        <v>1207361.2871372779</v>
      </c>
      <c r="H1373" s="32">
        <f>IF(Result_notebook_retravaill!I1373&gt;Result_notebook_retravaill!G1373,Result_notebook_retravaill!I1373/Result_notebook_retravaill!N1373,Result_notebook_retravaill!H1373)</f>
        <v>183019</v>
      </c>
      <c r="I1373" s="32">
        <f>Result_notebook_retravaill!K1373</f>
        <v>1271633.153177443</v>
      </c>
      <c r="J1373" s="32">
        <f>MIN(G1373,Result_notebook_retravaill!I1373)</f>
        <v>96196.376374307525</v>
      </c>
      <c r="K1373" s="32">
        <f>IF(Result_notebook_retravaill!I1373&gt;Result_notebook_retravaill!G1373,0,IF(Result_notebook_retravaill!I1373+Result_notebook_retravaill!J1373&gt;Result_notebook_retravaill!G1373,Result_notebook_retravaill!G1373-Result_notebook_retravaill!I1373,Result_notebook_retravaill!J1373))</f>
        <v>56577.958371455112</v>
      </c>
      <c r="L1373" s="32">
        <f>IF(Result_notebook_retravaill!I1373&gt;Result_notebook_retravaill!G1373,0,IF(Result_notebook_retravaill!I1373+Result_notebook_retravaill!J1373&gt;Result_notebook_retravaill!G1373,0,Result_notebook_retravaill!M1373))</f>
        <v>1054586.952391515</v>
      </c>
      <c r="M1373" s="31">
        <f t="shared" si="21"/>
        <v>0</v>
      </c>
    </row>
    <row r="1374" spans="1:13" x14ac:dyDescent="0.35">
      <c r="A1374">
        <f>Result_notebook_retravaill!A1374</f>
        <v>2040</v>
      </c>
      <c r="B1374" t="str">
        <f>Result_notebook_retravaill!B1374</f>
        <v>Copper</v>
      </c>
      <c r="C1374" t="str">
        <f>Result_notebook_retravaill!C1374</f>
        <v>Current Measures</v>
      </c>
      <c r="D1374" t="str">
        <f>Result_notebook_retravaill!D1374</f>
        <v>Production potential</v>
      </c>
      <c r="E1374" t="str">
        <f>Result_notebook_retravaill!E1374</f>
        <v>Current shares</v>
      </c>
      <c r="F1374" t="str">
        <f>Result_notebook_retravaill!F1374</f>
        <v>Expansion Extractive</v>
      </c>
      <c r="G1374">
        <f>Result_notebook_retravaill!G1374</f>
        <v>1207361.2871372779</v>
      </c>
      <c r="H1374" s="32">
        <f>IF(Result_notebook_retravaill!I1374&gt;Result_notebook_retravaill!G1374,Result_notebook_retravaill!I1374/Result_notebook_retravaill!N1374,Result_notebook_retravaill!H1374)</f>
        <v>1130208.8349072579</v>
      </c>
      <c r="I1374" s="32">
        <f>Result_notebook_retravaill!K1374</f>
        <v>324443.31827018497</v>
      </c>
      <c r="J1374" s="32">
        <f>MIN(G1374,Result_notebook_retravaill!I1374)</f>
        <v>594047.58229640755</v>
      </c>
      <c r="K1374" s="32">
        <f>IF(Result_notebook_retravaill!I1374&gt;Result_notebook_retravaill!G1374,0,IF(Result_notebook_retravaill!I1374+Result_notebook_retravaill!J1374&gt;Result_notebook_retravaill!G1374,Result_notebook_retravaill!G1374-Result_notebook_retravaill!I1374,Result_notebook_retravaill!J1374))</f>
        <v>349389.45362193859</v>
      </c>
      <c r="L1374" s="32">
        <f>IF(Result_notebook_retravaill!I1374&gt;Result_notebook_retravaill!G1374,0,IF(Result_notebook_retravaill!I1374+Result_notebook_retravaill!J1374&gt;Result_notebook_retravaill!G1374,0,Result_notebook_retravaill!M1374))</f>
        <v>263924.25121893175</v>
      </c>
      <c r="M1374" s="31">
        <f t="shared" si="21"/>
        <v>0</v>
      </c>
    </row>
    <row r="1375" spans="1:13" x14ac:dyDescent="0.35">
      <c r="A1375">
        <f>Result_notebook_retravaill!A1375</f>
        <v>2040</v>
      </c>
      <c r="B1375" t="str">
        <f>Result_notebook_retravaill!B1375</f>
        <v>Copper</v>
      </c>
      <c r="C1375" t="str">
        <f>Result_notebook_retravaill!C1375</f>
        <v>Current Measures</v>
      </c>
      <c r="D1375" t="str">
        <f>Result_notebook_retravaill!D1375</f>
        <v>Production potential</v>
      </c>
      <c r="E1375" t="str">
        <f>Result_notebook_retravaill!E1375</f>
        <v>Current shares</v>
      </c>
      <c r="F1375" t="str">
        <f>Result_notebook_retravaill!F1375</f>
        <v>Expansion Extractive+Circularity</v>
      </c>
      <c r="G1375">
        <f>Result_notebook_retravaill!G1375</f>
        <v>1207361.2871372779</v>
      </c>
      <c r="H1375" s="32">
        <f>IF(Result_notebook_retravaill!I1375&gt;Result_notebook_retravaill!G1375,Result_notebook_retravaill!I1375/Result_notebook_retravaill!N1375,Result_notebook_retravaill!H1375)</f>
        <v>1130208.8349072579</v>
      </c>
      <c r="I1375" s="32">
        <f>Result_notebook_retravaill!K1375</f>
        <v>324443.31827018497</v>
      </c>
      <c r="J1375" s="32">
        <f>MIN(G1375,Result_notebook_retravaill!I1375)</f>
        <v>594047.58229640755</v>
      </c>
      <c r="K1375" s="32">
        <f>IF(Result_notebook_retravaill!I1375&gt;Result_notebook_retravaill!G1375,0,IF(Result_notebook_retravaill!I1375+Result_notebook_retravaill!J1375&gt;Result_notebook_retravaill!G1375,Result_notebook_retravaill!G1375-Result_notebook_retravaill!I1375,Result_notebook_retravaill!J1375))</f>
        <v>349389.45362193859</v>
      </c>
      <c r="L1375" s="32">
        <f>IF(Result_notebook_retravaill!I1375&gt;Result_notebook_retravaill!G1375,0,IF(Result_notebook_retravaill!I1375+Result_notebook_retravaill!J1375&gt;Result_notebook_retravaill!G1375,0,Result_notebook_retravaill!M1375))</f>
        <v>263924.25121893175</v>
      </c>
      <c r="M1375" s="31">
        <f t="shared" si="21"/>
        <v>0</v>
      </c>
    </row>
    <row r="1376" spans="1:13" x14ac:dyDescent="0.35">
      <c r="A1376">
        <f>Result_notebook_retravaill!A1376</f>
        <v>2040</v>
      </c>
      <c r="B1376" t="str">
        <f>Result_notebook_retravaill!B1376</f>
        <v>Copper</v>
      </c>
      <c r="C1376" t="str">
        <f>Result_notebook_retravaill!C1376</f>
        <v>Current Measures</v>
      </c>
      <c r="D1376" t="str">
        <f>Result_notebook_retravaill!D1376</f>
        <v>Production potential</v>
      </c>
      <c r="E1376" t="str">
        <f>Result_notebook_retravaill!E1376</f>
        <v>100% CAN</v>
      </c>
      <c r="F1376" t="str">
        <f>Result_notebook_retravaill!F1376</f>
        <v>Integrated</v>
      </c>
      <c r="G1376">
        <f>Result_notebook_retravaill!G1376</f>
        <v>1207361.2871372779</v>
      </c>
      <c r="H1376" s="32">
        <f>IF(Result_notebook_retravaill!I1376&gt;Result_notebook_retravaill!G1376,Result_notebook_retravaill!I1376/Result_notebook_retravaill!N1376,Result_notebook_retravaill!H1376)</f>
        <v>1130208.8349072579</v>
      </c>
      <c r="I1376" s="32">
        <f>Result_notebook_retravaill!K1376</f>
        <v>324443.31827018497</v>
      </c>
      <c r="J1376" s="32">
        <f>MIN(G1376,Result_notebook_retravaill!I1376)</f>
        <v>943437.03591834707</v>
      </c>
      <c r="K1376" s="32">
        <f>IF(Result_notebook_retravaill!I1376&gt;Result_notebook_retravaill!G1376,0,IF(Result_notebook_retravaill!I1376+Result_notebook_retravaill!J1376&gt;Result_notebook_retravaill!G1376,Result_notebook_retravaill!G1376-Result_notebook_retravaill!I1376,Result_notebook_retravaill!J1376))</f>
        <v>-9.3132257461547852E-10</v>
      </c>
      <c r="L1376" s="32">
        <f>IF(Result_notebook_retravaill!I1376&gt;Result_notebook_retravaill!G1376,0,IF(Result_notebook_retravaill!I1376+Result_notebook_retravaill!J1376&gt;Result_notebook_retravaill!G1376,0,Result_notebook_retravaill!M1376))</f>
        <v>263924.25121893175</v>
      </c>
      <c r="M1376" s="31">
        <f t="shared" si="21"/>
        <v>0</v>
      </c>
    </row>
    <row r="1377" spans="1:13" x14ac:dyDescent="0.35">
      <c r="A1377">
        <f>Result_notebook_retravaill!A1377</f>
        <v>2040</v>
      </c>
      <c r="B1377" t="str">
        <f>Result_notebook_retravaill!B1377</f>
        <v>Copper</v>
      </c>
      <c r="C1377" t="str">
        <f>Result_notebook_retravaill!C1377</f>
        <v>Global Net-zero</v>
      </c>
      <c r="D1377" t="str">
        <f>Result_notebook_retravaill!D1377</f>
        <v>Existing production</v>
      </c>
      <c r="E1377" t="str">
        <f>Result_notebook_retravaill!E1377</f>
        <v>Current shares</v>
      </c>
      <c r="F1377" t="str">
        <f>Result_notebook_retravaill!F1377</f>
        <v>NIMBY</v>
      </c>
      <c r="G1377">
        <f>Result_notebook_retravaill!G1377</f>
        <v>1514395.2601676511</v>
      </c>
      <c r="H1377" s="32">
        <f>IF(Result_notebook_retravaill!I1377&gt;Result_notebook_retravaill!G1377,Result_notebook_retravaill!I1377/Result_notebook_retravaill!N1377,Result_notebook_retravaill!H1377)</f>
        <v>0</v>
      </c>
      <c r="I1377" s="32">
        <f>Result_notebook_retravaill!K1377</f>
        <v>1824572.6026116279</v>
      </c>
      <c r="J1377" s="32">
        <f>MIN(G1377,Result_notebook_retravaill!I1377)</f>
        <v>0</v>
      </c>
      <c r="K1377" s="32">
        <f>IF(Result_notebook_retravaill!I1377&gt;Result_notebook_retravaill!G1377,0,IF(Result_notebook_retravaill!I1377+Result_notebook_retravaill!J1377&gt;Result_notebook_retravaill!G1377,Result_notebook_retravaill!G1377-Result_notebook_retravaill!I1377,Result_notebook_retravaill!J1377))</f>
        <v>0</v>
      </c>
      <c r="L1377" s="32">
        <f>IF(Result_notebook_retravaill!I1377&gt;Result_notebook_retravaill!G1377,0,IF(Result_notebook_retravaill!I1377+Result_notebook_retravaill!J1377&gt;Result_notebook_retravaill!G1377,0,Result_notebook_retravaill!M1377))</f>
        <v>1514395.2601676511</v>
      </c>
      <c r="M1377" s="31">
        <f t="shared" si="21"/>
        <v>0</v>
      </c>
    </row>
    <row r="1378" spans="1:13" x14ac:dyDescent="0.35">
      <c r="A1378">
        <f>Result_notebook_retravaill!A1378</f>
        <v>2040</v>
      </c>
      <c r="B1378" t="str">
        <f>Result_notebook_retravaill!B1378</f>
        <v>Copper</v>
      </c>
      <c r="C1378" t="str">
        <f>Result_notebook_retravaill!C1378</f>
        <v>Global Net-zero</v>
      </c>
      <c r="D1378" t="str">
        <f>Result_notebook_retravaill!D1378</f>
        <v>Existing production</v>
      </c>
      <c r="E1378" t="str">
        <f>Result_notebook_retravaill!E1378</f>
        <v>Current shares</v>
      </c>
      <c r="F1378" t="str">
        <f>Result_notebook_retravaill!F1378</f>
        <v>Status Quo</v>
      </c>
      <c r="G1378">
        <f>Result_notebook_retravaill!G1378</f>
        <v>1514395.2601676511</v>
      </c>
      <c r="H1378" s="32">
        <f>IF(Result_notebook_retravaill!I1378&gt;Result_notebook_retravaill!G1378,Result_notebook_retravaill!I1378/Result_notebook_retravaill!N1378,Result_notebook_retravaill!H1378)</f>
        <v>183019</v>
      </c>
      <c r="I1378" s="32">
        <f>Result_notebook_retravaill!K1378</f>
        <v>1641553.6026116279</v>
      </c>
      <c r="J1378" s="32">
        <f>MIN(G1378,Result_notebook_retravaill!I1378)</f>
        <v>96196.376374307525</v>
      </c>
      <c r="K1378" s="32">
        <f>IF(Result_notebook_retravaill!I1378&gt;Result_notebook_retravaill!G1378,0,IF(Result_notebook_retravaill!I1378+Result_notebook_retravaill!J1378&gt;Result_notebook_retravaill!G1378,Result_notebook_retravaill!G1378-Result_notebook_retravaill!I1378,Result_notebook_retravaill!J1378))</f>
        <v>56577.958371455112</v>
      </c>
      <c r="L1378" s="32">
        <f>IF(Result_notebook_retravaill!I1378&gt;Result_notebook_retravaill!G1378,0,IF(Result_notebook_retravaill!I1378+Result_notebook_retravaill!J1378&gt;Result_notebook_retravaill!G1378,0,Result_notebook_retravaill!M1378))</f>
        <v>1361620.9254218889</v>
      </c>
      <c r="M1378" s="31">
        <f t="shared" si="21"/>
        <v>0</v>
      </c>
    </row>
    <row r="1379" spans="1:13" x14ac:dyDescent="0.35">
      <c r="A1379">
        <f>Result_notebook_retravaill!A1379</f>
        <v>2040</v>
      </c>
      <c r="B1379" t="str">
        <f>Result_notebook_retravaill!B1379</f>
        <v>Copper</v>
      </c>
      <c r="C1379" t="str">
        <f>Result_notebook_retravaill!C1379</f>
        <v>Global Net-zero</v>
      </c>
      <c r="D1379" t="str">
        <f>Result_notebook_retravaill!D1379</f>
        <v>Production potential</v>
      </c>
      <c r="E1379" t="str">
        <f>Result_notebook_retravaill!E1379</f>
        <v>Current shares</v>
      </c>
      <c r="F1379" t="str">
        <f>Result_notebook_retravaill!F1379</f>
        <v>Expansion Extractive</v>
      </c>
      <c r="G1379">
        <f>Result_notebook_retravaill!G1379</f>
        <v>1514395.2601676511</v>
      </c>
      <c r="H1379" s="32">
        <f>IF(Result_notebook_retravaill!I1379&gt;Result_notebook_retravaill!G1379,Result_notebook_retravaill!I1379/Result_notebook_retravaill!N1379,Result_notebook_retravaill!H1379)</f>
        <v>1130208.8349072579</v>
      </c>
      <c r="I1379" s="32">
        <f>Result_notebook_retravaill!K1379</f>
        <v>694363.7677043695</v>
      </c>
      <c r="J1379" s="32">
        <f>MIN(G1379,Result_notebook_retravaill!I1379)</f>
        <v>594047.58229640755</v>
      </c>
      <c r="K1379" s="32">
        <f>IF(Result_notebook_retravaill!I1379&gt;Result_notebook_retravaill!G1379,0,IF(Result_notebook_retravaill!I1379+Result_notebook_retravaill!J1379&gt;Result_notebook_retravaill!G1379,Result_notebook_retravaill!G1379-Result_notebook_retravaill!I1379,Result_notebook_retravaill!J1379))</f>
        <v>349389.45362193859</v>
      </c>
      <c r="L1379" s="32">
        <f>IF(Result_notebook_retravaill!I1379&gt;Result_notebook_retravaill!G1379,0,IF(Result_notebook_retravaill!I1379+Result_notebook_retravaill!J1379&gt;Result_notebook_retravaill!G1379,0,Result_notebook_retravaill!M1379))</f>
        <v>570958.22424930497</v>
      </c>
      <c r="M1379" s="31">
        <f t="shared" si="21"/>
        <v>0</v>
      </c>
    </row>
    <row r="1380" spans="1:13" x14ac:dyDescent="0.35">
      <c r="A1380">
        <f>Result_notebook_retravaill!A1380</f>
        <v>2040</v>
      </c>
      <c r="B1380" t="str">
        <f>Result_notebook_retravaill!B1380</f>
        <v>Copper</v>
      </c>
      <c r="C1380" t="str">
        <f>Result_notebook_retravaill!C1380</f>
        <v>Global Net-zero</v>
      </c>
      <c r="D1380" t="str">
        <f>Result_notebook_retravaill!D1380</f>
        <v>Production potential</v>
      </c>
      <c r="E1380" t="str">
        <f>Result_notebook_retravaill!E1380</f>
        <v>Current shares</v>
      </c>
      <c r="F1380" t="str">
        <f>Result_notebook_retravaill!F1380</f>
        <v>Expansion Extractive+Circularity</v>
      </c>
      <c r="G1380">
        <f>Result_notebook_retravaill!G1380</f>
        <v>1514395.2601676511</v>
      </c>
      <c r="H1380" s="32">
        <f>IF(Result_notebook_retravaill!I1380&gt;Result_notebook_retravaill!G1380,Result_notebook_retravaill!I1380/Result_notebook_retravaill!N1380,Result_notebook_retravaill!H1380)</f>
        <v>1130208.8349072579</v>
      </c>
      <c r="I1380" s="32">
        <f>Result_notebook_retravaill!K1380</f>
        <v>694363.7677043695</v>
      </c>
      <c r="J1380" s="32">
        <f>MIN(G1380,Result_notebook_retravaill!I1380)</f>
        <v>594047.58229640755</v>
      </c>
      <c r="K1380" s="32">
        <f>IF(Result_notebook_retravaill!I1380&gt;Result_notebook_retravaill!G1380,0,IF(Result_notebook_retravaill!I1380+Result_notebook_retravaill!J1380&gt;Result_notebook_retravaill!G1380,Result_notebook_retravaill!G1380-Result_notebook_retravaill!I1380,Result_notebook_retravaill!J1380))</f>
        <v>349389.45362193859</v>
      </c>
      <c r="L1380" s="32">
        <f>IF(Result_notebook_retravaill!I1380&gt;Result_notebook_retravaill!G1380,0,IF(Result_notebook_retravaill!I1380+Result_notebook_retravaill!J1380&gt;Result_notebook_retravaill!G1380,0,Result_notebook_retravaill!M1380))</f>
        <v>570958.22424930497</v>
      </c>
      <c r="M1380" s="31">
        <f t="shared" si="21"/>
        <v>0</v>
      </c>
    </row>
    <row r="1381" spans="1:13" x14ac:dyDescent="0.35">
      <c r="A1381">
        <f>Result_notebook_retravaill!A1381</f>
        <v>2040</v>
      </c>
      <c r="B1381" t="str">
        <f>Result_notebook_retravaill!B1381</f>
        <v>Copper</v>
      </c>
      <c r="C1381" t="str">
        <f>Result_notebook_retravaill!C1381</f>
        <v>Global Net-zero</v>
      </c>
      <c r="D1381" t="str">
        <f>Result_notebook_retravaill!D1381</f>
        <v>Production potential</v>
      </c>
      <c r="E1381" t="str">
        <f>Result_notebook_retravaill!E1381</f>
        <v>100% CAN</v>
      </c>
      <c r="F1381" t="str">
        <f>Result_notebook_retravaill!F1381</f>
        <v>Integrated</v>
      </c>
      <c r="G1381">
        <f>Result_notebook_retravaill!G1381</f>
        <v>1514395.2601676511</v>
      </c>
      <c r="H1381" s="32">
        <f>IF(Result_notebook_retravaill!I1381&gt;Result_notebook_retravaill!G1381,Result_notebook_retravaill!I1381/Result_notebook_retravaill!N1381,Result_notebook_retravaill!H1381)</f>
        <v>1130208.8349072579</v>
      </c>
      <c r="I1381" s="32">
        <f>Result_notebook_retravaill!K1381</f>
        <v>694363.7677043695</v>
      </c>
      <c r="J1381" s="32">
        <f>MIN(G1381,Result_notebook_retravaill!I1381)</f>
        <v>943437.03591834707</v>
      </c>
      <c r="K1381" s="32">
        <f>IF(Result_notebook_retravaill!I1381&gt;Result_notebook_retravaill!G1381,0,IF(Result_notebook_retravaill!I1381+Result_notebook_retravaill!J1381&gt;Result_notebook_retravaill!G1381,Result_notebook_retravaill!G1381-Result_notebook_retravaill!I1381,Result_notebook_retravaill!J1381))</f>
        <v>-9.3132257461547852E-10</v>
      </c>
      <c r="L1381" s="32">
        <f>IF(Result_notebook_retravaill!I1381&gt;Result_notebook_retravaill!G1381,0,IF(Result_notebook_retravaill!I1381+Result_notebook_retravaill!J1381&gt;Result_notebook_retravaill!G1381,0,Result_notebook_retravaill!M1381))</f>
        <v>570958.22424930497</v>
      </c>
      <c r="M1381" s="31">
        <f t="shared" si="21"/>
        <v>0</v>
      </c>
    </row>
    <row r="1382" spans="1:13" x14ac:dyDescent="0.35">
      <c r="A1382">
        <f>Result_notebook_retravaill!A1382</f>
        <v>2040</v>
      </c>
      <c r="B1382" t="str">
        <f>Result_notebook_retravaill!B1382</f>
        <v>Neodymium</v>
      </c>
      <c r="C1382" t="str">
        <f>Result_notebook_retravaill!C1382</f>
        <v>Canada Net-zero</v>
      </c>
      <c r="D1382" t="str">
        <f>Result_notebook_retravaill!D1382</f>
        <v>Existing production</v>
      </c>
      <c r="E1382" t="str">
        <f>Result_notebook_retravaill!E1382</f>
        <v>Current shares</v>
      </c>
      <c r="F1382" t="str">
        <f>Result_notebook_retravaill!F1382</f>
        <v>NIMBY</v>
      </c>
      <c r="G1382">
        <f>Result_notebook_retravaill!G1382</f>
        <v>7369.5086049161637</v>
      </c>
      <c r="H1382" s="32">
        <f>IF(Result_notebook_retravaill!I1382&gt;Result_notebook_retravaill!G1382,Result_notebook_retravaill!I1382/Result_notebook_retravaill!N1382,Result_notebook_retravaill!H1382)</f>
        <v>0</v>
      </c>
      <c r="I1382" s="32">
        <f>Result_notebook_retravaill!K1382</f>
        <v>12282.514341526939</v>
      </c>
      <c r="J1382" s="32">
        <f>MIN(G1382,Result_notebook_retravaill!I1382)</f>
        <v>0</v>
      </c>
      <c r="K1382" s="32">
        <f>IF(Result_notebook_retravaill!I1382&gt;Result_notebook_retravaill!G1382,0,IF(Result_notebook_retravaill!I1382+Result_notebook_retravaill!J1382&gt;Result_notebook_retravaill!G1382,Result_notebook_retravaill!G1382-Result_notebook_retravaill!I1382,Result_notebook_retravaill!J1382))</f>
        <v>0</v>
      </c>
      <c r="L1382" s="32">
        <f>IF(Result_notebook_retravaill!I1382&gt;Result_notebook_retravaill!G1382,0,IF(Result_notebook_retravaill!I1382+Result_notebook_retravaill!J1382&gt;Result_notebook_retravaill!G1382,0,Result_notebook_retravaill!M1382))</f>
        <v>7369.5086049161637</v>
      </c>
      <c r="M1382" s="31">
        <f t="shared" si="21"/>
        <v>0</v>
      </c>
    </row>
    <row r="1383" spans="1:13" x14ac:dyDescent="0.35">
      <c r="A1383">
        <f>Result_notebook_retravaill!A1383</f>
        <v>2040</v>
      </c>
      <c r="B1383" t="str">
        <f>Result_notebook_retravaill!B1383</f>
        <v>Neodymium</v>
      </c>
      <c r="C1383" t="str">
        <f>Result_notebook_retravaill!C1383</f>
        <v>Canada Net-zero</v>
      </c>
      <c r="D1383" t="str">
        <f>Result_notebook_retravaill!D1383</f>
        <v>Existing production</v>
      </c>
      <c r="E1383" t="str">
        <f>Result_notebook_retravaill!E1383</f>
        <v>Current shares</v>
      </c>
      <c r="F1383" t="str">
        <f>Result_notebook_retravaill!F1383</f>
        <v>Status Quo</v>
      </c>
      <c r="G1383">
        <f>Result_notebook_retravaill!G1383</f>
        <v>7369.5086049161637</v>
      </c>
      <c r="H1383" s="32">
        <f>IF(Result_notebook_retravaill!I1383&gt;Result_notebook_retravaill!G1383,Result_notebook_retravaill!I1383/Result_notebook_retravaill!N1383,Result_notebook_retravaill!H1383)</f>
        <v>0</v>
      </c>
      <c r="I1383" s="32">
        <f>Result_notebook_retravaill!K1383</f>
        <v>12282.514341526939</v>
      </c>
      <c r="J1383" s="32">
        <f>MIN(G1383,Result_notebook_retravaill!I1383)</f>
        <v>0</v>
      </c>
      <c r="K1383" s="32">
        <f>IF(Result_notebook_retravaill!I1383&gt;Result_notebook_retravaill!G1383,0,IF(Result_notebook_retravaill!I1383+Result_notebook_retravaill!J1383&gt;Result_notebook_retravaill!G1383,Result_notebook_retravaill!G1383-Result_notebook_retravaill!I1383,Result_notebook_retravaill!J1383))</f>
        <v>0</v>
      </c>
      <c r="L1383" s="32">
        <f>IF(Result_notebook_retravaill!I1383&gt;Result_notebook_retravaill!G1383,0,IF(Result_notebook_retravaill!I1383+Result_notebook_retravaill!J1383&gt;Result_notebook_retravaill!G1383,0,Result_notebook_retravaill!M1383))</f>
        <v>7369.5086049161637</v>
      </c>
      <c r="M1383" s="31">
        <f t="shared" si="21"/>
        <v>0</v>
      </c>
    </row>
    <row r="1384" spans="1:13" x14ac:dyDescent="0.35">
      <c r="A1384">
        <f>Result_notebook_retravaill!A1384</f>
        <v>2040</v>
      </c>
      <c r="B1384" t="str">
        <f>Result_notebook_retravaill!B1384</f>
        <v>Neodymium</v>
      </c>
      <c r="C1384" t="str">
        <f>Result_notebook_retravaill!C1384</f>
        <v>Canada Net-zero</v>
      </c>
      <c r="D1384" t="str">
        <f>Result_notebook_retravaill!D1384</f>
        <v>Production potential</v>
      </c>
      <c r="E1384" t="str">
        <f>Result_notebook_retravaill!E1384</f>
        <v>Current shares</v>
      </c>
      <c r="F1384" t="str">
        <f>Result_notebook_retravaill!F1384</f>
        <v>Expansion Extractive</v>
      </c>
      <c r="G1384">
        <f>Result_notebook_retravaill!G1384</f>
        <v>7369.5086049161637</v>
      </c>
      <c r="H1384" s="32">
        <f>IF(Result_notebook_retravaill!I1384&gt;Result_notebook_retravaill!G1384,Result_notebook_retravaill!I1384/Result_notebook_retravaill!N1384,Result_notebook_retravaill!H1384)</f>
        <v>431.78438910419823</v>
      </c>
      <c r="I1384" s="32">
        <f>Result_notebook_retravaill!K1384</f>
        <v>11850.72995242274</v>
      </c>
      <c r="J1384" s="32">
        <f>MIN(G1384,Result_notebook_retravaill!I1384)</f>
        <v>258.44191825419398</v>
      </c>
      <c r="K1384" s="32">
        <f>IF(Result_notebook_retravaill!I1384&gt;Result_notebook_retravaill!G1384,0,IF(Result_notebook_retravaill!I1384+Result_notebook_retravaill!J1384&gt;Result_notebook_retravaill!G1384,Result_notebook_retravaill!G1384-Result_notebook_retravaill!I1384,Result_notebook_retravaill!J1384))</f>
        <v>173.34247085000425</v>
      </c>
      <c r="L1384" s="32">
        <f>IF(Result_notebook_retravaill!I1384&gt;Result_notebook_retravaill!G1384,0,IF(Result_notebook_retravaill!I1384+Result_notebook_retravaill!J1384&gt;Result_notebook_retravaill!G1384,0,Result_notebook_retravaill!M1384))</f>
        <v>6937.7242158119643</v>
      </c>
      <c r="M1384" s="31">
        <f t="shared" si="21"/>
        <v>0</v>
      </c>
    </row>
    <row r="1385" spans="1:13" x14ac:dyDescent="0.35">
      <c r="A1385">
        <f>Result_notebook_retravaill!A1385</f>
        <v>2040</v>
      </c>
      <c r="B1385" t="str">
        <f>Result_notebook_retravaill!B1385</f>
        <v>Neodymium</v>
      </c>
      <c r="C1385" t="str">
        <f>Result_notebook_retravaill!C1385</f>
        <v>Canada Net-zero</v>
      </c>
      <c r="D1385" t="str">
        <f>Result_notebook_retravaill!D1385</f>
        <v>Production potential</v>
      </c>
      <c r="E1385" t="str">
        <f>Result_notebook_retravaill!E1385</f>
        <v>Current shares</v>
      </c>
      <c r="F1385" t="str">
        <f>Result_notebook_retravaill!F1385</f>
        <v>Expansion Extractive+Circularity</v>
      </c>
      <c r="G1385">
        <f>Result_notebook_retravaill!G1385</f>
        <v>7369.5086049161637</v>
      </c>
      <c r="H1385" s="32">
        <f>IF(Result_notebook_retravaill!I1385&gt;Result_notebook_retravaill!G1385,Result_notebook_retravaill!I1385/Result_notebook_retravaill!N1385,Result_notebook_retravaill!H1385)</f>
        <v>431.78438910419823</v>
      </c>
      <c r="I1385" s="32">
        <f>Result_notebook_retravaill!K1385</f>
        <v>11850.72995242274</v>
      </c>
      <c r="J1385" s="32">
        <f>MIN(G1385,Result_notebook_retravaill!I1385)</f>
        <v>258.44191825419398</v>
      </c>
      <c r="K1385" s="32">
        <f>IF(Result_notebook_retravaill!I1385&gt;Result_notebook_retravaill!G1385,0,IF(Result_notebook_retravaill!I1385+Result_notebook_retravaill!J1385&gt;Result_notebook_retravaill!G1385,Result_notebook_retravaill!G1385-Result_notebook_retravaill!I1385,Result_notebook_retravaill!J1385))</f>
        <v>173.34247085000425</v>
      </c>
      <c r="L1385" s="32">
        <f>IF(Result_notebook_retravaill!I1385&gt;Result_notebook_retravaill!G1385,0,IF(Result_notebook_retravaill!I1385+Result_notebook_retravaill!J1385&gt;Result_notebook_retravaill!G1385,0,Result_notebook_retravaill!M1385))</f>
        <v>6937.7242158119643</v>
      </c>
      <c r="M1385" s="31">
        <f t="shared" si="21"/>
        <v>0</v>
      </c>
    </row>
    <row r="1386" spans="1:13" x14ac:dyDescent="0.35">
      <c r="A1386">
        <f>Result_notebook_retravaill!A1386</f>
        <v>2040</v>
      </c>
      <c r="B1386" t="str">
        <f>Result_notebook_retravaill!B1386</f>
        <v>Neodymium</v>
      </c>
      <c r="C1386" t="str">
        <f>Result_notebook_retravaill!C1386</f>
        <v>Canada Net-zero</v>
      </c>
      <c r="D1386" t="str">
        <f>Result_notebook_retravaill!D1386</f>
        <v>Production potential</v>
      </c>
      <c r="E1386" t="str">
        <f>Result_notebook_retravaill!E1386</f>
        <v>100% CAN</v>
      </c>
      <c r="F1386" t="str">
        <f>Result_notebook_retravaill!F1386</f>
        <v>Integrated</v>
      </c>
      <c r="G1386">
        <f>Result_notebook_retravaill!G1386</f>
        <v>7369.5086049161637</v>
      </c>
      <c r="H1386" s="32">
        <f>IF(Result_notebook_retravaill!I1386&gt;Result_notebook_retravaill!G1386,Result_notebook_retravaill!I1386/Result_notebook_retravaill!N1386,Result_notebook_retravaill!H1386)</f>
        <v>431.78438910419823</v>
      </c>
      <c r="I1386" s="32">
        <f>Result_notebook_retravaill!K1386</f>
        <v>11850.72995242274</v>
      </c>
      <c r="J1386" s="32">
        <f>MIN(G1386,Result_notebook_retravaill!I1386)</f>
        <v>258.44191825419398</v>
      </c>
      <c r="K1386" s="32">
        <f>IF(Result_notebook_retravaill!I1386&gt;Result_notebook_retravaill!G1386,0,IF(Result_notebook_retravaill!I1386+Result_notebook_retravaill!J1386&gt;Result_notebook_retravaill!G1386,Result_notebook_retravaill!G1386-Result_notebook_retravaill!I1386,Result_notebook_retravaill!J1386))</f>
        <v>173.34247085000425</v>
      </c>
      <c r="L1386" s="32">
        <f>IF(Result_notebook_retravaill!I1386&gt;Result_notebook_retravaill!G1386,0,IF(Result_notebook_retravaill!I1386+Result_notebook_retravaill!J1386&gt;Result_notebook_retravaill!G1386,0,Result_notebook_retravaill!M1386))</f>
        <v>6937.7242158119643</v>
      </c>
      <c r="M1386" s="31">
        <f t="shared" si="21"/>
        <v>0</v>
      </c>
    </row>
    <row r="1387" spans="1:13" x14ac:dyDescent="0.35">
      <c r="A1387">
        <f>Result_notebook_retravaill!A1387</f>
        <v>2040</v>
      </c>
      <c r="B1387" t="str">
        <f>Result_notebook_retravaill!B1387</f>
        <v>Neodymium</v>
      </c>
      <c r="C1387" t="str">
        <f>Result_notebook_retravaill!C1387</f>
        <v>Current Measures</v>
      </c>
      <c r="D1387" t="str">
        <f>Result_notebook_retravaill!D1387</f>
        <v>Existing production</v>
      </c>
      <c r="E1387" t="str">
        <f>Result_notebook_retravaill!E1387</f>
        <v>Current shares</v>
      </c>
      <c r="F1387" t="str">
        <f>Result_notebook_retravaill!F1387</f>
        <v>NIMBY</v>
      </c>
      <c r="G1387">
        <f>Result_notebook_retravaill!G1387</f>
        <v>2445.526520040336</v>
      </c>
      <c r="H1387" s="32">
        <f>IF(Result_notebook_retravaill!I1387&gt;Result_notebook_retravaill!G1387,Result_notebook_retravaill!I1387/Result_notebook_retravaill!N1387,Result_notebook_retravaill!H1387)</f>
        <v>0</v>
      </c>
      <c r="I1387" s="32">
        <f>Result_notebook_retravaill!K1387</f>
        <v>4075.87753340056</v>
      </c>
      <c r="J1387" s="32">
        <f>MIN(G1387,Result_notebook_retravaill!I1387)</f>
        <v>0</v>
      </c>
      <c r="K1387" s="32">
        <f>IF(Result_notebook_retravaill!I1387&gt;Result_notebook_retravaill!G1387,0,IF(Result_notebook_retravaill!I1387+Result_notebook_retravaill!J1387&gt;Result_notebook_retravaill!G1387,Result_notebook_retravaill!G1387-Result_notebook_retravaill!I1387,Result_notebook_retravaill!J1387))</f>
        <v>0</v>
      </c>
      <c r="L1387" s="32">
        <f>IF(Result_notebook_retravaill!I1387&gt;Result_notebook_retravaill!G1387,0,IF(Result_notebook_retravaill!I1387+Result_notebook_retravaill!J1387&gt;Result_notebook_retravaill!G1387,0,Result_notebook_retravaill!M1387))</f>
        <v>2445.526520040336</v>
      </c>
      <c r="M1387" s="31">
        <f t="shared" si="21"/>
        <v>0</v>
      </c>
    </row>
    <row r="1388" spans="1:13" x14ac:dyDescent="0.35">
      <c r="A1388">
        <f>Result_notebook_retravaill!A1388</f>
        <v>2040</v>
      </c>
      <c r="B1388" t="str">
        <f>Result_notebook_retravaill!B1388</f>
        <v>Neodymium</v>
      </c>
      <c r="C1388" t="str">
        <f>Result_notebook_retravaill!C1388</f>
        <v>Current Measures</v>
      </c>
      <c r="D1388" t="str">
        <f>Result_notebook_retravaill!D1388</f>
        <v>Existing production</v>
      </c>
      <c r="E1388" t="str">
        <f>Result_notebook_retravaill!E1388</f>
        <v>Current shares</v>
      </c>
      <c r="F1388" t="str">
        <f>Result_notebook_retravaill!F1388</f>
        <v>Status Quo</v>
      </c>
      <c r="G1388">
        <f>Result_notebook_retravaill!G1388</f>
        <v>2445.526520040336</v>
      </c>
      <c r="H1388" s="32">
        <f>IF(Result_notebook_retravaill!I1388&gt;Result_notebook_retravaill!G1388,Result_notebook_retravaill!I1388/Result_notebook_retravaill!N1388,Result_notebook_retravaill!H1388)</f>
        <v>0</v>
      </c>
      <c r="I1388" s="32">
        <f>Result_notebook_retravaill!K1388</f>
        <v>4075.87753340056</v>
      </c>
      <c r="J1388" s="32">
        <f>MIN(G1388,Result_notebook_retravaill!I1388)</f>
        <v>0</v>
      </c>
      <c r="K1388" s="32">
        <f>IF(Result_notebook_retravaill!I1388&gt;Result_notebook_retravaill!G1388,0,IF(Result_notebook_retravaill!I1388+Result_notebook_retravaill!J1388&gt;Result_notebook_retravaill!G1388,Result_notebook_retravaill!G1388-Result_notebook_retravaill!I1388,Result_notebook_retravaill!J1388))</f>
        <v>0</v>
      </c>
      <c r="L1388" s="32">
        <f>IF(Result_notebook_retravaill!I1388&gt;Result_notebook_retravaill!G1388,0,IF(Result_notebook_retravaill!I1388+Result_notebook_retravaill!J1388&gt;Result_notebook_retravaill!G1388,0,Result_notebook_retravaill!M1388))</f>
        <v>2445.526520040336</v>
      </c>
      <c r="M1388" s="31">
        <f t="shared" si="21"/>
        <v>0</v>
      </c>
    </row>
    <row r="1389" spans="1:13" x14ac:dyDescent="0.35">
      <c r="A1389">
        <f>Result_notebook_retravaill!A1389</f>
        <v>2040</v>
      </c>
      <c r="B1389" t="str">
        <f>Result_notebook_retravaill!B1389</f>
        <v>Neodymium</v>
      </c>
      <c r="C1389" t="str">
        <f>Result_notebook_retravaill!C1389</f>
        <v>Current Measures</v>
      </c>
      <c r="D1389" t="str">
        <f>Result_notebook_retravaill!D1389</f>
        <v>Production potential</v>
      </c>
      <c r="E1389" t="str">
        <f>Result_notebook_retravaill!E1389</f>
        <v>Current shares</v>
      </c>
      <c r="F1389" t="str">
        <f>Result_notebook_retravaill!F1389</f>
        <v>Expansion Extractive</v>
      </c>
      <c r="G1389">
        <f>Result_notebook_retravaill!G1389</f>
        <v>2445.526520040336</v>
      </c>
      <c r="H1389" s="32">
        <f>IF(Result_notebook_retravaill!I1389&gt;Result_notebook_retravaill!G1389,Result_notebook_retravaill!I1389/Result_notebook_retravaill!N1389,Result_notebook_retravaill!H1389)</f>
        <v>431.78438910419823</v>
      </c>
      <c r="I1389" s="32">
        <f>Result_notebook_retravaill!K1389</f>
        <v>3644.093144296362</v>
      </c>
      <c r="J1389" s="32">
        <f>MIN(G1389,Result_notebook_retravaill!I1389)</f>
        <v>258.44191825419398</v>
      </c>
      <c r="K1389" s="32">
        <f>IF(Result_notebook_retravaill!I1389&gt;Result_notebook_retravaill!G1389,0,IF(Result_notebook_retravaill!I1389+Result_notebook_retravaill!J1389&gt;Result_notebook_retravaill!G1389,Result_notebook_retravaill!G1389-Result_notebook_retravaill!I1389,Result_notebook_retravaill!J1389))</f>
        <v>173.34247085000425</v>
      </c>
      <c r="L1389" s="32">
        <f>IF(Result_notebook_retravaill!I1389&gt;Result_notebook_retravaill!G1389,0,IF(Result_notebook_retravaill!I1389+Result_notebook_retravaill!J1389&gt;Result_notebook_retravaill!G1389,0,Result_notebook_retravaill!M1389))</f>
        <v>2013.7421309361375</v>
      </c>
      <c r="M1389" s="31">
        <f t="shared" si="21"/>
        <v>0</v>
      </c>
    </row>
    <row r="1390" spans="1:13" x14ac:dyDescent="0.35">
      <c r="A1390">
        <f>Result_notebook_retravaill!A1390</f>
        <v>2040</v>
      </c>
      <c r="B1390" t="str">
        <f>Result_notebook_retravaill!B1390</f>
        <v>Neodymium</v>
      </c>
      <c r="C1390" t="str">
        <f>Result_notebook_retravaill!C1390</f>
        <v>Current Measures</v>
      </c>
      <c r="D1390" t="str">
        <f>Result_notebook_retravaill!D1390</f>
        <v>Production potential</v>
      </c>
      <c r="E1390" t="str">
        <f>Result_notebook_retravaill!E1390</f>
        <v>Current shares</v>
      </c>
      <c r="F1390" t="str">
        <f>Result_notebook_retravaill!F1390</f>
        <v>Expansion Extractive+Circularity</v>
      </c>
      <c r="G1390">
        <f>Result_notebook_retravaill!G1390</f>
        <v>2445.526520040336</v>
      </c>
      <c r="H1390" s="32">
        <f>IF(Result_notebook_retravaill!I1390&gt;Result_notebook_retravaill!G1390,Result_notebook_retravaill!I1390/Result_notebook_retravaill!N1390,Result_notebook_retravaill!H1390)</f>
        <v>431.78438910419823</v>
      </c>
      <c r="I1390" s="32">
        <f>Result_notebook_retravaill!K1390</f>
        <v>3644.093144296362</v>
      </c>
      <c r="J1390" s="32">
        <f>MIN(G1390,Result_notebook_retravaill!I1390)</f>
        <v>258.44191825419398</v>
      </c>
      <c r="K1390" s="32">
        <f>IF(Result_notebook_retravaill!I1390&gt;Result_notebook_retravaill!G1390,0,IF(Result_notebook_retravaill!I1390+Result_notebook_retravaill!J1390&gt;Result_notebook_retravaill!G1390,Result_notebook_retravaill!G1390-Result_notebook_retravaill!I1390,Result_notebook_retravaill!J1390))</f>
        <v>173.34247085000425</v>
      </c>
      <c r="L1390" s="32">
        <f>IF(Result_notebook_retravaill!I1390&gt;Result_notebook_retravaill!G1390,0,IF(Result_notebook_retravaill!I1390+Result_notebook_retravaill!J1390&gt;Result_notebook_retravaill!G1390,0,Result_notebook_retravaill!M1390))</f>
        <v>2013.7421309361375</v>
      </c>
      <c r="M1390" s="31">
        <f t="shared" si="21"/>
        <v>0</v>
      </c>
    </row>
    <row r="1391" spans="1:13" x14ac:dyDescent="0.35">
      <c r="A1391">
        <f>Result_notebook_retravaill!A1391</f>
        <v>2040</v>
      </c>
      <c r="B1391" t="str">
        <f>Result_notebook_retravaill!B1391</f>
        <v>Neodymium</v>
      </c>
      <c r="C1391" t="str">
        <f>Result_notebook_retravaill!C1391</f>
        <v>Current Measures</v>
      </c>
      <c r="D1391" t="str">
        <f>Result_notebook_retravaill!D1391</f>
        <v>Production potential</v>
      </c>
      <c r="E1391" t="str">
        <f>Result_notebook_retravaill!E1391</f>
        <v>100% CAN</v>
      </c>
      <c r="F1391" t="str">
        <f>Result_notebook_retravaill!F1391</f>
        <v>Integrated</v>
      </c>
      <c r="G1391">
        <f>Result_notebook_retravaill!G1391</f>
        <v>2445.526520040336</v>
      </c>
      <c r="H1391" s="32">
        <f>IF(Result_notebook_retravaill!I1391&gt;Result_notebook_retravaill!G1391,Result_notebook_retravaill!I1391/Result_notebook_retravaill!N1391,Result_notebook_retravaill!H1391)</f>
        <v>431.78438910419823</v>
      </c>
      <c r="I1391" s="32">
        <f>Result_notebook_retravaill!K1391</f>
        <v>3644.093144296362</v>
      </c>
      <c r="J1391" s="32">
        <f>MIN(G1391,Result_notebook_retravaill!I1391)</f>
        <v>258.44191825419398</v>
      </c>
      <c r="K1391" s="32">
        <f>IF(Result_notebook_retravaill!I1391&gt;Result_notebook_retravaill!G1391,0,IF(Result_notebook_retravaill!I1391+Result_notebook_retravaill!J1391&gt;Result_notebook_retravaill!G1391,Result_notebook_retravaill!G1391-Result_notebook_retravaill!I1391,Result_notebook_retravaill!J1391))</f>
        <v>173.34247085000425</v>
      </c>
      <c r="L1391" s="32">
        <f>IF(Result_notebook_retravaill!I1391&gt;Result_notebook_retravaill!G1391,0,IF(Result_notebook_retravaill!I1391+Result_notebook_retravaill!J1391&gt;Result_notebook_retravaill!G1391,0,Result_notebook_retravaill!M1391))</f>
        <v>2013.7421309361375</v>
      </c>
      <c r="M1391" s="31">
        <f t="shared" si="21"/>
        <v>0</v>
      </c>
    </row>
    <row r="1392" spans="1:13" x14ac:dyDescent="0.35">
      <c r="A1392">
        <f>Result_notebook_retravaill!A1392</f>
        <v>2040</v>
      </c>
      <c r="B1392" t="str">
        <f>Result_notebook_retravaill!B1392</f>
        <v>Neodymium</v>
      </c>
      <c r="C1392" t="str">
        <f>Result_notebook_retravaill!C1392</f>
        <v>Global Net-zero</v>
      </c>
      <c r="D1392" t="str">
        <f>Result_notebook_retravaill!D1392</f>
        <v>Existing production</v>
      </c>
      <c r="E1392" t="str">
        <f>Result_notebook_retravaill!E1392</f>
        <v>Current shares</v>
      </c>
      <c r="F1392" t="str">
        <f>Result_notebook_retravaill!F1392</f>
        <v>NIMBY</v>
      </c>
      <c r="G1392">
        <f>Result_notebook_retravaill!G1392</f>
        <v>7054.8876969569083</v>
      </c>
      <c r="H1392" s="32">
        <f>IF(Result_notebook_retravaill!I1392&gt;Result_notebook_retravaill!G1392,Result_notebook_retravaill!I1392/Result_notebook_retravaill!N1392,Result_notebook_retravaill!H1392)</f>
        <v>0</v>
      </c>
      <c r="I1392" s="32">
        <f>Result_notebook_retravaill!K1392</f>
        <v>11758.14616159485</v>
      </c>
      <c r="J1392" s="32">
        <f>MIN(G1392,Result_notebook_retravaill!I1392)</f>
        <v>0</v>
      </c>
      <c r="K1392" s="32">
        <f>IF(Result_notebook_retravaill!I1392&gt;Result_notebook_retravaill!G1392,0,IF(Result_notebook_retravaill!I1392+Result_notebook_retravaill!J1392&gt;Result_notebook_retravaill!G1392,Result_notebook_retravaill!G1392-Result_notebook_retravaill!I1392,Result_notebook_retravaill!J1392))</f>
        <v>0</v>
      </c>
      <c r="L1392" s="32">
        <f>IF(Result_notebook_retravaill!I1392&gt;Result_notebook_retravaill!G1392,0,IF(Result_notebook_retravaill!I1392+Result_notebook_retravaill!J1392&gt;Result_notebook_retravaill!G1392,0,Result_notebook_retravaill!M1392))</f>
        <v>7054.8876969569083</v>
      </c>
      <c r="M1392" s="31">
        <f t="shared" si="21"/>
        <v>0</v>
      </c>
    </row>
    <row r="1393" spans="1:13" x14ac:dyDescent="0.35">
      <c r="A1393">
        <f>Result_notebook_retravaill!A1393</f>
        <v>2040</v>
      </c>
      <c r="B1393" t="str">
        <f>Result_notebook_retravaill!B1393</f>
        <v>Neodymium</v>
      </c>
      <c r="C1393" t="str">
        <f>Result_notebook_retravaill!C1393</f>
        <v>Global Net-zero</v>
      </c>
      <c r="D1393" t="str">
        <f>Result_notebook_retravaill!D1393</f>
        <v>Existing production</v>
      </c>
      <c r="E1393" t="str">
        <f>Result_notebook_retravaill!E1393</f>
        <v>Current shares</v>
      </c>
      <c r="F1393" t="str">
        <f>Result_notebook_retravaill!F1393</f>
        <v>Status Quo</v>
      </c>
      <c r="G1393">
        <f>Result_notebook_retravaill!G1393</f>
        <v>7054.8876969569083</v>
      </c>
      <c r="H1393" s="32">
        <f>IF(Result_notebook_retravaill!I1393&gt;Result_notebook_retravaill!G1393,Result_notebook_retravaill!I1393/Result_notebook_retravaill!N1393,Result_notebook_retravaill!H1393)</f>
        <v>0</v>
      </c>
      <c r="I1393" s="32">
        <f>Result_notebook_retravaill!K1393</f>
        <v>11758.14616159485</v>
      </c>
      <c r="J1393" s="32">
        <f>MIN(G1393,Result_notebook_retravaill!I1393)</f>
        <v>0</v>
      </c>
      <c r="K1393" s="32">
        <f>IF(Result_notebook_retravaill!I1393&gt;Result_notebook_retravaill!G1393,0,IF(Result_notebook_retravaill!I1393+Result_notebook_retravaill!J1393&gt;Result_notebook_retravaill!G1393,Result_notebook_retravaill!G1393-Result_notebook_retravaill!I1393,Result_notebook_retravaill!J1393))</f>
        <v>0</v>
      </c>
      <c r="L1393" s="32">
        <f>IF(Result_notebook_retravaill!I1393&gt;Result_notebook_retravaill!G1393,0,IF(Result_notebook_retravaill!I1393+Result_notebook_retravaill!J1393&gt;Result_notebook_retravaill!G1393,0,Result_notebook_retravaill!M1393))</f>
        <v>7054.8876969569083</v>
      </c>
      <c r="M1393" s="31">
        <f t="shared" si="21"/>
        <v>0</v>
      </c>
    </row>
    <row r="1394" spans="1:13" x14ac:dyDescent="0.35">
      <c r="A1394">
        <f>Result_notebook_retravaill!A1394</f>
        <v>2040</v>
      </c>
      <c r="B1394" t="str">
        <f>Result_notebook_retravaill!B1394</f>
        <v>Neodymium</v>
      </c>
      <c r="C1394" t="str">
        <f>Result_notebook_retravaill!C1394</f>
        <v>Global Net-zero</v>
      </c>
      <c r="D1394" t="str">
        <f>Result_notebook_retravaill!D1394</f>
        <v>Production potential</v>
      </c>
      <c r="E1394" t="str">
        <f>Result_notebook_retravaill!E1394</f>
        <v>Current shares</v>
      </c>
      <c r="F1394" t="str">
        <f>Result_notebook_retravaill!F1394</f>
        <v>Expansion Extractive</v>
      </c>
      <c r="G1394">
        <f>Result_notebook_retravaill!G1394</f>
        <v>7054.8876969569083</v>
      </c>
      <c r="H1394" s="32">
        <f>IF(Result_notebook_retravaill!I1394&gt;Result_notebook_retravaill!G1394,Result_notebook_retravaill!I1394/Result_notebook_retravaill!N1394,Result_notebook_retravaill!H1394)</f>
        <v>431.78438910419823</v>
      </c>
      <c r="I1394" s="32">
        <f>Result_notebook_retravaill!K1394</f>
        <v>11326.361772490651</v>
      </c>
      <c r="J1394" s="32">
        <f>MIN(G1394,Result_notebook_retravaill!I1394)</f>
        <v>258.44191825419398</v>
      </c>
      <c r="K1394" s="32">
        <f>IF(Result_notebook_retravaill!I1394&gt;Result_notebook_retravaill!G1394,0,IF(Result_notebook_retravaill!I1394+Result_notebook_retravaill!J1394&gt;Result_notebook_retravaill!G1394,Result_notebook_retravaill!G1394-Result_notebook_retravaill!I1394,Result_notebook_retravaill!J1394))</f>
        <v>173.34247085000425</v>
      </c>
      <c r="L1394" s="32">
        <f>IF(Result_notebook_retravaill!I1394&gt;Result_notebook_retravaill!G1394,0,IF(Result_notebook_retravaill!I1394+Result_notebook_retravaill!J1394&gt;Result_notebook_retravaill!G1394,0,Result_notebook_retravaill!M1394))</f>
        <v>6623.1033078527098</v>
      </c>
      <c r="M1394" s="31">
        <f t="shared" si="21"/>
        <v>0</v>
      </c>
    </row>
    <row r="1395" spans="1:13" x14ac:dyDescent="0.35">
      <c r="A1395">
        <f>Result_notebook_retravaill!A1395</f>
        <v>2040</v>
      </c>
      <c r="B1395" t="str">
        <f>Result_notebook_retravaill!B1395</f>
        <v>Neodymium</v>
      </c>
      <c r="C1395" t="str">
        <f>Result_notebook_retravaill!C1395</f>
        <v>Global Net-zero</v>
      </c>
      <c r="D1395" t="str">
        <f>Result_notebook_retravaill!D1395</f>
        <v>Production potential</v>
      </c>
      <c r="E1395" t="str">
        <f>Result_notebook_retravaill!E1395</f>
        <v>Current shares</v>
      </c>
      <c r="F1395" t="str">
        <f>Result_notebook_retravaill!F1395</f>
        <v>Expansion Extractive+Circularity</v>
      </c>
      <c r="G1395">
        <f>Result_notebook_retravaill!G1395</f>
        <v>7054.8876969569083</v>
      </c>
      <c r="H1395" s="32">
        <f>IF(Result_notebook_retravaill!I1395&gt;Result_notebook_retravaill!G1395,Result_notebook_retravaill!I1395/Result_notebook_retravaill!N1395,Result_notebook_retravaill!H1395)</f>
        <v>431.78438910419823</v>
      </c>
      <c r="I1395" s="32">
        <f>Result_notebook_retravaill!K1395</f>
        <v>11326.361772490651</v>
      </c>
      <c r="J1395" s="32">
        <f>MIN(G1395,Result_notebook_retravaill!I1395)</f>
        <v>258.44191825419398</v>
      </c>
      <c r="K1395" s="32">
        <f>IF(Result_notebook_retravaill!I1395&gt;Result_notebook_retravaill!G1395,0,IF(Result_notebook_retravaill!I1395+Result_notebook_retravaill!J1395&gt;Result_notebook_retravaill!G1395,Result_notebook_retravaill!G1395-Result_notebook_retravaill!I1395,Result_notebook_retravaill!J1395))</f>
        <v>173.34247085000425</v>
      </c>
      <c r="L1395" s="32">
        <f>IF(Result_notebook_retravaill!I1395&gt;Result_notebook_retravaill!G1395,0,IF(Result_notebook_retravaill!I1395+Result_notebook_retravaill!J1395&gt;Result_notebook_retravaill!G1395,0,Result_notebook_retravaill!M1395))</f>
        <v>6623.1033078527098</v>
      </c>
      <c r="M1395" s="31">
        <f t="shared" si="21"/>
        <v>0</v>
      </c>
    </row>
    <row r="1396" spans="1:13" x14ac:dyDescent="0.35">
      <c r="A1396">
        <f>Result_notebook_retravaill!A1396</f>
        <v>2040</v>
      </c>
      <c r="B1396" t="str">
        <f>Result_notebook_retravaill!B1396</f>
        <v>Neodymium</v>
      </c>
      <c r="C1396" t="str">
        <f>Result_notebook_retravaill!C1396</f>
        <v>Global Net-zero</v>
      </c>
      <c r="D1396" t="str">
        <f>Result_notebook_retravaill!D1396</f>
        <v>Production potential</v>
      </c>
      <c r="E1396" t="str">
        <f>Result_notebook_retravaill!E1396</f>
        <v>100% CAN</v>
      </c>
      <c r="F1396" t="str">
        <f>Result_notebook_retravaill!F1396</f>
        <v>Integrated</v>
      </c>
      <c r="G1396">
        <f>Result_notebook_retravaill!G1396</f>
        <v>7054.8876969569083</v>
      </c>
      <c r="H1396" s="32">
        <f>IF(Result_notebook_retravaill!I1396&gt;Result_notebook_retravaill!G1396,Result_notebook_retravaill!I1396/Result_notebook_retravaill!N1396,Result_notebook_retravaill!H1396)</f>
        <v>431.78438910419823</v>
      </c>
      <c r="I1396" s="32">
        <f>Result_notebook_retravaill!K1396</f>
        <v>11326.361772490651</v>
      </c>
      <c r="J1396" s="32">
        <f>MIN(G1396,Result_notebook_retravaill!I1396)</f>
        <v>258.44191825419398</v>
      </c>
      <c r="K1396" s="32">
        <f>IF(Result_notebook_retravaill!I1396&gt;Result_notebook_retravaill!G1396,0,IF(Result_notebook_retravaill!I1396+Result_notebook_retravaill!J1396&gt;Result_notebook_retravaill!G1396,Result_notebook_retravaill!G1396-Result_notebook_retravaill!I1396,Result_notebook_retravaill!J1396))</f>
        <v>173.34247085000425</v>
      </c>
      <c r="L1396" s="32">
        <f>IF(Result_notebook_retravaill!I1396&gt;Result_notebook_retravaill!G1396,0,IF(Result_notebook_retravaill!I1396+Result_notebook_retravaill!J1396&gt;Result_notebook_retravaill!G1396,0,Result_notebook_retravaill!M1396))</f>
        <v>6623.1033078527098</v>
      </c>
      <c r="M1396" s="31">
        <f t="shared" si="21"/>
        <v>0</v>
      </c>
    </row>
    <row r="1397" spans="1:13" x14ac:dyDescent="0.35">
      <c r="A1397">
        <f>Result_notebook_retravaill!A1397</f>
        <v>2040</v>
      </c>
      <c r="B1397" t="str">
        <f>Result_notebook_retravaill!B1397</f>
        <v>Nickel</v>
      </c>
      <c r="C1397" t="str">
        <f>Result_notebook_retravaill!C1397</f>
        <v>Canada Net-zero</v>
      </c>
      <c r="D1397" t="str">
        <f>Result_notebook_retravaill!D1397</f>
        <v>Existing production</v>
      </c>
      <c r="E1397" t="str">
        <f>Result_notebook_retravaill!E1397</f>
        <v>Current shares</v>
      </c>
      <c r="F1397" t="str">
        <f>Result_notebook_retravaill!F1397</f>
        <v>NIMBY</v>
      </c>
      <c r="G1397">
        <f>Result_notebook_retravaill!G1397</f>
        <v>203217.24889181441</v>
      </c>
      <c r="H1397" s="32">
        <f>IF(Result_notebook_retravaill!I1397&gt;Result_notebook_retravaill!G1397,Result_notebook_retravaill!I1397/Result_notebook_retravaill!N1397,Result_notebook_retravaill!H1397)</f>
        <v>0</v>
      </c>
      <c r="I1397" s="32">
        <f>Result_notebook_retravaill!K1397</f>
        <v>257237.0239136891</v>
      </c>
      <c r="J1397" s="32">
        <f>MIN(G1397,Result_notebook_retravaill!I1397)</f>
        <v>0</v>
      </c>
      <c r="K1397" s="32">
        <f>IF(Result_notebook_retravaill!I1397&gt;Result_notebook_retravaill!G1397,0,IF(Result_notebook_retravaill!I1397+Result_notebook_retravaill!J1397&gt;Result_notebook_retravaill!G1397,Result_notebook_retravaill!G1397-Result_notebook_retravaill!I1397,Result_notebook_retravaill!J1397))</f>
        <v>0</v>
      </c>
      <c r="L1397" s="32">
        <f>IF(Result_notebook_retravaill!I1397&gt;Result_notebook_retravaill!G1397,0,IF(Result_notebook_retravaill!I1397+Result_notebook_retravaill!J1397&gt;Result_notebook_retravaill!G1397,0,Result_notebook_retravaill!M1397))</f>
        <v>203217.24889181441</v>
      </c>
      <c r="M1397" s="31">
        <f t="shared" si="21"/>
        <v>0</v>
      </c>
    </row>
    <row r="1398" spans="1:13" x14ac:dyDescent="0.35">
      <c r="A1398">
        <f>Result_notebook_retravaill!A1398</f>
        <v>2040</v>
      </c>
      <c r="B1398" t="str">
        <f>Result_notebook_retravaill!B1398</f>
        <v>Nickel</v>
      </c>
      <c r="C1398" t="str">
        <f>Result_notebook_retravaill!C1398</f>
        <v>Canada Net-zero</v>
      </c>
      <c r="D1398" t="str">
        <f>Result_notebook_retravaill!D1398</f>
        <v>Existing production</v>
      </c>
      <c r="E1398" t="str">
        <f>Result_notebook_retravaill!E1398</f>
        <v>Current shares</v>
      </c>
      <c r="F1398" t="str">
        <f>Result_notebook_retravaill!F1398</f>
        <v>Status Quo</v>
      </c>
      <c r="G1398">
        <f>Result_notebook_retravaill!G1398</f>
        <v>203217.24889181441</v>
      </c>
      <c r="H1398" s="32">
        <f>IF(Result_notebook_retravaill!I1398&gt;Result_notebook_retravaill!G1398,Result_notebook_retravaill!I1398/Result_notebook_retravaill!N1398,Result_notebook_retravaill!H1398)</f>
        <v>37000</v>
      </c>
      <c r="I1398" s="32">
        <f>Result_notebook_retravaill!K1398</f>
        <v>220237.0239136891</v>
      </c>
      <c r="J1398" s="32">
        <f>MIN(G1398,Result_notebook_retravaill!I1398)</f>
        <v>20752.561586838339</v>
      </c>
      <c r="K1398" s="32">
        <f>IF(Result_notebook_retravaill!I1398&gt;Result_notebook_retravaill!G1398,0,IF(Result_notebook_retravaill!I1398+Result_notebook_retravaill!J1398&gt;Result_notebook_retravaill!G1398,Result_notebook_retravaill!G1398-Result_notebook_retravaill!I1398,Result_notebook_retravaill!J1398))</f>
        <v>5116.7458370366039</v>
      </c>
      <c r="L1398" s="32">
        <f>IF(Result_notebook_retravaill!I1398&gt;Result_notebook_retravaill!G1398,0,IF(Result_notebook_retravaill!I1398+Result_notebook_retravaill!J1398&gt;Result_notebook_retravaill!G1398,0,Result_notebook_retravaill!M1398))</f>
        <v>177347.9414679395</v>
      </c>
      <c r="M1398" s="31">
        <f t="shared" si="21"/>
        <v>0</v>
      </c>
    </row>
    <row r="1399" spans="1:13" x14ac:dyDescent="0.35">
      <c r="A1399">
        <f>Result_notebook_retravaill!A1399</f>
        <v>2040</v>
      </c>
      <c r="B1399" t="str">
        <f>Result_notebook_retravaill!B1399</f>
        <v>Nickel</v>
      </c>
      <c r="C1399" t="str">
        <f>Result_notebook_retravaill!C1399</f>
        <v>Canada Net-zero</v>
      </c>
      <c r="D1399" t="str">
        <f>Result_notebook_retravaill!D1399</f>
        <v>Production potential</v>
      </c>
      <c r="E1399" t="str">
        <f>Result_notebook_retravaill!E1399</f>
        <v>Current shares</v>
      </c>
      <c r="F1399" t="str">
        <f>Result_notebook_retravaill!F1399</f>
        <v>Expansion Extractive</v>
      </c>
      <c r="G1399">
        <f>Result_notebook_retravaill!G1399</f>
        <v>203217.24889181441</v>
      </c>
      <c r="H1399" s="32">
        <f>IF(Result_notebook_retravaill!I1399&gt;Result_notebook_retravaill!G1399,Result_notebook_retravaill!I1399/Result_notebook_retravaill!N1399,Result_notebook_retravaill!H1399)</f>
        <v>282129.47885281307</v>
      </c>
      <c r="I1399" s="32">
        <f>Result_notebook_retravaill!K1399</f>
        <v>0</v>
      </c>
      <c r="J1399" s="32">
        <f>MIN(G1399,Result_notebook_retravaill!I1399)</f>
        <v>158240.7941988002</v>
      </c>
      <c r="K1399" s="32">
        <f>IF(Result_notebook_retravaill!I1399&gt;Result_notebook_retravaill!G1399,0,IF(Result_notebook_retravaill!I1399+Result_notebook_retravaill!J1399&gt;Result_notebook_retravaill!G1399,Result_notebook_retravaill!G1399-Result_notebook_retravaill!I1399,Result_notebook_retravaill!J1399))</f>
        <v>39015.8063898767</v>
      </c>
      <c r="L1399" s="32">
        <f>IF(Result_notebook_retravaill!I1399&gt;Result_notebook_retravaill!G1399,0,IF(Result_notebook_retravaill!I1399+Result_notebook_retravaill!J1399&gt;Result_notebook_retravaill!G1399,0,Result_notebook_retravaill!M1399))</f>
        <v>5960.648303137481</v>
      </c>
      <c r="M1399" s="31">
        <f t="shared" si="21"/>
        <v>0</v>
      </c>
    </row>
    <row r="1400" spans="1:13" x14ac:dyDescent="0.35">
      <c r="A1400">
        <f>Result_notebook_retravaill!A1400</f>
        <v>2040</v>
      </c>
      <c r="B1400" t="str">
        <f>Result_notebook_retravaill!B1400</f>
        <v>Nickel</v>
      </c>
      <c r="C1400" t="str">
        <f>Result_notebook_retravaill!C1400</f>
        <v>Canada Net-zero</v>
      </c>
      <c r="D1400" t="str">
        <f>Result_notebook_retravaill!D1400</f>
        <v>Production potential</v>
      </c>
      <c r="E1400" t="str">
        <f>Result_notebook_retravaill!E1400</f>
        <v>Current shares</v>
      </c>
      <c r="F1400" t="str">
        <f>Result_notebook_retravaill!F1400</f>
        <v>Expansion Extractive+Circularity</v>
      </c>
      <c r="G1400">
        <f>Result_notebook_retravaill!G1400</f>
        <v>203217.24889181441</v>
      </c>
      <c r="H1400" s="32">
        <f>IF(Result_notebook_retravaill!I1400&gt;Result_notebook_retravaill!G1400,Result_notebook_retravaill!I1400/Result_notebook_retravaill!N1400,Result_notebook_retravaill!H1400)</f>
        <v>282129.47885281307</v>
      </c>
      <c r="I1400" s="32">
        <f>Result_notebook_retravaill!K1400</f>
        <v>0</v>
      </c>
      <c r="J1400" s="32">
        <f>MIN(G1400,Result_notebook_retravaill!I1400)</f>
        <v>158240.7941988002</v>
      </c>
      <c r="K1400" s="32">
        <f>IF(Result_notebook_retravaill!I1400&gt;Result_notebook_retravaill!G1400,0,IF(Result_notebook_retravaill!I1400+Result_notebook_retravaill!J1400&gt;Result_notebook_retravaill!G1400,Result_notebook_retravaill!G1400-Result_notebook_retravaill!I1400,Result_notebook_retravaill!J1400))</f>
        <v>39015.8063898767</v>
      </c>
      <c r="L1400" s="32">
        <f>IF(Result_notebook_retravaill!I1400&gt;Result_notebook_retravaill!G1400,0,IF(Result_notebook_retravaill!I1400+Result_notebook_retravaill!J1400&gt;Result_notebook_retravaill!G1400,0,Result_notebook_retravaill!M1400))</f>
        <v>5960.648303137481</v>
      </c>
      <c r="M1400" s="31">
        <f t="shared" si="21"/>
        <v>0</v>
      </c>
    </row>
    <row r="1401" spans="1:13" x14ac:dyDescent="0.35">
      <c r="A1401">
        <f>Result_notebook_retravaill!A1401</f>
        <v>2040</v>
      </c>
      <c r="B1401" t="str">
        <f>Result_notebook_retravaill!B1401</f>
        <v>Nickel</v>
      </c>
      <c r="C1401" t="str">
        <f>Result_notebook_retravaill!C1401</f>
        <v>Canada Net-zero</v>
      </c>
      <c r="D1401" t="str">
        <f>Result_notebook_retravaill!D1401</f>
        <v>Production potential</v>
      </c>
      <c r="E1401" t="str">
        <f>Result_notebook_retravaill!E1401</f>
        <v>100% CAN</v>
      </c>
      <c r="F1401" t="str">
        <f>Result_notebook_retravaill!F1401</f>
        <v>Integrated</v>
      </c>
      <c r="G1401">
        <f>Result_notebook_retravaill!G1401</f>
        <v>203217.24889181441</v>
      </c>
      <c r="H1401" s="32">
        <f>IF(Result_notebook_retravaill!I1401&gt;Result_notebook_retravaill!G1401,Result_notebook_retravaill!I1401/Result_notebook_retravaill!N1401,Result_notebook_retravaill!H1401)</f>
        <v>317794.42936188669</v>
      </c>
      <c r="I1401" s="32">
        <f>Result_notebook_retravaill!K1401</f>
        <v>0</v>
      </c>
      <c r="J1401" s="32">
        <f>MIN(G1401,Result_notebook_retravaill!I1401)</f>
        <v>203217.24889181441</v>
      </c>
      <c r="K1401" s="32">
        <f>IF(Result_notebook_retravaill!I1401&gt;Result_notebook_retravaill!G1401,0,IF(Result_notebook_retravaill!I1401+Result_notebook_retravaill!J1401&gt;Result_notebook_retravaill!G1401,Result_notebook_retravaill!G1401-Result_notebook_retravaill!I1401,Result_notebook_retravaill!J1401))</f>
        <v>0</v>
      </c>
      <c r="L1401" s="32">
        <f>IF(Result_notebook_retravaill!I1401&gt;Result_notebook_retravaill!G1401,0,IF(Result_notebook_retravaill!I1401+Result_notebook_retravaill!J1401&gt;Result_notebook_retravaill!G1401,0,Result_notebook_retravaill!M1401))</f>
        <v>0</v>
      </c>
      <c r="M1401" s="31">
        <f t="shared" si="21"/>
        <v>0</v>
      </c>
    </row>
    <row r="1402" spans="1:13" x14ac:dyDescent="0.35">
      <c r="A1402">
        <f>Result_notebook_retravaill!A1402</f>
        <v>2040</v>
      </c>
      <c r="B1402" t="str">
        <f>Result_notebook_retravaill!B1402</f>
        <v>Nickel</v>
      </c>
      <c r="C1402" t="str">
        <f>Result_notebook_retravaill!C1402</f>
        <v>Current Measures</v>
      </c>
      <c r="D1402" t="str">
        <f>Result_notebook_retravaill!D1402</f>
        <v>Existing production</v>
      </c>
      <c r="E1402" t="str">
        <f>Result_notebook_retravaill!E1402</f>
        <v>Current shares</v>
      </c>
      <c r="F1402" t="str">
        <f>Result_notebook_retravaill!F1402</f>
        <v>NIMBY</v>
      </c>
      <c r="G1402">
        <f>Result_notebook_retravaill!G1402</f>
        <v>79345.878987390839</v>
      </c>
      <c r="H1402" s="32">
        <f>IF(Result_notebook_retravaill!I1402&gt;Result_notebook_retravaill!G1402,Result_notebook_retravaill!I1402/Result_notebook_retravaill!N1402,Result_notebook_retravaill!H1402)</f>
        <v>0</v>
      </c>
      <c r="I1402" s="32">
        <f>Result_notebook_retravaill!K1402</f>
        <v>100437.8215030264</v>
      </c>
      <c r="J1402" s="32">
        <f>MIN(G1402,Result_notebook_retravaill!I1402)</f>
        <v>0</v>
      </c>
      <c r="K1402" s="32">
        <f>IF(Result_notebook_retravaill!I1402&gt;Result_notebook_retravaill!G1402,0,IF(Result_notebook_retravaill!I1402+Result_notebook_retravaill!J1402&gt;Result_notebook_retravaill!G1402,Result_notebook_retravaill!G1402-Result_notebook_retravaill!I1402,Result_notebook_retravaill!J1402))</f>
        <v>0</v>
      </c>
      <c r="L1402" s="32">
        <f>IF(Result_notebook_retravaill!I1402&gt;Result_notebook_retravaill!G1402,0,IF(Result_notebook_retravaill!I1402+Result_notebook_retravaill!J1402&gt;Result_notebook_retravaill!G1402,0,Result_notebook_retravaill!M1402))</f>
        <v>79345.878987390839</v>
      </c>
      <c r="M1402" s="31">
        <f t="shared" si="21"/>
        <v>0</v>
      </c>
    </row>
    <row r="1403" spans="1:13" x14ac:dyDescent="0.35">
      <c r="A1403">
        <f>Result_notebook_retravaill!A1403</f>
        <v>2040</v>
      </c>
      <c r="B1403" t="str">
        <f>Result_notebook_retravaill!B1403</f>
        <v>Nickel</v>
      </c>
      <c r="C1403" t="str">
        <f>Result_notebook_retravaill!C1403</f>
        <v>Current Measures</v>
      </c>
      <c r="D1403" t="str">
        <f>Result_notebook_retravaill!D1403</f>
        <v>Existing production</v>
      </c>
      <c r="E1403" t="str">
        <f>Result_notebook_retravaill!E1403</f>
        <v>Current shares</v>
      </c>
      <c r="F1403" t="str">
        <f>Result_notebook_retravaill!F1403</f>
        <v>Status Quo</v>
      </c>
      <c r="G1403">
        <f>Result_notebook_retravaill!G1403</f>
        <v>79345.878987390839</v>
      </c>
      <c r="H1403" s="32">
        <f>IF(Result_notebook_retravaill!I1403&gt;Result_notebook_retravaill!G1403,Result_notebook_retravaill!I1403/Result_notebook_retravaill!N1403,Result_notebook_retravaill!H1403)</f>
        <v>37000</v>
      </c>
      <c r="I1403" s="32">
        <f>Result_notebook_retravaill!K1403</f>
        <v>63437.821503026367</v>
      </c>
      <c r="J1403" s="32">
        <f>MIN(G1403,Result_notebook_retravaill!I1403)</f>
        <v>20752.561586838339</v>
      </c>
      <c r="K1403" s="32">
        <f>IF(Result_notebook_retravaill!I1403&gt;Result_notebook_retravaill!G1403,0,IF(Result_notebook_retravaill!I1403+Result_notebook_retravaill!J1403&gt;Result_notebook_retravaill!G1403,Result_notebook_retravaill!G1403-Result_notebook_retravaill!I1403,Result_notebook_retravaill!J1403))</f>
        <v>5116.7458370366039</v>
      </c>
      <c r="L1403" s="32">
        <f>IF(Result_notebook_retravaill!I1403&gt;Result_notebook_retravaill!G1403,0,IF(Result_notebook_retravaill!I1403+Result_notebook_retravaill!J1403&gt;Result_notebook_retravaill!G1403,0,Result_notebook_retravaill!M1403))</f>
        <v>53476.571563515899</v>
      </c>
      <c r="M1403" s="31">
        <f t="shared" si="21"/>
        <v>0</v>
      </c>
    </row>
    <row r="1404" spans="1:13" x14ac:dyDescent="0.35">
      <c r="A1404">
        <f>Result_notebook_retravaill!A1404</f>
        <v>2040</v>
      </c>
      <c r="B1404" t="str">
        <f>Result_notebook_retravaill!B1404</f>
        <v>Nickel</v>
      </c>
      <c r="C1404" t="str">
        <f>Result_notebook_retravaill!C1404</f>
        <v>Current Measures</v>
      </c>
      <c r="D1404" t="str">
        <f>Result_notebook_retravaill!D1404</f>
        <v>Production potential</v>
      </c>
      <c r="E1404" t="str">
        <f>Result_notebook_retravaill!E1404</f>
        <v>Current shares</v>
      </c>
      <c r="F1404" t="str">
        <f>Result_notebook_retravaill!F1404</f>
        <v>Expansion Extractive</v>
      </c>
      <c r="G1404">
        <f>Result_notebook_retravaill!G1404</f>
        <v>79345.878987390839</v>
      </c>
      <c r="H1404" s="32">
        <f>IF(Result_notebook_retravaill!I1404&gt;Result_notebook_retravaill!G1404,Result_notebook_retravaill!I1404/Result_notebook_retravaill!N1404,Result_notebook_retravaill!H1404)</f>
        <v>226326.48371374936</v>
      </c>
      <c r="I1404" s="32">
        <f>Result_notebook_retravaill!K1404</f>
        <v>0</v>
      </c>
      <c r="J1404" s="32">
        <f>MIN(G1404,Result_notebook_retravaill!I1404)</f>
        <v>79345.878987390839</v>
      </c>
      <c r="K1404" s="32">
        <f>IF(Result_notebook_retravaill!I1404&gt;Result_notebook_retravaill!G1404,0,IF(Result_notebook_retravaill!I1404+Result_notebook_retravaill!J1404&gt;Result_notebook_retravaill!G1404,Result_notebook_retravaill!G1404-Result_notebook_retravaill!I1404,Result_notebook_retravaill!J1404))</f>
        <v>0</v>
      </c>
      <c r="L1404" s="32">
        <f>IF(Result_notebook_retravaill!I1404&gt;Result_notebook_retravaill!G1404,0,IF(Result_notebook_retravaill!I1404+Result_notebook_retravaill!J1404&gt;Result_notebook_retravaill!G1404,0,Result_notebook_retravaill!M1404))</f>
        <v>0</v>
      </c>
      <c r="M1404" s="31">
        <f t="shared" si="21"/>
        <v>0</v>
      </c>
    </row>
    <row r="1405" spans="1:13" x14ac:dyDescent="0.35">
      <c r="A1405">
        <f>Result_notebook_retravaill!A1405</f>
        <v>2040</v>
      </c>
      <c r="B1405" t="str">
        <f>Result_notebook_retravaill!B1405</f>
        <v>Nickel</v>
      </c>
      <c r="C1405" t="str">
        <f>Result_notebook_retravaill!C1405</f>
        <v>Current Measures</v>
      </c>
      <c r="D1405" t="str">
        <f>Result_notebook_retravaill!D1405</f>
        <v>Production potential</v>
      </c>
      <c r="E1405" t="str">
        <f>Result_notebook_retravaill!E1405</f>
        <v>Current shares</v>
      </c>
      <c r="F1405" t="str">
        <f>Result_notebook_retravaill!F1405</f>
        <v>Expansion Extractive+Circularity</v>
      </c>
      <c r="G1405">
        <f>Result_notebook_retravaill!G1405</f>
        <v>79345.878987390839</v>
      </c>
      <c r="H1405" s="32">
        <f>IF(Result_notebook_retravaill!I1405&gt;Result_notebook_retravaill!G1405,Result_notebook_retravaill!I1405/Result_notebook_retravaill!N1405,Result_notebook_retravaill!H1405)</f>
        <v>226326.48371374936</v>
      </c>
      <c r="I1405" s="32">
        <f>Result_notebook_retravaill!K1405</f>
        <v>0</v>
      </c>
      <c r="J1405" s="32">
        <f>MIN(G1405,Result_notebook_retravaill!I1405)</f>
        <v>79345.878987390839</v>
      </c>
      <c r="K1405" s="32">
        <f>IF(Result_notebook_retravaill!I1405&gt;Result_notebook_retravaill!G1405,0,IF(Result_notebook_retravaill!I1405+Result_notebook_retravaill!J1405&gt;Result_notebook_retravaill!G1405,Result_notebook_retravaill!G1405-Result_notebook_retravaill!I1405,Result_notebook_retravaill!J1405))</f>
        <v>0</v>
      </c>
      <c r="L1405" s="32">
        <f>IF(Result_notebook_retravaill!I1405&gt;Result_notebook_retravaill!G1405,0,IF(Result_notebook_retravaill!I1405+Result_notebook_retravaill!J1405&gt;Result_notebook_retravaill!G1405,0,Result_notebook_retravaill!M1405))</f>
        <v>0</v>
      </c>
      <c r="M1405" s="31">
        <f t="shared" si="21"/>
        <v>0</v>
      </c>
    </row>
    <row r="1406" spans="1:13" x14ac:dyDescent="0.35">
      <c r="A1406">
        <f>Result_notebook_retravaill!A1406</f>
        <v>2040</v>
      </c>
      <c r="B1406" t="str">
        <f>Result_notebook_retravaill!B1406</f>
        <v>Nickel</v>
      </c>
      <c r="C1406" t="str">
        <f>Result_notebook_retravaill!C1406</f>
        <v>Current Measures</v>
      </c>
      <c r="D1406" t="str">
        <f>Result_notebook_retravaill!D1406</f>
        <v>Production potential</v>
      </c>
      <c r="E1406" t="str">
        <f>Result_notebook_retravaill!E1406</f>
        <v>100% CAN</v>
      </c>
      <c r="F1406" t="str">
        <f>Result_notebook_retravaill!F1406</f>
        <v>Integrated</v>
      </c>
      <c r="G1406">
        <f>Result_notebook_retravaill!G1406</f>
        <v>79345.878987390839</v>
      </c>
      <c r="H1406" s="32">
        <f>IF(Result_notebook_retravaill!I1406&gt;Result_notebook_retravaill!G1406,Result_notebook_retravaill!I1406/Result_notebook_retravaill!N1406,Result_notebook_retravaill!H1406)</f>
        <v>317794.42936188669</v>
      </c>
      <c r="I1406" s="32">
        <f>Result_notebook_retravaill!K1406</f>
        <v>0</v>
      </c>
      <c r="J1406" s="32">
        <f>MIN(G1406,Result_notebook_retravaill!I1406)</f>
        <v>79345.878987390839</v>
      </c>
      <c r="K1406" s="32">
        <f>IF(Result_notebook_retravaill!I1406&gt;Result_notebook_retravaill!G1406,0,IF(Result_notebook_retravaill!I1406+Result_notebook_retravaill!J1406&gt;Result_notebook_retravaill!G1406,Result_notebook_retravaill!G1406-Result_notebook_retravaill!I1406,Result_notebook_retravaill!J1406))</f>
        <v>0</v>
      </c>
      <c r="L1406" s="32">
        <f>IF(Result_notebook_retravaill!I1406&gt;Result_notebook_retravaill!G1406,0,IF(Result_notebook_retravaill!I1406+Result_notebook_retravaill!J1406&gt;Result_notebook_retravaill!G1406,0,Result_notebook_retravaill!M1406))</f>
        <v>0</v>
      </c>
      <c r="M1406" s="31">
        <f t="shared" si="21"/>
        <v>0</v>
      </c>
    </row>
    <row r="1407" spans="1:13" x14ac:dyDescent="0.35">
      <c r="A1407">
        <f>Result_notebook_retravaill!A1407</f>
        <v>2040</v>
      </c>
      <c r="B1407" t="str">
        <f>Result_notebook_retravaill!B1407</f>
        <v>Nickel</v>
      </c>
      <c r="C1407" t="str">
        <f>Result_notebook_retravaill!C1407</f>
        <v>Global Net-zero</v>
      </c>
      <c r="D1407" t="str">
        <f>Result_notebook_retravaill!D1407</f>
        <v>Existing production</v>
      </c>
      <c r="E1407" t="str">
        <f>Result_notebook_retravaill!E1407</f>
        <v>Current shares</v>
      </c>
      <c r="F1407" t="str">
        <f>Result_notebook_retravaill!F1407</f>
        <v>NIMBY</v>
      </c>
      <c r="G1407">
        <f>Result_notebook_retravaill!G1407</f>
        <v>194473.94809899441</v>
      </c>
      <c r="H1407" s="32">
        <f>IF(Result_notebook_retravaill!I1407&gt;Result_notebook_retravaill!G1407,Result_notebook_retravaill!I1407/Result_notebook_retravaill!N1407,Result_notebook_retravaill!H1407)</f>
        <v>0</v>
      </c>
      <c r="I1407" s="32">
        <f>Result_notebook_retravaill!K1407</f>
        <v>246169.5545556891</v>
      </c>
      <c r="J1407" s="32">
        <f>MIN(G1407,Result_notebook_retravaill!I1407)</f>
        <v>0</v>
      </c>
      <c r="K1407" s="32">
        <f>IF(Result_notebook_retravaill!I1407&gt;Result_notebook_retravaill!G1407,0,IF(Result_notebook_retravaill!I1407+Result_notebook_retravaill!J1407&gt;Result_notebook_retravaill!G1407,Result_notebook_retravaill!G1407-Result_notebook_retravaill!I1407,Result_notebook_retravaill!J1407))</f>
        <v>0</v>
      </c>
      <c r="L1407" s="32">
        <f>IF(Result_notebook_retravaill!I1407&gt;Result_notebook_retravaill!G1407,0,IF(Result_notebook_retravaill!I1407+Result_notebook_retravaill!J1407&gt;Result_notebook_retravaill!G1407,0,Result_notebook_retravaill!M1407))</f>
        <v>194473.94809899441</v>
      </c>
      <c r="M1407" s="31">
        <f t="shared" si="21"/>
        <v>0</v>
      </c>
    </row>
    <row r="1408" spans="1:13" x14ac:dyDescent="0.35">
      <c r="A1408">
        <f>Result_notebook_retravaill!A1408</f>
        <v>2040</v>
      </c>
      <c r="B1408" t="str">
        <f>Result_notebook_retravaill!B1408</f>
        <v>Nickel</v>
      </c>
      <c r="C1408" t="str">
        <f>Result_notebook_retravaill!C1408</f>
        <v>Global Net-zero</v>
      </c>
      <c r="D1408" t="str">
        <f>Result_notebook_retravaill!D1408</f>
        <v>Existing production</v>
      </c>
      <c r="E1408" t="str">
        <f>Result_notebook_retravaill!E1408</f>
        <v>Current shares</v>
      </c>
      <c r="F1408" t="str">
        <f>Result_notebook_retravaill!F1408</f>
        <v>Status Quo</v>
      </c>
      <c r="G1408">
        <f>Result_notebook_retravaill!G1408</f>
        <v>194473.94809899441</v>
      </c>
      <c r="H1408" s="32">
        <f>IF(Result_notebook_retravaill!I1408&gt;Result_notebook_retravaill!G1408,Result_notebook_retravaill!I1408/Result_notebook_retravaill!N1408,Result_notebook_retravaill!H1408)</f>
        <v>37000</v>
      </c>
      <c r="I1408" s="32">
        <f>Result_notebook_retravaill!K1408</f>
        <v>209169.5545556891</v>
      </c>
      <c r="J1408" s="32">
        <f>MIN(G1408,Result_notebook_retravaill!I1408)</f>
        <v>20752.561586838339</v>
      </c>
      <c r="K1408" s="32">
        <f>IF(Result_notebook_retravaill!I1408&gt;Result_notebook_retravaill!G1408,0,IF(Result_notebook_retravaill!I1408+Result_notebook_retravaill!J1408&gt;Result_notebook_retravaill!G1408,Result_notebook_retravaill!G1408-Result_notebook_retravaill!I1408,Result_notebook_retravaill!J1408))</f>
        <v>5116.7458370366039</v>
      </c>
      <c r="L1408" s="32">
        <f>IF(Result_notebook_retravaill!I1408&gt;Result_notebook_retravaill!G1408,0,IF(Result_notebook_retravaill!I1408+Result_notebook_retravaill!J1408&gt;Result_notebook_retravaill!G1408,0,Result_notebook_retravaill!M1408))</f>
        <v>168604.6406751195</v>
      </c>
      <c r="M1408" s="31">
        <f t="shared" si="21"/>
        <v>0</v>
      </c>
    </row>
    <row r="1409" spans="1:13" x14ac:dyDescent="0.35">
      <c r="A1409">
        <f>Result_notebook_retravaill!A1409</f>
        <v>2040</v>
      </c>
      <c r="B1409" t="str">
        <f>Result_notebook_retravaill!B1409</f>
        <v>Nickel</v>
      </c>
      <c r="C1409" t="str">
        <f>Result_notebook_retravaill!C1409</f>
        <v>Global Net-zero</v>
      </c>
      <c r="D1409" t="str">
        <f>Result_notebook_retravaill!D1409</f>
        <v>Production potential</v>
      </c>
      <c r="E1409" t="str">
        <f>Result_notebook_retravaill!E1409</f>
        <v>Current shares</v>
      </c>
      <c r="F1409" t="str">
        <f>Result_notebook_retravaill!F1409</f>
        <v>Expansion Extractive</v>
      </c>
      <c r="G1409">
        <f>Result_notebook_retravaill!G1409</f>
        <v>194473.94809899441</v>
      </c>
      <c r="H1409" s="32">
        <f>IF(Result_notebook_retravaill!I1409&gt;Result_notebook_retravaill!G1409,Result_notebook_retravaill!I1409/Result_notebook_retravaill!N1409,Result_notebook_retravaill!H1409)</f>
        <v>282129.47885281307</v>
      </c>
      <c r="I1409" s="32">
        <f>Result_notebook_retravaill!K1409</f>
        <v>0</v>
      </c>
      <c r="J1409" s="32">
        <f>MIN(G1409,Result_notebook_retravaill!I1409)</f>
        <v>158240.7941988002</v>
      </c>
      <c r="K1409" s="32">
        <f>IF(Result_notebook_retravaill!I1409&gt;Result_notebook_retravaill!G1409,0,IF(Result_notebook_retravaill!I1409+Result_notebook_retravaill!J1409&gt;Result_notebook_retravaill!G1409,Result_notebook_retravaill!G1409-Result_notebook_retravaill!I1409,Result_notebook_retravaill!J1409))</f>
        <v>36233.153900194215</v>
      </c>
      <c r="L1409" s="32">
        <f>IF(Result_notebook_retravaill!I1409&gt;Result_notebook_retravaill!G1409,0,IF(Result_notebook_retravaill!I1409+Result_notebook_retravaill!J1409&gt;Result_notebook_retravaill!G1409,0,Result_notebook_retravaill!M1409))</f>
        <v>0</v>
      </c>
      <c r="M1409" s="31">
        <f t="shared" si="21"/>
        <v>0</v>
      </c>
    </row>
    <row r="1410" spans="1:13" x14ac:dyDescent="0.35">
      <c r="A1410">
        <f>Result_notebook_retravaill!A1410</f>
        <v>2040</v>
      </c>
      <c r="B1410" t="str">
        <f>Result_notebook_retravaill!B1410</f>
        <v>Nickel</v>
      </c>
      <c r="C1410" t="str">
        <f>Result_notebook_retravaill!C1410</f>
        <v>Global Net-zero</v>
      </c>
      <c r="D1410" t="str">
        <f>Result_notebook_retravaill!D1410</f>
        <v>Production potential</v>
      </c>
      <c r="E1410" t="str">
        <f>Result_notebook_retravaill!E1410</f>
        <v>Current shares</v>
      </c>
      <c r="F1410" t="str">
        <f>Result_notebook_retravaill!F1410</f>
        <v>Expansion Extractive+Circularity</v>
      </c>
      <c r="G1410">
        <f>Result_notebook_retravaill!G1410</f>
        <v>194473.94809899441</v>
      </c>
      <c r="H1410" s="32">
        <f>IF(Result_notebook_retravaill!I1410&gt;Result_notebook_retravaill!G1410,Result_notebook_retravaill!I1410/Result_notebook_retravaill!N1410,Result_notebook_retravaill!H1410)</f>
        <v>282129.47885281307</v>
      </c>
      <c r="I1410" s="32">
        <f>Result_notebook_retravaill!K1410</f>
        <v>0</v>
      </c>
      <c r="J1410" s="32">
        <f>MIN(G1410,Result_notebook_retravaill!I1410)</f>
        <v>158240.7941988002</v>
      </c>
      <c r="K1410" s="32">
        <f>IF(Result_notebook_retravaill!I1410&gt;Result_notebook_retravaill!G1410,0,IF(Result_notebook_retravaill!I1410+Result_notebook_retravaill!J1410&gt;Result_notebook_retravaill!G1410,Result_notebook_retravaill!G1410-Result_notebook_retravaill!I1410,Result_notebook_retravaill!J1410))</f>
        <v>36233.153900194215</v>
      </c>
      <c r="L1410" s="32">
        <f>IF(Result_notebook_retravaill!I1410&gt;Result_notebook_retravaill!G1410,0,IF(Result_notebook_retravaill!I1410+Result_notebook_retravaill!J1410&gt;Result_notebook_retravaill!G1410,0,Result_notebook_retravaill!M1410))</f>
        <v>0</v>
      </c>
      <c r="M1410" s="31">
        <f t="shared" si="21"/>
        <v>0</v>
      </c>
    </row>
    <row r="1411" spans="1:13" x14ac:dyDescent="0.35">
      <c r="A1411">
        <f>Result_notebook_retravaill!A1411</f>
        <v>2040</v>
      </c>
      <c r="B1411" t="str">
        <f>Result_notebook_retravaill!B1411</f>
        <v>Nickel</v>
      </c>
      <c r="C1411" t="str">
        <f>Result_notebook_retravaill!C1411</f>
        <v>Global Net-zero</v>
      </c>
      <c r="D1411" t="str">
        <f>Result_notebook_retravaill!D1411</f>
        <v>Production potential</v>
      </c>
      <c r="E1411" t="str">
        <f>Result_notebook_retravaill!E1411</f>
        <v>100% CAN</v>
      </c>
      <c r="F1411" t="str">
        <f>Result_notebook_retravaill!F1411</f>
        <v>Integrated</v>
      </c>
      <c r="G1411">
        <f>Result_notebook_retravaill!G1411</f>
        <v>194473.94809899441</v>
      </c>
      <c r="H1411" s="32">
        <f>IF(Result_notebook_retravaill!I1411&gt;Result_notebook_retravaill!G1411,Result_notebook_retravaill!I1411/Result_notebook_retravaill!N1411,Result_notebook_retravaill!H1411)</f>
        <v>317794.42936188669</v>
      </c>
      <c r="I1411" s="32">
        <f>Result_notebook_retravaill!K1411</f>
        <v>0</v>
      </c>
      <c r="J1411" s="32">
        <f>MIN(G1411,Result_notebook_retravaill!I1411)</f>
        <v>194473.94809899441</v>
      </c>
      <c r="K1411" s="32">
        <f>IF(Result_notebook_retravaill!I1411&gt;Result_notebook_retravaill!G1411,0,IF(Result_notebook_retravaill!I1411+Result_notebook_retravaill!J1411&gt;Result_notebook_retravaill!G1411,Result_notebook_retravaill!G1411-Result_notebook_retravaill!I1411,Result_notebook_retravaill!J1411))</f>
        <v>0</v>
      </c>
      <c r="L1411" s="32">
        <f>IF(Result_notebook_retravaill!I1411&gt;Result_notebook_retravaill!G1411,0,IF(Result_notebook_retravaill!I1411+Result_notebook_retravaill!J1411&gt;Result_notebook_retravaill!G1411,0,Result_notebook_retravaill!M1411))</f>
        <v>0</v>
      </c>
      <c r="M1411" s="31">
        <f t="shared" ref="M1411:M1441" si="22">SUM(J1411:L1411)-G1411</f>
        <v>0</v>
      </c>
    </row>
    <row r="1412" spans="1:13" x14ac:dyDescent="0.35">
      <c r="A1412">
        <f>Result_notebook_retravaill!A1412</f>
        <v>2040</v>
      </c>
      <c r="B1412" t="str">
        <f>Result_notebook_retravaill!B1412</f>
        <v>Graphite</v>
      </c>
      <c r="C1412" t="str">
        <f>Result_notebook_retravaill!C1412</f>
        <v>Canada Net-zero</v>
      </c>
      <c r="D1412" t="str">
        <f>Result_notebook_retravaill!D1412</f>
        <v>Existing production</v>
      </c>
      <c r="E1412" t="str">
        <f>Result_notebook_retravaill!E1412</f>
        <v>Current shares</v>
      </c>
      <c r="F1412" t="str">
        <f>Result_notebook_retravaill!F1412</f>
        <v>NIMBY</v>
      </c>
      <c r="G1412">
        <f>Result_notebook_retravaill!G1412</f>
        <v>3008.0333095996998</v>
      </c>
      <c r="H1412" s="32">
        <f>IF(Result_notebook_retravaill!I1412&gt;Result_notebook_retravaill!G1412,Result_notebook_retravaill!I1412/Result_notebook_retravaill!N1412,Result_notebook_retravaill!H1412)</f>
        <v>0</v>
      </c>
      <c r="I1412" s="32">
        <f>Result_notebook_retravaill!K1412</f>
        <v>3008.0333095996998</v>
      </c>
      <c r="J1412" s="32">
        <f>MIN(G1412,Result_notebook_retravaill!I1412)</f>
        <v>0</v>
      </c>
      <c r="K1412" s="32">
        <f>IF(Result_notebook_retravaill!I1412&gt;Result_notebook_retravaill!G1412,0,IF(Result_notebook_retravaill!I1412+Result_notebook_retravaill!J1412&gt;Result_notebook_retravaill!G1412,Result_notebook_retravaill!G1412-Result_notebook_retravaill!I1412,Result_notebook_retravaill!J1412))</f>
        <v>0</v>
      </c>
      <c r="L1412" s="32">
        <f>IF(Result_notebook_retravaill!I1412&gt;Result_notebook_retravaill!G1412,0,IF(Result_notebook_retravaill!I1412+Result_notebook_retravaill!J1412&gt;Result_notebook_retravaill!G1412,0,Result_notebook_retravaill!M1412))</f>
        <v>3008.0333095996998</v>
      </c>
      <c r="M1412" s="31">
        <f t="shared" si="22"/>
        <v>0</v>
      </c>
    </row>
    <row r="1413" spans="1:13" x14ac:dyDescent="0.35">
      <c r="A1413">
        <f>Result_notebook_retravaill!A1413</f>
        <v>2040</v>
      </c>
      <c r="B1413" t="str">
        <f>Result_notebook_retravaill!B1413</f>
        <v>Graphite</v>
      </c>
      <c r="C1413" t="str">
        <f>Result_notebook_retravaill!C1413</f>
        <v>Canada Net-zero</v>
      </c>
      <c r="D1413" t="str">
        <f>Result_notebook_retravaill!D1413</f>
        <v>Existing production</v>
      </c>
      <c r="E1413" t="str">
        <f>Result_notebook_retravaill!E1413</f>
        <v>Current shares</v>
      </c>
      <c r="F1413" t="str">
        <f>Result_notebook_retravaill!F1413</f>
        <v>Status Quo</v>
      </c>
      <c r="G1413">
        <f>Result_notebook_retravaill!G1413</f>
        <v>3008.0333095996998</v>
      </c>
      <c r="H1413" s="32">
        <f>IF(Result_notebook_retravaill!I1413&gt;Result_notebook_retravaill!G1413,Result_notebook_retravaill!I1413/Result_notebook_retravaill!N1413,Result_notebook_retravaill!H1413)</f>
        <v>0</v>
      </c>
      <c r="I1413" s="32">
        <f>Result_notebook_retravaill!K1413</f>
        <v>3008.0333095996998</v>
      </c>
      <c r="J1413" s="32">
        <f>MIN(G1413,Result_notebook_retravaill!I1413)</f>
        <v>0</v>
      </c>
      <c r="K1413" s="32">
        <f>IF(Result_notebook_retravaill!I1413&gt;Result_notebook_retravaill!G1413,0,IF(Result_notebook_retravaill!I1413+Result_notebook_retravaill!J1413&gt;Result_notebook_retravaill!G1413,Result_notebook_retravaill!G1413-Result_notebook_retravaill!I1413,Result_notebook_retravaill!J1413))</f>
        <v>0</v>
      </c>
      <c r="L1413" s="32">
        <f>IF(Result_notebook_retravaill!I1413&gt;Result_notebook_retravaill!G1413,0,IF(Result_notebook_retravaill!I1413+Result_notebook_retravaill!J1413&gt;Result_notebook_retravaill!G1413,0,Result_notebook_retravaill!M1413))</f>
        <v>3008.0333095996998</v>
      </c>
      <c r="M1413" s="31">
        <f t="shared" si="22"/>
        <v>0</v>
      </c>
    </row>
    <row r="1414" spans="1:13" x14ac:dyDescent="0.35">
      <c r="A1414">
        <f>Result_notebook_retravaill!A1414</f>
        <v>2040</v>
      </c>
      <c r="B1414" t="str">
        <f>Result_notebook_retravaill!B1414</f>
        <v>Graphite</v>
      </c>
      <c r="C1414" t="str">
        <f>Result_notebook_retravaill!C1414</f>
        <v>Canada Net-zero</v>
      </c>
      <c r="D1414" t="str">
        <f>Result_notebook_retravaill!D1414</f>
        <v>Production potential</v>
      </c>
      <c r="E1414" t="str">
        <f>Result_notebook_retravaill!E1414</f>
        <v>Current shares</v>
      </c>
      <c r="F1414" t="str">
        <f>Result_notebook_retravaill!F1414</f>
        <v>Expansion Extractive</v>
      </c>
      <c r="G1414">
        <f>Result_notebook_retravaill!G1414</f>
        <v>3008.0333095996998</v>
      </c>
      <c r="H1414" s="32">
        <f>IF(Result_notebook_retravaill!I1414&gt;Result_notebook_retravaill!G1414,Result_notebook_retravaill!I1414/Result_notebook_retravaill!N1414,Result_notebook_retravaill!H1414)</f>
        <v>220736.10314267522</v>
      </c>
      <c r="I1414" s="32">
        <f>Result_notebook_retravaill!K1414</f>
        <v>0</v>
      </c>
      <c r="J1414" s="32">
        <f>MIN(G1414,Result_notebook_retravaill!I1414)</f>
        <v>3008.0333095996998</v>
      </c>
      <c r="K1414" s="32">
        <f>IF(Result_notebook_retravaill!I1414&gt;Result_notebook_retravaill!G1414,0,IF(Result_notebook_retravaill!I1414+Result_notebook_retravaill!J1414&gt;Result_notebook_retravaill!G1414,Result_notebook_retravaill!G1414-Result_notebook_retravaill!I1414,Result_notebook_retravaill!J1414))</f>
        <v>0</v>
      </c>
      <c r="L1414" s="32">
        <f>IF(Result_notebook_retravaill!I1414&gt;Result_notebook_retravaill!G1414,0,IF(Result_notebook_retravaill!I1414+Result_notebook_retravaill!J1414&gt;Result_notebook_retravaill!G1414,0,Result_notebook_retravaill!M1414))</f>
        <v>0</v>
      </c>
      <c r="M1414" s="31">
        <f t="shared" si="22"/>
        <v>0</v>
      </c>
    </row>
    <row r="1415" spans="1:13" x14ac:dyDescent="0.35">
      <c r="A1415">
        <f>Result_notebook_retravaill!A1415</f>
        <v>2040</v>
      </c>
      <c r="B1415" t="str">
        <f>Result_notebook_retravaill!B1415</f>
        <v>Graphite</v>
      </c>
      <c r="C1415" t="str">
        <f>Result_notebook_retravaill!C1415</f>
        <v>Canada Net-zero</v>
      </c>
      <c r="D1415" t="str">
        <f>Result_notebook_retravaill!D1415</f>
        <v>Production potential</v>
      </c>
      <c r="E1415" t="str">
        <f>Result_notebook_retravaill!E1415</f>
        <v>Current shares</v>
      </c>
      <c r="F1415" t="str">
        <f>Result_notebook_retravaill!F1415</f>
        <v>Expansion Extractive+Circularity</v>
      </c>
      <c r="G1415">
        <f>Result_notebook_retravaill!G1415</f>
        <v>3008.0333095996998</v>
      </c>
      <c r="H1415" s="32">
        <f>IF(Result_notebook_retravaill!I1415&gt;Result_notebook_retravaill!G1415,Result_notebook_retravaill!I1415/Result_notebook_retravaill!N1415,Result_notebook_retravaill!H1415)</f>
        <v>220736.10314267522</v>
      </c>
      <c r="I1415" s="32">
        <f>Result_notebook_retravaill!K1415</f>
        <v>0</v>
      </c>
      <c r="J1415" s="32">
        <f>MIN(G1415,Result_notebook_retravaill!I1415)</f>
        <v>3008.0333095996998</v>
      </c>
      <c r="K1415" s="32">
        <f>IF(Result_notebook_retravaill!I1415&gt;Result_notebook_retravaill!G1415,0,IF(Result_notebook_retravaill!I1415+Result_notebook_retravaill!J1415&gt;Result_notebook_retravaill!G1415,Result_notebook_retravaill!G1415-Result_notebook_retravaill!I1415,Result_notebook_retravaill!J1415))</f>
        <v>0</v>
      </c>
      <c r="L1415" s="32">
        <f>IF(Result_notebook_retravaill!I1415&gt;Result_notebook_retravaill!G1415,0,IF(Result_notebook_retravaill!I1415+Result_notebook_retravaill!J1415&gt;Result_notebook_retravaill!G1415,0,Result_notebook_retravaill!M1415))</f>
        <v>0</v>
      </c>
      <c r="M1415" s="31">
        <f t="shared" si="22"/>
        <v>0</v>
      </c>
    </row>
    <row r="1416" spans="1:13" x14ac:dyDescent="0.35">
      <c r="A1416">
        <f>Result_notebook_retravaill!A1416</f>
        <v>2040</v>
      </c>
      <c r="B1416" t="str">
        <f>Result_notebook_retravaill!B1416</f>
        <v>Graphite</v>
      </c>
      <c r="C1416" t="str">
        <f>Result_notebook_retravaill!C1416</f>
        <v>Canada Net-zero</v>
      </c>
      <c r="D1416" t="str">
        <f>Result_notebook_retravaill!D1416</f>
        <v>Production potential</v>
      </c>
      <c r="E1416" t="str">
        <f>Result_notebook_retravaill!E1416</f>
        <v>100% CAN</v>
      </c>
      <c r="F1416" t="str">
        <f>Result_notebook_retravaill!F1416</f>
        <v>Integrated</v>
      </c>
      <c r="G1416">
        <f>Result_notebook_retravaill!G1416</f>
        <v>3008.0333095996998</v>
      </c>
      <c r="H1416" s="32">
        <f>IF(Result_notebook_retravaill!I1416&gt;Result_notebook_retravaill!G1416,Result_notebook_retravaill!I1416/Result_notebook_retravaill!N1416,Result_notebook_retravaill!H1416)</f>
        <v>220736.10314267522</v>
      </c>
      <c r="I1416" s="32">
        <f>Result_notebook_retravaill!K1416</f>
        <v>0</v>
      </c>
      <c r="J1416" s="32">
        <f>MIN(G1416,Result_notebook_retravaill!I1416)</f>
        <v>3008.0333095996998</v>
      </c>
      <c r="K1416" s="32">
        <f>IF(Result_notebook_retravaill!I1416&gt;Result_notebook_retravaill!G1416,0,IF(Result_notebook_retravaill!I1416+Result_notebook_retravaill!J1416&gt;Result_notebook_retravaill!G1416,Result_notebook_retravaill!G1416-Result_notebook_retravaill!I1416,Result_notebook_retravaill!J1416))</f>
        <v>0</v>
      </c>
      <c r="L1416" s="32">
        <f>IF(Result_notebook_retravaill!I1416&gt;Result_notebook_retravaill!G1416,0,IF(Result_notebook_retravaill!I1416+Result_notebook_retravaill!J1416&gt;Result_notebook_retravaill!G1416,0,Result_notebook_retravaill!M1416))</f>
        <v>0</v>
      </c>
      <c r="M1416" s="31">
        <f t="shared" si="22"/>
        <v>0</v>
      </c>
    </row>
    <row r="1417" spans="1:13" x14ac:dyDescent="0.35">
      <c r="A1417">
        <f>Result_notebook_retravaill!A1417</f>
        <v>2040</v>
      </c>
      <c r="B1417" t="str">
        <f>Result_notebook_retravaill!B1417</f>
        <v>Graphite</v>
      </c>
      <c r="C1417" t="str">
        <f>Result_notebook_retravaill!C1417</f>
        <v>Current Measures</v>
      </c>
      <c r="D1417" t="str">
        <f>Result_notebook_retravaill!D1417</f>
        <v>Existing production</v>
      </c>
      <c r="E1417" t="str">
        <f>Result_notebook_retravaill!E1417</f>
        <v>Current shares</v>
      </c>
      <c r="F1417" t="str">
        <f>Result_notebook_retravaill!F1417</f>
        <v>NIMBY</v>
      </c>
      <c r="G1417">
        <f>Result_notebook_retravaill!G1417</f>
        <v>1109.6184755436821</v>
      </c>
      <c r="H1417" s="32">
        <f>IF(Result_notebook_retravaill!I1417&gt;Result_notebook_retravaill!G1417,Result_notebook_retravaill!I1417/Result_notebook_retravaill!N1417,Result_notebook_retravaill!H1417)</f>
        <v>0</v>
      </c>
      <c r="I1417" s="32">
        <f>Result_notebook_retravaill!K1417</f>
        <v>1109.6184755436821</v>
      </c>
      <c r="J1417" s="32">
        <f>MIN(G1417,Result_notebook_retravaill!I1417)</f>
        <v>0</v>
      </c>
      <c r="K1417" s="32">
        <f>IF(Result_notebook_retravaill!I1417&gt;Result_notebook_retravaill!G1417,0,IF(Result_notebook_retravaill!I1417+Result_notebook_retravaill!J1417&gt;Result_notebook_retravaill!G1417,Result_notebook_retravaill!G1417-Result_notebook_retravaill!I1417,Result_notebook_retravaill!J1417))</f>
        <v>0</v>
      </c>
      <c r="L1417" s="32">
        <f>IF(Result_notebook_retravaill!I1417&gt;Result_notebook_retravaill!G1417,0,IF(Result_notebook_retravaill!I1417+Result_notebook_retravaill!J1417&gt;Result_notebook_retravaill!G1417,0,Result_notebook_retravaill!M1417))</f>
        <v>1109.6184755436821</v>
      </c>
      <c r="M1417" s="31">
        <f t="shared" si="22"/>
        <v>0</v>
      </c>
    </row>
    <row r="1418" spans="1:13" x14ac:dyDescent="0.35">
      <c r="A1418">
        <f>Result_notebook_retravaill!A1418</f>
        <v>2040</v>
      </c>
      <c r="B1418" t="str">
        <f>Result_notebook_retravaill!B1418</f>
        <v>Graphite</v>
      </c>
      <c r="C1418" t="str">
        <f>Result_notebook_retravaill!C1418</f>
        <v>Current Measures</v>
      </c>
      <c r="D1418" t="str">
        <f>Result_notebook_retravaill!D1418</f>
        <v>Existing production</v>
      </c>
      <c r="E1418" t="str">
        <f>Result_notebook_retravaill!E1418</f>
        <v>Current shares</v>
      </c>
      <c r="F1418" t="str">
        <f>Result_notebook_retravaill!F1418</f>
        <v>Status Quo</v>
      </c>
      <c r="G1418">
        <f>Result_notebook_retravaill!G1418</f>
        <v>1109.6184755436821</v>
      </c>
      <c r="H1418" s="32">
        <f>IF(Result_notebook_retravaill!I1418&gt;Result_notebook_retravaill!G1418,Result_notebook_retravaill!I1418/Result_notebook_retravaill!N1418,Result_notebook_retravaill!H1418)</f>
        <v>0</v>
      </c>
      <c r="I1418" s="32">
        <f>Result_notebook_retravaill!K1418</f>
        <v>1109.6184755436821</v>
      </c>
      <c r="J1418" s="32">
        <f>MIN(G1418,Result_notebook_retravaill!I1418)</f>
        <v>0</v>
      </c>
      <c r="K1418" s="32">
        <f>IF(Result_notebook_retravaill!I1418&gt;Result_notebook_retravaill!G1418,0,IF(Result_notebook_retravaill!I1418+Result_notebook_retravaill!J1418&gt;Result_notebook_retravaill!G1418,Result_notebook_retravaill!G1418-Result_notebook_retravaill!I1418,Result_notebook_retravaill!J1418))</f>
        <v>0</v>
      </c>
      <c r="L1418" s="32">
        <f>IF(Result_notebook_retravaill!I1418&gt;Result_notebook_retravaill!G1418,0,IF(Result_notebook_retravaill!I1418+Result_notebook_retravaill!J1418&gt;Result_notebook_retravaill!G1418,0,Result_notebook_retravaill!M1418))</f>
        <v>1109.6184755436821</v>
      </c>
      <c r="M1418" s="31">
        <f t="shared" si="22"/>
        <v>0</v>
      </c>
    </row>
    <row r="1419" spans="1:13" x14ac:dyDescent="0.35">
      <c r="A1419">
        <f>Result_notebook_retravaill!A1419</f>
        <v>2040</v>
      </c>
      <c r="B1419" t="str">
        <f>Result_notebook_retravaill!B1419</f>
        <v>Graphite</v>
      </c>
      <c r="C1419" t="str">
        <f>Result_notebook_retravaill!C1419</f>
        <v>Current Measures</v>
      </c>
      <c r="D1419" t="str">
        <f>Result_notebook_retravaill!D1419</f>
        <v>Production potential</v>
      </c>
      <c r="E1419" t="str">
        <f>Result_notebook_retravaill!E1419</f>
        <v>Current shares</v>
      </c>
      <c r="F1419" t="str">
        <f>Result_notebook_retravaill!F1419</f>
        <v>Expansion Extractive</v>
      </c>
      <c r="G1419">
        <f>Result_notebook_retravaill!G1419</f>
        <v>1109.6184755436821</v>
      </c>
      <c r="H1419" s="32">
        <f>IF(Result_notebook_retravaill!I1419&gt;Result_notebook_retravaill!G1419,Result_notebook_retravaill!I1419/Result_notebook_retravaill!N1419,Result_notebook_retravaill!H1419)</f>
        <v>220736.10314267522</v>
      </c>
      <c r="I1419" s="32">
        <f>Result_notebook_retravaill!K1419</f>
        <v>0</v>
      </c>
      <c r="J1419" s="32">
        <f>MIN(G1419,Result_notebook_retravaill!I1419)</f>
        <v>1109.6184755436821</v>
      </c>
      <c r="K1419" s="32">
        <f>IF(Result_notebook_retravaill!I1419&gt;Result_notebook_retravaill!G1419,0,IF(Result_notebook_retravaill!I1419+Result_notebook_retravaill!J1419&gt;Result_notebook_retravaill!G1419,Result_notebook_retravaill!G1419-Result_notebook_retravaill!I1419,Result_notebook_retravaill!J1419))</f>
        <v>0</v>
      </c>
      <c r="L1419" s="32">
        <f>IF(Result_notebook_retravaill!I1419&gt;Result_notebook_retravaill!G1419,0,IF(Result_notebook_retravaill!I1419+Result_notebook_retravaill!J1419&gt;Result_notebook_retravaill!G1419,0,Result_notebook_retravaill!M1419))</f>
        <v>0</v>
      </c>
      <c r="M1419" s="31">
        <f t="shared" si="22"/>
        <v>0</v>
      </c>
    </row>
    <row r="1420" spans="1:13" x14ac:dyDescent="0.35">
      <c r="A1420">
        <f>Result_notebook_retravaill!A1420</f>
        <v>2040</v>
      </c>
      <c r="B1420" t="str">
        <f>Result_notebook_retravaill!B1420</f>
        <v>Graphite</v>
      </c>
      <c r="C1420" t="str">
        <f>Result_notebook_retravaill!C1420</f>
        <v>Current Measures</v>
      </c>
      <c r="D1420" t="str">
        <f>Result_notebook_retravaill!D1420</f>
        <v>Production potential</v>
      </c>
      <c r="E1420" t="str">
        <f>Result_notebook_retravaill!E1420</f>
        <v>Current shares</v>
      </c>
      <c r="F1420" t="str">
        <f>Result_notebook_retravaill!F1420</f>
        <v>Expansion Extractive+Circularity</v>
      </c>
      <c r="G1420">
        <f>Result_notebook_retravaill!G1420</f>
        <v>1109.6184755436821</v>
      </c>
      <c r="H1420" s="32">
        <f>IF(Result_notebook_retravaill!I1420&gt;Result_notebook_retravaill!G1420,Result_notebook_retravaill!I1420/Result_notebook_retravaill!N1420,Result_notebook_retravaill!H1420)</f>
        <v>220736.10314267522</v>
      </c>
      <c r="I1420" s="32">
        <f>Result_notebook_retravaill!K1420</f>
        <v>0</v>
      </c>
      <c r="J1420" s="32">
        <f>MIN(G1420,Result_notebook_retravaill!I1420)</f>
        <v>1109.6184755436821</v>
      </c>
      <c r="K1420" s="32">
        <f>IF(Result_notebook_retravaill!I1420&gt;Result_notebook_retravaill!G1420,0,IF(Result_notebook_retravaill!I1420+Result_notebook_retravaill!J1420&gt;Result_notebook_retravaill!G1420,Result_notebook_retravaill!G1420-Result_notebook_retravaill!I1420,Result_notebook_retravaill!J1420))</f>
        <v>0</v>
      </c>
      <c r="L1420" s="32">
        <f>IF(Result_notebook_retravaill!I1420&gt;Result_notebook_retravaill!G1420,0,IF(Result_notebook_retravaill!I1420+Result_notebook_retravaill!J1420&gt;Result_notebook_retravaill!G1420,0,Result_notebook_retravaill!M1420))</f>
        <v>0</v>
      </c>
      <c r="M1420" s="31">
        <f t="shared" si="22"/>
        <v>0</v>
      </c>
    </row>
    <row r="1421" spans="1:13" x14ac:dyDescent="0.35">
      <c r="A1421">
        <f>Result_notebook_retravaill!A1421</f>
        <v>2040</v>
      </c>
      <c r="B1421" t="str">
        <f>Result_notebook_retravaill!B1421</f>
        <v>Graphite</v>
      </c>
      <c r="C1421" t="str">
        <f>Result_notebook_retravaill!C1421</f>
        <v>Current Measures</v>
      </c>
      <c r="D1421" t="str">
        <f>Result_notebook_retravaill!D1421</f>
        <v>Production potential</v>
      </c>
      <c r="E1421" t="str">
        <f>Result_notebook_retravaill!E1421</f>
        <v>100% CAN</v>
      </c>
      <c r="F1421" t="str">
        <f>Result_notebook_retravaill!F1421</f>
        <v>Integrated</v>
      </c>
      <c r="G1421">
        <f>Result_notebook_retravaill!G1421</f>
        <v>1109.6184755436821</v>
      </c>
      <c r="H1421" s="32">
        <f>IF(Result_notebook_retravaill!I1421&gt;Result_notebook_retravaill!G1421,Result_notebook_retravaill!I1421/Result_notebook_retravaill!N1421,Result_notebook_retravaill!H1421)</f>
        <v>220736.10314267522</v>
      </c>
      <c r="I1421" s="32">
        <f>Result_notebook_retravaill!K1421</f>
        <v>0</v>
      </c>
      <c r="J1421" s="32">
        <f>MIN(G1421,Result_notebook_retravaill!I1421)</f>
        <v>1109.6184755436821</v>
      </c>
      <c r="K1421" s="32">
        <f>IF(Result_notebook_retravaill!I1421&gt;Result_notebook_retravaill!G1421,0,IF(Result_notebook_retravaill!I1421+Result_notebook_retravaill!J1421&gt;Result_notebook_retravaill!G1421,Result_notebook_retravaill!G1421-Result_notebook_retravaill!I1421,Result_notebook_retravaill!J1421))</f>
        <v>0</v>
      </c>
      <c r="L1421" s="32">
        <f>IF(Result_notebook_retravaill!I1421&gt;Result_notebook_retravaill!G1421,0,IF(Result_notebook_retravaill!I1421+Result_notebook_retravaill!J1421&gt;Result_notebook_retravaill!G1421,0,Result_notebook_retravaill!M1421))</f>
        <v>0</v>
      </c>
      <c r="M1421" s="31">
        <f t="shared" si="22"/>
        <v>0</v>
      </c>
    </row>
    <row r="1422" spans="1:13" x14ac:dyDescent="0.35">
      <c r="A1422">
        <f>Result_notebook_retravaill!A1422</f>
        <v>2040</v>
      </c>
      <c r="B1422" t="str">
        <f>Result_notebook_retravaill!B1422</f>
        <v>Graphite</v>
      </c>
      <c r="C1422" t="str">
        <f>Result_notebook_retravaill!C1422</f>
        <v>Global Net-zero</v>
      </c>
      <c r="D1422" t="str">
        <f>Result_notebook_retravaill!D1422</f>
        <v>Existing production</v>
      </c>
      <c r="E1422" t="str">
        <f>Result_notebook_retravaill!E1422</f>
        <v>Current shares</v>
      </c>
      <c r="F1422" t="str">
        <f>Result_notebook_retravaill!F1422</f>
        <v>NIMBY</v>
      </c>
      <c r="G1422">
        <f>Result_notebook_retravaill!G1422</f>
        <v>2865.2791135592711</v>
      </c>
      <c r="H1422" s="32">
        <f>IF(Result_notebook_retravaill!I1422&gt;Result_notebook_retravaill!G1422,Result_notebook_retravaill!I1422/Result_notebook_retravaill!N1422,Result_notebook_retravaill!H1422)</f>
        <v>0</v>
      </c>
      <c r="I1422" s="32">
        <f>Result_notebook_retravaill!K1422</f>
        <v>2865.2791135592711</v>
      </c>
      <c r="J1422" s="32">
        <f>MIN(G1422,Result_notebook_retravaill!I1422)</f>
        <v>0</v>
      </c>
      <c r="K1422" s="32">
        <f>IF(Result_notebook_retravaill!I1422&gt;Result_notebook_retravaill!G1422,0,IF(Result_notebook_retravaill!I1422+Result_notebook_retravaill!J1422&gt;Result_notebook_retravaill!G1422,Result_notebook_retravaill!G1422-Result_notebook_retravaill!I1422,Result_notebook_retravaill!J1422))</f>
        <v>0</v>
      </c>
      <c r="L1422" s="32">
        <f>IF(Result_notebook_retravaill!I1422&gt;Result_notebook_retravaill!G1422,0,IF(Result_notebook_retravaill!I1422+Result_notebook_retravaill!J1422&gt;Result_notebook_retravaill!G1422,0,Result_notebook_retravaill!M1422))</f>
        <v>2865.2791135592711</v>
      </c>
      <c r="M1422" s="31">
        <f t="shared" si="22"/>
        <v>0</v>
      </c>
    </row>
    <row r="1423" spans="1:13" x14ac:dyDescent="0.35">
      <c r="A1423">
        <f>Result_notebook_retravaill!A1423</f>
        <v>2040</v>
      </c>
      <c r="B1423" t="str">
        <f>Result_notebook_retravaill!B1423</f>
        <v>Graphite</v>
      </c>
      <c r="C1423" t="str">
        <f>Result_notebook_retravaill!C1423</f>
        <v>Global Net-zero</v>
      </c>
      <c r="D1423" t="str">
        <f>Result_notebook_retravaill!D1423</f>
        <v>Existing production</v>
      </c>
      <c r="E1423" t="str">
        <f>Result_notebook_retravaill!E1423</f>
        <v>Current shares</v>
      </c>
      <c r="F1423" t="str">
        <f>Result_notebook_retravaill!F1423</f>
        <v>Status Quo</v>
      </c>
      <c r="G1423">
        <f>Result_notebook_retravaill!G1423</f>
        <v>2865.2791135592711</v>
      </c>
      <c r="H1423" s="32">
        <f>IF(Result_notebook_retravaill!I1423&gt;Result_notebook_retravaill!G1423,Result_notebook_retravaill!I1423/Result_notebook_retravaill!N1423,Result_notebook_retravaill!H1423)</f>
        <v>0</v>
      </c>
      <c r="I1423" s="32">
        <f>Result_notebook_retravaill!K1423</f>
        <v>2865.2791135592711</v>
      </c>
      <c r="J1423" s="32">
        <f>MIN(G1423,Result_notebook_retravaill!I1423)</f>
        <v>0</v>
      </c>
      <c r="K1423" s="32">
        <f>IF(Result_notebook_retravaill!I1423&gt;Result_notebook_retravaill!G1423,0,IF(Result_notebook_retravaill!I1423+Result_notebook_retravaill!J1423&gt;Result_notebook_retravaill!G1423,Result_notebook_retravaill!G1423-Result_notebook_retravaill!I1423,Result_notebook_retravaill!J1423))</f>
        <v>0</v>
      </c>
      <c r="L1423" s="32">
        <f>IF(Result_notebook_retravaill!I1423&gt;Result_notebook_retravaill!G1423,0,IF(Result_notebook_retravaill!I1423+Result_notebook_retravaill!J1423&gt;Result_notebook_retravaill!G1423,0,Result_notebook_retravaill!M1423))</f>
        <v>2865.2791135592711</v>
      </c>
      <c r="M1423" s="31">
        <f t="shared" si="22"/>
        <v>0</v>
      </c>
    </row>
    <row r="1424" spans="1:13" x14ac:dyDescent="0.35">
      <c r="A1424">
        <f>Result_notebook_retravaill!A1424</f>
        <v>2040</v>
      </c>
      <c r="B1424" t="str">
        <f>Result_notebook_retravaill!B1424</f>
        <v>Graphite</v>
      </c>
      <c r="C1424" t="str">
        <f>Result_notebook_retravaill!C1424</f>
        <v>Global Net-zero</v>
      </c>
      <c r="D1424" t="str">
        <f>Result_notebook_retravaill!D1424</f>
        <v>Production potential</v>
      </c>
      <c r="E1424" t="str">
        <f>Result_notebook_retravaill!E1424</f>
        <v>Current shares</v>
      </c>
      <c r="F1424" t="str">
        <f>Result_notebook_retravaill!F1424</f>
        <v>Expansion Extractive</v>
      </c>
      <c r="G1424">
        <f>Result_notebook_retravaill!G1424</f>
        <v>2865.2791135592711</v>
      </c>
      <c r="H1424" s="32">
        <f>IF(Result_notebook_retravaill!I1424&gt;Result_notebook_retravaill!G1424,Result_notebook_retravaill!I1424/Result_notebook_retravaill!N1424,Result_notebook_retravaill!H1424)</f>
        <v>220736.10314267522</v>
      </c>
      <c r="I1424" s="32">
        <f>Result_notebook_retravaill!K1424</f>
        <v>0</v>
      </c>
      <c r="J1424" s="32">
        <f>MIN(G1424,Result_notebook_retravaill!I1424)</f>
        <v>2865.2791135592711</v>
      </c>
      <c r="K1424" s="32">
        <f>IF(Result_notebook_retravaill!I1424&gt;Result_notebook_retravaill!G1424,0,IF(Result_notebook_retravaill!I1424+Result_notebook_retravaill!J1424&gt;Result_notebook_retravaill!G1424,Result_notebook_retravaill!G1424-Result_notebook_retravaill!I1424,Result_notebook_retravaill!J1424))</f>
        <v>0</v>
      </c>
      <c r="L1424" s="32">
        <f>IF(Result_notebook_retravaill!I1424&gt;Result_notebook_retravaill!G1424,0,IF(Result_notebook_retravaill!I1424+Result_notebook_retravaill!J1424&gt;Result_notebook_retravaill!G1424,0,Result_notebook_retravaill!M1424))</f>
        <v>0</v>
      </c>
      <c r="M1424" s="31">
        <f t="shared" si="22"/>
        <v>0</v>
      </c>
    </row>
    <row r="1425" spans="1:13" x14ac:dyDescent="0.35">
      <c r="A1425">
        <f>Result_notebook_retravaill!A1425</f>
        <v>2040</v>
      </c>
      <c r="B1425" t="str">
        <f>Result_notebook_retravaill!B1425</f>
        <v>Graphite</v>
      </c>
      <c r="C1425" t="str">
        <f>Result_notebook_retravaill!C1425</f>
        <v>Global Net-zero</v>
      </c>
      <c r="D1425" t="str">
        <f>Result_notebook_retravaill!D1425</f>
        <v>Production potential</v>
      </c>
      <c r="E1425" t="str">
        <f>Result_notebook_retravaill!E1425</f>
        <v>Current shares</v>
      </c>
      <c r="F1425" t="str">
        <f>Result_notebook_retravaill!F1425</f>
        <v>Expansion Extractive+Circularity</v>
      </c>
      <c r="G1425">
        <f>Result_notebook_retravaill!G1425</f>
        <v>2865.2791135592711</v>
      </c>
      <c r="H1425" s="32">
        <f>IF(Result_notebook_retravaill!I1425&gt;Result_notebook_retravaill!G1425,Result_notebook_retravaill!I1425/Result_notebook_retravaill!N1425,Result_notebook_retravaill!H1425)</f>
        <v>220736.10314267522</v>
      </c>
      <c r="I1425" s="32">
        <f>Result_notebook_retravaill!K1425</f>
        <v>0</v>
      </c>
      <c r="J1425" s="32">
        <f>MIN(G1425,Result_notebook_retravaill!I1425)</f>
        <v>2865.2791135592711</v>
      </c>
      <c r="K1425" s="32">
        <f>IF(Result_notebook_retravaill!I1425&gt;Result_notebook_retravaill!G1425,0,IF(Result_notebook_retravaill!I1425+Result_notebook_retravaill!J1425&gt;Result_notebook_retravaill!G1425,Result_notebook_retravaill!G1425-Result_notebook_retravaill!I1425,Result_notebook_retravaill!J1425))</f>
        <v>0</v>
      </c>
      <c r="L1425" s="32">
        <f>IF(Result_notebook_retravaill!I1425&gt;Result_notebook_retravaill!G1425,0,IF(Result_notebook_retravaill!I1425+Result_notebook_retravaill!J1425&gt;Result_notebook_retravaill!G1425,0,Result_notebook_retravaill!M1425))</f>
        <v>0</v>
      </c>
      <c r="M1425" s="31">
        <f t="shared" si="22"/>
        <v>0</v>
      </c>
    </row>
    <row r="1426" spans="1:13" x14ac:dyDescent="0.35">
      <c r="A1426">
        <f>Result_notebook_retravaill!A1426</f>
        <v>2040</v>
      </c>
      <c r="B1426" t="str">
        <f>Result_notebook_retravaill!B1426</f>
        <v>Graphite</v>
      </c>
      <c r="C1426" t="str">
        <f>Result_notebook_retravaill!C1426</f>
        <v>Global Net-zero</v>
      </c>
      <c r="D1426" t="str">
        <f>Result_notebook_retravaill!D1426</f>
        <v>Production potential</v>
      </c>
      <c r="E1426" t="str">
        <f>Result_notebook_retravaill!E1426</f>
        <v>100% CAN</v>
      </c>
      <c r="F1426" t="str">
        <f>Result_notebook_retravaill!F1426</f>
        <v>Integrated</v>
      </c>
      <c r="G1426">
        <f>Result_notebook_retravaill!G1426</f>
        <v>2865.2791135592711</v>
      </c>
      <c r="H1426" s="32">
        <f>IF(Result_notebook_retravaill!I1426&gt;Result_notebook_retravaill!G1426,Result_notebook_retravaill!I1426/Result_notebook_retravaill!N1426,Result_notebook_retravaill!H1426)</f>
        <v>220736.10314267522</v>
      </c>
      <c r="I1426" s="32">
        <f>Result_notebook_retravaill!K1426</f>
        <v>0</v>
      </c>
      <c r="J1426" s="32">
        <f>MIN(G1426,Result_notebook_retravaill!I1426)</f>
        <v>2865.2791135592711</v>
      </c>
      <c r="K1426" s="32">
        <f>IF(Result_notebook_retravaill!I1426&gt;Result_notebook_retravaill!G1426,0,IF(Result_notebook_retravaill!I1426+Result_notebook_retravaill!J1426&gt;Result_notebook_retravaill!G1426,Result_notebook_retravaill!G1426-Result_notebook_retravaill!I1426,Result_notebook_retravaill!J1426))</f>
        <v>0</v>
      </c>
      <c r="L1426" s="32">
        <f>IF(Result_notebook_retravaill!I1426&gt;Result_notebook_retravaill!G1426,0,IF(Result_notebook_retravaill!I1426+Result_notebook_retravaill!J1426&gt;Result_notebook_retravaill!G1426,0,Result_notebook_retravaill!M1426))</f>
        <v>0</v>
      </c>
      <c r="M1426" s="31">
        <f t="shared" si="22"/>
        <v>0</v>
      </c>
    </row>
    <row r="1427" spans="1:13" x14ac:dyDescent="0.35">
      <c r="A1427">
        <f>Result_notebook_retravaill!A1427</f>
        <v>2040</v>
      </c>
      <c r="B1427" t="str">
        <f>Result_notebook_retravaill!B1427</f>
        <v>Lithium</v>
      </c>
      <c r="C1427" t="str">
        <f>Result_notebook_retravaill!C1427</f>
        <v>Canada Net-zero</v>
      </c>
      <c r="D1427" t="str">
        <f>Result_notebook_retravaill!D1427</f>
        <v>Existing production</v>
      </c>
      <c r="E1427" t="str">
        <f>Result_notebook_retravaill!E1427</f>
        <v>Current shares</v>
      </c>
      <c r="F1427" t="str">
        <f>Result_notebook_retravaill!F1427</f>
        <v>NIMBY</v>
      </c>
      <c r="G1427">
        <f>Result_notebook_retravaill!G1427</f>
        <v>86988.213251106645</v>
      </c>
      <c r="H1427" s="32">
        <f>IF(Result_notebook_retravaill!I1427&gt;Result_notebook_retravaill!G1427,Result_notebook_retravaill!I1427/Result_notebook_retravaill!N1427,Result_notebook_retravaill!H1427)</f>
        <v>0</v>
      </c>
      <c r="I1427" s="32">
        <f>Result_notebook_retravaill!K1427</f>
        <v>124268.87607300949</v>
      </c>
      <c r="J1427" s="32">
        <f>MIN(G1427,Result_notebook_retravaill!I1427)</f>
        <v>0</v>
      </c>
      <c r="K1427" s="32">
        <f>IF(Result_notebook_retravaill!I1427&gt;Result_notebook_retravaill!G1427,0,IF(Result_notebook_retravaill!I1427+Result_notebook_retravaill!J1427&gt;Result_notebook_retravaill!G1427,Result_notebook_retravaill!G1427-Result_notebook_retravaill!I1427,Result_notebook_retravaill!J1427))</f>
        <v>0</v>
      </c>
      <c r="L1427" s="32">
        <f>IF(Result_notebook_retravaill!I1427&gt;Result_notebook_retravaill!G1427,0,IF(Result_notebook_retravaill!I1427+Result_notebook_retravaill!J1427&gt;Result_notebook_retravaill!G1427,0,Result_notebook_retravaill!M1427))</f>
        <v>86988.213251106645</v>
      </c>
      <c r="M1427" s="31">
        <f t="shared" si="22"/>
        <v>0</v>
      </c>
    </row>
    <row r="1428" spans="1:13" x14ac:dyDescent="0.35">
      <c r="A1428">
        <f>Result_notebook_retravaill!A1428</f>
        <v>2040</v>
      </c>
      <c r="B1428" t="str">
        <f>Result_notebook_retravaill!B1428</f>
        <v>Lithium</v>
      </c>
      <c r="C1428" t="str">
        <f>Result_notebook_retravaill!C1428</f>
        <v>Canada Net-zero</v>
      </c>
      <c r="D1428" t="str">
        <f>Result_notebook_retravaill!D1428</f>
        <v>Existing production</v>
      </c>
      <c r="E1428" t="str">
        <f>Result_notebook_retravaill!E1428</f>
        <v>Current shares</v>
      </c>
      <c r="F1428" t="str">
        <f>Result_notebook_retravaill!F1428</f>
        <v>Status Quo</v>
      </c>
      <c r="G1428">
        <f>Result_notebook_retravaill!G1428</f>
        <v>86988.213251106645</v>
      </c>
      <c r="H1428" s="32">
        <f>IF(Result_notebook_retravaill!I1428&gt;Result_notebook_retravaill!G1428,Result_notebook_retravaill!I1428/Result_notebook_retravaill!N1428,Result_notebook_retravaill!H1428)</f>
        <v>42827</v>
      </c>
      <c r="I1428" s="32">
        <f>Result_notebook_retravaill!K1428</f>
        <v>81441.876073009495</v>
      </c>
      <c r="J1428" s="32">
        <f>MIN(G1428,Result_notebook_retravaill!I1428)</f>
        <v>29943.37375789979</v>
      </c>
      <c r="K1428" s="32">
        <f>IF(Result_notebook_retravaill!I1428&gt;Result_notebook_retravaill!G1428,0,IF(Result_notebook_retravaill!I1428+Result_notebook_retravaill!J1428&gt;Result_notebook_retravaill!G1428,Result_notebook_retravaill!G1428-Result_notebook_retravaill!I1428,Result_notebook_retravaill!J1428))</f>
        <v>3785.2440925087431</v>
      </c>
      <c r="L1428" s="32">
        <f>IF(Result_notebook_retravaill!I1428&gt;Result_notebook_retravaill!G1428,0,IF(Result_notebook_retravaill!I1428+Result_notebook_retravaill!J1428&gt;Result_notebook_retravaill!G1428,0,Result_notebook_retravaill!M1428))</f>
        <v>53259.595400698119</v>
      </c>
      <c r="M1428" s="31">
        <f t="shared" si="22"/>
        <v>0</v>
      </c>
    </row>
    <row r="1429" spans="1:13" x14ac:dyDescent="0.35">
      <c r="A1429">
        <f>Result_notebook_retravaill!A1429</f>
        <v>2040</v>
      </c>
      <c r="B1429" t="str">
        <f>Result_notebook_retravaill!B1429</f>
        <v>Lithium</v>
      </c>
      <c r="C1429" t="str">
        <f>Result_notebook_retravaill!C1429</f>
        <v>Canada Net-zero</v>
      </c>
      <c r="D1429" t="str">
        <f>Result_notebook_retravaill!D1429</f>
        <v>Production potential</v>
      </c>
      <c r="E1429" t="str">
        <f>Result_notebook_retravaill!E1429</f>
        <v>Current shares</v>
      </c>
      <c r="F1429" t="str">
        <f>Result_notebook_retravaill!F1429</f>
        <v>Expansion Extractive</v>
      </c>
      <c r="G1429">
        <f>Result_notebook_retravaill!G1429</f>
        <v>86988.213251106645</v>
      </c>
      <c r="H1429" s="32">
        <f>IF(Result_notebook_retravaill!I1429&gt;Result_notebook_retravaill!G1429,Result_notebook_retravaill!I1429/Result_notebook_retravaill!N1429,Result_notebook_retravaill!H1429)</f>
        <v>546434.99714327487</v>
      </c>
      <c r="I1429" s="32">
        <f>Result_notebook_retravaill!K1429</f>
        <v>0</v>
      </c>
      <c r="J1429" s="32">
        <f>MIN(G1429,Result_notebook_retravaill!I1429)</f>
        <v>86988.213251106645</v>
      </c>
      <c r="K1429" s="32">
        <f>IF(Result_notebook_retravaill!I1429&gt;Result_notebook_retravaill!G1429,0,IF(Result_notebook_retravaill!I1429+Result_notebook_retravaill!J1429&gt;Result_notebook_retravaill!G1429,Result_notebook_retravaill!G1429-Result_notebook_retravaill!I1429,Result_notebook_retravaill!J1429))</f>
        <v>0</v>
      </c>
      <c r="L1429" s="32">
        <f>IF(Result_notebook_retravaill!I1429&gt;Result_notebook_retravaill!G1429,0,IF(Result_notebook_retravaill!I1429+Result_notebook_retravaill!J1429&gt;Result_notebook_retravaill!G1429,0,Result_notebook_retravaill!M1429))</f>
        <v>0</v>
      </c>
      <c r="M1429" s="31">
        <f t="shared" si="22"/>
        <v>0</v>
      </c>
    </row>
    <row r="1430" spans="1:13" x14ac:dyDescent="0.35">
      <c r="A1430">
        <f>Result_notebook_retravaill!A1430</f>
        <v>2040</v>
      </c>
      <c r="B1430" t="str">
        <f>Result_notebook_retravaill!B1430</f>
        <v>Lithium</v>
      </c>
      <c r="C1430" t="str">
        <f>Result_notebook_retravaill!C1430</f>
        <v>Canada Net-zero</v>
      </c>
      <c r="D1430" t="str">
        <f>Result_notebook_retravaill!D1430</f>
        <v>Production potential</v>
      </c>
      <c r="E1430" t="str">
        <f>Result_notebook_retravaill!E1430</f>
        <v>Current shares</v>
      </c>
      <c r="F1430" t="str">
        <f>Result_notebook_retravaill!F1430</f>
        <v>Expansion Extractive+Circularity</v>
      </c>
      <c r="G1430">
        <f>Result_notebook_retravaill!G1430</f>
        <v>86988.213251106645</v>
      </c>
      <c r="H1430" s="32">
        <f>IF(Result_notebook_retravaill!I1430&gt;Result_notebook_retravaill!G1430,Result_notebook_retravaill!I1430/Result_notebook_retravaill!N1430,Result_notebook_retravaill!H1430)</f>
        <v>546434.99714327487</v>
      </c>
      <c r="I1430" s="32">
        <f>Result_notebook_retravaill!K1430</f>
        <v>0</v>
      </c>
      <c r="J1430" s="32">
        <f>MIN(G1430,Result_notebook_retravaill!I1430)</f>
        <v>86988.213251106645</v>
      </c>
      <c r="K1430" s="32">
        <f>IF(Result_notebook_retravaill!I1430&gt;Result_notebook_retravaill!G1430,0,IF(Result_notebook_retravaill!I1430+Result_notebook_retravaill!J1430&gt;Result_notebook_retravaill!G1430,Result_notebook_retravaill!G1430-Result_notebook_retravaill!I1430,Result_notebook_retravaill!J1430))</f>
        <v>0</v>
      </c>
      <c r="L1430" s="32">
        <f>IF(Result_notebook_retravaill!I1430&gt;Result_notebook_retravaill!G1430,0,IF(Result_notebook_retravaill!I1430+Result_notebook_retravaill!J1430&gt;Result_notebook_retravaill!G1430,0,Result_notebook_retravaill!M1430))</f>
        <v>0</v>
      </c>
      <c r="M1430" s="31">
        <f t="shared" si="22"/>
        <v>0</v>
      </c>
    </row>
    <row r="1431" spans="1:13" x14ac:dyDescent="0.35">
      <c r="A1431">
        <f>Result_notebook_retravaill!A1431</f>
        <v>2040</v>
      </c>
      <c r="B1431" t="str">
        <f>Result_notebook_retravaill!B1431</f>
        <v>Lithium</v>
      </c>
      <c r="C1431" t="str">
        <f>Result_notebook_retravaill!C1431</f>
        <v>Canada Net-zero</v>
      </c>
      <c r="D1431" t="str">
        <f>Result_notebook_retravaill!D1431</f>
        <v>Production potential</v>
      </c>
      <c r="E1431" t="str">
        <f>Result_notebook_retravaill!E1431</f>
        <v>100% CAN</v>
      </c>
      <c r="F1431" t="str">
        <f>Result_notebook_retravaill!F1431</f>
        <v>Integrated</v>
      </c>
      <c r="G1431">
        <f>Result_notebook_retravaill!G1431</f>
        <v>86988.213251106645</v>
      </c>
      <c r="H1431" s="32">
        <f>IF(Result_notebook_retravaill!I1431&gt;Result_notebook_retravaill!G1431,Result_notebook_retravaill!I1431/Result_notebook_retravaill!N1431,Result_notebook_retravaill!H1431)</f>
        <v>546434.99714327487</v>
      </c>
      <c r="I1431" s="32">
        <f>Result_notebook_retravaill!K1431</f>
        <v>0</v>
      </c>
      <c r="J1431" s="32">
        <f>MIN(G1431,Result_notebook_retravaill!I1431)</f>
        <v>86988.213251106645</v>
      </c>
      <c r="K1431" s="32">
        <f>IF(Result_notebook_retravaill!I1431&gt;Result_notebook_retravaill!G1431,0,IF(Result_notebook_retravaill!I1431+Result_notebook_retravaill!J1431&gt;Result_notebook_retravaill!G1431,Result_notebook_retravaill!G1431-Result_notebook_retravaill!I1431,Result_notebook_retravaill!J1431))</f>
        <v>0</v>
      </c>
      <c r="L1431" s="32">
        <f>IF(Result_notebook_retravaill!I1431&gt;Result_notebook_retravaill!G1431,0,IF(Result_notebook_retravaill!I1431+Result_notebook_retravaill!J1431&gt;Result_notebook_retravaill!G1431,0,Result_notebook_retravaill!M1431))</f>
        <v>0</v>
      </c>
      <c r="M1431" s="31">
        <f t="shared" si="22"/>
        <v>0</v>
      </c>
    </row>
    <row r="1432" spans="1:13" x14ac:dyDescent="0.35">
      <c r="A1432">
        <f>Result_notebook_retravaill!A1432</f>
        <v>2040</v>
      </c>
      <c r="B1432" t="str">
        <f>Result_notebook_retravaill!B1432</f>
        <v>Lithium</v>
      </c>
      <c r="C1432" t="str">
        <f>Result_notebook_retravaill!C1432</f>
        <v>Current Measures</v>
      </c>
      <c r="D1432" t="str">
        <f>Result_notebook_retravaill!D1432</f>
        <v>Existing production</v>
      </c>
      <c r="E1432" t="str">
        <f>Result_notebook_retravaill!E1432</f>
        <v>Current shares</v>
      </c>
      <c r="F1432" t="str">
        <f>Result_notebook_retravaill!F1432</f>
        <v>NIMBY</v>
      </c>
      <c r="G1432">
        <f>Result_notebook_retravaill!G1432</f>
        <v>32088.650172163962</v>
      </c>
      <c r="H1432" s="32">
        <f>IF(Result_notebook_retravaill!I1432&gt;Result_notebook_retravaill!G1432,Result_notebook_retravaill!I1432/Result_notebook_retravaill!N1432,Result_notebook_retravaill!H1432)</f>
        <v>0</v>
      </c>
      <c r="I1432" s="32">
        <f>Result_notebook_retravaill!K1432</f>
        <v>45840.928817377091</v>
      </c>
      <c r="J1432" s="32">
        <f>MIN(G1432,Result_notebook_retravaill!I1432)</f>
        <v>0</v>
      </c>
      <c r="K1432" s="32">
        <f>IF(Result_notebook_retravaill!I1432&gt;Result_notebook_retravaill!G1432,0,IF(Result_notebook_retravaill!I1432+Result_notebook_retravaill!J1432&gt;Result_notebook_retravaill!G1432,Result_notebook_retravaill!G1432-Result_notebook_retravaill!I1432,Result_notebook_retravaill!J1432))</f>
        <v>0</v>
      </c>
      <c r="L1432" s="32">
        <f>IF(Result_notebook_retravaill!I1432&gt;Result_notebook_retravaill!G1432,0,IF(Result_notebook_retravaill!I1432+Result_notebook_retravaill!J1432&gt;Result_notebook_retravaill!G1432,0,Result_notebook_retravaill!M1432))</f>
        <v>32088.650172163962</v>
      </c>
      <c r="M1432" s="31">
        <f t="shared" si="22"/>
        <v>0</v>
      </c>
    </row>
    <row r="1433" spans="1:13" x14ac:dyDescent="0.35">
      <c r="A1433">
        <f>Result_notebook_retravaill!A1433</f>
        <v>2040</v>
      </c>
      <c r="B1433" t="str">
        <f>Result_notebook_retravaill!B1433</f>
        <v>Lithium</v>
      </c>
      <c r="C1433" t="str">
        <f>Result_notebook_retravaill!C1433</f>
        <v>Current Measures</v>
      </c>
      <c r="D1433" t="str">
        <f>Result_notebook_retravaill!D1433</f>
        <v>Existing production</v>
      </c>
      <c r="E1433" t="str">
        <f>Result_notebook_retravaill!E1433</f>
        <v>Current shares</v>
      </c>
      <c r="F1433" t="str">
        <f>Result_notebook_retravaill!F1433</f>
        <v>Status Quo</v>
      </c>
      <c r="G1433">
        <f>Result_notebook_retravaill!G1433</f>
        <v>32088.650172163962</v>
      </c>
      <c r="H1433" s="32">
        <f>IF(Result_notebook_retravaill!I1433&gt;Result_notebook_retravaill!G1433,Result_notebook_retravaill!I1433/Result_notebook_retravaill!N1433,Result_notebook_retravaill!H1433)</f>
        <v>42827</v>
      </c>
      <c r="I1433" s="32">
        <f>Result_notebook_retravaill!K1433</f>
        <v>3013.928817377091</v>
      </c>
      <c r="J1433" s="32">
        <f>MIN(G1433,Result_notebook_retravaill!I1433)</f>
        <v>29943.37375789979</v>
      </c>
      <c r="K1433" s="32">
        <f>IF(Result_notebook_retravaill!I1433&gt;Result_notebook_retravaill!G1433,0,IF(Result_notebook_retravaill!I1433+Result_notebook_retravaill!J1433&gt;Result_notebook_retravaill!G1433,Result_notebook_retravaill!G1433-Result_notebook_retravaill!I1433,Result_notebook_retravaill!J1433))</f>
        <v>2145.2764142641718</v>
      </c>
      <c r="L1433" s="32">
        <f>IF(Result_notebook_retravaill!I1433&gt;Result_notebook_retravaill!G1433,0,IF(Result_notebook_retravaill!I1433+Result_notebook_retravaill!J1433&gt;Result_notebook_retravaill!G1433,0,Result_notebook_retravaill!M1433))</f>
        <v>0</v>
      </c>
      <c r="M1433" s="31">
        <f t="shared" si="22"/>
        <v>0</v>
      </c>
    </row>
    <row r="1434" spans="1:13" x14ac:dyDescent="0.35">
      <c r="A1434">
        <f>Result_notebook_retravaill!A1434</f>
        <v>2040</v>
      </c>
      <c r="B1434" t="str">
        <f>Result_notebook_retravaill!B1434</f>
        <v>Lithium</v>
      </c>
      <c r="C1434" t="str">
        <f>Result_notebook_retravaill!C1434</f>
        <v>Current Measures</v>
      </c>
      <c r="D1434" t="str">
        <f>Result_notebook_retravaill!D1434</f>
        <v>Production potential</v>
      </c>
      <c r="E1434" t="str">
        <f>Result_notebook_retravaill!E1434</f>
        <v>Current shares</v>
      </c>
      <c r="F1434" t="str">
        <f>Result_notebook_retravaill!F1434</f>
        <v>Expansion Extractive</v>
      </c>
      <c r="G1434">
        <f>Result_notebook_retravaill!G1434</f>
        <v>32088.650172163962</v>
      </c>
      <c r="H1434" s="32">
        <f>IF(Result_notebook_retravaill!I1434&gt;Result_notebook_retravaill!G1434,Result_notebook_retravaill!I1434/Result_notebook_retravaill!N1434,Result_notebook_retravaill!H1434)</f>
        <v>546434.99714327487</v>
      </c>
      <c r="I1434" s="32">
        <f>Result_notebook_retravaill!K1434</f>
        <v>0</v>
      </c>
      <c r="J1434" s="32">
        <f>MIN(G1434,Result_notebook_retravaill!I1434)</f>
        <v>32088.650172163962</v>
      </c>
      <c r="K1434" s="32">
        <f>IF(Result_notebook_retravaill!I1434&gt;Result_notebook_retravaill!G1434,0,IF(Result_notebook_retravaill!I1434+Result_notebook_retravaill!J1434&gt;Result_notebook_retravaill!G1434,Result_notebook_retravaill!G1434-Result_notebook_retravaill!I1434,Result_notebook_retravaill!J1434))</f>
        <v>0</v>
      </c>
      <c r="L1434" s="32">
        <f>IF(Result_notebook_retravaill!I1434&gt;Result_notebook_retravaill!G1434,0,IF(Result_notebook_retravaill!I1434+Result_notebook_retravaill!J1434&gt;Result_notebook_retravaill!G1434,0,Result_notebook_retravaill!M1434))</f>
        <v>0</v>
      </c>
      <c r="M1434" s="31">
        <f t="shared" si="22"/>
        <v>0</v>
      </c>
    </row>
    <row r="1435" spans="1:13" x14ac:dyDescent="0.35">
      <c r="A1435">
        <f>Result_notebook_retravaill!A1435</f>
        <v>2040</v>
      </c>
      <c r="B1435" t="str">
        <f>Result_notebook_retravaill!B1435</f>
        <v>Lithium</v>
      </c>
      <c r="C1435" t="str">
        <f>Result_notebook_retravaill!C1435</f>
        <v>Current Measures</v>
      </c>
      <c r="D1435" t="str">
        <f>Result_notebook_retravaill!D1435</f>
        <v>Production potential</v>
      </c>
      <c r="E1435" t="str">
        <f>Result_notebook_retravaill!E1435</f>
        <v>Current shares</v>
      </c>
      <c r="F1435" t="str">
        <f>Result_notebook_retravaill!F1435</f>
        <v>Expansion Extractive+Circularity</v>
      </c>
      <c r="G1435">
        <f>Result_notebook_retravaill!G1435</f>
        <v>32088.650172163962</v>
      </c>
      <c r="H1435" s="32">
        <f>IF(Result_notebook_retravaill!I1435&gt;Result_notebook_retravaill!G1435,Result_notebook_retravaill!I1435/Result_notebook_retravaill!N1435,Result_notebook_retravaill!H1435)</f>
        <v>546434.99714327487</v>
      </c>
      <c r="I1435" s="32">
        <f>Result_notebook_retravaill!K1435</f>
        <v>0</v>
      </c>
      <c r="J1435" s="32">
        <f>MIN(G1435,Result_notebook_retravaill!I1435)</f>
        <v>32088.650172163962</v>
      </c>
      <c r="K1435" s="32">
        <f>IF(Result_notebook_retravaill!I1435&gt;Result_notebook_retravaill!G1435,0,IF(Result_notebook_retravaill!I1435+Result_notebook_retravaill!J1435&gt;Result_notebook_retravaill!G1435,Result_notebook_retravaill!G1435-Result_notebook_retravaill!I1435,Result_notebook_retravaill!J1435))</f>
        <v>0</v>
      </c>
      <c r="L1435" s="32">
        <f>IF(Result_notebook_retravaill!I1435&gt;Result_notebook_retravaill!G1435,0,IF(Result_notebook_retravaill!I1435+Result_notebook_retravaill!J1435&gt;Result_notebook_retravaill!G1435,0,Result_notebook_retravaill!M1435))</f>
        <v>0</v>
      </c>
      <c r="M1435" s="31">
        <f t="shared" si="22"/>
        <v>0</v>
      </c>
    </row>
    <row r="1436" spans="1:13" x14ac:dyDescent="0.35">
      <c r="A1436">
        <f>Result_notebook_retravaill!A1436</f>
        <v>2040</v>
      </c>
      <c r="B1436" t="str">
        <f>Result_notebook_retravaill!B1436</f>
        <v>Lithium</v>
      </c>
      <c r="C1436" t="str">
        <f>Result_notebook_retravaill!C1436</f>
        <v>Current Measures</v>
      </c>
      <c r="D1436" t="str">
        <f>Result_notebook_retravaill!D1436</f>
        <v>Production potential</v>
      </c>
      <c r="E1436" t="str">
        <f>Result_notebook_retravaill!E1436</f>
        <v>100% CAN</v>
      </c>
      <c r="F1436" t="str">
        <f>Result_notebook_retravaill!F1436</f>
        <v>Integrated</v>
      </c>
      <c r="G1436">
        <f>Result_notebook_retravaill!G1436</f>
        <v>32088.650172163962</v>
      </c>
      <c r="H1436" s="32">
        <f>IF(Result_notebook_retravaill!I1436&gt;Result_notebook_retravaill!G1436,Result_notebook_retravaill!I1436/Result_notebook_retravaill!N1436,Result_notebook_retravaill!H1436)</f>
        <v>546434.99714327487</v>
      </c>
      <c r="I1436" s="32">
        <f>Result_notebook_retravaill!K1436</f>
        <v>0</v>
      </c>
      <c r="J1436" s="32">
        <f>MIN(G1436,Result_notebook_retravaill!I1436)</f>
        <v>32088.650172163962</v>
      </c>
      <c r="K1436" s="32">
        <f>IF(Result_notebook_retravaill!I1436&gt;Result_notebook_retravaill!G1436,0,IF(Result_notebook_retravaill!I1436+Result_notebook_retravaill!J1436&gt;Result_notebook_retravaill!G1436,Result_notebook_retravaill!G1436-Result_notebook_retravaill!I1436,Result_notebook_retravaill!J1436))</f>
        <v>0</v>
      </c>
      <c r="L1436" s="32">
        <f>IF(Result_notebook_retravaill!I1436&gt;Result_notebook_retravaill!G1436,0,IF(Result_notebook_retravaill!I1436+Result_notebook_retravaill!J1436&gt;Result_notebook_retravaill!G1436,0,Result_notebook_retravaill!M1436))</f>
        <v>0</v>
      </c>
      <c r="M1436" s="31">
        <f t="shared" si="22"/>
        <v>0</v>
      </c>
    </row>
    <row r="1437" spans="1:13" x14ac:dyDescent="0.35">
      <c r="A1437">
        <f>Result_notebook_retravaill!A1437</f>
        <v>2040</v>
      </c>
      <c r="B1437" t="str">
        <f>Result_notebook_retravaill!B1437</f>
        <v>Lithium</v>
      </c>
      <c r="C1437" t="str">
        <f>Result_notebook_retravaill!C1437</f>
        <v>Global Net-zero</v>
      </c>
      <c r="D1437" t="str">
        <f>Result_notebook_retravaill!D1437</f>
        <v>Existing production</v>
      </c>
      <c r="E1437" t="str">
        <f>Result_notebook_retravaill!E1437</f>
        <v>Current shares</v>
      </c>
      <c r="F1437" t="str">
        <f>Result_notebook_retravaill!F1437</f>
        <v>NIMBY</v>
      </c>
      <c r="G1437">
        <f>Result_notebook_retravaill!G1437</f>
        <v>82859.956955531103</v>
      </c>
      <c r="H1437" s="32">
        <f>IF(Result_notebook_retravaill!I1437&gt;Result_notebook_retravaill!G1437,Result_notebook_retravaill!I1437/Result_notebook_retravaill!N1437,Result_notebook_retravaill!H1437)</f>
        <v>0</v>
      </c>
      <c r="I1437" s="32">
        <f>Result_notebook_retravaill!K1437</f>
        <v>118371.3670793302</v>
      </c>
      <c r="J1437" s="32">
        <f>MIN(G1437,Result_notebook_retravaill!I1437)</f>
        <v>0</v>
      </c>
      <c r="K1437" s="32">
        <f>IF(Result_notebook_retravaill!I1437&gt;Result_notebook_retravaill!G1437,0,IF(Result_notebook_retravaill!I1437+Result_notebook_retravaill!J1437&gt;Result_notebook_retravaill!G1437,Result_notebook_retravaill!G1437-Result_notebook_retravaill!I1437,Result_notebook_retravaill!J1437))</f>
        <v>0</v>
      </c>
      <c r="L1437" s="32">
        <f>IF(Result_notebook_retravaill!I1437&gt;Result_notebook_retravaill!G1437,0,IF(Result_notebook_retravaill!I1437+Result_notebook_retravaill!J1437&gt;Result_notebook_retravaill!G1437,0,Result_notebook_retravaill!M1437))</f>
        <v>82859.956955531103</v>
      </c>
      <c r="M1437" s="31">
        <f t="shared" si="22"/>
        <v>0</v>
      </c>
    </row>
    <row r="1438" spans="1:13" x14ac:dyDescent="0.35">
      <c r="A1438">
        <f>Result_notebook_retravaill!A1438</f>
        <v>2040</v>
      </c>
      <c r="B1438" t="str">
        <f>Result_notebook_retravaill!B1438</f>
        <v>Lithium</v>
      </c>
      <c r="C1438" t="str">
        <f>Result_notebook_retravaill!C1438</f>
        <v>Global Net-zero</v>
      </c>
      <c r="D1438" t="str">
        <f>Result_notebook_retravaill!D1438</f>
        <v>Existing production</v>
      </c>
      <c r="E1438" t="str">
        <f>Result_notebook_retravaill!E1438</f>
        <v>Current shares</v>
      </c>
      <c r="F1438" t="str">
        <f>Result_notebook_retravaill!F1438</f>
        <v>Status Quo</v>
      </c>
      <c r="G1438">
        <f>Result_notebook_retravaill!G1438</f>
        <v>82859.956955531103</v>
      </c>
      <c r="H1438" s="32">
        <f>IF(Result_notebook_retravaill!I1438&gt;Result_notebook_retravaill!G1438,Result_notebook_retravaill!I1438/Result_notebook_retravaill!N1438,Result_notebook_retravaill!H1438)</f>
        <v>42827</v>
      </c>
      <c r="I1438" s="32">
        <f>Result_notebook_retravaill!K1438</f>
        <v>75544.367079330157</v>
      </c>
      <c r="J1438" s="32">
        <f>MIN(G1438,Result_notebook_retravaill!I1438)</f>
        <v>29943.37375789979</v>
      </c>
      <c r="K1438" s="32">
        <f>IF(Result_notebook_retravaill!I1438&gt;Result_notebook_retravaill!G1438,0,IF(Result_notebook_retravaill!I1438+Result_notebook_retravaill!J1438&gt;Result_notebook_retravaill!G1438,Result_notebook_retravaill!G1438-Result_notebook_retravaill!I1438,Result_notebook_retravaill!J1438))</f>
        <v>3785.2440925087431</v>
      </c>
      <c r="L1438" s="32">
        <f>IF(Result_notebook_retravaill!I1438&gt;Result_notebook_retravaill!G1438,0,IF(Result_notebook_retravaill!I1438+Result_notebook_retravaill!J1438&gt;Result_notebook_retravaill!G1438,0,Result_notebook_retravaill!M1438))</f>
        <v>49131.339105122577</v>
      </c>
      <c r="M1438" s="31">
        <f t="shared" si="22"/>
        <v>0</v>
      </c>
    </row>
    <row r="1439" spans="1:13" x14ac:dyDescent="0.35">
      <c r="A1439">
        <f>Result_notebook_retravaill!A1439</f>
        <v>2040</v>
      </c>
      <c r="B1439" t="str">
        <f>Result_notebook_retravaill!B1439</f>
        <v>Lithium</v>
      </c>
      <c r="C1439" t="str">
        <f>Result_notebook_retravaill!C1439</f>
        <v>Global Net-zero</v>
      </c>
      <c r="D1439" t="str">
        <f>Result_notebook_retravaill!D1439</f>
        <v>Production potential</v>
      </c>
      <c r="E1439" t="str">
        <f>Result_notebook_retravaill!E1439</f>
        <v>Current shares</v>
      </c>
      <c r="F1439" t="str">
        <f>Result_notebook_retravaill!F1439</f>
        <v>Expansion Extractive</v>
      </c>
      <c r="G1439">
        <f>Result_notebook_retravaill!G1439</f>
        <v>82859.956955531103</v>
      </c>
      <c r="H1439" s="32">
        <f>IF(Result_notebook_retravaill!I1439&gt;Result_notebook_retravaill!G1439,Result_notebook_retravaill!I1439/Result_notebook_retravaill!N1439,Result_notebook_retravaill!H1439)</f>
        <v>546434.99714327487</v>
      </c>
      <c r="I1439" s="32">
        <f>Result_notebook_retravaill!K1439</f>
        <v>0</v>
      </c>
      <c r="J1439" s="32">
        <f>MIN(G1439,Result_notebook_retravaill!I1439)</f>
        <v>82859.956955531103</v>
      </c>
      <c r="K1439" s="32">
        <f>IF(Result_notebook_retravaill!I1439&gt;Result_notebook_retravaill!G1439,0,IF(Result_notebook_retravaill!I1439+Result_notebook_retravaill!J1439&gt;Result_notebook_retravaill!G1439,Result_notebook_retravaill!G1439-Result_notebook_retravaill!I1439,Result_notebook_retravaill!J1439))</f>
        <v>0</v>
      </c>
      <c r="L1439" s="32">
        <f>IF(Result_notebook_retravaill!I1439&gt;Result_notebook_retravaill!G1439,0,IF(Result_notebook_retravaill!I1439+Result_notebook_retravaill!J1439&gt;Result_notebook_retravaill!G1439,0,Result_notebook_retravaill!M1439))</f>
        <v>0</v>
      </c>
      <c r="M1439" s="31">
        <f t="shared" si="22"/>
        <v>0</v>
      </c>
    </row>
    <row r="1440" spans="1:13" x14ac:dyDescent="0.35">
      <c r="A1440">
        <f>Result_notebook_retravaill!A1440</f>
        <v>2040</v>
      </c>
      <c r="B1440" t="str">
        <f>Result_notebook_retravaill!B1440</f>
        <v>Lithium</v>
      </c>
      <c r="C1440" t="str">
        <f>Result_notebook_retravaill!C1440</f>
        <v>Global Net-zero</v>
      </c>
      <c r="D1440" t="str">
        <f>Result_notebook_retravaill!D1440</f>
        <v>Production potential</v>
      </c>
      <c r="E1440" t="str">
        <f>Result_notebook_retravaill!E1440</f>
        <v>Current shares</v>
      </c>
      <c r="F1440" t="str">
        <f>Result_notebook_retravaill!F1440</f>
        <v>Expansion Extractive+Circularity</v>
      </c>
      <c r="G1440">
        <f>Result_notebook_retravaill!G1440</f>
        <v>82859.956955531103</v>
      </c>
      <c r="H1440" s="32">
        <f>IF(Result_notebook_retravaill!I1440&gt;Result_notebook_retravaill!G1440,Result_notebook_retravaill!I1440/Result_notebook_retravaill!N1440,Result_notebook_retravaill!H1440)</f>
        <v>546434.99714327487</v>
      </c>
      <c r="I1440" s="32">
        <f>Result_notebook_retravaill!K1440</f>
        <v>0</v>
      </c>
      <c r="J1440" s="32">
        <f>MIN(G1440,Result_notebook_retravaill!I1440)</f>
        <v>82859.956955531103</v>
      </c>
      <c r="K1440" s="32">
        <f>IF(Result_notebook_retravaill!I1440&gt;Result_notebook_retravaill!G1440,0,IF(Result_notebook_retravaill!I1440+Result_notebook_retravaill!J1440&gt;Result_notebook_retravaill!G1440,Result_notebook_retravaill!G1440-Result_notebook_retravaill!I1440,Result_notebook_retravaill!J1440))</f>
        <v>0</v>
      </c>
      <c r="L1440" s="32">
        <f>IF(Result_notebook_retravaill!I1440&gt;Result_notebook_retravaill!G1440,0,IF(Result_notebook_retravaill!I1440+Result_notebook_retravaill!J1440&gt;Result_notebook_retravaill!G1440,0,Result_notebook_retravaill!M1440))</f>
        <v>0</v>
      </c>
      <c r="M1440" s="31">
        <f t="shared" si="22"/>
        <v>0</v>
      </c>
    </row>
    <row r="1441" spans="1:13" x14ac:dyDescent="0.35">
      <c r="A1441">
        <f>Result_notebook_retravaill!A1441</f>
        <v>2040</v>
      </c>
      <c r="B1441" t="str">
        <f>Result_notebook_retravaill!B1441</f>
        <v>Lithium</v>
      </c>
      <c r="C1441" t="str">
        <f>Result_notebook_retravaill!C1441</f>
        <v>Global Net-zero</v>
      </c>
      <c r="D1441" t="str">
        <f>Result_notebook_retravaill!D1441</f>
        <v>Production potential</v>
      </c>
      <c r="E1441" t="str">
        <f>Result_notebook_retravaill!E1441</f>
        <v>100% CAN</v>
      </c>
      <c r="F1441" t="str">
        <f>Result_notebook_retravaill!F1441</f>
        <v>Integrated</v>
      </c>
      <c r="G1441">
        <f>Result_notebook_retravaill!G1441</f>
        <v>82859.956955531103</v>
      </c>
      <c r="H1441" s="32">
        <f>IF(Result_notebook_retravaill!I1441&gt;Result_notebook_retravaill!G1441,Result_notebook_retravaill!I1441/Result_notebook_retravaill!N1441,Result_notebook_retravaill!H1441)</f>
        <v>546434.99714327487</v>
      </c>
      <c r="I1441" s="32">
        <f>Result_notebook_retravaill!K1441</f>
        <v>0</v>
      </c>
      <c r="J1441" s="32">
        <f>MIN(G1441,Result_notebook_retravaill!I1441)</f>
        <v>82859.956955531103</v>
      </c>
      <c r="K1441" s="32">
        <f>IF(Result_notebook_retravaill!I1441&gt;Result_notebook_retravaill!G1441,0,IF(Result_notebook_retravaill!I1441+Result_notebook_retravaill!J1441&gt;Result_notebook_retravaill!G1441,Result_notebook_retravaill!G1441-Result_notebook_retravaill!I1441,Result_notebook_retravaill!J1441))</f>
        <v>0</v>
      </c>
      <c r="L1441" s="32">
        <f>IF(Result_notebook_retravaill!I1441&gt;Result_notebook_retravaill!G1441,0,IF(Result_notebook_retravaill!I1441+Result_notebook_retravaill!J1441&gt;Result_notebook_retravaill!G1441,0,Result_notebook_retravaill!M1441))</f>
        <v>0</v>
      </c>
      <c r="M1441" s="31">
        <f t="shared" si="22"/>
        <v>0</v>
      </c>
    </row>
    <row r="1442" spans="1:13" x14ac:dyDescent="0.35">
      <c r="H1442" s="32"/>
      <c r="I1442" s="32"/>
      <c r="J1442" s="32"/>
      <c r="K1442" s="32"/>
      <c r="L1442" s="32"/>
    </row>
    <row r="1443" spans="1:13" x14ac:dyDescent="0.35">
      <c r="H1443" s="32"/>
      <c r="I1443" s="32"/>
      <c r="J1443" s="32"/>
      <c r="K1443" s="32"/>
      <c r="L1443" s="32"/>
    </row>
    <row r="1444" spans="1:13" x14ac:dyDescent="0.35">
      <c r="H1444" s="32"/>
      <c r="I1444" s="32"/>
      <c r="J1444" s="32"/>
      <c r="K1444" s="32"/>
      <c r="L1444" s="32"/>
    </row>
    <row r="1445" spans="1:13" x14ac:dyDescent="0.35">
      <c r="H1445" s="32"/>
      <c r="I1445" s="32"/>
      <c r="J1445" s="32"/>
      <c r="K1445" s="32"/>
      <c r="L1445" s="32"/>
    </row>
    <row r="1446" spans="1:13" x14ac:dyDescent="0.35">
      <c r="H1446" s="32"/>
      <c r="I1446" s="32"/>
      <c r="J1446" s="32"/>
      <c r="K1446" s="32"/>
      <c r="L1446" s="32"/>
    </row>
    <row r="1447" spans="1:13" x14ac:dyDescent="0.35">
      <c r="H1447" s="32"/>
      <c r="I1447" s="32"/>
      <c r="J1447" s="32"/>
      <c r="K1447" s="32"/>
      <c r="L1447" s="32"/>
    </row>
    <row r="1448" spans="1:13" x14ac:dyDescent="0.35">
      <c r="H1448" s="32"/>
      <c r="I1448" s="32"/>
      <c r="J1448" s="32"/>
      <c r="K1448" s="32"/>
      <c r="L1448" s="32"/>
    </row>
    <row r="1449" spans="1:13" x14ac:dyDescent="0.35">
      <c r="H1449" s="32"/>
      <c r="I1449" s="32"/>
      <c r="J1449" s="32"/>
      <c r="K1449" s="32"/>
      <c r="L1449" s="32"/>
    </row>
    <row r="1450" spans="1:13" x14ac:dyDescent="0.35">
      <c r="H1450" s="32"/>
      <c r="I1450" s="32"/>
      <c r="J1450" s="32"/>
      <c r="K1450" s="32"/>
      <c r="L1450" s="32"/>
    </row>
    <row r="1451" spans="1:13" x14ac:dyDescent="0.35">
      <c r="H1451" s="32"/>
      <c r="I1451" s="32"/>
      <c r="J1451" s="32"/>
      <c r="K1451" s="32"/>
      <c r="L1451" s="32"/>
    </row>
    <row r="1452" spans="1:13" x14ac:dyDescent="0.35">
      <c r="H1452" s="32"/>
      <c r="I1452" s="32"/>
      <c r="J1452" s="32"/>
      <c r="K1452" s="32"/>
      <c r="L1452" s="32"/>
    </row>
    <row r="1453" spans="1:13" x14ac:dyDescent="0.35">
      <c r="H1453" s="32"/>
      <c r="I1453" s="32"/>
      <c r="J1453" s="32"/>
      <c r="K1453" s="32"/>
      <c r="L1453" s="32"/>
    </row>
    <row r="1454" spans="1:13" x14ac:dyDescent="0.35">
      <c r="H1454" s="32"/>
      <c r="I1454" s="32"/>
      <c r="J1454" s="32"/>
      <c r="K1454" s="32"/>
      <c r="L1454" s="32"/>
    </row>
    <row r="1455" spans="1:13" x14ac:dyDescent="0.35">
      <c r="H1455" s="32"/>
      <c r="I1455" s="32"/>
      <c r="J1455" s="32"/>
      <c r="K1455" s="32"/>
      <c r="L1455" s="32"/>
    </row>
    <row r="1456" spans="1:13" x14ac:dyDescent="0.35">
      <c r="H1456" s="32"/>
      <c r="I1456" s="32"/>
      <c r="J1456" s="32"/>
      <c r="K1456" s="32"/>
      <c r="L1456" s="32"/>
    </row>
    <row r="1457" spans="8:12" x14ac:dyDescent="0.35">
      <c r="H1457" s="32"/>
      <c r="I1457" s="32"/>
      <c r="J1457" s="32"/>
      <c r="K1457" s="32"/>
      <c r="L1457" s="32"/>
    </row>
    <row r="1458" spans="8:12" x14ac:dyDescent="0.35">
      <c r="H1458" s="32"/>
      <c r="I1458" s="32"/>
      <c r="J1458" s="32"/>
      <c r="K1458" s="32"/>
      <c r="L1458" s="32"/>
    </row>
    <row r="1459" spans="8:12" x14ac:dyDescent="0.35">
      <c r="H1459" s="32"/>
      <c r="I1459" s="32"/>
      <c r="J1459" s="32"/>
      <c r="K1459" s="32"/>
      <c r="L1459" s="32"/>
    </row>
    <row r="1460" spans="8:12" x14ac:dyDescent="0.35">
      <c r="H1460" s="32"/>
      <c r="I1460" s="32"/>
      <c r="J1460" s="32"/>
      <c r="K1460" s="32"/>
      <c r="L1460" s="32"/>
    </row>
    <row r="1461" spans="8:12" x14ac:dyDescent="0.35">
      <c r="H1461" s="32"/>
      <c r="I1461" s="32"/>
      <c r="J1461" s="32"/>
      <c r="K1461" s="32"/>
      <c r="L1461" s="32"/>
    </row>
    <row r="1462" spans="8:12" x14ac:dyDescent="0.35">
      <c r="H1462" s="32"/>
      <c r="I1462" s="32"/>
      <c r="J1462" s="32"/>
      <c r="K1462" s="32"/>
      <c r="L1462" s="32"/>
    </row>
    <row r="1463" spans="8:12" x14ac:dyDescent="0.35">
      <c r="H1463" s="32"/>
      <c r="I1463" s="32"/>
      <c r="J1463" s="32"/>
      <c r="K1463" s="32"/>
      <c r="L1463" s="32"/>
    </row>
    <row r="1464" spans="8:12" x14ac:dyDescent="0.35">
      <c r="H1464" s="32"/>
      <c r="I1464" s="32"/>
      <c r="J1464" s="32"/>
      <c r="K1464" s="32"/>
      <c r="L1464" s="32"/>
    </row>
    <row r="1465" spans="8:12" x14ac:dyDescent="0.35">
      <c r="H1465" s="32"/>
      <c r="I1465" s="32"/>
      <c r="J1465" s="32"/>
      <c r="K1465" s="32"/>
      <c r="L1465" s="32"/>
    </row>
    <row r="1466" spans="8:12" x14ac:dyDescent="0.35">
      <c r="H1466" s="32"/>
      <c r="I1466" s="32"/>
      <c r="J1466" s="32"/>
      <c r="K1466" s="32"/>
      <c r="L1466" s="32"/>
    </row>
    <row r="1467" spans="8:12" x14ac:dyDescent="0.35">
      <c r="H1467" s="32"/>
      <c r="I1467" s="32"/>
      <c r="J1467" s="32"/>
      <c r="K1467" s="32"/>
      <c r="L1467" s="32"/>
    </row>
    <row r="1468" spans="8:12" x14ac:dyDescent="0.35">
      <c r="H1468" s="32"/>
      <c r="I1468" s="32"/>
      <c r="J1468" s="32"/>
      <c r="K1468" s="32"/>
      <c r="L1468" s="32"/>
    </row>
    <row r="1469" spans="8:12" x14ac:dyDescent="0.35">
      <c r="H1469" s="32"/>
      <c r="I1469" s="32"/>
      <c r="J1469" s="32"/>
      <c r="K1469" s="32"/>
      <c r="L1469" s="32"/>
    </row>
  </sheetData>
  <autoFilter ref="A1:N1441" xr:uid="{834A3072-EC07-47AD-ABCD-D8565FD468F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32B4-51A1-4321-BBE5-5F83CB06D2C4}">
  <sheetPr>
    <tabColor theme="7"/>
  </sheetPr>
  <dimension ref="A1:R1441"/>
  <sheetViews>
    <sheetView workbookViewId="0">
      <selection activeCell="N2" sqref="N2:N1441"/>
    </sheetView>
  </sheetViews>
  <sheetFormatPr baseColWidth="10" defaultColWidth="9.1796875" defaultRowHeight="14.5" x14ac:dyDescent="0.35"/>
  <cols>
    <col min="1" max="1" width="9.54296875" bestFit="1" customWidth="1"/>
    <col min="2" max="2" width="12" bestFit="1" customWidth="1"/>
    <col min="3" max="3" width="24.7265625" bestFit="1" customWidth="1"/>
    <col min="4" max="4" width="26.7265625" bestFit="1" customWidth="1"/>
    <col min="5" max="5" width="45.1796875" bestFit="1" customWidth="1"/>
    <col min="6" max="6" width="29.54296875" bestFit="1" customWidth="1"/>
    <col min="7" max="7" width="20.7265625" bestFit="1" customWidth="1"/>
    <col min="8" max="8" width="29.26953125" bestFit="1" customWidth="1"/>
    <col min="9" max="9" width="30.1796875" bestFit="1" customWidth="1"/>
    <col min="10" max="10" width="30.1796875" style="6" customWidth="1"/>
    <col min="11" max="11" width="29.7265625" bestFit="1" customWidth="1"/>
    <col min="12" max="12" width="30.7265625" bestFit="1" customWidth="1"/>
    <col min="13" max="13" width="30.7265625" style="6" customWidth="1"/>
    <col min="14" max="14" width="20.81640625" bestFit="1" customWidth="1"/>
    <col min="15" max="15" width="26" bestFit="1" customWidth="1"/>
    <col min="16" max="16" width="37.26953125" bestFit="1" customWidth="1"/>
    <col min="17" max="17" width="23.08984375" bestFit="1" customWidth="1"/>
  </cols>
  <sheetData>
    <row r="1" spans="1:17" x14ac:dyDescent="0.35">
      <c r="A1" s="2" t="s">
        <v>2</v>
      </c>
      <c r="B1" s="2" t="s">
        <v>3</v>
      </c>
      <c r="C1" s="2" t="s">
        <v>484</v>
      </c>
      <c r="D1" s="2" t="s">
        <v>481</v>
      </c>
      <c r="E1" s="2" t="s">
        <v>482</v>
      </c>
      <c r="F1" s="2" t="s">
        <v>480</v>
      </c>
      <c r="G1" s="2" t="s">
        <v>485</v>
      </c>
      <c r="H1" s="2" t="s">
        <v>534</v>
      </c>
      <c r="I1" s="2" t="s">
        <v>531</v>
      </c>
      <c r="J1" s="30" t="s">
        <v>532</v>
      </c>
      <c r="K1" s="2" t="s">
        <v>535</v>
      </c>
      <c r="L1" s="2" t="s">
        <v>533</v>
      </c>
      <c r="M1" s="30" t="s">
        <v>533</v>
      </c>
      <c r="N1" s="2" t="s">
        <v>521</v>
      </c>
      <c r="O1" s="2" t="s">
        <v>536</v>
      </c>
      <c r="P1" s="2" t="s">
        <v>537</v>
      </c>
      <c r="Q1" s="28" t="s">
        <v>561</v>
      </c>
    </row>
    <row r="2" spans="1:17" x14ac:dyDescent="0.35">
      <c r="A2">
        <v>2025</v>
      </c>
      <c r="B2" t="s">
        <v>6</v>
      </c>
      <c r="C2" t="s">
        <v>4</v>
      </c>
      <c r="D2" t="s">
        <v>16</v>
      </c>
      <c r="E2" t="s">
        <v>483</v>
      </c>
      <c r="F2" t="s">
        <v>80</v>
      </c>
      <c r="G2" s="31">
        <v>9556.3203859726327</v>
      </c>
      <c r="H2" s="31">
        <v>0</v>
      </c>
      <c r="I2" s="31">
        <v>0</v>
      </c>
      <c r="J2" s="32">
        <f>H2*N2-I2</f>
        <v>0</v>
      </c>
      <c r="K2" s="31">
        <v>21718.90996811962</v>
      </c>
      <c r="L2" s="31">
        <v>9556.3203859726327</v>
      </c>
      <c r="M2" s="32">
        <f>MAX(L2-J2,0)</f>
        <v>9556.3203859726327</v>
      </c>
      <c r="N2" s="33">
        <f>Result_notebook!L2</f>
        <v>0.439346565686978</v>
      </c>
      <c r="O2" s="31">
        <f>G2-(I2+J2+M2)</f>
        <v>0</v>
      </c>
      <c r="P2" s="31">
        <f>MAX(I2-G2,0)</f>
        <v>0</v>
      </c>
      <c r="Q2">
        <f>(H2*N2)-I2</f>
        <v>0</v>
      </c>
    </row>
    <row r="3" spans="1:17" x14ac:dyDescent="0.35">
      <c r="A3">
        <v>2025</v>
      </c>
      <c r="B3" t="s">
        <v>6</v>
      </c>
      <c r="C3" t="s">
        <v>4</v>
      </c>
      <c r="D3" t="s">
        <v>16</v>
      </c>
      <c r="E3" t="s">
        <v>483</v>
      </c>
      <c r="F3" t="s">
        <v>81</v>
      </c>
      <c r="G3" s="31">
        <v>9556.3203859726327</v>
      </c>
      <c r="H3" s="31">
        <v>3494</v>
      </c>
      <c r="I3" s="31">
        <v>1482.0913083373639</v>
      </c>
      <c r="J3" s="32">
        <f t="shared" ref="J3:J66" si="0">H3*N3-I3</f>
        <v>52.985592172937231</v>
      </c>
      <c r="K3" s="31">
        <v>18224.90996811962</v>
      </c>
      <c r="L3" s="31">
        <v>8074.2290776352684</v>
      </c>
      <c r="M3" s="32">
        <f t="shared" ref="M3:M66" si="1">MAX(L3-J3,0)</f>
        <v>8021.2434854623316</v>
      </c>
      <c r="N3" s="33">
        <f>Result_notebook!L3</f>
        <v>0.439346565686978</v>
      </c>
      <c r="O3" s="31">
        <f t="shared" ref="O3:O66" si="2">G3-(I3+J3+M3)</f>
        <v>0</v>
      </c>
      <c r="P3" s="31">
        <f t="shared" ref="P3:P66" si="3">MAX(I3-G3,0)</f>
        <v>0</v>
      </c>
      <c r="Q3">
        <f t="shared" ref="Q3:Q66" si="4">(H3*N3)-I3</f>
        <v>52.985592172937231</v>
      </c>
    </row>
    <row r="4" spans="1:17" x14ac:dyDescent="0.35">
      <c r="A4">
        <v>2025</v>
      </c>
      <c r="B4" t="s">
        <v>6</v>
      </c>
      <c r="C4" t="s">
        <v>4</v>
      </c>
      <c r="D4" t="s">
        <v>18</v>
      </c>
      <c r="E4" t="s">
        <v>483</v>
      </c>
      <c r="F4" t="s">
        <v>85</v>
      </c>
      <c r="G4" s="31">
        <v>9556.3203859726327</v>
      </c>
      <c r="H4" s="31">
        <v>3850.4060559825398</v>
      </c>
      <c r="I4" s="31">
        <v>1633.272280807462</v>
      </c>
      <c r="J4" s="32">
        <f t="shared" si="0"/>
        <v>58.390396388808767</v>
      </c>
      <c r="K4" s="31">
        <v>17868.503912137079</v>
      </c>
      <c r="L4" s="31">
        <v>7923.0481051651705</v>
      </c>
      <c r="M4" s="32">
        <f t="shared" si="1"/>
        <v>7864.6577087763617</v>
      </c>
      <c r="N4" s="33">
        <f>Result_notebook!L4</f>
        <v>0.439346565686978</v>
      </c>
      <c r="O4" s="31">
        <f t="shared" si="2"/>
        <v>0</v>
      </c>
      <c r="P4" s="31">
        <f t="shared" si="3"/>
        <v>0</v>
      </c>
      <c r="Q4">
        <f t="shared" si="4"/>
        <v>58.390396388808767</v>
      </c>
    </row>
    <row r="5" spans="1:17" x14ac:dyDescent="0.35">
      <c r="A5">
        <v>2025</v>
      </c>
      <c r="B5" t="s">
        <v>6</v>
      </c>
      <c r="C5" t="s">
        <v>4</v>
      </c>
      <c r="D5" t="s">
        <v>18</v>
      </c>
      <c r="E5" t="s">
        <v>483</v>
      </c>
      <c r="F5" t="s">
        <v>86</v>
      </c>
      <c r="G5" s="31">
        <v>9556.3203859726327</v>
      </c>
      <c r="H5" s="31">
        <v>3850.4060559825398</v>
      </c>
      <c r="I5" s="31">
        <v>1633.272280807462</v>
      </c>
      <c r="J5" s="32">
        <f t="shared" si="0"/>
        <v>58.390396388808767</v>
      </c>
      <c r="K5" s="31">
        <v>17868.503912137079</v>
      </c>
      <c r="L5" s="31">
        <v>7923.0481051651705</v>
      </c>
      <c r="M5" s="32">
        <f t="shared" si="1"/>
        <v>7864.6577087763617</v>
      </c>
      <c r="N5" s="33">
        <f>Result_notebook!L5</f>
        <v>0.439346565686978</v>
      </c>
      <c r="O5" s="31">
        <f t="shared" si="2"/>
        <v>0</v>
      </c>
      <c r="P5" s="31">
        <f t="shared" si="3"/>
        <v>0</v>
      </c>
      <c r="Q5">
        <f t="shared" si="4"/>
        <v>58.390396388808767</v>
      </c>
    </row>
    <row r="6" spans="1:17" x14ac:dyDescent="0.35">
      <c r="A6">
        <v>2025</v>
      </c>
      <c r="B6" t="s">
        <v>6</v>
      </c>
      <c r="C6" t="s">
        <v>4</v>
      </c>
      <c r="D6" t="s">
        <v>18</v>
      </c>
      <c r="E6" t="s">
        <v>490</v>
      </c>
      <c r="F6" t="s">
        <v>82</v>
      </c>
      <c r="G6" s="31">
        <v>9556.3203859726327</v>
      </c>
      <c r="H6" s="31">
        <v>3850.4060559825398</v>
      </c>
      <c r="I6" s="31">
        <v>1691.6626771962719</v>
      </c>
      <c r="J6" s="32">
        <f t="shared" si="0"/>
        <v>0</v>
      </c>
      <c r="K6" s="31">
        <v>17868.503912137079</v>
      </c>
      <c r="L6" s="31">
        <v>7864.6577087763599</v>
      </c>
      <c r="M6" s="32">
        <f t="shared" si="1"/>
        <v>7864.6577087763599</v>
      </c>
      <c r="N6" s="33">
        <f>Result_notebook!L6</f>
        <v>0.439346565686978</v>
      </c>
      <c r="O6" s="31">
        <f t="shared" si="2"/>
        <v>0</v>
      </c>
      <c r="P6" s="31">
        <f t="shared" si="3"/>
        <v>0</v>
      </c>
      <c r="Q6">
        <f t="shared" si="4"/>
        <v>0</v>
      </c>
    </row>
    <row r="7" spans="1:17" x14ac:dyDescent="0.35">
      <c r="A7">
        <v>2025</v>
      </c>
      <c r="B7" t="s">
        <v>6</v>
      </c>
      <c r="C7" t="s">
        <v>9</v>
      </c>
      <c r="D7" t="s">
        <v>16</v>
      </c>
      <c r="E7" t="s">
        <v>483</v>
      </c>
      <c r="F7" t="s">
        <v>80</v>
      </c>
      <c r="G7" s="31">
        <v>8776.8728698047889</v>
      </c>
      <c r="H7" s="31">
        <v>0</v>
      </c>
      <c r="I7" s="31">
        <v>0</v>
      </c>
      <c r="J7" s="32">
        <f t="shared" si="0"/>
        <v>0</v>
      </c>
      <c r="K7" s="31">
        <v>19947.438340465429</v>
      </c>
      <c r="L7" s="31">
        <v>8776.8728698047889</v>
      </c>
      <c r="M7" s="32">
        <f t="shared" si="1"/>
        <v>8776.8728698047889</v>
      </c>
      <c r="N7" s="33">
        <f>Result_notebook!L7</f>
        <v>0.439346565686978</v>
      </c>
      <c r="O7" s="31">
        <f t="shared" si="2"/>
        <v>0</v>
      </c>
      <c r="P7" s="31">
        <f t="shared" si="3"/>
        <v>0</v>
      </c>
      <c r="Q7">
        <f t="shared" si="4"/>
        <v>0</v>
      </c>
    </row>
    <row r="8" spans="1:17" x14ac:dyDescent="0.35">
      <c r="A8">
        <v>2025</v>
      </c>
      <c r="B8" t="s">
        <v>6</v>
      </c>
      <c r="C8" t="s">
        <v>9</v>
      </c>
      <c r="D8" t="s">
        <v>16</v>
      </c>
      <c r="E8" t="s">
        <v>483</v>
      </c>
      <c r="F8" t="s">
        <v>81</v>
      </c>
      <c r="G8" s="31">
        <v>8776.8728698047889</v>
      </c>
      <c r="H8" s="31">
        <v>3494</v>
      </c>
      <c r="I8" s="31">
        <v>1482.0913083373639</v>
      </c>
      <c r="J8" s="32">
        <f t="shared" si="0"/>
        <v>52.985592172937231</v>
      </c>
      <c r="K8" s="31">
        <v>16453.438340465429</v>
      </c>
      <c r="L8" s="31">
        <v>7294.7815614674246</v>
      </c>
      <c r="M8" s="32">
        <f t="shared" si="1"/>
        <v>7241.7959692944878</v>
      </c>
      <c r="N8" s="33">
        <f>Result_notebook!L8</f>
        <v>0.439346565686978</v>
      </c>
      <c r="O8" s="31">
        <f t="shared" si="2"/>
        <v>0</v>
      </c>
      <c r="P8" s="31">
        <f t="shared" si="3"/>
        <v>0</v>
      </c>
      <c r="Q8">
        <f t="shared" si="4"/>
        <v>52.985592172937231</v>
      </c>
    </row>
    <row r="9" spans="1:17" x14ac:dyDescent="0.35">
      <c r="A9">
        <v>2025</v>
      </c>
      <c r="B9" t="s">
        <v>6</v>
      </c>
      <c r="C9" t="s">
        <v>9</v>
      </c>
      <c r="D9" t="s">
        <v>18</v>
      </c>
      <c r="E9" t="s">
        <v>483</v>
      </c>
      <c r="F9" t="s">
        <v>85</v>
      </c>
      <c r="G9" s="31">
        <v>8776.8728698047889</v>
      </c>
      <c r="H9" s="31">
        <v>3850.4060559825398</v>
      </c>
      <c r="I9" s="31">
        <v>1633.272280807462</v>
      </c>
      <c r="J9" s="32">
        <f t="shared" si="0"/>
        <v>58.390396388808767</v>
      </c>
      <c r="K9" s="31">
        <v>16097.03228448289</v>
      </c>
      <c r="L9" s="31">
        <v>7143.6005889973267</v>
      </c>
      <c r="M9" s="32">
        <f t="shared" si="1"/>
        <v>7085.2101926085179</v>
      </c>
      <c r="N9" s="33">
        <f>Result_notebook!L9</f>
        <v>0.439346565686978</v>
      </c>
      <c r="O9" s="31">
        <f t="shared" si="2"/>
        <v>0</v>
      </c>
      <c r="P9" s="31">
        <f t="shared" si="3"/>
        <v>0</v>
      </c>
      <c r="Q9">
        <f t="shared" si="4"/>
        <v>58.390396388808767</v>
      </c>
    </row>
    <row r="10" spans="1:17" x14ac:dyDescent="0.35">
      <c r="A10">
        <v>2025</v>
      </c>
      <c r="B10" t="s">
        <v>6</v>
      </c>
      <c r="C10" t="s">
        <v>9</v>
      </c>
      <c r="D10" t="s">
        <v>18</v>
      </c>
      <c r="E10" t="s">
        <v>483</v>
      </c>
      <c r="F10" t="s">
        <v>86</v>
      </c>
      <c r="G10" s="31">
        <v>8776.8728698047889</v>
      </c>
      <c r="H10" s="31">
        <v>3850.4060559825398</v>
      </c>
      <c r="I10" s="31">
        <v>1633.272280807462</v>
      </c>
      <c r="J10" s="32">
        <f t="shared" si="0"/>
        <v>58.390396388808767</v>
      </c>
      <c r="K10" s="31">
        <v>16097.03228448289</v>
      </c>
      <c r="L10" s="31">
        <v>7143.6005889973267</v>
      </c>
      <c r="M10" s="32">
        <f t="shared" si="1"/>
        <v>7085.2101926085179</v>
      </c>
      <c r="N10" s="33">
        <f>Result_notebook!L10</f>
        <v>0.439346565686978</v>
      </c>
      <c r="O10" s="31">
        <f t="shared" si="2"/>
        <v>0</v>
      </c>
      <c r="P10" s="31">
        <f t="shared" si="3"/>
        <v>0</v>
      </c>
      <c r="Q10">
        <f t="shared" si="4"/>
        <v>58.390396388808767</v>
      </c>
    </row>
    <row r="11" spans="1:17" x14ac:dyDescent="0.35">
      <c r="A11">
        <v>2025</v>
      </c>
      <c r="B11" t="s">
        <v>6</v>
      </c>
      <c r="C11" t="s">
        <v>9</v>
      </c>
      <c r="D11" t="s">
        <v>18</v>
      </c>
      <c r="E11" t="s">
        <v>490</v>
      </c>
      <c r="F11" t="s">
        <v>82</v>
      </c>
      <c r="G11" s="31">
        <v>8776.8728698047889</v>
      </c>
      <c r="H11" s="31">
        <v>3850.4060559825398</v>
      </c>
      <c r="I11" s="31">
        <v>1691.6626771962719</v>
      </c>
      <c r="J11" s="32">
        <f t="shared" si="0"/>
        <v>0</v>
      </c>
      <c r="K11" s="31">
        <v>16097.03228448289</v>
      </c>
      <c r="L11" s="31">
        <v>7085.2101926085161</v>
      </c>
      <c r="M11" s="32">
        <f t="shared" si="1"/>
        <v>7085.2101926085161</v>
      </c>
      <c r="N11" s="33">
        <f>Result_notebook!L11</f>
        <v>0.439346565686978</v>
      </c>
      <c r="O11" s="31">
        <f t="shared" si="2"/>
        <v>0</v>
      </c>
      <c r="P11" s="31">
        <f t="shared" si="3"/>
        <v>0</v>
      </c>
      <c r="Q11">
        <f t="shared" si="4"/>
        <v>0</v>
      </c>
    </row>
    <row r="12" spans="1:17" x14ac:dyDescent="0.35">
      <c r="A12">
        <v>2025</v>
      </c>
      <c r="B12" t="s">
        <v>6</v>
      </c>
      <c r="C12" t="s">
        <v>10</v>
      </c>
      <c r="D12" t="s">
        <v>16</v>
      </c>
      <c r="E12" t="s">
        <v>483</v>
      </c>
      <c r="F12" t="s">
        <v>80</v>
      </c>
      <c r="G12" s="31">
        <v>9422.7255621447621</v>
      </c>
      <c r="H12" s="31">
        <v>0</v>
      </c>
      <c r="I12" s="31">
        <v>0</v>
      </c>
      <c r="J12" s="32">
        <f t="shared" si="0"/>
        <v>0</v>
      </c>
      <c r="K12" s="31">
        <v>21415.28536851082</v>
      </c>
      <c r="L12" s="31">
        <v>9422.7255621447621</v>
      </c>
      <c r="M12" s="32">
        <f t="shared" si="1"/>
        <v>9422.7255621447621</v>
      </c>
      <c r="N12" s="33">
        <f>Result_notebook!L12</f>
        <v>0.439346565686978</v>
      </c>
      <c r="O12" s="31">
        <f t="shared" si="2"/>
        <v>0</v>
      </c>
      <c r="P12" s="31">
        <f t="shared" si="3"/>
        <v>0</v>
      </c>
      <c r="Q12">
        <f t="shared" si="4"/>
        <v>0</v>
      </c>
    </row>
    <row r="13" spans="1:17" x14ac:dyDescent="0.35">
      <c r="A13">
        <v>2025</v>
      </c>
      <c r="B13" t="s">
        <v>6</v>
      </c>
      <c r="C13" t="s">
        <v>10</v>
      </c>
      <c r="D13" t="s">
        <v>16</v>
      </c>
      <c r="E13" t="s">
        <v>483</v>
      </c>
      <c r="F13" t="s">
        <v>81</v>
      </c>
      <c r="G13" s="31">
        <v>9422.7255621447621</v>
      </c>
      <c r="H13" s="31">
        <v>3494</v>
      </c>
      <c r="I13" s="31">
        <v>1482.0913083373639</v>
      </c>
      <c r="J13" s="32">
        <f t="shared" si="0"/>
        <v>52.985592172937231</v>
      </c>
      <c r="K13" s="31">
        <v>17921.28536851082</v>
      </c>
      <c r="L13" s="31">
        <v>7940.6342538073977</v>
      </c>
      <c r="M13" s="32">
        <f t="shared" si="1"/>
        <v>7887.648661634461</v>
      </c>
      <c r="N13" s="33">
        <f>Result_notebook!L13</f>
        <v>0.439346565686978</v>
      </c>
      <c r="O13" s="31">
        <f t="shared" si="2"/>
        <v>0</v>
      </c>
      <c r="P13" s="31">
        <f t="shared" si="3"/>
        <v>0</v>
      </c>
      <c r="Q13">
        <f t="shared" si="4"/>
        <v>52.985592172937231</v>
      </c>
    </row>
    <row r="14" spans="1:17" x14ac:dyDescent="0.35">
      <c r="A14">
        <v>2025</v>
      </c>
      <c r="B14" t="s">
        <v>6</v>
      </c>
      <c r="C14" t="s">
        <v>10</v>
      </c>
      <c r="D14" t="s">
        <v>18</v>
      </c>
      <c r="E14" t="s">
        <v>483</v>
      </c>
      <c r="F14" t="s">
        <v>85</v>
      </c>
      <c r="G14" s="31">
        <v>9422.7255621447621</v>
      </c>
      <c r="H14" s="31">
        <v>3850.4060559825398</v>
      </c>
      <c r="I14" s="31">
        <v>1633.272280807462</v>
      </c>
      <c r="J14" s="32">
        <f t="shared" si="0"/>
        <v>58.390396388808767</v>
      </c>
      <c r="K14" s="31">
        <v>17564.879312528279</v>
      </c>
      <c r="L14" s="31">
        <v>7789.4532813372998</v>
      </c>
      <c r="M14" s="32">
        <f t="shared" si="1"/>
        <v>7731.062884948491</v>
      </c>
      <c r="N14" s="33">
        <f>Result_notebook!L14</f>
        <v>0.439346565686978</v>
      </c>
      <c r="O14" s="31">
        <f t="shared" si="2"/>
        <v>0</v>
      </c>
      <c r="P14" s="31">
        <f t="shared" si="3"/>
        <v>0</v>
      </c>
      <c r="Q14">
        <f t="shared" si="4"/>
        <v>58.390396388808767</v>
      </c>
    </row>
    <row r="15" spans="1:17" x14ac:dyDescent="0.35">
      <c r="A15">
        <v>2025</v>
      </c>
      <c r="B15" t="s">
        <v>6</v>
      </c>
      <c r="C15" t="s">
        <v>10</v>
      </c>
      <c r="D15" t="s">
        <v>18</v>
      </c>
      <c r="E15" t="s">
        <v>483</v>
      </c>
      <c r="F15" t="s">
        <v>86</v>
      </c>
      <c r="G15" s="31">
        <v>9422.7255621447621</v>
      </c>
      <c r="H15" s="31">
        <v>3850.4060559825398</v>
      </c>
      <c r="I15" s="31">
        <v>1633.272280807462</v>
      </c>
      <c r="J15" s="32">
        <f t="shared" si="0"/>
        <v>58.390396388808767</v>
      </c>
      <c r="K15" s="31">
        <v>17564.879312528279</v>
      </c>
      <c r="L15" s="31">
        <v>7789.4532813372998</v>
      </c>
      <c r="M15" s="32">
        <f t="shared" si="1"/>
        <v>7731.062884948491</v>
      </c>
      <c r="N15" s="33">
        <f>Result_notebook!L15</f>
        <v>0.439346565686978</v>
      </c>
      <c r="O15" s="31">
        <f t="shared" si="2"/>
        <v>0</v>
      </c>
      <c r="P15" s="31">
        <f t="shared" si="3"/>
        <v>0</v>
      </c>
      <c r="Q15">
        <f t="shared" si="4"/>
        <v>58.390396388808767</v>
      </c>
    </row>
    <row r="16" spans="1:17" x14ac:dyDescent="0.35">
      <c r="A16">
        <v>2025</v>
      </c>
      <c r="B16" t="s">
        <v>6</v>
      </c>
      <c r="C16" t="s">
        <v>10</v>
      </c>
      <c r="D16" t="s">
        <v>18</v>
      </c>
      <c r="E16" t="s">
        <v>490</v>
      </c>
      <c r="F16" t="s">
        <v>82</v>
      </c>
      <c r="G16" s="31">
        <v>9422.7255621447621</v>
      </c>
      <c r="H16" s="31">
        <v>3850.4060559825398</v>
      </c>
      <c r="I16" s="31">
        <v>1691.6626771962719</v>
      </c>
      <c r="J16" s="32">
        <f t="shared" si="0"/>
        <v>0</v>
      </c>
      <c r="K16" s="31">
        <v>17564.879312528279</v>
      </c>
      <c r="L16" s="31">
        <v>7731.0628849484892</v>
      </c>
      <c r="M16" s="32">
        <f t="shared" si="1"/>
        <v>7731.0628849484892</v>
      </c>
      <c r="N16" s="33">
        <f>Result_notebook!L16</f>
        <v>0.439346565686978</v>
      </c>
      <c r="O16" s="31">
        <f t="shared" si="2"/>
        <v>0</v>
      </c>
      <c r="P16" s="31">
        <f t="shared" si="3"/>
        <v>0</v>
      </c>
      <c r="Q16">
        <f t="shared" si="4"/>
        <v>0</v>
      </c>
    </row>
    <row r="17" spans="1:17" x14ac:dyDescent="0.35">
      <c r="A17">
        <v>2025</v>
      </c>
      <c r="B17" t="s">
        <v>7</v>
      </c>
      <c r="C17" t="s">
        <v>4</v>
      </c>
      <c r="D17" t="s">
        <v>16</v>
      </c>
      <c r="E17" t="s">
        <v>483</v>
      </c>
      <c r="F17" t="s">
        <v>80</v>
      </c>
      <c r="G17" s="31">
        <v>816152.33242339652</v>
      </c>
      <c r="H17" s="31">
        <v>0</v>
      </c>
      <c r="I17" s="31">
        <v>0</v>
      </c>
      <c r="J17" s="32">
        <f t="shared" si="0"/>
        <v>0</v>
      </c>
      <c r="K17" s="31">
        <v>983316.06316071877</v>
      </c>
      <c r="L17" s="31">
        <v>816152.33242339652</v>
      </c>
      <c r="M17" s="32">
        <f t="shared" si="1"/>
        <v>816152.33242339652</v>
      </c>
      <c r="N17" s="33">
        <f>Result_notebook!L17</f>
        <v>0.83474576271186396</v>
      </c>
      <c r="O17" s="31">
        <f t="shared" si="2"/>
        <v>0</v>
      </c>
      <c r="P17" s="31">
        <f t="shared" si="3"/>
        <v>0</v>
      </c>
      <c r="Q17">
        <f>(H17*N17)-I17</f>
        <v>0</v>
      </c>
    </row>
    <row r="18" spans="1:17" x14ac:dyDescent="0.35">
      <c r="A18">
        <v>2025</v>
      </c>
      <c r="B18" t="s">
        <v>7</v>
      </c>
      <c r="C18" t="s">
        <v>4</v>
      </c>
      <c r="D18" t="s">
        <v>16</v>
      </c>
      <c r="E18" t="s">
        <v>483</v>
      </c>
      <c r="F18" t="s">
        <v>81</v>
      </c>
      <c r="G18" s="31">
        <v>816152.33242339652</v>
      </c>
      <c r="H18" s="31">
        <v>483888</v>
      </c>
      <c r="I18" s="31">
        <v>254335.73656839409</v>
      </c>
      <c r="J18" s="32">
        <f t="shared" si="0"/>
        <v>149587.72105872436</v>
      </c>
      <c r="K18" s="31">
        <v>499428.06316071883</v>
      </c>
      <c r="L18" s="31">
        <v>561816.59585500252</v>
      </c>
      <c r="M18" s="32">
        <f t="shared" si="1"/>
        <v>412228.87479627819</v>
      </c>
      <c r="N18" s="33">
        <f>Result_notebook!L18</f>
        <v>0.83474576271186396</v>
      </c>
      <c r="O18" s="31">
        <f t="shared" si="2"/>
        <v>0</v>
      </c>
      <c r="P18" s="31">
        <f t="shared" si="3"/>
        <v>0</v>
      </c>
      <c r="Q18">
        <f t="shared" si="4"/>
        <v>149587.72105872436</v>
      </c>
    </row>
    <row r="19" spans="1:17" x14ac:dyDescent="0.35">
      <c r="A19">
        <v>2025</v>
      </c>
      <c r="B19" t="s">
        <v>7</v>
      </c>
      <c r="C19" t="s">
        <v>4</v>
      </c>
      <c r="D19" t="s">
        <v>18</v>
      </c>
      <c r="E19" t="s">
        <v>483</v>
      </c>
      <c r="F19" t="s">
        <v>85</v>
      </c>
      <c r="G19" s="31">
        <v>816152.33242339652</v>
      </c>
      <c r="H19" s="31">
        <v>534750.25845525716</v>
      </c>
      <c r="I19" s="31">
        <v>281069.38147744298</v>
      </c>
      <c r="J19" s="32">
        <f t="shared" si="0"/>
        <v>165311.13087715703</v>
      </c>
      <c r="K19" s="31">
        <v>448565.8047054616</v>
      </c>
      <c r="L19" s="31">
        <v>535082.95094595361</v>
      </c>
      <c r="M19" s="32">
        <f t="shared" si="1"/>
        <v>369771.82006879657</v>
      </c>
      <c r="N19" s="33">
        <f>Result_notebook!L19</f>
        <v>0.83474576271186396</v>
      </c>
      <c r="O19" s="31">
        <f t="shared" si="2"/>
        <v>0</v>
      </c>
      <c r="P19" s="31">
        <f t="shared" si="3"/>
        <v>0</v>
      </c>
      <c r="Q19">
        <f t="shared" si="4"/>
        <v>165311.13087715703</v>
      </c>
    </row>
    <row r="20" spans="1:17" x14ac:dyDescent="0.35">
      <c r="A20">
        <v>2025</v>
      </c>
      <c r="B20" t="s">
        <v>7</v>
      </c>
      <c r="C20" t="s">
        <v>4</v>
      </c>
      <c r="D20" t="s">
        <v>18</v>
      </c>
      <c r="E20" t="s">
        <v>483</v>
      </c>
      <c r="F20" t="s">
        <v>86</v>
      </c>
      <c r="G20" s="31">
        <v>816152.33242339652</v>
      </c>
      <c r="H20" s="31">
        <v>534750.25845525716</v>
      </c>
      <c r="I20" s="31">
        <v>281069.38147744298</v>
      </c>
      <c r="J20" s="32">
        <f t="shared" si="0"/>
        <v>165311.13087715703</v>
      </c>
      <c r="K20" s="31">
        <v>448565.8047054616</v>
      </c>
      <c r="L20" s="31">
        <v>535082.95094595361</v>
      </c>
      <c r="M20" s="32">
        <f t="shared" si="1"/>
        <v>369771.82006879657</v>
      </c>
      <c r="N20" s="33">
        <f>Result_notebook!L20</f>
        <v>0.83474576271186396</v>
      </c>
      <c r="O20" s="31">
        <f t="shared" si="2"/>
        <v>0</v>
      </c>
      <c r="P20" s="31">
        <f t="shared" si="3"/>
        <v>0</v>
      </c>
      <c r="Q20">
        <f t="shared" si="4"/>
        <v>165311.13087715703</v>
      </c>
    </row>
    <row r="21" spans="1:17" x14ac:dyDescent="0.35">
      <c r="A21">
        <v>2025</v>
      </c>
      <c r="B21" t="s">
        <v>7</v>
      </c>
      <c r="C21" t="s">
        <v>4</v>
      </c>
      <c r="D21" t="s">
        <v>18</v>
      </c>
      <c r="E21" t="s">
        <v>490</v>
      </c>
      <c r="F21" t="s">
        <v>82</v>
      </c>
      <c r="G21" s="31">
        <v>816152.33242339652</v>
      </c>
      <c r="H21" s="31">
        <v>534750.25845525716</v>
      </c>
      <c r="I21" s="31">
        <v>446380.51235460019</v>
      </c>
      <c r="J21" s="32">
        <f>H21*N21-I21</f>
        <v>0</v>
      </c>
      <c r="K21" s="31">
        <v>448565.8047054616</v>
      </c>
      <c r="L21" s="31">
        <v>369771.82006879628</v>
      </c>
      <c r="M21" s="32">
        <f t="shared" si="1"/>
        <v>369771.82006879628</v>
      </c>
      <c r="N21" s="33">
        <f>Result_notebook!L21</f>
        <v>0.83474576271186396</v>
      </c>
      <c r="O21" s="31">
        <f t="shared" si="2"/>
        <v>0</v>
      </c>
      <c r="P21" s="31">
        <f t="shared" si="3"/>
        <v>0</v>
      </c>
      <c r="Q21">
        <f t="shared" si="4"/>
        <v>0</v>
      </c>
    </row>
    <row r="22" spans="1:17" x14ac:dyDescent="0.35">
      <c r="A22">
        <v>2025</v>
      </c>
      <c r="B22" t="s">
        <v>7</v>
      </c>
      <c r="C22" t="s">
        <v>9</v>
      </c>
      <c r="D22" t="s">
        <v>16</v>
      </c>
      <c r="E22" t="s">
        <v>483</v>
      </c>
      <c r="F22" t="s">
        <v>80</v>
      </c>
      <c r="G22" s="31">
        <v>825658.90499835368</v>
      </c>
      <c r="H22" s="31">
        <v>0</v>
      </c>
      <c r="I22" s="31">
        <v>0</v>
      </c>
      <c r="J22" s="32">
        <f t="shared" si="0"/>
        <v>0</v>
      </c>
      <c r="K22" s="31">
        <v>994769.7650582575</v>
      </c>
      <c r="L22" s="31">
        <v>825658.90499835368</v>
      </c>
      <c r="M22" s="32">
        <f t="shared" si="1"/>
        <v>825658.90499835368</v>
      </c>
      <c r="N22" s="33">
        <f>Result_notebook!L22</f>
        <v>0.83474576271186396</v>
      </c>
      <c r="O22" s="31">
        <f t="shared" si="2"/>
        <v>0</v>
      </c>
      <c r="P22" s="31">
        <f t="shared" si="3"/>
        <v>0</v>
      </c>
      <c r="Q22">
        <f t="shared" si="4"/>
        <v>0</v>
      </c>
    </row>
    <row r="23" spans="1:17" x14ac:dyDescent="0.35">
      <c r="A23">
        <v>2025</v>
      </c>
      <c r="B23" t="s">
        <v>7</v>
      </c>
      <c r="C23" t="s">
        <v>9</v>
      </c>
      <c r="D23" t="s">
        <v>16</v>
      </c>
      <c r="E23" t="s">
        <v>483</v>
      </c>
      <c r="F23" t="s">
        <v>81</v>
      </c>
      <c r="G23" s="31">
        <v>825658.90499835368</v>
      </c>
      <c r="H23" s="31">
        <v>483888</v>
      </c>
      <c r="I23" s="31">
        <v>254335.73656839409</v>
      </c>
      <c r="J23" s="32">
        <f t="shared" si="0"/>
        <v>149587.72105872436</v>
      </c>
      <c r="K23" s="31">
        <v>510881.7650582575</v>
      </c>
      <c r="L23" s="31">
        <v>571323.16842995957</v>
      </c>
      <c r="M23" s="32">
        <f t="shared" si="1"/>
        <v>421735.44737123523</v>
      </c>
      <c r="N23" s="33">
        <f>Result_notebook!L23</f>
        <v>0.83474576271186396</v>
      </c>
      <c r="O23" s="31">
        <f t="shared" si="2"/>
        <v>0</v>
      </c>
      <c r="P23" s="31">
        <f t="shared" si="3"/>
        <v>0</v>
      </c>
      <c r="Q23">
        <f t="shared" si="4"/>
        <v>149587.72105872436</v>
      </c>
    </row>
    <row r="24" spans="1:17" x14ac:dyDescent="0.35">
      <c r="A24">
        <v>2025</v>
      </c>
      <c r="B24" t="s">
        <v>7</v>
      </c>
      <c r="C24" t="s">
        <v>9</v>
      </c>
      <c r="D24" t="s">
        <v>18</v>
      </c>
      <c r="E24" t="s">
        <v>483</v>
      </c>
      <c r="F24" t="s">
        <v>85</v>
      </c>
      <c r="G24" s="31">
        <v>825658.90499835368</v>
      </c>
      <c r="H24" s="31">
        <v>534750.25845525716</v>
      </c>
      <c r="I24" s="31">
        <v>281069.38147744298</v>
      </c>
      <c r="J24" s="32">
        <f t="shared" si="0"/>
        <v>165311.13087715703</v>
      </c>
      <c r="K24" s="31">
        <v>460019.50660300028</v>
      </c>
      <c r="L24" s="31">
        <v>544589.52352091065</v>
      </c>
      <c r="M24" s="32">
        <f t="shared" si="1"/>
        <v>379278.39264375361</v>
      </c>
      <c r="N24" s="33">
        <f>Result_notebook!L24</f>
        <v>0.83474576271186396</v>
      </c>
      <c r="O24" s="31">
        <f t="shared" si="2"/>
        <v>0</v>
      </c>
      <c r="P24" s="31">
        <f t="shared" si="3"/>
        <v>0</v>
      </c>
      <c r="Q24">
        <f t="shared" si="4"/>
        <v>165311.13087715703</v>
      </c>
    </row>
    <row r="25" spans="1:17" x14ac:dyDescent="0.35">
      <c r="A25">
        <v>2025</v>
      </c>
      <c r="B25" t="s">
        <v>7</v>
      </c>
      <c r="C25" t="s">
        <v>9</v>
      </c>
      <c r="D25" t="s">
        <v>18</v>
      </c>
      <c r="E25" t="s">
        <v>483</v>
      </c>
      <c r="F25" t="s">
        <v>86</v>
      </c>
      <c r="G25" s="31">
        <v>825658.90499835368</v>
      </c>
      <c r="H25" s="31">
        <v>534750.25845525716</v>
      </c>
      <c r="I25" s="31">
        <v>281069.38147744298</v>
      </c>
      <c r="J25" s="32">
        <f t="shared" si="0"/>
        <v>165311.13087715703</v>
      </c>
      <c r="K25" s="31">
        <v>460019.50660300028</v>
      </c>
      <c r="L25" s="31">
        <v>544589.52352091065</v>
      </c>
      <c r="M25" s="32">
        <f t="shared" si="1"/>
        <v>379278.39264375361</v>
      </c>
      <c r="N25" s="33">
        <f>Result_notebook!L25</f>
        <v>0.83474576271186396</v>
      </c>
      <c r="O25" s="31">
        <f t="shared" si="2"/>
        <v>0</v>
      </c>
      <c r="P25" s="31">
        <f t="shared" si="3"/>
        <v>0</v>
      </c>
      <c r="Q25">
        <f t="shared" si="4"/>
        <v>165311.13087715703</v>
      </c>
    </row>
    <row r="26" spans="1:17" x14ac:dyDescent="0.35">
      <c r="A26">
        <v>2025</v>
      </c>
      <c r="B26" t="s">
        <v>7</v>
      </c>
      <c r="C26" t="s">
        <v>9</v>
      </c>
      <c r="D26" t="s">
        <v>18</v>
      </c>
      <c r="E26" t="s">
        <v>490</v>
      </c>
      <c r="F26" t="s">
        <v>82</v>
      </c>
      <c r="G26" s="31">
        <v>825658.90499835368</v>
      </c>
      <c r="H26" s="31">
        <v>534750.25845525716</v>
      </c>
      <c r="I26" s="31">
        <v>446380.51235460019</v>
      </c>
      <c r="J26" s="32">
        <f t="shared" si="0"/>
        <v>0</v>
      </c>
      <c r="K26" s="31">
        <v>460019.50660300028</v>
      </c>
      <c r="L26" s="31">
        <v>379278.39264375338</v>
      </c>
      <c r="M26" s="32">
        <f t="shared" si="1"/>
        <v>379278.39264375338</v>
      </c>
      <c r="N26" s="33">
        <f>Result_notebook!L26</f>
        <v>0.83474576271186396</v>
      </c>
      <c r="O26" s="31">
        <f t="shared" si="2"/>
        <v>0</v>
      </c>
      <c r="P26" s="31">
        <f t="shared" si="3"/>
        <v>0</v>
      </c>
      <c r="Q26">
        <f t="shared" si="4"/>
        <v>0</v>
      </c>
    </row>
    <row r="27" spans="1:17" x14ac:dyDescent="0.35">
      <c r="A27">
        <v>2025</v>
      </c>
      <c r="B27" t="s">
        <v>7</v>
      </c>
      <c r="C27" t="s">
        <v>10</v>
      </c>
      <c r="D27" t="s">
        <v>16</v>
      </c>
      <c r="E27" t="s">
        <v>483</v>
      </c>
      <c r="F27" t="s">
        <v>80</v>
      </c>
      <c r="G27" s="31">
        <v>813205.98217637825</v>
      </c>
      <c r="H27" s="31">
        <v>0</v>
      </c>
      <c r="I27" s="31">
        <v>0</v>
      </c>
      <c r="J27" s="32">
        <f t="shared" si="0"/>
        <v>0</v>
      </c>
      <c r="K27" s="31">
        <v>979766.24358599796</v>
      </c>
      <c r="L27" s="31">
        <v>813205.98217637825</v>
      </c>
      <c r="M27" s="32">
        <f t="shared" si="1"/>
        <v>813205.98217637825</v>
      </c>
      <c r="N27" s="33">
        <f>Result_notebook!L27</f>
        <v>0.83474576271186396</v>
      </c>
      <c r="O27" s="31">
        <f t="shared" si="2"/>
        <v>0</v>
      </c>
      <c r="P27" s="31">
        <f t="shared" si="3"/>
        <v>0</v>
      </c>
      <c r="Q27">
        <f t="shared" si="4"/>
        <v>0</v>
      </c>
    </row>
    <row r="28" spans="1:17" x14ac:dyDescent="0.35">
      <c r="A28">
        <v>2025</v>
      </c>
      <c r="B28" t="s">
        <v>7</v>
      </c>
      <c r="C28" t="s">
        <v>10</v>
      </c>
      <c r="D28" t="s">
        <v>16</v>
      </c>
      <c r="E28" t="s">
        <v>483</v>
      </c>
      <c r="F28" t="s">
        <v>81</v>
      </c>
      <c r="G28" s="31">
        <v>813205.98217637825</v>
      </c>
      <c r="H28" s="31">
        <v>483888</v>
      </c>
      <c r="I28" s="31">
        <v>254335.73656839409</v>
      </c>
      <c r="J28" s="32">
        <f t="shared" si="0"/>
        <v>149587.72105872436</v>
      </c>
      <c r="K28" s="31">
        <v>495878.24358599802</v>
      </c>
      <c r="L28" s="31">
        <v>558870.24560798425</v>
      </c>
      <c r="M28" s="32">
        <f t="shared" si="1"/>
        <v>409282.52454925992</v>
      </c>
      <c r="N28" s="33">
        <f>Result_notebook!L28</f>
        <v>0.83474576271186396</v>
      </c>
      <c r="O28" s="31">
        <f t="shared" si="2"/>
        <v>0</v>
      </c>
      <c r="P28" s="31">
        <f t="shared" si="3"/>
        <v>0</v>
      </c>
      <c r="Q28">
        <f t="shared" si="4"/>
        <v>149587.72105872436</v>
      </c>
    </row>
    <row r="29" spans="1:17" x14ac:dyDescent="0.35">
      <c r="A29">
        <v>2025</v>
      </c>
      <c r="B29" t="s">
        <v>7</v>
      </c>
      <c r="C29" t="s">
        <v>10</v>
      </c>
      <c r="D29" t="s">
        <v>18</v>
      </c>
      <c r="E29" t="s">
        <v>483</v>
      </c>
      <c r="F29" t="s">
        <v>85</v>
      </c>
      <c r="G29" s="31">
        <v>813205.98217637825</v>
      </c>
      <c r="H29" s="31">
        <v>534750.25845525716</v>
      </c>
      <c r="I29" s="31">
        <v>281069.38147744298</v>
      </c>
      <c r="J29" s="32">
        <f t="shared" si="0"/>
        <v>165311.13087715703</v>
      </c>
      <c r="K29" s="31">
        <v>445015.9851307408</v>
      </c>
      <c r="L29" s="31">
        <v>532136.60069893533</v>
      </c>
      <c r="M29" s="32">
        <f t="shared" si="1"/>
        <v>366825.4698217783</v>
      </c>
      <c r="N29" s="33">
        <f>Result_notebook!L29</f>
        <v>0.83474576271186396</v>
      </c>
      <c r="O29" s="31">
        <f t="shared" si="2"/>
        <v>0</v>
      </c>
      <c r="P29" s="31">
        <f t="shared" si="3"/>
        <v>0</v>
      </c>
      <c r="Q29">
        <f t="shared" si="4"/>
        <v>165311.13087715703</v>
      </c>
    </row>
    <row r="30" spans="1:17" x14ac:dyDescent="0.35">
      <c r="A30">
        <v>2025</v>
      </c>
      <c r="B30" t="s">
        <v>7</v>
      </c>
      <c r="C30" t="s">
        <v>10</v>
      </c>
      <c r="D30" t="s">
        <v>18</v>
      </c>
      <c r="E30" t="s">
        <v>483</v>
      </c>
      <c r="F30" t="s">
        <v>86</v>
      </c>
      <c r="G30" s="31">
        <v>813205.98217637825</v>
      </c>
      <c r="H30" s="31">
        <v>534750.25845525716</v>
      </c>
      <c r="I30" s="31">
        <v>281069.38147744298</v>
      </c>
      <c r="J30" s="32">
        <f t="shared" si="0"/>
        <v>165311.13087715703</v>
      </c>
      <c r="K30" s="31">
        <v>445015.9851307408</v>
      </c>
      <c r="L30" s="31">
        <v>532136.60069893533</v>
      </c>
      <c r="M30" s="32">
        <f t="shared" si="1"/>
        <v>366825.4698217783</v>
      </c>
      <c r="N30" s="33">
        <f>Result_notebook!L30</f>
        <v>0.83474576271186396</v>
      </c>
      <c r="O30" s="31">
        <f t="shared" si="2"/>
        <v>0</v>
      </c>
      <c r="P30" s="31">
        <f t="shared" si="3"/>
        <v>0</v>
      </c>
      <c r="Q30">
        <f t="shared" si="4"/>
        <v>165311.13087715703</v>
      </c>
    </row>
    <row r="31" spans="1:17" x14ac:dyDescent="0.35">
      <c r="A31">
        <v>2025</v>
      </c>
      <c r="B31" t="s">
        <v>7</v>
      </c>
      <c r="C31" t="s">
        <v>10</v>
      </c>
      <c r="D31" t="s">
        <v>18</v>
      </c>
      <c r="E31" t="s">
        <v>490</v>
      </c>
      <c r="F31" t="s">
        <v>82</v>
      </c>
      <c r="G31" s="31">
        <v>813205.98217637825</v>
      </c>
      <c r="H31" s="31">
        <v>534750.25845525716</v>
      </c>
      <c r="I31" s="31">
        <v>446380.51235460019</v>
      </c>
      <c r="J31" s="32">
        <f t="shared" si="0"/>
        <v>0</v>
      </c>
      <c r="K31" s="31">
        <v>445015.9851307408</v>
      </c>
      <c r="L31" s="31">
        <v>366825.46982177801</v>
      </c>
      <c r="M31" s="32">
        <f t="shared" si="1"/>
        <v>366825.46982177801</v>
      </c>
      <c r="N31" s="33">
        <f>Result_notebook!L31</f>
        <v>0.83474576271186396</v>
      </c>
      <c r="O31" s="31">
        <f t="shared" si="2"/>
        <v>0</v>
      </c>
      <c r="P31" s="31">
        <f t="shared" si="3"/>
        <v>0</v>
      </c>
      <c r="Q31">
        <f t="shared" si="4"/>
        <v>0</v>
      </c>
    </row>
    <row r="32" spans="1:17" x14ac:dyDescent="0.35">
      <c r="A32">
        <v>2025</v>
      </c>
      <c r="B32" t="s">
        <v>11</v>
      </c>
      <c r="C32" t="s">
        <v>4</v>
      </c>
      <c r="D32" t="s">
        <v>16</v>
      </c>
      <c r="E32" t="s">
        <v>483</v>
      </c>
      <c r="F32" t="s">
        <v>80</v>
      </c>
      <c r="G32" s="31">
        <v>325.38476223044881</v>
      </c>
      <c r="H32" s="31">
        <v>0</v>
      </c>
      <c r="I32" s="31">
        <v>0</v>
      </c>
      <c r="J32" s="32">
        <f t="shared" si="0"/>
        <v>0</v>
      </c>
      <c r="K32" s="31">
        <v>542.30793705074802</v>
      </c>
      <c r="L32" s="31">
        <v>325.38476223044881</v>
      </c>
      <c r="M32" s="32">
        <f t="shared" si="1"/>
        <v>325.38476223044881</v>
      </c>
      <c r="N32" s="33">
        <f>Result_notebook!L32</f>
        <v>1</v>
      </c>
      <c r="O32" s="31">
        <f t="shared" si="2"/>
        <v>0</v>
      </c>
      <c r="P32" s="31">
        <f t="shared" si="3"/>
        <v>0</v>
      </c>
      <c r="Q32">
        <f t="shared" si="4"/>
        <v>0</v>
      </c>
    </row>
    <row r="33" spans="1:18" x14ac:dyDescent="0.35">
      <c r="A33">
        <v>2025</v>
      </c>
      <c r="B33" t="s">
        <v>11</v>
      </c>
      <c r="C33" t="s">
        <v>4</v>
      </c>
      <c r="D33" t="s">
        <v>16</v>
      </c>
      <c r="E33" t="s">
        <v>483</v>
      </c>
      <c r="F33" t="s">
        <v>81</v>
      </c>
      <c r="G33" s="31">
        <v>325.38476223044881</v>
      </c>
      <c r="H33" s="31">
        <v>0</v>
      </c>
      <c r="I33" s="31">
        <v>0</v>
      </c>
      <c r="J33" s="32">
        <f t="shared" si="0"/>
        <v>0</v>
      </c>
      <c r="K33" s="31">
        <v>542.30793705074802</v>
      </c>
      <c r="L33" s="31">
        <v>325.38476223044881</v>
      </c>
      <c r="M33" s="32">
        <f t="shared" si="1"/>
        <v>325.38476223044881</v>
      </c>
      <c r="N33" s="33">
        <f>Result_notebook!L33</f>
        <v>1</v>
      </c>
      <c r="O33" s="31">
        <f t="shared" si="2"/>
        <v>0</v>
      </c>
      <c r="P33" s="31">
        <f t="shared" si="3"/>
        <v>0</v>
      </c>
      <c r="Q33">
        <f t="shared" si="4"/>
        <v>0</v>
      </c>
    </row>
    <row r="34" spans="1:18" x14ac:dyDescent="0.35">
      <c r="A34">
        <v>2025</v>
      </c>
      <c r="B34" t="s">
        <v>11</v>
      </c>
      <c r="C34" t="s">
        <v>4</v>
      </c>
      <c r="D34" t="s">
        <v>18</v>
      </c>
      <c r="E34" t="s">
        <v>483</v>
      </c>
      <c r="F34" t="s">
        <v>85</v>
      </c>
      <c r="G34" s="31">
        <v>325.38476223044881</v>
      </c>
      <c r="H34" s="31">
        <v>2.7492305175562488</v>
      </c>
      <c r="I34" s="31">
        <v>1.6455351944387819</v>
      </c>
      <c r="J34" s="32">
        <f t="shared" si="0"/>
        <v>1.1036953231174669</v>
      </c>
      <c r="K34" s="31">
        <v>539.55870653319175</v>
      </c>
      <c r="L34" s="31">
        <v>323.73922703600999</v>
      </c>
      <c r="M34" s="32">
        <f t="shared" si="1"/>
        <v>322.63553171289254</v>
      </c>
      <c r="N34" s="33">
        <f>Result_notebook!L34</f>
        <v>1</v>
      </c>
      <c r="O34" s="31">
        <f t="shared" si="2"/>
        <v>0</v>
      </c>
      <c r="P34" s="31">
        <f t="shared" si="3"/>
        <v>0</v>
      </c>
      <c r="Q34">
        <f t="shared" si="4"/>
        <v>1.1036953231174669</v>
      </c>
    </row>
    <row r="35" spans="1:18" x14ac:dyDescent="0.35">
      <c r="A35">
        <v>2025</v>
      </c>
      <c r="B35" t="s">
        <v>11</v>
      </c>
      <c r="C35" t="s">
        <v>4</v>
      </c>
      <c r="D35" t="s">
        <v>18</v>
      </c>
      <c r="E35" t="s">
        <v>483</v>
      </c>
      <c r="F35" t="s">
        <v>86</v>
      </c>
      <c r="G35" s="31">
        <v>325.38476223044881</v>
      </c>
      <c r="H35" s="31">
        <v>2.7492305175562488</v>
      </c>
      <c r="I35" s="31">
        <v>1.6455351944387819</v>
      </c>
      <c r="J35" s="32">
        <f t="shared" si="0"/>
        <v>1.1036953231174669</v>
      </c>
      <c r="K35" s="31">
        <v>539.55870653319175</v>
      </c>
      <c r="L35" s="31">
        <v>323.73922703600999</v>
      </c>
      <c r="M35" s="32">
        <f t="shared" si="1"/>
        <v>322.63553171289254</v>
      </c>
      <c r="N35" s="33">
        <f>Result_notebook!L35</f>
        <v>1</v>
      </c>
      <c r="O35" s="31">
        <f t="shared" si="2"/>
        <v>0</v>
      </c>
      <c r="P35" s="31">
        <f t="shared" si="3"/>
        <v>0</v>
      </c>
      <c r="Q35">
        <f t="shared" si="4"/>
        <v>1.1036953231174669</v>
      </c>
    </row>
    <row r="36" spans="1:18" x14ac:dyDescent="0.35">
      <c r="A36">
        <v>2025</v>
      </c>
      <c r="B36" t="s">
        <v>11</v>
      </c>
      <c r="C36" t="s">
        <v>4</v>
      </c>
      <c r="D36" t="s">
        <v>18</v>
      </c>
      <c r="E36" t="s">
        <v>490</v>
      </c>
      <c r="F36" t="s">
        <v>82</v>
      </c>
      <c r="G36" s="31">
        <v>325.38476223044881</v>
      </c>
      <c r="H36" s="31">
        <v>2.7492305175562488</v>
      </c>
      <c r="I36" s="31">
        <v>1.6455351944387819</v>
      </c>
      <c r="J36" s="32">
        <f t="shared" si="0"/>
        <v>1.1036953231174669</v>
      </c>
      <c r="K36" s="31">
        <v>539.55870653319175</v>
      </c>
      <c r="L36" s="31">
        <v>323.73922703600999</v>
      </c>
      <c r="M36" s="32">
        <f t="shared" si="1"/>
        <v>322.63553171289254</v>
      </c>
      <c r="N36" s="33">
        <f>Result_notebook!L36</f>
        <v>1</v>
      </c>
      <c r="O36" s="31">
        <f t="shared" si="2"/>
        <v>0</v>
      </c>
      <c r="P36" s="31">
        <f t="shared" si="3"/>
        <v>0</v>
      </c>
      <c r="Q36">
        <f t="shared" si="4"/>
        <v>1.1036953231174669</v>
      </c>
    </row>
    <row r="37" spans="1:18" x14ac:dyDescent="0.35">
      <c r="A37">
        <v>2025</v>
      </c>
      <c r="B37" t="s">
        <v>11</v>
      </c>
      <c r="C37" t="s">
        <v>9</v>
      </c>
      <c r="D37" t="s">
        <v>16</v>
      </c>
      <c r="E37" t="s">
        <v>483</v>
      </c>
      <c r="F37" t="s">
        <v>80</v>
      </c>
      <c r="G37" s="31">
        <v>293.15719353433781</v>
      </c>
      <c r="H37" s="31">
        <v>0</v>
      </c>
      <c r="I37" s="31">
        <v>0</v>
      </c>
      <c r="J37" s="32">
        <f t="shared" si="0"/>
        <v>0</v>
      </c>
      <c r="K37" s="31">
        <v>488.59532255722968</v>
      </c>
      <c r="L37" s="31">
        <v>293.15719353433781</v>
      </c>
      <c r="M37" s="32">
        <f t="shared" si="1"/>
        <v>293.15719353433781</v>
      </c>
      <c r="N37" s="33">
        <f>Result_notebook!L37</f>
        <v>1</v>
      </c>
      <c r="O37" s="31">
        <f t="shared" si="2"/>
        <v>0</v>
      </c>
      <c r="P37" s="31">
        <f t="shared" si="3"/>
        <v>0</v>
      </c>
      <c r="Q37">
        <f t="shared" si="4"/>
        <v>0</v>
      </c>
    </row>
    <row r="38" spans="1:18" x14ac:dyDescent="0.35">
      <c r="A38">
        <v>2025</v>
      </c>
      <c r="B38" t="s">
        <v>11</v>
      </c>
      <c r="C38" t="s">
        <v>9</v>
      </c>
      <c r="D38" t="s">
        <v>16</v>
      </c>
      <c r="E38" t="s">
        <v>483</v>
      </c>
      <c r="F38" t="s">
        <v>81</v>
      </c>
      <c r="G38" s="31">
        <v>293.15719353433781</v>
      </c>
      <c r="H38" s="31">
        <v>0</v>
      </c>
      <c r="I38" s="31">
        <v>0</v>
      </c>
      <c r="J38" s="32">
        <f t="shared" si="0"/>
        <v>0</v>
      </c>
      <c r="K38" s="31">
        <v>488.59532255722968</v>
      </c>
      <c r="L38" s="31">
        <v>293.15719353433781</v>
      </c>
      <c r="M38" s="32">
        <f t="shared" si="1"/>
        <v>293.15719353433781</v>
      </c>
      <c r="N38" s="33">
        <f>Result_notebook!L38</f>
        <v>1</v>
      </c>
      <c r="O38" s="31">
        <f t="shared" si="2"/>
        <v>0</v>
      </c>
      <c r="P38" s="31">
        <f t="shared" si="3"/>
        <v>0</v>
      </c>
      <c r="Q38">
        <f t="shared" si="4"/>
        <v>0</v>
      </c>
    </row>
    <row r="39" spans="1:18" x14ac:dyDescent="0.35">
      <c r="A39">
        <v>2025</v>
      </c>
      <c r="B39" t="s">
        <v>11</v>
      </c>
      <c r="C39" t="s">
        <v>9</v>
      </c>
      <c r="D39" t="s">
        <v>18</v>
      </c>
      <c r="E39" t="s">
        <v>483</v>
      </c>
      <c r="F39" t="s">
        <v>85</v>
      </c>
      <c r="G39" s="31">
        <v>293.15719353433781</v>
      </c>
      <c r="H39" s="31">
        <v>2.7492305175562488</v>
      </c>
      <c r="I39" s="31">
        <v>1.6455351944387819</v>
      </c>
      <c r="J39" s="32">
        <f t="shared" si="0"/>
        <v>1.1036953231174669</v>
      </c>
      <c r="K39" s="31">
        <v>485.84609203967341</v>
      </c>
      <c r="L39" s="31">
        <v>291.51165833989899</v>
      </c>
      <c r="M39" s="32">
        <f t="shared" si="1"/>
        <v>290.40796301678154</v>
      </c>
      <c r="N39" s="33">
        <f>Result_notebook!L39</f>
        <v>1</v>
      </c>
      <c r="O39" s="31">
        <f t="shared" si="2"/>
        <v>0</v>
      </c>
      <c r="P39" s="31">
        <f t="shared" si="3"/>
        <v>0</v>
      </c>
      <c r="Q39">
        <f t="shared" si="4"/>
        <v>1.1036953231174669</v>
      </c>
    </row>
    <row r="40" spans="1:18" x14ac:dyDescent="0.35">
      <c r="A40">
        <v>2025</v>
      </c>
      <c r="B40" t="s">
        <v>11</v>
      </c>
      <c r="C40" t="s">
        <v>9</v>
      </c>
      <c r="D40" t="s">
        <v>18</v>
      </c>
      <c r="E40" t="s">
        <v>483</v>
      </c>
      <c r="F40" t="s">
        <v>86</v>
      </c>
      <c r="G40" s="31">
        <v>293.15719353433781</v>
      </c>
      <c r="H40" s="31">
        <v>2.7492305175562488</v>
      </c>
      <c r="I40" s="31">
        <v>1.6455351944387819</v>
      </c>
      <c r="J40" s="32">
        <f t="shared" si="0"/>
        <v>1.1036953231174669</v>
      </c>
      <c r="K40" s="31">
        <v>485.84609203967341</v>
      </c>
      <c r="L40" s="31">
        <v>291.51165833989899</v>
      </c>
      <c r="M40" s="32">
        <f t="shared" si="1"/>
        <v>290.40796301678154</v>
      </c>
      <c r="N40" s="33">
        <f>Result_notebook!L40</f>
        <v>1</v>
      </c>
      <c r="O40" s="31">
        <f t="shared" si="2"/>
        <v>0</v>
      </c>
      <c r="P40" s="31">
        <f t="shared" si="3"/>
        <v>0</v>
      </c>
      <c r="Q40">
        <f t="shared" si="4"/>
        <v>1.1036953231174669</v>
      </c>
    </row>
    <row r="41" spans="1:18" x14ac:dyDescent="0.35">
      <c r="A41">
        <v>2025</v>
      </c>
      <c r="B41" t="s">
        <v>11</v>
      </c>
      <c r="C41" t="s">
        <v>9</v>
      </c>
      <c r="D41" t="s">
        <v>18</v>
      </c>
      <c r="E41" t="s">
        <v>490</v>
      </c>
      <c r="F41" t="s">
        <v>82</v>
      </c>
      <c r="G41" s="31">
        <v>293.15719353433781</v>
      </c>
      <c r="H41" s="31">
        <v>2.7492305175562488</v>
      </c>
      <c r="I41" s="31">
        <v>1.6455351944387819</v>
      </c>
      <c r="J41" s="32">
        <f t="shared" si="0"/>
        <v>1.1036953231174669</v>
      </c>
      <c r="K41" s="31">
        <v>485.84609203967341</v>
      </c>
      <c r="L41" s="31">
        <v>291.51165833989899</v>
      </c>
      <c r="M41" s="32">
        <f t="shared" si="1"/>
        <v>290.40796301678154</v>
      </c>
      <c r="N41" s="33">
        <f>Result_notebook!L41</f>
        <v>1</v>
      </c>
      <c r="O41" s="31">
        <f t="shared" si="2"/>
        <v>0</v>
      </c>
      <c r="P41" s="31">
        <f t="shared" si="3"/>
        <v>0</v>
      </c>
      <c r="Q41">
        <f t="shared" si="4"/>
        <v>1.1036953231174669</v>
      </c>
    </row>
    <row r="42" spans="1:18" x14ac:dyDescent="0.35">
      <c r="A42">
        <v>2025</v>
      </c>
      <c r="B42" t="s">
        <v>11</v>
      </c>
      <c r="C42" t="s">
        <v>10</v>
      </c>
      <c r="D42" t="s">
        <v>16</v>
      </c>
      <c r="E42" t="s">
        <v>483</v>
      </c>
      <c r="F42" t="s">
        <v>80</v>
      </c>
      <c r="G42" s="31">
        <v>324.20432339207548</v>
      </c>
      <c r="H42" s="31">
        <v>0</v>
      </c>
      <c r="I42" s="31">
        <v>0</v>
      </c>
      <c r="J42" s="32">
        <f t="shared" si="0"/>
        <v>0</v>
      </c>
      <c r="K42" s="31">
        <v>540.34053898679247</v>
      </c>
      <c r="L42" s="31">
        <v>324.20432339207548</v>
      </c>
      <c r="M42" s="32">
        <f t="shared" si="1"/>
        <v>324.20432339207548</v>
      </c>
      <c r="N42" s="33">
        <f>Result_notebook!L42</f>
        <v>1</v>
      </c>
      <c r="O42" s="31">
        <f t="shared" si="2"/>
        <v>0</v>
      </c>
      <c r="P42" s="31">
        <f t="shared" si="3"/>
        <v>0</v>
      </c>
      <c r="Q42">
        <f t="shared" si="4"/>
        <v>0</v>
      </c>
    </row>
    <row r="43" spans="1:18" x14ac:dyDescent="0.35">
      <c r="A43">
        <v>2025</v>
      </c>
      <c r="B43" t="s">
        <v>11</v>
      </c>
      <c r="C43" t="s">
        <v>10</v>
      </c>
      <c r="D43" t="s">
        <v>16</v>
      </c>
      <c r="E43" t="s">
        <v>483</v>
      </c>
      <c r="F43" t="s">
        <v>81</v>
      </c>
      <c r="G43" s="31">
        <v>324.20432339207548</v>
      </c>
      <c r="H43" s="31">
        <v>0</v>
      </c>
      <c r="I43" s="31">
        <v>0</v>
      </c>
      <c r="J43" s="32">
        <f t="shared" si="0"/>
        <v>0</v>
      </c>
      <c r="K43" s="31">
        <v>540.34053898679247</v>
      </c>
      <c r="L43" s="31">
        <v>324.20432339207548</v>
      </c>
      <c r="M43" s="32">
        <f t="shared" si="1"/>
        <v>324.20432339207548</v>
      </c>
      <c r="N43" s="33">
        <f>Result_notebook!L43</f>
        <v>1</v>
      </c>
      <c r="O43" s="31">
        <f t="shared" si="2"/>
        <v>0</v>
      </c>
      <c r="P43" s="31">
        <f t="shared" si="3"/>
        <v>0</v>
      </c>
      <c r="Q43">
        <f t="shared" si="4"/>
        <v>0</v>
      </c>
    </row>
    <row r="44" spans="1:18" x14ac:dyDescent="0.35">
      <c r="A44">
        <v>2025</v>
      </c>
      <c r="B44" t="s">
        <v>11</v>
      </c>
      <c r="C44" t="s">
        <v>10</v>
      </c>
      <c r="D44" t="s">
        <v>18</v>
      </c>
      <c r="E44" t="s">
        <v>483</v>
      </c>
      <c r="F44" t="s">
        <v>85</v>
      </c>
      <c r="G44" s="31">
        <v>324.20432339207548</v>
      </c>
      <c r="H44" s="31">
        <v>2.7492305175562488</v>
      </c>
      <c r="I44" s="31">
        <v>1.6455351944387819</v>
      </c>
      <c r="J44" s="32">
        <f t="shared" si="0"/>
        <v>1.1036953231174669</v>
      </c>
      <c r="K44" s="31">
        <v>537.5913084692362</v>
      </c>
      <c r="L44" s="31">
        <v>322.55878819763672</v>
      </c>
      <c r="M44" s="32">
        <f t="shared" si="1"/>
        <v>321.45509287451927</v>
      </c>
      <c r="N44" s="33">
        <f>Result_notebook!L44</f>
        <v>1</v>
      </c>
      <c r="O44" s="31">
        <f t="shared" si="2"/>
        <v>0</v>
      </c>
      <c r="P44" s="31">
        <f t="shared" si="3"/>
        <v>0</v>
      </c>
      <c r="Q44">
        <f t="shared" si="4"/>
        <v>1.1036953231174669</v>
      </c>
    </row>
    <row r="45" spans="1:18" x14ac:dyDescent="0.35">
      <c r="A45">
        <v>2025</v>
      </c>
      <c r="B45" t="s">
        <v>11</v>
      </c>
      <c r="C45" t="s">
        <v>10</v>
      </c>
      <c r="D45" t="s">
        <v>18</v>
      </c>
      <c r="E45" t="s">
        <v>483</v>
      </c>
      <c r="F45" t="s">
        <v>86</v>
      </c>
      <c r="G45" s="31">
        <v>324.20432339207548</v>
      </c>
      <c r="H45" s="31">
        <v>2.7492305175562488</v>
      </c>
      <c r="I45" s="31">
        <v>1.6455351944387819</v>
      </c>
      <c r="J45" s="32">
        <f t="shared" si="0"/>
        <v>1.1036953231174669</v>
      </c>
      <c r="K45" s="31">
        <v>537.5913084692362</v>
      </c>
      <c r="L45" s="31">
        <v>322.55878819763672</v>
      </c>
      <c r="M45" s="32">
        <f t="shared" si="1"/>
        <v>321.45509287451927</v>
      </c>
      <c r="N45" s="33">
        <f>Result_notebook!L45</f>
        <v>1</v>
      </c>
      <c r="O45" s="31">
        <f t="shared" si="2"/>
        <v>0</v>
      </c>
      <c r="P45" s="31">
        <f t="shared" si="3"/>
        <v>0</v>
      </c>
      <c r="Q45">
        <f t="shared" si="4"/>
        <v>1.1036953231174669</v>
      </c>
    </row>
    <row r="46" spans="1:18" x14ac:dyDescent="0.35">
      <c r="A46">
        <v>2025</v>
      </c>
      <c r="B46" t="s">
        <v>11</v>
      </c>
      <c r="C46" t="s">
        <v>10</v>
      </c>
      <c r="D46" t="s">
        <v>18</v>
      </c>
      <c r="E46" t="s">
        <v>490</v>
      </c>
      <c r="F46" t="s">
        <v>82</v>
      </c>
      <c r="G46" s="31">
        <v>324.20432339207548</v>
      </c>
      <c r="H46" s="31">
        <v>2.7492305175562488</v>
      </c>
      <c r="I46" s="31">
        <v>1.6455351944387819</v>
      </c>
      <c r="J46" s="32">
        <f t="shared" si="0"/>
        <v>1.1036953231174669</v>
      </c>
      <c r="K46" s="31">
        <v>537.5913084692362</v>
      </c>
      <c r="L46" s="31">
        <v>322.55878819763672</v>
      </c>
      <c r="M46" s="32">
        <f t="shared" si="1"/>
        <v>321.45509287451927</v>
      </c>
      <c r="N46" s="33">
        <f>Result_notebook!L46</f>
        <v>1</v>
      </c>
      <c r="O46" s="31">
        <f t="shared" si="2"/>
        <v>0</v>
      </c>
      <c r="P46" s="31">
        <f t="shared" si="3"/>
        <v>0</v>
      </c>
      <c r="Q46">
        <f t="shared" si="4"/>
        <v>1.1036953231174669</v>
      </c>
    </row>
    <row r="47" spans="1:18" x14ac:dyDescent="0.35">
      <c r="A47">
        <v>2025</v>
      </c>
      <c r="B47" t="s">
        <v>8</v>
      </c>
      <c r="C47" t="s">
        <v>4</v>
      </c>
      <c r="D47" t="s">
        <v>16</v>
      </c>
      <c r="E47" t="s">
        <v>483</v>
      </c>
      <c r="F47" t="s">
        <v>80</v>
      </c>
      <c r="G47" s="31">
        <v>22394.317081973011</v>
      </c>
      <c r="H47" s="31">
        <v>0</v>
      </c>
      <c r="I47" s="31">
        <v>0</v>
      </c>
      <c r="J47" s="32">
        <f t="shared" si="0"/>
        <v>0</v>
      </c>
      <c r="K47" s="31">
        <v>28347.236812624069</v>
      </c>
      <c r="L47" s="31">
        <v>22394.317081973011</v>
      </c>
      <c r="M47" s="32">
        <f t="shared" si="1"/>
        <v>22394.317081973011</v>
      </c>
      <c r="N47" s="33">
        <f>Result_notebook!L47</f>
        <v>0.69917047091553897</v>
      </c>
      <c r="O47" s="31">
        <f t="shared" si="2"/>
        <v>0</v>
      </c>
      <c r="P47" s="31">
        <f t="shared" si="3"/>
        <v>0</v>
      </c>
      <c r="Q47">
        <f t="shared" si="4"/>
        <v>0</v>
      </c>
    </row>
    <row r="48" spans="1:18" x14ac:dyDescent="0.35">
      <c r="A48">
        <v>2025</v>
      </c>
      <c r="B48" t="s">
        <v>8</v>
      </c>
      <c r="C48" t="s">
        <v>4</v>
      </c>
      <c r="D48" t="s">
        <v>16</v>
      </c>
      <c r="E48" t="s">
        <v>483</v>
      </c>
      <c r="F48" t="s">
        <v>81</v>
      </c>
      <c r="G48" s="31">
        <v>22394.317081973011</v>
      </c>
      <c r="H48" s="31">
        <v>154586</v>
      </c>
      <c r="I48" s="31">
        <v>86704.202309810571</v>
      </c>
      <c r="J48" s="32">
        <f t="shared" si="0"/>
        <v>21377.764107138937</v>
      </c>
      <c r="K48" s="31">
        <v>0</v>
      </c>
      <c r="L48" s="31">
        <v>0</v>
      </c>
      <c r="M48" s="32">
        <f t="shared" si="1"/>
        <v>0</v>
      </c>
      <c r="N48" s="33">
        <f>Result_notebook!L48</f>
        <v>0.69917047091553897</v>
      </c>
      <c r="O48" s="31">
        <f t="shared" si="2"/>
        <v>-85687.649334976493</v>
      </c>
      <c r="P48" s="31">
        <f t="shared" si="3"/>
        <v>64309.885227837556</v>
      </c>
      <c r="Q48">
        <f t="shared" si="4"/>
        <v>21377.764107138937</v>
      </c>
      <c r="R48" s="31"/>
    </row>
    <row r="49" spans="1:17" x14ac:dyDescent="0.35">
      <c r="A49">
        <v>2025</v>
      </c>
      <c r="B49" t="s">
        <v>8</v>
      </c>
      <c r="C49" t="s">
        <v>4</v>
      </c>
      <c r="D49" t="s">
        <v>18</v>
      </c>
      <c r="E49" t="s">
        <v>483</v>
      </c>
      <c r="F49" t="s">
        <v>85</v>
      </c>
      <c r="G49" s="31">
        <v>22394.317081973011</v>
      </c>
      <c r="H49" s="31">
        <v>154586</v>
      </c>
      <c r="I49" s="31">
        <v>86704.202309810571</v>
      </c>
      <c r="J49" s="32">
        <f t="shared" si="0"/>
        <v>21377.764107138937</v>
      </c>
      <c r="K49" s="31">
        <v>0</v>
      </c>
      <c r="L49" s="31">
        <v>0</v>
      </c>
      <c r="M49" s="32">
        <f t="shared" si="1"/>
        <v>0</v>
      </c>
      <c r="N49" s="33">
        <f>Result_notebook!L49</f>
        <v>0.69917047091553897</v>
      </c>
      <c r="O49" s="31">
        <f t="shared" si="2"/>
        <v>-85687.649334976493</v>
      </c>
      <c r="P49" s="31">
        <f t="shared" si="3"/>
        <v>64309.885227837556</v>
      </c>
      <c r="Q49">
        <f t="shared" si="4"/>
        <v>21377.764107138937</v>
      </c>
    </row>
    <row r="50" spans="1:17" x14ac:dyDescent="0.35">
      <c r="A50">
        <v>2025</v>
      </c>
      <c r="B50" t="s">
        <v>8</v>
      </c>
      <c r="C50" t="s">
        <v>4</v>
      </c>
      <c r="D50" t="s">
        <v>18</v>
      </c>
      <c r="E50" t="s">
        <v>483</v>
      </c>
      <c r="F50" t="s">
        <v>86</v>
      </c>
      <c r="G50" s="31">
        <v>22394.317081973011</v>
      </c>
      <c r="H50" s="31">
        <v>154586</v>
      </c>
      <c r="I50" s="31">
        <v>86704.202309810571</v>
      </c>
      <c r="J50" s="32">
        <f t="shared" si="0"/>
        <v>21377.764107138937</v>
      </c>
      <c r="K50" s="31">
        <v>0</v>
      </c>
      <c r="L50" s="31">
        <v>0</v>
      </c>
      <c r="M50" s="32">
        <f t="shared" si="1"/>
        <v>0</v>
      </c>
      <c r="N50" s="33">
        <f>Result_notebook!L50</f>
        <v>0.69917047091553897</v>
      </c>
      <c r="O50" s="31">
        <f t="shared" si="2"/>
        <v>-85687.649334976493</v>
      </c>
      <c r="P50" s="31">
        <f t="shared" si="3"/>
        <v>64309.885227837556</v>
      </c>
      <c r="Q50">
        <f t="shared" si="4"/>
        <v>21377.764107138937</v>
      </c>
    </row>
    <row r="51" spans="1:17" x14ac:dyDescent="0.35">
      <c r="A51">
        <v>2025</v>
      </c>
      <c r="B51" t="s">
        <v>8</v>
      </c>
      <c r="C51" t="s">
        <v>4</v>
      </c>
      <c r="D51" t="s">
        <v>18</v>
      </c>
      <c r="E51" t="s">
        <v>490</v>
      </c>
      <c r="F51" t="s">
        <v>82</v>
      </c>
      <c r="G51" s="31">
        <v>22394.317081973011</v>
      </c>
      <c r="H51" s="31">
        <v>154586</v>
      </c>
      <c r="I51" s="31">
        <v>121744.976744186</v>
      </c>
      <c r="J51" s="32">
        <f t="shared" si="0"/>
        <v>-13663.010327236494</v>
      </c>
      <c r="K51" s="31">
        <v>0</v>
      </c>
      <c r="L51" s="31">
        <v>0</v>
      </c>
      <c r="M51" s="32">
        <f t="shared" si="1"/>
        <v>13663.010327236494</v>
      </c>
      <c r="N51" s="33">
        <f>Result_notebook!L51</f>
        <v>0.69917047091553897</v>
      </c>
      <c r="O51" s="31">
        <f t="shared" si="2"/>
        <v>-99350.659662212987</v>
      </c>
      <c r="P51" s="31">
        <f t="shared" si="3"/>
        <v>99350.659662212987</v>
      </c>
      <c r="Q51">
        <f t="shared" si="4"/>
        <v>-13663.010327236494</v>
      </c>
    </row>
    <row r="52" spans="1:17" x14ac:dyDescent="0.35">
      <c r="A52">
        <v>2025</v>
      </c>
      <c r="B52" t="s">
        <v>8</v>
      </c>
      <c r="C52" t="s">
        <v>9</v>
      </c>
      <c r="D52" t="s">
        <v>16</v>
      </c>
      <c r="E52" t="s">
        <v>483</v>
      </c>
      <c r="F52" t="s">
        <v>80</v>
      </c>
      <c r="G52" s="31">
        <v>20352.370126600821</v>
      </c>
      <c r="H52" s="31">
        <v>0</v>
      </c>
      <c r="I52" s="31">
        <v>0</v>
      </c>
      <c r="J52" s="32">
        <f t="shared" si="0"/>
        <v>0</v>
      </c>
      <c r="K52" s="31">
        <v>25762.49383114028</v>
      </c>
      <c r="L52" s="31">
        <v>20352.370126600821</v>
      </c>
      <c r="M52" s="32">
        <f t="shared" si="1"/>
        <v>20352.370126600821</v>
      </c>
      <c r="N52" s="33">
        <f>Result_notebook!L52</f>
        <v>0.69917047091553897</v>
      </c>
      <c r="O52" s="31">
        <f t="shared" si="2"/>
        <v>0</v>
      </c>
      <c r="P52" s="31">
        <f t="shared" si="3"/>
        <v>0</v>
      </c>
      <c r="Q52">
        <f t="shared" si="4"/>
        <v>0</v>
      </c>
    </row>
    <row r="53" spans="1:17" x14ac:dyDescent="0.35">
      <c r="A53">
        <v>2025</v>
      </c>
      <c r="B53" t="s">
        <v>8</v>
      </c>
      <c r="C53" t="s">
        <v>9</v>
      </c>
      <c r="D53" t="s">
        <v>16</v>
      </c>
      <c r="E53" t="s">
        <v>483</v>
      </c>
      <c r="F53" t="s">
        <v>81</v>
      </c>
      <c r="G53" s="31">
        <v>20352.370126600821</v>
      </c>
      <c r="H53" s="31">
        <v>154586</v>
      </c>
      <c r="I53" s="31">
        <v>86704.202309810571</v>
      </c>
      <c r="J53" s="32">
        <f t="shared" si="0"/>
        <v>21377.764107138937</v>
      </c>
      <c r="K53" s="31">
        <v>0</v>
      </c>
      <c r="L53" s="31">
        <v>0</v>
      </c>
      <c r="M53" s="32">
        <f t="shared" si="1"/>
        <v>0</v>
      </c>
      <c r="N53" s="33">
        <f>Result_notebook!L53</f>
        <v>0.69917047091553897</v>
      </c>
      <c r="O53" s="31">
        <f t="shared" si="2"/>
        <v>-87729.59629034868</v>
      </c>
      <c r="P53" s="31">
        <f t="shared" si="3"/>
        <v>66351.832183209743</v>
      </c>
      <c r="Q53">
        <f t="shared" si="4"/>
        <v>21377.764107138937</v>
      </c>
    </row>
    <row r="54" spans="1:17" x14ac:dyDescent="0.35">
      <c r="A54">
        <v>2025</v>
      </c>
      <c r="B54" t="s">
        <v>8</v>
      </c>
      <c r="C54" t="s">
        <v>9</v>
      </c>
      <c r="D54" t="s">
        <v>18</v>
      </c>
      <c r="E54" t="s">
        <v>483</v>
      </c>
      <c r="F54" t="s">
        <v>85</v>
      </c>
      <c r="G54" s="31">
        <v>20352.370126600821</v>
      </c>
      <c r="H54" s="31">
        <v>154586</v>
      </c>
      <c r="I54" s="31">
        <v>86704.202309810571</v>
      </c>
      <c r="J54" s="32">
        <f t="shared" si="0"/>
        <v>21377.764107138937</v>
      </c>
      <c r="K54" s="31">
        <v>0</v>
      </c>
      <c r="L54" s="31">
        <v>0</v>
      </c>
      <c r="M54" s="32">
        <f t="shared" si="1"/>
        <v>0</v>
      </c>
      <c r="N54" s="33">
        <f>Result_notebook!L54</f>
        <v>0.69917047091553897</v>
      </c>
      <c r="O54" s="31">
        <f t="shared" si="2"/>
        <v>-87729.59629034868</v>
      </c>
      <c r="P54" s="31">
        <f t="shared" si="3"/>
        <v>66351.832183209743</v>
      </c>
      <c r="Q54">
        <f t="shared" si="4"/>
        <v>21377.764107138937</v>
      </c>
    </row>
    <row r="55" spans="1:17" x14ac:dyDescent="0.35">
      <c r="A55">
        <v>2025</v>
      </c>
      <c r="B55" t="s">
        <v>8</v>
      </c>
      <c r="C55" t="s">
        <v>9</v>
      </c>
      <c r="D55" t="s">
        <v>18</v>
      </c>
      <c r="E55" t="s">
        <v>483</v>
      </c>
      <c r="F55" t="s">
        <v>86</v>
      </c>
      <c r="G55" s="31">
        <v>20352.370126600821</v>
      </c>
      <c r="H55" s="31">
        <v>154586</v>
      </c>
      <c r="I55" s="31">
        <v>86704.202309810571</v>
      </c>
      <c r="J55" s="32">
        <f t="shared" si="0"/>
        <v>21377.764107138937</v>
      </c>
      <c r="K55" s="31">
        <v>0</v>
      </c>
      <c r="L55" s="31">
        <v>0</v>
      </c>
      <c r="M55" s="32">
        <f t="shared" si="1"/>
        <v>0</v>
      </c>
      <c r="N55" s="33">
        <f>Result_notebook!L55</f>
        <v>0.69917047091553897</v>
      </c>
      <c r="O55" s="31">
        <f t="shared" si="2"/>
        <v>-87729.59629034868</v>
      </c>
      <c r="P55" s="31">
        <f t="shared" si="3"/>
        <v>66351.832183209743</v>
      </c>
      <c r="Q55">
        <f t="shared" si="4"/>
        <v>21377.764107138937</v>
      </c>
    </row>
    <row r="56" spans="1:17" x14ac:dyDescent="0.35">
      <c r="A56">
        <v>2025</v>
      </c>
      <c r="B56" t="s">
        <v>8</v>
      </c>
      <c r="C56" t="s">
        <v>9</v>
      </c>
      <c r="D56" t="s">
        <v>18</v>
      </c>
      <c r="E56" t="s">
        <v>490</v>
      </c>
      <c r="F56" t="s">
        <v>82</v>
      </c>
      <c r="G56" s="31">
        <v>20352.370126600821</v>
      </c>
      <c r="H56" s="31">
        <v>154586</v>
      </c>
      <c r="I56" s="31">
        <v>121744.976744186</v>
      </c>
      <c r="J56" s="32">
        <f t="shared" si="0"/>
        <v>-13663.010327236494</v>
      </c>
      <c r="K56" s="31">
        <v>0</v>
      </c>
      <c r="L56" s="31">
        <v>0</v>
      </c>
      <c r="M56" s="32">
        <f t="shared" si="1"/>
        <v>13663.010327236494</v>
      </c>
      <c r="N56" s="33">
        <f>Result_notebook!L56</f>
        <v>0.69917047091553897</v>
      </c>
      <c r="O56" s="31">
        <f t="shared" si="2"/>
        <v>-101392.60661758517</v>
      </c>
      <c r="P56" s="31">
        <f t="shared" si="3"/>
        <v>101392.60661758517</v>
      </c>
      <c r="Q56">
        <f t="shared" si="4"/>
        <v>-13663.010327236494</v>
      </c>
    </row>
    <row r="57" spans="1:17" x14ac:dyDescent="0.35">
      <c r="A57">
        <v>2025</v>
      </c>
      <c r="B57" t="s">
        <v>8</v>
      </c>
      <c r="C57" t="s">
        <v>10</v>
      </c>
      <c r="D57" t="s">
        <v>16</v>
      </c>
      <c r="E57" t="s">
        <v>483</v>
      </c>
      <c r="F57" t="s">
        <v>80</v>
      </c>
      <c r="G57" s="31">
        <v>21927.171834368899</v>
      </c>
      <c r="H57" s="31">
        <v>0</v>
      </c>
      <c r="I57" s="31">
        <v>0</v>
      </c>
      <c r="J57" s="32">
        <f t="shared" si="0"/>
        <v>0</v>
      </c>
      <c r="K57" s="31">
        <v>27755.913714391008</v>
      </c>
      <c r="L57" s="31">
        <v>21927.171834368899</v>
      </c>
      <c r="M57" s="32">
        <f t="shared" si="1"/>
        <v>21927.171834368899</v>
      </c>
      <c r="N57" s="33">
        <f>Result_notebook!L57</f>
        <v>0.69917047091553897</v>
      </c>
      <c r="O57" s="31">
        <f t="shared" si="2"/>
        <v>0</v>
      </c>
      <c r="P57" s="31">
        <f t="shared" si="3"/>
        <v>0</v>
      </c>
      <c r="Q57">
        <f t="shared" si="4"/>
        <v>0</v>
      </c>
    </row>
    <row r="58" spans="1:17" x14ac:dyDescent="0.35">
      <c r="A58">
        <v>2025</v>
      </c>
      <c r="B58" t="s">
        <v>8</v>
      </c>
      <c r="C58" t="s">
        <v>10</v>
      </c>
      <c r="D58" t="s">
        <v>16</v>
      </c>
      <c r="E58" t="s">
        <v>483</v>
      </c>
      <c r="F58" t="s">
        <v>81</v>
      </c>
      <c r="G58" s="31">
        <v>21927.171834368899</v>
      </c>
      <c r="H58" s="31">
        <v>154586</v>
      </c>
      <c r="I58" s="31">
        <v>86704.202309810571</v>
      </c>
      <c r="J58" s="32">
        <f t="shared" si="0"/>
        <v>21377.764107138937</v>
      </c>
      <c r="K58" s="31">
        <v>0</v>
      </c>
      <c r="L58" s="31">
        <v>0</v>
      </c>
      <c r="M58" s="32">
        <f t="shared" si="1"/>
        <v>0</v>
      </c>
      <c r="N58" s="33">
        <f>Result_notebook!L58</f>
        <v>0.69917047091553897</v>
      </c>
      <c r="O58" s="31">
        <f t="shared" si="2"/>
        <v>-86154.794582580609</v>
      </c>
      <c r="P58" s="31">
        <f t="shared" si="3"/>
        <v>64777.030475441672</v>
      </c>
      <c r="Q58">
        <f t="shared" si="4"/>
        <v>21377.764107138937</v>
      </c>
    </row>
    <row r="59" spans="1:17" x14ac:dyDescent="0.35">
      <c r="A59">
        <v>2025</v>
      </c>
      <c r="B59" t="s">
        <v>8</v>
      </c>
      <c r="C59" t="s">
        <v>10</v>
      </c>
      <c r="D59" t="s">
        <v>18</v>
      </c>
      <c r="E59" t="s">
        <v>483</v>
      </c>
      <c r="F59" t="s">
        <v>85</v>
      </c>
      <c r="G59" s="31">
        <v>21927.171834368899</v>
      </c>
      <c r="H59" s="31">
        <v>154586</v>
      </c>
      <c r="I59" s="31">
        <v>86704.202309810571</v>
      </c>
      <c r="J59" s="32">
        <f t="shared" si="0"/>
        <v>21377.764107138937</v>
      </c>
      <c r="K59" s="31">
        <v>0</v>
      </c>
      <c r="L59" s="31">
        <v>0</v>
      </c>
      <c r="M59" s="32">
        <f t="shared" si="1"/>
        <v>0</v>
      </c>
      <c r="N59" s="33">
        <f>Result_notebook!L59</f>
        <v>0.69917047091553897</v>
      </c>
      <c r="O59" s="31">
        <f t="shared" si="2"/>
        <v>-86154.794582580609</v>
      </c>
      <c r="P59" s="31">
        <f t="shared" si="3"/>
        <v>64777.030475441672</v>
      </c>
      <c r="Q59">
        <f t="shared" si="4"/>
        <v>21377.764107138937</v>
      </c>
    </row>
    <row r="60" spans="1:17" x14ac:dyDescent="0.35">
      <c r="A60">
        <v>2025</v>
      </c>
      <c r="B60" t="s">
        <v>8</v>
      </c>
      <c r="C60" t="s">
        <v>10</v>
      </c>
      <c r="D60" t="s">
        <v>18</v>
      </c>
      <c r="E60" t="s">
        <v>483</v>
      </c>
      <c r="F60" t="s">
        <v>86</v>
      </c>
      <c r="G60" s="31">
        <v>21927.171834368899</v>
      </c>
      <c r="H60" s="31">
        <v>154586</v>
      </c>
      <c r="I60" s="31">
        <v>86704.202309810571</v>
      </c>
      <c r="J60" s="32">
        <f t="shared" si="0"/>
        <v>21377.764107138937</v>
      </c>
      <c r="K60" s="31">
        <v>0</v>
      </c>
      <c r="L60" s="31">
        <v>0</v>
      </c>
      <c r="M60" s="32">
        <f t="shared" si="1"/>
        <v>0</v>
      </c>
      <c r="N60" s="33">
        <f>Result_notebook!L60</f>
        <v>0.69917047091553897</v>
      </c>
      <c r="O60" s="31">
        <f t="shared" si="2"/>
        <v>-86154.794582580609</v>
      </c>
      <c r="P60" s="31">
        <f t="shared" si="3"/>
        <v>64777.030475441672</v>
      </c>
      <c r="Q60">
        <f t="shared" si="4"/>
        <v>21377.764107138937</v>
      </c>
    </row>
    <row r="61" spans="1:17" x14ac:dyDescent="0.35">
      <c r="A61">
        <v>2025</v>
      </c>
      <c r="B61" t="s">
        <v>8</v>
      </c>
      <c r="C61" t="s">
        <v>10</v>
      </c>
      <c r="D61" t="s">
        <v>18</v>
      </c>
      <c r="E61" t="s">
        <v>490</v>
      </c>
      <c r="F61" t="s">
        <v>82</v>
      </c>
      <c r="G61" s="31">
        <v>21927.171834368899</v>
      </c>
      <c r="H61" s="31">
        <v>154586</v>
      </c>
      <c r="I61" s="31">
        <v>121744.976744186</v>
      </c>
      <c r="J61" s="32">
        <f t="shared" si="0"/>
        <v>-13663.010327236494</v>
      </c>
      <c r="K61" s="31">
        <v>0</v>
      </c>
      <c r="L61" s="31">
        <v>0</v>
      </c>
      <c r="M61" s="32">
        <f t="shared" si="1"/>
        <v>13663.010327236494</v>
      </c>
      <c r="N61" s="33">
        <f>Result_notebook!L61</f>
        <v>0.69917047091553897</v>
      </c>
      <c r="O61" s="31">
        <f t="shared" si="2"/>
        <v>-99817.804909817103</v>
      </c>
      <c r="P61" s="31">
        <f t="shared" si="3"/>
        <v>99817.804909817103</v>
      </c>
      <c r="Q61">
        <f t="shared" si="4"/>
        <v>-13663.010327236494</v>
      </c>
    </row>
    <row r="62" spans="1:17" x14ac:dyDescent="0.35">
      <c r="A62">
        <v>2025</v>
      </c>
      <c r="B62" t="s">
        <v>13</v>
      </c>
      <c r="C62" t="s">
        <v>4</v>
      </c>
      <c r="D62" t="s">
        <v>16</v>
      </c>
      <c r="E62" t="s">
        <v>483</v>
      </c>
      <c r="F62" t="s">
        <v>80</v>
      </c>
      <c r="G62" s="31">
        <v>413.38674287243032</v>
      </c>
      <c r="H62" s="31">
        <v>0</v>
      </c>
      <c r="I62" s="31">
        <v>0</v>
      </c>
      <c r="J62" s="32">
        <f t="shared" si="0"/>
        <v>0</v>
      </c>
      <c r="K62" s="31">
        <v>413.38674287243032</v>
      </c>
      <c r="L62" s="31">
        <v>413.38674287243032</v>
      </c>
      <c r="M62" s="32">
        <f t="shared" si="1"/>
        <v>413.38674287243032</v>
      </c>
      <c r="N62" s="33">
        <f>Result_notebook!L62</f>
        <v>0.59854391398996798</v>
      </c>
      <c r="O62" s="31">
        <f t="shared" si="2"/>
        <v>0</v>
      </c>
      <c r="P62" s="31">
        <f t="shared" si="3"/>
        <v>0</v>
      </c>
      <c r="Q62">
        <f t="shared" si="4"/>
        <v>0</v>
      </c>
    </row>
    <row r="63" spans="1:17" x14ac:dyDescent="0.35">
      <c r="A63">
        <v>2025</v>
      </c>
      <c r="B63" t="s">
        <v>13</v>
      </c>
      <c r="C63" t="s">
        <v>4</v>
      </c>
      <c r="D63" t="s">
        <v>16</v>
      </c>
      <c r="E63" t="s">
        <v>483</v>
      </c>
      <c r="F63" t="s">
        <v>81</v>
      </c>
      <c r="G63" s="31">
        <v>413.38674287243032</v>
      </c>
      <c r="H63" s="31">
        <v>0</v>
      </c>
      <c r="I63" s="31">
        <v>0</v>
      </c>
      <c r="J63" s="32">
        <f t="shared" si="0"/>
        <v>0</v>
      </c>
      <c r="K63" s="31">
        <v>413.38674287243032</v>
      </c>
      <c r="L63" s="31">
        <v>413.38674287243032</v>
      </c>
      <c r="M63" s="32">
        <f t="shared" si="1"/>
        <v>413.38674287243032</v>
      </c>
      <c r="N63" s="33">
        <f>Result_notebook!L63</f>
        <v>0.59854391398996798</v>
      </c>
      <c r="O63" s="31">
        <f t="shared" si="2"/>
        <v>0</v>
      </c>
      <c r="P63" s="31">
        <f t="shared" si="3"/>
        <v>0</v>
      </c>
      <c r="Q63">
        <f t="shared" si="4"/>
        <v>0</v>
      </c>
    </row>
    <row r="64" spans="1:17" x14ac:dyDescent="0.35">
      <c r="A64">
        <v>2025</v>
      </c>
      <c r="B64" t="s">
        <v>13</v>
      </c>
      <c r="C64" t="s">
        <v>4</v>
      </c>
      <c r="D64" t="s">
        <v>18</v>
      </c>
      <c r="E64" t="s">
        <v>483</v>
      </c>
      <c r="F64" t="s">
        <v>85</v>
      </c>
      <c r="G64" s="31">
        <v>413.38674287243032</v>
      </c>
      <c r="H64" s="31">
        <v>99547</v>
      </c>
      <c r="I64" s="31">
        <v>32850.51</v>
      </c>
      <c r="J64" s="32">
        <f t="shared" si="0"/>
        <v>26732.741005959339</v>
      </c>
      <c r="K64" s="31">
        <v>0</v>
      </c>
      <c r="L64" s="31">
        <v>0</v>
      </c>
      <c r="M64" s="32">
        <f t="shared" si="1"/>
        <v>0</v>
      </c>
      <c r="N64" s="33">
        <f>Result_notebook!L64</f>
        <v>0.59854391398996798</v>
      </c>
      <c r="O64" s="31">
        <f t="shared" si="2"/>
        <v>-59169.864263086907</v>
      </c>
      <c r="P64" s="31">
        <f t="shared" si="3"/>
        <v>32437.123257127572</v>
      </c>
      <c r="Q64">
        <f t="shared" si="4"/>
        <v>26732.741005959339</v>
      </c>
    </row>
    <row r="65" spans="1:17" x14ac:dyDescent="0.35">
      <c r="A65">
        <v>2025</v>
      </c>
      <c r="B65" t="s">
        <v>13</v>
      </c>
      <c r="C65" t="s">
        <v>4</v>
      </c>
      <c r="D65" t="s">
        <v>18</v>
      </c>
      <c r="E65" t="s">
        <v>483</v>
      </c>
      <c r="F65" t="s">
        <v>86</v>
      </c>
      <c r="G65" s="31">
        <v>413.38674287243032</v>
      </c>
      <c r="H65" s="31">
        <v>99547</v>
      </c>
      <c r="I65" s="31">
        <v>32850.51</v>
      </c>
      <c r="J65" s="32">
        <f t="shared" si="0"/>
        <v>26732.741005959339</v>
      </c>
      <c r="K65" s="31">
        <v>0</v>
      </c>
      <c r="L65" s="31">
        <v>0</v>
      </c>
      <c r="M65" s="32">
        <f t="shared" si="1"/>
        <v>0</v>
      </c>
      <c r="N65" s="33">
        <f>Result_notebook!L65</f>
        <v>0.59854391398996798</v>
      </c>
      <c r="O65" s="31">
        <f t="shared" si="2"/>
        <v>-59169.864263086907</v>
      </c>
      <c r="P65" s="31">
        <f t="shared" si="3"/>
        <v>32437.123257127572</v>
      </c>
      <c r="Q65">
        <f t="shared" si="4"/>
        <v>26732.741005959339</v>
      </c>
    </row>
    <row r="66" spans="1:17" x14ac:dyDescent="0.35">
      <c r="A66">
        <v>2025</v>
      </c>
      <c r="B66" t="s">
        <v>13</v>
      </c>
      <c r="C66" t="s">
        <v>4</v>
      </c>
      <c r="D66" t="s">
        <v>18</v>
      </c>
      <c r="E66" t="s">
        <v>490</v>
      </c>
      <c r="F66" t="s">
        <v>82</v>
      </c>
      <c r="G66" s="31">
        <v>413.38674287243032</v>
      </c>
      <c r="H66" s="31">
        <v>99547</v>
      </c>
      <c r="I66" s="31">
        <v>32850.51</v>
      </c>
      <c r="J66" s="32">
        <f t="shared" si="0"/>
        <v>26732.741005959339</v>
      </c>
      <c r="K66" s="31">
        <v>0</v>
      </c>
      <c r="L66" s="31">
        <v>0</v>
      </c>
      <c r="M66" s="32">
        <f t="shared" si="1"/>
        <v>0</v>
      </c>
      <c r="N66" s="33">
        <f>Result_notebook!L66</f>
        <v>0.59854391398996798</v>
      </c>
      <c r="O66" s="31">
        <f t="shared" si="2"/>
        <v>-59169.864263086907</v>
      </c>
      <c r="P66" s="31">
        <f t="shared" si="3"/>
        <v>32437.123257127572</v>
      </c>
      <c r="Q66">
        <f t="shared" si="4"/>
        <v>26732.741005959339</v>
      </c>
    </row>
    <row r="67" spans="1:17" x14ac:dyDescent="0.35">
      <c r="A67">
        <v>2025</v>
      </c>
      <c r="B67" t="s">
        <v>13</v>
      </c>
      <c r="C67" t="s">
        <v>9</v>
      </c>
      <c r="D67" t="s">
        <v>16</v>
      </c>
      <c r="E67" t="s">
        <v>483</v>
      </c>
      <c r="F67" t="s">
        <v>80</v>
      </c>
      <c r="G67" s="31">
        <v>372.44306265009908</v>
      </c>
      <c r="H67" s="31">
        <v>0</v>
      </c>
      <c r="I67" s="31">
        <v>0</v>
      </c>
      <c r="J67" s="32">
        <f t="shared" ref="J67:J130" si="5">H67*N67-I67</f>
        <v>0</v>
      </c>
      <c r="K67" s="31">
        <v>372.44306265009908</v>
      </c>
      <c r="L67" s="31">
        <v>372.44306265009908</v>
      </c>
      <c r="M67" s="32">
        <f t="shared" ref="M67:M130" si="6">MAX(L67-J67,0)</f>
        <v>372.44306265009908</v>
      </c>
      <c r="N67" s="33">
        <f>Result_notebook!L67</f>
        <v>0.59854391398996798</v>
      </c>
      <c r="O67" s="31">
        <f t="shared" ref="O67:O130" si="7">G67-(I67+J67+M67)</f>
        <v>0</v>
      </c>
      <c r="P67" s="31">
        <f t="shared" ref="P67:P130" si="8">MAX(I67-G67,0)</f>
        <v>0</v>
      </c>
      <c r="Q67">
        <f t="shared" ref="Q67:Q130" si="9">(H67*N67)-I67</f>
        <v>0</v>
      </c>
    </row>
    <row r="68" spans="1:17" x14ac:dyDescent="0.35">
      <c r="A68">
        <v>2025</v>
      </c>
      <c r="B68" t="s">
        <v>13</v>
      </c>
      <c r="C68" t="s">
        <v>9</v>
      </c>
      <c r="D68" t="s">
        <v>16</v>
      </c>
      <c r="E68" t="s">
        <v>483</v>
      </c>
      <c r="F68" t="s">
        <v>81</v>
      </c>
      <c r="G68" s="31">
        <v>372.44306265009908</v>
      </c>
      <c r="H68" s="31">
        <v>0</v>
      </c>
      <c r="I68" s="31">
        <v>0</v>
      </c>
      <c r="J68" s="32">
        <f t="shared" si="5"/>
        <v>0</v>
      </c>
      <c r="K68" s="31">
        <v>372.44306265009908</v>
      </c>
      <c r="L68" s="31">
        <v>372.44306265009908</v>
      </c>
      <c r="M68" s="32">
        <f t="shared" si="6"/>
        <v>372.44306265009908</v>
      </c>
      <c r="N68" s="33">
        <f>Result_notebook!L68</f>
        <v>0.59854391398996798</v>
      </c>
      <c r="O68" s="31">
        <f t="shared" si="7"/>
        <v>0</v>
      </c>
      <c r="P68" s="31">
        <f t="shared" si="8"/>
        <v>0</v>
      </c>
      <c r="Q68">
        <f t="shared" si="9"/>
        <v>0</v>
      </c>
    </row>
    <row r="69" spans="1:17" x14ac:dyDescent="0.35">
      <c r="A69">
        <v>2025</v>
      </c>
      <c r="B69" t="s">
        <v>13</v>
      </c>
      <c r="C69" t="s">
        <v>9</v>
      </c>
      <c r="D69" t="s">
        <v>18</v>
      </c>
      <c r="E69" t="s">
        <v>483</v>
      </c>
      <c r="F69" t="s">
        <v>85</v>
      </c>
      <c r="G69" s="31">
        <v>372.44306265009908</v>
      </c>
      <c r="H69" s="31">
        <v>99547</v>
      </c>
      <c r="I69" s="31">
        <v>32850.51</v>
      </c>
      <c r="J69" s="32">
        <f t="shared" si="5"/>
        <v>26732.741005959339</v>
      </c>
      <c r="K69" s="31">
        <v>0</v>
      </c>
      <c r="L69" s="31">
        <v>0</v>
      </c>
      <c r="M69" s="32">
        <f t="shared" si="6"/>
        <v>0</v>
      </c>
      <c r="N69" s="33">
        <f>Result_notebook!L69</f>
        <v>0.59854391398996798</v>
      </c>
      <c r="O69" s="31">
        <f t="shared" si="7"/>
        <v>-59210.807943309243</v>
      </c>
      <c r="P69" s="31">
        <f t="shared" si="8"/>
        <v>32478.066937349904</v>
      </c>
      <c r="Q69">
        <f t="shared" si="9"/>
        <v>26732.741005959339</v>
      </c>
    </row>
    <row r="70" spans="1:17" x14ac:dyDescent="0.35">
      <c r="A70">
        <v>2025</v>
      </c>
      <c r="B70" t="s">
        <v>13</v>
      </c>
      <c r="C70" t="s">
        <v>9</v>
      </c>
      <c r="D70" t="s">
        <v>18</v>
      </c>
      <c r="E70" t="s">
        <v>483</v>
      </c>
      <c r="F70" t="s">
        <v>86</v>
      </c>
      <c r="G70" s="31">
        <v>372.44306265009908</v>
      </c>
      <c r="H70" s="31">
        <v>99547</v>
      </c>
      <c r="I70" s="31">
        <v>32850.51</v>
      </c>
      <c r="J70" s="32">
        <f t="shared" si="5"/>
        <v>26732.741005959339</v>
      </c>
      <c r="K70" s="31">
        <v>0</v>
      </c>
      <c r="L70" s="31">
        <v>0</v>
      </c>
      <c r="M70" s="32">
        <f t="shared" si="6"/>
        <v>0</v>
      </c>
      <c r="N70" s="33">
        <f>Result_notebook!L70</f>
        <v>0.59854391398996798</v>
      </c>
      <c r="O70" s="31">
        <f t="shared" si="7"/>
        <v>-59210.807943309243</v>
      </c>
      <c r="P70" s="31">
        <f t="shared" si="8"/>
        <v>32478.066937349904</v>
      </c>
      <c r="Q70">
        <f t="shared" si="9"/>
        <v>26732.741005959339</v>
      </c>
    </row>
    <row r="71" spans="1:17" x14ac:dyDescent="0.35">
      <c r="A71">
        <v>2025</v>
      </c>
      <c r="B71" t="s">
        <v>13</v>
      </c>
      <c r="C71" t="s">
        <v>9</v>
      </c>
      <c r="D71" t="s">
        <v>18</v>
      </c>
      <c r="E71" t="s">
        <v>490</v>
      </c>
      <c r="F71" t="s">
        <v>82</v>
      </c>
      <c r="G71" s="31">
        <v>372.44306265009908</v>
      </c>
      <c r="H71" s="31">
        <v>99547</v>
      </c>
      <c r="I71" s="31">
        <v>32850.51</v>
      </c>
      <c r="J71" s="32">
        <f t="shared" si="5"/>
        <v>26732.741005959339</v>
      </c>
      <c r="K71" s="31">
        <v>0</v>
      </c>
      <c r="L71" s="31">
        <v>0</v>
      </c>
      <c r="M71" s="32">
        <f t="shared" si="6"/>
        <v>0</v>
      </c>
      <c r="N71" s="33">
        <f>Result_notebook!L71</f>
        <v>0.59854391398996798</v>
      </c>
      <c r="O71" s="31">
        <f t="shared" si="7"/>
        <v>-59210.807943309243</v>
      </c>
      <c r="P71" s="31">
        <f t="shared" si="8"/>
        <v>32478.066937349904</v>
      </c>
      <c r="Q71">
        <f t="shared" si="9"/>
        <v>26732.741005959339</v>
      </c>
    </row>
    <row r="72" spans="1:17" x14ac:dyDescent="0.35">
      <c r="A72">
        <v>2025</v>
      </c>
      <c r="B72" t="s">
        <v>13</v>
      </c>
      <c r="C72" t="s">
        <v>10</v>
      </c>
      <c r="D72" t="s">
        <v>16</v>
      </c>
      <c r="E72" t="s">
        <v>483</v>
      </c>
      <c r="F72" t="s">
        <v>80</v>
      </c>
      <c r="G72" s="31">
        <v>411.8870482855956</v>
      </c>
      <c r="H72" s="31">
        <v>0</v>
      </c>
      <c r="I72" s="31">
        <v>0</v>
      </c>
      <c r="J72" s="32">
        <f t="shared" si="5"/>
        <v>0</v>
      </c>
      <c r="K72" s="31">
        <v>411.8870482855956</v>
      </c>
      <c r="L72" s="31">
        <v>411.8870482855956</v>
      </c>
      <c r="M72" s="32">
        <f t="shared" si="6"/>
        <v>411.8870482855956</v>
      </c>
      <c r="N72" s="33">
        <f>Result_notebook!L72</f>
        <v>0.59854391398996798</v>
      </c>
      <c r="O72" s="31">
        <f t="shared" si="7"/>
        <v>0</v>
      </c>
      <c r="P72" s="31">
        <f t="shared" si="8"/>
        <v>0</v>
      </c>
      <c r="Q72">
        <f t="shared" si="9"/>
        <v>0</v>
      </c>
    </row>
    <row r="73" spans="1:17" x14ac:dyDescent="0.35">
      <c r="A73">
        <v>2025</v>
      </c>
      <c r="B73" t="s">
        <v>13</v>
      </c>
      <c r="C73" t="s">
        <v>10</v>
      </c>
      <c r="D73" t="s">
        <v>16</v>
      </c>
      <c r="E73" t="s">
        <v>483</v>
      </c>
      <c r="F73" t="s">
        <v>81</v>
      </c>
      <c r="G73" s="31">
        <v>411.8870482855956</v>
      </c>
      <c r="H73" s="31">
        <v>0</v>
      </c>
      <c r="I73" s="31">
        <v>0</v>
      </c>
      <c r="J73" s="32">
        <f t="shared" si="5"/>
        <v>0</v>
      </c>
      <c r="K73" s="31">
        <v>411.8870482855956</v>
      </c>
      <c r="L73" s="31">
        <v>411.8870482855956</v>
      </c>
      <c r="M73" s="32">
        <f t="shared" si="6"/>
        <v>411.8870482855956</v>
      </c>
      <c r="N73" s="33">
        <f>Result_notebook!L73</f>
        <v>0.59854391398996798</v>
      </c>
      <c r="O73" s="31">
        <f t="shared" si="7"/>
        <v>0</v>
      </c>
      <c r="P73" s="31">
        <f t="shared" si="8"/>
        <v>0</v>
      </c>
      <c r="Q73">
        <f t="shared" si="9"/>
        <v>0</v>
      </c>
    </row>
    <row r="74" spans="1:17" x14ac:dyDescent="0.35">
      <c r="A74">
        <v>2025</v>
      </c>
      <c r="B74" t="s">
        <v>13</v>
      </c>
      <c r="C74" t="s">
        <v>10</v>
      </c>
      <c r="D74" t="s">
        <v>18</v>
      </c>
      <c r="E74" t="s">
        <v>483</v>
      </c>
      <c r="F74" t="s">
        <v>85</v>
      </c>
      <c r="G74" s="31">
        <v>411.8870482855956</v>
      </c>
      <c r="H74" s="31">
        <v>99547</v>
      </c>
      <c r="I74" s="31">
        <v>32850.51</v>
      </c>
      <c r="J74" s="32">
        <f t="shared" si="5"/>
        <v>26732.741005959339</v>
      </c>
      <c r="K74" s="31">
        <v>0</v>
      </c>
      <c r="L74" s="31">
        <v>0</v>
      </c>
      <c r="M74" s="32">
        <f t="shared" si="6"/>
        <v>0</v>
      </c>
      <c r="N74" s="33">
        <f>Result_notebook!L74</f>
        <v>0.59854391398996798</v>
      </c>
      <c r="O74" s="31">
        <f t="shared" si="7"/>
        <v>-59171.363957673748</v>
      </c>
      <c r="P74" s="31">
        <f t="shared" si="8"/>
        <v>32438.622951714406</v>
      </c>
      <c r="Q74">
        <f t="shared" si="9"/>
        <v>26732.741005959339</v>
      </c>
    </row>
    <row r="75" spans="1:17" x14ac:dyDescent="0.35">
      <c r="A75">
        <v>2025</v>
      </c>
      <c r="B75" t="s">
        <v>13</v>
      </c>
      <c r="C75" t="s">
        <v>10</v>
      </c>
      <c r="D75" t="s">
        <v>18</v>
      </c>
      <c r="E75" t="s">
        <v>483</v>
      </c>
      <c r="F75" t="s">
        <v>86</v>
      </c>
      <c r="G75" s="31">
        <v>411.8870482855956</v>
      </c>
      <c r="H75" s="31">
        <v>99547</v>
      </c>
      <c r="I75" s="31">
        <v>32850.51</v>
      </c>
      <c r="J75" s="32">
        <f t="shared" si="5"/>
        <v>26732.741005959339</v>
      </c>
      <c r="K75" s="31">
        <v>0</v>
      </c>
      <c r="L75" s="31">
        <v>0</v>
      </c>
      <c r="M75" s="32">
        <f t="shared" si="6"/>
        <v>0</v>
      </c>
      <c r="N75" s="33">
        <f>Result_notebook!L75</f>
        <v>0.59854391398996798</v>
      </c>
      <c r="O75" s="31">
        <f t="shared" si="7"/>
        <v>-59171.363957673748</v>
      </c>
      <c r="P75" s="31">
        <f t="shared" si="8"/>
        <v>32438.622951714406</v>
      </c>
      <c r="Q75">
        <f t="shared" si="9"/>
        <v>26732.741005959339</v>
      </c>
    </row>
    <row r="76" spans="1:17" x14ac:dyDescent="0.35">
      <c r="A76">
        <v>2025</v>
      </c>
      <c r="B76" t="s">
        <v>13</v>
      </c>
      <c r="C76" t="s">
        <v>10</v>
      </c>
      <c r="D76" t="s">
        <v>18</v>
      </c>
      <c r="E76" t="s">
        <v>490</v>
      </c>
      <c r="F76" t="s">
        <v>82</v>
      </c>
      <c r="G76" s="31">
        <v>411.8870482855956</v>
      </c>
      <c r="H76" s="31">
        <v>99547</v>
      </c>
      <c r="I76" s="31">
        <v>32850.51</v>
      </c>
      <c r="J76" s="32">
        <f t="shared" si="5"/>
        <v>26732.741005959339</v>
      </c>
      <c r="K76" s="31">
        <v>0</v>
      </c>
      <c r="L76" s="31">
        <v>0</v>
      </c>
      <c r="M76" s="32">
        <f t="shared" si="6"/>
        <v>0</v>
      </c>
      <c r="N76" s="33">
        <f>Result_notebook!L76</f>
        <v>0.59854391398996798</v>
      </c>
      <c r="O76" s="31">
        <f t="shared" si="7"/>
        <v>-59171.363957673748</v>
      </c>
      <c r="P76" s="31">
        <f t="shared" si="8"/>
        <v>32438.622951714406</v>
      </c>
      <c r="Q76">
        <f t="shared" si="9"/>
        <v>26732.741005959339</v>
      </c>
    </row>
    <row r="77" spans="1:17" x14ac:dyDescent="0.35">
      <c r="A77">
        <v>2025</v>
      </c>
      <c r="B77" t="s">
        <v>12</v>
      </c>
      <c r="C77" t="s">
        <v>4</v>
      </c>
      <c r="D77" t="s">
        <v>16</v>
      </c>
      <c r="E77" t="s">
        <v>483</v>
      </c>
      <c r="F77" t="s">
        <v>80</v>
      </c>
      <c r="G77" s="31">
        <v>6247.3243664054053</v>
      </c>
      <c r="H77" s="31">
        <v>0</v>
      </c>
      <c r="I77" s="31">
        <v>0</v>
      </c>
      <c r="J77" s="32">
        <f t="shared" si="5"/>
        <v>0</v>
      </c>
      <c r="K77" s="31">
        <v>8924.7490948648647</v>
      </c>
      <c r="L77" s="31">
        <v>6247.3243664054053</v>
      </c>
      <c r="M77" s="32">
        <f t="shared" si="6"/>
        <v>6247.3243664054053</v>
      </c>
      <c r="N77" s="33">
        <f>Result_notebook!L77</f>
        <v>0.787554996857322</v>
      </c>
      <c r="O77" s="31">
        <f t="shared" si="7"/>
        <v>0</v>
      </c>
      <c r="P77" s="31">
        <f t="shared" si="8"/>
        <v>0</v>
      </c>
      <c r="Q77">
        <f t="shared" si="9"/>
        <v>0</v>
      </c>
    </row>
    <row r="78" spans="1:17" x14ac:dyDescent="0.35">
      <c r="A78">
        <v>2025</v>
      </c>
      <c r="B78" t="s">
        <v>12</v>
      </c>
      <c r="C78" t="s">
        <v>4</v>
      </c>
      <c r="D78" t="s">
        <v>16</v>
      </c>
      <c r="E78" t="s">
        <v>483</v>
      </c>
      <c r="F78" t="s">
        <v>81</v>
      </c>
      <c r="G78" s="31">
        <v>6247.3243664054053</v>
      </c>
      <c r="H78" s="31">
        <v>37578</v>
      </c>
      <c r="I78" s="31">
        <v>26273.427956064119</v>
      </c>
      <c r="J78" s="32">
        <f t="shared" si="5"/>
        <v>3321.313715840326</v>
      </c>
      <c r="K78" s="31">
        <v>0</v>
      </c>
      <c r="L78" s="31">
        <v>0</v>
      </c>
      <c r="M78" s="32">
        <f t="shared" si="6"/>
        <v>0</v>
      </c>
      <c r="N78" s="33">
        <f>Result_notebook!L78</f>
        <v>0.787554996857322</v>
      </c>
      <c r="O78" s="31">
        <f t="shared" si="7"/>
        <v>-23347.417305499039</v>
      </c>
      <c r="P78" s="31">
        <f t="shared" si="8"/>
        <v>20026.103589658713</v>
      </c>
      <c r="Q78">
        <f t="shared" si="9"/>
        <v>3321.313715840326</v>
      </c>
    </row>
    <row r="79" spans="1:17" x14ac:dyDescent="0.35">
      <c r="A79">
        <v>2025</v>
      </c>
      <c r="B79" t="s">
        <v>12</v>
      </c>
      <c r="C79" t="s">
        <v>4</v>
      </c>
      <c r="D79" t="s">
        <v>18</v>
      </c>
      <c r="E79" t="s">
        <v>483</v>
      </c>
      <c r="F79" t="s">
        <v>85</v>
      </c>
      <c r="G79" s="31">
        <v>6247.3243664054053</v>
      </c>
      <c r="H79" s="31">
        <v>84850</v>
      </c>
      <c r="I79" s="31">
        <v>59324.614457183481</v>
      </c>
      <c r="J79" s="32">
        <f t="shared" si="5"/>
        <v>7499.4270261602869</v>
      </c>
      <c r="K79" s="31">
        <v>0</v>
      </c>
      <c r="L79" s="31">
        <v>0</v>
      </c>
      <c r="M79" s="32">
        <f t="shared" si="6"/>
        <v>0</v>
      </c>
      <c r="N79" s="33">
        <f>Result_notebook!L79</f>
        <v>0.787554996857322</v>
      </c>
      <c r="O79" s="31">
        <f t="shared" si="7"/>
        <v>-60576.717116938366</v>
      </c>
      <c r="P79" s="31">
        <f t="shared" si="8"/>
        <v>53077.290090778079</v>
      </c>
      <c r="Q79">
        <f t="shared" si="9"/>
        <v>7499.4270261602869</v>
      </c>
    </row>
    <row r="80" spans="1:17" x14ac:dyDescent="0.35">
      <c r="A80">
        <v>2025</v>
      </c>
      <c r="B80" t="s">
        <v>12</v>
      </c>
      <c r="C80" t="s">
        <v>4</v>
      </c>
      <c r="D80" t="s">
        <v>18</v>
      </c>
      <c r="E80" t="s">
        <v>483</v>
      </c>
      <c r="F80" t="s">
        <v>86</v>
      </c>
      <c r="G80" s="31">
        <v>6247.3243664054053</v>
      </c>
      <c r="H80" s="31">
        <v>84850</v>
      </c>
      <c r="I80" s="31">
        <v>59324.614457183481</v>
      </c>
      <c r="J80" s="32">
        <f t="shared" si="5"/>
        <v>7499.4270261602869</v>
      </c>
      <c r="K80" s="31">
        <v>0</v>
      </c>
      <c r="L80" s="31">
        <v>0</v>
      </c>
      <c r="M80" s="32">
        <f t="shared" si="6"/>
        <v>0</v>
      </c>
      <c r="N80" s="33">
        <f>Result_notebook!L80</f>
        <v>0.787554996857322</v>
      </c>
      <c r="O80" s="31">
        <f t="shared" si="7"/>
        <v>-60576.717116938366</v>
      </c>
      <c r="P80" s="31">
        <f t="shared" si="8"/>
        <v>53077.290090778079</v>
      </c>
      <c r="Q80">
        <f t="shared" si="9"/>
        <v>7499.4270261602869</v>
      </c>
    </row>
    <row r="81" spans="1:17" x14ac:dyDescent="0.35">
      <c r="A81">
        <v>2025</v>
      </c>
      <c r="B81" t="s">
        <v>12</v>
      </c>
      <c r="C81" t="s">
        <v>4</v>
      </c>
      <c r="D81" t="s">
        <v>18</v>
      </c>
      <c r="E81" t="s">
        <v>490</v>
      </c>
      <c r="F81" t="s">
        <v>82</v>
      </c>
      <c r="G81" s="31">
        <v>6247.3243664054053</v>
      </c>
      <c r="H81" s="31">
        <v>84850</v>
      </c>
      <c r="I81" s="31">
        <v>59324.614457183481</v>
      </c>
      <c r="J81" s="32">
        <f t="shared" si="5"/>
        <v>7499.4270261602869</v>
      </c>
      <c r="K81" s="31">
        <v>0</v>
      </c>
      <c r="L81" s="31">
        <v>0</v>
      </c>
      <c r="M81" s="32">
        <f t="shared" si="6"/>
        <v>0</v>
      </c>
      <c r="N81" s="33">
        <f>Result_notebook!L81</f>
        <v>0.787554996857322</v>
      </c>
      <c r="O81" s="31">
        <f t="shared" si="7"/>
        <v>-60576.717116938366</v>
      </c>
      <c r="P81" s="31">
        <f t="shared" si="8"/>
        <v>53077.290090778079</v>
      </c>
      <c r="Q81">
        <f t="shared" si="9"/>
        <v>7499.4270261602869</v>
      </c>
    </row>
    <row r="82" spans="1:17" x14ac:dyDescent="0.35">
      <c r="A82">
        <v>2025</v>
      </c>
      <c r="B82" t="s">
        <v>12</v>
      </c>
      <c r="C82" t="s">
        <v>9</v>
      </c>
      <c r="D82" t="s">
        <v>16</v>
      </c>
      <c r="E82" t="s">
        <v>483</v>
      </c>
      <c r="F82" t="s">
        <v>80</v>
      </c>
      <c r="G82" s="31">
        <v>5628.5612940196597</v>
      </c>
      <c r="H82" s="31">
        <v>0</v>
      </c>
      <c r="I82" s="31">
        <v>0</v>
      </c>
      <c r="J82" s="32">
        <f t="shared" si="5"/>
        <v>0</v>
      </c>
      <c r="K82" s="31">
        <v>8040.8018485995144</v>
      </c>
      <c r="L82" s="31">
        <v>5628.5612940196597</v>
      </c>
      <c r="M82" s="32">
        <f t="shared" si="6"/>
        <v>5628.5612940196597</v>
      </c>
      <c r="N82" s="33">
        <f>Result_notebook!L82</f>
        <v>0.787554996857322</v>
      </c>
      <c r="O82" s="31">
        <f t="shared" si="7"/>
        <v>0</v>
      </c>
      <c r="P82" s="31">
        <f t="shared" si="8"/>
        <v>0</v>
      </c>
      <c r="Q82">
        <f t="shared" si="9"/>
        <v>0</v>
      </c>
    </row>
    <row r="83" spans="1:17" x14ac:dyDescent="0.35">
      <c r="A83">
        <v>2025</v>
      </c>
      <c r="B83" t="s">
        <v>12</v>
      </c>
      <c r="C83" t="s">
        <v>9</v>
      </c>
      <c r="D83" t="s">
        <v>16</v>
      </c>
      <c r="E83" t="s">
        <v>483</v>
      </c>
      <c r="F83" t="s">
        <v>81</v>
      </c>
      <c r="G83" s="31">
        <v>5628.5612940196597</v>
      </c>
      <c r="H83" s="31">
        <v>37578</v>
      </c>
      <c r="I83" s="31">
        <v>26273.427956064119</v>
      </c>
      <c r="J83" s="32">
        <f t="shared" si="5"/>
        <v>3321.313715840326</v>
      </c>
      <c r="K83" s="31">
        <v>0</v>
      </c>
      <c r="L83" s="31">
        <v>0</v>
      </c>
      <c r="M83" s="32">
        <f t="shared" si="6"/>
        <v>0</v>
      </c>
      <c r="N83" s="33">
        <f>Result_notebook!L83</f>
        <v>0.787554996857322</v>
      </c>
      <c r="O83" s="31">
        <f t="shared" si="7"/>
        <v>-23966.180377884786</v>
      </c>
      <c r="P83" s="31">
        <f t="shared" si="8"/>
        <v>20644.86666204446</v>
      </c>
      <c r="Q83">
        <f t="shared" si="9"/>
        <v>3321.313715840326</v>
      </c>
    </row>
    <row r="84" spans="1:17" x14ac:dyDescent="0.35">
      <c r="A84">
        <v>2025</v>
      </c>
      <c r="B84" t="s">
        <v>12</v>
      </c>
      <c r="C84" t="s">
        <v>9</v>
      </c>
      <c r="D84" t="s">
        <v>18</v>
      </c>
      <c r="E84" t="s">
        <v>483</v>
      </c>
      <c r="F84" t="s">
        <v>85</v>
      </c>
      <c r="G84" s="31">
        <v>5628.5612940196597</v>
      </c>
      <c r="H84" s="31">
        <v>84850</v>
      </c>
      <c r="I84" s="31">
        <v>59324.614457183481</v>
      </c>
      <c r="J84" s="32">
        <f t="shared" si="5"/>
        <v>7499.4270261602869</v>
      </c>
      <c r="K84" s="31">
        <v>0</v>
      </c>
      <c r="L84" s="31">
        <v>0</v>
      </c>
      <c r="M84" s="32">
        <f t="shared" si="6"/>
        <v>0</v>
      </c>
      <c r="N84" s="33">
        <f>Result_notebook!L84</f>
        <v>0.787554996857322</v>
      </c>
      <c r="O84" s="31">
        <f t="shared" si="7"/>
        <v>-61195.480189324109</v>
      </c>
      <c r="P84" s="31">
        <f t="shared" si="8"/>
        <v>53696.053163163822</v>
      </c>
      <c r="Q84">
        <f t="shared" si="9"/>
        <v>7499.4270261602869</v>
      </c>
    </row>
    <row r="85" spans="1:17" x14ac:dyDescent="0.35">
      <c r="A85">
        <v>2025</v>
      </c>
      <c r="B85" t="s">
        <v>12</v>
      </c>
      <c r="C85" t="s">
        <v>9</v>
      </c>
      <c r="D85" t="s">
        <v>18</v>
      </c>
      <c r="E85" t="s">
        <v>483</v>
      </c>
      <c r="F85" t="s">
        <v>86</v>
      </c>
      <c r="G85" s="31">
        <v>5628.5612940196597</v>
      </c>
      <c r="H85" s="31">
        <v>84850</v>
      </c>
      <c r="I85" s="31">
        <v>59324.614457183481</v>
      </c>
      <c r="J85" s="32">
        <f t="shared" si="5"/>
        <v>7499.4270261602869</v>
      </c>
      <c r="K85" s="31">
        <v>0</v>
      </c>
      <c r="L85" s="31">
        <v>0</v>
      </c>
      <c r="M85" s="32">
        <f t="shared" si="6"/>
        <v>0</v>
      </c>
      <c r="N85" s="33">
        <f>Result_notebook!L85</f>
        <v>0.787554996857322</v>
      </c>
      <c r="O85" s="31">
        <f t="shared" si="7"/>
        <v>-61195.480189324109</v>
      </c>
      <c r="P85" s="31">
        <f t="shared" si="8"/>
        <v>53696.053163163822</v>
      </c>
      <c r="Q85">
        <f t="shared" si="9"/>
        <v>7499.4270261602869</v>
      </c>
    </row>
    <row r="86" spans="1:17" x14ac:dyDescent="0.35">
      <c r="A86">
        <v>2025</v>
      </c>
      <c r="B86" t="s">
        <v>12</v>
      </c>
      <c r="C86" t="s">
        <v>9</v>
      </c>
      <c r="D86" t="s">
        <v>18</v>
      </c>
      <c r="E86" t="s">
        <v>490</v>
      </c>
      <c r="F86" t="s">
        <v>82</v>
      </c>
      <c r="G86" s="31">
        <v>5628.5612940196597</v>
      </c>
      <c r="H86" s="31">
        <v>84850</v>
      </c>
      <c r="I86" s="31">
        <v>59324.614457183481</v>
      </c>
      <c r="J86" s="32">
        <f t="shared" si="5"/>
        <v>7499.4270261602869</v>
      </c>
      <c r="K86" s="31">
        <v>0</v>
      </c>
      <c r="L86" s="31">
        <v>0</v>
      </c>
      <c r="M86" s="32">
        <f t="shared" si="6"/>
        <v>0</v>
      </c>
      <c r="N86" s="33">
        <f>Result_notebook!L86</f>
        <v>0.787554996857322</v>
      </c>
      <c r="O86" s="31">
        <f t="shared" si="7"/>
        <v>-61195.480189324109</v>
      </c>
      <c r="P86" s="31">
        <f t="shared" si="8"/>
        <v>53696.053163163822</v>
      </c>
      <c r="Q86">
        <f t="shared" si="9"/>
        <v>7499.4270261602869</v>
      </c>
    </row>
    <row r="87" spans="1:17" x14ac:dyDescent="0.35">
      <c r="A87">
        <v>2025</v>
      </c>
      <c r="B87" t="s">
        <v>12</v>
      </c>
      <c r="C87" t="s">
        <v>10</v>
      </c>
      <c r="D87" t="s">
        <v>16</v>
      </c>
      <c r="E87" t="s">
        <v>483</v>
      </c>
      <c r="F87" t="s">
        <v>80</v>
      </c>
      <c r="G87" s="31">
        <v>6224.6601695098034</v>
      </c>
      <c r="H87" s="31">
        <v>0</v>
      </c>
      <c r="I87" s="31">
        <v>0</v>
      </c>
      <c r="J87" s="32">
        <f t="shared" si="5"/>
        <v>0</v>
      </c>
      <c r="K87" s="31">
        <v>8892.3716707282911</v>
      </c>
      <c r="L87" s="31">
        <v>6224.6601695098034</v>
      </c>
      <c r="M87" s="32">
        <f t="shared" si="6"/>
        <v>6224.6601695098034</v>
      </c>
      <c r="N87" s="33">
        <f>Result_notebook!L87</f>
        <v>0.787554996857322</v>
      </c>
      <c r="O87" s="31">
        <f t="shared" si="7"/>
        <v>0</v>
      </c>
      <c r="P87" s="31">
        <f t="shared" si="8"/>
        <v>0</v>
      </c>
      <c r="Q87">
        <f t="shared" si="9"/>
        <v>0</v>
      </c>
    </row>
    <row r="88" spans="1:17" x14ac:dyDescent="0.35">
      <c r="A88">
        <v>2025</v>
      </c>
      <c r="B88" t="s">
        <v>12</v>
      </c>
      <c r="C88" t="s">
        <v>10</v>
      </c>
      <c r="D88" t="s">
        <v>16</v>
      </c>
      <c r="E88" t="s">
        <v>483</v>
      </c>
      <c r="F88" t="s">
        <v>81</v>
      </c>
      <c r="G88" s="31">
        <v>6224.6601695098034</v>
      </c>
      <c r="H88" s="31">
        <v>37578</v>
      </c>
      <c r="I88" s="31">
        <v>26273.427956064119</v>
      </c>
      <c r="J88" s="32">
        <f t="shared" si="5"/>
        <v>3321.313715840326</v>
      </c>
      <c r="K88" s="31">
        <v>0</v>
      </c>
      <c r="L88" s="31">
        <v>0</v>
      </c>
      <c r="M88" s="32">
        <f t="shared" si="6"/>
        <v>0</v>
      </c>
      <c r="N88" s="33">
        <f>Result_notebook!L88</f>
        <v>0.787554996857322</v>
      </c>
      <c r="O88" s="31">
        <f t="shared" si="7"/>
        <v>-23370.081502394642</v>
      </c>
      <c r="P88" s="31">
        <f t="shared" si="8"/>
        <v>20048.767786554316</v>
      </c>
      <c r="Q88">
        <f t="shared" si="9"/>
        <v>3321.313715840326</v>
      </c>
    </row>
    <row r="89" spans="1:17" x14ac:dyDescent="0.35">
      <c r="A89">
        <v>2025</v>
      </c>
      <c r="B89" t="s">
        <v>12</v>
      </c>
      <c r="C89" t="s">
        <v>10</v>
      </c>
      <c r="D89" t="s">
        <v>18</v>
      </c>
      <c r="E89" t="s">
        <v>483</v>
      </c>
      <c r="F89" t="s">
        <v>85</v>
      </c>
      <c r="G89" s="31">
        <v>6224.6601695098034</v>
      </c>
      <c r="H89" s="31">
        <v>84850</v>
      </c>
      <c r="I89" s="31">
        <v>59324.614457183481</v>
      </c>
      <c r="J89" s="32">
        <f t="shared" si="5"/>
        <v>7499.4270261602869</v>
      </c>
      <c r="K89" s="31">
        <v>0</v>
      </c>
      <c r="L89" s="31">
        <v>0</v>
      </c>
      <c r="M89" s="32">
        <f t="shared" si="6"/>
        <v>0</v>
      </c>
      <c r="N89" s="33">
        <f>Result_notebook!L89</f>
        <v>0.787554996857322</v>
      </c>
      <c r="O89" s="31">
        <f t="shared" si="7"/>
        <v>-60599.381313833961</v>
      </c>
      <c r="P89" s="31">
        <f t="shared" si="8"/>
        <v>53099.954287673681</v>
      </c>
      <c r="Q89">
        <f t="shared" si="9"/>
        <v>7499.4270261602869</v>
      </c>
    </row>
    <row r="90" spans="1:17" x14ac:dyDescent="0.35">
      <c r="A90">
        <v>2025</v>
      </c>
      <c r="B90" t="s">
        <v>12</v>
      </c>
      <c r="C90" t="s">
        <v>10</v>
      </c>
      <c r="D90" t="s">
        <v>18</v>
      </c>
      <c r="E90" t="s">
        <v>483</v>
      </c>
      <c r="F90" t="s">
        <v>86</v>
      </c>
      <c r="G90" s="31">
        <v>6224.6601695098034</v>
      </c>
      <c r="H90" s="31">
        <v>84850</v>
      </c>
      <c r="I90" s="31">
        <v>59324.614457183481</v>
      </c>
      <c r="J90" s="32">
        <f t="shared" si="5"/>
        <v>7499.4270261602869</v>
      </c>
      <c r="K90" s="31">
        <v>0</v>
      </c>
      <c r="L90" s="31">
        <v>0</v>
      </c>
      <c r="M90" s="32">
        <f t="shared" si="6"/>
        <v>0</v>
      </c>
      <c r="N90" s="33">
        <f>Result_notebook!L90</f>
        <v>0.787554996857322</v>
      </c>
      <c r="O90" s="31">
        <f t="shared" si="7"/>
        <v>-60599.381313833961</v>
      </c>
      <c r="P90" s="31">
        <f t="shared" si="8"/>
        <v>53099.954287673681</v>
      </c>
      <c r="Q90">
        <f t="shared" si="9"/>
        <v>7499.4270261602869</v>
      </c>
    </row>
    <row r="91" spans="1:17" x14ac:dyDescent="0.35">
      <c r="A91">
        <v>2025</v>
      </c>
      <c r="B91" t="s">
        <v>12</v>
      </c>
      <c r="C91" t="s">
        <v>10</v>
      </c>
      <c r="D91" t="s">
        <v>18</v>
      </c>
      <c r="E91" t="s">
        <v>490</v>
      </c>
      <c r="F91" t="s">
        <v>82</v>
      </c>
      <c r="G91" s="31">
        <v>6224.6601695098034</v>
      </c>
      <c r="H91" s="31">
        <v>84850</v>
      </c>
      <c r="I91" s="31">
        <v>59324.614457183481</v>
      </c>
      <c r="J91" s="32">
        <f t="shared" si="5"/>
        <v>7499.4270261602869</v>
      </c>
      <c r="K91" s="31">
        <v>0</v>
      </c>
      <c r="L91" s="31">
        <v>0</v>
      </c>
      <c r="M91" s="32">
        <f t="shared" si="6"/>
        <v>0</v>
      </c>
      <c r="N91" s="33">
        <f>Result_notebook!L91</f>
        <v>0.787554996857322</v>
      </c>
      <c r="O91" s="31">
        <f t="shared" si="7"/>
        <v>-60599.381313833961</v>
      </c>
      <c r="P91" s="31">
        <f t="shared" si="8"/>
        <v>53099.954287673681</v>
      </c>
      <c r="Q91">
        <f t="shared" si="9"/>
        <v>7499.4270261602869</v>
      </c>
    </row>
    <row r="92" spans="1:17" x14ac:dyDescent="0.35">
      <c r="A92">
        <v>2026</v>
      </c>
      <c r="B92" t="s">
        <v>6</v>
      </c>
      <c r="C92" t="s">
        <v>4</v>
      </c>
      <c r="D92" t="s">
        <v>16</v>
      </c>
      <c r="E92" t="s">
        <v>483</v>
      </c>
      <c r="F92" t="s">
        <v>80</v>
      </c>
      <c r="G92" s="31">
        <v>14666.70894328302</v>
      </c>
      <c r="H92" s="31">
        <v>0</v>
      </c>
      <c r="I92" s="31">
        <v>0</v>
      </c>
      <c r="J92" s="32">
        <f t="shared" si="5"/>
        <v>0</v>
      </c>
      <c r="K92" s="31">
        <v>33333.429416552317</v>
      </c>
      <c r="L92" s="31">
        <v>14666.70894328302</v>
      </c>
      <c r="M92" s="32">
        <f t="shared" si="6"/>
        <v>14666.70894328302</v>
      </c>
      <c r="N92" s="33">
        <f>Result_notebook!L92</f>
        <v>0.439346565686978</v>
      </c>
      <c r="O92" s="31">
        <f t="shared" si="7"/>
        <v>0</v>
      </c>
      <c r="P92" s="31">
        <f t="shared" si="8"/>
        <v>0</v>
      </c>
      <c r="Q92">
        <f t="shared" si="9"/>
        <v>0</v>
      </c>
    </row>
    <row r="93" spans="1:17" x14ac:dyDescent="0.35">
      <c r="A93">
        <v>2026</v>
      </c>
      <c r="B93" t="s">
        <v>6</v>
      </c>
      <c r="C93" t="s">
        <v>4</v>
      </c>
      <c r="D93" t="s">
        <v>16</v>
      </c>
      <c r="E93" t="s">
        <v>483</v>
      </c>
      <c r="F93" t="s">
        <v>81</v>
      </c>
      <c r="G93" s="31">
        <v>14666.70894328302</v>
      </c>
      <c r="H93" s="31">
        <v>3494</v>
      </c>
      <c r="I93" s="31">
        <v>1482.0913083373639</v>
      </c>
      <c r="J93" s="32">
        <f t="shared" si="5"/>
        <v>52.985592172937231</v>
      </c>
      <c r="K93" s="31">
        <v>29839.429416552321</v>
      </c>
      <c r="L93" s="31">
        <v>13184.61763494566</v>
      </c>
      <c r="M93" s="32">
        <f t="shared" si="6"/>
        <v>13131.632042772722</v>
      </c>
      <c r="N93" s="33">
        <f>Result_notebook!L93</f>
        <v>0.439346565686978</v>
      </c>
      <c r="O93" s="31">
        <f t="shared" si="7"/>
        <v>0</v>
      </c>
      <c r="P93" s="31">
        <f t="shared" si="8"/>
        <v>0</v>
      </c>
      <c r="Q93">
        <f t="shared" si="9"/>
        <v>52.985592172937231</v>
      </c>
    </row>
    <row r="94" spans="1:17" x14ac:dyDescent="0.35">
      <c r="A94">
        <v>2026</v>
      </c>
      <c r="B94" t="s">
        <v>6</v>
      </c>
      <c r="C94" t="s">
        <v>4</v>
      </c>
      <c r="D94" t="s">
        <v>18</v>
      </c>
      <c r="E94" t="s">
        <v>483</v>
      </c>
      <c r="F94" t="s">
        <v>85</v>
      </c>
      <c r="G94" s="31">
        <v>14666.70894328302</v>
      </c>
      <c r="H94" s="31">
        <v>4494</v>
      </c>
      <c r="I94" s="31">
        <v>1906.2731367109659</v>
      </c>
      <c r="J94" s="32">
        <f t="shared" si="5"/>
        <v>68.15032948631324</v>
      </c>
      <c r="K94" s="31">
        <v>28839.429416552321</v>
      </c>
      <c r="L94" s="31">
        <v>12760.43580657205</v>
      </c>
      <c r="M94" s="32">
        <f t="shared" si="6"/>
        <v>12692.285477085738</v>
      </c>
      <c r="N94" s="33">
        <f>Result_notebook!L94</f>
        <v>0.439346565686978</v>
      </c>
      <c r="O94" s="31">
        <f t="shared" si="7"/>
        <v>0</v>
      </c>
      <c r="P94" s="31">
        <f t="shared" si="8"/>
        <v>0</v>
      </c>
      <c r="Q94">
        <f t="shared" si="9"/>
        <v>68.15032948631324</v>
      </c>
    </row>
    <row r="95" spans="1:17" x14ac:dyDescent="0.35">
      <c r="A95">
        <v>2026</v>
      </c>
      <c r="B95" t="s">
        <v>6</v>
      </c>
      <c r="C95" t="s">
        <v>4</v>
      </c>
      <c r="D95" t="s">
        <v>18</v>
      </c>
      <c r="E95" t="s">
        <v>483</v>
      </c>
      <c r="F95" t="s">
        <v>86</v>
      </c>
      <c r="G95" s="31">
        <v>14666.70894328302</v>
      </c>
      <c r="H95" s="31">
        <v>4494</v>
      </c>
      <c r="I95" s="31">
        <v>1906.2731367109659</v>
      </c>
      <c r="J95" s="32">
        <f t="shared" si="5"/>
        <v>68.15032948631324</v>
      </c>
      <c r="K95" s="31">
        <v>28839.429416552321</v>
      </c>
      <c r="L95" s="31">
        <v>12760.43580657205</v>
      </c>
      <c r="M95" s="32">
        <f t="shared" si="6"/>
        <v>12692.285477085738</v>
      </c>
      <c r="N95" s="33">
        <f>Result_notebook!L95</f>
        <v>0.439346565686978</v>
      </c>
      <c r="O95" s="31">
        <f t="shared" si="7"/>
        <v>0</v>
      </c>
      <c r="P95" s="31">
        <f t="shared" si="8"/>
        <v>0</v>
      </c>
      <c r="Q95">
        <f t="shared" si="9"/>
        <v>68.15032948631324</v>
      </c>
    </row>
    <row r="96" spans="1:17" x14ac:dyDescent="0.35">
      <c r="A96">
        <v>2026</v>
      </c>
      <c r="B96" t="s">
        <v>6</v>
      </c>
      <c r="C96" t="s">
        <v>4</v>
      </c>
      <c r="D96" t="s">
        <v>18</v>
      </c>
      <c r="E96" t="s">
        <v>490</v>
      </c>
      <c r="F96" t="s">
        <v>82</v>
      </c>
      <c r="G96" s="31">
        <v>14666.70894328302</v>
      </c>
      <c r="H96" s="31">
        <v>4494</v>
      </c>
      <c r="I96" s="31">
        <v>1974.423466197281</v>
      </c>
      <c r="J96" s="32">
        <f t="shared" si="5"/>
        <v>-1.8189894035458565E-12</v>
      </c>
      <c r="K96" s="31">
        <v>28839.429416552321</v>
      </c>
      <c r="L96" s="31">
        <v>12692.285477085739</v>
      </c>
      <c r="M96" s="32">
        <f t="shared" si="6"/>
        <v>12692.285477085741</v>
      </c>
      <c r="N96" s="33">
        <f>Result_notebook!L96</f>
        <v>0.439346565686978</v>
      </c>
      <c r="O96" s="31">
        <f t="shared" si="7"/>
        <v>0</v>
      </c>
      <c r="P96" s="31">
        <f t="shared" si="8"/>
        <v>0</v>
      </c>
      <c r="Q96">
        <f t="shared" si="9"/>
        <v>-1.8189894035458565E-12</v>
      </c>
    </row>
    <row r="97" spans="1:17" x14ac:dyDescent="0.35">
      <c r="A97">
        <v>2026</v>
      </c>
      <c r="B97" t="s">
        <v>6</v>
      </c>
      <c r="C97" t="s">
        <v>9</v>
      </c>
      <c r="D97" t="s">
        <v>16</v>
      </c>
      <c r="E97" t="s">
        <v>483</v>
      </c>
      <c r="F97" t="s">
        <v>80</v>
      </c>
      <c r="G97" s="31">
        <v>11787.03907014753</v>
      </c>
      <c r="H97" s="31">
        <v>0</v>
      </c>
      <c r="I97" s="31">
        <v>0</v>
      </c>
      <c r="J97" s="32">
        <f t="shared" si="5"/>
        <v>0</v>
      </c>
      <c r="K97" s="31">
        <v>26788.725159426209</v>
      </c>
      <c r="L97" s="31">
        <v>11787.03907014753</v>
      </c>
      <c r="M97" s="32">
        <f t="shared" si="6"/>
        <v>11787.03907014753</v>
      </c>
      <c r="N97" s="33">
        <f>Result_notebook!L97</f>
        <v>0.439346565686978</v>
      </c>
      <c r="O97" s="31">
        <f t="shared" si="7"/>
        <v>0</v>
      </c>
      <c r="P97" s="31">
        <f t="shared" si="8"/>
        <v>0</v>
      </c>
      <c r="Q97">
        <f t="shared" si="9"/>
        <v>0</v>
      </c>
    </row>
    <row r="98" spans="1:17" x14ac:dyDescent="0.35">
      <c r="A98">
        <v>2026</v>
      </c>
      <c r="B98" t="s">
        <v>6</v>
      </c>
      <c r="C98" t="s">
        <v>9</v>
      </c>
      <c r="D98" t="s">
        <v>16</v>
      </c>
      <c r="E98" t="s">
        <v>483</v>
      </c>
      <c r="F98" t="s">
        <v>81</v>
      </c>
      <c r="G98" s="31">
        <v>11787.03907014753</v>
      </c>
      <c r="H98" s="31">
        <v>3494</v>
      </c>
      <c r="I98" s="31">
        <v>1482.0913083373639</v>
      </c>
      <c r="J98" s="32">
        <f t="shared" si="5"/>
        <v>52.985592172937231</v>
      </c>
      <c r="K98" s="31">
        <v>23294.725159426209</v>
      </c>
      <c r="L98" s="31">
        <v>10304.94776181017</v>
      </c>
      <c r="M98" s="32">
        <f t="shared" si="6"/>
        <v>10251.962169637232</v>
      </c>
      <c r="N98" s="33">
        <f>Result_notebook!L98</f>
        <v>0.439346565686978</v>
      </c>
      <c r="O98" s="31">
        <f t="shared" si="7"/>
        <v>0</v>
      </c>
      <c r="P98" s="31">
        <f t="shared" si="8"/>
        <v>0</v>
      </c>
      <c r="Q98">
        <f t="shared" si="9"/>
        <v>52.985592172937231</v>
      </c>
    </row>
    <row r="99" spans="1:17" x14ac:dyDescent="0.35">
      <c r="A99">
        <v>2026</v>
      </c>
      <c r="B99" t="s">
        <v>6</v>
      </c>
      <c r="C99" t="s">
        <v>9</v>
      </c>
      <c r="D99" t="s">
        <v>18</v>
      </c>
      <c r="E99" t="s">
        <v>483</v>
      </c>
      <c r="F99" t="s">
        <v>85</v>
      </c>
      <c r="G99" s="31">
        <v>11787.03907014753</v>
      </c>
      <c r="H99" s="31">
        <v>4494</v>
      </c>
      <c r="I99" s="31">
        <v>1906.2731367109659</v>
      </c>
      <c r="J99" s="32">
        <f t="shared" si="5"/>
        <v>68.15032948631324</v>
      </c>
      <c r="K99" s="31">
        <v>22294.725159426209</v>
      </c>
      <c r="L99" s="31">
        <v>9880.7659334365635</v>
      </c>
      <c r="M99" s="32">
        <f t="shared" si="6"/>
        <v>9812.6156039502494</v>
      </c>
      <c r="N99" s="33">
        <f>Result_notebook!L99</f>
        <v>0.439346565686978</v>
      </c>
      <c r="O99" s="31">
        <f t="shared" si="7"/>
        <v>0</v>
      </c>
      <c r="P99" s="31">
        <f t="shared" si="8"/>
        <v>0</v>
      </c>
      <c r="Q99">
        <f t="shared" si="9"/>
        <v>68.15032948631324</v>
      </c>
    </row>
    <row r="100" spans="1:17" x14ac:dyDescent="0.35">
      <c r="A100">
        <v>2026</v>
      </c>
      <c r="B100" t="s">
        <v>6</v>
      </c>
      <c r="C100" t="s">
        <v>9</v>
      </c>
      <c r="D100" t="s">
        <v>18</v>
      </c>
      <c r="E100" t="s">
        <v>483</v>
      </c>
      <c r="F100" t="s">
        <v>86</v>
      </c>
      <c r="G100" s="31">
        <v>11787.03907014753</v>
      </c>
      <c r="H100" s="31">
        <v>4494</v>
      </c>
      <c r="I100" s="31">
        <v>1906.2731367109659</v>
      </c>
      <c r="J100" s="32">
        <f t="shared" si="5"/>
        <v>68.15032948631324</v>
      </c>
      <c r="K100" s="31">
        <v>22294.725159426209</v>
      </c>
      <c r="L100" s="31">
        <v>9880.7659334365635</v>
      </c>
      <c r="M100" s="32">
        <f t="shared" si="6"/>
        <v>9812.6156039502494</v>
      </c>
      <c r="N100" s="33">
        <f>Result_notebook!L100</f>
        <v>0.439346565686978</v>
      </c>
      <c r="O100" s="31">
        <f t="shared" si="7"/>
        <v>0</v>
      </c>
      <c r="P100" s="31">
        <f t="shared" si="8"/>
        <v>0</v>
      </c>
      <c r="Q100">
        <f t="shared" si="9"/>
        <v>68.15032948631324</v>
      </c>
    </row>
    <row r="101" spans="1:17" x14ac:dyDescent="0.35">
      <c r="A101">
        <v>2026</v>
      </c>
      <c r="B101" t="s">
        <v>6</v>
      </c>
      <c r="C101" t="s">
        <v>9</v>
      </c>
      <c r="D101" t="s">
        <v>18</v>
      </c>
      <c r="E101" t="s">
        <v>490</v>
      </c>
      <c r="F101" t="s">
        <v>82</v>
      </c>
      <c r="G101" s="31">
        <v>11787.03907014753</v>
      </c>
      <c r="H101" s="31">
        <v>4494</v>
      </c>
      <c r="I101" s="31">
        <v>1974.423466197281</v>
      </c>
      <c r="J101" s="32">
        <f t="shared" si="5"/>
        <v>-1.8189894035458565E-12</v>
      </c>
      <c r="K101" s="31">
        <v>22294.725159426209</v>
      </c>
      <c r="L101" s="31">
        <v>9812.6156039502494</v>
      </c>
      <c r="M101" s="32">
        <f t="shared" si="6"/>
        <v>9812.6156039502512</v>
      </c>
      <c r="N101" s="33">
        <f>Result_notebook!L101</f>
        <v>0.439346565686978</v>
      </c>
      <c r="O101" s="31">
        <f t="shared" si="7"/>
        <v>0</v>
      </c>
      <c r="P101" s="31">
        <f t="shared" si="8"/>
        <v>0</v>
      </c>
      <c r="Q101">
        <f t="shared" si="9"/>
        <v>-1.8189894035458565E-12</v>
      </c>
    </row>
    <row r="102" spans="1:17" x14ac:dyDescent="0.35">
      <c r="A102">
        <v>2026</v>
      </c>
      <c r="B102" t="s">
        <v>6</v>
      </c>
      <c r="C102" t="s">
        <v>10</v>
      </c>
      <c r="D102" t="s">
        <v>16</v>
      </c>
      <c r="E102" t="s">
        <v>483</v>
      </c>
      <c r="F102" t="s">
        <v>80</v>
      </c>
      <c r="G102" s="31">
        <v>14369.556871268551</v>
      </c>
      <c r="H102" s="31">
        <v>0</v>
      </c>
      <c r="I102" s="31">
        <v>0</v>
      </c>
      <c r="J102" s="32">
        <f t="shared" si="5"/>
        <v>0</v>
      </c>
      <c r="K102" s="31">
        <v>32658.083798337619</v>
      </c>
      <c r="L102" s="31">
        <v>14369.556871268551</v>
      </c>
      <c r="M102" s="32">
        <f t="shared" si="6"/>
        <v>14369.556871268551</v>
      </c>
      <c r="N102" s="33">
        <f>Result_notebook!L102</f>
        <v>0.439346565686978</v>
      </c>
      <c r="O102" s="31">
        <f t="shared" si="7"/>
        <v>0</v>
      </c>
      <c r="P102" s="31">
        <f t="shared" si="8"/>
        <v>0</v>
      </c>
      <c r="Q102">
        <f t="shared" si="9"/>
        <v>0</v>
      </c>
    </row>
    <row r="103" spans="1:17" x14ac:dyDescent="0.35">
      <c r="A103">
        <v>2026</v>
      </c>
      <c r="B103" t="s">
        <v>6</v>
      </c>
      <c r="C103" t="s">
        <v>10</v>
      </c>
      <c r="D103" t="s">
        <v>16</v>
      </c>
      <c r="E103" t="s">
        <v>483</v>
      </c>
      <c r="F103" t="s">
        <v>81</v>
      </c>
      <c r="G103" s="31">
        <v>14369.556871268551</v>
      </c>
      <c r="H103" s="31">
        <v>3494</v>
      </c>
      <c r="I103" s="31">
        <v>1482.0913083373639</v>
      </c>
      <c r="J103" s="32">
        <f t="shared" si="5"/>
        <v>52.985592172937231</v>
      </c>
      <c r="K103" s="31">
        <v>29164.083798337619</v>
      </c>
      <c r="L103" s="31">
        <v>12887.465562931189</v>
      </c>
      <c r="M103" s="32">
        <f t="shared" si="6"/>
        <v>12834.479970758252</v>
      </c>
      <c r="N103" s="33">
        <f>Result_notebook!L103</f>
        <v>0.439346565686978</v>
      </c>
      <c r="O103" s="31">
        <f t="shared" si="7"/>
        <v>0</v>
      </c>
      <c r="P103" s="31">
        <f t="shared" si="8"/>
        <v>0</v>
      </c>
      <c r="Q103">
        <f t="shared" si="9"/>
        <v>52.985592172937231</v>
      </c>
    </row>
    <row r="104" spans="1:17" x14ac:dyDescent="0.35">
      <c r="A104">
        <v>2026</v>
      </c>
      <c r="B104" t="s">
        <v>6</v>
      </c>
      <c r="C104" t="s">
        <v>10</v>
      </c>
      <c r="D104" t="s">
        <v>18</v>
      </c>
      <c r="E104" t="s">
        <v>483</v>
      </c>
      <c r="F104" t="s">
        <v>85</v>
      </c>
      <c r="G104" s="31">
        <v>14369.556871268551</v>
      </c>
      <c r="H104" s="31">
        <v>4494</v>
      </c>
      <c r="I104" s="31">
        <v>1906.2731367109659</v>
      </c>
      <c r="J104" s="32">
        <f t="shared" si="5"/>
        <v>68.15032948631324</v>
      </c>
      <c r="K104" s="31">
        <v>28164.083798337619</v>
      </c>
      <c r="L104" s="31">
        <v>12463.283734557581</v>
      </c>
      <c r="M104" s="32">
        <f t="shared" si="6"/>
        <v>12395.133405071268</v>
      </c>
      <c r="N104" s="33">
        <f>Result_notebook!L104</f>
        <v>0.439346565686978</v>
      </c>
      <c r="O104" s="31">
        <f t="shared" si="7"/>
        <v>0</v>
      </c>
      <c r="P104" s="31">
        <f t="shared" si="8"/>
        <v>0</v>
      </c>
      <c r="Q104">
        <f t="shared" si="9"/>
        <v>68.15032948631324</v>
      </c>
    </row>
    <row r="105" spans="1:17" x14ac:dyDescent="0.35">
      <c r="A105">
        <v>2026</v>
      </c>
      <c r="B105" t="s">
        <v>6</v>
      </c>
      <c r="C105" t="s">
        <v>10</v>
      </c>
      <c r="D105" t="s">
        <v>18</v>
      </c>
      <c r="E105" t="s">
        <v>483</v>
      </c>
      <c r="F105" t="s">
        <v>86</v>
      </c>
      <c r="G105" s="31">
        <v>14369.556871268551</v>
      </c>
      <c r="H105" s="31">
        <v>4494</v>
      </c>
      <c r="I105" s="31">
        <v>1906.2731367109659</v>
      </c>
      <c r="J105" s="32">
        <f t="shared" si="5"/>
        <v>68.15032948631324</v>
      </c>
      <c r="K105" s="31">
        <v>28164.083798337619</v>
      </c>
      <c r="L105" s="31">
        <v>12463.283734557581</v>
      </c>
      <c r="M105" s="32">
        <f t="shared" si="6"/>
        <v>12395.133405071268</v>
      </c>
      <c r="N105" s="33">
        <f>Result_notebook!L105</f>
        <v>0.439346565686978</v>
      </c>
      <c r="O105" s="31">
        <f t="shared" si="7"/>
        <v>0</v>
      </c>
      <c r="P105" s="31">
        <f t="shared" si="8"/>
        <v>0</v>
      </c>
      <c r="Q105">
        <f t="shared" si="9"/>
        <v>68.15032948631324</v>
      </c>
    </row>
    <row r="106" spans="1:17" x14ac:dyDescent="0.35">
      <c r="A106">
        <v>2026</v>
      </c>
      <c r="B106" t="s">
        <v>6</v>
      </c>
      <c r="C106" t="s">
        <v>10</v>
      </c>
      <c r="D106" t="s">
        <v>18</v>
      </c>
      <c r="E106" t="s">
        <v>490</v>
      </c>
      <c r="F106" t="s">
        <v>82</v>
      </c>
      <c r="G106" s="31">
        <v>14369.556871268551</v>
      </c>
      <c r="H106" s="31">
        <v>4494</v>
      </c>
      <c r="I106" s="31">
        <v>1974.423466197281</v>
      </c>
      <c r="J106" s="32">
        <f t="shared" si="5"/>
        <v>-1.8189894035458565E-12</v>
      </c>
      <c r="K106" s="31">
        <v>28164.083798337619</v>
      </c>
      <c r="L106" s="31">
        <v>12395.13340507127</v>
      </c>
      <c r="M106" s="32">
        <f t="shared" si="6"/>
        <v>12395.133405071272</v>
      </c>
      <c r="N106" s="33">
        <f>Result_notebook!L106</f>
        <v>0.439346565686978</v>
      </c>
      <c r="O106" s="31">
        <f t="shared" si="7"/>
        <v>0</v>
      </c>
      <c r="P106" s="31">
        <f t="shared" si="8"/>
        <v>0</v>
      </c>
      <c r="Q106">
        <f t="shared" si="9"/>
        <v>-1.8189894035458565E-12</v>
      </c>
    </row>
    <row r="107" spans="1:17" x14ac:dyDescent="0.35">
      <c r="A107">
        <v>2026</v>
      </c>
      <c r="B107" t="s">
        <v>7</v>
      </c>
      <c r="C107" t="s">
        <v>4</v>
      </c>
      <c r="D107" t="s">
        <v>16</v>
      </c>
      <c r="E107" t="s">
        <v>483</v>
      </c>
      <c r="F107" t="s">
        <v>80</v>
      </c>
      <c r="G107" s="31">
        <v>845634.32805853861</v>
      </c>
      <c r="H107" s="31">
        <v>0</v>
      </c>
      <c r="I107" s="31">
        <v>0</v>
      </c>
      <c r="J107" s="32">
        <f t="shared" si="5"/>
        <v>0</v>
      </c>
      <c r="K107" s="31">
        <v>1018836.539829565</v>
      </c>
      <c r="L107" s="31">
        <v>845634.32805853861</v>
      </c>
      <c r="M107" s="32">
        <f t="shared" si="6"/>
        <v>845634.32805853861</v>
      </c>
      <c r="N107" s="33">
        <f>Result_notebook!L107</f>
        <v>0.83474576271186396</v>
      </c>
      <c r="O107" s="31">
        <f t="shared" si="7"/>
        <v>0</v>
      </c>
      <c r="P107" s="31">
        <f t="shared" si="8"/>
        <v>0</v>
      </c>
      <c r="Q107">
        <f t="shared" si="9"/>
        <v>0</v>
      </c>
    </row>
    <row r="108" spans="1:17" x14ac:dyDescent="0.35">
      <c r="A108">
        <v>2026</v>
      </c>
      <c r="B108" t="s">
        <v>7</v>
      </c>
      <c r="C108" t="s">
        <v>4</v>
      </c>
      <c r="D108" t="s">
        <v>16</v>
      </c>
      <c r="E108" t="s">
        <v>483</v>
      </c>
      <c r="F108" t="s">
        <v>81</v>
      </c>
      <c r="G108" s="31">
        <v>845634.32805853861</v>
      </c>
      <c r="H108" s="31">
        <v>475566</v>
      </c>
      <c r="I108" s="31">
        <v>249961.62107116709</v>
      </c>
      <c r="J108" s="32">
        <f t="shared" si="5"/>
        <v>147015.08231866322</v>
      </c>
      <c r="K108" s="31">
        <v>543270.53982956463</v>
      </c>
      <c r="L108" s="31">
        <v>595672.70698737155</v>
      </c>
      <c r="M108" s="32">
        <f t="shared" si="6"/>
        <v>448657.6246687083</v>
      </c>
      <c r="N108" s="33">
        <f>Result_notebook!L108</f>
        <v>0.83474576271186396</v>
      </c>
      <c r="O108" s="31">
        <f t="shared" si="7"/>
        <v>0</v>
      </c>
      <c r="P108" s="31">
        <f t="shared" si="8"/>
        <v>0</v>
      </c>
      <c r="Q108">
        <f t="shared" si="9"/>
        <v>147015.08231866322</v>
      </c>
    </row>
    <row r="109" spans="1:17" x14ac:dyDescent="0.35">
      <c r="A109">
        <v>2026</v>
      </c>
      <c r="B109" t="s">
        <v>7</v>
      </c>
      <c r="C109" t="s">
        <v>4</v>
      </c>
      <c r="D109" t="s">
        <v>18</v>
      </c>
      <c r="E109" t="s">
        <v>483</v>
      </c>
      <c r="F109" t="s">
        <v>85</v>
      </c>
      <c r="G109" s="31">
        <v>845634.32805853861</v>
      </c>
      <c r="H109" s="31">
        <v>562105.95050130773</v>
      </c>
      <c r="I109" s="31">
        <v>295447.77086893527</v>
      </c>
      <c r="J109" s="32">
        <f t="shared" si="5"/>
        <v>173767.78950715612</v>
      </c>
      <c r="K109" s="31">
        <v>456730.5893282569</v>
      </c>
      <c r="L109" s="31">
        <v>550186.55718960334</v>
      </c>
      <c r="M109" s="32">
        <f t="shared" si="6"/>
        <v>376418.76768244721</v>
      </c>
      <c r="N109" s="33">
        <f>Result_notebook!L109</f>
        <v>0.83474576271186396</v>
      </c>
      <c r="O109" s="31">
        <f t="shared" si="7"/>
        <v>0</v>
      </c>
      <c r="P109" s="31">
        <f t="shared" si="8"/>
        <v>0</v>
      </c>
      <c r="Q109">
        <f t="shared" si="9"/>
        <v>173767.78950715612</v>
      </c>
    </row>
    <row r="110" spans="1:17" x14ac:dyDescent="0.35">
      <c r="A110">
        <v>2026</v>
      </c>
      <c r="B110" t="s">
        <v>7</v>
      </c>
      <c r="C110" t="s">
        <v>4</v>
      </c>
      <c r="D110" t="s">
        <v>18</v>
      </c>
      <c r="E110" t="s">
        <v>483</v>
      </c>
      <c r="F110" t="s">
        <v>86</v>
      </c>
      <c r="G110" s="31">
        <v>845634.32805853861</v>
      </c>
      <c r="H110" s="31">
        <v>562105.95050130773</v>
      </c>
      <c r="I110" s="31">
        <v>295447.77086893527</v>
      </c>
      <c r="J110" s="32">
        <f t="shared" si="5"/>
        <v>173767.78950715612</v>
      </c>
      <c r="K110" s="31">
        <v>456730.5893282569</v>
      </c>
      <c r="L110" s="31">
        <v>550186.55718960334</v>
      </c>
      <c r="M110" s="32">
        <f t="shared" si="6"/>
        <v>376418.76768244721</v>
      </c>
      <c r="N110" s="33">
        <f>Result_notebook!L110</f>
        <v>0.83474576271186396</v>
      </c>
      <c r="O110" s="31">
        <f t="shared" si="7"/>
        <v>0</v>
      </c>
      <c r="P110" s="31">
        <f t="shared" si="8"/>
        <v>0</v>
      </c>
      <c r="Q110">
        <f t="shared" si="9"/>
        <v>173767.78950715612</v>
      </c>
    </row>
    <row r="111" spans="1:17" x14ac:dyDescent="0.35">
      <c r="A111">
        <v>2026</v>
      </c>
      <c r="B111" t="s">
        <v>7</v>
      </c>
      <c r="C111" t="s">
        <v>4</v>
      </c>
      <c r="D111" t="s">
        <v>18</v>
      </c>
      <c r="E111" t="s">
        <v>490</v>
      </c>
      <c r="F111" t="s">
        <v>82</v>
      </c>
      <c r="G111" s="31">
        <v>845634.32805853861</v>
      </c>
      <c r="H111" s="31">
        <v>562105.95050130773</v>
      </c>
      <c r="I111" s="31">
        <v>469215.56037609163</v>
      </c>
      <c r="J111" s="32">
        <f t="shared" si="5"/>
        <v>0</v>
      </c>
      <c r="K111" s="31">
        <v>456730.5893282569</v>
      </c>
      <c r="L111" s="31">
        <v>376418.76768244698</v>
      </c>
      <c r="M111" s="32">
        <f t="shared" si="6"/>
        <v>376418.76768244698</v>
      </c>
      <c r="N111" s="33">
        <f>Result_notebook!L111</f>
        <v>0.83474576271186396</v>
      </c>
      <c r="O111" s="31">
        <f t="shared" si="7"/>
        <v>0</v>
      </c>
      <c r="P111" s="31">
        <f t="shared" si="8"/>
        <v>0</v>
      </c>
      <c r="Q111">
        <f t="shared" si="9"/>
        <v>0</v>
      </c>
    </row>
    <row r="112" spans="1:17" x14ac:dyDescent="0.35">
      <c r="A112">
        <v>2026</v>
      </c>
      <c r="B112" t="s">
        <v>7</v>
      </c>
      <c r="C112" t="s">
        <v>9</v>
      </c>
      <c r="D112" t="s">
        <v>16</v>
      </c>
      <c r="E112" t="s">
        <v>483</v>
      </c>
      <c r="F112" t="s">
        <v>80</v>
      </c>
      <c r="G112" s="31">
        <v>845257.87153819855</v>
      </c>
      <c r="H112" s="31">
        <v>0</v>
      </c>
      <c r="I112" s="31">
        <v>0</v>
      </c>
      <c r="J112" s="32">
        <f t="shared" si="5"/>
        <v>0</v>
      </c>
      <c r="K112" s="31">
        <v>1018382.977756866</v>
      </c>
      <c r="L112" s="31">
        <v>845257.87153819855</v>
      </c>
      <c r="M112" s="32">
        <f t="shared" si="6"/>
        <v>845257.87153819855</v>
      </c>
      <c r="N112" s="33">
        <f>Result_notebook!L112</f>
        <v>0.83474576271186396</v>
      </c>
      <c r="O112" s="31">
        <f t="shared" si="7"/>
        <v>0</v>
      </c>
      <c r="P112" s="31">
        <f t="shared" si="8"/>
        <v>0</v>
      </c>
      <c r="Q112">
        <f t="shared" si="9"/>
        <v>0</v>
      </c>
    </row>
    <row r="113" spans="1:17" x14ac:dyDescent="0.35">
      <c r="A113">
        <v>2026</v>
      </c>
      <c r="B113" t="s">
        <v>7</v>
      </c>
      <c r="C113" t="s">
        <v>9</v>
      </c>
      <c r="D113" t="s">
        <v>16</v>
      </c>
      <c r="E113" t="s">
        <v>483</v>
      </c>
      <c r="F113" t="s">
        <v>81</v>
      </c>
      <c r="G113" s="31">
        <v>845257.87153819855</v>
      </c>
      <c r="H113" s="31">
        <v>475566</v>
      </c>
      <c r="I113" s="31">
        <v>249961.62107116709</v>
      </c>
      <c r="J113" s="32">
        <f t="shared" si="5"/>
        <v>147015.08231866322</v>
      </c>
      <c r="K113" s="31">
        <v>542816.97775686579</v>
      </c>
      <c r="L113" s="31">
        <v>595296.2504670315</v>
      </c>
      <c r="M113" s="32">
        <f t="shared" si="6"/>
        <v>448281.16814836825</v>
      </c>
      <c r="N113" s="33">
        <f>Result_notebook!L113</f>
        <v>0.83474576271186396</v>
      </c>
      <c r="O113" s="31">
        <f t="shared" si="7"/>
        <v>0</v>
      </c>
      <c r="P113" s="31">
        <f t="shared" si="8"/>
        <v>0</v>
      </c>
      <c r="Q113">
        <f t="shared" si="9"/>
        <v>147015.08231866322</v>
      </c>
    </row>
    <row r="114" spans="1:17" x14ac:dyDescent="0.35">
      <c r="A114">
        <v>2026</v>
      </c>
      <c r="B114" t="s">
        <v>7</v>
      </c>
      <c r="C114" t="s">
        <v>9</v>
      </c>
      <c r="D114" t="s">
        <v>18</v>
      </c>
      <c r="E114" t="s">
        <v>483</v>
      </c>
      <c r="F114" t="s">
        <v>85</v>
      </c>
      <c r="G114" s="31">
        <v>845257.87153819855</v>
      </c>
      <c r="H114" s="31">
        <v>562105.95050130773</v>
      </c>
      <c r="I114" s="31">
        <v>295447.77086893527</v>
      </c>
      <c r="J114" s="32">
        <f t="shared" si="5"/>
        <v>173767.78950715612</v>
      </c>
      <c r="K114" s="31">
        <v>456277.02725555812</v>
      </c>
      <c r="L114" s="31">
        <v>549810.10066926316</v>
      </c>
      <c r="M114" s="32">
        <f t="shared" si="6"/>
        <v>376042.31116210704</v>
      </c>
      <c r="N114" s="33">
        <f>Result_notebook!L114</f>
        <v>0.83474576271186396</v>
      </c>
      <c r="O114" s="31">
        <f t="shared" si="7"/>
        <v>0</v>
      </c>
      <c r="P114" s="31">
        <f t="shared" si="8"/>
        <v>0</v>
      </c>
      <c r="Q114">
        <f t="shared" si="9"/>
        <v>173767.78950715612</v>
      </c>
    </row>
    <row r="115" spans="1:17" x14ac:dyDescent="0.35">
      <c r="A115">
        <v>2026</v>
      </c>
      <c r="B115" t="s">
        <v>7</v>
      </c>
      <c r="C115" t="s">
        <v>9</v>
      </c>
      <c r="D115" t="s">
        <v>18</v>
      </c>
      <c r="E115" t="s">
        <v>483</v>
      </c>
      <c r="F115" t="s">
        <v>86</v>
      </c>
      <c r="G115" s="31">
        <v>845257.87153819855</v>
      </c>
      <c r="H115" s="31">
        <v>562105.95050130773</v>
      </c>
      <c r="I115" s="31">
        <v>295447.77086893527</v>
      </c>
      <c r="J115" s="32">
        <f t="shared" si="5"/>
        <v>173767.78950715612</v>
      </c>
      <c r="K115" s="31">
        <v>456277.02725555812</v>
      </c>
      <c r="L115" s="31">
        <v>549810.10066926316</v>
      </c>
      <c r="M115" s="32">
        <f t="shared" si="6"/>
        <v>376042.31116210704</v>
      </c>
      <c r="N115" s="33">
        <f>Result_notebook!L115</f>
        <v>0.83474576271186396</v>
      </c>
      <c r="O115" s="31">
        <f t="shared" si="7"/>
        <v>0</v>
      </c>
      <c r="P115" s="31">
        <f t="shared" si="8"/>
        <v>0</v>
      </c>
      <c r="Q115">
        <f t="shared" si="9"/>
        <v>173767.78950715612</v>
      </c>
    </row>
    <row r="116" spans="1:17" x14ac:dyDescent="0.35">
      <c r="A116">
        <v>2026</v>
      </c>
      <c r="B116" t="s">
        <v>7</v>
      </c>
      <c r="C116" t="s">
        <v>9</v>
      </c>
      <c r="D116" t="s">
        <v>18</v>
      </c>
      <c r="E116" t="s">
        <v>490</v>
      </c>
      <c r="F116" t="s">
        <v>82</v>
      </c>
      <c r="G116" s="31">
        <v>845257.87153819855</v>
      </c>
      <c r="H116" s="31">
        <v>562105.95050130773</v>
      </c>
      <c r="I116" s="31">
        <v>469215.56037609163</v>
      </c>
      <c r="J116" s="32">
        <f t="shared" si="5"/>
        <v>0</v>
      </c>
      <c r="K116" s="31">
        <v>456277.02725555812</v>
      </c>
      <c r="L116" s="31">
        <v>376042.31116210693</v>
      </c>
      <c r="M116" s="32">
        <f t="shared" si="6"/>
        <v>376042.31116210693</v>
      </c>
      <c r="N116" s="33">
        <f>Result_notebook!L116</f>
        <v>0.83474576271186396</v>
      </c>
      <c r="O116" s="31">
        <f t="shared" si="7"/>
        <v>0</v>
      </c>
      <c r="P116" s="31">
        <f t="shared" si="8"/>
        <v>0</v>
      </c>
      <c r="Q116">
        <f t="shared" si="9"/>
        <v>0</v>
      </c>
    </row>
    <row r="117" spans="1:17" x14ac:dyDescent="0.35">
      <c r="A117">
        <v>2026</v>
      </c>
      <c r="B117" t="s">
        <v>7</v>
      </c>
      <c r="C117" t="s">
        <v>10</v>
      </c>
      <c r="D117" t="s">
        <v>16</v>
      </c>
      <c r="E117" t="s">
        <v>483</v>
      </c>
      <c r="F117" t="s">
        <v>80</v>
      </c>
      <c r="G117" s="31">
        <v>837500.54212283459</v>
      </c>
      <c r="H117" s="31">
        <v>0</v>
      </c>
      <c r="I117" s="31">
        <v>0</v>
      </c>
      <c r="J117" s="32">
        <f t="shared" si="5"/>
        <v>0</v>
      </c>
      <c r="K117" s="31">
        <v>1009036.797738355</v>
      </c>
      <c r="L117" s="31">
        <v>837500.54212283459</v>
      </c>
      <c r="M117" s="32">
        <f t="shared" si="6"/>
        <v>837500.54212283459</v>
      </c>
      <c r="N117" s="33">
        <f>Result_notebook!L117</f>
        <v>0.83474576271186396</v>
      </c>
      <c r="O117" s="31">
        <f t="shared" si="7"/>
        <v>0</v>
      </c>
      <c r="P117" s="31">
        <f t="shared" si="8"/>
        <v>0</v>
      </c>
      <c r="Q117">
        <f t="shared" si="9"/>
        <v>0</v>
      </c>
    </row>
    <row r="118" spans="1:17" x14ac:dyDescent="0.35">
      <c r="A118">
        <v>2026</v>
      </c>
      <c r="B118" t="s">
        <v>7</v>
      </c>
      <c r="C118" t="s">
        <v>10</v>
      </c>
      <c r="D118" t="s">
        <v>16</v>
      </c>
      <c r="E118" t="s">
        <v>483</v>
      </c>
      <c r="F118" t="s">
        <v>81</v>
      </c>
      <c r="G118" s="31">
        <v>837500.54212283459</v>
      </c>
      <c r="H118" s="31">
        <v>475566</v>
      </c>
      <c r="I118" s="31">
        <v>249961.62107116709</v>
      </c>
      <c r="J118" s="32">
        <f t="shared" si="5"/>
        <v>147015.08231866322</v>
      </c>
      <c r="K118" s="31">
        <v>533470.797738355</v>
      </c>
      <c r="L118" s="31">
        <v>587538.92105166754</v>
      </c>
      <c r="M118" s="32">
        <f t="shared" si="6"/>
        <v>440523.83873300429</v>
      </c>
      <c r="N118" s="33">
        <f>Result_notebook!L118</f>
        <v>0.83474576271186396</v>
      </c>
      <c r="O118" s="31">
        <f t="shared" si="7"/>
        <v>0</v>
      </c>
      <c r="P118" s="31">
        <f t="shared" si="8"/>
        <v>0</v>
      </c>
      <c r="Q118">
        <f t="shared" si="9"/>
        <v>147015.08231866322</v>
      </c>
    </row>
    <row r="119" spans="1:17" x14ac:dyDescent="0.35">
      <c r="A119">
        <v>2026</v>
      </c>
      <c r="B119" t="s">
        <v>7</v>
      </c>
      <c r="C119" t="s">
        <v>10</v>
      </c>
      <c r="D119" t="s">
        <v>18</v>
      </c>
      <c r="E119" t="s">
        <v>483</v>
      </c>
      <c r="F119" t="s">
        <v>85</v>
      </c>
      <c r="G119" s="31">
        <v>837500.54212283459</v>
      </c>
      <c r="H119" s="31">
        <v>562105.95050130773</v>
      </c>
      <c r="I119" s="31">
        <v>295447.77086893527</v>
      </c>
      <c r="J119" s="32">
        <f t="shared" si="5"/>
        <v>173767.78950715612</v>
      </c>
      <c r="K119" s="31">
        <v>446930.84723704727</v>
      </c>
      <c r="L119" s="31">
        <v>542052.77125389921</v>
      </c>
      <c r="M119" s="32">
        <f t="shared" si="6"/>
        <v>368284.98174674308</v>
      </c>
      <c r="N119" s="33">
        <f>Result_notebook!L119</f>
        <v>0.83474576271186396</v>
      </c>
      <c r="O119" s="31">
        <f t="shared" si="7"/>
        <v>0</v>
      </c>
      <c r="P119" s="31">
        <f t="shared" si="8"/>
        <v>0</v>
      </c>
      <c r="Q119">
        <f t="shared" si="9"/>
        <v>173767.78950715612</v>
      </c>
    </row>
    <row r="120" spans="1:17" x14ac:dyDescent="0.35">
      <c r="A120">
        <v>2026</v>
      </c>
      <c r="B120" t="s">
        <v>7</v>
      </c>
      <c r="C120" t="s">
        <v>10</v>
      </c>
      <c r="D120" t="s">
        <v>18</v>
      </c>
      <c r="E120" t="s">
        <v>483</v>
      </c>
      <c r="F120" t="s">
        <v>86</v>
      </c>
      <c r="G120" s="31">
        <v>837500.54212283459</v>
      </c>
      <c r="H120" s="31">
        <v>562105.95050130773</v>
      </c>
      <c r="I120" s="31">
        <v>295447.77086893527</v>
      </c>
      <c r="J120" s="32">
        <f t="shared" si="5"/>
        <v>173767.78950715612</v>
      </c>
      <c r="K120" s="31">
        <v>446930.84723704727</v>
      </c>
      <c r="L120" s="31">
        <v>542052.77125389921</v>
      </c>
      <c r="M120" s="32">
        <f t="shared" si="6"/>
        <v>368284.98174674308</v>
      </c>
      <c r="N120" s="33">
        <f>Result_notebook!L120</f>
        <v>0.83474576271186396</v>
      </c>
      <c r="O120" s="31">
        <f t="shared" si="7"/>
        <v>0</v>
      </c>
      <c r="P120" s="31">
        <f t="shared" si="8"/>
        <v>0</v>
      </c>
      <c r="Q120">
        <f t="shared" si="9"/>
        <v>173767.78950715612</v>
      </c>
    </row>
    <row r="121" spans="1:17" x14ac:dyDescent="0.35">
      <c r="A121">
        <v>2026</v>
      </c>
      <c r="B121" t="s">
        <v>7</v>
      </c>
      <c r="C121" t="s">
        <v>10</v>
      </c>
      <c r="D121" t="s">
        <v>18</v>
      </c>
      <c r="E121" t="s">
        <v>490</v>
      </c>
      <c r="F121" t="s">
        <v>82</v>
      </c>
      <c r="G121" s="31">
        <v>837500.54212283459</v>
      </c>
      <c r="H121" s="31">
        <v>562105.95050130773</v>
      </c>
      <c r="I121" s="31">
        <v>469215.56037609163</v>
      </c>
      <c r="J121" s="32">
        <f t="shared" si="5"/>
        <v>0</v>
      </c>
      <c r="K121" s="31">
        <v>446930.84723704727</v>
      </c>
      <c r="L121" s="31">
        <v>368284.98174674303</v>
      </c>
      <c r="M121" s="32">
        <f t="shared" si="6"/>
        <v>368284.98174674303</v>
      </c>
      <c r="N121" s="33">
        <f>Result_notebook!L121</f>
        <v>0.83474576271186396</v>
      </c>
      <c r="O121" s="31">
        <f t="shared" si="7"/>
        <v>0</v>
      </c>
      <c r="P121" s="31">
        <f t="shared" si="8"/>
        <v>0</v>
      </c>
      <c r="Q121">
        <f t="shared" si="9"/>
        <v>0</v>
      </c>
    </row>
    <row r="122" spans="1:17" x14ac:dyDescent="0.35">
      <c r="A122">
        <v>2026</v>
      </c>
      <c r="B122" t="s">
        <v>11</v>
      </c>
      <c r="C122" t="s">
        <v>4</v>
      </c>
      <c r="D122" t="s">
        <v>16</v>
      </c>
      <c r="E122" t="s">
        <v>483</v>
      </c>
      <c r="F122" t="s">
        <v>80</v>
      </c>
      <c r="G122" s="31">
        <v>563.7311840881448</v>
      </c>
      <c r="H122" s="31">
        <v>0</v>
      </c>
      <c r="I122" s="31">
        <v>0</v>
      </c>
      <c r="J122" s="32">
        <f t="shared" si="5"/>
        <v>0</v>
      </c>
      <c r="K122" s="31">
        <v>939.55197348024137</v>
      </c>
      <c r="L122" s="31">
        <v>563.7311840881448</v>
      </c>
      <c r="M122" s="32">
        <f t="shared" si="6"/>
        <v>563.7311840881448</v>
      </c>
      <c r="N122" s="33">
        <f>Result_notebook!L122</f>
        <v>1</v>
      </c>
      <c r="O122" s="31">
        <f t="shared" si="7"/>
        <v>0</v>
      </c>
      <c r="P122" s="31">
        <f t="shared" si="8"/>
        <v>0</v>
      </c>
      <c r="Q122">
        <f t="shared" si="9"/>
        <v>0</v>
      </c>
    </row>
    <row r="123" spans="1:17" x14ac:dyDescent="0.35">
      <c r="A123">
        <v>2026</v>
      </c>
      <c r="B123" t="s">
        <v>11</v>
      </c>
      <c r="C123" t="s">
        <v>4</v>
      </c>
      <c r="D123" t="s">
        <v>16</v>
      </c>
      <c r="E123" t="s">
        <v>483</v>
      </c>
      <c r="F123" t="s">
        <v>81</v>
      </c>
      <c r="G123" s="31">
        <v>563.7311840881448</v>
      </c>
      <c r="H123" s="31">
        <v>0</v>
      </c>
      <c r="I123" s="31">
        <v>0</v>
      </c>
      <c r="J123" s="32">
        <f t="shared" si="5"/>
        <v>0</v>
      </c>
      <c r="K123" s="31">
        <v>939.55197348024137</v>
      </c>
      <c r="L123" s="31">
        <v>563.7311840881448</v>
      </c>
      <c r="M123" s="32">
        <f t="shared" si="6"/>
        <v>563.7311840881448</v>
      </c>
      <c r="N123" s="33">
        <f>Result_notebook!L123</f>
        <v>1</v>
      </c>
      <c r="O123" s="31">
        <f t="shared" si="7"/>
        <v>0</v>
      </c>
      <c r="P123" s="31">
        <f t="shared" si="8"/>
        <v>0</v>
      </c>
      <c r="Q123">
        <f t="shared" si="9"/>
        <v>0</v>
      </c>
    </row>
    <row r="124" spans="1:17" x14ac:dyDescent="0.35">
      <c r="A124">
        <v>2026</v>
      </c>
      <c r="B124" t="s">
        <v>11</v>
      </c>
      <c r="C124" t="s">
        <v>4</v>
      </c>
      <c r="D124" t="s">
        <v>18</v>
      </c>
      <c r="E124" t="s">
        <v>483</v>
      </c>
      <c r="F124" t="s">
        <v>85</v>
      </c>
      <c r="G124" s="31">
        <v>563.7311840881448</v>
      </c>
      <c r="H124" s="31">
        <v>3.8513667333084358</v>
      </c>
      <c r="I124" s="31">
        <v>2.3052121187651879</v>
      </c>
      <c r="J124" s="32">
        <f t="shared" si="5"/>
        <v>1.5461546145432479</v>
      </c>
      <c r="K124" s="31">
        <v>935.70060674693298</v>
      </c>
      <c r="L124" s="31">
        <v>561.42597196937959</v>
      </c>
      <c r="M124" s="32">
        <f t="shared" si="6"/>
        <v>559.87981735483629</v>
      </c>
      <c r="N124" s="33">
        <f>Result_notebook!L124</f>
        <v>1</v>
      </c>
      <c r="O124" s="31">
        <f t="shared" si="7"/>
        <v>0</v>
      </c>
      <c r="P124" s="31">
        <f t="shared" si="8"/>
        <v>0</v>
      </c>
      <c r="Q124">
        <f t="shared" si="9"/>
        <v>1.5461546145432479</v>
      </c>
    </row>
    <row r="125" spans="1:17" x14ac:dyDescent="0.35">
      <c r="A125">
        <v>2026</v>
      </c>
      <c r="B125" t="s">
        <v>11</v>
      </c>
      <c r="C125" t="s">
        <v>4</v>
      </c>
      <c r="D125" t="s">
        <v>18</v>
      </c>
      <c r="E125" t="s">
        <v>483</v>
      </c>
      <c r="F125" t="s">
        <v>86</v>
      </c>
      <c r="G125" s="31">
        <v>563.7311840881448</v>
      </c>
      <c r="H125" s="31">
        <v>3.8513667333084358</v>
      </c>
      <c r="I125" s="31">
        <v>2.3052121187651879</v>
      </c>
      <c r="J125" s="32">
        <f t="shared" si="5"/>
        <v>1.5461546145432479</v>
      </c>
      <c r="K125" s="31">
        <v>935.70060674693298</v>
      </c>
      <c r="L125" s="31">
        <v>561.42597196937959</v>
      </c>
      <c r="M125" s="32">
        <f t="shared" si="6"/>
        <v>559.87981735483629</v>
      </c>
      <c r="N125" s="33">
        <f>Result_notebook!L125</f>
        <v>1</v>
      </c>
      <c r="O125" s="31">
        <f t="shared" si="7"/>
        <v>0</v>
      </c>
      <c r="P125" s="31">
        <f t="shared" si="8"/>
        <v>0</v>
      </c>
      <c r="Q125">
        <f t="shared" si="9"/>
        <v>1.5461546145432479</v>
      </c>
    </row>
    <row r="126" spans="1:17" x14ac:dyDescent="0.35">
      <c r="A126">
        <v>2026</v>
      </c>
      <c r="B126" t="s">
        <v>11</v>
      </c>
      <c r="C126" t="s">
        <v>4</v>
      </c>
      <c r="D126" t="s">
        <v>18</v>
      </c>
      <c r="E126" t="s">
        <v>490</v>
      </c>
      <c r="F126" t="s">
        <v>82</v>
      </c>
      <c r="G126" s="31">
        <v>563.7311840881448</v>
      </c>
      <c r="H126" s="31">
        <v>3.8513667333084358</v>
      </c>
      <c r="I126" s="31">
        <v>2.3052121187651879</v>
      </c>
      <c r="J126" s="32">
        <f t="shared" si="5"/>
        <v>1.5461546145432479</v>
      </c>
      <c r="K126" s="31">
        <v>935.70060674693298</v>
      </c>
      <c r="L126" s="31">
        <v>561.42597196937959</v>
      </c>
      <c r="M126" s="32">
        <f t="shared" si="6"/>
        <v>559.87981735483629</v>
      </c>
      <c r="N126" s="33">
        <f>Result_notebook!L126</f>
        <v>1</v>
      </c>
      <c r="O126" s="31">
        <f t="shared" si="7"/>
        <v>0</v>
      </c>
      <c r="P126" s="31">
        <f t="shared" si="8"/>
        <v>0</v>
      </c>
      <c r="Q126">
        <f t="shared" si="9"/>
        <v>1.5461546145432479</v>
      </c>
    </row>
    <row r="127" spans="1:17" x14ac:dyDescent="0.35">
      <c r="A127">
        <v>2026</v>
      </c>
      <c r="B127" t="s">
        <v>11</v>
      </c>
      <c r="C127" t="s">
        <v>9</v>
      </c>
      <c r="D127" t="s">
        <v>16</v>
      </c>
      <c r="E127" t="s">
        <v>483</v>
      </c>
      <c r="F127" t="s">
        <v>80</v>
      </c>
      <c r="G127" s="31">
        <v>395.17239379038261</v>
      </c>
      <c r="H127" s="31">
        <v>0</v>
      </c>
      <c r="I127" s="31">
        <v>0</v>
      </c>
      <c r="J127" s="32">
        <f t="shared" si="5"/>
        <v>0</v>
      </c>
      <c r="K127" s="31">
        <v>658.62065631730434</v>
      </c>
      <c r="L127" s="31">
        <v>395.17239379038261</v>
      </c>
      <c r="M127" s="32">
        <f t="shared" si="6"/>
        <v>395.17239379038261</v>
      </c>
      <c r="N127" s="33">
        <f>Result_notebook!L127</f>
        <v>1</v>
      </c>
      <c r="O127" s="31">
        <f t="shared" si="7"/>
        <v>0</v>
      </c>
      <c r="P127" s="31">
        <f t="shared" si="8"/>
        <v>0</v>
      </c>
      <c r="Q127">
        <f t="shared" si="9"/>
        <v>0</v>
      </c>
    </row>
    <row r="128" spans="1:17" x14ac:dyDescent="0.35">
      <c r="A128">
        <v>2026</v>
      </c>
      <c r="B128" t="s">
        <v>11</v>
      </c>
      <c r="C128" t="s">
        <v>9</v>
      </c>
      <c r="D128" t="s">
        <v>16</v>
      </c>
      <c r="E128" t="s">
        <v>483</v>
      </c>
      <c r="F128" t="s">
        <v>81</v>
      </c>
      <c r="G128" s="31">
        <v>395.17239379038261</v>
      </c>
      <c r="H128" s="31">
        <v>0</v>
      </c>
      <c r="I128" s="31">
        <v>0</v>
      </c>
      <c r="J128" s="32">
        <f t="shared" si="5"/>
        <v>0</v>
      </c>
      <c r="K128" s="31">
        <v>658.62065631730434</v>
      </c>
      <c r="L128" s="31">
        <v>395.17239379038261</v>
      </c>
      <c r="M128" s="32">
        <f t="shared" si="6"/>
        <v>395.17239379038261</v>
      </c>
      <c r="N128" s="33">
        <f>Result_notebook!L128</f>
        <v>1</v>
      </c>
      <c r="O128" s="31">
        <f t="shared" si="7"/>
        <v>0</v>
      </c>
      <c r="P128" s="31">
        <f t="shared" si="8"/>
        <v>0</v>
      </c>
      <c r="Q128">
        <f t="shared" si="9"/>
        <v>0</v>
      </c>
    </row>
    <row r="129" spans="1:17" x14ac:dyDescent="0.35">
      <c r="A129">
        <v>2026</v>
      </c>
      <c r="B129" t="s">
        <v>11</v>
      </c>
      <c r="C129" t="s">
        <v>9</v>
      </c>
      <c r="D129" t="s">
        <v>18</v>
      </c>
      <c r="E129" t="s">
        <v>483</v>
      </c>
      <c r="F129" t="s">
        <v>85</v>
      </c>
      <c r="G129" s="31">
        <v>395.17239379038261</v>
      </c>
      <c r="H129" s="31">
        <v>3.8513667333084358</v>
      </c>
      <c r="I129" s="31">
        <v>2.3052121187651879</v>
      </c>
      <c r="J129" s="32">
        <f t="shared" si="5"/>
        <v>1.5461546145432479</v>
      </c>
      <c r="K129" s="31">
        <v>654.76928958399594</v>
      </c>
      <c r="L129" s="31">
        <v>392.8671816716174</v>
      </c>
      <c r="M129" s="32">
        <f t="shared" si="6"/>
        <v>391.32102705707416</v>
      </c>
      <c r="N129" s="33">
        <f>Result_notebook!L129</f>
        <v>1</v>
      </c>
      <c r="O129" s="31">
        <f t="shared" si="7"/>
        <v>0</v>
      </c>
      <c r="P129" s="31">
        <f t="shared" si="8"/>
        <v>0</v>
      </c>
      <c r="Q129">
        <f t="shared" si="9"/>
        <v>1.5461546145432479</v>
      </c>
    </row>
    <row r="130" spans="1:17" x14ac:dyDescent="0.35">
      <c r="A130">
        <v>2026</v>
      </c>
      <c r="B130" t="s">
        <v>11</v>
      </c>
      <c r="C130" t="s">
        <v>9</v>
      </c>
      <c r="D130" t="s">
        <v>18</v>
      </c>
      <c r="E130" t="s">
        <v>483</v>
      </c>
      <c r="F130" t="s">
        <v>86</v>
      </c>
      <c r="G130" s="31">
        <v>395.17239379038261</v>
      </c>
      <c r="H130" s="31">
        <v>3.8513667333084358</v>
      </c>
      <c r="I130" s="31">
        <v>2.3052121187651879</v>
      </c>
      <c r="J130" s="32">
        <f t="shared" si="5"/>
        <v>1.5461546145432479</v>
      </c>
      <c r="K130" s="31">
        <v>654.76928958399594</v>
      </c>
      <c r="L130" s="31">
        <v>392.8671816716174</v>
      </c>
      <c r="M130" s="32">
        <f t="shared" si="6"/>
        <v>391.32102705707416</v>
      </c>
      <c r="N130" s="33">
        <f>Result_notebook!L130</f>
        <v>1</v>
      </c>
      <c r="O130" s="31">
        <f t="shared" si="7"/>
        <v>0</v>
      </c>
      <c r="P130" s="31">
        <f t="shared" si="8"/>
        <v>0</v>
      </c>
      <c r="Q130">
        <f t="shared" si="9"/>
        <v>1.5461546145432479</v>
      </c>
    </row>
    <row r="131" spans="1:17" x14ac:dyDescent="0.35">
      <c r="A131">
        <v>2026</v>
      </c>
      <c r="B131" t="s">
        <v>11</v>
      </c>
      <c r="C131" t="s">
        <v>9</v>
      </c>
      <c r="D131" t="s">
        <v>18</v>
      </c>
      <c r="E131" t="s">
        <v>490</v>
      </c>
      <c r="F131" t="s">
        <v>82</v>
      </c>
      <c r="G131" s="31">
        <v>395.17239379038261</v>
      </c>
      <c r="H131" s="31">
        <v>3.8513667333084358</v>
      </c>
      <c r="I131" s="31">
        <v>2.3052121187651879</v>
      </c>
      <c r="J131" s="32">
        <f t="shared" ref="J131:J194" si="10">H131*N131-I131</f>
        <v>1.5461546145432479</v>
      </c>
      <c r="K131" s="31">
        <v>654.76928958399594</v>
      </c>
      <c r="L131" s="31">
        <v>392.8671816716174</v>
      </c>
      <c r="M131" s="32">
        <f t="shared" ref="M131:M194" si="11">MAX(L131-J131,0)</f>
        <v>391.32102705707416</v>
      </c>
      <c r="N131" s="33">
        <f>Result_notebook!L131</f>
        <v>1</v>
      </c>
      <c r="O131" s="31">
        <f t="shared" ref="O131:O194" si="12">G131-(I131+J131+M131)</f>
        <v>0</v>
      </c>
      <c r="P131" s="31">
        <f t="shared" ref="P131:P194" si="13">MAX(I131-G131,0)</f>
        <v>0</v>
      </c>
      <c r="Q131">
        <f t="shared" ref="Q131:Q194" si="14">(H131*N131)-I131</f>
        <v>1.5461546145432479</v>
      </c>
    </row>
    <row r="132" spans="1:17" x14ac:dyDescent="0.35">
      <c r="A132">
        <v>2026</v>
      </c>
      <c r="B132" t="s">
        <v>11</v>
      </c>
      <c r="C132" t="s">
        <v>10</v>
      </c>
      <c r="D132" t="s">
        <v>16</v>
      </c>
      <c r="E132" t="s">
        <v>483</v>
      </c>
      <c r="F132" t="s">
        <v>80</v>
      </c>
      <c r="G132" s="31">
        <v>557.3784617330648</v>
      </c>
      <c r="H132" s="31">
        <v>0</v>
      </c>
      <c r="I132" s="31">
        <v>0</v>
      </c>
      <c r="J132" s="32">
        <f t="shared" si="10"/>
        <v>0</v>
      </c>
      <c r="K132" s="31">
        <v>928.9641028884414</v>
      </c>
      <c r="L132" s="31">
        <v>557.3784617330648</v>
      </c>
      <c r="M132" s="32">
        <f t="shared" si="11"/>
        <v>557.3784617330648</v>
      </c>
      <c r="N132" s="33">
        <f>Result_notebook!L132</f>
        <v>1</v>
      </c>
      <c r="O132" s="31">
        <f t="shared" si="12"/>
        <v>0</v>
      </c>
      <c r="P132" s="31">
        <f t="shared" si="13"/>
        <v>0</v>
      </c>
      <c r="Q132">
        <f t="shared" si="14"/>
        <v>0</v>
      </c>
    </row>
    <row r="133" spans="1:17" x14ac:dyDescent="0.35">
      <c r="A133">
        <v>2026</v>
      </c>
      <c r="B133" t="s">
        <v>11</v>
      </c>
      <c r="C133" t="s">
        <v>10</v>
      </c>
      <c r="D133" t="s">
        <v>16</v>
      </c>
      <c r="E133" t="s">
        <v>483</v>
      </c>
      <c r="F133" t="s">
        <v>81</v>
      </c>
      <c r="G133" s="31">
        <v>557.3784617330648</v>
      </c>
      <c r="H133" s="31">
        <v>0</v>
      </c>
      <c r="I133" s="31">
        <v>0</v>
      </c>
      <c r="J133" s="32">
        <f t="shared" si="10"/>
        <v>0</v>
      </c>
      <c r="K133" s="31">
        <v>928.9641028884414</v>
      </c>
      <c r="L133" s="31">
        <v>557.3784617330648</v>
      </c>
      <c r="M133" s="32">
        <f t="shared" si="11"/>
        <v>557.3784617330648</v>
      </c>
      <c r="N133" s="33">
        <f>Result_notebook!L133</f>
        <v>1</v>
      </c>
      <c r="O133" s="31">
        <f t="shared" si="12"/>
        <v>0</v>
      </c>
      <c r="P133" s="31">
        <f t="shared" si="13"/>
        <v>0</v>
      </c>
      <c r="Q133">
        <f t="shared" si="14"/>
        <v>0</v>
      </c>
    </row>
    <row r="134" spans="1:17" x14ac:dyDescent="0.35">
      <c r="A134">
        <v>2026</v>
      </c>
      <c r="B134" t="s">
        <v>11</v>
      </c>
      <c r="C134" t="s">
        <v>10</v>
      </c>
      <c r="D134" t="s">
        <v>18</v>
      </c>
      <c r="E134" t="s">
        <v>483</v>
      </c>
      <c r="F134" t="s">
        <v>85</v>
      </c>
      <c r="G134" s="31">
        <v>557.3784617330648</v>
      </c>
      <c r="H134" s="31">
        <v>3.8513667333084358</v>
      </c>
      <c r="I134" s="31">
        <v>2.3052121187651879</v>
      </c>
      <c r="J134" s="32">
        <f t="shared" si="10"/>
        <v>1.5461546145432479</v>
      </c>
      <c r="K134" s="31">
        <v>925.11273615513301</v>
      </c>
      <c r="L134" s="31">
        <v>555.07324961429958</v>
      </c>
      <c r="M134" s="32">
        <f t="shared" si="11"/>
        <v>553.52709499975629</v>
      </c>
      <c r="N134" s="33">
        <f>Result_notebook!L134</f>
        <v>1</v>
      </c>
      <c r="O134" s="31">
        <f t="shared" si="12"/>
        <v>0</v>
      </c>
      <c r="P134" s="31">
        <f t="shared" si="13"/>
        <v>0</v>
      </c>
      <c r="Q134">
        <f t="shared" si="14"/>
        <v>1.5461546145432479</v>
      </c>
    </row>
    <row r="135" spans="1:17" x14ac:dyDescent="0.35">
      <c r="A135">
        <v>2026</v>
      </c>
      <c r="B135" t="s">
        <v>11</v>
      </c>
      <c r="C135" t="s">
        <v>10</v>
      </c>
      <c r="D135" t="s">
        <v>18</v>
      </c>
      <c r="E135" t="s">
        <v>483</v>
      </c>
      <c r="F135" t="s">
        <v>86</v>
      </c>
      <c r="G135" s="31">
        <v>557.3784617330648</v>
      </c>
      <c r="H135" s="31">
        <v>3.8513667333084358</v>
      </c>
      <c r="I135" s="31">
        <v>2.3052121187651879</v>
      </c>
      <c r="J135" s="32">
        <f t="shared" si="10"/>
        <v>1.5461546145432479</v>
      </c>
      <c r="K135" s="31">
        <v>925.11273615513301</v>
      </c>
      <c r="L135" s="31">
        <v>555.07324961429958</v>
      </c>
      <c r="M135" s="32">
        <f t="shared" si="11"/>
        <v>553.52709499975629</v>
      </c>
      <c r="N135" s="33">
        <f>Result_notebook!L135</f>
        <v>1</v>
      </c>
      <c r="O135" s="31">
        <f t="shared" si="12"/>
        <v>0</v>
      </c>
      <c r="P135" s="31">
        <f t="shared" si="13"/>
        <v>0</v>
      </c>
      <c r="Q135">
        <f t="shared" si="14"/>
        <v>1.5461546145432479</v>
      </c>
    </row>
    <row r="136" spans="1:17" x14ac:dyDescent="0.35">
      <c r="A136">
        <v>2026</v>
      </c>
      <c r="B136" t="s">
        <v>11</v>
      </c>
      <c r="C136" t="s">
        <v>10</v>
      </c>
      <c r="D136" t="s">
        <v>18</v>
      </c>
      <c r="E136" t="s">
        <v>490</v>
      </c>
      <c r="F136" t="s">
        <v>82</v>
      </c>
      <c r="G136" s="31">
        <v>557.3784617330648</v>
      </c>
      <c r="H136" s="31">
        <v>3.8513667333084358</v>
      </c>
      <c r="I136" s="31">
        <v>2.3052121187651879</v>
      </c>
      <c r="J136" s="32">
        <f t="shared" si="10"/>
        <v>1.5461546145432479</v>
      </c>
      <c r="K136" s="31">
        <v>925.11273615513301</v>
      </c>
      <c r="L136" s="31">
        <v>555.07324961429958</v>
      </c>
      <c r="M136" s="32">
        <f t="shared" si="11"/>
        <v>553.52709499975629</v>
      </c>
      <c r="N136" s="33">
        <f>Result_notebook!L136</f>
        <v>1</v>
      </c>
      <c r="O136" s="31">
        <f t="shared" si="12"/>
        <v>0</v>
      </c>
      <c r="P136" s="31">
        <f t="shared" si="13"/>
        <v>0</v>
      </c>
      <c r="Q136">
        <f t="shared" si="14"/>
        <v>1.5461546145432479</v>
      </c>
    </row>
    <row r="137" spans="1:17" x14ac:dyDescent="0.35">
      <c r="A137">
        <v>2026</v>
      </c>
      <c r="B137" t="s">
        <v>8</v>
      </c>
      <c r="C137" t="s">
        <v>4</v>
      </c>
      <c r="D137" t="s">
        <v>16</v>
      </c>
      <c r="E137" t="s">
        <v>483</v>
      </c>
      <c r="F137" t="s">
        <v>80</v>
      </c>
      <c r="G137" s="31">
        <v>29818.531857293401</v>
      </c>
      <c r="H137" s="31">
        <v>0</v>
      </c>
      <c r="I137" s="31">
        <v>0</v>
      </c>
      <c r="J137" s="32">
        <f t="shared" si="10"/>
        <v>0</v>
      </c>
      <c r="K137" s="31">
        <v>37744.97703454861</v>
      </c>
      <c r="L137" s="31">
        <v>29818.531857293401</v>
      </c>
      <c r="M137" s="32">
        <f t="shared" si="11"/>
        <v>29818.531857293401</v>
      </c>
      <c r="N137" s="33">
        <f>Result_notebook!L137</f>
        <v>0.69917047091553897</v>
      </c>
      <c r="O137" s="31">
        <f t="shared" si="12"/>
        <v>0</v>
      </c>
      <c r="P137" s="31">
        <f t="shared" si="13"/>
        <v>0</v>
      </c>
      <c r="Q137">
        <f t="shared" si="14"/>
        <v>0</v>
      </c>
    </row>
    <row r="138" spans="1:17" x14ac:dyDescent="0.35">
      <c r="A138">
        <v>2026</v>
      </c>
      <c r="B138" t="s">
        <v>8</v>
      </c>
      <c r="C138" t="s">
        <v>4</v>
      </c>
      <c r="D138" t="s">
        <v>16</v>
      </c>
      <c r="E138" t="s">
        <v>483</v>
      </c>
      <c r="F138" t="s">
        <v>81</v>
      </c>
      <c r="G138" s="31">
        <v>29818.531857293401</v>
      </c>
      <c r="H138" s="31">
        <v>158544</v>
      </c>
      <c r="I138" s="31">
        <v>88924.165519559378</v>
      </c>
      <c r="J138" s="32">
        <f t="shared" si="10"/>
        <v>21925.117621273836</v>
      </c>
      <c r="K138" s="31">
        <v>0</v>
      </c>
      <c r="L138" s="31">
        <v>0</v>
      </c>
      <c r="M138" s="32">
        <f t="shared" si="11"/>
        <v>0</v>
      </c>
      <c r="N138" s="33">
        <f>Result_notebook!L138</f>
        <v>0.69917047091553897</v>
      </c>
      <c r="O138" s="31">
        <f t="shared" si="12"/>
        <v>-81030.751283539808</v>
      </c>
      <c r="P138" s="31">
        <f t="shared" si="13"/>
        <v>59105.633662265973</v>
      </c>
      <c r="Q138">
        <f t="shared" si="14"/>
        <v>21925.117621273836</v>
      </c>
    </row>
    <row r="139" spans="1:17" x14ac:dyDescent="0.35">
      <c r="A139">
        <v>2026</v>
      </c>
      <c r="B139" t="s">
        <v>8</v>
      </c>
      <c r="C139" t="s">
        <v>4</v>
      </c>
      <c r="D139" t="s">
        <v>18</v>
      </c>
      <c r="E139" t="s">
        <v>483</v>
      </c>
      <c r="F139" t="s">
        <v>85</v>
      </c>
      <c r="G139" s="31">
        <v>29818.531857293401</v>
      </c>
      <c r="H139" s="31">
        <v>208961</v>
      </c>
      <c r="I139" s="31">
        <v>117202.0546418196</v>
      </c>
      <c r="J139" s="32">
        <f t="shared" si="10"/>
        <v>28897.306131162346</v>
      </c>
      <c r="K139" s="31">
        <v>0</v>
      </c>
      <c r="L139" s="31">
        <v>0</v>
      </c>
      <c r="M139" s="32">
        <f t="shared" si="11"/>
        <v>0</v>
      </c>
      <c r="N139" s="33">
        <f>Result_notebook!L139</f>
        <v>0.69917047091553897</v>
      </c>
      <c r="O139" s="31">
        <f t="shared" si="12"/>
        <v>-116280.82891568854</v>
      </c>
      <c r="P139" s="31">
        <f t="shared" si="13"/>
        <v>87383.522784526198</v>
      </c>
      <c r="Q139">
        <f t="shared" si="14"/>
        <v>28897.306131162346</v>
      </c>
    </row>
    <row r="140" spans="1:17" x14ac:dyDescent="0.35">
      <c r="A140">
        <v>2026</v>
      </c>
      <c r="B140" t="s">
        <v>8</v>
      </c>
      <c r="C140" t="s">
        <v>4</v>
      </c>
      <c r="D140" t="s">
        <v>18</v>
      </c>
      <c r="E140" t="s">
        <v>483</v>
      </c>
      <c r="F140" t="s">
        <v>86</v>
      </c>
      <c r="G140" s="31">
        <v>29818.531857293401</v>
      </c>
      <c r="H140" s="31">
        <v>208961</v>
      </c>
      <c r="I140" s="31">
        <v>117202.0546418196</v>
      </c>
      <c r="J140" s="32">
        <f t="shared" si="10"/>
        <v>28897.306131162346</v>
      </c>
      <c r="K140" s="31">
        <v>0</v>
      </c>
      <c r="L140" s="31">
        <v>0</v>
      </c>
      <c r="M140" s="32">
        <f t="shared" si="11"/>
        <v>0</v>
      </c>
      <c r="N140" s="33">
        <f>Result_notebook!L140</f>
        <v>0.69917047091553897</v>
      </c>
      <c r="O140" s="31">
        <f t="shared" si="12"/>
        <v>-116280.82891568854</v>
      </c>
      <c r="P140" s="31">
        <f t="shared" si="13"/>
        <v>87383.522784526198</v>
      </c>
      <c r="Q140">
        <f t="shared" si="14"/>
        <v>28897.306131162346</v>
      </c>
    </row>
    <row r="141" spans="1:17" x14ac:dyDescent="0.35">
      <c r="A141">
        <v>2026</v>
      </c>
      <c r="B141" t="s">
        <v>8</v>
      </c>
      <c r="C141" t="s">
        <v>4</v>
      </c>
      <c r="D141" t="s">
        <v>18</v>
      </c>
      <c r="E141" t="s">
        <v>490</v>
      </c>
      <c r="F141" t="s">
        <v>82</v>
      </c>
      <c r="G141" s="31">
        <v>29818.531857293401</v>
      </c>
      <c r="H141" s="31">
        <v>208961</v>
      </c>
      <c r="I141" s="31">
        <v>164568.279698303</v>
      </c>
      <c r="J141" s="32">
        <f t="shared" si="10"/>
        <v>-18468.91892532105</v>
      </c>
      <c r="K141" s="31">
        <v>0</v>
      </c>
      <c r="L141" s="31">
        <v>0</v>
      </c>
      <c r="M141" s="32">
        <f t="shared" si="11"/>
        <v>18468.91892532105</v>
      </c>
      <c r="N141" s="33">
        <f>Result_notebook!L141</f>
        <v>0.69917047091553897</v>
      </c>
      <c r="O141" s="31">
        <f t="shared" si="12"/>
        <v>-134749.74784100961</v>
      </c>
      <c r="P141" s="31">
        <f t="shared" si="13"/>
        <v>134749.74784100961</v>
      </c>
      <c r="Q141">
        <f t="shared" si="14"/>
        <v>-18468.91892532105</v>
      </c>
    </row>
    <row r="142" spans="1:17" x14ac:dyDescent="0.35">
      <c r="A142">
        <v>2026</v>
      </c>
      <c r="B142" t="s">
        <v>8</v>
      </c>
      <c r="C142" t="s">
        <v>9</v>
      </c>
      <c r="D142" t="s">
        <v>16</v>
      </c>
      <c r="E142" t="s">
        <v>483</v>
      </c>
      <c r="F142" t="s">
        <v>80</v>
      </c>
      <c r="G142" s="31">
        <v>24449.44165617535</v>
      </c>
      <c r="H142" s="31">
        <v>0</v>
      </c>
      <c r="I142" s="31">
        <v>0</v>
      </c>
      <c r="J142" s="32">
        <f t="shared" si="10"/>
        <v>0</v>
      </c>
      <c r="K142" s="31">
        <v>30948.660324272591</v>
      </c>
      <c r="L142" s="31">
        <v>24449.44165617535</v>
      </c>
      <c r="M142" s="32">
        <f t="shared" si="11"/>
        <v>24449.44165617535</v>
      </c>
      <c r="N142" s="33">
        <f>Result_notebook!L142</f>
        <v>0.69917047091553897</v>
      </c>
      <c r="O142" s="31">
        <f t="shared" si="12"/>
        <v>0</v>
      </c>
      <c r="P142" s="31">
        <f t="shared" si="13"/>
        <v>0</v>
      </c>
      <c r="Q142">
        <f t="shared" si="14"/>
        <v>0</v>
      </c>
    </row>
    <row r="143" spans="1:17" x14ac:dyDescent="0.35">
      <c r="A143">
        <v>2026</v>
      </c>
      <c r="B143" t="s">
        <v>8</v>
      </c>
      <c r="C143" t="s">
        <v>9</v>
      </c>
      <c r="D143" t="s">
        <v>16</v>
      </c>
      <c r="E143" t="s">
        <v>483</v>
      </c>
      <c r="F143" t="s">
        <v>81</v>
      </c>
      <c r="G143" s="31">
        <v>24449.44165617535</v>
      </c>
      <c r="H143" s="31">
        <v>158544</v>
      </c>
      <c r="I143" s="31">
        <v>88924.165519559378</v>
      </c>
      <c r="J143" s="32">
        <f t="shared" si="10"/>
        <v>21925.117621273836</v>
      </c>
      <c r="K143" s="31">
        <v>0</v>
      </c>
      <c r="L143" s="31">
        <v>0</v>
      </c>
      <c r="M143" s="32">
        <f t="shared" si="11"/>
        <v>0</v>
      </c>
      <c r="N143" s="33">
        <f>Result_notebook!L143</f>
        <v>0.69917047091553897</v>
      </c>
      <c r="O143" s="31">
        <f t="shared" si="12"/>
        <v>-86399.841484657867</v>
      </c>
      <c r="P143" s="31">
        <f t="shared" si="13"/>
        <v>64474.723863384032</v>
      </c>
      <c r="Q143">
        <f t="shared" si="14"/>
        <v>21925.117621273836</v>
      </c>
    </row>
    <row r="144" spans="1:17" x14ac:dyDescent="0.35">
      <c r="A144">
        <v>2026</v>
      </c>
      <c r="B144" t="s">
        <v>8</v>
      </c>
      <c r="C144" t="s">
        <v>9</v>
      </c>
      <c r="D144" t="s">
        <v>18</v>
      </c>
      <c r="E144" t="s">
        <v>483</v>
      </c>
      <c r="F144" t="s">
        <v>85</v>
      </c>
      <c r="G144" s="31">
        <v>24449.44165617535</v>
      </c>
      <c r="H144" s="31">
        <v>208961</v>
      </c>
      <c r="I144" s="31">
        <v>117202.0546418196</v>
      </c>
      <c r="J144" s="32">
        <f t="shared" si="10"/>
        <v>28897.306131162346</v>
      </c>
      <c r="K144" s="31">
        <v>0</v>
      </c>
      <c r="L144" s="31">
        <v>0</v>
      </c>
      <c r="M144" s="32">
        <f t="shared" si="11"/>
        <v>0</v>
      </c>
      <c r="N144" s="33">
        <f>Result_notebook!L144</f>
        <v>0.69917047091553897</v>
      </c>
      <c r="O144" s="31">
        <f t="shared" si="12"/>
        <v>-121649.9191168066</v>
      </c>
      <c r="P144" s="31">
        <f t="shared" si="13"/>
        <v>92752.612985644257</v>
      </c>
      <c r="Q144">
        <f t="shared" si="14"/>
        <v>28897.306131162346</v>
      </c>
    </row>
    <row r="145" spans="1:17" x14ac:dyDescent="0.35">
      <c r="A145">
        <v>2026</v>
      </c>
      <c r="B145" t="s">
        <v>8</v>
      </c>
      <c r="C145" t="s">
        <v>9</v>
      </c>
      <c r="D145" t="s">
        <v>18</v>
      </c>
      <c r="E145" t="s">
        <v>483</v>
      </c>
      <c r="F145" t="s">
        <v>86</v>
      </c>
      <c r="G145" s="31">
        <v>24449.44165617535</v>
      </c>
      <c r="H145" s="31">
        <v>208961</v>
      </c>
      <c r="I145" s="31">
        <v>117202.0546418196</v>
      </c>
      <c r="J145" s="32">
        <f t="shared" si="10"/>
        <v>28897.306131162346</v>
      </c>
      <c r="K145" s="31">
        <v>0</v>
      </c>
      <c r="L145" s="31">
        <v>0</v>
      </c>
      <c r="M145" s="32">
        <f t="shared" si="11"/>
        <v>0</v>
      </c>
      <c r="N145" s="33">
        <f>Result_notebook!L145</f>
        <v>0.69917047091553897</v>
      </c>
      <c r="O145" s="31">
        <f t="shared" si="12"/>
        <v>-121649.9191168066</v>
      </c>
      <c r="P145" s="31">
        <f t="shared" si="13"/>
        <v>92752.612985644257</v>
      </c>
      <c r="Q145">
        <f t="shared" si="14"/>
        <v>28897.306131162346</v>
      </c>
    </row>
    <row r="146" spans="1:17" x14ac:dyDescent="0.35">
      <c r="A146">
        <v>2026</v>
      </c>
      <c r="B146" t="s">
        <v>8</v>
      </c>
      <c r="C146" t="s">
        <v>9</v>
      </c>
      <c r="D146" t="s">
        <v>18</v>
      </c>
      <c r="E146" t="s">
        <v>490</v>
      </c>
      <c r="F146" t="s">
        <v>82</v>
      </c>
      <c r="G146" s="31">
        <v>24449.44165617535</v>
      </c>
      <c r="H146" s="31">
        <v>208961</v>
      </c>
      <c r="I146" s="31">
        <v>164568.279698303</v>
      </c>
      <c r="J146" s="32">
        <f t="shared" si="10"/>
        <v>-18468.91892532105</v>
      </c>
      <c r="K146" s="31">
        <v>0</v>
      </c>
      <c r="L146" s="31">
        <v>0</v>
      </c>
      <c r="M146" s="32">
        <f t="shared" si="11"/>
        <v>18468.91892532105</v>
      </c>
      <c r="N146" s="33">
        <f>Result_notebook!L146</f>
        <v>0.69917047091553897</v>
      </c>
      <c r="O146" s="31">
        <f t="shared" si="12"/>
        <v>-140118.83804212764</v>
      </c>
      <c r="P146" s="31">
        <f t="shared" si="13"/>
        <v>140118.83804212764</v>
      </c>
      <c r="Q146">
        <f t="shared" si="14"/>
        <v>-18468.91892532105</v>
      </c>
    </row>
    <row r="147" spans="1:17" x14ac:dyDescent="0.35">
      <c r="A147">
        <v>2026</v>
      </c>
      <c r="B147" t="s">
        <v>8</v>
      </c>
      <c r="C147" t="s">
        <v>10</v>
      </c>
      <c r="D147" t="s">
        <v>16</v>
      </c>
      <c r="E147" t="s">
        <v>483</v>
      </c>
      <c r="F147" t="s">
        <v>80</v>
      </c>
      <c r="G147" s="31">
        <v>28983.298578402391</v>
      </c>
      <c r="H147" s="31">
        <v>0</v>
      </c>
      <c r="I147" s="31">
        <v>0</v>
      </c>
      <c r="J147" s="32">
        <f t="shared" si="10"/>
        <v>0</v>
      </c>
      <c r="K147" s="31">
        <v>36687.719719496687</v>
      </c>
      <c r="L147" s="31">
        <v>28983.298578402391</v>
      </c>
      <c r="M147" s="32">
        <f t="shared" si="11"/>
        <v>28983.298578402391</v>
      </c>
      <c r="N147" s="33">
        <f>Result_notebook!L147</f>
        <v>0.69917047091553897</v>
      </c>
      <c r="O147" s="31">
        <f t="shared" si="12"/>
        <v>0</v>
      </c>
      <c r="P147" s="31">
        <f t="shared" si="13"/>
        <v>0</v>
      </c>
      <c r="Q147">
        <f t="shared" si="14"/>
        <v>0</v>
      </c>
    </row>
    <row r="148" spans="1:17" x14ac:dyDescent="0.35">
      <c r="A148">
        <v>2026</v>
      </c>
      <c r="B148" t="s">
        <v>8</v>
      </c>
      <c r="C148" t="s">
        <v>10</v>
      </c>
      <c r="D148" t="s">
        <v>16</v>
      </c>
      <c r="E148" t="s">
        <v>483</v>
      </c>
      <c r="F148" t="s">
        <v>81</v>
      </c>
      <c r="G148" s="31">
        <v>28983.298578402391</v>
      </c>
      <c r="H148" s="31">
        <v>158544</v>
      </c>
      <c r="I148" s="31">
        <v>88924.165519559378</v>
      </c>
      <c r="J148" s="32">
        <f t="shared" si="10"/>
        <v>21925.117621273836</v>
      </c>
      <c r="K148" s="31">
        <v>0</v>
      </c>
      <c r="L148" s="31">
        <v>0</v>
      </c>
      <c r="M148" s="32">
        <f t="shared" si="11"/>
        <v>0</v>
      </c>
      <c r="N148" s="33">
        <f>Result_notebook!L148</f>
        <v>0.69917047091553897</v>
      </c>
      <c r="O148" s="31">
        <f t="shared" si="12"/>
        <v>-81865.984562430822</v>
      </c>
      <c r="P148" s="31">
        <f t="shared" si="13"/>
        <v>59940.866941156986</v>
      </c>
      <c r="Q148">
        <f t="shared" si="14"/>
        <v>21925.117621273836</v>
      </c>
    </row>
    <row r="149" spans="1:17" x14ac:dyDescent="0.35">
      <c r="A149">
        <v>2026</v>
      </c>
      <c r="B149" t="s">
        <v>8</v>
      </c>
      <c r="C149" t="s">
        <v>10</v>
      </c>
      <c r="D149" t="s">
        <v>18</v>
      </c>
      <c r="E149" t="s">
        <v>483</v>
      </c>
      <c r="F149" t="s">
        <v>85</v>
      </c>
      <c r="G149" s="31">
        <v>28983.298578402391</v>
      </c>
      <c r="H149" s="31">
        <v>208961</v>
      </c>
      <c r="I149" s="31">
        <v>117202.0546418196</v>
      </c>
      <c r="J149" s="32">
        <f t="shared" si="10"/>
        <v>28897.306131162346</v>
      </c>
      <c r="K149" s="31">
        <v>0</v>
      </c>
      <c r="L149" s="31">
        <v>0</v>
      </c>
      <c r="M149" s="32">
        <f t="shared" si="11"/>
        <v>0</v>
      </c>
      <c r="N149" s="33">
        <f>Result_notebook!L149</f>
        <v>0.69917047091553897</v>
      </c>
      <c r="O149" s="31">
        <f t="shared" si="12"/>
        <v>-117116.06219457956</v>
      </c>
      <c r="P149" s="31">
        <f t="shared" si="13"/>
        <v>88218.756063417211</v>
      </c>
      <c r="Q149">
        <f t="shared" si="14"/>
        <v>28897.306131162346</v>
      </c>
    </row>
    <row r="150" spans="1:17" x14ac:dyDescent="0.35">
      <c r="A150">
        <v>2026</v>
      </c>
      <c r="B150" t="s">
        <v>8</v>
      </c>
      <c r="C150" t="s">
        <v>10</v>
      </c>
      <c r="D150" t="s">
        <v>18</v>
      </c>
      <c r="E150" t="s">
        <v>483</v>
      </c>
      <c r="F150" t="s">
        <v>86</v>
      </c>
      <c r="G150" s="31">
        <v>28983.298578402391</v>
      </c>
      <c r="H150" s="31">
        <v>208961</v>
      </c>
      <c r="I150" s="31">
        <v>117202.0546418196</v>
      </c>
      <c r="J150" s="32">
        <f t="shared" si="10"/>
        <v>28897.306131162346</v>
      </c>
      <c r="K150" s="31">
        <v>0</v>
      </c>
      <c r="L150" s="31">
        <v>0</v>
      </c>
      <c r="M150" s="32">
        <f t="shared" si="11"/>
        <v>0</v>
      </c>
      <c r="N150" s="33">
        <f>Result_notebook!L150</f>
        <v>0.69917047091553897</v>
      </c>
      <c r="O150" s="31">
        <f t="shared" si="12"/>
        <v>-117116.06219457956</v>
      </c>
      <c r="P150" s="31">
        <f t="shared" si="13"/>
        <v>88218.756063417211</v>
      </c>
      <c r="Q150">
        <f t="shared" si="14"/>
        <v>28897.306131162346</v>
      </c>
    </row>
    <row r="151" spans="1:17" x14ac:dyDescent="0.35">
      <c r="A151">
        <v>2026</v>
      </c>
      <c r="B151" t="s">
        <v>8</v>
      </c>
      <c r="C151" t="s">
        <v>10</v>
      </c>
      <c r="D151" t="s">
        <v>18</v>
      </c>
      <c r="E151" t="s">
        <v>490</v>
      </c>
      <c r="F151" t="s">
        <v>82</v>
      </c>
      <c r="G151" s="31">
        <v>28983.298578402391</v>
      </c>
      <c r="H151" s="31">
        <v>208961</v>
      </c>
      <c r="I151" s="31">
        <v>164568.279698303</v>
      </c>
      <c r="J151" s="32">
        <f t="shared" si="10"/>
        <v>-18468.91892532105</v>
      </c>
      <c r="K151" s="31">
        <v>0</v>
      </c>
      <c r="L151" s="31">
        <v>0</v>
      </c>
      <c r="M151" s="32">
        <f t="shared" si="11"/>
        <v>18468.91892532105</v>
      </c>
      <c r="N151" s="33">
        <f>Result_notebook!L151</f>
        <v>0.69917047091553897</v>
      </c>
      <c r="O151" s="31">
        <f t="shared" si="12"/>
        <v>-135584.98111990059</v>
      </c>
      <c r="P151" s="31">
        <f t="shared" si="13"/>
        <v>135584.98111990059</v>
      </c>
      <c r="Q151">
        <f t="shared" si="14"/>
        <v>-18468.91892532105</v>
      </c>
    </row>
    <row r="152" spans="1:17" x14ac:dyDescent="0.35">
      <c r="A152">
        <v>2026</v>
      </c>
      <c r="B152" t="s">
        <v>13</v>
      </c>
      <c r="C152" t="s">
        <v>4</v>
      </c>
      <c r="D152" t="s">
        <v>16</v>
      </c>
      <c r="E152" t="s">
        <v>483</v>
      </c>
      <c r="F152" t="s">
        <v>80</v>
      </c>
      <c r="G152" s="31">
        <v>595.19964669675574</v>
      </c>
      <c r="H152" s="31">
        <v>0</v>
      </c>
      <c r="I152" s="31">
        <v>0</v>
      </c>
      <c r="J152" s="32">
        <f t="shared" si="10"/>
        <v>0</v>
      </c>
      <c r="K152" s="31">
        <v>595.19964669675574</v>
      </c>
      <c r="L152" s="31">
        <v>595.19964669675574</v>
      </c>
      <c r="M152" s="32">
        <f t="shared" si="11"/>
        <v>595.19964669675574</v>
      </c>
      <c r="N152" s="33">
        <f>Result_notebook!L152</f>
        <v>0.59854391398996798</v>
      </c>
      <c r="O152" s="31">
        <f t="shared" si="12"/>
        <v>0</v>
      </c>
      <c r="P152" s="31">
        <f t="shared" si="13"/>
        <v>0</v>
      </c>
      <c r="Q152">
        <f t="shared" si="14"/>
        <v>0</v>
      </c>
    </row>
    <row r="153" spans="1:17" x14ac:dyDescent="0.35">
      <c r="A153">
        <v>2026</v>
      </c>
      <c r="B153" t="s">
        <v>13</v>
      </c>
      <c r="C153" t="s">
        <v>4</v>
      </c>
      <c r="D153" t="s">
        <v>16</v>
      </c>
      <c r="E153" t="s">
        <v>483</v>
      </c>
      <c r="F153" t="s">
        <v>81</v>
      </c>
      <c r="G153" s="31">
        <v>595.19964669675574</v>
      </c>
      <c r="H153" s="31">
        <v>0</v>
      </c>
      <c r="I153" s="31">
        <v>0</v>
      </c>
      <c r="J153" s="32">
        <f t="shared" si="10"/>
        <v>0</v>
      </c>
      <c r="K153" s="31">
        <v>595.19964669675574</v>
      </c>
      <c r="L153" s="31">
        <v>595.19964669675574</v>
      </c>
      <c r="M153" s="32">
        <f t="shared" si="11"/>
        <v>595.19964669675574</v>
      </c>
      <c r="N153" s="33">
        <f>Result_notebook!L153</f>
        <v>0.59854391398996798</v>
      </c>
      <c r="O153" s="31">
        <f t="shared" si="12"/>
        <v>0</v>
      </c>
      <c r="P153" s="31">
        <f t="shared" si="13"/>
        <v>0</v>
      </c>
      <c r="Q153">
        <f t="shared" si="14"/>
        <v>0</v>
      </c>
    </row>
    <row r="154" spans="1:17" x14ac:dyDescent="0.35">
      <c r="A154">
        <v>2026</v>
      </c>
      <c r="B154" t="s">
        <v>13</v>
      </c>
      <c r="C154" t="s">
        <v>4</v>
      </c>
      <c r="D154" t="s">
        <v>18</v>
      </c>
      <c r="E154" t="s">
        <v>483</v>
      </c>
      <c r="F154" t="s">
        <v>85</v>
      </c>
      <c r="G154" s="31">
        <v>595.19964669675574</v>
      </c>
      <c r="H154" s="31">
        <v>99670</v>
      </c>
      <c r="I154" s="31">
        <v>32891.1</v>
      </c>
      <c r="J154" s="32">
        <f t="shared" si="10"/>
        <v>26765.771907380113</v>
      </c>
      <c r="K154" s="31">
        <v>0</v>
      </c>
      <c r="L154" s="31">
        <v>0</v>
      </c>
      <c r="M154" s="32">
        <f t="shared" si="11"/>
        <v>0</v>
      </c>
      <c r="N154" s="33">
        <f>Result_notebook!L154</f>
        <v>0.59854391398996798</v>
      </c>
      <c r="O154" s="31">
        <f t="shared" si="12"/>
        <v>-59061.672260683357</v>
      </c>
      <c r="P154" s="31">
        <f t="shared" si="13"/>
        <v>32295.900353303245</v>
      </c>
      <c r="Q154">
        <f t="shared" si="14"/>
        <v>26765.771907380113</v>
      </c>
    </row>
    <row r="155" spans="1:17" x14ac:dyDescent="0.35">
      <c r="A155">
        <v>2026</v>
      </c>
      <c r="B155" t="s">
        <v>13</v>
      </c>
      <c r="C155" t="s">
        <v>4</v>
      </c>
      <c r="D155" t="s">
        <v>18</v>
      </c>
      <c r="E155" t="s">
        <v>483</v>
      </c>
      <c r="F155" t="s">
        <v>86</v>
      </c>
      <c r="G155" s="31">
        <v>595.19964669675574</v>
      </c>
      <c r="H155" s="31">
        <v>99670</v>
      </c>
      <c r="I155" s="31">
        <v>32891.1</v>
      </c>
      <c r="J155" s="32">
        <f t="shared" si="10"/>
        <v>26765.771907380113</v>
      </c>
      <c r="K155" s="31">
        <v>0</v>
      </c>
      <c r="L155" s="31">
        <v>0</v>
      </c>
      <c r="M155" s="32">
        <f t="shared" si="11"/>
        <v>0</v>
      </c>
      <c r="N155" s="33">
        <f>Result_notebook!L155</f>
        <v>0.59854391398996798</v>
      </c>
      <c r="O155" s="31">
        <f t="shared" si="12"/>
        <v>-59061.672260683357</v>
      </c>
      <c r="P155" s="31">
        <f t="shared" si="13"/>
        <v>32295.900353303245</v>
      </c>
      <c r="Q155">
        <f t="shared" si="14"/>
        <v>26765.771907380113</v>
      </c>
    </row>
    <row r="156" spans="1:17" x14ac:dyDescent="0.35">
      <c r="A156">
        <v>2026</v>
      </c>
      <c r="B156" t="s">
        <v>13</v>
      </c>
      <c r="C156" t="s">
        <v>4</v>
      </c>
      <c r="D156" t="s">
        <v>18</v>
      </c>
      <c r="E156" t="s">
        <v>490</v>
      </c>
      <c r="F156" t="s">
        <v>82</v>
      </c>
      <c r="G156" s="31">
        <v>595.19964669675574</v>
      </c>
      <c r="H156" s="31">
        <v>99670</v>
      </c>
      <c r="I156" s="31">
        <v>32891.1</v>
      </c>
      <c r="J156" s="32">
        <f t="shared" si="10"/>
        <v>26765.771907380113</v>
      </c>
      <c r="K156" s="31">
        <v>0</v>
      </c>
      <c r="L156" s="31">
        <v>0</v>
      </c>
      <c r="M156" s="32">
        <f t="shared" si="11"/>
        <v>0</v>
      </c>
      <c r="N156" s="33">
        <f>Result_notebook!L156</f>
        <v>0.59854391398996798</v>
      </c>
      <c r="O156" s="31">
        <f t="shared" si="12"/>
        <v>-59061.672260683357</v>
      </c>
      <c r="P156" s="31">
        <f t="shared" si="13"/>
        <v>32295.900353303245</v>
      </c>
      <c r="Q156">
        <f t="shared" si="14"/>
        <v>26765.771907380113</v>
      </c>
    </row>
    <row r="157" spans="1:17" x14ac:dyDescent="0.35">
      <c r="A157">
        <v>2026</v>
      </c>
      <c r="B157" t="s">
        <v>13</v>
      </c>
      <c r="C157" t="s">
        <v>9</v>
      </c>
      <c r="D157" t="s">
        <v>16</v>
      </c>
      <c r="E157" t="s">
        <v>483</v>
      </c>
      <c r="F157" t="s">
        <v>80</v>
      </c>
      <c r="G157" s="31">
        <v>466.18816950520568</v>
      </c>
      <c r="H157" s="31">
        <v>0</v>
      </c>
      <c r="I157" s="31">
        <v>0</v>
      </c>
      <c r="J157" s="32">
        <f t="shared" si="10"/>
        <v>0</v>
      </c>
      <c r="K157" s="31">
        <v>466.18816950520568</v>
      </c>
      <c r="L157" s="31">
        <v>466.18816950520568</v>
      </c>
      <c r="M157" s="32">
        <f t="shared" si="11"/>
        <v>466.18816950520568</v>
      </c>
      <c r="N157" s="33">
        <f>Result_notebook!L157</f>
        <v>0.59854391398996798</v>
      </c>
      <c r="O157" s="31">
        <f t="shared" si="12"/>
        <v>0</v>
      </c>
      <c r="P157" s="31">
        <f t="shared" si="13"/>
        <v>0</v>
      </c>
      <c r="Q157">
        <f t="shared" si="14"/>
        <v>0</v>
      </c>
    </row>
    <row r="158" spans="1:17" x14ac:dyDescent="0.35">
      <c r="A158">
        <v>2026</v>
      </c>
      <c r="B158" t="s">
        <v>13</v>
      </c>
      <c r="C158" t="s">
        <v>9</v>
      </c>
      <c r="D158" t="s">
        <v>16</v>
      </c>
      <c r="E158" t="s">
        <v>483</v>
      </c>
      <c r="F158" t="s">
        <v>81</v>
      </c>
      <c r="G158" s="31">
        <v>466.18816950520568</v>
      </c>
      <c r="H158" s="31">
        <v>0</v>
      </c>
      <c r="I158" s="31">
        <v>0</v>
      </c>
      <c r="J158" s="32">
        <f t="shared" si="10"/>
        <v>0</v>
      </c>
      <c r="K158" s="31">
        <v>466.18816950520568</v>
      </c>
      <c r="L158" s="31">
        <v>466.18816950520568</v>
      </c>
      <c r="M158" s="32">
        <f t="shared" si="11"/>
        <v>466.18816950520568</v>
      </c>
      <c r="N158" s="33">
        <f>Result_notebook!L158</f>
        <v>0.59854391398996798</v>
      </c>
      <c r="O158" s="31">
        <f t="shared" si="12"/>
        <v>0</v>
      </c>
      <c r="P158" s="31">
        <f t="shared" si="13"/>
        <v>0</v>
      </c>
      <c r="Q158">
        <f t="shared" si="14"/>
        <v>0</v>
      </c>
    </row>
    <row r="159" spans="1:17" x14ac:dyDescent="0.35">
      <c r="A159">
        <v>2026</v>
      </c>
      <c r="B159" t="s">
        <v>13</v>
      </c>
      <c r="C159" t="s">
        <v>9</v>
      </c>
      <c r="D159" t="s">
        <v>18</v>
      </c>
      <c r="E159" t="s">
        <v>483</v>
      </c>
      <c r="F159" t="s">
        <v>85</v>
      </c>
      <c r="G159" s="31">
        <v>466.18816950520568</v>
      </c>
      <c r="H159" s="31">
        <v>99670</v>
      </c>
      <c r="I159" s="31">
        <v>32891.1</v>
      </c>
      <c r="J159" s="32">
        <f t="shared" si="10"/>
        <v>26765.771907380113</v>
      </c>
      <c r="K159" s="31">
        <v>0</v>
      </c>
      <c r="L159" s="31">
        <v>0</v>
      </c>
      <c r="M159" s="32">
        <f t="shared" si="11"/>
        <v>0</v>
      </c>
      <c r="N159" s="33">
        <f>Result_notebook!L159</f>
        <v>0.59854391398996798</v>
      </c>
      <c r="O159" s="31">
        <f t="shared" si="12"/>
        <v>-59190.683737874904</v>
      </c>
      <c r="P159" s="31">
        <f t="shared" si="13"/>
        <v>32424.911830494792</v>
      </c>
      <c r="Q159">
        <f t="shared" si="14"/>
        <v>26765.771907380113</v>
      </c>
    </row>
    <row r="160" spans="1:17" x14ac:dyDescent="0.35">
      <c r="A160">
        <v>2026</v>
      </c>
      <c r="B160" t="s">
        <v>13</v>
      </c>
      <c r="C160" t="s">
        <v>9</v>
      </c>
      <c r="D160" t="s">
        <v>18</v>
      </c>
      <c r="E160" t="s">
        <v>483</v>
      </c>
      <c r="F160" t="s">
        <v>86</v>
      </c>
      <c r="G160" s="31">
        <v>466.18816950520568</v>
      </c>
      <c r="H160" s="31">
        <v>99670</v>
      </c>
      <c r="I160" s="31">
        <v>32891.1</v>
      </c>
      <c r="J160" s="32">
        <f t="shared" si="10"/>
        <v>26765.771907380113</v>
      </c>
      <c r="K160" s="31">
        <v>0</v>
      </c>
      <c r="L160" s="31">
        <v>0</v>
      </c>
      <c r="M160" s="32">
        <f t="shared" si="11"/>
        <v>0</v>
      </c>
      <c r="N160" s="33">
        <f>Result_notebook!L160</f>
        <v>0.59854391398996798</v>
      </c>
      <c r="O160" s="31">
        <f t="shared" si="12"/>
        <v>-59190.683737874904</v>
      </c>
      <c r="P160" s="31">
        <f t="shared" si="13"/>
        <v>32424.911830494792</v>
      </c>
      <c r="Q160">
        <f t="shared" si="14"/>
        <v>26765.771907380113</v>
      </c>
    </row>
    <row r="161" spans="1:17" x14ac:dyDescent="0.35">
      <c r="A161">
        <v>2026</v>
      </c>
      <c r="B161" t="s">
        <v>13</v>
      </c>
      <c r="C161" t="s">
        <v>9</v>
      </c>
      <c r="D161" t="s">
        <v>18</v>
      </c>
      <c r="E161" t="s">
        <v>490</v>
      </c>
      <c r="F161" t="s">
        <v>82</v>
      </c>
      <c r="G161" s="31">
        <v>466.18816950520568</v>
      </c>
      <c r="H161" s="31">
        <v>99670</v>
      </c>
      <c r="I161" s="31">
        <v>32891.1</v>
      </c>
      <c r="J161" s="32">
        <f t="shared" si="10"/>
        <v>26765.771907380113</v>
      </c>
      <c r="K161" s="31">
        <v>0</v>
      </c>
      <c r="L161" s="31">
        <v>0</v>
      </c>
      <c r="M161" s="32">
        <f t="shared" si="11"/>
        <v>0</v>
      </c>
      <c r="N161" s="33">
        <f>Result_notebook!L161</f>
        <v>0.59854391398996798</v>
      </c>
      <c r="O161" s="31">
        <f t="shared" si="12"/>
        <v>-59190.683737874904</v>
      </c>
      <c r="P161" s="31">
        <f t="shared" si="13"/>
        <v>32424.911830494792</v>
      </c>
      <c r="Q161">
        <f t="shared" si="14"/>
        <v>26765.771907380113</v>
      </c>
    </row>
    <row r="162" spans="1:17" x14ac:dyDescent="0.35">
      <c r="A162">
        <v>2026</v>
      </c>
      <c r="B162" t="s">
        <v>13</v>
      </c>
      <c r="C162" t="s">
        <v>10</v>
      </c>
      <c r="D162" t="s">
        <v>16</v>
      </c>
      <c r="E162" t="s">
        <v>483</v>
      </c>
      <c r="F162" t="s">
        <v>80</v>
      </c>
      <c r="G162" s="31">
        <v>587.70528713969418</v>
      </c>
      <c r="H162" s="31">
        <v>0</v>
      </c>
      <c r="I162" s="31">
        <v>0</v>
      </c>
      <c r="J162" s="32">
        <f t="shared" si="10"/>
        <v>0</v>
      </c>
      <c r="K162" s="31">
        <v>587.70528713969418</v>
      </c>
      <c r="L162" s="31">
        <v>587.70528713969418</v>
      </c>
      <c r="M162" s="32">
        <f t="shared" si="11"/>
        <v>587.70528713969418</v>
      </c>
      <c r="N162" s="33">
        <f>Result_notebook!L162</f>
        <v>0.59854391398996798</v>
      </c>
      <c r="O162" s="31">
        <f t="shared" si="12"/>
        <v>0</v>
      </c>
      <c r="P162" s="31">
        <f t="shared" si="13"/>
        <v>0</v>
      </c>
      <c r="Q162">
        <f t="shared" si="14"/>
        <v>0</v>
      </c>
    </row>
    <row r="163" spans="1:17" x14ac:dyDescent="0.35">
      <c r="A163">
        <v>2026</v>
      </c>
      <c r="B163" t="s">
        <v>13</v>
      </c>
      <c r="C163" t="s">
        <v>10</v>
      </c>
      <c r="D163" t="s">
        <v>16</v>
      </c>
      <c r="E163" t="s">
        <v>483</v>
      </c>
      <c r="F163" t="s">
        <v>81</v>
      </c>
      <c r="G163" s="31">
        <v>587.70528713969418</v>
      </c>
      <c r="H163" s="31">
        <v>0</v>
      </c>
      <c r="I163" s="31">
        <v>0</v>
      </c>
      <c r="J163" s="32">
        <f t="shared" si="10"/>
        <v>0</v>
      </c>
      <c r="K163" s="31">
        <v>587.70528713969418</v>
      </c>
      <c r="L163" s="31">
        <v>587.70528713969418</v>
      </c>
      <c r="M163" s="32">
        <f t="shared" si="11"/>
        <v>587.70528713969418</v>
      </c>
      <c r="N163" s="33">
        <f>Result_notebook!L163</f>
        <v>0.59854391398996798</v>
      </c>
      <c r="O163" s="31">
        <f t="shared" si="12"/>
        <v>0</v>
      </c>
      <c r="P163" s="31">
        <f t="shared" si="13"/>
        <v>0</v>
      </c>
      <c r="Q163">
        <f t="shared" si="14"/>
        <v>0</v>
      </c>
    </row>
    <row r="164" spans="1:17" x14ac:dyDescent="0.35">
      <c r="A164">
        <v>2026</v>
      </c>
      <c r="B164" t="s">
        <v>13</v>
      </c>
      <c r="C164" t="s">
        <v>10</v>
      </c>
      <c r="D164" t="s">
        <v>18</v>
      </c>
      <c r="E164" t="s">
        <v>483</v>
      </c>
      <c r="F164" t="s">
        <v>85</v>
      </c>
      <c r="G164" s="31">
        <v>587.70528713969418</v>
      </c>
      <c r="H164" s="31">
        <v>99670</v>
      </c>
      <c r="I164" s="31">
        <v>32891.1</v>
      </c>
      <c r="J164" s="32">
        <f t="shared" si="10"/>
        <v>26765.771907380113</v>
      </c>
      <c r="K164" s="31">
        <v>0</v>
      </c>
      <c r="L164" s="31">
        <v>0</v>
      </c>
      <c r="M164" s="32">
        <f t="shared" si="11"/>
        <v>0</v>
      </c>
      <c r="N164" s="33">
        <f>Result_notebook!L164</f>
        <v>0.59854391398996798</v>
      </c>
      <c r="O164" s="31">
        <f t="shared" si="12"/>
        <v>-59069.166620240416</v>
      </c>
      <c r="P164" s="31">
        <f t="shared" si="13"/>
        <v>32303.394712860303</v>
      </c>
      <c r="Q164">
        <f t="shared" si="14"/>
        <v>26765.771907380113</v>
      </c>
    </row>
    <row r="165" spans="1:17" x14ac:dyDescent="0.35">
      <c r="A165">
        <v>2026</v>
      </c>
      <c r="B165" t="s">
        <v>13</v>
      </c>
      <c r="C165" t="s">
        <v>10</v>
      </c>
      <c r="D165" t="s">
        <v>18</v>
      </c>
      <c r="E165" t="s">
        <v>483</v>
      </c>
      <c r="F165" t="s">
        <v>86</v>
      </c>
      <c r="G165" s="31">
        <v>587.70528713969418</v>
      </c>
      <c r="H165" s="31">
        <v>99670</v>
      </c>
      <c r="I165" s="31">
        <v>32891.1</v>
      </c>
      <c r="J165" s="32">
        <f t="shared" si="10"/>
        <v>26765.771907380113</v>
      </c>
      <c r="K165" s="31">
        <v>0</v>
      </c>
      <c r="L165" s="31">
        <v>0</v>
      </c>
      <c r="M165" s="32">
        <f t="shared" si="11"/>
        <v>0</v>
      </c>
      <c r="N165" s="33">
        <f>Result_notebook!L165</f>
        <v>0.59854391398996798</v>
      </c>
      <c r="O165" s="31">
        <f t="shared" si="12"/>
        <v>-59069.166620240416</v>
      </c>
      <c r="P165" s="31">
        <f t="shared" si="13"/>
        <v>32303.394712860303</v>
      </c>
      <c r="Q165">
        <f t="shared" si="14"/>
        <v>26765.771907380113</v>
      </c>
    </row>
    <row r="166" spans="1:17" x14ac:dyDescent="0.35">
      <c r="A166">
        <v>2026</v>
      </c>
      <c r="B166" t="s">
        <v>13</v>
      </c>
      <c r="C166" t="s">
        <v>10</v>
      </c>
      <c r="D166" t="s">
        <v>18</v>
      </c>
      <c r="E166" t="s">
        <v>490</v>
      </c>
      <c r="F166" t="s">
        <v>82</v>
      </c>
      <c r="G166" s="31">
        <v>587.70528713969418</v>
      </c>
      <c r="H166" s="31">
        <v>99670</v>
      </c>
      <c r="I166" s="31">
        <v>32891.1</v>
      </c>
      <c r="J166" s="32">
        <f t="shared" si="10"/>
        <v>26765.771907380113</v>
      </c>
      <c r="K166" s="31">
        <v>0</v>
      </c>
      <c r="L166" s="31">
        <v>0</v>
      </c>
      <c r="M166" s="32">
        <f t="shared" si="11"/>
        <v>0</v>
      </c>
      <c r="N166" s="33">
        <f>Result_notebook!L166</f>
        <v>0.59854391398996798</v>
      </c>
      <c r="O166" s="31">
        <f t="shared" si="12"/>
        <v>-59069.166620240416</v>
      </c>
      <c r="P166" s="31">
        <f t="shared" si="13"/>
        <v>32303.394712860303</v>
      </c>
      <c r="Q166">
        <f t="shared" si="14"/>
        <v>26765.771907380113</v>
      </c>
    </row>
    <row r="167" spans="1:17" x14ac:dyDescent="0.35">
      <c r="A167">
        <v>2026</v>
      </c>
      <c r="B167" t="s">
        <v>12</v>
      </c>
      <c r="C167" t="s">
        <v>4</v>
      </c>
      <c r="D167" t="s">
        <v>16</v>
      </c>
      <c r="E167" t="s">
        <v>483</v>
      </c>
      <c r="F167" t="s">
        <v>80</v>
      </c>
      <c r="G167" s="31">
        <v>9264.2962116299586</v>
      </c>
      <c r="H167" s="31">
        <v>0</v>
      </c>
      <c r="I167" s="31">
        <v>0</v>
      </c>
      <c r="J167" s="32">
        <f t="shared" si="10"/>
        <v>0</v>
      </c>
      <c r="K167" s="31">
        <v>13234.708873757079</v>
      </c>
      <c r="L167" s="31">
        <v>9264.2962116299586</v>
      </c>
      <c r="M167" s="32">
        <f t="shared" si="11"/>
        <v>9264.2962116299586</v>
      </c>
      <c r="N167" s="33">
        <f>Result_notebook!L167</f>
        <v>0.787554996857322</v>
      </c>
      <c r="O167" s="31">
        <f t="shared" si="12"/>
        <v>0</v>
      </c>
      <c r="P167" s="31">
        <f t="shared" si="13"/>
        <v>0</v>
      </c>
      <c r="Q167">
        <f t="shared" si="14"/>
        <v>0</v>
      </c>
    </row>
    <row r="168" spans="1:17" x14ac:dyDescent="0.35">
      <c r="A168">
        <v>2026</v>
      </c>
      <c r="B168" t="s">
        <v>12</v>
      </c>
      <c r="C168" t="s">
        <v>4</v>
      </c>
      <c r="D168" t="s">
        <v>16</v>
      </c>
      <c r="E168" t="s">
        <v>483</v>
      </c>
      <c r="F168" t="s">
        <v>81</v>
      </c>
      <c r="G168" s="31">
        <v>9264.2962116299586</v>
      </c>
      <c r="H168" s="31">
        <v>39969</v>
      </c>
      <c r="I168" s="31">
        <v>27945.144552023179</v>
      </c>
      <c r="J168" s="32">
        <f t="shared" si="10"/>
        <v>3532.6411173671222</v>
      </c>
      <c r="K168" s="31">
        <v>0</v>
      </c>
      <c r="L168" s="31">
        <v>0</v>
      </c>
      <c r="M168" s="32">
        <f t="shared" si="11"/>
        <v>0</v>
      </c>
      <c r="N168" s="33">
        <f>Result_notebook!L168</f>
        <v>0.787554996857322</v>
      </c>
      <c r="O168" s="31">
        <f t="shared" si="12"/>
        <v>-22213.489457760341</v>
      </c>
      <c r="P168" s="31">
        <f t="shared" si="13"/>
        <v>18680.848340393219</v>
      </c>
      <c r="Q168">
        <f t="shared" si="14"/>
        <v>3532.6411173671222</v>
      </c>
    </row>
    <row r="169" spans="1:17" x14ac:dyDescent="0.35">
      <c r="A169">
        <v>2026</v>
      </c>
      <c r="B169" t="s">
        <v>12</v>
      </c>
      <c r="C169" t="s">
        <v>4</v>
      </c>
      <c r="D169" t="s">
        <v>18</v>
      </c>
      <c r="E169" t="s">
        <v>483</v>
      </c>
      <c r="F169" t="s">
        <v>85</v>
      </c>
      <c r="G169" s="31">
        <v>9264.2962116299586</v>
      </c>
      <c r="H169" s="31">
        <v>144329</v>
      </c>
      <c r="I169" s="31">
        <v>100910.5748967688</v>
      </c>
      <c r="J169" s="32">
        <f t="shared" si="10"/>
        <v>12756.450244651627</v>
      </c>
      <c r="K169" s="31">
        <v>0</v>
      </c>
      <c r="L169" s="31">
        <v>0</v>
      </c>
      <c r="M169" s="32">
        <f t="shared" si="11"/>
        <v>0</v>
      </c>
      <c r="N169" s="33">
        <f>Result_notebook!L169</f>
        <v>0.787554996857322</v>
      </c>
      <c r="O169" s="31">
        <f t="shared" si="12"/>
        <v>-104402.72892979046</v>
      </c>
      <c r="P169" s="31">
        <f t="shared" si="13"/>
        <v>91646.278685138837</v>
      </c>
      <c r="Q169">
        <f t="shared" si="14"/>
        <v>12756.450244651627</v>
      </c>
    </row>
    <row r="170" spans="1:17" x14ac:dyDescent="0.35">
      <c r="A170">
        <v>2026</v>
      </c>
      <c r="B170" t="s">
        <v>12</v>
      </c>
      <c r="C170" t="s">
        <v>4</v>
      </c>
      <c r="D170" t="s">
        <v>18</v>
      </c>
      <c r="E170" t="s">
        <v>483</v>
      </c>
      <c r="F170" t="s">
        <v>86</v>
      </c>
      <c r="G170" s="31">
        <v>9264.2962116299586</v>
      </c>
      <c r="H170" s="31">
        <v>144329</v>
      </c>
      <c r="I170" s="31">
        <v>100910.5748967688</v>
      </c>
      <c r="J170" s="32">
        <f t="shared" si="10"/>
        <v>12756.450244651627</v>
      </c>
      <c r="K170" s="31">
        <v>0</v>
      </c>
      <c r="L170" s="31">
        <v>0</v>
      </c>
      <c r="M170" s="32">
        <f t="shared" si="11"/>
        <v>0</v>
      </c>
      <c r="N170" s="33">
        <f>Result_notebook!L170</f>
        <v>0.787554996857322</v>
      </c>
      <c r="O170" s="31">
        <f t="shared" si="12"/>
        <v>-104402.72892979046</v>
      </c>
      <c r="P170" s="31">
        <f t="shared" si="13"/>
        <v>91646.278685138837</v>
      </c>
      <c r="Q170">
        <f t="shared" si="14"/>
        <v>12756.450244651627</v>
      </c>
    </row>
    <row r="171" spans="1:17" x14ac:dyDescent="0.35">
      <c r="A171">
        <v>2026</v>
      </c>
      <c r="B171" t="s">
        <v>12</v>
      </c>
      <c r="C171" t="s">
        <v>4</v>
      </c>
      <c r="D171" t="s">
        <v>18</v>
      </c>
      <c r="E171" t="s">
        <v>490</v>
      </c>
      <c r="F171" t="s">
        <v>82</v>
      </c>
      <c r="G171" s="31">
        <v>9264.2962116299586</v>
      </c>
      <c r="H171" s="31">
        <v>144329</v>
      </c>
      <c r="I171" s="31">
        <v>100910.5748967688</v>
      </c>
      <c r="J171" s="32">
        <f t="shared" si="10"/>
        <v>12756.450244651627</v>
      </c>
      <c r="K171" s="31">
        <v>0</v>
      </c>
      <c r="L171" s="31">
        <v>0</v>
      </c>
      <c r="M171" s="32">
        <f t="shared" si="11"/>
        <v>0</v>
      </c>
      <c r="N171" s="33">
        <f>Result_notebook!L171</f>
        <v>0.787554996857322</v>
      </c>
      <c r="O171" s="31">
        <f t="shared" si="12"/>
        <v>-104402.72892979046</v>
      </c>
      <c r="P171" s="31">
        <f t="shared" si="13"/>
        <v>91646.278685138837</v>
      </c>
      <c r="Q171">
        <f t="shared" si="14"/>
        <v>12756.450244651627</v>
      </c>
    </row>
    <row r="172" spans="1:17" x14ac:dyDescent="0.35">
      <c r="A172">
        <v>2026</v>
      </c>
      <c r="B172" t="s">
        <v>12</v>
      </c>
      <c r="C172" t="s">
        <v>9</v>
      </c>
      <c r="D172" t="s">
        <v>16</v>
      </c>
      <c r="E172" t="s">
        <v>483</v>
      </c>
      <c r="F172" t="s">
        <v>80</v>
      </c>
      <c r="G172" s="31">
        <v>7256.2295972836719</v>
      </c>
      <c r="H172" s="31">
        <v>0</v>
      </c>
      <c r="I172" s="31">
        <v>0</v>
      </c>
      <c r="J172" s="32">
        <f t="shared" si="10"/>
        <v>0</v>
      </c>
      <c r="K172" s="31">
        <v>10366.042281833819</v>
      </c>
      <c r="L172" s="31">
        <v>7256.2295972836719</v>
      </c>
      <c r="M172" s="32">
        <f t="shared" si="11"/>
        <v>7256.2295972836719</v>
      </c>
      <c r="N172" s="33">
        <f>Result_notebook!L172</f>
        <v>0.787554996857322</v>
      </c>
      <c r="O172" s="31">
        <f t="shared" si="12"/>
        <v>0</v>
      </c>
      <c r="P172" s="31">
        <f t="shared" si="13"/>
        <v>0</v>
      </c>
      <c r="Q172">
        <f t="shared" si="14"/>
        <v>0</v>
      </c>
    </row>
    <row r="173" spans="1:17" x14ac:dyDescent="0.35">
      <c r="A173">
        <v>2026</v>
      </c>
      <c r="B173" t="s">
        <v>12</v>
      </c>
      <c r="C173" t="s">
        <v>9</v>
      </c>
      <c r="D173" t="s">
        <v>16</v>
      </c>
      <c r="E173" t="s">
        <v>483</v>
      </c>
      <c r="F173" t="s">
        <v>81</v>
      </c>
      <c r="G173" s="31">
        <v>7256.2295972836719</v>
      </c>
      <c r="H173" s="31">
        <v>39969</v>
      </c>
      <c r="I173" s="31">
        <v>27945.144552023179</v>
      </c>
      <c r="J173" s="32">
        <f t="shared" si="10"/>
        <v>3532.6411173671222</v>
      </c>
      <c r="K173" s="31">
        <v>0</v>
      </c>
      <c r="L173" s="31">
        <v>0</v>
      </c>
      <c r="M173" s="32">
        <f t="shared" si="11"/>
        <v>0</v>
      </c>
      <c r="N173" s="33">
        <f>Result_notebook!L173</f>
        <v>0.787554996857322</v>
      </c>
      <c r="O173" s="31">
        <f t="shared" si="12"/>
        <v>-24221.556072106629</v>
      </c>
      <c r="P173" s="31">
        <f t="shared" si="13"/>
        <v>20688.914954739506</v>
      </c>
      <c r="Q173">
        <f t="shared" si="14"/>
        <v>3532.6411173671222</v>
      </c>
    </row>
    <row r="174" spans="1:17" x14ac:dyDescent="0.35">
      <c r="A174">
        <v>2026</v>
      </c>
      <c r="B174" t="s">
        <v>12</v>
      </c>
      <c r="C174" t="s">
        <v>9</v>
      </c>
      <c r="D174" t="s">
        <v>18</v>
      </c>
      <c r="E174" t="s">
        <v>483</v>
      </c>
      <c r="F174" t="s">
        <v>85</v>
      </c>
      <c r="G174" s="31">
        <v>7256.2295972836719</v>
      </c>
      <c r="H174" s="31">
        <v>144329</v>
      </c>
      <c r="I174" s="31">
        <v>100910.5748967688</v>
      </c>
      <c r="J174" s="32">
        <f t="shared" si="10"/>
        <v>12756.450244651627</v>
      </c>
      <c r="K174" s="31">
        <v>0</v>
      </c>
      <c r="L174" s="31">
        <v>0</v>
      </c>
      <c r="M174" s="32">
        <f t="shared" si="11"/>
        <v>0</v>
      </c>
      <c r="N174" s="33">
        <f>Result_notebook!L174</f>
        <v>0.787554996857322</v>
      </c>
      <c r="O174" s="31">
        <f t="shared" si="12"/>
        <v>-106410.79554413675</v>
      </c>
      <c r="P174" s="31">
        <f t="shared" si="13"/>
        <v>93654.345299485125</v>
      </c>
      <c r="Q174">
        <f t="shared" si="14"/>
        <v>12756.450244651627</v>
      </c>
    </row>
    <row r="175" spans="1:17" x14ac:dyDescent="0.35">
      <c r="A175">
        <v>2026</v>
      </c>
      <c r="B175" t="s">
        <v>12</v>
      </c>
      <c r="C175" t="s">
        <v>9</v>
      </c>
      <c r="D175" t="s">
        <v>18</v>
      </c>
      <c r="E175" t="s">
        <v>483</v>
      </c>
      <c r="F175" t="s">
        <v>86</v>
      </c>
      <c r="G175" s="31">
        <v>7256.2295972836719</v>
      </c>
      <c r="H175" s="31">
        <v>144329</v>
      </c>
      <c r="I175" s="31">
        <v>100910.5748967688</v>
      </c>
      <c r="J175" s="32">
        <f t="shared" si="10"/>
        <v>12756.450244651627</v>
      </c>
      <c r="K175" s="31">
        <v>0</v>
      </c>
      <c r="L175" s="31">
        <v>0</v>
      </c>
      <c r="M175" s="32">
        <f t="shared" si="11"/>
        <v>0</v>
      </c>
      <c r="N175" s="33">
        <f>Result_notebook!L175</f>
        <v>0.787554996857322</v>
      </c>
      <c r="O175" s="31">
        <f t="shared" si="12"/>
        <v>-106410.79554413675</v>
      </c>
      <c r="P175" s="31">
        <f t="shared" si="13"/>
        <v>93654.345299485125</v>
      </c>
      <c r="Q175">
        <f t="shared" si="14"/>
        <v>12756.450244651627</v>
      </c>
    </row>
    <row r="176" spans="1:17" x14ac:dyDescent="0.35">
      <c r="A176">
        <v>2026</v>
      </c>
      <c r="B176" t="s">
        <v>12</v>
      </c>
      <c r="C176" t="s">
        <v>9</v>
      </c>
      <c r="D176" t="s">
        <v>18</v>
      </c>
      <c r="E176" t="s">
        <v>490</v>
      </c>
      <c r="F176" t="s">
        <v>82</v>
      </c>
      <c r="G176" s="31">
        <v>7256.2295972836719</v>
      </c>
      <c r="H176" s="31">
        <v>144329</v>
      </c>
      <c r="I176" s="31">
        <v>100910.5748967688</v>
      </c>
      <c r="J176" s="32">
        <f t="shared" si="10"/>
        <v>12756.450244651627</v>
      </c>
      <c r="K176" s="31">
        <v>0</v>
      </c>
      <c r="L176" s="31">
        <v>0</v>
      </c>
      <c r="M176" s="32">
        <f t="shared" si="11"/>
        <v>0</v>
      </c>
      <c r="N176" s="33">
        <f>Result_notebook!L176</f>
        <v>0.787554996857322</v>
      </c>
      <c r="O176" s="31">
        <f t="shared" si="12"/>
        <v>-106410.79554413675</v>
      </c>
      <c r="P176" s="31">
        <f t="shared" si="13"/>
        <v>93654.345299485125</v>
      </c>
      <c r="Q176">
        <f t="shared" si="14"/>
        <v>12756.450244651627</v>
      </c>
    </row>
    <row r="177" spans="1:17" x14ac:dyDescent="0.35">
      <c r="A177">
        <v>2026</v>
      </c>
      <c r="B177" t="s">
        <v>12</v>
      </c>
      <c r="C177" t="s">
        <v>10</v>
      </c>
      <c r="D177" t="s">
        <v>16</v>
      </c>
      <c r="E177" t="s">
        <v>483</v>
      </c>
      <c r="F177" t="s">
        <v>80</v>
      </c>
      <c r="G177" s="31">
        <v>9147.6463324870547</v>
      </c>
      <c r="H177" s="31">
        <v>0</v>
      </c>
      <c r="I177" s="31">
        <v>0</v>
      </c>
      <c r="J177" s="32">
        <f t="shared" si="10"/>
        <v>0</v>
      </c>
      <c r="K177" s="31">
        <v>13068.06618926722</v>
      </c>
      <c r="L177" s="31">
        <v>9147.6463324870547</v>
      </c>
      <c r="M177" s="32">
        <f t="shared" si="11"/>
        <v>9147.6463324870547</v>
      </c>
      <c r="N177" s="33">
        <f>Result_notebook!L177</f>
        <v>0.787554996857322</v>
      </c>
      <c r="O177" s="31">
        <f t="shared" si="12"/>
        <v>0</v>
      </c>
      <c r="P177" s="31">
        <f t="shared" si="13"/>
        <v>0</v>
      </c>
      <c r="Q177">
        <f t="shared" si="14"/>
        <v>0</v>
      </c>
    </row>
    <row r="178" spans="1:17" x14ac:dyDescent="0.35">
      <c r="A178">
        <v>2026</v>
      </c>
      <c r="B178" t="s">
        <v>12</v>
      </c>
      <c r="C178" t="s">
        <v>10</v>
      </c>
      <c r="D178" t="s">
        <v>16</v>
      </c>
      <c r="E178" t="s">
        <v>483</v>
      </c>
      <c r="F178" t="s">
        <v>81</v>
      </c>
      <c r="G178" s="31">
        <v>9147.6463324870547</v>
      </c>
      <c r="H178" s="31">
        <v>39969</v>
      </c>
      <c r="I178" s="31">
        <v>27945.144552023179</v>
      </c>
      <c r="J178" s="32">
        <f t="shared" si="10"/>
        <v>3532.6411173671222</v>
      </c>
      <c r="K178" s="31">
        <v>0</v>
      </c>
      <c r="L178" s="31">
        <v>0</v>
      </c>
      <c r="M178" s="32">
        <f t="shared" si="11"/>
        <v>0</v>
      </c>
      <c r="N178" s="33">
        <f>Result_notebook!L178</f>
        <v>0.787554996857322</v>
      </c>
      <c r="O178" s="31">
        <f t="shared" si="12"/>
        <v>-22330.139336903245</v>
      </c>
      <c r="P178" s="31">
        <f t="shared" si="13"/>
        <v>18797.498219536123</v>
      </c>
      <c r="Q178">
        <f t="shared" si="14"/>
        <v>3532.6411173671222</v>
      </c>
    </row>
    <row r="179" spans="1:17" x14ac:dyDescent="0.35">
      <c r="A179">
        <v>2026</v>
      </c>
      <c r="B179" t="s">
        <v>12</v>
      </c>
      <c r="C179" t="s">
        <v>10</v>
      </c>
      <c r="D179" t="s">
        <v>18</v>
      </c>
      <c r="E179" t="s">
        <v>483</v>
      </c>
      <c r="F179" t="s">
        <v>85</v>
      </c>
      <c r="G179" s="31">
        <v>9147.6463324870547</v>
      </c>
      <c r="H179" s="31">
        <v>144329</v>
      </c>
      <c r="I179" s="31">
        <v>100910.5748967688</v>
      </c>
      <c r="J179" s="32">
        <f t="shared" si="10"/>
        <v>12756.450244651627</v>
      </c>
      <c r="K179" s="31">
        <v>0</v>
      </c>
      <c r="L179" s="31">
        <v>0</v>
      </c>
      <c r="M179" s="32">
        <f t="shared" si="11"/>
        <v>0</v>
      </c>
      <c r="N179" s="33">
        <f>Result_notebook!L179</f>
        <v>0.787554996857322</v>
      </c>
      <c r="O179" s="31">
        <f t="shared" si="12"/>
        <v>-104519.37880893337</v>
      </c>
      <c r="P179" s="31">
        <f t="shared" si="13"/>
        <v>91762.928564281741</v>
      </c>
      <c r="Q179">
        <f t="shared" si="14"/>
        <v>12756.450244651627</v>
      </c>
    </row>
    <row r="180" spans="1:17" x14ac:dyDescent="0.35">
      <c r="A180">
        <v>2026</v>
      </c>
      <c r="B180" t="s">
        <v>12</v>
      </c>
      <c r="C180" t="s">
        <v>10</v>
      </c>
      <c r="D180" t="s">
        <v>18</v>
      </c>
      <c r="E180" t="s">
        <v>483</v>
      </c>
      <c r="F180" t="s">
        <v>86</v>
      </c>
      <c r="G180" s="31">
        <v>9147.6463324870547</v>
      </c>
      <c r="H180" s="31">
        <v>144329</v>
      </c>
      <c r="I180" s="31">
        <v>100910.5748967688</v>
      </c>
      <c r="J180" s="32">
        <f t="shared" si="10"/>
        <v>12756.450244651627</v>
      </c>
      <c r="K180" s="31">
        <v>0</v>
      </c>
      <c r="L180" s="31">
        <v>0</v>
      </c>
      <c r="M180" s="32">
        <f t="shared" si="11"/>
        <v>0</v>
      </c>
      <c r="N180" s="33">
        <f>Result_notebook!L180</f>
        <v>0.787554996857322</v>
      </c>
      <c r="O180" s="31">
        <f t="shared" si="12"/>
        <v>-104519.37880893337</v>
      </c>
      <c r="P180" s="31">
        <f t="shared" si="13"/>
        <v>91762.928564281741</v>
      </c>
      <c r="Q180">
        <f t="shared" si="14"/>
        <v>12756.450244651627</v>
      </c>
    </row>
    <row r="181" spans="1:17" x14ac:dyDescent="0.35">
      <c r="A181">
        <v>2026</v>
      </c>
      <c r="B181" t="s">
        <v>12</v>
      </c>
      <c r="C181" t="s">
        <v>10</v>
      </c>
      <c r="D181" t="s">
        <v>18</v>
      </c>
      <c r="E181" t="s">
        <v>490</v>
      </c>
      <c r="F181" t="s">
        <v>82</v>
      </c>
      <c r="G181" s="31">
        <v>9147.6463324870547</v>
      </c>
      <c r="H181" s="31">
        <v>144329</v>
      </c>
      <c r="I181" s="31">
        <v>100910.5748967688</v>
      </c>
      <c r="J181" s="32">
        <f t="shared" si="10"/>
        <v>12756.450244651627</v>
      </c>
      <c r="K181" s="31">
        <v>0</v>
      </c>
      <c r="L181" s="31">
        <v>0</v>
      </c>
      <c r="M181" s="32">
        <f t="shared" si="11"/>
        <v>0</v>
      </c>
      <c r="N181" s="33">
        <f>Result_notebook!L181</f>
        <v>0.787554996857322</v>
      </c>
      <c r="O181" s="31">
        <f t="shared" si="12"/>
        <v>-104519.37880893337</v>
      </c>
      <c r="P181" s="31">
        <f t="shared" si="13"/>
        <v>91762.928564281741</v>
      </c>
      <c r="Q181">
        <f t="shared" si="14"/>
        <v>12756.450244651627</v>
      </c>
    </row>
    <row r="182" spans="1:17" x14ac:dyDescent="0.35">
      <c r="A182">
        <v>2027</v>
      </c>
      <c r="B182" t="s">
        <v>6</v>
      </c>
      <c r="C182" t="s">
        <v>4</v>
      </c>
      <c r="D182" t="s">
        <v>16</v>
      </c>
      <c r="E182" t="s">
        <v>483</v>
      </c>
      <c r="F182" t="s">
        <v>80</v>
      </c>
      <c r="G182" s="31">
        <v>22846.056566280731</v>
      </c>
      <c r="H182" s="31">
        <v>0</v>
      </c>
      <c r="I182" s="31">
        <v>0</v>
      </c>
      <c r="J182" s="32">
        <f t="shared" si="10"/>
        <v>0</v>
      </c>
      <c r="K182" s="31">
        <v>51922.855832456196</v>
      </c>
      <c r="L182" s="31">
        <v>22846.056566280731</v>
      </c>
      <c r="M182" s="32">
        <f t="shared" si="11"/>
        <v>22846.056566280731</v>
      </c>
      <c r="N182" s="33">
        <f>Result_notebook!L182</f>
        <v>0.439346565686978</v>
      </c>
      <c r="O182" s="31">
        <f t="shared" si="12"/>
        <v>0</v>
      </c>
      <c r="P182" s="31">
        <f t="shared" si="13"/>
        <v>0</v>
      </c>
      <c r="Q182">
        <f t="shared" si="14"/>
        <v>0</v>
      </c>
    </row>
    <row r="183" spans="1:17" x14ac:dyDescent="0.35">
      <c r="A183">
        <v>2027</v>
      </c>
      <c r="B183" t="s">
        <v>6</v>
      </c>
      <c r="C183" t="s">
        <v>4</v>
      </c>
      <c r="D183" t="s">
        <v>16</v>
      </c>
      <c r="E183" t="s">
        <v>483</v>
      </c>
      <c r="F183" t="s">
        <v>81</v>
      </c>
      <c r="G183" s="31">
        <v>22846.056566280731</v>
      </c>
      <c r="H183" s="31">
        <v>4176</v>
      </c>
      <c r="I183" s="31">
        <v>1771.38331528816</v>
      </c>
      <c r="J183" s="32">
        <f t="shared" si="10"/>
        <v>63.327943020660086</v>
      </c>
      <c r="K183" s="31">
        <v>47746.855832456196</v>
      </c>
      <c r="L183" s="31">
        <v>21074.673250992571</v>
      </c>
      <c r="M183" s="32">
        <f t="shared" si="11"/>
        <v>21011.345307971911</v>
      </c>
      <c r="N183" s="33">
        <f>Result_notebook!L183</f>
        <v>0.439346565686978</v>
      </c>
      <c r="O183" s="31">
        <f t="shared" si="12"/>
        <v>0</v>
      </c>
      <c r="P183" s="31">
        <f t="shared" si="13"/>
        <v>0</v>
      </c>
      <c r="Q183">
        <f t="shared" si="14"/>
        <v>63.327943020660086</v>
      </c>
    </row>
    <row r="184" spans="1:17" x14ac:dyDescent="0.35">
      <c r="A184">
        <v>2027</v>
      </c>
      <c r="B184" t="s">
        <v>6</v>
      </c>
      <c r="C184" t="s">
        <v>4</v>
      </c>
      <c r="D184" t="s">
        <v>18</v>
      </c>
      <c r="E184" t="s">
        <v>483</v>
      </c>
      <c r="F184" t="s">
        <v>85</v>
      </c>
      <c r="G184" s="31">
        <v>22846.056566280731</v>
      </c>
      <c r="H184" s="31">
        <v>5307</v>
      </c>
      <c r="I184" s="31">
        <v>2251.1329631787039</v>
      </c>
      <c r="J184" s="32">
        <f t="shared" si="10"/>
        <v>80.479260922088542</v>
      </c>
      <c r="K184" s="31">
        <v>46615.855832456196</v>
      </c>
      <c r="L184" s="31">
        <v>20594.92360310203</v>
      </c>
      <c r="M184" s="32">
        <f t="shared" si="11"/>
        <v>20514.444342179941</v>
      </c>
      <c r="N184" s="33">
        <f>Result_notebook!L184</f>
        <v>0.439346565686978</v>
      </c>
      <c r="O184" s="31">
        <f t="shared" si="12"/>
        <v>0</v>
      </c>
      <c r="P184" s="31">
        <f t="shared" si="13"/>
        <v>0</v>
      </c>
      <c r="Q184">
        <f t="shared" si="14"/>
        <v>80.479260922088542</v>
      </c>
    </row>
    <row r="185" spans="1:17" x14ac:dyDescent="0.35">
      <c r="A185">
        <v>2027</v>
      </c>
      <c r="B185" t="s">
        <v>6</v>
      </c>
      <c r="C185" t="s">
        <v>4</v>
      </c>
      <c r="D185" t="s">
        <v>18</v>
      </c>
      <c r="E185" t="s">
        <v>483</v>
      </c>
      <c r="F185" t="s">
        <v>86</v>
      </c>
      <c r="G185" s="31">
        <v>22846.056566280731</v>
      </c>
      <c r="H185" s="31">
        <v>5307</v>
      </c>
      <c r="I185" s="31">
        <v>2251.1329631787039</v>
      </c>
      <c r="J185" s="32">
        <f t="shared" si="10"/>
        <v>80.479260922088542</v>
      </c>
      <c r="K185" s="31">
        <v>46615.855832456196</v>
      </c>
      <c r="L185" s="31">
        <v>20594.92360310203</v>
      </c>
      <c r="M185" s="32">
        <f t="shared" si="11"/>
        <v>20514.444342179941</v>
      </c>
      <c r="N185" s="33">
        <f>Result_notebook!L185</f>
        <v>0.439346565686978</v>
      </c>
      <c r="O185" s="31">
        <f t="shared" si="12"/>
        <v>0</v>
      </c>
      <c r="P185" s="31">
        <f t="shared" si="13"/>
        <v>0</v>
      </c>
      <c r="Q185">
        <f t="shared" si="14"/>
        <v>80.479260922088542</v>
      </c>
    </row>
    <row r="186" spans="1:17" x14ac:dyDescent="0.35">
      <c r="A186">
        <v>2027</v>
      </c>
      <c r="B186" t="s">
        <v>6</v>
      </c>
      <c r="C186" t="s">
        <v>4</v>
      </c>
      <c r="D186" t="s">
        <v>18</v>
      </c>
      <c r="E186" t="s">
        <v>490</v>
      </c>
      <c r="F186" t="s">
        <v>82</v>
      </c>
      <c r="G186" s="31">
        <v>22846.056566280731</v>
      </c>
      <c r="H186" s="31">
        <v>5307</v>
      </c>
      <c r="I186" s="31">
        <v>2331.6122241007938</v>
      </c>
      <c r="J186" s="32">
        <f t="shared" si="10"/>
        <v>0</v>
      </c>
      <c r="K186" s="31">
        <v>46615.855832456196</v>
      </c>
      <c r="L186" s="31">
        <v>20514.444342179941</v>
      </c>
      <c r="M186" s="32">
        <f t="shared" si="11"/>
        <v>20514.444342179941</v>
      </c>
      <c r="N186" s="33">
        <f>Result_notebook!L186</f>
        <v>0.439346565686978</v>
      </c>
      <c r="O186" s="31">
        <f t="shared" si="12"/>
        <v>0</v>
      </c>
      <c r="P186" s="31">
        <f t="shared" si="13"/>
        <v>0</v>
      </c>
      <c r="Q186">
        <f t="shared" si="14"/>
        <v>0</v>
      </c>
    </row>
    <row r="187" spans="1:17" x14ac:dyDescent="0.35">
      <c r="A187">
        <v>2027</v>
      </c>
      <c r="B187" t="s">
        <v>6</v>
      </c>
      <c r="C187" t="s">
        <v>9</v>
      </c>
      <c r="D187" t="s">
        <v>16</v>
      </c>
      <c r="E187" t="s">
        <v>483</v>
      </c>
      <c r="F187" t="s">
        <v>80</v>
      </c>
      <c r="G187" s="31">
        <v>15414.951244320981</v>
      </c>
      <c r="H187" s="31">
        <v>0</v>
      </c>
      <c r="I187" s="31">
        <v>0</v>
      </c>
      <c r="J187" s="32">
        <f t="shared" si="10"/>
        <v>0</v>
      </c>
      <c r="K187" s="31">
        <v>35033.980100729503</v>
      </c>
      <c r="L187" s="31">
        <v>15414.951244320981</v>
      </c>
      <c r="M187" s="32">
        <f t="shared" si="11"/>
        <v>15414.951244320981</v>
      </c>
      <c r="N187" s="33">
        <f>Result_notebook!L187</f>
        <v>0.439346565686978</v>
      </c>
      <c r="O187" s="31">
        <f t="shared" si="12"/>
        <v>0</v>
      </c>
      <c r="P187" s="31">
        <f t="shared" si="13"/>
        <v>0</v>
      </c>
      <c r="Q187">
        <f t="shared" si="14"/>
        <v>0</v>
      </c>
    </row>
    <row r="188" spans="1:17" x14ac:dyDescent="0.35">
      <c r="A188">
        <v>2027</v>
      </c>
      <c r="B188" t="s">
        <v>6</v>
      </c>
      <c r="C188" t="s">
        <v>9</v>
      </c>
      <c r="D188" t="s">
        <v>16</v>
      </c>
      <c r="E188" t="s">
        <v>483</v>
      </c>
      <c r="F188" t="s">
        <v>81</v>
      </c>
      <c r="G188" s="31">
        <v>15414.951244320981</v>
      </c>
      <c r="H188" s="31">
        <v>4176</v>
      </c>
      <c r="I188" s="31">
        <v>1771.38331528816</v>
      </c>
      <c r="J188" s="32">
        <f t="shared" si="10"/>
        <v>63.327943020660086</v>
      </c>
      <c r="K188" s="31">
        <v>30857.980100729499</v>
      </c>
      <c r="L188" s="31">
        <v>13643.567929032821</v>
      </c>
      <c r="M188" s="32">
        <f t="shared" si="11"/>
        <v>13580.23998601216</v>
      </c>
      <c r="N188" s="33">
        <f>Result_notebook!L188</f>
        <v>0.439346565686978</v>
      </c>
      <c r="O188" s="31">
        <f t="shared" si="12"/>
        <v>0</v>
      </c>
      <c r="P188" s="31">
        <f t="shared" si="13"/>
        <v>0</v>
      </c>
      <c r="Q188">
        <f t="shared" si="14"/>
        <v>63.327943020660086</v>
      </c>
    </row>
    <row r="189" spans="1:17" x14ac:dyDescent="0.35">
      <c r="A189">
        <v>2027</v>
      </c>
      <c r="B189" t="s">
        <v>6</v>
      </c>
      <c r="C189" t="s">
        <v>9</v>
      </c>
      <c r="D189" t="s">
        <v>18</v>
      </c>
      <c r="E189" t="s">
        <v>483</v>
      </c>
      <c r="F189" t="s">
        <v>85</v>
      </c>
      <c r="G189" s="31">
        <v>15414.951244320981</v>
      </c>
      <c r="H189" s="31">
        <v>5307</v>
      </c>
      <c r="I189" s="31">
        <v>2251.1329631787039</v>
      </c>
      <c r="J189" s="32">
        <f t="shared" si="10"/>
        <v>80.479260922088542</v>
      </c>
      <c r="K189" s="31">
        <v>29726.980100729499</v>
      </c>
      <c r="L189" s="31">
        <v>13163.818281142279</v>
      </c>
      <c r="M189" s="32">
        <f t="shared" si="11"/>
        <v>13083.339020220192</v>
      </c>
      <c r="N189" s="33">
        <f>Result_notebook!L189</f>
        <v>0.439346565686978</v>
      </c>
      <c r="O189" s="31">
        <f t="shared" si="12"/>
        <v>0</v>
      </c>
      <c r="P189" s="31">
        <f t="shared" si="13"/>
        <v>0</v>
      </c>
      <c r="Q189">
        <f t="shared" si="14"/>
        <v>80.479260922088542</v>
      </c>
    </row>
    <row r="190" spans="1:17" x14ac:dyDescent="0.35">
      <c r="A190">
        <v>2027</v>
      </c>
      <c r="B190" t="s">
        <v>6</v>
      </c>
      <c r="C190" t="s">
        <v>9</v>
      </c>
      <c r="D190" t="s">
        <v>18</v>
      </c>
      <c r="E190" t="s">
        <v>483</v>
      </c>
      <c r="F190" t="s">
        <v>86</v>
      </c>
      <c r="G190" s="31">
        <v>15414.951244320981</v>
      </c>
      <c r="H190" s="31">
        <v>5307</v>
      </c>
      <c r="I190" s="31">
        <v>2251.1329631787039</v>
      </c>
      <c r="J190" s="32">
        <f t="shared" si="10"/>
        <v>80.479260922088542</v>
      </c>
      <c r="K190" s="31">
        <v>29726.980100729499</v>
      </c>
      <c r="L190" s="31">
        <v>13163.818281142279</v>
      </c>
      <c r="M190" s="32">
        <f t="shared" si="11"/>
        <v>13083.339020220192</v>
      </c>
      <c r="N190" s="33">
        <f>Result_notebook!L190</f>
        <v>0.439346565686978</v>
      </c>
      <c r="O190" s="31">
        <f t="shared" si="12"/>
        <v>0</v>
      </c>
      <c r="P190" s="31">
        <f t="shared" si="13"/>
        <v>0</v>
      </c>
      <c r="Q190">
        <f t="shared" si="14"/>
        <v>80.479260922088542</v>
      </c>
    </row>
    <row r="191" spans="1:17" x14ac:dyDescent="0.35">
      <c r="A191">
        <v>2027</v>
      </c>
      <c r="B191" t="s">
        <v>6</v>
      </c>
      <c r="C191" t="s">
        <v>9</v>
      </c>
      <c r="D191" t="s">
        <v>18</v>
      </c>
      <c r="E191" t="s">
        <v>490</v>
      </c>
      <c r="F191" t="s">
        <v>82</v>
      </c>
      <c r="G191" s="31">
        <v>15414.951244320981</v>
      </c>
      <c r="H191" s="31">
        <v>5307</v>
      </c>
      <c r="I191" s="31">
        <v>2331.6122241007938</v>
      </c>
      <c r="J191" s="32">
        <f t="shared" si="10"/>
        <v>0</v>
      </c>
      <c r="K191" s="31">
        <v>29726.980100729499</v>
      </c>
      <c r="L191" s="31">
        <v>13083.33902022019</v>
      </c>
      <c r="M191" s="32">
        <f t="shared" si="11"/>
        <v>13083.33902022019</v>
      </c>
      <c r="N191" s="33">
        <f>Result_notebook!L191</f>
        <v>0.439346565686978</v>
      </c>
      <c r="O191" s="31">
        <f t="shared" si="12"/>
        <v>0</v>
      </c>
      <c r="P191" s="31">
        <f t="shared" si="13"/>
        <v>0</v>
      </c>
      <c r="Q191">
        <f t="shared" si="14"/>
        <v>0</v>
      </c>
    </row>
    <row r="192" spans="1:17" x14ac:dyDescent="0.35">
      <c r="A192">
        <v>2027</v>
      </c>
      <c r="B192" t="s">
        <v>6</v>
      </c>
      <c r="C192" t="s">
        <v>10</v>
      </c>
      <c r="D192" t="s">
        <v>16</v>
      </c>
      <c r="E192" t="s">
        <v>483</v>
      </c>
      <c r="F192" t="s">
        <v>80</v>
      </c>
      <c r="G192" s="31">
        <v>22192.22621013633</v>
      </c>
      <c r="H192" s="31">
        <v>0</v>
      </c>
      <c r="I192" s="31">
        <v>0</v>
      </c>
      <c r="J192" s="32">
        <f t="shared" si="10"/>
        <v>0</v>
      </c>
      <c r="K192" s="31">
        <v>50436.877750309839</v>
      </c>
      <c r="L192" s="31">
        <v>22192.22621013633</v>
      </c>
      <c r="M192" s="32">
        <f t="shared" si="11"/>
        <v>22192.22621013633</v>
      </c>
      <c r="N192" s="33">
        <f>Result_notebook!L192</f>
        <v>0.439346565686978</v>
      </c>
      <c r="O192" s="31">
        <f t="shared" si="12"/>
        <v>0</v>
      </c>
      <c r="P192" s="31">
        <f t="shared" si="13"/>
        <v>0</v>
      </c>
      <c r="Q192">
        <f t="shared" si="14"/>
        <v>0</v>
      </c>
    </row>
    <row r="193" spans="1:17" x14ac:dyDescent="0.35">
      <c r="A193">
        <v>2027</v>
      </c>
      <c r="B193" t="s">
        <v>6</v>
      </c>
      <c r="C193" t="s">
        <v>10</v>
      </c>
      <c r="D193" t="s">
        <v>16</v>
      </c>
      <c r="E193" t="s">
        <v>483</v>
      </c>
      <c r="F193" t="s">
        <v>81</v>
      </c>
      <c r="G193" s="31">
        <v>22192.22621013633</v>
      </c>
      <c r="H193" s="31">
        <v>4176</v>
      </c>
      <c r="I193" s="31">
        <v>1771.38331528816</v>
      </c>
      <c r="J193" s="32">
        <f t="shared" si="10"/>
        <v>63.327943020660086</v>
      </c>
      <c r="K193" s="31">
        <v>46260.877750309839</v>
      </c>
      <c r="L193" s="31">
        <v>20420.842894848171</v>
      </c>
      <c r="M193" s="32">
        <f t="shared" si="11"/>
        <v>20357.51495182751</v>
      </c>
      <c r="N193" s="33">
        <f>Result_notebook!L193</f>
        <v>0.439346565686978</v>
      </c>
      <c r="O193" s="31">
        <f t="shared" si="12"/>
        <v>0</v>
      </c>
      <c r="P193" s="31">
        <f t="shared" si="13"/>
        <v>0</v>
      </c>
      <c r="Q193">
        <f t="shared" si="14"/>
        <v>63.327943020660086</v>
      </c>
    </row>
    <row r="194" spans="1:17" x14ac:dyDescent="0.35">
      <c r="A194">
        <v>2027</v>
      </c>
      <c r="B194" t="s">
        <v>6</v>
      </c>
      <c r="C194" t="s">
        <v>10</v>
      </c>
      <c r="D194" t="s">
        <v>18</v>
      </c>
      <c r="E194" t="s">
        <v>483</v>
      </c>
      <c r="F194" t="s">
        <v>85</v>
      </c>
      <c r="G194" s="31">
        <v>22192.22621013633</v>
      </c>
      <c r="H194" s="31">
        <v>5307</v>
      </c>
      <c r="I194" s="31">
        <v>2251.1329631787039</v>
      </c>
      <c r="J194" s="32">
        <f t="shared" si="10"/>
        <v>80.479260922088542</v>
      </c>
      <c r="K194" s="31">
        <v>45129.877750309839</v>
      </c>
      <c r="L194" s="31">
        <v>19941.093246957629</v>
      </c>
      <c r="M194" s="32">
        <f t="shared" si="11"/>
        <v>19860.61398603554</v>
      </c>
      <c r="N194" s="33">
        <f>Result_notebook!L194</f>
        <v>0.439346565686978</v>
      </c>
      <c r="O194" s="31">
        <f t="shared" si="12"/>
        <v>0</v>
      </c>
      <c r="P194" s="31">
        <f t="shared" si="13"/>
        <v>0</v>
      </c>
      <c r="Q194">
        <f t="shared" si="14"/>
        <v>80.479260922088542</v>
      </c>
    </row>
    <row r="195" spans="1:17" x14ac:dyDescent="0.35">
      <c r="A195">
        <v>2027</v>
      </c>
      <c r="B195" t="s">
        <v>6</v>
      </c>
      <c r="C195" t="s">
        <v>10</v>
      </c>
      <c r="D195" t="s">
        <v>18</v>
      </c>
      <c r="E195" t="s">
        <v>483</v>
      </c>
      <c r="F195" t="s">
        <v>86</v>
      </c>
      <c r="G195" s="31">
        <v>22192.22621013633</v>
      </c>
      <c r="H195" s="31">
        <v>5307</v>
      </c>
      <c r="I195" s="31">
        <v>2251.1329631787039</v>
      </c>
      <c r="J195" s="32">
        <f t="shared" ref="J195:J258" si="15">H195*N195-I195</f>
        <v>80.479260922088542</v>
      </c>
      <c r="K195" s="31">
        <v>45129.877750309839</v>
      </c>
      <c r="L195" s="31">
        <v>19941.093246957629</v>
      </c>
      <c r="M195" s="32">
        <f t="shared" ref="M195:M258" si="16">MAX(L195-J195,0)</f>
        <v>19860.61398603554</v>
      </c>
      <c r="N195" s="33">
        <f>Result_notebook!L195</f>
        <v>0.439346565686978</v>
      </c>
      <c r="O195" s="31">
        <f t="shared" ref="O195:O258" si="17">G195-(I195+J195+M195)</f>
        <v>0</v>
      </c>
      <c r="P195" s="31">
        <f t="shared" ref="P195:P258" si="18">MAX(I195-G195,0)</f>
        <v>0</v>
      </c>
      <c r="Q195">
        <f t="shared" ref="Q195:Q258" si="19">(H195*N195)-I195</f>
        <v>80.479260922088542</v>
      </c>
    </row>
    <row r="196" spans="1:17" x14ac:dyDescent="0.35">
      <c r="A196">
        <v>2027</v>
      </c>
      <c r="B196" t="s">
        <v>6</v>
      </c>
      <c r="C196" t="s">
        <v>10</v>
      </c>
      <c r="D196" t="s">
        <v>18</v>
      </c>
      <c r="E196" t="s">
        <v>490</v>
      </c>
      <c r="F196" t="s">
        <v>82</v>
      </c>
      <c r="G196" s="31">
        <v>22192.22621013633</v>
      </c>
      <c r="H196" s="31">
        <v>5307</v>
      </c>
      <c r="I196" s="31">
        <v>2331.6122241007938</v>
      </c>
      <c r="J196" s="32">
        <f t="shared" si="15"/>
        <v>0</v>
      </c>
      <c r="K196" s="31">
        <v>45129.877750309839</v>
      </c>
      <c r="L196" s="31">
        <v>19860.61398603554</v>
      </c>
      <c r="M196" s="32">
        <f t="shared" si="16"/>
        <v>19860.61398603554</v>
      </c>
      <c r="N196" s="33">
        <f>Result_notebook!L196</f>
        <v>0.439346565686978</v>
      </c>
      <c r="O196" s="31">
        <f t="shared" si="17"/>
        <v>0</v>
      </c>
      <c r="P196" s="31">
        <f t="shared" si="18"/>
        <v>0</v>
      </c>
      <c r="Q196">
        <f t="shared" si="19"/>
        <v>0</v>
      </c>
    </row>
    <row r="197" spans="1:17" x14ac:dyDescent="0.35">
      <c r="A197">
        <v>2027</v>
      </c>
      <c r="B197" t="s">
        <v>7</v>
      </c>
      <c r="C197" t="s">
        <v>4</v>
      </c>
      <c r="D197" t="s">
        <v>16</v>
      </c>
      <c r="E197" t="s">
        <v>483</v>
      </c>
      <c r="F197" t="s">
        <v>80</v>
      </c>
      <c r="G197" s="31">
        <v>879225.45381998783</v>
      </c>
      <c r="H197" s="31">
        <v>0</v>
      </c>
      <c r="I197" s="31">
        <v>0</v>
      </c>
      <c r="J197" s="32">
        <f t="shared" si="15"/>
        <v>0</v>
      </c>
      <c r="K197" s="31">
        <v>1059307.775686732</v>
      </c>
      <c r="L197" s="31">
        <v>879225.45381998783</v>
      </c>
      <c r="M197" s="32">
        <f t="shared" si="16"/>
        <v>879225.45381998783</v>
      </c>
      <c r="N197" s="33">
        <f>Result_notebook!L197</f>
        <v>0.83474576271186396</v>
      </c>
      <c r="O197" s="31">
        <f t="shared" si="17"/>
        <v>0</v>
      </c>
      <c r="P197" s="31">
        <f t="shared" si="18"/>
        <v>0</v>
      </c>
      <c r="Q197">
        <f t="shared" si="19"/>
        <v>0</v>
      </c>
    </row>
    <row r="198" spans="1:17" x14ac:dyDescent="0.35">
      <c r="A198">
        <v>2027</v>
      </c>
      <c r="B198" t="s">
        <v>7</v>
      </c>
      <c r="C198" t="s">
        <v>4</v>
      </c>
      <c r="D198" t="s">
        <v>16</v>
      </c>
      <c r="E198" t="s">
        <v>483</v>
      </c>
      <c r="F198" t="s">
        <v>81</v>
      </c>
      <c r="G198" s="31">
        <v>879225.45381998783</v>
      </c>
      <c r="H198" s="31">
        <v>494964</v>
      </c>
      <c r="I198" s="31">
        <v>260157.37839094709</v>
      </c>
      <c r="J198" s="32">
        <f t="shared" si="15"/>
        <v>153011.72330396794</v>
      </c>
      <c r="K198" s="31">
        <v>564343.77568673226</v>
      </c>
      <c r="L198" s="31">
        <v>619068.07542904071</v>
      </c>
      <c r="M198" s="32">
        <f t="shared" si="16"/>
        <v>466056.35212507274</v>
      </c>
      <c r="N198" s="33">
        <f>Result_notebook!L198</f>
        <v>0.83474576271186396</v>
      </c>
      <c r="O198" s="31">
        <f t="shared" si="17"/>
        <v>0</v>
      </c>
      <c r="P198" s="31">
        <f t="shared" si="18"/>
        <v>0</v>
      </c>
      <c r="Q198">
        <f t="shared" si="19"/>
        <v>153011.72330396794</v>
      </c>
    </row>
    <row r="199" spans="1:17" x14ac:dyDescent="0.35">
      <c r="A199">
        <v>2027</v>
      </c>
      <c r="B199" t="s">
        <v>7</v>
      </c>
      <c r="C199" t="s">
        <v>4</v>
      </c>
      <c r="D199" t="s">
        <v>18</v>
      </c>
      <c r="E199" t="s">
        <v>483</v>
      </c>
      <c r="F199" t="s">
        <v>85</v>
      </c>
      <c r="G199" s="31">
        <v>879225.45381998783</v>
      </c>
      <c r="H199" s="31">
        <v>590861.05072993715</v>
      </c>
      <c r="I199" s="31">
        <v>310561.70135852479</v>
      </c>
      <c r="J199" s="32">
        <f t="shared" si="15"/>
        <v>182657.05708976992</v>
      </c>
      <c r="K199" s="31">
        <v>468446.72495679511</v>
      </c>
      <c r="L199" s="31">
        <v>568663.75246146298</v>
      </c>
      <c r="M199" s="32">
        <f t="shared" si="16"/>
        <v>386006.69537169306</v>
      </c>
      <c r="N199" s="33">
        <f>Result_notebook!L199</f>
        <v>0.83474576271186396</v>
      </c>
      <c r="O199" s="31">
        <f t="shared" si="17"/>
        <v>0</v>
      </c>
      <c r="P199" s="31">
        <f t="shared" si="18"/>
        <v>0</v>
      </c>
      <c r="Q199">
        <f t="shared" si="19"/>
        <v>182657.05708976992</v>
      </c>
    </row>
    <row r="200" spans="1:17" x14ac:dyDescent="0.35">
      <c r="A200">
        <v>2027</v>
      </c>
      <c r="B200" t="s">
        <v>7</v>
      </c>
      <c r="C200" t="s">
        <v>4</v>
      </c>
      <c r="D200" t="s">
        <v>18</v>
      </c>
      <c r="E200" t="s">
        <v>483</v>
      </c>
      <c r="F200" t="s">
        <v>86</v>
      </c>
      <c r="G200" s="31">
        <v>879225.45381998783</v>
      </c>
      <c r="H200" s="31">
        <v>590861.05072993715</v>
      </c>
      <c r="I200" s="31">
        <v>310561.70135852479</v>
      </c>
      <c r="J200" s="32">
        <f t="shared" si="15"/>
        <v>182657.05708976992</v>
      </c>
      <c r="K200" s="31">
        <v>468446.72495679511</v>
      </c>
      <c r="L200" s="31">
        <v>568663.75246146298</v>
      </c>
      <c r="M200" s="32">
        <f t="shared" si="16"/>
        <v>386006.69537169306</v>
      </c>
      <c r="N200" s="33">
        <f>Result_notebook!L200</f>
        <v>0.83474576271186396</v>
      </c>
      <c r="O200" s="31">
        <f t="shared" si="17"/>
        <v>0</v>
      </c>
      <c r="P200" s="31">
        <f t="shared" si="18"/>
        <v>0</v>
      </c>
      <c r="Q200">
        <f t="shared" si="19"/>
        <v>182657.05708976992</v>
      </c>
    </row>
    <row r="201" spans="1:17" x14ac:dyDescent="0.35">
      <c r="A201">
        <v>2027</v>
      </c>
      <c r="B201" t="s">
        <v>7</v>
      </c>
      <c r="C201" t="s">
        <v>4</v>
      </c>
      <c r="D201" t="s">
        <v>18</v>
      </c>
      <c r="E201" t="s">
        <v>490</v>
      </c>
      <c r="F201" t="s">
        <v>82</v>
      </c>
      <c r="G201" s="31">
        <v>879225.45381998783</v>
      </c>
      <c r="H201" s="31">
        <v>590861.05072993715</v>
      </c>
      <c r="I201" s="31">
        <v>493218.758448295</v>
      </c>
      <c r="J201" s="32">
        <f t="shared" si="15"/>
        <v>0</v>
      </c>
      <c r="K201" s="31">
        <v>468446.72495679511</v>
      </c>
      <c r="L201" s="31">
        <v>386006.69537169283</v>
      </c>
      <c r="M201" s="32">
        <f t="shared" si="16"/>
        <v>386006.69537169283</v>
      </c>
      <c r="N201" s="33">
        <f>Result_notebook!L201</f>
        <v>0.83474576271186396</v>
      </c>
      <c r="O201" s="31">
        <f t="shared" si="17"/>
        <v>0</v>
      </c>
      <c r="P201" s="31">
        <f t="shared" si="18"/>
        <v>0</v>
      </c>
      <c r="Q201">
        <f t="shared" si="19"/>
        <v>0</v>
      </c>
    </row>
    <row r="202" spans="1:17" x14ac:dyDescent="0.35">
      <c r="A202">
        <v>2027</v>
      </c>
      <c r="B202" t="s">
        <v>7</v>
      </c>
      <c r="C202" t="s">
        <v>9</v>
      </c>
      <c r="D202" t="s">
        <v>16</v>
      </c>
      <c r="E202" t="s">
        <v>483</v>
      </c>
      <c r="F202" t="s">
        <v>80</v>
      </c>
      <c r="G202" s="31">
        <v>866407.3331157451</v>
      </c>
      <c r="H202" s="31">
        <v>0</v>
      </c>
      <c r="I202" s="31">
        <v>0</v>
      </c>
      <c r="J202" s="32">
        <f t="shared" si="15"/>
        <v>0</v>
      </c>
      <c r="K202" s="31">
        <v>1043864.256765958</v>
      </c>
      <c r="L202" s="31">
        <v>866407.3331157451</v>
      </c>
      <c r="M202" s="32">
        <f t="shared" si="16"/>
        <v>866407.3331157451</v>
      </c>
      <c r="N202" s="33">
        <f>Result_notebook!L202</f>
        <v>0.83474576271186396</v>
      </c>
      <c r="O202" s="31">
        <f t="shared" si="17"/>
        <v>0</v>
      </c>
      <c r="P202" s="31">
        <f t="shared" si="18"/>
        <v>0</v>
      </c>
      <c r="Q202">
        <f t="shared" si="19"/>
        <v>0</v>
      </c>
    </row>
    <row r="203" spans="1:17" x14ac:dyDescent="0.35">
      <c r="A203">
        <v>2027</v>
      </c>
      <c r="B203" t="s">
        <v>7</v>
      </c>
      <c r="C203" t="s">
        <v>9</v>
      </c>
      <c r="D203" t="s">
        <v>16</v>
      </c>
      <c r="E203" t="s">
        <v>483</v>
      </c>
      <c r="F203" t="s">
        <v>81</v>
      </c>
      <c r="G203" s="31">
        <v>866407.3331157451</v>
      </c>
      <c r="H203" s="31">
        <v>494964</v>
      </c>
      <c r="I203" s="31">
        <v>260157.37839094709</v>
      </c>
      <c r="J203" s="32">
        <f t="shared" si="15"/>
        <v>153011.72330396794</v>
      </c>
      <c r="K203" s="31">
        <v>548900.25676595804</v>
      </c>
      <c r="L203" s="31">
        <v>606249.95472479798</v>
      </c>
      <c r="M203" s="32">
        <f t="shared" si="16"/>
        <v>453238.23142083001</v>
      </c>
      <c r="N203" s="33">
        <f>Result_notebook!L203</f>
        <v>0.83474576271186396</v>
      </c>
      <c r="O203" s="31">
        <f t="shared" si="17"/>
        <v>0</v>
      </c>
      <c r="P203" s="31">
        <f t="shared" si="18"/>
        <v>0</v>
      </c>
      <c r="Q203">
        <f t="shared" si="19"/>
        <v>153011.72330396794</v>
      </c>
    </row>
    <row r="204" spans="1:17" x14ac:dyDescent="0.35">
      <c r="A204">
        <v>2027</v>
      </c>
      <c r="B204" t="s">
        <v>7</v>
      </c>
      <c r="C204" t="s">
        <v>9</v>
      </c>
      <c r="D204" t="s">
        <v>18</v>
      </c>
      <c r="E204" t="s">
        <v>483</v>
      </c>
      <c r="F204" t="s">
        <v>85</v>
      </c>
      <c r="G204" s="31">
        <v>866407.3331157451</v>
      </c>
      <c r="H204" s="31">
        <v>590861.05072993715</v>
      </c>
      <c r="I204" s="31">
        <v>310561.70135852479</v>
      </c>
      <c r="J204" s="32">
        <f t="shared" si="15"/>
        <v>182657.05708976992</v>
      </c>
      <c r="K204" s="31">
        <v>453003.20603602089</v>
      </c>
      <c r="L204" s="31">
        <v>555845.63175722025</v>
      </c>
      <c r="M204" s="32">
        <f t="shared" si="16"/>
        <v>373188.57466745033</v>
      </c>
      <c r="N204" s="33">
        <f>Result_notebook!L204</f>
        <v>0.83474576271186396</v>
      </c>
      <c r="O204" s="31">
        <f t="shared" si="17"/>
        <v>0</v>
      </c>
      <c r="P204" s="31">
        <f t="shared" si="18"/>
        <v>0</v>
      </c>
      <c r="Q204">
        <f t="shared" si="19"/>
        <v>182657.05708976992</v>
      </c>
    </row>
    <row r="205" spans="1:17" x14ac:dyDescent="0.35">
      <c r="A205">
        <v>2027</v>
      </c>
      <c r="B205" t="s">
        <v>7</v>
      </c>
      <c r="C205" t="s">
        <v>9</v>
      </c>
      <c r="D205" t="s">
        <v>18</v>
      </c>
      <c r="E205" t="s">
        <v>483</v>
      </c>
      <c r="F205" t="s">
        <v>86</v>
      </c>
      <c r="G205" s="31">
        <v>866407.3331157451</v>
      </c>
      <c r="H205" s="31">
        <v>590861.05072993715</v>
      </c>
      <c r="I205" s="31">
        <v>310561.70135852479</v>
      </c>
      <c r="J205" s="32">
        <f t="shared" si="15"/>
        <v>182657.05708976992</v>
      </c>
      <c r="K205" s="31">
        <v>453003.20603602089</v>
      </c>
      <c r="L205" s="31">
        <v>555845.63175722025</v>
      </c>
      <c r="M205" s="32">
        <f t="shared" si="16"/>
        <v>373188.57466745033</v>
      </c>
      <c r="N205" s="33">
        <f>Result_notebook!L205</f>
        <v>0.83474576271186396</v>
      </c>
      <c r="O205" s="31">
        <f t="shared" si="17"/>
        <v>0</v>
      </c>
      <c r="P205" s="31">
        <f t="shared" si="18"/>
        <v>0</v>
      </c>
      <c r="Q205">
        <f t="shared" si="19"/>
        <v>182657.05708976992</v>
      </c>
    </row>
    <row r="206" spans="1:17" x14ac:dyDescent="0.35">
      <c r="A206">
        <v>2027</v>
      </c>
      <c r="B206" t="s">
        <v>7</v>
      </c>
      <c r="C206" t="s">
        <v>9</v>
      </c>
      <c r="D206" t="s">
        <v>18</v>
      </c>
      <c r="E206" t="s">
        <v>490</v>
      </c>
      <c r="F206" t="s">
        <v>82</v>
      </c>
      <c r="G206" s="31">
        <v>866407.3331157451</v>
      </c>
      <c r="H206" s="31">
        <v>590861.05072993715</v>
      </c>
      <c r="I206" s="31">
        <v>493218.758448295</v>
      </c>
      <c r="J206" s="32">
        <f t="shared" si="15"/>
        <v>0</v>
      </c>
      <c r="K206" s="31">
        <v>453003.20603602089</v>
      </c>
      <c r="L206" s="31">
        <v>373188.5746674501</v>
      </c>
      <c r="M206" s="32">
        <f t="shared" si="16"/>
        <v>373188.5746674501</v>
      </c>
      <c r="N206" s="33">
        <f>Result_notebook!L206</f>
        <v>0.83474576271186396</v>
      </c>
      <c r="O206" s="31">
        <f t="shared" si="17"/>
        <v>0</v>
      </c>
      <c r="P206" s="31">
        <f t="shared" si="18"/>
        <v>0</v>
      </c>
      <c r="Q206">
        <f t="shared" si="19"/>
        <v>0</v>
      </c>
    </row>
    <row r="207" spans="1:17" x14ac:dyDescent="0.35">
      <c r="A207">
        <v>2027</v>
      </c>
      <c r="B207" t="s">
        <v>7</v>
      </c>
      <c r="C207" t="s">
        <v>10</v>
      </c>
      <c r="D207" t="s">
        <v>16</v>
      </c>
      <c r="E207" t="s">
        <v>483</v>
      </c>
      <c r="F207" t="s">
        <v>80</v>
      </c>
      <c r="G207" s="31">
        <v>866145.78883753635</v>
      </c>
      <c r="H207" s="31">
        <v>0</v>
      </c>
      <c r="I207" s="31">
        <v>0</v>
      </c>
      <c r="J207" s="32">
        <f t="shared" si="15"/>
        <v>0</v>
      </c>
      <c r="K207" s="31">
        <v>1043549.1431777549</v>
      </c>
      <c r="L207" s="31">
        <v>866145.78883753635</v>
      </c>
      <c r="M207" s="32">
        <f t="shared" si="16"/>
        <v>866145.78883753635</v>
      </c>
      <c r="N207" s="33">
        <f>Result_notebook!L207</f>
        <v>0.83474576271186396</v>
      </c>
      <c r="O207" s="31">
        <f t="shared" si="17"/>
        <v>0</v>
      </c>
      <c r="P207" s="31">
        <f t="shared" si="18"/>
        <v>0</v>
      </c>
      <c r="Q207">
        <f t="shared" si="19"/>
        <v>0</v>
      </c>
    </row>
    <row r="208" spans="1:17" x14ac:dyDescent="0.35">
      <c r="A208">
        <v>2027</v>
      </c>
      <c r="B208" t="s">
        <v>7</v>
      </c>
      <c r="C208" t="s">
        <v>10</v>
      </c>
      <c r="D208" t="s">
        <v>16</v>
      </c>
      <c r="E208" t="s">
        <v>483</v>
      </c>
      <c r="F208" t="s">
        <v>81</v>
      </c>
      <c r="G208" s="31">
        <v>866145.78883753635</v>
      </c>
      <c r="H208" s="31">
        <v>494964</v>
      </c>
      <c r="I208" s="31">
        <v>260157.37839094709</v>
      </c>
      <c r="J208" s="32">
        <f t="shared" si="15"/>
        <v>153011.72330396794</v>
      </c>
      <c r="K208" s="31">
        <v>548585.14317775471</v>
      </c>
      <c r="L208" s="31">
        <v>605988.41044658923</v>
      </c>
      <c r="M208" s="32">
        <f t="shared" si="16"/>
        <v>452976.68714262126</v>
      </c>
      <c r="N208" s="33">
        <f>Result_notebook!L208</f>
        <v>0.83474576271186396</v>
      </c>
      <c r="O208" s="31">
        <f t="shared" si="17"/>
        <v>0</v>
      </c>
      <c r="P208" s="31">
        <f t="shared" si="18"/>
        <v>0</v>
      </c>
      <c r="Q208">
        <f t="shared" si="19"/>
        <v>153011.72330396794</v>
      </c>
    </row>
    <row r="209" spans="1:17" x14ac:dyDescent="0.35">
      <c r="A209">
        <v>2027</v>
      </c>
      <c r="B209" t="s">
        <v>7</v>
      </c>
      <c r="C209" t="s">
        <v>10</v>
      </c>
      <c r="D209" t="s">
        <v>18</v>
      </c>
      <c r="E209" t="s">
        <v>483</v>
      </c>
      <c r="F209" t="s">
        <v>85</v>
      </c>
      <c r="G209" s="31">
        <v>866145.78883753635</v>
      </c>
      <c r="H209" s="31">
        <v>590861.05072993715</v>
      </c>
      <c r="I209" s="31">
        <v>310561.70135852479</v>
      </c>
      <c r="J209" s="32">
        <f t="shared" si="15"/>
        <v>182657.05708976992</v>
      </c>
      <c r="K209" s="31">
        <v>452688.09244781762</v>
      </c>
      <c r="L209" s="31">
        <v>555584.08747901162</v>
      </c>
      <c r="M209" s="32">
        <f t="shared" si="16"/>
        <v>372927.0303892417</v>
      </c>
      <c r="N209" s="33">
        <f>Result_notebook!L209</f>
        <v>0.83474576271186396</v>
      </c>
      <c r="O209" s="31">
        <f t="shared" si="17"/>
        <v>0</v>
      </c>
      <c r="P209" s="31">
        <f t="shared" si="18"/>
        <v>0</v>
      </c>
      <c r="Q209">
        <f t="shared" si="19"/>
        <v>182657.05708976992</v>
      </c>
    </row>
    <row r="210" spans="1:17" x14ac:dyDescent="0.35">
      <c r="A210">
        <v>2027</v>
      </c>
      <c r="B210" t="s">
        <v>7</v>
      </c>
      <c r="C210" t="s">
        <v>10</v>
      </c>
      <c r="D210" t="s">
        <v>18</v>
      </c>
      <c r="E210" t="s">
        <v>483</v>
      </c>
      <c r="F210" t="s">
        <v>86</v>
      </c>
      <c r="G210" s="31">
        <v>866145.78883753635</v>
      </c>
      <c r="H210" s="31">
        <v>590861.05072993715</v>
      </c>
      <c r="I210" s="31">
        <v>310561.70135852479</v>
      </c>
      <c r="J210" s="32">
        <f t="shared" si="15"/>
        <v>182657.05708976992</v>
      </c>
      <c r="K210" s="31">
        <v>452688.09244781762</v>
      </c>
      <c r="L210" s="31">
        <v>555584.08747901162</v>
      </c>
      <c r="M210" s="32">
        <f t="shared" si="16"/>
        <v>372927.0303892417</v>
      </c>
      <c r="N210" s="33">
        <f>Result_notebook!L210</f>
        <v>0.83474576271186396</v>
      </c>
      <c r="O210" s="31">
        <f t="shared" si="17"/>
        <v>0</v>
      </c>
      <c r="P210" s="31">
        <f t="shared" si="18"/>
        <v>0</v>
      </c>
      <c r="Q210">
        <f t="shared" si="19"/>
        <v>182657.05708976992</v>
      </c>
    </row>
    <row r="211" spans="1:17" x14ac:dyDescent="0.35">
      <c r="A211">
        <v>2027</v>
      </c>
      <c r="B211" t="s">
        <v>7</v>
      </c>
      <c r="C211" t="s">
        <v>10</v>
      </c>
      <c r="D211" t="s">
        <v>18</v>
      </c>
      <c r="E211" t="s">
        <v>490</v>
      </c>
      <c r="F211" t="s">
        <v>82</v>
      </c>
      <c r="G211" s="31">
        <v>866145.78883753635</v>
      </c>
      <c r="H211" s="31">
        <v>590861.05072993715</v>
      </c>
      <c r="I211" s="31">
        <v>493218.758448295</v>
      </c>
      <c r="J211" s="32">
        <f t="shared" si="15"/>
        <v>0</v>
      </c>
      <c r="K211" s="31">
        <v>452688.09244781762</v>
      </c>
      <c r="L211" s="31">
        <v>372927.03038924141</v>
      </c>
      <c r="M211" s="32">
        <f t="shared" si="16"/>
        <v>372927.03038924141</v>
      </c>
      <c r="N211" s="33">
        <f>Result_notebook!L211</f>
        <v>0.83474576271186396</v>
      </c>
      <c r="O211" s="31">
        <f t="shared" si="17"/>
        <v>0</v>
      </c>
      <c r="P211" s="31">
        <f t="shared" si="18"/>
        <v>0</v>
      </c>
      <c r="Q211">
        <f t="shared" si="19"/>
        <v>0</v>
      </c>
    </row>
    <row r="212" spans="1:17" x14ac:dyDescent="0.35">
      <c r="A212">
        <v>2027</v>
      </c>
      <c r="B212" t="s">
        <v>11</v>
      </c>
      <c r="C212" t="s">
        <v>4</v>
      </c>
      <c r="D212" t="s">
        <v>16</v>
      </c>
      <c r="E212" t="s">
        <v>483</v>
      </c>
      <c r="F212" t="s">
        <v>80</v>
      </c>
      <c r="G212" s="31">
        <v>886.00915439887626</v>
      </c>
      <c r="H212" s="31">
        <v>0</v>
      </c>
      <c r="I212" s="31">
        <v>0</v>
      </c>
      <c r="J212" s="32">
        <f t="shared" si="15"/>
        <v>0</v>
      </c>
      <c r="K212" s="31">
        <v>1476.6819239981271</v>
      </c>
      <c r="L212" s="31">
        <v>886.00915439887626</v>
      </c>
      <c r="M212" s="32">
        <f t="shared" si="16"/>
        <v>886.00915439887626</v>
      </c>
      <c r="N212" s="33">
        <f>Result_notebook!L212</f>
        <v>1</v>
      </c>
      <c r="O212" s="31">
        <f t="shared" si="17"/>
        <v>0</v>
      </c>
      <c r="P212" s="31">
        <f t="shared" si="18"/>
        <v>0</v>
      </c>
      <c r="Q212">
        <f t="shared" si="19"/>
        <v>0</v>
      </c>
    </row>
    <row r="213" spans="1:17" x14ac:dyDescent="0.35">
      <c r="A213">
        <v>2027</v>
      </c>
      <c r="B213" t="s">
        <v>11</v>
      </c>
      <c r="C213" t="s">
        <v>4</v>
      </c>
      <c r="D213" t="s">
        <v>16</v>
      </c>
      <c r="E213" t="s">
        <v>483</v>
      </c>
      <c r="F213" t="s">
        <v>81</v>
      </c>
      <c r="G213" s="31">
        <v>886.00915439887626</v>
      </c>
      <c r="H213" s="31">
        <v>0</v>
      </c>
      <c r="I213" s="31">
        <v>0</v>
      </c>
      <c r="J213" s="32">
        <f t="shared" si="15"/>
        <v>0</v>
      </c>
      <c r="K213" s="31">
        <v>1476.6819239981271</v>
      </c>
      <c r="L213" s="31">
        <v>886.00915439887626</v>
      </c>
      <c r="M213" s="32">
        <f t="shared" si="16"/>
        <v>886.00915439887626</v>
      </c>
      <c r="N213" s="33">
        <f>Result_notebook!L213</f>
        <v>1</v>
      </c>
      <c r="O213" s="31">
        <f t="shared" si="17"/>
        <v>0</v>
      </c>
      <c r="P213" s="31">
        <f t="shared" si="18"/>
        <v>0</v>
      </c>
      <c r="Q213">
        <f t="shared" si="19"/>
        <v>0</v>
      </c>
    </row>
    <row r="214" spans="1:17" x14ac:dyDescent="0.35">
      <c r="A214">
        <v>2027</v>
      </c>
      <c r="B214" t="s">
        <v>11</v>
      </c>
      <c r="C214" t="s">
        <v>4</v>
      </c>
      <c r="D214" t="s">
        <v>18</v>
      </c>
      <c r="E214" t="s">
        <v>483</v>
      </c>
      <c r="F214" t="s">
        <v>85</v>
      </c>
      <c r="G214" s="31">
        <v>886.00915439887626</v>
      </c>
      <c r="H214" s="31">
        <v>5.395337211526285</v>
      </c>
      <c r="I214" s="31">
        <v>3.229346251882661</v>
      </c>
      <c r="J214" s="32">
        <f t="shared" si="15"/>
        <v>2.165990959643624</v>
      </c>
      <c r="K214" s="31">
        <v>1471.286586786601</v>
      </c>
      <c r="L214" s="31">
        <v>882.77980814699356</v>
      </c>
      <c r="M214" s="32">
        <f t="shared" si="16"/>
        <v>880.61381718734992</v>
      </c>
      <c r="N214" s="33">
        <f>Result_notebook!L214</f>
        <v>1</v>
      </c>
      <c r="O214" s="31">
        <f t="shared" si="17"/>
        <v>0</v>
      </c>
      <c r="P214" s="31">
        <f t="shared" si="18"/>
        <v>0</v>
      </c>
      <c r="Q214">
        <f t="shared" si="19"/>
        <v>2.165990959643624</v>
      </c>
    </row>
    <row r="215" spans="1:17" x14ac:dyDescent="0.35">
      <c r="A215">
        <v>2027</v>
      </c>
      <c r="B215" t="s">
        <v>11</v>
      </c>
      <c r="C215" t="s">
        <v>4</v>
      </c>
      <c r="D215" t="s">
        <v>18</v>
      </c>
      <c r="E215" t="s">
        <v>483</v>
      </c>
      <c r="F215" t="s">
        <v>86</v>
      </c>
      <c r="G215" s="31">
        <v>886.00915439887626</v>
      </c>
      <c r="H215" s="31">
        <v>5.395337211526285</v>
      </c>
      <c r="I215" s="31">
        <v>3.229346251882661</v>
      </c>
      <c r="J215" s="32">
        <f t="shared" si="15"/>
        <v>2.165990959643624</v>
      </c>
      <c r="K215" s="31">
        <v>1471.286586786601</v>
      </c>
      <c r="L215" s="31">
        <v>882.77980814699356</v>
      </c>
      <c r="M215" s="32">
        <f t="shared" si="16"/>
        <v>880.61381718734992</v>
      </c>
      <c r="N215" s="33">
        <f>Result_notebook!L215</f>
        <v>1</v>
      </c>
      <c r="O215" s="31">
        <f t="shared" si="17"/>
        <v>0</v>
      </c>
      <c r="P215" s="31">
        <f t="shared" si="18"/>
        <v>0</v>
      </c>
      <c r="Q215">
        <f t="shared" si="19"/>
        <v>2.165990959643624</v>
      </c>
    </row>
    <row r="216" spans="1:17" x14ac:dyDescent="0.35">
      <c r="A216">
        <v>2027</v>
      </c>
      <c r="B216" t="s">
        <v>11</v>
      </c>
      <c r="C216" t="s">
        <v>4</v>
      </c>
      <c r="D216" t="s">
        <v>18</v>
      </c>
      <c r="E216" t="s">
        <v>490</v>
      </c>
      <c r="F216" t="s">
        <v>82</v>
      </c>
      <c r="G216" s="31">
        <v>886.00915439887626</v>
      </c>
      <c r="H216" s="31">
        <v>5.395337211526285</v>
      </c>
      <c r="I216" s="31">
        <v>3.229346251882661</v>
      </c>
      <c r="J216" s="32">
        <f t="shared" si="15"/>
        <v>2.165990959643624</v>
      </c>
      <c r="K216" s="31">
        <v>1471.286586786601</v>
      </c>
      <c r="L216" s="31">
        <v>882.77980814699356</v>
      </c>
      <c r="M216" s="32">
        <f t="shared" si="16"/>
        <v>880.61381718734992</v>
      </c>
      <c r="N216" s="33">
        <f>Result_notebook!L216</f>
        <v>1</v>
      </c>
      <c r="O216" s="31">
        <f t="shared" si="17"/>
        <v>0</v>
      </c>
      <c r="P216" s="31">
        <f t="shared" si="18"/>
        <v>0</v>
      </c>
      <c r="Q216">
        <f t="shared" si="19"/>
        <v>2.165990959643624</v>
      </c>
    </row>
    <row r="217" spans="1:17" x14ac:dyDescent="0.35">
      <c r="A217">
        <v>2027</v>
      </c>
      <c r="B217" t="s">
        <v>11</v>
      </c>
      <c r="C217" t="s">
        <v>9</v>
      </c>
      <c r="D217" t="s">
        <v>16</v>
      </c>
      <c r="E217" t="s">
        <v>483</v>
      </c>
      <c r="F217" t="s">
        <v>80</v>
      </c>
      <c r="G217" s="31">
        <v>501.99193842105927</v>
      </c>
      <c r="H217" s="31">
        <v>0</v>
      </c>
      <c r="I217" s="31">
        <v>0</v>
      </c>
      <c r="J217" s="32">
        <f t="shared" si="15"/>
        <v>0</v>
      </c>
      <c r="K217" s="31">
        <v>836.65323070176544</v>
      </c>
      <c r="L217" s="31">
        <v>501.99193842105927</v>
      </c>
      <c r="M217" s="32">
        <f t="shared" si="16"/>
        <v>501.99193842105927</v>
      </c>
      <c r="N217" s="33">
        <f>Result_notebook!L217</f>
        <v>1</v>
      </c>
      <c r="O217" s="31">
        <f t="shared" si="17"/>
        <v>0</v>
      </c>
      <c r="P217" s="31">
        <f t="shared" si="18"/>
        <v>0</v>
      </c>
      <c r="Q217">
        <f t="shared" si="19"/>
        <v>0</v>
      </c>
    </row>
    <row r="218" spans="1:17" x14ac:dyDescent="0.35">
      <c r="A218">
        <v>2027</v>
      </c>
      <c r="B218" t="s">
        <v>11</v>
      </c>
      <c r="C218" t="s">
        <v>9</v>
      </c>
      <c r="D218" t="s">
        <v>16</v>
      </c>
      <c r="E218" t="s">
        <v>483</v>
      </c>
      <c r="F218" t="s">
        <v>81</v>
      </c>
      <c r="G218" s="31">
        <v>501.99193842105927</v>
      </c>
      <c r="H218" s="31">
        <v>0</v>
      </c>
      <c r="I218" s="31">
        <v>0</v>
      </c>
      <c r="J218" s="32">
        <f t="shared" si="15"/>
        <v>0</v>
      </c>
      <c r="K218" s="31">
        <v>836.65323070176544</v>
      </c>
      <c r="L218" s="31">
        <v>501.99193842105927</v>
      </c>
      <c r="M218" s="32">
        <f t="shared" si="16"/>
        <v>501.99193842105927</v>
      </c>
      <c r="N218" s="33">
        <f>Result_notebook!L218</f>
        <v>1</v>
      </c>
      <c r="O218" s="31">
        <f t="shared" si="17"/>
        <v>0</v>
      </c>
      <c r="P218" s="31">
        <f t="shared" si="18"/>
        <v>0</v>
      </c>
      <c r="Q218">
        <f t="shared" si="19"/>
        <v>0</v>
      </c>
    </row>
    <row r="219" spans="1:17" x14ac:dyDescent="0.35">
      <c r="A219">
        <v>2027</v>
      </c>
      <c r="B219" t="s">
        <v>11</v>
      </c>
      <c r="C219" t="s">
        <v>9</v>
      </c>
      <c r="D219" t="s">
        <v>18</v>
      </c>
      <c r="E219" t="s">
        <v>483</v>
      </c>
      <c r="F219" t="s">
        <v>85</v>
      </c>
      <c r="G219" s="31">
        <v>501.99193842105927</v>
      </c>
      <c r="H219" s="31">
        <v>5.395337211526285</v>
      </c>
      <c r="I219" s="31">
        <v>3.229346251882661</v>
      </c>
      <c r="J219" s="32">
        <f t="shared" si="15"/>
        <v>2.165990959643624</v>
      </c>
      <c r="K219" s="31">
        <v>831.2578934902391</v>
      </c>
      <c r="L219" s="31">
        <v>498.76259216917663</v>
      </c>
      <c r="M219" s="32">
        <f t="shared" si="16"/>
        <v>496.59660120953299</v>
      </c>
      <c r="N219" s="33">
        <f>Result_notebook!L219</f>
        <v>1</v>
      </c>
      <c r="O219" s="31">
        <f t="shared" si="17"/>
        <v>0</v>
      </c>
      <c r="P219" s="31">
        <f t="shared" si="18"/>
        <v>0</v>
      </c>
      <c r="Q219">
        <f t="shared" si="19"/>
        <v>2.165990959643624</v>
      </c>
    </row>
    <row r="220" spans="1:17" x14ac:dyDescent="0.35">
      <c r="A220">
        <v>2027</v>
      </c>
      <c r="B220" t="s">
        <v>11</v>
      </c>
      <c r="C220" t="s">
        <v>9</v>
      </c>
      <c r="D220" t="s">
        <v>18</v>
      </c>
      <c r="E220" t="s">
        <v>483</v>
      </c>
      <c r="F220" t="s">
        <v>86</v>
      </c>
      <c r="G220" s="31">
        <v>501.99193842105927</v>
      </c>
      <c r="H220" s="31">
        <v>5.395337211526285</v>
      </c>
      <c r="I220" s="31">
        <v>3.229346251882661</v>
      </c>
      <c r="J220" s="32">
        <f t="shared" si="15"/>
        <v>2.165990959643624</v>
      </c>
      <c r="K220" s="31">
        <v>831.2578934902391</v>
      </c>
      <c r="L220" s="31">
        <v>498.76259216917663</v>
      </c>
      <c r="M220" s="32">
        <f t="shared" si="16"/>
        <v>496.59660120953299</v>
      </c>
      <c r="N220" s="33">
        <f>Result_notebook!L220</f>
        <v>1</v>
      </c>
      <c r="O220" s="31">
        <f t="shared" si="17"/>
        <v>0</v>
      </c>
      <c r="P220" s="31">
        <f t="shared" si="18"/>
        <v>0</v>
      </c>
      <c r="Q220">
        <f t="shared" si="19"/>
        <v>2.165990959643624</v>
      </c>
    </row>
    <row r="221" spans="1:17" x14ac:dyDescent="0.35">
      <c r="A221">
        <v>2027</v>
      </c>
      <c r="B221" t="s">
        <v>11</v>
      </c>
      <c r="C221" t="s">
        <v>9</v>
      </c>
      <c r="D221" t="s">
        <v>18</v>
      </c>
      <c r="E221" t="s">
        <v>490</v>
      </c>
      <c r="F221" t="s">
        <v>82</v>
      </c>
      <c r="G221" s="31">
        <v>501.99193842105927</v>
      </c>
      <c r="H221" s="31">
        <v>5.395337211526285</v>
      </c>
      <c r="I221" s="31">
        <v>3.229346251882661</v>
      </c>
      <c r="J221" s="32">
        <f t="shared" si="15"/>
        <v>2.165990959643624</v>
      </c>
      <c r="K221" s="31">
        <v>831.2578934902391</v>
      </c>
      <c r="L221" s="31">
        <v>498.76259216917663</v>
      </c>
      <c r="M221" s="32">
        <f t="shared" si="16"/>
        <v>496.59660120953299</v>
      </c>
      <c r="N221" s="33">
        <f>Result_notebook!L221</f>
        <v>1</v>
      </c>
      <c r="O221" s="31">
        <f t="shared" si="17"/>
        <v>0</v>
      </c>
      <c r="P221" s="31">
        <f t="shared" si="18"/>
        <v>0</v>
      </c>
      <c r="Q221">
        <f t="shared" si="19"/>
        <v>2.165990959643624</v>
      </c>
    </row>
    <row r="222" spans="1:17" x14ac:dyDescent="0.35">
      <c r="A222">
        <v>2027</v>
      </c>
      <c r="B222" t="s">
        <v>11</v>
      </c>
      <c r="C222" t="s">
        <v>10</v>
      </c>
      <c r="D222" t="s">
        <v>16</v>
      </c>
      <c r="E222" t="s">
        <v>483</v>
      </c>
      <c r="F222" t="s">
        <v>80</v>
      </c>
      <c r="G222" s="31">
        <v>868.10490581569559</v>
      </c>
      <c r="H222" s="31">
        <v>0</v>
      </c>
      <c r="I222" s="31">
        <v>0</v>
      </c>
      <c r="J222" s="32">
        <f t="shared" si="15"/>
        <v>0</v>
      </c>
      <c r="K222" s="31">
        <v>1446.8415096928261</v>
      </c>
      <c r="L222" s="31">
        <v>868.10490581569559</v>
      </c>
      <c r="M222" s="32">
        <f t="shared" si="16"/>
        <v>868.10490581569559</v>
      </c>
      <c r="N222" s="33">
        <f>Result_notebook!L222</f>
        <v>1</v>
      </c>
      <c r="O222" s="31">
        <f t="shared" si="17"/>
        <v>0</v>
      </c>
      <c r="P222" s="31">
        <f t="shared" si="18"/>
        <v>0</v>
      </c>
      <c r="Q222">
        <f t="shared" si="19"/>
        <v>0</v>
      </c>
    </row>
    <row r="223" spans="1:17" x14ac:dyDescent="0.35">
      <c r="A223">
        <v>2027</v>
      </c>
      <c r="B223" t="s">
        <v>11</v>
      </c>
      <c r="C223" t="s">
        <v>10</v>
      </c>
      <c r="D223" t="s">
        <v>16</v>
      </c>
      <c r="E223" t="s">
        <v>483</v>
      </c>
      <c r="F223" t="s">
        <v>81</v>
      </c>
      <c r="G223" s="31">
        <v>868.10490581569559</v>
      </c>
      <c r="H223" s="31">
        <v>0</v>
      </c>
      <c r="I223" s="31">
        <v>0</v>
      </c>
      <c r="J223" s="32">
        <f t="shared" si="15"/>
        <v>0</v>
      </c>
      <c r="K223" s="31">
        <v>1446.8415096928261</v>
      </c>
      <c r="L223" s="31">
        <v>868.10490581569559</v>
      </c>
      <c r="M223" s="32">
        <f t="shared" si="16"/>
        <v>868.10490581569559</v>
      </c>
      <c r="N223" s="33">
        <f>Result_notebook!L223</f>
        <v>1</v>
      </c>
      <c r="O223" s="31">
        <f t="shared" si="17"/>
        <v>0</v>
      </c>
      <c r="P223" s="31">
        <f t="shared" si="18"/>
        <v>0</v>
      </c>
      <c r="Q223">
        <f t="shared" si="19"/>
        <v>0</v>
      </c>
    </row>
    <row r="224" spans="1:17" x14ac:dyDescent="0.35">
      <c r="A224">
        <v>2027</v>
      </c>
      <c r="B224" t="s">
        <v>11</v>
      </c>
      <c r="C224" t="s">
        <v>10</v>
      </c>
      <c r="D224" t="s">
        <v>18</v>
      </c>
      <c r="E224" t="s">
        <v>483</v>
      </c>
      <c r="F224" t="s">
        <v>85</v>
      </c>
      <c r="G224" s="31">
        <v>868.10490581569559</v>
      </c>
      <c r="H224" s="31">
        <v>5.395337211526285</v>
      </c>
      <c r="I224" s="31">
        <v>3.229346251882661</v>
      </c>
      <c r="J224" s="32">
        <f t="shared" si="15"/>
        <v>2.165990959643624</v>
      </c>
      <c r="K224" s="31">
        <v>1441.4461724813</v>
      </c>
      <c r="L224" s="31">
        <v>864.87555956381289</v>
      </c>
      <c r="M224" s="32">
        <f t="shared" si="16"/>
        <v>862.70956860416925</v>
      </c>
      <c r="N224" s="33">
        <f>Result_notebook!L224</f>
        <v>1</v>
      </c>
      <c r="O224" s="31">
        <f t="shared" si="17"/>
        <v>0</v>
      </c>
      <c r="P224" s="31">
        <f t="shared" si="18"/>
        <v>0</v>
      </c>
      <c r="Q224">
        <f t="shared" si="19"/>
        <v>2.165990959643624</v>
      </c>
    </row>
    <row r="225" spans="1:17" x14ac:dyDescent="0.35">
      <c r="A225">
        <v>2027</v>
      </c>
      <c r="B225" t="s">
        <v>11</v>
      </c>
      <c r="C225" t="s">
        <v>10</v>
      </c>
      <c r="D225" t="s">
        <v>18</v>
      </c>
      <c r="E225" t="s">
        <v>483</v>
      </c>
      <c r="F225" t="s">
        <v>86</v>
      </c>
      <c r="G225" s="31">
        <v>868.10490581569559</v>
      </c>
      <c r="H225" s="31">
        <v>5.395337211526285</v>
      </c>
      <c r="I225" s="31">
        <v>3.229346251882661</v>
      </c>
      <c r="J225" s="32">
        <f t="shared" si="15"/>
        <v>2.165990959643624</v>
      </c>
      <c r="K225" s="31">
        <v>1441.4461724813</v>
      </c>
      <c r="L225" s="31">
        <v>864.87555956381289</v>
      </c>
      <c r="M225" s="32">
        <f t="shared" si="16"/>
        <v>862.70956860416925</v>
      </c>
      <c r="N225" s="33">
        <f>Result_notebook!L225</f>
        <v>1</v>
      </c>
      <c r="O225" s="31">
        <f t="shared" si="17"/>
        <v>0</v>
      </c>
      <c r="P225" s="31">
        <f t="shared" si="18"/>
        <v>0</v>
      </c>
      <c r="Q225">
        <f t="shared" si="19"/>
        <v>2.165990959643624</v>
      </c>
    </row>
    <row r="226" spans="1:17" x14ac:dyDescent="0.35">
      <c r="A226">
        <v>2027</v>
      </c>
      <c r="B226" t="s">
        <v>11</v>
      </c>
      <c r="C226" t="s">
        <v>10</v>
      </c>
      <c r="D226" t="s">
        <v>18</v>
      </c>
      <c r="E226" t="s">
        <v>490</v>
      </c>
      <c r="F226" t="s">
        <v>82</v>
      </c>
      <c r="G226" s="31">
        <v>868.10490581569559</v>
      </c>
      <c r="H226" s="31">
        <v>5.395337211526285</v>
      </c>
      <c r="I226" s="31">
        <v>3.229346251882661</v>
      </c>
      <c r="J226" s="32">
        <f t="shared" si="15"/>
        <v>2.165990959643624</v>
      </c>
      <c r="K226" s="31">
        <v>1441.4461724813</v>
      </c>
      <c r="L226" s="31">
        <v>864.87555956381289</v>
      </c>
      <c r="M226" s="32">
        <f t="shared" si="16"/>
        <v>862.70956860416925</v>
      </c>
      <c r="N226" s="33">
        <f>Result_notebook!L226</f>
        <v>1</v>
      </c>
      <c r="O226" s="31">
        <f t="shared" si="17"/>
        <v>0</v>
      </c>
      <c r="P226" s="31">
        <f t="shared" si="18"/>
        <v>0</v>
      </c>
      <c r="Q226">
        <f t="shared" si="19"/>
        <v>2.165990959643624</v>
      </c>
    </row>
    <row r="227" spans="1:17" x14ac:dyDescent="0.35">
      <c r="A227">
        <v>2027</v>
      </c>
      <c r="B227" t="s">
        <v>8</v>
      </c>
      <c r="C227" t="s">
        <v>4</v>
      </c>
      <c r="D227" t="s">
        <v>16</v>
      </c>
      <c r="E227" t="s">
        <v>483</v>
      </c>
      <c r="F227" t="s">
        <v>80</v>
      </c>
      <c r="G227" s="31">
        <v>40022.174830153243</v>
      </c>
      <c r="H227" s="31">
        <v>0</v>
      </c>
      <c r="I227" s="31">
        <v>0</v>
      </c>
      <c r="J227" s="32">
        <f t="shared" si="15"/>
        <v>0</v>
      </c>
      <c r="K227" s="31">
        <v>50660.980797662327</v>
      </c>
      <c r="L227" s="31">
        <v>40022.174830153243</v>
      </c>
      <c r="M227" s="32">
        <f t="shared" si="16"/>
        <v>40022.174830153243</v>
      </c>
      <c r="N227" s="33">
        <f>Result_notebook!L227</f>
        <v>0.69917047091553897</v>
      </c>
      <c r="O227" s="31">
        <f t="shared" si="17"/>
        <v>0</v>
      </c>
      <c r="P227" s="31">
        <f t="shared" si="18"/>
        <v>0</v>
      </c>
      <c r="Q227">
        <f t="shared" si="19"/>
        <v>0</v>
      </c>
    </row>
    <row r="228" spans="1:17" x14ac:dyDescent="0.35">
      <c r="A228">
        <v>2027</v>
      </c>
      <c r="B228" t="s">
        <v>8</v>
      </c>
      <c r="C228" t="s">
        <v>4</v>
      </c>
      <c r="D228" t="s">
        <v>16</v>
      </c>
      <c r="E228" t="s">
        <v>483</v>
      </c>
      <c r="F228" t="s">
        <v>81</v>
      </c>
      <c r="G228" s="31">
        <v>40022.174830153243</v>
      </c>
      <c r="H228" s="31">
        <v>158544</v>
      </c>
      <c r="I228" s="31">
        <v>88924.165519559378</v>
      </c>
      <c r="J228" s="32">
        <f t="shared" si="15"/>
        <v>21925.117621273836</v>
      </c>
      <c r="K228" s="31">
        <v>0</v>
      </c>
      <c r="L228" s="31">
        <v>0</v>
      </c>
      <c r="M228" s="32">
        <f t="shared" si="16"/>
        <v>0</v>
      </c>
      <c r="N228" s="33">
        <f>Result_notebook!L228</f>
        <v>0.69917047091553897</v>
      </c>
      <c r="O228" s="31">
        <f t="shared" si="17"/>
        <v>-70827.108310679963</v>
      </c>
      <c r="P228" s="31">
        <f t="shared" si="18"/>
        <v>48901.990689406135</v>
      </c>
      <c r="Q228">
        <f t="shared" si="19"/>
        <v>21925.117621273836</v>
      </c>
    </row>
    <row r="229" spans="1:17" x14ac:dyDescent="0.35">
      <c r="A229">
        <v>2027</v>
      </c>
      <c r="B229" t="s">
        <v>8</v>
      </c>
      <c r="C229" t="s">
        <v>4</v>
      </c>
      <c r="D229" t="s">
        <v>18</v>
      </c>
      <c r="E229" t="s">
        <v>483</v>
      </c>
      <c r="F229" t="s">
        <v>85</v>
      </c>
      <c r="G229" s="31">
        <v>40022.174830153243</v>
      </c>
      <c r="H229" s="31">
        <v>215854</v>
      </c>
      <c r="I229" s="31">
        <v>121068.2007774433</v>
      </c>
      <c r="J229" s="32">
        <f t="shared" si="15"/>
        <v>29850.54205155946</v>
      </c>
      <c r="K229" s="31">
        <v>0</v>
      </c>
      <c r="L229" s="31">
        <v>0</v>
      </c>
      <c r="M229" s="32">
        <f t="shared" si="16"/>
        <v>0</v>
      </c>
      <c r="N229" s="33">
        <f>Result_notebook!L229</f>
        <v>0.69917047091553897</v>
      </c>
      <c r="O229" s="31">
        <f t="shared" si="17"/>
        <v>-110896.56799884952</v>
      </c>
      <c r="P229" s="31">
        <f t="shared" si="18"/>
        <v>81046.025947290065</v>
      </c>
      <c r="Q229">
        <f t="shared" si="19"/>
        <v>29850.54205155946</v>
      </c>
    </row>
    <row r="230" spans="1:17" x14ac:dyDescent="0.35">
      <c r="A230">
        <v>2027</v>
      </c>
      <c r="B230" t="s">
        <v>8</v>
      </c>
      <c r="C230" t="s">
        <v>4</v>
      </c>
      <c r="D230" t="s">
        <v>18</v>
      </c>
      <c r="E230" t="s">
        <v>483</v>
      </c>
      <c r="F230" t="s">
        <v>86</v>
      </c>
      <c r="G230" s="31">
        <v>40022.174830153243</v>
      </c>
      <c r="H230" s="31">
        <v>215854</v>
      </c>
      <c r="I230" s="31">
        <v>121068.2007774433</v>
      </c>
      <c r="J230" s="32">
        <f t="shared" si="15"/>
        <v>29850.54205155946</v>
      </c>
      <c r="K230" s="31">
        <v>0</v>
      </c>
      <c r="L230" s="31">
        <v>0</v>
      </c>
      <c r="M230" s="32">
        <f t="shared" si="16"/>
        <v>0</v>
      </c>
      <c r="N230" s="33">
        <f>Result_notebook!L230</f>
        <v>0.69917047091553897</v>
      </c>
      <c r="O230" s="31">
        <f t="shared" si="17"/>
        <v>-110896.56799884952</v>
      </c>
      <c r="P230" s="31">
        <f t="shared" si="18"/>
        <v>81046.025947290065</v>
      </c>
      <c r="Q230">
        <f t="shared" si="19"/>
        <v>29850.54205155946</v>
      </c>
    </row>
    <row r="231" spans="1:17" x14ac:dyDescent="0.35">
      <c r="A231">
        <v>2027</v>
      </c>
      <c r="B231" t="s">
        <v>8</v>
      </c>
      <c r="C231" t="s">
        <v>4</v>
      </c>
      <c r="D231" t="s">
        <v>18</v>
      </c>
      <c r="E231" t="s">
        <v>490</v>
      </c>
      <c r="F231" t="s">
        <v>82</v>
      </c>
      <c r="G231" s="31">
        <v>40022.174830153243</v>
      </c>
      <c r="H231" s="31">
        <v>215854</v>
      </c>
      <c r="I231" s="31">
        <v>169996.8962916405</v>
      </c>
      <c r="J231" s="32">
        <f t="shared" si="15"/>
        <v>-19078.15346263774</v>
      </c>
      <c r="K231" s="31">
        <v>0</v>
      </c>
      <c r="L231" s="31">
        <v>0</v>
      </c>
      <c r="M231" s="32">
        <f t="shared" si="16"/>
        <v>19078.15346263774</v>
      </c>
      <c r="N231" s="33">
        <f>Result_notebook!L231</f>
        <v>0.69917047091553897</v>
      </c>
      <c r="O231" s="31">
        <f t="shared" si="17"/>
        <v>-129974.72146148726</v>
      </c>
      <c r="P231" s="31">
        <f t="shared" si="18"/>
        <v>129974.72146148726</v>
      </c>
      <c r="Q231">
        <f t="shared" si="19"/>
        <v>-19078.15346263774</v>
      </c>
    </row>
    <row r="232" spans="1:17" x14ac:dyDescent="0.35">
      <c r="A232">
        <v>2027</v>
      </c>
      <c r="B232" t="s">
        <v>8</v>
      </c>
      <c r="C232" t="s">
        <v>9</v>
      </c>
      <c r="D232" t="s">
        <v>16</v>
      </c>
      <c r="E232" t="s">
        <v>483</v>
      </c>
      <c r="F232" t="s">
        <v>80</v>
      </c>
      <c r="G232" s="31">
        <v>28526.663384635151</v>
      </c>
      <c r="H232" s="31">
        <v>0</v>
      </c>
      <c r="I232" s="31">
        <v>0</v>
      </c>
      <c r="J232" s="32">
        <f t="shared" si="15"/>
        <v>0</v>
      </c>
      <c r="K232" s="31">
        <v>36109.700486879927</v>
      </c>
      <c r="L232" s="31">
        <v>28526.663384635151</v>
      </c>
      <c r="M232" s="32">
        <f t="shared" si="16"/>
        <v>28526.663384635151</v>
      </c>
      <c r="N232" s="33">
        <f>Result_notebook!L232</f>
        <v>0.69917047091553897</v>
      </c>
      <c r="O232" s="31">
        <f t="shared" si="17"/>
        <v>0</v>
      </c>
      <c r="P232" s="31">
        <f t="shared" si="18"/>
        <v>0</v>
      </c>
      <c r="Q232">
        <f t="shared" si="19"/>
        <v>0</v>
      </c>
    </row>
    <row r="233" spans="1:17" x14ac:dyDescent="0.35">
      <c r="A233">
        <v>2027</v>
      </c>
      <c r="B233" t="s">
        <v>8</v>
      </c>
      <c r="C233" t="s">
        <v>9</v>
      </c>
      <c r="D233" t="s">
        <v>16</v>
      </c>
      <c r="E233" t="s">
        <v>483</v>
      </c>
      <c r="F233" t="s">
        <v>81</v>
      </c>
      <c r="G233" s="31">
        <v>28526.663384635151</v>
      </c>
      <c r="H233" s="31">
        <v>158544</v>
      </c>
      <c r="I233" s="31">
        <v>88924.165519559378</v>
      </c>
      <c r="J233" s="32">
        <f t="shared" si="15"/>
        <v>21925.117621273836</v>
      </c>
      <c r="K233" s="31">
        <v>0</v>
      </c>
      <c r="L233" s="31">
        <v>0</v>
      </c>
      <c r="M233" s="32">
        <f t="shared" si="16"/>
        <v>0</v>
      </c>
      <c r="N233" s="33">
        <f>Result_notebook!L233</f>
        <v>0.69917047091553897</v>
      </c>
      <c r="O233" s="31">
        <f t="shared" si="17"/>
        <v>-82322.619756198066</v>
      </c>
      <c r="P233" s="31">
        <f t="shared" si="18"/>
        <v>60397.502134924231</v>
      </c>
      <c r="Q233">
        <f t="shared" si="19"/>
        <v>21925.117621273836</v>
      </c>
    </row>
    <row r="234" spans="1:17" x14ac:dyDescent="0.35">
      <c r="A234">
        <v>2027</v>
      </c>
      <c r="B234" t="s">
        <v>8</v>
      </c>
      <c r="C234" t="s">
        <v>9</v>
      </c>
      <c r="D234" t="s">
        <v>18</v>
      </c>
      <c r="E234" t="s">
        <v>483</v>
      </c>
      <c r="F234" t="s">
        <v>85</v>
      </c>
      <c r="G234" s="31">
        <v>28526.663384635151</v>
      </c>
      <c r="H234" s="31">
        <v>215854</v>
      </c>
      <c r="I234" s="31">
        <v>121068.2007774433</v>
      </c>
      <c r="J234" s="32">
        <f t="shared" si="15"/>
        <v>29850.54205155946</v>
      </c>
      <c r="K234" s="31">
        <v>0</v>
      </c>
      <c r="L234" s="31">
        <v>0</v>
      </c>
      <c r="M234" s="32">
        <f t="shared" si="16"/>
        <v>0</v>
      </c>
      <c r="N234" s="33">
        <f>Result_notebook!L234</f>
        <v>0.69917047091553897</v>
      </c>
      <c r="O234" s="31">
        <f t="shared" si="17"/>
        <v>-122392.07944436761</v>
      </c>
      <c r="P234" s="31">
        <f t="shared" si="18"/>
        <v>92541.537392808154</v>
      </c>
      <c r="Q234">
        <f t="shared" si="19"/>
        <v>29850.54205155946</v>
      </c>
    </row>
    <row r="235" spans="1:17" x14ac:dyDescent="0.35">
      <c r="A235">
        <v>2027</v>
      </c>
      <c r="B235" t="s">
        <v>8</v>
      </c>
      <c r="C235" t="s">
        <v>9</v>
      </c>
      <c r="D235" t="s">
        <v>18</v>
      </c>
      <c r="E235" t="s">
        <v>483</v>
      </c>
      <c r="F235" t="s">
        <v>86</v>
      </c>
      <c r="G235" s="31">
        <v>28526.663384635151</v>
      </c>
      <c r="H235" s="31">
        <v>215854</v>
      </c>
      <c r="I235" s="31">
        <v>121068.2007774433</v>
      </c>
      <c r="J235" s="32">
        <f t="shared" si="15"/>
        <v>29850.54205155946</v>
      </c>
      <c r="K235" s="31">
        <v>0</v>
      </c>
      <c r="L235" s="31">
        <v>0</v>
      </c>
      <c r="M235" s="32">
        <f t="shared" si="16"/>
        <v>0</v>
      </c>
      <c r="N235" s="33">
        <f>Result_notebook!L235</f>
        <v>0.69917047091553897</v>
      </c>
      <c r="O235" s="31">
        <f t="shared" si="17"/>
        <v>-122392.07944436761</v>
      </c>
      <c r="P235" s="31">
        <f t="shared" si="18"/>
        <v>92541.537392808154</v>
      </c>
      <c r="Q235">
        <f t="shared" si="19"/>
        <v>29850.54205155946</v>
      </c>
    </row>
    <row r="236" spans="1:17" x14ac:dyDescent="0.35">
      <c r="A236">
        <v>2027</v>
      </c>
      <c r="B236" t="s">
        <v>8</v>
      </c>
      <c r="C236" t="s">
        <v>9</v>
      </c>
      <c r="D236" t="s">
        <v>18</v>
      </c>
      <c r="E236" t="s">
        <v>490</v>
      </c>
      <c r="F236" t="s">
        <v>82</v>
      </c>
      <c r="G236" s="31">
        <v>28526.663384635151</v>
      </c>
      <c r="H236" s="31">
        <v>215854</v>
      </c>
      <c r="I236" s="31">
        <v>169996.8962916405</v>
      </c>
      <c r="J236" s="32">
        <f t="shared" si="15"/>
        <v>-19078.15346263774</v>
      </c>
      <c r="K236" s="31">
        <v>0</v>
      </c>
      <c r="L236" s="31">
        <v>0</v>
      </c>
      <c r="M236" s="32">
        <f t="shared" si="16"/>
        <v>19078.15346263774</v>
      </c>
      <c r="N236" s="33">
        <f>Result_notebook!L236</f>
        <v>0.69917047091553897</v>
      </c>
      <c r="O236" s="31">
        <f t="shared" si="17"/>
        <v>-141470.23290700535</v>
      </c>
      <c r="P236" s="31">
        <f t="shared" si="18"/>
        <v>141470.23290700535</v>
      </c>
      <c r="Q236">
        <f t="shared" si="19"/>
        <v>-19078.15346263774</v>
      </c>
    </row>
    <row r="237" spans="1:17" x14ac:dyDescent="0.35">
      <c r="A237">
        <v>2027</v>
      </c>
      <c r="B237" t="s">
        <v>8</v>
      </c>
      <c r="C237" t="s">
        <v>10</v>
      </c>
      <c r="D237" t="s">
        <v>16</v>
      </c>
      <c r="E237" t="s">
        <v>483</v>
      </c>
      <c r="F237" t="s">
        <v>80</v>
      </c>
      <c r="G237" s="31">
        <v>38588.959034560583</v>
      </c>
      <c r="H237" s="31">
        <v>0</v>
      </c>
      <c r="I237" s="31">
        <v>0</v>
      </c>
      <c r="J237" s="32">
        <f t="shared" si="15"/>
        <v>0</v>
      </c>
      <c r="K237" s="31">
        <v>48846.783588051367</v>
      </c>
      <c r="L237" s="31">
        <v>38588.959034560583</v>
      </c>
      <c r="M237" s="32">
        <f t="shared" si="16"/>
        <v>38588.959034560583</v>
      </c>
      <c r="N237" s="33">
        <f>Result_notebook!L237</f>
        <v>0.69917047091553897</v>
      </c>
      <c r="O237" s="31">
        <f t="shared" si="17"/>
        <v>0</v>
      </c>
      <c r="P237" s="31">
        <f t="shared" si="18"/>
        <v>0</v>
      </c>
      <c r="Q237">
        <f t="shared" si="19"/>
        <v>0</v>
      </c>
    </row>
    <row r="238" spans="1:17" x14ac:dyDescent="0.35">
      <c r="A238">
        <v>2027</v>
      </c>
      <c r="B238" t="s">
        <v>8</v>
      </c>
      <c r="C238" t="s">
        <v>10</v>
      </c>
      <c r="D238" t="s">
        <v>16</v>
      </c>
      <c r="E238" t="s">
        <v>483</v>
      </c>
      <c r="F238" t="s">
        <v>81</v>
      </c>
      <c r="G238" s="31">
        <v>38588.959034560583</v>
      </c>
      <c r="H238" s="31">
        <v>158544</v>
      </c>
      <c r="I238" s="31">
        <v>88924.165519559378</v>
      </c>
      <c r="J238" s="32">
        <f t="shared" si="15"/>
        <v>21925.117621273836</v>
      </c>
      <c r="K238" s="31">
        <v>0</v>
      </c>
      <c r="L238" s="31">
        <v>0</v>
      </c>
      <c r="M238" s="32">
        <f t="shared" si="16"/>
        <v>0</v>
      </c>
      <c r="N238" s="33">
        <f>Result_notebook!L238</f>
        <v>0.69917047091553897</v>
      </c>
      <c r="O238" s="31">
        <f t="shared" si="17"/>
        <v>-72260.32410627263</v>
      </c>
      <c r="P238" s="31">
        <f t="shared" si="18"/>
        <v>50335.206484998795</v>
      </c>
      <c r="Q238">
        <f t="shared" si="19"/>
        <v>21925.117621273836</v>
      </c>
    </row>
    <row r="239" spans="1:17" x14ac:dyDescent="0.35">
      <c r="A239">
        <v>2027</v>
      </c>
      <c r="B239" t="s">
        <v>8</v>
      </c>
      <c r="C239" t="s">
        <v>10</v>
      </c>
      <c r="D239" t="s">
        <v>18</v>
      </c>
      <c r="E239" t="s">
        <v>483</v>
      </c>
      <c r="F239" t="s">
        <v>85</v>
      </c>
      <c r="G239" s="31">
        <v>38588.959034560583</v>
      </c>
      <c r="H239" s="31">
        <v>215854</v>
      </c>
      <c r="I239" s="31">
        <v>121068.2007774433</v>
      </c>
      <c r="J239" s="32">
        <f t="shared" si="15"/>
        <v>29850.54205155946</v>
      </c>
      <c r="K239" s="31">
        <v>0</v>
      </c>
      <c r="L239" s="31">
        <v>0</v>
      </c>
      <c r="M239" s="32">
        <f t="shared" si="16"/>
        <v>0</v>
      </c>
      <c r="N239" s="33">
        <f>Result_notebook!L239</f>
        <v>0.69917047091553897</v>
      </c>
      <c r="O239" s="31">
        <f t="shared" si="17"/>
        <v>-112329.78379444218</v>
      </c>
      <c r="P239" s="31">
        <f t="shared" si="18"/>
        <v>82479.241742882718</v>
      </c>
      <c r="Q239">
        <f t="shared" si="19"/>
        <v>29850.54205155946</v>
      </c>
    </row>
    <row r="240" spans="1:17" x14ac:dyDescent="0.35">
      <c r="A240">
        <v>2027</v>
      </c>
      <c r="B240" t="s">
        <v>8</v>
      </c>
      <c r="C240" t="s">
        <v>10</v>
      </c>
      <c r="D240" t="s">
        <v>18</v>
      </c>
      <c r="E240" t="s">
        <v>483</v>
      </c>
      <c r="F240" t="s">
        <v>86</v>
      </c>
      <c r="G240" s="31">
        <v>38588.959034560583</v>
      </c>
      <c r="H240" s="31">
        <v>215854</v>
      </c>
      <c r="I240" s="31">
        <v>121068.2007774433</v>
      </c>
      <c r="J240" s="32">
        <f t="shared" si="15"/>
        <v>29850.54205155946</v>
      </c>
      <c r="K240" s="31">
        <v>0</v>
      </c>
      <c r="L240" s="31">
        <v>0</v>
      </c>
      <c r="M240" s="32">
        <f t="shared" si="16"/>
        <v>0</v>
      </c>
      <c r="N240" s="33">
        <f>Result_notebook!L240</f>
        <v>0.69917047091553897</v>
      </c>
      <c r="O240" s="31">
        <f t="shared" si="17"/>
        <v>-112329.78379444218</v>
      </c>
      <c r="P240" s="31">
        <f t="shared" si="18"/>
        <v>82479.241742882718</v>
      </c>
      <c r="Q240">
        <f t="shared" si="19"/>
        <v>29850.54205155946</v>
      </c>
    </row>
    <row r="241" spans="1:17" x14ac:dyDescent="0.35">
      <c r="A241">
        <v>2027</v>
      </c>
      <c r="B241" t="s">
        <v>8</v>
      </c>
      <c r="C241" t="s">
        <v>10</v>
      </c>
      <c r="D241" t="s">
        <v>18</v>
      </c>
      <c r="E241" t="s">
        <v>490</v>
      </c>
      <c r="F241" t="s">
        <v>82</v>
      </c>
      <c r="G241" s="31">
        <v>38588.959034560583</v>
      </c>
      <c r="H241" s="31">
        <v>215854</v>
      </c>
      <c r="I241" s="31">
        <v>169996.8962916405</v>
      </c>
      <c r="J241" s="32">
        <f t="shared" si="15"/>
        <v>-19078.15346263774</v>
      </c>
      <c r="K241" s="31">
        <v>0</v>
      </c>
      <c r="L241" s="31">
        <v>0</v>
      </c>
      <c r="M241" s="32">
        <f t="shared" si="16"/>
        <v>19078.15346263774</v>
      </c>
      <c r="N241" s="33">
        <f>Result_notebook!L241</f>
        <v>0.69917047091553897</v>
      </c>
      <c r="O241" s="31">
        <f t="shared" si="17"/>
        <v>-131407.93725707993</v>
      </c>
      <c r="P241" s="31">
        <f t="shared" si="18"/>
        <v>131407.93725707993</v>
      </c>
      <c r="Q241">
        <f t="shared" si="19"/>
        <v>-19078.15346263774</v>
      </c>
    </row>
    <row r="242" spans="1:17" x14ac:dyDescent="0.35">
      <c r="A242">
        <v>2027</v>
      </c>
      <c r="B242" t="s">
        <v>13</v>
      </c>
      <c r="C242" t="s">
        <v>4</v>
      </c>
      <c r="D242" t="s">
        <v>16</v>
      </c>
      <c r="E242" t="s">
        <v>483</v>
      </c>
      <c r="F242" t="s">
        <v>80</v>
      </c>
      <c r="G242" s="31">
        <v>870.72588738825675</v>
      </c>
      <c r="H242" s="31">
        <v>0</v>
      </c>
      <c r="I242" s="31">
        <v>0</v>
      </c>
      <c r="J242" s="32">
        <f t="shared" si="15"/>
        <v>0</v>
      </c>
      <c r="K242" s="31">
        <v>870.72588738825675</v>
      </c>
      <c r="L242" s="31">
        <v>870.72588738825675</v>
      </c>
      <c r="M242" s="32">
        <f t="shared" si="16"/>
        <v>870.72588738825675</v>
      </c>
      <c r="N242" s="33">
        <f>Result_notebook!L242</f>
        <v>0.59854391398996798</v>
      </c>
      <c r="O242" s="31">
        <f t="shared" si="17"/>
        <v>0</v>
      </c>
      <c r="P242" s="31">
        <f t="shared" si="18"/>
        <v>0</v>
      </c>
      <c r="Q242">
        <f t="shared" si="19"/>
        <v>0</v>
      </c>
    </row>
    <row r="243" spans="1:17" x14ac:dyDescent="0.35">
      <c r="A243">
        <v>2027</v>
      </c>
      <c r="B243" t="s">
        <v>13</v>
      </c>
      <c r="C243" t="s">
        <v>4</v>
      </c>
      <c r="D243" t="s">
        <v>16</v>
      </c>
      <c r="E243" t="s">
        <v>483</v>
      </c>
      <c r="F243" t="s">
        <v>81</v>
      </c>
      <c r="G243" s="31">
        <v>870.72588738825675</v>
      </c>
      <c r="H243" s="31">
        <v>0</v>
      </c>
      <c r="I243" s="31">
        <v>0</v>
      </c>
      <c r="J243" s="32">
        <f t="shared" si="15"/>
        <v>0</v>
      </c>
      <c r="K243" s="31">
        <v>870.72588738825675</v>
      </c>
      <c r="L243" s="31">
        <v>870.72588738825675</v>
      </c>
      <c r="M243" s="32">
        <f t="shared" si="16"/>
        <v>870.72588738825675</v>
      </c>
      <c r="N243" s="33">
        <f>Result_notebook!L243</f>
        <v>0.59854391398996798</v>
      </c>
      <c r="O243" s="31">
        <f t="shared" si="17"/>
        <v>0</v>
      </c>
      <c r="P243" s="31">
        <f t="shared" si="18"/>
        <v>0</v>
      </c>
      <c r="Q243">
        <f t="shared" si="19"/>
        <v>0</v>
      </c>
    </row>
    <row r="244" spans="1:17" x14ac:dyDescent="0.35">
      <c r="A244">
        <v>2027</v>
      </c>
      <c r="B244" t="s">
        <v>13</v>
      </c>
      <c r="C244" t="s">
        <v>4</v>
      </c>
      <c r="D244" t="s">
        <v>18</v>
      </c>
      <c r="E244" t="s">
        <v>483</v>
      </c>
      <c r="F244" t="s">
        <v>85</v>
      </c>
      <c r="G244" s="31">
        <v>870.72588738825675</v>
      </c>
      <c r="H244" s="31">
        <v>99778</v>
      </c>
      <c r="I244" s="31">
        <v>32926.74</v>
      </c>
      <c r="J244" s="32">
        <f t="shared" si="15"/>
        <v>26794.774650091029</v>
      </c>
      <c r="K244" s="31">
        <v>0</v>
      </c>
      <c r="L244" s="31">
        <v>0</v>
      </c>
      <c r="M244" s="32">
        <f t="shared" si="16"/>
        <v>0</v>
      </c>
      <c r="N244" s="33">
        <f>Result_notebook!L244</f>
        <v>0.59854391398996798</v>
      </c>
      <c r="O244" s="31">
        <f t="shared" si="17"/>
        <v>-58850.788762702767</v>
      </c>
      <c r="P244" s="31">
        <f t="shared" si="18"/>
        <v>32056.014112611741</v>
      </c>
      <c r="Q244">
        <f t="shared" si="19"/>
        <v>26794.774650091029</v>
      </c>
    </row>
    <row r="245" spans="1:17" x14ac:dyDescent="0.35">
      <c r="A245">
        <v>2027</v>
      </c>
      <c r="B245" t="s">
        <v>13</v>
      </c>
      <c r="C245" t="s">
        <v>4</v>
      </c>
      <c r="D245" t="s">
        <v>18</v>
      </c>
      <c r="E245" t="s">
        <v>483</v>
      </c>
      <c r="F245" t="s">
        <v>86</v>
      </c>
      <c r="G245" s="31">
        <v>870.72588738825675</v>
      </c>
      <c r="H245" s="31">
        <v>99778</v>
      </c>
      <c r="I245" s="31">
        <v>32926.74</v>
      </c>
      <c r="J245" s="32">
        <f t="shared" si="15"/>
        <v>26794.774650091029</v>
      </c>
      <c r="K245" s="31">
        <v>0</v>
      </c>
      <c r="L245" s="31">
        <v>0</v>
      </c>
      <c r="M245" s="32">
        <f t="shared" si="16"/>
        <v>0</v>
      </c>
      <c r="N245" s="33">
        <f>Result_notebook!L245</f>
        <v>0.59854391398996798</v>
      </c>
      <c r="O245" s="31">
        <f t="shared" si="17"/>
        <v>-58850.788762702767</v>
      </c>
      <c r="P245" s="31">
        <f t="shared" si="18"/>
        <v>32056.014112611741</v>
      </c>
      <c r="Q245">
        <f t="shared" si="19"/>
        <v>26794.774650091029</v>
      </c>
    </row>
    <row r="246" spans="1:17" x14ac:dyDescent="0.35">
      <c r="A246">
        <v>2027</v>
      </c>
      <c r="B246" t="s">
        <v>13</v>
      </c>
      <c r="C246" t="s">
        <v>4</v>
      </c>
      <c r="D246" t="s">
        <v>18</v>
      </c>
      <c r="E246" t="s">
        <v>490</v>
      </c>
      <c r="F246" t="s">
        <v>82</v>
      </c>
      <c r="G246" s="31">
        <v>870.72588738825675</v>
      </c>
      <c r="H246" s="31">
        <v>99778</v>
      </c>
      <c r="I246" s="31">
        <v>32926.74</v>
      </c>
      <c r="J246" s="32">
        <f t="shared" si="15"/>
        <v>26794.774650091029</v>
      </c>
      <c r="K246" s="31">
        <v>0</v>
      </c>
      <c r="L246" s="31">
        <v>0</v>
      </c>
      <c r="M246" s="32">
        <f t="shared" si="16"/>
        <v>0</v>
      </c>
      <c r="N246" s="33">
        <f>Result_notebook!L246</f>
        <v>0.59854391398996798</v>
      </c>
      <c r="O246" s="31">
        <f t="shared" si="17"/>
        <v>-58850.788762702767</v>
      </c>
      <c r="P246" s="31">
        <f t="shared" si="18"/>
        <v>32056.014112611741</v>
      </c>
      <c r="Q246">
        <f t="shared" si="19"/>
        <v>26794.774650091029</v>
      </c>
    </row>
    <row r="247" spans="1:17" x14ac:dyDescent="0.35">
      <c r="A247">
        <v>2027</v>
      </c>
      <c r="B247" t="s">
        <v>13</v>
      </c>
      <c r="C247" t="s">
        <v>9</v>
      </c>
      <c r="D247" t="s">
        <v>16</v>
      </c>
      <c r="E247" t="s">
        <v>483</v>
      </c>
      <c r="F247" t="s">
        <v>80</v>
      </c>
      <c r="G247" s="31">
        <v>569.42699750073166</v>
      </c>
      <c r="H247" s="31">
        <v>0</v>
      </c>
      <c r="I247" s="31">
        <v>0</v>
      </c>
      <c r="J247" s="32">
        <f t="shared" si="15"/>
        <v>0</v>
      </c>
      <c r="K247" s="31">
        <v>569.42699750073166</v>
      </c>
      <c r="L247" s="31">
        <v>569.42699750073166</v>
      </c>
      <c r="M247" s="32">
        <f t="shared" si="16"/>
        <v>569.42699750073166</v>
      </c>
      <c r="N247" s="33">
        <f>Result_notebook!L247</f>
        <v>0.59854391398996798</v>
      </c>
      <c r="O247" s="31">
        <f t="shared" si="17"/>
        <v>0</v>
      </c>
      <c r="P247" s="31">
        <f t="shared" si="18"/>
        <v>0</v>
      </c>
      <c r="Q247">
        <f t="shared" si="19"/>
        <v>0</v>
      </c>
    </row>
    <row r="248" spans="1:17" x14ac:dyDescent="0.35">
      <c r="A248">
        <v>2027</v>
      </c>
      <c r="B248" t="s">
        <v>13</v>
      </c>
      <c r="C248" t="s">
        <v>9</v>
      </c>
      <c r="D248" t="s">
        <v>16</v>
      </c>
      <c r="E248" t="s">
        <v>483</v>
      </c>
      <c r="F248" t="s">
        <v>81</v>
      </c>
      <c r="G248" s="31">
        <v>569.42699750073166</v>
      </c>
      <c r="H248" s="31">
        <v>0</v>
      </c>
      <c r="I248" s="31">
        <v>0</v>
      </c>
      <c r="J248" s="32">
        <f t="shared" si="15"/>
        <v>0</v>
      </c>
      <c r="K248" s="31">
        <v>569.42699750073166</v>
      </c>
      <c r="L248" s="31">
        <v>569.42699750073166</v>
      </c>
      <c r="M248" s="32">
        <f t="shared" si="16"/>
        <v>569.42699750073166</v>
      </c>
      <c r="N248" s="33">
        <f>Result_notebook!L248</f>
        <v>0.59854391398996798</v>
      </c>
      <c r="O248" s="31">
        <f t="shared" si="17"/>
        <v>0</v>
      </c>
      <c r="P248" s="31">
        <f t="shared" si="18"/>
        <v>0</v>
      </c>
      <c r="Q248">
        <f t="shared" si="19"/>
        <v>0</v>
      </c>
    </row>
    <row r="249" spans="1:17" x14ac:dyDescent="0.35">
      <c r="A249">
        <v>2027</v>
      </c>
      <c r="B249" t="s">
        <v>13</v>
      </c>
      <c r="C249" t="s">
        <v>9</v>
      </c>
      <c r="D249" t="s">
        <v>18</v>
      </c>
      <c r="E249" t="s">
        <v>483</v>
      </c>
      <c r="F249" t="s">
        <v>85</v>
      </c>
      <c r="G249" s="31">
        <v>569.42699750073166</v>
      </c>
      <c r="H249" s="31">
        <v>99778</v>
      </c>
      <c r="I249" s="31">
        <v>32926.74</v>
      </c>
      <c r="J249" s="32">
        <f t="shared" si="15"/>
        <v>26794.774650091029</v>
      </c>
      <c r="K249" s="31">
        <v>0</v>
      </c>
      <c r="L249" s="31">
        <v>0</v>
      </c>
      <c r="M249" s="32">
        <f t="shared" si="16"/>
        <v>0</v>
      </c>
      <c r="N249" s="33">
        <f>Result_notebook!L249</f>
        <v>0.59854391398996798</v>
      </c>
      <c r="O249" s="31">
        <f t="shared" si="17"/>
        <v>-59152.087652590293</v>
      </c>
      <c r="P249" s="31">
        <f t="shared" si="18"/>
        <v>32357.313002499268</v>
      </c>
      <c r="Q249">
        <f t="shared" si="19"/>
        <v>26794.774650091029</v>
      </c>
    </row>
    <row r="250" spans="1:17" x14ac:dyDescent="0.35">
      <c r="A250">
        <v>2027</v>
      </c>
      <c r="B250" t="s">
        <v>13</v>
      </c>
      <c r="C250" t="s">
        <v>9</v>
      </c>
      <c r="D250" t="s">
        <v>18</v>
      </c>
      <c r="E250" t="s">
        <v>483</v>
      </c>
      <c r="F250" t="s">
        <v>86</v>
      </c>
      <c r="G250" s="31">
        <v>569.42699750073166</v>
      </c>
      <c r="H250" s="31">
        <v>99778</v>
      </c>
      <c r="I250" s="31">
        <v>32926.74</v>
      </c>
      <c r="J250" s="32">
        <f t="shared" si="15"/>
        <v>26794.774650091029</v>
      </c>
      <c r="K250" s="31">
        <v>0</v>
      </c>
      <c r="L250" s="31">
        <v>0</v>
      </c>
      <c r="M250" s="32">
        <f t="shared" si="16"/>
        <v>0</v>
      </c>
      <c r="N250" s="33">
        <f>Result_notebook!L250</f>
        <v>0.59854391398996798</v>
      </c>
      <c r="O250" s="31">
        <f t="shared" si="17"/>
        <v>-59152.087652590293</v>
      </c>
      <c r="P250" s="31">
        <f t="shared" si="18"/>
        <v>32357.313002499268</v>
      </c>
      <c r="Q250">
        <f t="shared" si="19"/>
        <v>26794.774650091029</v>
      </c>
    </row>
    <row r="251" spans="1:17" x14ac:dyDescent="0.35">
      <c r="A251">
        <v>2027</v>
      </c>
      <c r="B251" t="s">
        <v>13</v>
      </c>
      <c r="C251" t="s">
        <v>9</v>
      </c>
      <c r="D251" t="s">
        <v>18</v>
      </c>
      <c r="E251" t="s">
        <v>490</v>
      </c>
      <c r="F251" t="s">
        <v>82</v>
      </c>
      <c r="G251" s="31">
        <v>569.42699750073166</v>
      </c>
      <c r="H251" s="31">
        <v>99778</v>
      </c>
      <c r="I251" s="31">
        <v>32926.74</v>
      </c>
      <c r="J251" s="32">
        <f t="shared" si="15"/>
        <v>26794.774650091029</v>
      </c>
      <c r="K251" s="31">
        <v>0</v>
      </c>
      <c r="L251" s="31">
        <v>0</v>
      </c>
      <c r="M251" s="32">
        <f t="shared" si="16"/>
        <v>0</v>
      </c>
      <c r="N251" s="33">
        <f>Result_notebook!L251</f>
        <v>0.59854391398996798</v>
      </c>
      <c r="O251" s="31">
        <f t="shared" si="17"/>
        <v>-59152.087652590293</v>
      </c>
      <c r="P251" s="31">
        <f t="shared" si="18"/>
        <v>32357.313002499268</v>
      </c>
      <c r="Q251">
        <f t="shared" si="19"/>
        <v>26794.774650091029</v>
      </c>
    </row>
    <row r="252" spans="1:17" x14ac:dyDescent="0.35">
      <c r="A252">
        <v>2027</v>
      </c>
      <c r="B252" t="s">
        <v>13</v>
      </c>
      <c r="C252" t="s">
        <v>10</v>
      </c>
      <c r="D252" t="s">
        <v>16</v>
      </c>
      <c r="E252" t="s">
        <v>483</v>
      </c>
      <c r="F252" t="s">
        <v>80</v>
      </c>
      <c r="G252" s="31">
        <v>850.41647256917656</v>
      </c>
      <c r="H252" s="31">
        <v>0</v>
      </c>
      <c r="I252" s="31">
        <v>0</v>
      </c>
      <c r="J252" s="32">
        <f t="shared" si="15"/>
        <v>0</v>
      </c>
      <c r="K252" s="31">
        <v>850.41647256917656</v>
      </c>
      <c r="L252" s="31">
        <v>850.41647256917656</v>
      </c>
      <c r="M252" s="32">
        <f t="shared" si="16"/>
        <v>850.41647256917656</v>
      </c>
      <c r="N252" s="33">
        <f>Result_notebook!L252</f>
        <v>0.59854391398996798</v>
      </c>
      <c r="O252" s="31">
        <f t="shared" si="17"/>
        <v>0</v>
      </c>
      <c r="P252" s="31">
        <f t="shared" si="18"/>
        <v>0</v>
      </c>
      <c r="Q252">
        <f t="shared" si="19"/>
        <v>0</v>
      </c>
    </row>
    <row r="253" spans="1:17" x14ac:dyDescent="0.35">
      <c r="A253">
        <v>2027</v>
      </c>
      <c r="B253" t="s">
        <v>13</v>
      </c>
      <c r="C253" t="s">
        <v>10</v>
      </c>
      <c r="D253" t="s">
        <v>16</v>
      </c>
      <c r="E253" t="s">
        <v>483</v>
      </c>
      <c r="F253" t="s">
        <v>81</v>
      </c>
      <c r="G253" s="31">
        <v>850.41647256917656</v>
      </c>
      <c r="H253" s="31">
        <v>0</v>
      </c>
      <c r="I253" s="31">
        <v>0</v>
      </c>
      <c r="J253" s="32">
        <f t="shared" si="15"/>
        <v>0</v>
      </c>
      <c r="K253" s="31">
        <v>850.41647256917656</v>
      </c>
      <c r="L253" s="31">
        <v>850.41647256917656</v>
      </c>
      <c r="M253" s="32">
        <f t="shared" si="16"/>
        <v>850.41647256917656</v>
      </c>
      <c r="N253" s="33">
        <f>Result_notebook!L253</f>
        <v>0.59854391398996798</v>
      </c>
      <c r="O253" s="31">
        <f t="shared" si="17"/>
        <v>0</v>
      </c>
      <c r="P253" s="31">
        <f t="shared" si="18"/>
        <v>0</v>
      </c>
      <c r="Q253">
        <f t="shared" si="19"/>
        <v>0</v>
      </c>
    </row>
    <row r="254" spans="1:17" x14ac:dyDescent="0.35">
      <c r="A254">
        <v>2027</v>
      </c>
      <c r="B254" t="s">
        <v>13</v>
      </c>
      <c r="C254" t="s">
        <v>10</v>
      </c>
      <c r="D254" t="s">
        <v>18</v>
      </c>
      <c r="E254" t="s">
        <v>483</v>
      </c>
      <c r="F254" t="s">
        <v>85</v>
      </c>
      <c r="G254" s="31">
        <v>850.41647256917656</v>
      </c>
      <c r="H254" s="31">
        <v>99778</v>
      </c>
      <c r="I254" s="31">
        <v>32926.74</v>
      </c>
      <c r="J254" s="32">
        <f t="shared" si="15"/>
        <v>26794.774650091029</v>
      </c>
      <c r="K254" s="31">
        <v>0</v>
      </c>
      <c r="L254" s="31">
        <v>0</v>
      </c>
      <c r="M254" s="32">
        <f t="shared" si="16"/>
        <v>0</v>
      </c>
      <c r="N254" s="33">
        <f>Result_notebook!L254</f>
        <v>0.59854391398996798</v>
      </c>
      <c r="O254" s="31">
        <f t="shared" si="17"/>
        <v>-58871.098177521853</v>
      </c>
      <c r="P254" s="31">
        <f t="shared" si="18"/>
        <v>32076.323527430821</v>
      </c>
      <c r="Q254">
        <f t="shared" si="19"/>
        <v>26794.774650091029</v>
      </c>
    </row>
    <row r="255" spans="1:17" x14ac:dyDescent="0.35">
      <c r="A255">
        <v>2027</v>
      </c>
      <c r="B255" t="s">
        <v>13</v>
      </c>
      <c r="C255" t="s">
        <v>10</v>
      </c>
      <c r="D255" t="s">
        <v>18</v>
      </c>
      <c r="E255" t="s">
        <v>483</v>
      </c>
      <c r="F255" t="s">
        <v>86</v>
      </c>
      <c r="G255" s="31">
        <v>850.41647256917656</v>
      </c>
      <c r="H255" s="31">
        <v>99778</v>
      </c>
      <c r="I255" s="31">
        <v>32926.74</v>
      </c>
      <c r="J255" s="32">
        <f t="shared" si="15"/>
        <v>26794.774650091029</v>
      </c>
      <c r="K255" s="31">
        <v>0</v>
      </c>
      <c r="L255" s="31">
        <v>0</v>
      </c>
      <c r="M255" s="32">
        <f t="shared" si="16"/>
        <v>0</v>
      </c>
      <c r="N255" s="33">
        <f>Result_notebook!L255</f>
        <v>0.59854391398996798</v>
      </c>
      <c r="O255" s="31">
        <f t="shared" si="17"/>
        <v>-58871.098177521853</v>
      </c>
      <c r="P255" s="31">
        <f t="shared" si="18"/>
        <v>32076.323527430821</v>
      </c>
      <c r="Q255">
        <f t="shared" si="19"/>
        <v>26794.774650091029</v>
      </c>
    </row>
    <row r="256" spans="1:17" x14ac:dyDescent="0.35">
      <c r="A256">
        <v>2027</v>
      </c>
      <c r="B256" t="s">
        <v>13</v>
      </c>
      <c r="C256" t="s">
        <v>10</v>
      </c>
      <c r="D256" t="s">
        <v>18</v>
      </c>
      <c r="E256" t="s">
        <v>490</v>
      </c>
      <c r="F256" t="s">
        <v>82</v>
      </c>
      <c r="G256" s="31">
        <v>850.41647256917656</v>
      </c>
      <c r="H256" s="31">
        <v>99778</v>
      </c>
      <c r="I256" s="31">
        <v>32926.74</v>
      </c>
      <c r="J256" s="32">
        <f t="shared" si="15"/>
        <v>26794.774650091029</v>
      </c>
      <c r="K256" s="31">
        <v>0</v>
      </c>
      <c r="L256" s="31">
        <v>0</v>
      </c>
      <c r="M256" s="32">
        <f t="shared" si="16"/>
        <v>0</v>
      </c>
      <c r="N256" s="33">
        <f>Result_notebook!L256</f>
        <v>0.59854391398996798</v>
      </c>
      <c r="O256" s="31">
        <f t="shared" si="17"/>
        <v>-58871.098177521853</v>
      </c>
      <c r="P256" s="31">
        <f t="shared" si="18"/>
        <v>32076.323527430821</v>
      </c>
      <c r="Q256">
        <f t="shared" si="19"/>
        <v>26794.774650091029</v>
      </c>
    </row>
    <row r="257" spans="1:17" x14ac:dyDescent="0.35">
      <c r="A257">
        <v>2027</v>
      </c>
      <c r="B257" t="s">
        <v>12</v>
      </c>
      <c r="C257" t="s">
        <v>4</v>
      </c>
      <c r="D257" t="s">
        <v>16</v>
      </c>
      <c r="E257" t="s">
        <v>483</v>
      </c>
      <c r="F257" t="s">
        <v>80</v>
      </c>
      <c r="G257" s="31">
        <v>13737.544328976641</v>
      </c>
      <c r="H257" s="31">
        <v>0</v>
      </c>
      <c r="I257" s="31">
        <v>0</v>
      </c>
      <c r="J257" s="32">
        <f t="shared" si="15"/>
        <v>0</v>
      </c>
      <c r="K257" s="31">
        <v>19625.063327109488</v>
      </c>
      <c r="L257" s="31">
        <v>13737.544328976641</v>
      </c>
      <c r="M257" s="32">
        <f t="shared" si="16"/>
        <v>13737.544328976641</v>
      </c>
      <c r="N257" s="33">
        <f>Result_notebook!L257</f>
        <v>0.787554996857322</v>
      </c>
      <c r="O257" s="31">
        <f t="shared" si="17"/>
        <v>0</v>
      </c>
      <c r="P257" s="31">
        <f t="shared" si="18"/>
        <v>0</v>
      </c>
      <c r="Q257">
        <f t="shared" si="19"/>
        <v>0</v>
      </c>
    </row>
    <row r="258" spans="1:17" x14ac:dyDescent="0.35">
      <c r="A258">
        <v>2027</v>
      </c>
      <c r="B258" t="s">
        <v>12</v>
      </c>
      <c r="C258" t="s">
        <v>4</v>
      </c>
      <c r="D258" t="s">
        <v>16</v>
      </c>
      <c r="E258" t="s">
        <v>483</v>
      </c>
      <c r="F258" t="s">
        <v>81</v>
      </c>
      <c r="G258" s="31">
        <v>13737.544328976641</v>
      </c>
      <c r="H258" s="31">
        <v>41682</v>
      </c>
      <c r="I258" s="31">
        <v>29142.8235687015</v>
      </c>
      <c r="J258" s="32">
        <f t="shared" si="15"/>
        <v>3684.043810305393</v>
      </c>
      <c r="K258" s="31">
        <v>0</v>
      </c>
      <c r="L258" s="31">
        <v>0</v>
      </c>
      <c r="M258" s="32">
        <f t="shared" si="16"/>
        <v>0</v>
      </c>
      <c r="N258" s="33">
        <f>Result_notebook!L258</f>
        <v>0.787554996857322</v>
      </c>
      <c r="O258" s="31">
        <f t="shared" si="17"/>
        <v>-19089.323050030252</v>
      </c>
      <c r="P258" s="31">
        <f t="shared" si="18"/>
        <v>15405.27923972486</v>
      </c>
      <c r="Q258">
        <f t="shared" si="19"/>
        <v>3684.043810305393</v>
      </c>
    </row>
    <row r="259" spans="1:17" x14ac:dyDescent="0.35">
      <c r="A259">
        <v>2027</v>
      </c>
      <c r="B259" t="s">
        <v>12</v>
      </c>
      <c r="C259" t="s">
        <v>4</v>
      </c>
      <c r="D259" t="s">
        <v>18</v>
      </c>
      <c r="E259" t="s">
        <v>483</v>
      </c>
      <c r="F259" t="s">
        <v>85</v>
      </c>
      <c r="G259" s="31">
        <v>13737.544328976641</v>
      </c>
      <c r="H259" s="31">
        <v>154746</v>
      </c>
      <c r="I259" s="31">
        <v>108193.833692296</v>
      </c>
      <c r="J259" s="32">
        <f t="shared" ref="J259:J322" si="20">H259*N259-I259</f>
        <v>13677.151851387156</v>
      </c>
      <c r="K259" s="31">
        <v>0</v>
      </c>
      <c r="L259" s="31">
        <v>0</v>
      </c>
      <c r="M259" s="32">
        <f t="shared" ref="M259:M322" si="21">MAX(L259-J259,0)</f>
        <v>0</v>
      </c>
      <c r="N259" s="33">
        <f>Result_notebook!L259</f>
        <v>0.787554996857322</v>
      </c>
      <c r="O259" s="31">
        <f t="shared" ref="O259:O322" si="22">G259-(I259+J259+M259)</f>
        <v>-108133.44121470652</v>
      </c>
      <c r="P259" s="31">
        <f t="shared" ref="P259:P261" si="23">MAX(I259-G259,0)</f>
        <v>94456.28936331936</v>
      </c>
      <c r="Q259">
        <f t="shared" ref="Q259:Q322" si="24">(H259*N259)-I259</f>
        <v>13677.151851387156</v>
      </c>
    </row>
    <row r="260" spans="1:17" x14ac:dyDescent="0.35">
      <c r="A260">
        <v>2027</v>
      </c>
      <c r="B260" t="s">
        <v>12</v>
      </c>
      <c r="C260" t="s">
        <v>4</v>
      </c>
      <c r="D260" t="s">
        <v>18</v>
      </c>
      <c r="E260" t="s">
        <v>483</v>
      </c>
      <c r="F260" t="s">
        <v>86</v>
      </c>
      <c r="G260" s="31">
        <v>13737.544328976641</v>
      </c>
      <c r="H260" s="31">
        <v>154746</v>
      </c>
      <c r="I260" s="31">
        <v>108193.833692296</v>
      </c>
      <c r="J260" s="32">
        <f t="shared" si="20"/>
        <v>13677.151851387156</v>
      </c>
      <c r="K260" s="31">
        <v>0</v>
      </c>
      <c r="L260" s="31">
        <v>0</v>
      </c>
      <c r="M260" s="32">
        <f t="shared" si="21"/>
        <v>0</v>
      </c>
      <c r="N260" s="33">
        <f>Result_notebook!L260</f>
        <v>0.787554996857322</v>
      </c>
      <c r="O260" s="31">
        <f t="shared" si="22"/>
        <v>-108133.44121470652</v>
      </c>
      <c r="P260" s="31">
        <f t="shared" si="23"/>
        <v>94456.28936331936</v>
      </c>
      <c r="Q260">
        <f t="shared" si="24"/>
        <v>13677.151851387156</v>
      </c>
    </row>
    <row r="261" spans="1:17" x14ac:dyDescent="0.35">
      <c r="A261">
        <v>2027</v>
      </c>
      <c r="B261" t="s">
        <v>12</v>
      </c>
      <c r="C261" t="s">
        <v>4</v>
      </c>
      <c r="D261" t="s">
        <v>18</v>
      </c>
      <c r="E261" t="s">
        <v>490</v>
      </c>
      <c r="F261" t="s">
        <v>82</v>
      </c>
      <c r="G261" s="31">
        <v>13737.544328976641</v>
      </c>
      <c r="H261" s="31">
        <v>154746</v>
      </c>
      <c r="I261" s="31">
        <v>108193.833692296</v>
      </c>
      <c r="J261" s="32">
        <f t="shared" si="20"/>
        <v>13677.151851387156</v>
      </c>
      <c r="K261" s="31">
        <v>0</v>
      </c>
      <c r="L261" s="31">
        <v>0</v>
      </c>
      <c r="M261" s="32">
        <f t="shared" si="21"/>
        <v>0</v>
      </c>
      <c r="N261" s="33">
        <f>Result_notebook!L261</f>
        <v>0.787554996857322</v>
      </c>
      <c r="O261" s="31">
        <f t="shared" si="22"/>
        <v>-108133.44121470652</v>
      </c>
      <c r="P261" s="31">
        <f t="shared" si="23"/>
        <v>94456.28936331936</v>
      </c>
      <c r="Q261">
        <f t="shared" si="24"/>
        <v>13677.151851387156</v>
      </c>
    </row>
    <row r="262" spans="1:17" x14ac:dyDescent="0.35">
      <c r="A262">
        <v>2027</v>
      </c>
      <c r="B262" t="s">
        <v>12</v>
      </c>
      <c r="C262" t="s">
        <v>9</v>
      </c>
      <c r="D262" t="s">
        <v>16</v>
      </c>
      <c r="E262" t="s">
        <v>483</v>
      </c>
      <c r="F262" t="s">
        <v>80</v>
      </c>
      <c r="G262" s="31">
        <v>8983.916446708683</v>
      </c>
      <c r="H262" s="31">
        <v>0</v>
      </c>
      <c r="I262" s="31">
        <v>0</v>
      </c>
      <c r="J262" s="32">
        <f t="shared" si="20"/>
        <v>0</v>
      </c>
      <c r="K262" s="31">
        <v>12834.16635244098</v>
      </c>
      <c r="L262" s="31">
        <v>8983.916446708683</v>
      </c>
      <c r="M262" s="32">
        <f t="shared" si="21"/>
        <v>8983.916446708683</v>
      </c>
      <c r="N262" s="33">
        <f>Result_notebook!L262</f>
        <v>0.787554996857322</v>
      </c>
      <c r="O262" s="31">
        <f t="shared" si="22"/>
        <v>0</v>
      </c>
      <c r="P262" s="31">
        <f t="shared" ref="P262:P322" si="25">MAX(I262-G262,0)</f>
        <v>0</v>
      </c>
      <c r="Q262">
        <f t="shared" si="24"/>
        <v>0</v>
      </c>
    </row>
    <row r="263" spans="1:17" x14ac:dyDescent="0.35">
      <c r="A263">
        <v>2027</v>
      </c>
      <c r="B263" t="s">
        <v>12</v>
      </c>
      <c r="C263" t="s">
        <v>9</v>
      </c>
      <c r="D263" t="s">
        <v>16</v>
      </c>
      <c r="E263" t="s">
        <v>483</v>
      </c>
      <c r="F263" t="s">
        <v>81</v>
      </c>
      <c r="G263" s="31">
        <v>8983.916446708683</v>
      </c>
      <c r="H263" s="31">
        <v>41682</v>
      </c>
      <c r="I263" s="31">
        <v>29142.8235687015</v>
      </c>
      <c r="J263" s="32">
        <f t="shared" si="20"/>
        <v>3684.043810305393</v>
      </c>
      <c r="K263" s="31">
        <v>0</v>
      </c>
      <c r="L263" s="31">
        <v>0</v>
      </c>
      <c r="M263" s="32">
        <f t="shared" si="21"/>
        <v>0</v>
      </c>
      <c r="N263" s="33">
        <f>Result_notebook!L263</f>
        <v>0.787554996857322</v>
      </c>
      <c r="O263" s="31">
        <f t="shared" si="22"/>
        <v>-23842.950932298212</v>
      </c>
      <c r="P263" s="31">
        <f t="shared" si="25"/>
        <v>20158.907121992816</v>
      </c>
      <c r="Q263">
        <f t="shared" si="24"/>
        <v>3684.043810305393</v>
      </c>
    </row>
    <row r="264" spans="1:17" x14ac:dyDescent="0.35">
      <c r="A264">
        <v>2027</v>
      </c>
      <c r="B264" t="s">
        <v>12</v>
      </c>
      <c r="C264" t="s">
        <v>9</v>
      </c>
      <c r="D264" t="s">
        <v>18</v>
      </c>
      <c r="E264" t="s">
        <v>483</v>
      </c>
      <c r="F264" t="s">
        <v>85</v>
      </c>
      <c r="G264" s="31">
        <v>8983.916446708683</v>
      </c>
      <c r="H264" s="31">
        <v>154746</v>
      </c>
      <c r="I264" s="31">
        <v>108193.833692296</v>
      </c>
      <c r="J264" s="32">
        <f t="shared" si="20"/>
        <v>13677.151851387156</v>
      </c>
      <c r="K264" s="31">
        <v>0</v>
      </c>
      <c r="L264" s="31">
        <v>0</v>
      </c>
      <c r="M264" s="32">
        <f t="shared" si="21"/>
        <v>0</v>
      </c>
      <c r="N264" s="33">
        <f>Result_notebook!L264</f>
        <v>0.787554996857322</v>
      </c>
      <c r="O264" s="31">
        <f t="shared" si="22"/>
        <v>-112887.06909697448</v>
      </c>
      <c r="P264" s="31">
        <f t="shared" si="25"/>
        <v>99209.917245587319</v>
      </c>
      <c r="Q264">
        <f t="shared" si="24"/>
        <v>13677.151851387156</v>
      </c>
    </row>
    <row r="265" spans="1:17" x14ac:dyDescent="0.35">
      <c r="A265">
        <v>2027</v>
      </c>
      <c r="B265" t="s">
        <v>12</v>
      </c>
      <c r="C265" t="s">
        <v>9</v>
      </c>
      <c r="D265" t="s">
        <v>18</v>
      </c>
      <c r="E265" t="s">
        <v>483</v>
      </c>
      <c r="F265" t="s">
        <v>86</v>
      </c>
      <c r="G265" s="31">
        <v>8983.916446708683</v>
      </c>
      <c r="H265" s="31">
        <v>154746</v>
      </c>
      <c r="I265" s="31">
        <v>108193.833692296</v>
      </c>
      <c r="J265" s="32">
        <f t="shared" si="20"/>
        <v>13677.151851387156</v>
      </c>
      <c r="K265" s="31">
        <v>0</v>
      </c>
      <c r="L265" s="31">
        <v>0</v>
      </c>
      <c r="M265" s="32">
        <f t="shared" si="21"/>
        <v>0</v>
      </c>
      <c r="N265" s="33">
        <f>Result_notebook!L265</f>
        <v>0.787554996857322</v>
      </c>
      <c r="O265" s="31">
        <f t="shared" si="22"/>
        <v>-112887.06909697448</v>
      </c>
      <c r="P265" s="31">
        <f t="shared" si="25"/>
        <v>99209.917245587319</v>
      </c>
      <c r="Q265">
        <f t="shared" si="24"/>
        <v>13677.151851387156</v>
      </c>
    </row>
    <row r="266" spans="1:17" x14ac:dyDescent="0.35">
      <c r="A266">
        <v>2027</v>
      </c>
      <c r="B266" t="s">
        <v>12</v>
      </c>
      <c r="C266" t="s">
        <v>9</v>
      </c>
      <c r="D266" t="s">
        <v>18</v>
      </c>
      <c r="E266" t="s">
        <v>490</v>
      </c>
      <c r="F266" t="s">
        <v>82</v>
      </c>
      <c r="G266" s="31">
        <v>8983.916446708683</v>
      </c>
      <c r="H266" s="31">
        <v>154746</v>
      </c>
      <c r="I266" s="31">
        <v>108193.833692296</v>
      </c>
      <c r="J266" s="32">
        <f t="shared" si="20"/>
        <v>13677.151851387156</v>
      </c>
      <c r="K266" s="31">
        <v>0</v>
      </c>
      <c r="L266" s="31">
        <v>0</v>
      </c>
      <c r="M266" s="32">
        <f t="shared" si="21"/>
        <v>0</v>
      </c>
      <c r="N266" s="33">
        <f>Result_notebook!L266</f>
        <v>0.787554996857322</v>
      </c>
      <c r="O266" s="31">
        <f t="shared" si="22"/>
        <v>-112887.06909697448</v>
      </c>
      <c r="P266" s="31">
        <f t="shared" si="25"/>
        <v>99209.917245587319</v>
      </c>
      <c r="Q266">
        <f t="shared" si="24"/>
        <v>13677.151851387156</v>
      </c>
    </row>
    <row r="267" spans="1:17" x14ac:dyDescent="0.35">
      <c r="A267">
        <v>2027</v>
      </c>
      <c r="B267" t="s">
        <v>12</v>
      </c>
      <c r="C267" t="s">
        <v>10</v>
      </c>
      <c r="D267" t="s">
        <v>16</v>
      </c>
      <c r="E267" t="s">
        <v>483</v>
      </c>
      <c r="F267" t="s">
        <v>80</v>
      </c>
      <c r="G267" s="31">
        <v>13417.12031217203</v>
      </c>
      <c r="H267" s="31">
        <v>0</v>
      </c>
      <c r="I267" s="31">
        <v>0</v>
      </c>
      <c r="J267" s="32">
        <f t="shared" si="20"/>
        <v>0</v>
      </c>
      <c r="K267" s="31">
        <v>19167.314731674331</v>
      </c>
      <c r="L267" s="31">
        <v>13417.12031217203</v>
      </c>
      <c r="M267" s="32">
        <f t="shared" si="21"/>
        <v>13417.12031217203</v>
      </c>
      <c r="N267" s="33">
        <f>Result_notebook!L267</f>
        <v>0.787554996857322</v>
      </c>
      <c r="O267" s="31">
        <f t="shared" si="22"/>
        <v>0</v>
      </c>
      <c r="P267" s="31">
        <f t="shared" si="25"/>
        <v>0</v>
      </c>
      <c r="Q267">
        <f t="shared" si="24"/>
        <v>0</v>
      </c>
    </row>
    <row r="268" spans="1:17" x14ac:dyDescent="0.35">
      <c r="A268">
        <v>2027</v>
      </c>
      <c r="B268" t="s">
        <v>12</v>
      </c>
      <c r="C268" t="s">
        <v>10</v>
      </c>
      <c r="D268" t="s">
        <v>16</v>
      </c>
      <c r="E268" t="s">
        <v>483</v>
      </c>
      <c r="F268" t="s">
        <v>81</v>
      </c>
      <c r="G268" s="31">
        <v>13417.12031217203</v>
      </c>
      <c r="H268" s="31">
        <v>41682</v>
      </c>
      <c r="I268" s="31">
        <v>29142.8235687015</v>
      </c>
      <c r="J268" s="32">
        <f t="shared" si="20"/>
        <v>3684.043810305393</v>
      </c>
      <c r="K268" s="31">
        <v>0</v>
      </c>
      <c r="L268" s="31">
        <v>0</v>
      </c>
      <c r="M268" s="32">
        <f t="shared" si="21"/>
        <v>0</v>
      </c>
      <c r="N268" s="33">
        <f>Result_notebook!L268</f>
        <v>0.787554996857322</v>
      </c>
      <c r="O268" s="31">
        <f t="shared" si="22"/>
        <v>-19409.747066834861</v>
      </c>
      <c r="P268" s="31">
        <f t="shared" si="25"/>
        <v>15725.70325652947</v>
      </c>
      <c r="Q268">
        <f t="shared" si="24"/>
        <v>3684.043810305393</v>
      </c>
    </row>
    <row r="269" spans="1:17" x14ac:dyDescent="0.35">
      <c r="A269">
        <v>2027</v>
      </c>
      <c r="B269" t="s">
        <v>12</v>
      </c>
      <c r="C269" t="s">
        <v>10</v>
      </c>
      <c r="D269" t="s">
        <v>18</v>
      </c>
      <c r="E269" t="s">
        <v>483</v>
      </c>
      <c r="F269" t="s">
        <v>85</v>
      </c>
      <c r="G269" s="31">
        <v>13417.12031217203</v>
      </c>
      <c r="H269" s="31">
        <v>154746</v>
      </c>
      <c r="I269" s="31">
        <v>108193.833692296</v>
      </c>
      <c r="J269" s="32">
        <f t="shared" si="20"/>
        <v>13677.151851387156</v>
      </c>
      <c r="K269" s="31">
        <v>0</v>
      </c>
      <c r="L269" s="31">
        <v>0</v>
      </c>
      <c r="M269" s="32">
        <f t="shared" si="21"/>
        <v>0</v>
      </c>
      <c r="N269" s="33">
        <f>Result_notebook!L269</f>
        <v>0.787554996857322</v>
      </c>
      <c r="O269" s="31">
        <f t="shared" si="22"/>
        <v>-108453.86523151112</v>
      </c>
      <c r="P269" s="31">
        <f t="shared" si="25"/>
        <v>94776.713380123969</v>
      </c>
      <c r="Q269">
        <f t="shared" si="24"/>
        <v>13677.151851387156</v>
      </c>
    </row>
    <row r="270" spans="1:17" x14ac:dyDescent="0.35">
      <c r="A270">
        <v>2027</v>
      </c>
      <c r="B270" t="s">
        <v>12</v>
      </c>
      <c r="C270" t="s">
        <v>10</v>
      </c>
      <c r="D270" t="s">
        <v>18</v>
      </c>
      <c r="E270" t="s">
        <v>483</v>
      </c>
      <c r="F270" t="s">
        <v>86</v>
      </c>
      <c r="G270" s="31">
        <v>13417.12031217203</v>
      </c>
      <c r="H270" s="31">
        <v>154746</v>
      </c>
      <c r="I270" s="31">
        <v>108193.833692296</v>
      </c>
      <c r="J270" s="32">
        <f t="shared" si="20"/>
        <v>13677.151851387156</v>
      </c>
      <c r="K270" s="31">
        <v>0</v>
      </c>
      <c r="L270" s="31">
        <v>0</v>
      </c>
      <c r="M270" s="32">
        <f t="shared" si="21"/>
        <v>0</v>
      </c>
      <c r="N270" s="33">
        <f>Result_notebook!L270</f>
        <v>0.787554996857322</v>
      </c>
      <c r="O270" s="31">
        <f t="shared" si="22"/>
        <v>-108453.86523151112</v>
      </c>
      <c r="P270" s="31">
        <f t="shared" si="25"/>
        <v>94776.713380123969</v>
      </c>
      <c r="Q270">
        <f t="shared" si="24"/>
        <v>13677.151851387156</v>
      </c>
    </row>
    <row r="271" spans="1:17" x14ac:dyDescent="0.35">
      <c r="A271">
        <v>2027</v>
      </c>
      <c r="B271" t="s">
        <v>12</v>
      </c>
      <c r="C271" t="s">
        <v>10</v>
      </c>
      <c r="D271" t="s">
        <v>18</v>
      </c>
      <c r="E271" t="s">
        <v>490</v>
      </c>
      <c r="F271" t="s">
        <v>82</v>
      </c>
      <c r="G271" s="31">
        <v>13417.12031217203</v>
      </c>
      <c r="H271" s="31">
        <v>154746</v>
      </c>
      <c r="I271" s="31">
        <v>108193.833692296</v>
      </c>
      <c r="J271" s="32">
        <f t="shared" si="20"/>
        <v>13677.151851387156</v>
      </c>
      <c r="K271" s="31">
        <v>0</v>
      </c>
      <c r="L271" s="31">
        <v>0</v>
      </c>
      <c r="M271" s="32">
        <f t="shared" si="21"/>
        <v>0</v>
      </c>
      <c r="N271" s="33">
        <f>Result_notebook!L271</f>
        <v>0.787554996857322</v>
      </c>
      <c r="O271" s="31">
        <f t="shared" si="22"/>
        <v>-108453.86523151112</v>
      </c>
      <c r="P271" s="31">
        <f t="shared" si="25"/>
        <v>94776.713380123969</v>
      </c>
      <c r="Q271">
        <f t="shared" si="24"/>
        <v>13677.151851387156</v>
      </c>
    </row>
    <row r="272" spans="1:17" x14ac:dyDescent="0.35">
      <c r="A272">
        <v>2028</v>
      </c>
      <c r="B272" t="s">
        <v>6</v>
      </c>
      <c r="C272" t="s">
        <v>4</v>
      </c>
      <c r="D272" t="s">
        <v>16</v>
      </c>
      <c r="E272" t="s">
        <v>483</v>
      </c>
      <c r="F272" t="s">
        <v>80</v>
      </c>
      <c r="G272" s="31">
        <v>33558.203893436563</v>
      </c>
      <c r="H272" s="31">
        <v>0</v>
      </c>
      <c r="I272" s="31">
        <v>0</v>
      </c>
      <c r="J272" s="32">
        <f t="shared" si="20"/>
        <v>0</v>
      </c>
      <c r="K272" s="31">
        <v>76268.645212355827</v>
      </c>
      <c r="L272" s="31">
        <v>33558.203893436563</v>
      </c>
      <c r="M272" s="32">
        <f t="shared" si="21"/>
        <v>33558.203893436563</v>
      </c>
      <c r="N272" s="33">
        <f>Result_notebook!L272</f>
        <v>0.439346565686978</v>
      </c>
      <c r="O272" s="31">
        <f t="shared" si="22"/>
        <v>0</v>
      </c>
      <c r="P272" s="31">
        <f t="shared" si="25"/>
        <v>0</v>
      </c>
      <c r="Q272">
        <f t="shared" si="24"/>
        <v>0</v>
      </c>
    </row>
    <row r="273" spans="1:17" x14ac:dyDescent="0.35">
      <c r="A273">
        <v>2028</v>
      </c>
      <c r="B273" t="s">
        <v>6</v>
      </c>
      <c r="C273" t="s">
        <v>4</v>
      </c>
      <c r="D273" t="s">
        <v>16</v>
      </c>
      <c r="E273" t="s">
        <v>483</v>
      </c>
      <c r="F273" t="s">
        <v>81</v>
      </c>
      <c r="G273" s="31">
        <v>33558.203893436563</v>
      </c>
      <c r="H273" s="31">
        <v>4176</v>
      </c>
      <c r="I273" s="31">
        <v>1771.38331528816</v>
      </c>
      <c r="J273" s="32">
        <f t="shared" si="20"/>
        <v>63.327943020660086</v>
      </c>
      <c r="K273" s="31">
        <v>72092.645212355827</v>
      </c>
      <c r="L273" s="31">
        <v>31786.820578148399</v>
      </c>
      <c r="M273" s="32">
        <f t="shared" si="21"/>
        <v>31723.492635127739</v>
      </c>
      <c r="N273" s="33">
        <f>Result_notebook!L273</f>
        <v>0.439346565686978</v>
      </c>
      <c r="O273" s="31">
        <f t="shared" si="22"/>
        <v>0</v>
      </c>
      <c r="P273" s="31">
        <f t="shared" si="25"/>
        <v>0</v>
      </c>
      <c r="Q273">
        <f t="shared" si="24"/>
        <v>63.327943020660086</v>
      </c>
    </row>
    <row r="274" spans="1:17" x14ac:dyDescent="0.35">
      <c r="A274">
        <v>2028</v>
      </c>
      <c r="B274" t="s">
        <v>6</v>
      </c>
      <c r="C274" t="s">
        <v>4</v>
      </c>
      <c r="D274" t="s">
        <v>18</v>
      </c>
      <c r="E274" t="s">
        <v>483</v>
      </c>
      <c r="F274" t="s">
        <v>85</v>
      </c>
      <c r="G274" s="31">
        <v>33558.203893436563</v>
      </c>
      <c r="H274" s="31">
        <v>7250</v>
      </c>
      <c r="I274" s="31">
        <v>3075.318255708612</v>
      </c>
      <c r="J274" s="32">
        <f t="shared" si="20"/>
        <v>109.94434552197845</v>
      </c>
      <c r="K274" s="31">
        <v>69018.645212355827</v>
      </c>
      <c r="L274" s="31">
        <v>30482.885637727952</v>
      </c>
      <c r="M274" s="32">
        <f t="shared" si="21"/>
        <v>30372.941292205975</v>
      </c>
      <c r="N274" s="33">
        <f>Result_notebook!L274</f>
        <v>0.439346565686978</v>
      </c>
      <c r="O274" s="31">
        <f t="shared" si="22"/>
        <v>0</v>
      </c>
      <c r="P274" s="31">
        <f t="shared" si="25"/>
        <v>0</v>
      </c>
      <c r="Q274">
        <f t="shared" si="24"/>
        <v>109.94434552197845</v>
      </c>
    </row>
    <row r="275" spans="1:17" x14ac:dyDescent="0.35">
      <c r="A275">
        <v>2028</v>
      </c>
      <c r="B275" t="s">
        <v>6</v>
      </c>
      <c r="C275" t="s">
        <v>4</v>
      </c>
      <c r="D275" t="s">
        <v>18</v>
      </c>
      <c r="E275" t="s">
        <v>483</v>
      </c>
      <c r="F275" t="s">
        <v>86</v>
      </c>
      <c r="G275" s="31">
        <v>33558.203893436563</v>
      </c>
      <c r="H275" s="31">
        <v>7250</v>
      </c>
      <c r="I275" s="31">
        <v>3075.318255708612</v>
      </c>
      <c r="J275" s="32">
        <f t="shared" si="20"/>
        <v>109.94434552197845</v>
      </c>
      <c r="K275" s="31">
        <v>69018.645212355827</v>
      </c>
      <c r="L275" s="31">
        <v>30482.885637727952</v>
      </c>
      <c r="M275" s="32">
        <f t="shared" si="21"/>
        <v>30372.941292205975</v>
      </c>
      <c r="N275" s="33">
        <f>Result_notebook!L275</f>
        <v>0.439346565686978</v>
      </c>
      <c r="O275" s="31">
        <f t="shared" si="22"/>
        <v>0</v>
      </c>
      <c r="P275" s="31">
        <f t="shared" si="25"/>
        <v>0</v>
      </c>
      <c r="Q275">
        <f t="shared" si="24"/>
        <v>109.94434552197845</v>
      </c>
    </row>
    <row r="276" spans="1:17" x14ac:dyDescent="0.35">
      <c r="A276">
        <v>2028</v>
      </c>
      <c r="B276" t="s">
        <v>6</v>
      </c>
      <c r="C276" t="s">
        <v>4</v>
      </c>
      <c r="D276" t="s">
        <v>18</v>
      </c>
      <c r="E276" t="s">
        <v>490</v>
      </c>
      <c r="F276" t="s">
        <v>82</v>
      </c>
      <c r="G276" s="31">
        <v>33558.203893436563</v>
      </c>
      <c r="H276" s="31">
        <v>7250</v>
      </c>
      <c r="I276" s="31">
        <v>3185.2626012305932</v>
      </c>
      <c r="J276" s="32">
        <f t="shared" si="20"/>
        <v>0</v>
      </c>
      <c r="K276" s="31">
        <v>69018.645212355827</v>
      </c>
      <c r="L276" s="31">
        <v>30372.941292205971</v>
      </c>
      <c r="M276" s="32">
        <f t="shared" si="21"/>
        <v>30372.941292205971</v>
      </c>
      <c r="N276" s="33">
        <f>Result_notebook!L276</f>
        <v>0.439346565686978</v>
      </c>
      <c r="O276" s="31">
        <f t="shared" si="22"/>
        <v>0</v>
      </c>
      <c r="P276" s="31">
        <f t="shared" si="25"/>
        <v>0</v>
      </c>
      <c r="Q276">
        <f t="shared" si="24"/>
        <v>0</v>
      </c>
    </row>
    <row r="277" spans="1:17" x14ac:dyDescent="0.35">
      <c r="A277">
        <v>2028</v>
      </c>
      <c r="B277" t="s">
        <v>6</v>
      </c>
      <c r="C277" t="s">
        <v>9</v>
      </c>
      <c r="D277" t="s">
        <v>16</v>
      </c>
      <c r="E277" t="s">
        <v>483</v>
      </c>
      <c r="F277" t="s">
        <v>80</v>
      </c>
      <c r="G277" s="31">
        <v>19651.719636773159</v>
      </c>
      <c r="H277" s="31">
        <v>0</v>
      </c>
      <c r="I277" s="31">
        <v>0</v>
      </c>
      <c r="J277" s="32">
        <f t="shared" si="20"/>
        <v>0</v>
      </c>
      <c r="K277" s="31">
        <v>44662.999174484452</v>
      </c>
      <c r="L277" s="31">
        <v>19651.719636773159</v>
      </c>
      <c r="M277" s="32">
        <f t="shared" si="21"/>
        <v>19651.719636773159</v>
      </c>
      <c r="N277" s="33">
        <f>Result_notebook!L277</f>
        <v>0.439346565686978</v>
      </c>
      <c r="O277" s="31">
        <f t="shared" si="22"/>
        <v>0</v>
      </c>
      <c r="P277" s="31">
        <f t="shared" si="25"/>
        <v>0</v>
      </c>
      <c r="Q277">
        <f t="shared" si="24"/>
        <v>0</v>
      </c>
    </row>
    <row r="278" spans="1:17" x14ac:dyDescent="0.35">
      <c r="A278">
        <v>2028</v>
      </c>
      <c r="B278" t="s">
        <v>6</v>
      </c>
      <c r="C278" t="s">
        <v>9</v>
      </c>
      <c r="D278" t="s">
        <v>16</v>
      </c>
      <c r="E278" t="s">
        <v>483</v>
      </c>
      <c r="F278" t="s">
        <v>81</v>
      </c>
      <c r="G278" s="31">
        <v>19651.719636773159</v>
      </c>
      <c r="H278" s="31">
        <v>4176</v>
      </c>
      <c r="I278" s="31">
        <v>1771.38331528816</v>
      </c>
      <c r="J278" s="32">
        <f t="shared" si="20"/>
        <v>63.327943020660086</v>
      </c>
      <c r="K278" s="31">
        <v>40486.999174484452</v>
      </c>
      <c r="L278" s="31">
        <v>17880.336321485</v>
      </c>
      <c r="M278" s="32">
        <f t="shared" si="21"/>
        <v>17817.008378464339</v>
      </c>
      <c r="N278" s="33">
        <f>Result_notebook!L278</f>
        <v>0.439346565686978</v>
      </c>
      <c r="O278" s="31">
        <f t="shared" si="22"/>
        <v>0</v>
      </c>
      <c r="P278" s="31">
        <f t="shared" si="25"/>
        <v>0</v>
      </c>
      <c r="Q278">
        <f t="shared" si="24"/>
        <v>63.327943020660086</v>
      </c>
    </row>
    <row r="279" spans="1:17" x14ac:dyDescent="0.35">
      <c r="A279">
        <v>2028</v>
      </c>
      <c r="B279" t="s">
        <v>6</v>
      </c>
      <c r="C279" t="s">
        <v>9</v>
      </c>
      <c r="D279" t="s">
        <v>18</v>
      </c>
      <c r="E279" t="s">
        <v>483</v>
      </c>
      <c r="F279" t="s">
        <v>85</v>
      </c>
      <c r="G279" s="31">
        <v>19651.719636773159</v>
      </c>
      <c r="H279" s="31">
        <v>7250</v>
      </c>
      <c r="I279" s="31">
        <v>3075.318255708612</v>
      </c>
      <c r="J279" s="32">
        <f t="shared" si="20"/>
        <v>109.94434552197845</v>
      </c>
      <c r="K279" s="31">
        <v>37412.999174484452</v>
      </c>
      <c r="L279" s="31">
        <v>16576.401381064548</v>
      </c>
      <c r="M279" s="32">
        <f t="shared" si="21"/>
        <v>16466.457035542571</v>
      </c>
      <c r="N279" s="33">
        <f>Result_notebook!L279</f>
        <v>0.439346565686978</v>
      </c>
      <c r="O279" s="31">
        <f t="shared" si="22"/>
        <v>0</v>
      </c>
      <c r="P279" s="31">
        <f t="shared" si="25"/>
        <v>0</v>
      </c>
      <c r="Q279">
        <f t="shared" si="24"/>
        <v>109.94434552197845</v>
      </c>
    </row>
    <row r="280" spans="1:17" x14ac:dyDescent="0.35">
      <c r="A280">
        <v>2028</v>
      </c>
      <c r="B280" t="s">
        <v>6</v>
      </c>
      <c r="C280" t="s">
        <v>9</v>
      </c>
      <c r="D280" t="s">
        <v>18</v>
      </c>
      <c r="E280" t="s">
        <v>483</v>
      </c>
      <c r="F280" t="s">
        <v>86</v>
      </c>
      <c r="G280" s="31">
        <v>19651.719636773159</v>
      </c>
      <c r="H280" s="31">
        <v>7250</v>
      </c>
      <c r="I280" s="31">
        <v>3075.318255708612</v>
      </c>
      <c r="J280" s="32">
        <f t="shared" si="20"/>
        <v>109.94434552197845</v>
      </c>
      <c r="K280" s="31">
        <v>37412.999174484452</v>
      </c>
      <c r="L280" s="31">
        <v>16576.401381064548</v>
      </c>
      <c r="M280" s="32">
        <f t="shared" si="21"/>
        <v>16466.457035542571</v>
      </c>
      <c r="N280" s="33">
        <f>Result_notebook!L280</f>
        <v>0.439346565686978</v>
      </c>
      <c r="O280" s="31">
        <f t="shared" si="22"/>
        <v>0</v>
      </c>
      <c r="P280" s="31">
        <f t="shared" si="25"/>
        <v>0</v>
      </c>
      <c r="Q280">
        <f t="shared" si="24"/>
        <v>109.94434552197845</v>
      </c>
    </row>
    <row r="281" spans="1:17" x14ac:dyDescent="0.35">
      <c r="A281">
        <v>2028</v>
      </c>
      <c r="B281" t="s">
        <v>6</v>
      </c>
      <c r="C281" t="s">
        <v>9</v>
      </c>
      <c r="D281" t="s">
        <v>18</v>
      </c>
      <c r="E281" t="s">
        <v>490</v>
      </c>
      <c r="F281" t="s">
        <v>82</v>
      </c>
      <c r="G281" s="31">
        <v>19651.719636773159</v>
      </c>
      <c r="H281" s="31">
        <v>7250</v>
      </c>
      <c r="I281" s="31">
        <v>3185.2626012305932</v>
      </c>
      <c r="J281" s="32">
        <f t="shared" si="20"/>
        <v>0</v>
      </c>
      <c r="K281" s="31">
        <v>37412.999174484452</v>
      </c>
      <c r="L281" s="31">
        <v>16466.457035542571</v>
      </c>
      <c r="M281" s="32">
        <f t="shared" si="21"/>
        <v>16466.457035542571</v>
      </c>
      <c r="N281" s="33">
        <f>Result_notebook!L281</f>
        <v>0.439346565686978</v>
      </c>
      <c r="O281" s="31">
        <f t="shared" si="22"/>
        <v>0</v>
      </c>
      <c r="P281" s="31">
        <f t="shared" si="25"/>
        <v>0</v>
      </c>
      <c r="Q281">
        <f t="shared" si="24"/>
        <v>0</v>
      </c>
    </row>
    <row r="282" spans="1:17" x14ac:dyDescent="0.35">
      <c r="A282">
        <v>2028</v>
      </c>
      <c r="B282" t="s">
        <v>6</v>
      </c>
      <c r="C282" t="s">
        <v>10</v>
      </c>
      <c r="D282" t="s">
        <v>16</v>
      </c>
      <c r="E282" t="s">
        <v>483</v>
      </c>
      <c r="F282" t="s">
        <v>80</v>
      </c>
      <c r="G282" s="31">
        <v>32337.908183628981</v>
      </c>
      <c r="H282" s="31">
        <v>0</v>
      </c>
      <c r="I282" s="31">
        <v>0</v>
      </c>
      <c r="J282" s="32">
        <f t="shared" si="20"/>
        <v>0</v>
      </c>
      <c r="K282" s="31">
        <v>73495.24587188405</v>
      </c>
      <c r="L282" s="31">
        <v>32337.908183628981</v>
      </c>
      <c r="M282" s="32">
        <f t="shared" si="21"/>
        <v>32337.908183628981</v>
      </c>
      <c r="N282" s="33">
        <f>Result_notebook!L282</f>
        <v>0.439346565686978</v>
      </c>
      <c r="O282" s="31">
        <f t="shared" si="22"/>
        <v>0</v>
      </c>
      <c r="P282" s="31">
        <f t="shared" si="25"/>
        <v>0</v>
      </c>
      <c r="Q282">
        <f t="shared" si="24"/>
        <v>0</v>
      </c>
    </row>
    <row r="283" spans="1:17" x14ac:dyDescent="0.35">
      <c r="A283">
        <v>2028</v>
      </c>
      <c r="B283" t="s">
        <v>6</v>
      </c>
      <c r="C283" t="s">
        <v>10</v>
      </c>
      <c r="D283" t="s">
        <v>16</v>
      </c>
      <c r="E283" t="s">
        <v>483</v>
      </c>
      <c r="F283" t="s">
        <v>81</v>
      </c>
      <c r="G283" s="31">
        <v>32337.908183628981</v>
      </c>
      <c r="H283" s="31">
        <v>4176</v>
      </c>
      <c r="I283" s="31">
        <v>1771.38331528816</v>
      </c>
      <c r="J283" s="32">
        <f t="shared" si="20"/>
        <v>63.327943020660086</v>
      </c>
      <c r="K283" s="31">
        <v>69319.24587188405</v>
      </c>
      <c r="L283" s="31">
        <v>30566.524868340821</v>
      </c>
      <c r="M283" s="32">
        <f t="shared" si="21"/>
        <v>30503.196925320161</v>
      </c>
      <c r="N283" s="33">
        <f>Result_notebook!L283</f>
        <v>0.439346565686978</v>
      </c>
      <c r="O283" s="31">
        <f t="shared" si="22"/>
        <v>0</v>
      </c>
      <c r="P283" s="31">
        <f t="shared" si="25"/>
        <v>0</v>
      </c>
      <c r="Q283">
        <f t="shared" si="24"/>
        <v>63.327943020660086</v>
      </c>
    </row>
    <row r="284" spans="1:17" x14ac:dyDescent="0.35">
      <c r="A284">
        <v>2028</v>
      </c>
      <c r="B284" t="s">
        <v>6</v>
      </c>
      <c r="C284" t="s">
        <v>10</v>
      </c>
      <c r="D284" t="s">
        <v>18</v>
      </c>
      <c r="E284" t="s">
        <v>483</v>
      </c>
      <c r="F284" t="s">
        <v>85</v>
      </c>
      <c r="G284" s="31">
        <v>32337.908183628981</v>
      </c>
      <c r="H284" s="31">
        <v>7250</v>
      </c>
      <c r="I284" s="31">
        <v>3075.318255708612</v>
      </c>
      <c r="J284" s="32">
        <f t="shared" si="20"/>
        <v>109.94434552197845</v>
      </c>
      <c r="K284" s="31">
        <v>66245.24587188405</v>
      </c>
      <c r="L284" s="31">
        <v>29262.58992792037</v>
      </c>
      <c r="M284" s="32">
        <f t="shared" si="21"/>
        <v>29152.645582398392</v>
      </c>
      <c r="N284" s="33">
        <f>Result_notebook!L284</f>
        <v>0.439346565686978</v>
      </c>
      <c r="O284" s="31">
        <f t="shared" si="22"/>
        <v>0</v>
      </c>
      <c r="P284" s="31">
        <f t="shared" si="25"/>
        <v>0</v>
      </c>
      <c r="Q284">
        <f t="shared" si="24"/>
        <v>109.94434552197845</v>
      </c>
    </row>
    <row r="285" spans="1:17" x14ac:dyDescent="0.35">
      <c r="A285">
        <v>2028</v>
      </c>
      <c r="B285" t="s">
        <v>6</v>
      </c>
      <c r="C285" t="s">
        <v>10</v>
      </c>
      <c r="D285" t="s">
        <v>18</v>
      </c>
      <c r="E285" t="s">
        <v>483</v>
      </c>
      <c r="F285" t="s">
        <v>86</v>
      </c>
      <c r="G285" s="31">
        <v>32337.908183628981</v>
      </c>
      <c r="H285" s="31">
        <v>7250</v>
      </c>
      <c r="I285" s="31">
        <v>3075.318255708612</v>
      </c>
      <c r="J285" s="32">
        <f t="shared" si="20"/>
        <v>109.94434552197845</v>
      </c>
      <c r="K285" s="31">
        <v>66245.24587188405</v>
      </c>
      <c r="L285" s="31">
        <v>29262.58992792037</v>
      </c>
      <c r="M285" s="32">
        <f t="shared" si="21"/>
        <v>29152.645582398392</v>
      </c>
      <c r="N285" s="33">
        <f>Result_notebook!L285</f>
        <v>0.439346565686978</v>
      </c>
      <c r="O285" s="31">
        <f t="shared" si="22"/>
        <v>0</v>
      </c>
      <c r="P285" s="31">
        <f t="shared" si="25"/>
        <v>0</v>
      </c>
      <c r="Q285">
        <f t="shared" si="24"/>
        <v>109.94434552197845</v>
      </c>
    </row>
    <row r="286" spans="1:17" x14ac:dyDescent="0.35">
      <c r="A286">
        <v>2028</v>
      </c>
      <c r="B286" t="s">
        <v>6</v>
      </c>
      <c r="C286" t="s">
        <v>10</v>
      </c>
      <c r="D286" t="s">
        <v>18</v>
      </c>
      <c r="E286" t="s">
        <v>490</v>
      </c>
      <c r="F286" t="s">
        <v>82</v>
      </c>
      <c r="G286" s="31">
        <v>32337.908183628981</v>
      </c>
      <c r="H286" s="31">
        <v>7250</v>
      </c>
      <c r="I286" s="31">
        <v>3185.2626012305932</v>
      </c>
      <c r="J286" s="32">
        <f t="shared" si="20"/>
        <v>0</v>
      </c>
      <c r="K286" s="31">
        <v>66245.24587188405</v>
      </c>
      <c r="L286" s="31">
        <v>29152.645582398389</v>
      </c>
      <c r="M286" s="32">
        <f t="shared" si="21"/>
        <v>29152.645582398389</v>
      </c>
      <c r="N286" s="33">
        <f>Result_notebook!L286</f>
        <v>0.439346565686978</v>
      </c>
      <c r="O286" s="31">
        <f t="shared" si="22"/>
        <v>0</v>
      </c>
      <c r="P286" s="31">
        <f t="shared" si="25"/>
        <v>0</v>
      </c>
      <c r="Q286">
        <f t="shared" si="24"/>
        <v>0</v>
      </c>
    </row>
    <row r="287" spans="1:17" x14ac:dyDescent="0.35">
      <c r="A287">
        <v>2028</v>
      </c>
      <c r="B287" t="s">
        <v>7</v>
      </c>
      <c r="C287" t="s">
        <v>4</v>
      </c>
      <c r="D287" t="s">
        <v>16</v>
      </c>
      <c r="E287" t="s">
        <v>483</v>
      </c>
      <c r="F287" t="s">
        <v>80</v>
      </c>
      <c r="G287" s="31">
        <v>916409.46721627563</v>
      </c>
      <c r="H287" s="31">
        <v>0</v>
      </c>
      <c r="I287" s="31">
        <v>0</v>
      </c>
      <c r="J287" s="32">
        <f t="shared" si="20"/>
        <v>0</v>
      </c>
      <c r="K287" s="31">
        <v>1104107.7918268379</v>
      </c>
      <c r="L287" s="31">
        <v>916409.46721627563</v>
      </c>
      <c r="M287" s="32">
        <f t="shared" si="21"/>
        <v>916409.46721627563</v>
      </c>
      <c r="N287" s="33">
        <f>Result_notebook!L287</f>
        <v>0.83474576271186396</v>
      </c>
      <c r="O287" s="31">
        <f t="shared" si="22"/>
        <v>0</v>
      </c>
      <c r="P287" s="31">
        <f t="shared" si="25"/>
        <v>0</v>
      </c>
      <c r="Q287">
        <f t="shared" si="24"/>
        <v>0</v>
      </c>
    </row>
    <row r="288" spans="1:17" x14ac:dyDescent="0.35">
      <c r="A288">
        <v>2028</v>
      </c>
      <c r="B288" t="s">
        <v>7</v>
      </c>
      <c r="C288" t="s">
        <v>4</v>
      </c>
      <c r="D288" t="s">
        <v>16</v>
      </c>
      <c r="E288" t="s">
        <v>483</v>
      </c>
      <c r="F288" t="s">
        <v>81</v>
      </c>
      <c r="G288" s="31">
        <v>916409.46721627563</v>
      </c>
      <c r="H288" s="31">
        <v>461120</v>
      </c>
      <c r="I288" s="31">
        <v>242368.67797179901</v>
      </c>
      <c r="J288" s="32">
        <f t="shared" si="20"/>
        <v>142549.28812989572</v>
      </c>
      <c r="K288" s="31">
        <v>642987.79182683816</v>
      </c>
      <c r="L288" s="31">
        <v>674040.78924447659</v>
      </c>
      <c r="M288" s="32">
        <f t="shared" si="21"/>
        <v>531491.5011145809</v>
      </c>
      <c r="N288" s="33">
        <f>Result_notebook!L288</f>
        <v>0.83474576271186396</v>
      </c>
      <c r="O288" s="31">
        <f t="shared" si="22"/>
        <v>0</v>
      </c>
      <c r="P288" s="31">
        <f t="shared" si="25"/>
        <v>0</v>
      </c>
      <c r="Q288">
        <f t="shared" si="24"/>
        <v>142549.28812989572</v>
      </c>
    </row>
    <row r="289" spans="1:17" x14ac:dyDescent="0.35">
      <c r="A289">
        <v>2028</v>
      </c>
      <c r="B289" t="s">
        <v>7</v>
      </c>
      <c r="C289" t="s">
        <v>4</v>
      </c>
      <c r="D289" t="s">
        <v>18</v>
      </c>
      <c r="E289" t="s">
        <v>483</v>
      </c>
      <c r="F289" t="s">
        <v>85</v>
      </c>
      <c r="G289" s="31">
        <v>916409.46721627563</v>
      </c>
      <c r="H289" s="31">
        <v>621087.14728660951</v>
      </c>
      <c r="I289" s="31">
        <v>326448.80029738799</v>
      </c>
      <c r="J289" s="32">
        <f t="shared" si="20"/>
        <v>192001.06417490868</v>
      </c>
      <c r="K289" s="31">
        <v>483020.64454022859</v>
      </c>
      <c r="L289" s="31">
        <v>589960.66691888764</v>
      </c>
      <c r="M289" s="32">
        <f t="shared" si="21"/>
        <v>397959.60274397896</v>
      </c>
      <c r="N289" s="33">
        <f>Result_notebook!L289</f>
        <v>0.83474576271186396</v>
      </c>
      <c r="O289" s="31">
        <f t="shared" si="22"/>
        <v>0</v>
      </c>
      <c r="P289" s="31">
        <f t="shared" si="25"/>
        <v>0</v>
      </c>
      <c r="Q289">
        <f t="shared" si="24"/>
        <v>192001.06417490868</v>
      </c>
    </row>
    <row r="290" spans="1:17" x14ac:dyDescent="0.35">
      <c r="A290">
        <v>2028</v>
      </c>
      <c r="B290" t="s">
        <v>7</v>
      </c>
      <c r="C290" t="s">
        <v>4</v>
      </c>
      <c r="D290" t="s">
        <v>18</v>
      </c>
      <c r="E290" t="s">
        <v>483</v>
      </c>
      <c r="F290" t="s">
        <v>86</v>
      </c>
      <c r="G290" s="31">
        <v>916409.46721627563</v>
      </c>
      <c r="H290" s="31">
        <v>621087.14728660951</v>
      </c>
      <c r="I290" s="31">
        <v>326448.80029738799</v>
      </c>
      <c r="J290" s="32">
        <f t="shared" si="20"/>
        <v>192001.06417490868</v>
      </c>
      <c r="K290" s="31">
        <v>483020.64454022859</v>
      </c>
      <c r="L290" s="31">
        <v>589960.66691888764</v>
      </c>
      <c r="M290" s="32">
        <f t="shared" si="21"/>
        <v>397959.60274397896</v>
      </c>
      <c r="N290" s="33">
        <f>Result_notebook!L290</f>
        <v>0.83474576271186396</v>
      </c>
      <c r="O290" s="31">
        <f t="shared" si="22"/>
        <v>0</v>
      </c>
      <c r="P290" s="31">
        <f t="shared" si="25"/>
        <v>0</v>
      </c>
      <c r="Q290">
        <f t="shared" si="24"/>
        <v>192001.06417490868</v>
      </c>
    </row>
    <row r="291" spans="1:17" x14ac:dyDescent="0.35">
      <c r="A291">
        <v>2028</v>
      </c>
      <c r="B291" t="s">
        <v>7</v>
      </c>
      <c r="C291" t="s">
        <v>4</v>
      </c>
      <c r="D291" t="s">
        <v>18</v>
      </c>
      <c r="E291" t="s">
        <v>490</v>
      </c>
      <c r="F291" t="s">
        <v>82</v>
      </c>
      <c r="G291" s="31">
        <v>916409.46721627563</v>
      </c>
      <c r="H291" s="31">
        <v>621087.14728660951</v>
      </c>
      <c r="I291" s="31">
        <v>518449.8644722969</v>
      </c>
      <c r="J291" s="32">
        <f t="shared" si="20"/>
        <v>0</v>
      </c>
      <c r="K291" s="31">
        <v>483020.64454022859</v>
      </c>
      <c r="L291" s="31">
        <v>397959.60274397873</v>
      </c>
      <c r="M291" s="32">
        <f t="shared" si="21"/>
        <v>397959.60274397873</v>
      </c>
      <c r="N291" s="33">
        <f>Result_notebook!L291</f>
        <v>0.83474576271186396</v>
      </c>
      <c r="O291" s="31">
        <f t="shared" si="22"/>
        <v>0</v>
      </c>
      <c r="P291" s="31">
        <f t="shared" si="25"/>
        <v>0</v>
      </c>
      <c r="Q291">
        <f t="shared" si="24"/>
        <v>0</v>
      </c>
    </row>
    <row r="292" spans="1:17" x14ac:dyDescent="0.35">
      <c r="A292">
        <v>2028</v>
      </c>
      <c r="B292" t="s">
        <v>7</v>
      </c>
      <c r="C292" t="s">
        <v>9</v>
      </c>
      <c r="D292" t="s">
        <v>16</v>
      </c>
      <c r="E292" t="s">
        <v>483</v>
      </c>
      <c r="F292" t="s">
        <v>80</v>
      </c>
      <c r="G292" s="31">
        <v>893050.83707050979</v>
      </c>
      <c r="H292" s="31">
        <v>0</v>
      </c>
      <c r="I292" s="31">
        <v>0</v>
      </c>
      <c r="J292" s="32">
        <f t="shared" si="20"/>
        <v>0</v>
      </c>
      <c r="K292" s="31">
        <v>1075964.8639403731</v>
      </c>
      <c r="L292" s="31">
        <v>893050.83707050979</v>
      </c>
      <c r="M292" s="32">
        <f t="shared" si="21"/>
        <v>893050.83707050979</v>
      </c>
      <c r="N292" s="33">
        <f>Result_notebook!L292</f>
        <v>0.83474576271186396</v>
      </c>
      <c r="O292" s="31">
        <f t="shared" si="22"/>
        <v>0</v>
      </c>
      <c r="P292" s="31">
        <f t="shared" si="25"/>
        <v>0</v>
      </c>
      <c r="Q292">
        <f t="shared" si="24"/>
        <v>0</v>
      </c>
    </row>
    <row r="293" spans="1:17" x14ac:dyDescent="0.35">
      <c r="A293">
        <v>2028</v>
      </c>
      <c r="B293" t="s">
        <v>7</v>
      </c>
      <c r="C293" t="s">
        <v>9</v>
      </c>
      <c r="D293" t="s">
        <v>16</v>
      </c>
      <c r="E293" t="s">
        <v>483</v>
      </c>
      <c r="F293" t="s">
        <v>81</v>
      </c>
      <c r="G293" s="31">
        <v>893050.83707050979</v>
      </c>
      <c r="H293" s="31">
        <v>461120</v>
      </c>
      <c r="I293" s="31">
        <v>242368.67797179901</v>
      </c>
      <c r="J293" s="32">
        <f t="shared" si="20"/>
        <v>142549.28812989572</v>
      </c>
      <c r="K293" s="31">
        <v>614844.8639403733</v>
      </c>
      <c r="L293" s="31">
        <v>650682.15909871075</v>
      </c>
      <c r="M293" s="32">
        <f t="shared" si="21"/>
        <v>508132.87096881506</v>
      </c>
      <c r="N293" s="33">
        <f>Result_notebook!L293</f>
        <v>0.83474576271186396</v>
      </c>
      <c r="O293" s="31">
        <f t="shared" si="22"/>
        <v>0</v>
      </c>
      <c r="P293" s="31">
        <f t="shared" si="25"/>
        <v>0</v>
      </c>
      <c r="Q293">
        <f t="shared" si="24"/>
        <v>142549.28812989572</v>
      </c>
    </row>
    <row r="294" spans="1:17" x14ac:dyDescent="0.35">
      <c r="A294">
        <v>2028</v>
      </c>
      <c r="B294" t="s">
        <v>7</v>
      </c>
      <c r="C294" t="s">
        <v>9</v>
      </c>
      <c r="D294" t="s">
        <v>18</v>
      </c>
      <c r="E294" t="s">
        <v>483</v>
      </c>
      <c r="F294" t="s">
        <v>85</v>
      </c>
      <c r="G294" s="31">
        <v>893050.83707050979</v>
      </c>
      <c r="H294" s="31">
        <v>621087.14728660951</v>
      </c>
      <c r="I294" s="31">
        <v>326448.80029738799</v>
      </c>
      <c r="J294" s="32">
        <f t="shared" si="20"/>
        <v>192001.06417490868</v>
      </c>
      <c r="K294" s="31">
        <v>454877.71665376378</v>
      </c>
      <c r="L294" s="31">
        <v>566602.0367731218</v>
      </c>
      <c r="M294" s="32">
        <f t="shared" si="21"/>
        <v>374600.97259821312</v>
      </c>
      <c r="N294" s="33">
        <f>Result_notebook!L294</f>
        <v>0.83474576271186396</v>
      </c>
      <c r="O294" s="31">
        <f t="shared" si="22"/>
        <v>0</v>
      </c>
      <c r="P294" s="31">
        <f t="shared" si="25"/>
        <v>0</v>
      </c>
      <c r="Q294">
        <f t="shared" si="24"/>
        <v>192001.06417490868</v>
      </c>
    </row>
    <row r="295" spans="1:17" x14ac:dyDescent="0.35">
      <c r="A295">
        <v>2028</v>
      </c>
      <c r="B295" t="s">
        <v>7</v>
      </c>
      <c r="C295" t="s">
        <v>9</v>
      </c>
      <c r="D295" t="s">
        <v>18</v>
      </c>
      <c r="E295" t="s">
        <v>483</v>
      </c>
      <c r="F295" t="s">
        <v>86</v>
      </c>
      <c r="G295" s="31">
        <v>893050.83707050979</v>
      </c>
      <c r="H295" s="31">
        <v>621087.14728660951</v>
      </c>
      <c r="I295" s="31">
        <v>326448.80029738799</v>
      </c>
      <c r="J295" s="32">
        <f t="shared" si="20"/>
        <v>192001.06417490868</v>
      </c>
      <c r="K295" s="31">
        <v>454877.71665376378</v>
      </c>
      <c r="L295" s="31">
        <v>566602.0367731218</v>
      </c>
      <c r="M295" s="32">
        <f t="shared" si="21"/>
        <v>374600.97259821312</v>
      </c>
      <c r="N295" s="33">
        <f>Result_notebook!L295</f>
        <v>0.83474576271186396</v>
      </c>
      <c r="O295" s="31">
        <f t="shared" si="22"/>
        <v>0</v>
      </c>
      <c r="P295" s="31">
        <f t="shared" si="25"/>
        <v>0</v>
      </c>
      <c r="Q295">
        <f t="shared" si="24"/>
        <v>192001.06417490868</v>
      </c>
    </row>
    <row r="296" spans="1:17" x14ac:dyDescent="0.35">
      <c r="A296">
        <v>2028</v>
      </c>
      <c r="B296" t="s">
        <v>7</v>
      </c>
      <c r="C296" t="s">
        <v>9</v>
      </c>
      <c r="D296" t="s">
        <v>18</v>
      </c>
      <c r="E296" t="s">
        <v>490</v>
      </c>
      <c r="F296" t="s">
        <v>82</v>
      </c>
      <c r="G296" s="31">
        <v>893050.83707050979</v>
      </c>
      <c r="H296" s="31">
        <v>621087.14728660951</v>
      </c>
      <c r="I296" s="31">
        <v>518449.8644722969</v>
      </c>
      <c r="J296" s="32">
        <f t="shared" si="20"/>
        <v>0</v>
      </c>
      <c r="K296" s="31">
        <v>454877.71665376378</v>
      </c>
      <c r="L296" s="31">
        <v>374600.97259821289</v>
      </c>
      <c r="M296" s="32">
        <f t="shared" si="21"/>
        <v>374600.97259821289</v>
      </c>
      <c r="N296" s="33">
        <f>Result_notebook!L296</f>
        <v>0.83474576271186396</v>
      </c>
      <c r="O296" s="31">
        <f t="shared" si="22"/>
        <v>0</v>
      </c>
      <c r="P296" s="31">
        <f t="shared" si="25"/>
        <v>0</v>
      </c>
      <c r="Q296">
        <f t="shared" si="24"/>
        <v>0</v>
      </c>
    </row>
    <row r="297" spans="1:17" x14ac:dyDescent="0.35">
      <c r="A297">
        <v>2028</v>
      </c>
      <c r="B297" t="s">
        <v>7</v>
      </c>
      <c r="C297" t="s">
        <v>10</v>
      </c>
      <c r="D297" t="s">
        <v>16</v>
      </c>
      <c r="E297" t="s">
        <v>483</v>
      </c>
      <c r="F297" t="s">
        <v>80</v>
      </c>
      <c r="G297" s="31">
        <v>898034.66394728445</v>
      </c>
      <c r="H297" s="31">
        <v>0</v>
      </c>
      <c r="I297" s="31">
        <v>0</v>
      </c>
      <c r="J297" s="32">
        <f t="shared" si="20"/>
        <v>0</v>
      </c>
      <c r="K297" s="31">
        <v>1081969.474635283</v>
      </c>
      <c r="L297" s="31">
        <v>898034.66394728445</v>
      </c>
      <c r="M297" s="32">
        <f t="shared" si="21"/>
        <v>898034.66394728445</v>
      </c>
      <c r="N297" s="33">
        <f>Result_notebook!L297</f>
        <v>0.83474576271186396</v>
      </c>
      <c r="O297" s="31">
        <f t="shared" si="22"/>
        <v>0</v>
      </c>
      <c r="P297" s="31">
        <f t="shared" si="25"/>
        <v>0</v>
      </c>
      <c r="Q297">
        <f t="shared" si="24"/>
        <v>0</v>
      </c>
    </row>
    <row r="298" spans="1:17" x14ac:dyDescent="0.35">
      <c r="A298">
        <v>2028</v>
      </c>
      <c r="B298" t="s">
        <v>7</v>
      </c>
      <c r="C298" t="s">
        <v>10</v>
      </c>
      <c r="D298" t="s">
        <v>16</v>
      </c>
      <c r="E298" t="s">
        <v>483</v>
      </c>
      <c r="F298" t="s">
        <v>81</v>
      </c>
      <c r="G298" s="31">
        <v>898034.66394728445</v>
      </c>
      <c r="H298" s="31">
        <v>461120</v>
      </c>
      <c r="I298" s="31">
        <v>242368.67797179901</v>
      </c>
      <c r="J298" s="32">
        <f t="shared" si="20"/>
        <v>142549.28812989572</v>
      </c>
      <c r="K298" s="31">
        <v>620849.47463528253</v>
      </c>
      <c r="L298" s="31">
        <v>655665.98597548541</v>
      </c>
      <c r="M298" s="32">
        <f t="shared" si="21"/>
        <v>513116.69784558972</v>
      </c>
      <c r="N298" s="33">
        <f>Result_notebook!L298</f>
        <v>0.83474576271186396</v>
      </c>
      <c r="O298" s="31">
        <f t="shared" si="22"/>
        <v>0</v>
      </c>
      <c r="P298" s="31">
        <f t="shared" si="25"/>
        <v>0</v>
      </c>
      <c r="Q298">
        <f t="shared" si="24"/>
        <v>142549.28812989572</v>
      </c>
    </row>
    <row r="299" spans="1:17" x14ac:dyDescent="0.35">
      <c r="A299">
        <v>2028</v>
      </c>
      <c r="B299" t="s">
        <v>7</v>
      </c>
      <c r="C299" t="s">
        <v>10</v>
      </c>
      <c r="D299" t="s">
        <v>18</v>
      </c>
      <c r="E299" t="s">
        <v>483</v>
      </c>
      <c r="F299" t="s">
        <v>85</v>
      </c>
      <c r="G299" s="31">
        <v>898034.66394728445</v>
      </c>
      <c r="H299" s="31">
        <v>621087.14728660951</v>
      </c>
      <c r="I299" s="31">
        <v>326448.80029738799</v>
      </c>
      <c r="J299" s="32">
        <f t="shared" si="20"/>
        <v>192001.06417490868</v>
      </c>
      <c r="K299" s="31">
        <v>460882.32734867302</v>
      </c>
      <c r="L299" s="31">
        <v>571585.86364989646</v>
      </c>
      <c r="M299" s="32">
        <f t="shared" si="21"/>
        <v>379584.79947498778</v>
      </c>
      <c r="N299" s="33">
        <f>Result_notebook!L299</f>
        <v>0.83474576271186396</v>
      </c>
      <c r="O299" s="31">
        <f t="shared" si="22"/>
        <v>0</v>
      </c>
      <c r="P299" s="31">
        <f t="shared" si="25"/>
        <v>0</v>
      </c>
      <c r="Q299">
        <f t="shared" si="24"/>
        <v>192001.06417490868</v>
      </c>
    </row>
    <row r="300" spans="1:17" x14ac:dyDescent="0.35">
      <c r="A300">
        <v>2028</v>
      </c>
      <c r="B300" t="s">
        <v>7</v>
      </c>
      <c r="C300" t="s">
        <v>10</v>
      </c>
      <c r="D300" t="s">
        <v>18</v>
      </c>
      <c r="E300" t="s">
        <v>483</v>
      </c>
      <c r="F300" t="s">
        <v>86</v>
      </c>
      <c r="G300" s="31">
        <v>898034.66394728445</v>
      </c>
      <c r="H300" s="31">
        <v>621087.14728660951</v>
      </c>
      <c r="I300" s="31">
        <v>326448.80029738799</v>
      </c>
      <c r="J300" s="32">
        <f t="shared" si="20"/>
        <v>192001.06417490868</v>
      </c>
      <c r="K300" s="31">
        <v>460882.32734867302</v>
      </c>
      <c r="L300" s="31">
        <v>571585.86364989646</v>
      </c>
      <c r="M300" s="32">
        <f t="shared" si="21"/>
        <v>379584.79947498778</v>
      </c>
      <c r="N300" s="33">
        <f>Result_notebook!L300</f>
        <v>0.83474576271186396</v>
      </c>
      <c r="O300" s="31">
        <f t="shared" si="22"/>
        <v>0</v>
      </c>
      <c r="P300" s="31">
        <f t="shared" si="25"/>
        <v>0</v>
      </c>
      <c r="Q300">
        <f t="shared" si="24"/>
        <v>192001.06417490868</v>
      </c>
    </row>
    <row r="301" spans="1:17" x14ac:dyDescent="0.35">
      <c r="A301">
        <v>2028</v>
      </c>
      <c r="B301" t="s">
        <v>7</v>
      </c>
      <c r="C301" t="s">
        <v>10</v>
      </c>
      <c r="D301" t="s">
        <v>18</v>
      </c>
      <c r="E301" t="s">
        <v>490</v>
      </c>
      <c r="F301" t="s">
        <v>82</v>
      </c>
      <c r="G301" s="31">
        <v>898034.66394728445</v>
      </c>
      <c r="H301" s="31">
        <v>621087.14728660951</v>
      </c>
      <c r="I301" s="31">
        <v>518449.8644722969</v>
      </c>
      <c r="J301" s="32">
        <f t="shared" si="20"/>
        <v>0</v>
      </c>
      <c r="K301" s="31">
        <v>460882.32734867302</v>
      </c>
      <c r="L301" s="31">
        <v>379584.79947498761</v>
      </c>
      <c r="M301" s="32">
        <f t="shared" si="21"/>
        <v>379584.79947498761</v>
      </c>
      <c r="N301" s="33">
        <f>Result_notebook!L301</f>
        <v>0.83474576271186396</v>
      </c>
      <c r="O301" s="31">
        <f t="shared" si="22"/>
        <v>0</v>
      </c>
      <c r="P301" s="31">
        <f t="shared" si="25"/>
        <v>0</v>
      </c>
      <c r="Q301">
        <f t="shared" si="24"/>
        <v>0</v>
      </c>
    </row>
    <row r="302" spans="1:17" x14ac:dyDescent="0.35">
      <c r="A302">
        <v>2028</v>
      </c>
      <c r="B302" t="s">
        <v>11</v>
      </c>
      <c r="C302" t="s">
        <v>4</v>
      </c>
      <c r="D302" t="s">
        <v>16</v>
      </c>
      <c r="E302" t="s">
        <v>483</v>
      </c>
      <c r="F302" t="s">
        <v>80</v>
      </c>
      <c r="G302" s="31">
        <v>1263.9158077811819</v>
      </c>
      <c r="H302" s="31">
        <v>0</v>
      </c>
      <c r="I302" s="31">
        <v>0</v>
      </c>
      <c r="J302" s="32">
        <f t="shared" si="20"/>
        <v>0</v>
      </c>
      <c r="K302" s="31">
        <v>2106.5263463019701</v>
      </c>
      <c r="L302" s="31">
        <v>1263.9158077811819</v>
      </c>
      <c r="M302" s="32">
        <f t="shared" si="21"/>
        <v>1263.9158077811819</v>
      </c>
      <c r="N302" s="33">
        <f>Result_notebook!L302</f>
        <v>1</v>
      </c>
      <c r="O302" s="31">
        <f t="shared" si="22"/>
        <v>0</v>
      </c>
      <c r="P302" s="31">
        <f t="shared" si="25"/>
        <v>0</v>
      </c>
      <c r="Q302">
        <f t="shared" si="24"/>
        <v>0</v>
      </c>
    </row>
    <row r="303" spans="1:17" x14ac:dyDescent="0.35">
      <c r="A303">
        <v>2028</v>
      </c>
      <c r="B303" t="s">
        <v>11</v>
      </c>
      <c r="C303" t="s">
        <v>4</v>
      </c>
      <c r="D303" t="s">
        <v>16</v>
      </c>
      <c r="E303" t="s">
        <v>483</v>
      </c>
      <c r="F303" t="s">
        <v>81</v>
      </c>
      <c r="G303" s="31">
        <v>1263.9158077811819</v>
      </c>
      <c r="H303" s="31">
        <v>0</v>
      </c>
      <c r="I303" s="31">
        <v>0</v>
      </c>
      <c r="J303" s="32">
        <f t="shared" si="20"/>
        <v>0</v>
      </c>
      <c r="K303" s="31">
        <v>2106.5263463019701</v>
      </c>
      <c r="L303" s="31">
        <v>1263.9158077811819</v>
      </c>
      <c r="M303" s="32">
        <f t="shared" si="21"/>
        <v>1263.9158077811819</v>
      </c>
      <c r="N303" s="33">
        <f>Result_notebook!L303</f>
        <v>1</v>
      </c>
      <c r="O303" s="31">
        <f t="shared" si="22"/>
        <v>0</v>
      </c>
      <c r="P303" s="31">
        <f t="shared" si="25"/>
        <v>0</v>
      </c>
      <c r="Q303">
        <f t="shared" si="24"/>
        <v>0</v>
      </c>
    </row>
    <row r="304" spans="1:17" x14ac:dyDescent="0.35">
      <c r="A304">
        <v>2028</v>
      </c>
      <c r="B304" t="s">
        <v>11</v>
      </c>
      <c r="C304" t="s">
        <v>4</v>
      </c>
      <c r="D304" t="s">
        <v>18</v>
      </c>
      <c r="E304" t="s">
        <v>483</v>
      </c>
      <c r="F304" t="s">
        <v>85</v>
      </c>
      <c r="G304" s="31">
        <v>1263.9158077811819</v>
      </c>
      <c r="H304" s="31">
        <v>7.5582684386625987</v>
      </c>
      <c r="I304" s="31">
        <v>4.5239555742639546</v>
      </c>
      <c r="J304" s="32">
        <f t="shared" si="20"/>
        <v>3.0343128643986441</v>
      </c>
      <c r="K304" s="31">
        <v>2098.9680778633069</v>
      </c>
      <c r="L304" s="31">
        <v>1259.391852206918</v>
      </c>
      <c r="M304" s="32">
        <f t="shared" si="21"/>
        <v>1256.3575393425194</v>
      </c>
      <c r="N304" s="33">
        <f>Result_notebook!L304</f>
        <v>1</v>
      </c>
      <c r="O304" s="31">
        <f t="shared" si="22"/>
        <v>0</v>
      </c>
      <c r="P304" s="31">
        <f t="shared" si="25"/>
        <v>0</v>
      </c>
      <c r="Q304">
        <f t="shared" si="24"/>
        <v>3.0343128643986441</v>
      </c>
    </row>
    <row r="305" spans="1:17" x14ac:dyDescent="0.35">
      <c r="A305">
        <v>2028</v>
      </c>
      <c r="B305" t="s">
        <v>11</v>
      </c>
      <c r="C305" t="s">
        <v>4</v>
      </c>
      <c r="D305" t="s">
        <v>18</v>
      </c>
      <c r="E305" t="s">
        <v>483</v>
      </c>
      <c r="F305" t="s">
        <v>86</v>
      </c>
      <c r="G305" s="31">
        <v>1263.9158077811819</v>
      </c>
      <c r="H305" s="31">
        <v>7.5582684386625987</v>
      </c>
      <c r="I305" s="31">
        <v>4.5239555742639546</v>
      </c>
      <c r="J305" s="32">
        <f t="shared" si="20"/>
        <v>3.0343128643986441</v>
      </c>
      <c r="K305" s="31">
        <v>2098.9680778633069</v>
      </c>
      <c r="L305" s="31">
        <v>1259.391852206918</v>
      </c>
      <c r="M305" s="32">
        <f t="shared" si="21"/>
        <v>1256.3575393425194</v>
      </c>
      <c r="N305" s="33">
        <f>Result_notebook!L305</f>
        <v>1</v>
      </c>
      <c r="O305" s="31">
        <f t="shared" si="22"/>
        <v>0</v>
      </c>
      <c r="P305" s="31">
        <f t="shared" si="25"/>
        <v>0</v>
      </c>
      <c r="Q305">
        <f t="shared" si="24"/>
        <v>3.0343128643986441</v>
      </c>
    </row>
    <row r="306" spans="1:17" x14ac:dyDescent="0.35">
      <c r="A306">
        <v>2028</v>
      </c>
      <c r="B306" t="s">
        <v>11</v>
      </c>
      <c r="C306" t="s">
        <v>4</v>
      </c>
      <c r="D306" t="s">
        <v>18</v>
      </c>
      <c r="E306" t="s">
        <v>490</v>
      </c>
      <c r="F306" t="s">
        <v>82</v>
      </c>
      <c r="G306" s="31">
        <v>1263.9158077811819</v>
      </c>
      <c r="H306" s="31">
        <v>7.5582684386625987</v>
      </c>
      <c r="I306" s="31">
        <v>4.5239555742639546</v>
      </c>
      <c r="J306" s="32">
        <f t="shared" si="20"/>
        <v>3.0343128643986441</v>
      </c>
      <c r="K306" s="31">
        <v>2098.9680778633069</v>
      </c>
      <c r="L306" s="31">
        <v>1259.391852206918</v>
      </c>
      <c r="M306" s="32">
        <f t="shared" si="21"/>
        <v>1256.3575393425194</v>
      </c>
      <c r="N306" s="33">
        <f>Result_notebook!L306</f>
        <v>1</v>
      </c>
      <c r="O306" s="31">
        <f t="shared" si="22"/>
        <v>0</v>
      </c>
      <c r="P306" s="31">
        <f t="shared" si="25"/>
        <v>0</v>
      </c>
      <c r="Q306">
        <f t="shared" si="24"/>
        <v>3.0343128643986441</v>
      </c>
    </row>
    <row r="307" spans="1:17" x14ac:dyDescent="0.35">
      <c r="A307">
        <v>2028</v>
      </c>
      <c r="B307" t="s">
        <v>11</v>
      </c>
      <c r="C307" t="s">
        <v>9</v>
      </c>
      <c r="D307" t="s">
        <v>16</v>
      </c>
      <c r="E307" t="s">
        <v>483</v>
      </c>
      <c r="F307" t="s">
        <v>80</v>
      </c>
      <c r="G307" s="31">
        <v>617.02318900867328</v>
      </c>
      <c r="H307" s="31">
        <v>0</v>
      </c>
      <c r="I307" s="31">
        <v>0</v>
      </c>
      <c r="J307" s="32">
        <f t="shared" si="20"/>
        <v>0</v>
      </c>
      <c r="K307" s="31">
        <v>1028.371981681122</v>
      </c>
      <c r="L307" s="31">
        <v>617.02318900867328</v>
      </c>
      <c r="M307" s="32">
        <f t="shared" si="21"/>
        <v>617.02318900867328</v>
      </c>
      <c r="N307" s="33">
        <f>Result_notebook!L307</f>
        <v>1</v>
      </c>
      <c r="O307" s="31">
        <f t="shared" si="22"/>
        <v>0</v>
      </c>
      <c r="P307" s="31">
        <f t="shared" si="25"/>
        <v>0</v>
      </c>
      <c r="Q307">
        <f t="shared" si="24"/>
        <v>0</v>
      </c>
    </row>
    <row r="308" spans="1:17" x14ac:dyDescent="0.35">
      <c r="A308">
        <v>2028</v>
      </c>
      <c r="B308" t="s">
        <v>11</v>
      </c>
      <c r="C308" t="s">
        <v>9</v>
      </c>
      <c r="D308" t="s">
        <v>16</v>
      </c>
      <c r="E308" t="s">
        <v>483</v>
      </c>
      <c r="F308" t="s">
        <v>81</v>
      </c>
      <c r="G308" s="31">
        <v>617.02318900867328</v>
      </c>
      <c r="H308" s="31">
        <v>0</v>
      </c>
      <c r="I308" s="31">
        <v>0</v>
      </c>
      <c r="J308" s="32">
        <f t="shared" si="20"/>
        <v>0</v>
      </c>
      <c r="K308" s="31">
        <v>1028.371981681122</v>
      </c>
      <c r="L308" s="31">
        <v>617.02318900867328</v>
      </c>
      <c r="M308" s="32">
        <f t="shared" si="21"/>
        <v>617.02318900867328</v>
      </c>
      <c r="N308" s="33">
        <f>Result_notebook!L308</f>
        <v>1</v>
      </c>
      <c r="O308" s="31">
        <f t="shared" si="22"/>
        <v>0</v>
      </c>
      <c r="P308" s="31">
        <f t="shared" si="25"/>
        <v>0</v>
      </c>
      <c r="Q308">
        <f t="shared" si="24"/>
        <v>0</v>
      </c>
    </row>
    <row r="309" spans="1:17" x14ac:dyDescent="0.35">
      <c r="A309">
        <v>2028</v>
      </c>
      <c r="B309" t="s">
        <v>11</v>
      </c>
      <c r="C309" t="s">
        <v>9</v>
      </c>
      <c r="D309" t="s">
        <v>18</v>
      </c>
      <c r="E309" t="s">
        <v>483</v>
      </c>
      <c r="F309" t="s">
        <v>85</v>
      </c>
      <c r="G309" s="31">
        <v>617.02318900867328</v>
      </c>
      <c r="H309" s="31">
        <v>7.5582684386625987</v>
      </c>
      <c r="I309" s="31">
        <v>4.5239555742639546</v>
      </c>
      <c r="J309" s="32">
        <f t="shared" si="20"/>
        <v>3.0343128643986441</v>
      </c>
      <c r="K309" s="31">
        <v>1020.81371324246</v>
      </c>
      <c r="L309" s="31">
        <v>612.49923343440935</v>
      </c>
      <c r="M309" s="32">
        <f t="shared" si="21"/>
        <v>609.46492057001069</v>
      </c>
      <c r="N309" s="33">
        <f>Result_notebook!L309</f>
        <v>1</v>
      </c>
      <c r="O309" s="31">
        <f t="shared" si="22"/>
        <v>0</v>
      </c>
      <c r="P309" s="31">
        <f t="shared" si="25"/>
        <v>0</v>
      </c>
      <c r="Q309">
        <f t="shared" si="24"/>
        <v>3.0343128643986441</v>
      </c>
    </row>
    <row r="310" spans="1:17" x14ac:dyDescent="0.35">
      <c r="A310">
        <v>2028</v>
      </c>
      <c r="B310" t="s">
        <v>11</v>
      </c>
      <c r="C310" t="s">
        <v>9</v>
      </c>
      <c r="D310" t="s">
        <v>18</v>
      </c>
      <c r="E310" t="s">
        <v>483</v>
      </c>
      <c r="F310" t="s">
        <v>86</v>
      </c>
      <c r="G310" s="31">
        <v>617.02318900867328</v>
      </c>
      <c r="H310" s="31">
        <v>7.5582684386625987</v>
      </c>
      <c r="I310" s="31">
        <v>4.5239555742639546</v>
      </c>
      <c r="J310" s="32">
        <f t="shared" si="20"/>
        <v>3.0343128643986441</v>
      </c>
      <c r="K310" s="31">
        <v>1020.81371324246</v>
      </c>
      <c r="L310" s="31">
        <v>612.49923343440935</v>
      </c>
      <c r="M310" s="32">
        <f t="shared" si="21"/>
        <v>609.46492057001069</v>
      </c>
      <c r="N310" s="33">
        <f>Result_notebook!L310</f>
        <v>1</v>
      </c>
      <c r="O310" s="31">
        <f t="shared" si="22"/>
        <v>0</v>
      </c>
      <c r="P310" s="31">
        <f t="shared" si="25"/>
        <v>0</v>
      </c>
      <c r="Q310">
        <f t="shared" si="24"/>
        <v>3.0343128643986441</v>
      </c>
    </row>
    <row r="311" spans="1:17" x14ac:dyDescent="0.35">
      <c r="A311">
        <v>2028</v>
      </c>
      <c r="B311" t="s">
        <v>11</v>
      </c>
      <c r="C311" t="s">
        <v>9</v>
      </c>
      <c r="D311" t="s">
        <v>18</v>
      </c>
      <c r="E311" t="s">
        <v>490</v>
      </c>
      <c r="F311" t="s">
        <v>82</v>
      </c>
      <c r="G311" s="31">
        <v>617.02318900867328</v>
      </c>
      <c r="H311" s="31">
        <v>7.5582684386625987</v>
      </c>
      <c r="I311" s="31">
        <v>4.5239555742639546</v>
      </c>
      <c r="J311" s="32">
        <f t="shared" si="20"/>
        <v>3.0343128643986441</v>
      </c>
      <c r="K311" s="31">
        <v>1020.81371324246</v>
      </c>
      <c r="L311" s="31">
        <v>612.49923343440935</v>
      </c>
      <c r="M311" s="32">
        <f t="shared" si="21"/>
        <v>609.46492057001069</v>
      </c>
      <c r="N311" s="33">
        <f>Result_notebook!L311</f>
        <v>1</v>
      </c>
      <c r="O311" s="31">
        <f t="shared" si="22"/>
        <v>0</v>
      </c>
      <c r="P311" s="31">
        <f t="shared" si="25"/>
        <v>0</v>
      </c>
      <c r="Q311">
        <f t="shared" si="24"/>
        <v>3.0343128643986441</v>
      </c>
    </row>
    <row r="312" spans="1:17" x14ac:dyDescent="0.35">
      <c r="A312">
        <v>2028</v>
      </c>
      <c r="B312" t="s">
        <v>11</v>
      </c>
      <c r="C312" t="s">
        <v>10</v>
      </c>
      <c r="D312" t="s">
        <v>16</v>
      </c>
      <c r="E312" t="s">
        <v>483</v>
      </c>
      <c r="F312" t="s">
        <v>80</v>
      </c>
      <c r="G312" s="31">
        <v>1228.637478119615</v>
      </c>
      <c r="H312" s="31">
        <v>0</v>
      </c>
      <c r="I312" s="31">
        <v>0</v>
      </c>
      <c r="J312" s="32">
        <f t="shared" si="20"/>
        <v>0</v>
      </c>
      <c r="K312" s="31">
        <v>2047.729130199358</v>
      </c>
      <c r="L312" s="31">
        <v>1228.637478119615</v>
      </c>
      <c r="M312" s="32">
        <f t="shared" si="21"/>
        <v>1228.637478119615</v>
      </c>
      <c r="N312" s="33">
        <f>Result_notebook!L312</f>
        <v>1</v>
      </c>
      <c r="O312" s="31">
        <f t="shared" si="22"/>
        <v>0</v>
      </c>
      <c r="P312" s="31">
        <f t="shared" si="25"/>
        <v>0</v>
      </c>
      <c r="Q312">
        <f t="shared" si="24"/>
        <v>0</v>
      </c>
    </row>
    <row r="313" spans="1:17" x14ac:dyDescent="0.35">
      <c r="A313">
        <v>2028</v>
      </c>
      <c r="B313" t="s">
        <v>11</v>
      </c>
      <c r="C313" t="s">
        <v>10</v>
      </c>
      <c r="D313" t="s">
        <v>16</v>
      </c>
      <c r="E313" t="s">
        <v>483</v>
      </c>
      <c r="F313" t="s">
        <v>81</v>
      </c>
      <c r="G313" s="31">
        <v>1228.637478119615</v>
      </c>
      <c r="H313" s="31">
        <v>0</v>
      </c>
      <c r="I313" s="31">
        <v>0</v>
      </c>
      <c r="J313" s="32">
        <f t="shared" si="20"/>
        <v>0</v>
      </c>
      <c r="K313" s="31">
        <v>2047.729130199358</v>
      </c>
      <c r="L313" s="31">
        <v>1228.637478119615</v>
      </c>
      <c r="M313" s="32">
        <f t="shared" si="21"/>
        <v>1228.637478119615</v>
      </c>
      <c r="N313" s="33">
        <f>Result_notebook!L313</f>
        <v>1</v>
      </c>
      <c r="O313" s="31">
        <f t="shared" si="22"/>
        <v>0</v>
      </c>
      <c r="P313" s="31">
        <f t="shared" si="25"/>
        <v>0</v>
      </c>
      <c r="Q313">
        <f t="shared" si="24"/>
        <v>0</v>
      </c>
    </row>
    <row r="314" spans="1:17" x14ac:dyDescent="0.35">
      <c r="A314">
        <v>2028</v>
      </c>
      <c r="B314" t="s">
        <v>11</v>
      </c>
      <c r="C314" t="s">
        <v>10</v>
      </c>
      <c r="D314" t="s">
        <v>18</v>
      </c>
      <c r="E314" t="s">
        <v>483</v>
      </c>
      <c r="F314" t="s">
        <v>85</v>
      </c>
      <c r="G314" s="31">
        <v>1228.637478119615</v>
      </c>
      <c r="H314" s="31">
        <v>7.5582684386625987</v>
      </c>
      <c r="I314" s="31">
        <v>4.5239555742639546</v>
      </c>
      <c r="J314" s="32">
        <f t="shared" si="20"/>
        <v>3.0343128643986441</v>
      </c>
      <c r="K314" s="31">
        <v>2040.170861760696</v>
      </c>
      <c r="L314" s="31">
        <v>1224.1135225453511</v>
      </c>
      <c r="M314" s="32">
        <f t="shared" si="21"/>
        <v>1221.0792096809525</v>
      </c>
      <c r="N314" s="33">
        <f>Result_notebook!L314</f>
        <v>1</v>
      </c>
      <c r="O314" s="31">
        <f t="shared" si="22"/>
        <v>0</v>
      </c>
      <c r="P314" s="31">
        <f t="shared" si="25"/>
        <v>0</v>
      </c>
      <c r="Q314">
        <f t="shared" si="24"/>
        <v>3.0343128643986441</v>
      </c>
    </row>
    <row r="315" spans="1:17" x14ac:dyDescent="0.35">
      <c r="A315">
        <v>2028</v>
      </c>
      <c r="B315" t="s">
        <v>11</v>
      </c>
      <c r="C315" t="s">
        <v>10</v>
      </c>
      <c r="D315" t="s">
        <v>18</v>
      </c>
      <c r="E315" t="s">
        <v>483</v>
      </c>
      <c r="F315" t="s">
        <v>86</v>
      </c>
      <c r="G315" s="31">
        <v>1228.637478119615</v>
      </c>
      <c r="H315" s="31">
        <v>7.5582684386625987</v>
      </c>
      <c r="I315" s="31">
        <v>4.5239555742639546</v>
      </c>
      <c r="J315" s="32">
        <f t="shared" si="20"/>
        <v>3.0343128643986441</v>
      </c>
      <c r="K315" s="31">
        <v>2040.170861760696</v>
      </c>
      <c r="L315" s="31">
        <v>1224.1135225453511</v>
      </c>
      <c r="M315" s="32">
        <f t="shared" si="21"/>
        <v>1221.0792096809525</v>
      </c>
      <c r="N315" s="33">
        <f>Result_notebook!L315</f>
        <v>1</v>
      </c>
      <c r="O315" s="31">
        <f t="shared" si="22"/>
        <v>0</v>
      </c>
      <c r="P315" s="31">
        <f t="shared" si="25"/>
        <v>0</v>
      </c>
      <c r="Q315">
        <f t="shared" si="24"/>
        <v>3.0343128643986441</v>
      </c>
    </row>
    <row r="316" spans="1:17" x14ac:dyDescent="0.35">
      <c r="A316">
        <v>2028</v>
      </c>
      <c r="B316" t="s">
        <v>11</v>
      </c>
      <c r="C316" t="s">
        <v>10</v>
      </c>
      <c r="D316" t="s">
        <v>18</v>
      </c>
      <c r="E316" t="s">
        <v>490</v>
      </c>
      <c r="F316" t="s">
        <v>82</v>
      </c>
      <c r="G316" s="31">
        <v>1228.637478119615</v>
      </c>
      <c r="H316" s="31">
        <v>7.5582684386625987</v>
      </c>
      <c r="I316" s="31">
        <v>4.5239555742639546</v>
      </c>
      <c r="J316" s="32">
        <f t="shared" si="20"/>
        <v>3.0343128643986441</v>
      </c>
      <c r="K316" s="31">
        <v>2040.170861760696</v>
      </c>
      <c r="L316" s="31">
        <v>1224.1135225453511</v>
      </c>
      <c r="M316" s="32">
        <f t="shared" si="21"/>
        <v>1221.0792096809525</v>
      </c>
      <c r="N316" s="33">
        <f>Result_notebook!L316</f>
        <v>1</v>
      </c>
      <c r="O316" s="31">
        <f t="shared" si="22"/>
        <v>0</v>
      </c>
      <c r="P316" s="31">
        <f t="shared" si="25"/>
        <v>0</v>
      </c>
      <c r="Q316">
        <f t="shared" si="24"/>
        <v>3.0343128643986441</v>
      </c>
    </row>
    <row r="317" spans="1:17" x14ac:dyDescent="0.35">
      <c r="A317">
        <v>2028</v>
      </c>
      <c r="B317" t="s">
        <v>8</v>
      </c>
      <c r="C317" t="s">
        <v>4</v>
      </c>
      <c r="D317" t="s">
        <v>16</v>
      </c>
      <c r="E317" t="s">
        <v>483</v>
      </c>
      <c r="F317" t="s">
        <v>80</v>
      </c>
      <c r="G317" s="31">
        <v>51389.307268411161</v>
      </c>
      <c r="H317" s="31">
        <v>0</v>
      </c>
      <c r="I317" s="31">
        <v>0</v>
      </c>
      <c r="J317" s="32">
        <f t="shared" si="20"/>
        <v>0</v>
      </c>
      <c r="K317" s="31">
        <v>65049.756035963503</v>
      </c>
      <c r="L317" s="31">
        <v>51389.307268411161</v>
      </c>
      <c r="M317" s="32">
        <f t="shared" si="21"/>
        <v>51389.307268411161</v>
      </c>
      <c r="N317" s="33">
        <f>Result_notebook!L317</f>
        <v>0.69917047091553897</v>
      </c>
      <c r="O317" s="31">
        <f t="shared" si="22"/>
        <v>0</v>
      </c>
      <c r="P317" s="31">
        <f t="shared" si="25"/>
        <v>0</v>
      </c>
      <c r="Q317">
        <f t="shared" si="24"/>
        <v>0</v>
      </c>
    </row>
    <row r="318" spans="1:17" x14ac:dyDescent="0.35">
      <c r="A318">
        <v>2028</v>
      </c>
      <c r="B318" t="s">
        <v>8</v>
      </c>
      <c r="C318" t="s">
        <v>4</v>
      </c>
      <c r="D318" t="s">
        <v>16</v>
      </c>
      <c r="E318" t="s">
        <v>483</v>
      </c>
      <c r="F318" t="s">
        <v>81</v>
      </c>
      <c r="G318" s="31">
        <v>51389.307268411161</v>
      </c>
      <c r="H318" s="31">
        <v>154764</v>
      </c>
      <c r="I318" s="31">
        <v>86804.038957444558</v>
      </c>
      <c r="J318" s="32">
        <f t="shared" si="20"/>
        <v>21402.379803327916</v>
      </c>
      <c r="K318" s="31">
        <v>0</v>
      </c>
      <c r="L318" s="31">
        <v>0</v>
      </c>
      <c r="M318" s="32">
        <f t="shared" si="21"/>
        <v>0</v>
      </c>
      <c r="N318" s="33">
        <f>Result_notebook!L318</f>
        <v>0.69917047091553897</v>
      </c>
      <c r="O318" s="31">
        <f t="shared" si="22"/>
        <v>-56817.111492361313</v>
      </c>
      <c r="P318" s="31">
        <f t="shared" si="25"/>
        <v>35414.731689033397</v>
      </c>
      <c r="Q318">
        <f t="shared" si="24"/>
        <v>21402.379803327916</v>
      </c>
    </row>
    <row r="319" spans="1:17" x14ac:dyDescent="0.35">
      <c r="A319">
        <v>2028</v>
      </c>
      <c r="B319" t="s">
        <v>8</v>
      </c>
      <c r="C319" t="s">
        <v>4</v>
      </c>
      <c r="D319" t="s">
        <v>18</v>
      </c>
      <c r="E319" t="s">
        <v>483</v>
      </c>
      <c r="F319" t="s">
        <v>85</v>
      </c>
      <c r="G319" s="31">
        <v>51389.307268411161</v>
      </c>
      <c r="H319" s="31">
        <v>210047</v>
      </c>
      <c r="I319" s="31">
        <v>117811.1703683955</v>
      </c>
      <c r="J319" s="32">
        <f t="shared" si="20"/>
        <v>29047.489536000721</v>
      </c>
      <c r="K319" s="31">
        <v>0</v>
      </c>
      <c r="L319" s="31">
        <v>0</v>
      </c>
      <c r="M319" s="32">
        <f t="shared" si="21"/>
        <v>0</v>
      </c>
      <c r="N319" s="33">
        <f>Result_notebook!L319</f>
        <v>0.69917047091553897</v>
      </c>
      <c r="O319" s="31">
        <f t="shared" si="22"/>
        <v>-95469.352635985066</v>
      </c>
      <c r="P319" s="31">
        <f t="shared" si="25"/>
        <v>66421.86309998433</v>
      </c>
      <c r="Q319">
        <f t="shared" si="24"/>
        <v>29047.489536000721</v>
      </c>
    </row>
    <row r="320" spans="1:17" x14ac:dyDescent="0.35">
      <c r="A320">
        <v>2028</v>
      </c>
      <c r="B320" t="s">
        <v>8</v>
      </c>
      <c r="C320" t="s">
        <v>4</v>
      </c>
      <c r="D320" t="s">
        <v>18</v>
      </c>
      <c r="E320" t="s">
        <v>483</v>
      </c>
      <c r="F320" t="s">
        <v>86</v>
      </c>
      <c r="G320" s="31">
        <v>51389.307268411161</v>
      </c>
      <c r="H320" s="31">
        <v>210047</v>
      </c>
      <c r="I320" s="31">
        <v>117811.1703683955</v>
      </c>
      <c r="J320" s="32">
        <f t="shared" si="20"/>
        <v>29047.489536000721</v>
      </c>
      <c r="K320" s="31">
        <v>0</v>
      </c>
      <c r="L320" s="31">
        <v>0</v>
      </c>
      <c r="M320" s="32">
        <f t="shared" si="21"/>
        <v>0</v>
      </c>
      <c r="N320" s="33">
        <f>Result_notebook!L320</f>
        <v>0.69917047091553897</v>
      </c>
      <c r="O320" s="31">
        <f t="shared" si="22"/>
        <v>-95469.352635985066</v>
      </c>
      <c r="P320" s="31">
        <f t="shared" si="25"/>
        <v>66421.86309998433</v>
      </c>
      <c r="Q320">
        <f t="shared" si="24"/>
        <v>29047.489536000721</v>
      </c>
    </row>
    <row r="321" spans="1:17" x14ac:dyDescent="0.35">
      <c r="A321">
        <v>2028</v>
      </c>
      <c r="B321" t="s">
        <v>8</v>
      </c>
      <c r="C321" t="s">
        <v>4</v>
      </c>
      <c r="D321" t="s">
        <v>18</v>
      </c>
      <c r="E321" t="s">
        <v>490</v>
      </c>
      <c r="F321" t="s">
        <v>82</v>
      </c>
      <c r="G321" s="31">
        <v>51389.307268411161</v>
      </c>
      <c r="H321" s="31">
        <v>210047</v>
      </c>
      <c r="I321" s="31">
        <v>165423.56442489001</v>
      </c>
      <c r="J321" s="32">
        <f t="shared" si="20"/>
        <v>-18564.904520493787</v>
      </c>
      <c r="K321" s="31">
        <v>0</v>
      </c>
      <c r="L321" s="31">
        <v>0</v>
      </c>
      <c r="M321" s="32">
        <f t="shared" si="21"/>
        <v>18564.904520493787</v>
      </c>
      <c r="N321" s="33">
        <f>Result_notebook!L321</f>
        <v>0.69917047091553897</v>
      </c>
      <c r="O321" s="31">
        <f t="shared" si="22"/>
        <v>-114034.25715647885</v>
      </c>
      <c r="P321" s="31">
        <f t="shared" si="25"/>
        <v>114034.25715647885</v>
      </c>
      <c r="Q321">
        <f t="shared" si="24"/>
        <v>-18564.904520493787</v>
      </c>
    </row>
    <row r="322" spans="1:17" x14ac:dyDescent="0.35">
      <c r="A322">
        <v>2028</v>
      </c>
      <c r="B322" t="s">
        <v>8</v>
      </c>
      <c r="C322" t="s">
        <v>9</v>
      </c>
      <c r="D322" t="s">
        <v>16</v>
      </c>
      <c r="E322" t="s">
        <v>483</v>
      </c>
      <c r="F322" t="s">
        <v>80</v>
      </c>
      <c r="G322" s="31">
        <v>32884.415205425117</v>
      </c>
      <c r="H322" s="31">
        <v>0</v>
      </c>
      <c r="I322" s="31">
        <v>0</v>
      </c>
      <c r="J322" s="32">
        <f t="shared" si="20"/>
        <v>0</v>
      </c>
      <c r="K322" s="31">
        <v>41625.842032183689</v>
      </c>
      <c r="L322" s="31">
        <v>32884.415205425117</v>
      </c>
      <c r="M322" s="32">
        <f t="shared" si="21"/>
        <v>32884.415205425117</v>
      </c>
      <c r="N322" s="33">
        <f>Result_notebook!L322</f>
        <v>0.69917047091553897</v>
      </c>
      <c r="O322" s="31">
        <f t="shared" si="22"/>
        <v>0</v>
      </c>
      <c r="P322" s="31">
        <f t="shared" si="25"/>
        <v>0</v>
      </c>
      <c r="Q322">
        <f t="shared" si="24"/>
        <v>0</v>
      </c>
    </row>
    <row r="323" spans="1:17" x14ac:dyDescent="0.35">
      <c r="A323">
        <v>2028</v>
      </c>
      <c r="B323" t="s">
        <v>8</v>
      </c>
      <c r="C323" t="s">
        <v>9</v>
      </c>
      <c r="D323" t="s">
        <v>16</v>
      </c>
      <c r="E323" t="s">
        <v>483</v>
      </c>
      <c r="F323" t="s">
        <v>81</v>
      </c>
      <c r="G323" s="31">
        <v>32884.415205425117</v>
      </c>
      <c r="H323" s="31">
        <v>154764</v>
      </c>
      <c r="I323" s="31">
        <v>86804.038957444558</v>
      </c>
      <c r="J323" s="32">
        <f t="shared" ref="J323:J386" si="26">H323*N323-I323</f>
        <v>21402.379803327916</v>
      </c>
      <c r="K323" s="31">
        <v>0</v>
      </c>
      <c r="L323" s="31">
        <v>0</v>
      </c>
      <c r="M323" s="32">
        <f t="shared" ref="M323:M386" si="27">MAX(L323-J323,0)</f>
        <v>0</v>
      </c>
      <c r="N323" s="33">
        <f>Result_notebook!L323</f>
        <v>0.69917047091553897</v>
      </c>
      <c r="O323" s="31">
        <f t="shared" ref="O323:O386" si="28">G323-(I323+J323+M323)</f>
        <v>-75322.003555347357</v>
      </c>
      <c r="P323" s="31">
        <f t="shared" ref="P323:P326" si="29">MAX(I323-G323,0)</f>
        <v>53919.623752019441</v>
      </c>
      <c r="Q323">
        <f t="shared" ref="Q323:Q386" si="30">(H323*N323)-I323</f>
        <v>21402.379803327916</v>
      </c>
    </row>
    <row r="324" spans="1:17" x14ac:dyDescent="0.35">
      <c r="A324">
        <v>2028</v>
      </c>
      <c r="B324" t="s">
        <v>8</v>
      </c>
      <c r="C324" t="s">
        <v>9</v>
      </c>
      <c r="D324" t="s">
        <v>18</v>
      </c>
      <c r="E324" t="s">
        <v>483</v>
      </c>
      <c r="F324" t="s">
        <v>85</v>
      </c>
      <c r="G324" s="31">
        <v>32884.415205425117</v>
      </c>
      <c r="H324" s="31">
        <v>210047</v>
      </c>
      <c r="I324" s="31">
        <v>117811.1703683955</v>
      </c>
      <c r="J324" s="32">
        <f t="shared" si="26"/>
        <v>29047.489536000721</v>
      </c>
      <c r="K324" s="31">
        <v>0</v>
      </c>
      <c r="L324" s="31">
        <v>0</v>
      </c>
      <c r="M324" s="32">
        <f t="shared" si="27"/>
        <v>0</v>
      </c>
      <c r="N324" s="33">
        <f>Result_notebook!L324</f>
        <v>0.69917047091553897</v>
      </c>
      <c r="O324" s="31">
        <f t="shared" si="28"/>
        <v>-113974.2446989711</v>
      </c>
      <c r="P324" s="31">
        <f t="shared" si="29"/>
        <v>84926.755162970381</v>
      </c>
      <c r="Q324">
        <f t="shared" si="30"/>
        <v>29047.489536000721</v>
      </c>
    </row>
    <row r="325" spans="1:17" x14ac:dyDescent="0.35">
      <c r="A325">
        <v>2028</v>
      </c>
      <c r="B325" t="s">
        <v>8</v>
      </c>
      <c r="C325" t="s">
        <v>9</v>
      </c>
      <c r="D325" t="s">
        <v>18</v>
      </c>
      <c r="E325" t="s">
        <v>483</v>
      </c>
      <c r="F325" t="s">
        <v>86</v>
      </c>
      <c r="G325" s="31">
        <v>32884.415205425117</v>
      </c>
      <c r="H325" s="31">
        <v>210047</v>
      </c>
      <c r="I325" s="31">
        <v>117811.1703683955</v>
      </c>
      <c r="J325" s="32">
        <f t="shared" si="26"/>
        <v>29047.489536000721</v>
      </c>
      <c r="K325" s="31">
        <v>0</v>
      </c>
      <c r="L325" s="31">
        <v>0</v>
      </c>
      <c r="M325" s="32">
        <f t="shared" si="27"/>
        <v>0</v>
      </c>
      <c r="N325" s="33">
        <f>Result_notebook!L325</f>
        <v>0.69917047091553897</v>
      </c>
      <c r="O325" s="31">
        <f t="shared" si="28"/>
        <v>-113974.2446989711</v>
      </c>
      <c r="P325" s="31">
        <f t="shared" si="29"/>
        <v>84926.755162970381</v>
      </c>
      <c r="Q325">
        <f t="shared" si="30"/>
        <v>29047.489536000721</v>
      </c>
    </row>
    <row r="326" spans="1:17" x14ac:dyDescent="0.35">
      <c r="A326">
        <v>2028</v>
      </c>
      <c r="B326" t="s">
        <v>8</v>
      </c>
      <c r="C326" t="s">
        <v>9</v>
      </c>
      <c r="D326" t="s">
        <v>18</v>
      </c>
      <c r="E326" t="s">
        <v>490</v>
      </c>
      <c r="F326" t="s">
        <v>82</v>
      </c>
      <c r="G326" s="31">
        <v>32884.415205425117</v>
      </c>
      <c r="H326" s="31">
        <v>210047</v>
      </c>
      <c r="I326" s="31">
        <v>165423.56442489001</v>
      </c>
      <c r="J326" s="32">
        <f t="shared" si="26"/>
        <v>-18564.904520493787</v>
      </c>
      <c r="K326" s="31">
        <v>0</v>
      </c>
      <c r="L326" s="31">
        <v>0</v>
      </c>
      <c r="M326" s="32">
        <f t="shared" si="27"/>
        <v>18564.904520493787</v>
      </c>
      <c r="N326" s="33">
        <f>Result_notebook!L326</f>
        <v>0.69917047091553897</v>
      </c>
      <c r="O326" s="31">
        <f t="shared" si="28"/>
        <v>-132539.14921946489</v>
      </c>
      <c r="P326" s="31">
        <f t="shared" si="29"/>
        <v>132539.14921946489</v>
      </c>
      <c r="Q326">
        <f t="shared" si="30"/>
        <v>-18564.904520493787</v>
      </c>
    </row>
    <row r="327" spans="1:17" x14ac:dyDescent="0.35">
      <c r="A327">
        <v>2028</v>
      </c>
      <c r="B327" t="s">
        <v>8</v>
      </c>
      <c r="C327" t="s">
        <v>10</v>
      </c>
      <c r="D327" t="s">
        <v>16</v>
      </c>
      <c r="E327" t="s">
        <v>483</v>
      </c>
      <c r="F327" t="s">
        <v>80</v>
      </c>
      <c r="G327" s="31">
        <v>49184.449113354851</v>
      </c>
      <c r="H327" s="31">
        <v>0</v>
      </c>
      <c r="I327" s="31">
        <v>0</v>
      </c>
      <c r="J327" s="32">
        <f t="shared" si="26"/>
        <v>0</v>
      </c>
      <c r="K327" s="31">
        <v>62258.796346018797</v>
      </c>
      <c r="L327" s="31">
        <v>49184.449113354851</v>
      </c>
      <c r="M327" s="32">
        <f t="shared" si="27"/>
        <v>49184.449113354851</v>
      </c>
      <c r="N327" s="33">
        <f>Result_notebook!L327</f>
        <v>0.69917047091553897</v>
      </c>
      <c r="O327" s="31">
        <f t="shared" si="28"/>
        <v>0</v>
      </c>
      <c r="P327" s="31">
        <f t="shared" ref="P327:P386" si="31">MAX(I327-G327,0)</f>
        <v>0</v>
      </c>
      <c r="Q327">
        <f t="shared" si="30"/>
        <v>0</v>
      </c>
    </row>
    <row r="328" spans="1:17" x14ac:dyDescent="0.35">
      <c r="A328">
        <v>2028</v>
      </c>
      <c r="B328" t="s">
        <v>8</v>
      </c>
      <c r="C328" t="s">
        <v>10</v>
      </c>
      <c r="D328" t="s">
        <v>16</v>
      </c>
      <c r="E328" t="s">
        <v>483</v>
      </c>
      <c r="F328" t="s">
        <v>81</v>
      </c>
      <c r="G328" s="31">
        <v>49184.449113354851</v>
      </c>
      <c r="H328" s="31">
        <v>154764</v>
      </c>
      <c r="I328" s="31">
        <v>86804.038957444558</v>
      </c>
      <c r="J328" s="32">
        <f t="shared" si="26"/>
        <v>21402.379803327916</v>
      </c>
      <c r="K328" s="31">
        <v>0</v>
      </c>
      <c r="L328" s="31">
        <v>0</v>
      </c>
      <c r="M328" s="32">
        <f t="shared" si="27"/>
        <v>0</v>
      </c>
      <c r="N328" s="33">
        <f>Result_notebook!L328</f>
        <v>0.69917047091553897</v>
      </c>
      <c r="O328" s="31">
        <f t="shared" si="28"/>
        <v>-59021.969647417623</v>
      </c>
      <c r="P328" s="31">
        <f t="shared" si="31"/>
        <v>37619.589844089707</v>
      </c>
      <c r="Q328">
        <f t="shared" si="30"/>
        <v>21402.379803327916</v>
      </c>
    </row>
    <row r="329" spans="1:17" x14ac:dyDescent="0.35">
      <c r="A329">
        <v>2028</v>
      </c>
      <c r="B329" t="s">
        <v>8</v>
      </c>
      <c r="C329" t="s">
        <v>10</v>
      </c>
      <c r="D329" t="s">
        <v>18</v>
      </c>
      <c r="E329" t="s">
        <v>483</v>
      </c>
      <c r="F329" t="s">
        <v>85</v>
      </c>
      <c r="G329" s="31">
        <v>49184.449113354851</v>
      </c>
      <c r="H329" s="31">
        <v>210047</v>
      </c>
      <c r="I329" s="31">
        <v>117811.1703683955</v>
      </c>
      <c r="J329" s="32">
        <f t="shared" si="26"/>
        <v>29047.489536000721</v>
      </c>
      <c r="K329" s="31">
        <v>0</v>
      </c>
      <c r="L329" s="31">
        <v>0</v>
      </c>
      <c r="M329" s="32">
        <f t="shared" si="27"/>
        <v>0</v>
      </c>
      <c r="N329" s="33">
        <f>Result_notebook!L329</f>
        <v>0.69917047091553897</v>
      </c>
      <c r="O329" s="31">
        <f t="shared" si="28"/>
        <v>-97674.210791041376</v>
      </c>
      <c r="P329" s="31">
        <f t="shared" si="31"/>
        <v>68626.72125504064</v>
      </c>
      <c r="Q329">
        <f t="shared" si="30"/>
        <v>29047.489536000721</v>
      </c>
    </row>
    <row r="330" spans="1:17" x14ac:dyDescent="0.35">
      <c r="A330">
        <v>2028</v>
      </c>
      <c r="B330" t="s">
        <v>8</v>
      </c>
      <c r="C330" t="s">
        <v>10</v>
      </c>
      <c r="D330" t="s">
        <v>18</v>
      </c>
      <c r="E330" t="s">
        <v>483</v>
      </c>
      <c r="F330" t="s">
        <v>86</v>
      </c>
      <c r="G330" s="31">
        <v>49184.449113354851</v>
      </c>
      <c r="H330" s="31">
        <v>210047</v>
      </c>
      <c r="I330" s="31">
        <v>117811.1703683955</v>
      </c>
      <c r="J330" s="32">
        <f t="shared" si="26"/>
        <v>29047.489536000721</v>
      </c>
      <c r="K330" s="31">
        <v>0</v>
      </c>
      <c r="L330" s="31">
        <v>0</v>
      </c>
      <c r="M330" s="32">
        <f t="shared" si="27"/>
        <v>0</v>
      </c>
      <c r="N330" s="33">
        <f>Result_notebook!L330</f>
        <v>0.69917047091553897</v>
      </c>
      <c r="O330" s="31">
        <f t="shared" si="28"/>
        <v>-97674.210791041376</v>
      </c>
      <c r="P330" s="31">
        <f t="shared" si="31"/>
        <v>68626.72125504064</v>
      </c>
      <c r="Q330">
        <f t="shared" si="30"/>
        <v>29047.489536000721</v>
      </c>
    </row>
    <row r="331" spans="1:17" x14ac:dyDescent="0.35">
      <c r="A331">
        <v>2028</v>
      </c>
      <c r="B331" t="s">
        <v>8</v>
      </c>
      <c r="C331" t="s">
        <v>10</v>
      </c>
      <c r="D331" t="s">
        <v>18</v>
      </c>
      <c r="E331" t="s">
        <v>490</v>
      </c>
      <c r="F331" t="s">
        <v>82</v>
      </c>
      <c r="G331" s="31">
        <v>49184.449113354851</v>
      </c>
      <c r="H331" s="31">
        <v>210047</v>
      </c>
      <c r="I331" s="31">
        <v>165423.56442489001</v>
      </c>
      <c r="J331" s="32">
        <f t="shared" si="26"/>
        <v>-18564.904520493787</v>
      </c>
      <c r="K331" s="31">
        <v>0</v>
      </c>
      <c r="L331" s="31">
        <v>0</v>
      </c>
      <c r="M331" s="32">
        <f t="shared" si="27"/>
        <v>18564.904520493787</v>
      </c>
      <c r="N331" s="33">
        <f>Result_notebook!L331</f>
        <v>0.69917047091553897</v>
      </c>
      <c r="O331" s="31">
        <f t="shared" si="28"/>
        <v>-116239.11531153516</v>
      </c>
      <c r="P331" s="31">
        <f t="shared" si="31"/>
        <v>116239.11531153516</v>
      </c>
      <c r="Q331">
        <f t="shared" si="30"/>
        <v>-18564.904520493787</v>
      </c>
    </row>
    <row r="332" spans="1:17" x14ac:dyDescent="0.35">
      <c r="A332">
        <v>2028</v>
      </c>
      <c r="B332" t="s">
        <v>13</v>
      </c>
      <c r="C332" t="s">
        <v>4</v>
      </c>
      <c r="D332" t="s">
        <v>16</v>
      </c>
      <c r="E332" t="s">
        <v>483</v>
      </c>
      <c r="F332" t="s">
        <v>80</v>
      </c>
      <c r="G332" s="31">
        <v>1182.9561420443069</v>
      </c>
      <c r="H332" s="31">
        <v>0</v>
      </c>
      <c r="I332" s="31">
        <v>0</v>
      </c>
      <c r="J332" s="32">
        <f t="shared" si="26"/>
        <v>0</v>
      </c>
      <c r="K332" s="31">
        <v>1182.9561420443069</v>
      </c>
      <c r="L332" s="31">
        <v>1182.9561420443069</v>
      </c>
      <c r="M332" s="32">
        <f t="shared" si="27"/>
        <v>1182.9561420443069</v>
      </c>
      <c r="N332" s="33">
        <f>Result_notebook!L332</f>
        <v>0.59854391398996798</v>
      </c>
      <c r="O332" s="31">
        <f t="shared" si="28"/>
        <v>0</v>
      </c>
      <c r="P332" s="31">
        <f t="shared" si="31"/>
        <v>0</v>
      </c>
      <c r="Q332">
        <f t="shared" si="30"/>
        <v>0</v>
      </c>
    </row>
    <row r="333" spans="1:17" x14ac:dyDescent="0.35">
      <c r="A333">
        <v>2028</v>
      </c>
      <c r="B333" t="s">
        <v>13</v>
      </c>
      <c r="C333" t="s">
        <v>4</v>
      </c>
      <c r="D333" t="s">
        <v>16</v>
      </c>
      <c r="E333" t="s">
        <v>483</v>
      </c>
      <c r="F333" t="s">
        <v>81</v>
      </c>
      <c r="G333" s="31">
        <v>1182.9561420443069</v>
      </c>
      <c r="H333" s="31">
        <v>0</v>
      </c>
      <c r="I333" s="31">
        <v>0</v>
      </c>
      <c r="J333" s="32">
        <f t="shared" si="26"/>
        <v>0</v>
      </c>
      <c r="K333" s="31">
        <v>1182.9561420443069</v>
      </c>
      <c r="L333" s="31">
        <v>1182.9561420443069</v>
      </c>
      <c r="M333" s="32">
        <f t="shared" si="27"/>
        <v>1182.9561420443069</v>
      </c>
      <c r="N333" s="33">
        <f>Result_notebook!L333</f>
        <v>0.59854391398996798</v>
      </c>
      <c r="O333" s="31">
        <f t="shared" si="28"/>
        <v>0</v>
      </c>
      <c r="P333" s="31">
        <f t="shared" si="31"/>
        <v>0</v>
      </c>
      <c r="Q333">
        <f t="shared" si="30"/>
        <v>0</v>
      </c>
    </row>
    <row r="334" spans="1:17" x14ac:dyDescent="0.35">
      <c r="A334">
        <v>2028</v>
      </c>
      <c r="B334" t="s">
        <v>13</v>
      </c>
      <c r="C334" t="s">
        <v>4</v>
      </c>
      <c r="D334" t="s">
        <v>18</v>
      </c>
      <c r="E334" t="s">
        <v>483</v>
      </c>
      <c r="F334" t="s">
        <v>85</v>
      </c>
      <c r="G334" s="31">
        <v>1182.9561420443069</v>
      </c>
      <c r="H334" s="31">
        <v>99735</v>
      </c>
      <c r="I334" s="31">
        <v>32912.550000000003</v>
      </c>
      <c r="J334" s="32">
        <f t="shared" si="26"/>
        <v>26783.227261789456</v>
      </c>
      <c r="K334" s="31">
        <v>0</v>
      </c>
      <c r="L334" s="31">
        <v>0</v>
      </c>
      <c r="M334" s="32">
        <f t="shared" si="27"/>
        <v>0</v>
      </c>
      <c r="N334" s="33">
        <f>Result_notebook!L334</f>
        <v>0.59854391398996798</v>
      </c>
      <c r="O334" s="31">
        <f t="shared" si="28"/>
        <v>-58512.821119745153</v>
      </c>
      <c r="P334" s="31">
        <f t="shared" si="31"/>
        <v>31729.593857955697</v>
      </c>
      <c r="Q334">
        <f t="shared" si="30"/>
        <v>26783.227261789456</v>
      </c>
    </row>
    <row r="335" spans="1:17" x14ac:dyDescent="0.35">
      <c r="A335">
        <v>2028</v>
      </c>
      <c r="B335" t="s">
        <v>13</v>
      </c>
      <c r="C335" t="s">
        <v>4</v>
      </c>
      <c r="D335" t="s">
        <v>18</v>
      </c>
      <c r="E335" t="s">
        <v>483</v>
      </c>
      <c r="F335" t="s">
        <v>86</v>
      </c>
      <c r="G335" s="31">
        <v>1182.9561420443069</v>
      </c>
      <c r="H335" s="31">
        <v>99735</v>
      </c>
      <c r="I335" s="31">
        <v>32912.550000000003</v>
      </c>
      <c r="J335" s="32">
        <f t="shared" si="26"/>
        <v>26783.227261789456</v>
      </c>
      <c r="K335" s="31">
        <v>0</v>
      </c>
      <c r="L335" s="31">
        <v>0</v>
      </c>
      <c r="M335" s="32">
        <f t="shared" si="27"/>
        <v>0</v>
      </c>
      <c r="N335" s="33">
        <f>Result_notebook!L335</f>
        <v>0.59854391398996798</v>
      </c>
      <c r="O335" s="31">
        <f t="shared" si="28"/>
        <v>-58512.821119745153</v>
      </c>
      <c r="P335" s="31">
        <f t="shared" si="31"/>
        <v>31729.593857955697</v>
      </c>
      <c r="Q335">
        <f t="shared" si="30"/>
        <v>26783.227261789456</v>
      </c>
    </row>
    <row r="336" spans="1:17" x14ac:dyDescent="0.35">
      <c r="A336">
        <v>2028</v>
      </c>
      <c r="B336" t="s">
        <v>13</v>
      </c>
      <c r="C336" t="s">
        <v>4</v>
      </c>
      <c r="D336" t="s">
        <v>18</v>
      </c>
      <c r="E336" t="s">
        <v>490</v>
      </c>
      <c r="F336" t="s">
        <v>82</v>
      </c>
      <c r="G336" s="31">
        <v>1182.9561420443069</v>
      </c>
      <c r="H336" s="31">
        <v>99735</v>
      </c>
      <c r="I336" s="31">
        <v>32912.550000000003</v>
      </c>
      <c r="J336" s="32">
        <f t="shared" si="26"/>
        <v>26783.227261789456</v>
      </c>
      <c r="K336" s="31">
        <v>0</v>
      </c>
      <c r="L336" s="31">
        <v>0</v>
      </c>
      <c r="M336" s="32">
        <f t="shared" si="27"/>
        <v>0</v>
      </c>
      <c r="N336" s="33">
        <f>Result_notebook!L336</f>
        <v>0.59854391398996798</v>
      </c>
      <c r="O336" s="31">
        <f t="shared" si="28"/>
        <v>-58512.821119745153</v>
      </c>
      <c r="P336" s="31">
        <f t="shared" si="31"/>
        <v>31729.593857955697</v>
      </c>
      <c r="Q336">
        <f t="shared" si="30"/>
        <v>26783.227261789456</v>
      </c>
    </row>
    <row r="337" spans="1:17" x14ac:dyDescent="0.35">
      <c r="A337">
        <v>2028</v>
      </c>
      <c r="B337" t="s">
        <v>13</v>
      </c>
      <c r="C337" t="s">
        <v>9</v>
      </c>
      <c r="D337" t="s">
        <v>16</v>
      </c>
      <c r="E337" t="s">
        <v>483</v>
      </c>
      <c r="F337" t="s">
        <v>80</v>
      </c>
      <c r="G337" s="31">
        <v>671.91452613806371</v>
      </c>
      <c r="H337" s="31">
        <v>0</v>
      </c>
      <c r="I337" s="31">
        <v>0</v>
      </c>
      <c r="J337" s="32">
        <f t="shared" si="26"/>
        <v>0</v>
      </c>
      <c r="K337" s="31">
        <v>671.91452613806371</v>
      </c>
      <c r="L337" s="31">
        <v>671.91452613806371</v>
      </c>
      <c r="M337" s="32">
        <f t="shared" si="27"/>
        <v>671.91452613806371</v>
      </c>
      <c r="N337" s="33">
        <f>Result_notebook!L337</f>
        <v>0.59854391398996798</v>
      </c>
      <c r="O337" s="31">
        <f t="shared" si="28"/>
        <v>0</v>
      </c>
      <c r="P337" s="31">
        <f t="shared" si="31"/>
        <v>0</v>
      </c>
      <c r="Q337">
        <f t="shared" si="30"/>
        <v>0</v>
      </c>
    </row>
    <row r="338" spans="1:17" x14ac:dyDescent="0.35">
      <c r="A338">
        <v>2028</v>
      </c>
      <c r="B338" t="s">
        <v>13</v>
      </c>
      <c r="C338" t="s">
        <v>9</v>
      </c>
      <c r="D338" t="s">
        <v>16</v>
      </c>
      <c r="E338" t="s">
        <v>483</v>
      </c>
      <c r="F338" t="s">
        <v>81</v>
      </c>
      <c r="G338" s="31">
        <v>671.91452613806371</v>
      </c>
      <c r="H338" s="31">
        <v>0</v>
      </c>
      <c r="I338" s="31">
        <v>0</v>
      </c>
      <c r="J338" s="32">
        <f t="shared" si="26"/>
        <v>0</v>
      </c>
      <c r="K338" s="31">
        <v>671.91452613806371</v>
      </c>
      <c r="L338" s="31">
        <v>671.91452613806371</v>
      </c>
      <c r="M338" s="32">
        <f t="shared" si="27"/>
        <v>671.91452613806371</v>
      </c>
      <c r="N338" s="33">
        <f>Result_notebook!L338</f>
        <v>0.59854391398996798</v>
      </c>
      <c r="O338" s="31">
        <f t="shared" si="28"/>
        <v>0</v>
      </c>
      <c r="P338" s="31">
        <f t="shared" si="31"/>
        <v>0</v>
      </c>
      <c r="Q338">
        <f t="shared" si="30"/>
        <v>0</v>
      </c>
    </row>
    <row r="339" spans="1:17" x14ac:dyDescent="0.35">
      <c r="A339">
        <v>2028</v>
      </c>
      <c r="B339" t="s">
        <v>13</v>
      </c>
      <c r="C339" t="s">
        <v>9</v>
      </c>
      <c r="D339" t="s">
        <v>18</v>
      </c>
      <c r="E339" t="s">
        <v>483</v>
      </c>
      <c r="F339" t="s">
        <v>85</v>
      </c>
      <c r="G339" s="31">
        <v>671.91452613806371</v>
      </c>
      <c r="H339" s="31">
        <v>99735</v>
      </c>
      <c r="I339" s="31">
        <v>32912.550000000003</v>
      </c>
      <c r="J339" s="32">
        <f t="shared" si="26"/>
        <v>26783.227261789456</v>
      </c>
      <c r="K339" s="31">
        <v>0</v>
      </c>
      <c r="L339" s="31">
        <v>0</v>
      </c>
      <c r="M339" s="32">
        <f t="shared" si="27"/>
        <v>0</v>
      </c>
      <c r="N339" s="33">
        <f>Result_notebook!L339</f>
        <v>0.59854391398996798</v>
      </c>
      <c r="O339" s="31">
        <f t="shared" si="28"/>
        <v>-59023.862735651397</v>
      </c>
      <c r="P339" s="31">
        <f t="shared" si="31"/>
        <v>32240.635473861937</v>
      </c>
      <c r="Q339">
        <f t="shared" si="30"/>
        <v>26783.227261789456</v>
      </c>
    </row>
    <row r="340" spans="1:17" x14ac:dyDescent="0.35">
      <c r="A340">
        <v>2028</v>
      </c>
      <c r="B340" t="s">
        <v>13</v>
      </c>
      <c r="C340" t="s">
        <v>9</v>
      </c>
      <c r="D340" t="s">
        <v>18</v>
      </c>
      <c r="E340" t="s">
        <v>483</v>
      </c>
      <c r="F340" t="s">
        <v>86</v>
      </c>
      <c r="G340" s="31">
        <v>671.91452613806371</v>
      </c>
      <c r="H340" s="31">
        <v>99735</v>
      </c>
      <c r="I340" s="31">
        <v>32912.550000000003</v>
      </c>
      <c r="J340" s="32">
        <f t="shared" si="26"/>
        <v>26783.227261789456</v>
      </c>
      <c r="K340" s="31">
        <v>0</v>
      </c>
      <c r="L340" s="31">
        <v>0</v>
      </c>
      <c r="M340" s="32">
        <f t="shared" si="27"/>
        <v>0</v>
      </c>
      <c r="N340" s="33">
        <f>Result_notebook!L340</f>
        <v>0.59854391398996798</v>
      </c>
      <c r="O340" s="31">
        <f t="shared" si="28"/>
        <v>-59023.862735651397</v>
      </c>
      <c r="P340" s="31">
        <f t="shared" si="31"/>
        <v>32240.635473861937</v>
      </c>
      <c r="Q340">
        <f t="shared" si="30"/>
        <v>26783.227261789456</v>
      </c>
    </row>
    <row r="341" spans="1:17" x14ac:dyDescent="0.35">
      <c r="A341">
        <v>2028</v>
      </c>
      <c r="B341" t="s">
        <v>13</v>
      </c>
      <c r="C341" t="s">
        <v>9</v>
      </c>
      <c r="D341" t="s">
        <v>18</v>
      </c>
      <c r="E341" t="s">
        <v>490</v>
      </c>
      <c r="F341" t="s">
        <v>82</v>
      </c>
      <c r="G341" s="31">
        <v>671.91452613806371</v>
      </c>
      <c r="H341" s="31">
        <v>99735</v>
      </c>
      <c r="I341" s="31">
        <v>32912.550000000003</v>
      </c>
      <c r="J341" s="32">
        <f t="shared" si="26"/>
        <v>26783.227261789456</v>
      </c>
      <c r="K341" s="31">
        <v>0</v>
      </c>
      <c r="L341" s="31">
        <v>0</v>
      </c>
      <c r="M341" s="32">
        <f t="shared" si="27"/>
        <v>0</v>
      </c>
      <c r="N341" s="33">
        <f>Result_notebook!L341</f>
        <v>0.59854391398996798</v>
      </c>
      <c r="O341" s="31">
        <f t="shared" si="28"/>
        <v>-59023.862735651397</v>
      </c>
      <c r="P341" s="31">
        <f t="shared" si="31"/>
        <v>32240.635473861937</v>
      </c>
      <c r="Q341">
        <f t="shared" si="30"/>
        <v>26783.227261789456</v>
      </c>
    </row>
    <row r="342" spans="1:17" x14ac:dyDescent="0.35">
      <c r="A342">
        <v>2028</v>
      </c>
      <c r="B342" t="s">
        <v>13</v>
      </c>
      <c r="C342" t="s">
        <v>10</v>
      </c>
      <c r="D342" t="s">
        <v>16</v>
      </c>
      <c r="E342" t="s">
        <v>483</v>
      </c>
      <c r="F342" t="s">
        <v>80</v>
      </c>
      <c r="G342" s="31">
        <v>1144.5393976176119</v>
      </c>
      <c r="H342" s="31">
        <v>0</v>
      </c>
      <c r="I342" s="31">
        <v>0</v>
      </c>
      <c r="J342" s="32">
        <f t="shared" si="26"/>
        <v>0</v>
      </c>
      <c r="K342" s="31">
        <v>1144.5393976176119</v>
      </c>
      <c r="L342" s="31">
        <v>1144.5393976176119</v>
      </c>
      <c r="M342" s="32">
        <f t="shared" si="27"/>
        <v>1144.5393976176119</v>
      </c>
      <c r="N342" s="33">
        <f>Result_notebook!L342</f>
        <v>0.59854391398996798</v>
      </c>
      <c r="O342" s="31">
        <f t="shared" si="28"/>
        <v>0</v>
      </c>
      <c r="P342" s="31">
        <f t="shared" si="31"/>
        <v>0</v>
      </c>
      <c r="Q342">
        <f t="shared" si="30"/>
        <v>0</v>
      </c>
    </row>
    <row r="343" spans="1:17" x14ac:dyDescent="0.35">
      <c r="A343">
        <v>2028</v>
      </c>
      <c r="B343" t="s">
        <v>13</v>
      </c>
      <c r="C343" t="s">
        <v>10</v>
      </c>
      <c r="D343" t="s">
        <v>16</v>
      </c>
      <c r="E343" t="s">
        <v>483</v>
      </c>
      <c r="F343" t="s">
        <v>81</v>
      </c>
      <c r="G343" s="31">
        <v>1144.5393976176119</v>
      </c>
      <c r="H343" s="31">
        <v>0</v>
      </c>
      <c r="I343" s="31">
        <v>0</v>
      </c>
      <c r="J343" s="32">
        <f t="shared" si="26"/>
        <v>0</v>
      </c>
      <c r="K343" s="31">
        <v>1144.5393976176119</v>
      </c>
      <c r="L343" s="31">
        <v>1144.5393976176119</v>
      </c>
      <c r="M343" s="32">
        <f t="shared" si="27"/>
        <v>1144.5393976176119</v>
      </c>
      <c r="N343" s="33">
        <f>Result_notebook!L343</f>
        <v>0.59854391398996798</v>
      </c>
      <c r="O343" s="31">
        <f t="shared" si="28"/>
        <v>0</v>
      </c>
      <c r="P343" s="31">
        <f t="shared" si="31"/>
        <v>0</v>
      </c>
      <c r="Q343">
        <f t="shared" si="30"/>
        <v>0</v>
      </c>
    </row>
    <row r="344" spans="1:17" x14ac:dyDescent="0.35">
      <c r="A344">
        <v>2028</v>
      </c>
      <c r="B344" t="s">
        <v>13</v>
      </c>
      <c r="C344" t="s">
        <v>10</v>
      </c>
      <c r="D344" t="s">
        <v>18</v>
      </c>
      <c r="E344" t="s">
        <v>483</v>
      </c>
      <c r="F344" t="s">
        <v>85</v>
      </c>
      <c r="G344" s="31">
        <v>1144.5393976176119</v>
      </c>
      <c r="H344" s="31">
        <v>99735</v>
      </c>
      <c r="I344" s="31">
        <v>32912.550000000003</v>
      </c>
      <c r="J344" s="32">
        <f t="shared" si="26"/>
        <v>26783.227261789456</v>
      </c>
      <c r="K344" s="31">
        <v>0</v>
      </c>
      <c r="L344" s="31">
        <v>0</v>
      </c>
      <c r="M344" s="32">
        <f t="shared" si="27"/>
        <v>0</v>
      </c>
      <c r="N344" s="33">
        <f>Result_notebook!L344</f>
        <v>0.59854391398996798</v>
      </c>
      <c r="O344" s="31">
        <f t="shared" si="28"/>
        <v>-58551.237864171846</v>
      </c>
      <c r="P344" s="31">
        <f t="shared" si="31"/>
        <v>31768.01060238239</v>
      </c>
      <c r="Q344">
        <f t="shared" si="30"/>
        <v>26783.227261789456</v>
      </c>
    </row>
    <row r="345" spans="1:17" x14ac:dyDescent="0.35">
      <c r="A345">
        <v>2028</v>
      </c>
      <c r="B345" t="s">
        <v>13</v>
      </c>
      <c r="C345" t="s">
        <v>10</v>
      </c>
      <c r="D345" t="s">
        <v>18</v>
      </c>
      <c r="E345" t="s">
        <v>483</v>
      </c>
      <c r="F345" t="s">
        <v>86</v>
      </c>
      <c r="G345" s="31">
        <v>1144.5393976176119</v>
      </c>
      <c r="H345" s="31">
        <v>99735</v>
      </c>
      <c r="I345" s="31">
        <v>32912.550000000003</v>
      </c>
      <c r="J345" s="32">
        <f t="shared" si="26"/>
        <v>26783.227261789456</v>
      </c>
      <c r="K345" s="31">
        <v>0</v>
      </c>
      <c r="L345" s="31">
        <v>0</v>
      </c>
      <c r="M345" s="32">
        <f t="shared" si="27"/>
        <v>0</v>
      </c>
      <c r="N345" s="33">
        <f>Result_notebook!L345</f>
        <v>0.59854391398996798</v>
      </c>
      <c r="O345" s="31">
        <f t="shared" si="28"/>
        <v>-58551.237864171846</v>
      </c>
      <c r="P345" s="31">
        <f t="shared" si="31"/>
        <v>31768.01060238239</v>
      </c>
      <c r="Q345">
        <f t="shared" si="30"/>
        <v>26783.227261789456</v>
      </c>
    </row>
    <row r="346" spans="1:17" x14ac:dyDescent="0.35">
      <c r="A346">
        <v>2028</v>
      </c>
      <c r="B346" t="s">
        <v>13</v>
      </c>
      <c r="C346" t="s">
        <v>10</v>
      </c>
      <c r="D346" t="s">
        <v>18</v>
      </c>
      <c r="E346" t="s">
        <v>490</v>
      </c>
      <c r="F346" t="s">
        <v>82</v>
      </c>
      <c r="G346" s="31">
        <v>1144.5393976176119</v>
      </c>
      <c r="H346" s="31">
        <v>99735</v>
      </c>
      <c r="I346" s="31">
        <v>32912.550000000003</v>
      </c>
      <c r="J346" s="32">
        <f t="shared" si="26"/>
        <v>26783.227261789456</v>
      </c>
      <c r="K346" s="31">
        <v>0</v>
      </c>
      <c r="L346" s="31">
        <v>0</v>
      </c>
      <c r="M346" s="32">
        <f t="shared" si="27"/>
        <v>0</v>
      </c>
      <c r="N346" s="33">
        <f>Result_notebook!L346</f>
        <v>0.59854391398996798</v>
      </c>
      <c r="O346" s="31">
        <f t="shared" si="28"/>
        <v>-58551.237864171846</v>
      </c>
      <c r="P346" s="31">
        <f t="shared" si="31"/>
        <v>31768.01060238239</v>
      </c>
      <c r="Q346">
        <f t="shared" si="30"/>
        <v>26783.227261789456</v>
      </c>
    </row>
    <row r="347" spans="1:17" x14ac:dyDescent="0.35">
      <c r="A347">
        <v>2028</v>
      </c>
      <c r="B347" t="s">
        <v>12</v>
      </c>
      <c r="C347" t="s">
        <v>4</v>
      </c>
      <c r="D347" t="s">
        <v>16</v>
      </c>
      <c r="E347" t="s">
        <v>483</v>
      </c>
      <c r="F347" t="s">
        <v>80</v>
      </c>
      <c r="G347" s="31">
        <v>18935.44383590906</v>
      </c>
      <c r="H347" s="31">
        <v>0</v>
      </c>
      <c r="I347" s="31">
        <v>0</v>
      </c>
      <c r="J347" s="32">
        <f t="shared" si="26"/>
        <v>0</v>
      </c>
      <c r="K347" s="31">
        <v>27050.634051298661</v>
      </c>
      <c r="L347" s="31">
        <v>18935.44383590906</v>
      </c>
      <c r="M347" s="32">
        <f t="shared" si="27"/>
        <v>18935.44383590906</v>
      </c>
      <c r="N347" s="33">
        <f>Result_notebook!L347</f>
        <v>0.787554996857322</v>
      </c>
      <c r="O347" s="31">
        <f t="shared" si="28"/>
        <v>0</v>
      </c>
      <c r="P347" s="31">
        <f t="shared" si="31"/>
        <v>0</v>
      </c>
      <c r="Q347">
        <f t="shared" si="30"/>
        <v>0</v>
      </c>
    </row>
    <row r="348" spans="1:17" x14ac:dyDescent="0.35">
      <c r="A348">
        <v>2028</v>
      </c>
      <c r="B348" t="s">
        <v>12</v>
      </c>
      <c r="C348" t="s">
        <v>4</v>
      </c>
      <c r="D348" t="s">
        <v>16</v>
      </c>
      <c r="E348" t="s">
        <v>483</v>
      </c>
      <c r="F348" t="s">
        <v>81</v>
      </c>
      <c r="G348" s="31">
        <v>18935.44383590906</v>
      </c>
      <c r="H348" s="31">
        <v>40292</v>
      </c>
      <c r="I348" s="31">
        <v>28170.9766141289</v>
      </c>
      <c r="J348" s="32">
        <f t="shared" si="26"/>
        <v>3561.1893192463176</v>
      </c>
      <c r="K348" s="31">
        <v>0</v>
      </c>
      <c r="L348" s="31">
        <v>0</v>
      </c>
      <c r="M348" s="32">
        <f t="shared" si="27"/>
        <v>0</v>
      </c>
      <c r="N348" s="33">
        <f>Result_notebook!L348</f>
        <v>0.787554996857322</v>
      </c>
      <c r="O348" s="31">
        <f t="shared" si="28"/>
        <v>-12796.722097466158</v>
      </c>
      <c r="P348" s="31">
        <f t="shared" si="31"/>
        <v>9235.5327782198401</v>
      </c>
      <c r="Q348">
        <f t="shared" si="30"/>
        <v>3561.1893192463176</v>
      </c>
    </row>
    <row r="349" spans="1:17" x14ac:dyDescent="0.35">
      <c r="A349">
        <v>2028</v>
      </c>
      <c r="B349" t="s">
        <v>12</v>
      </c>
      <c r="C349" t="s">
        <v>4</v>
      </c>
      <c r="D349" t="s">
        <v>18</v>
      </c>
      <c r="E349" t="s">
        <v>483</v>
      </c>
      <c r="F349" t="s">
        <v>85</v>
      </c>
      <c r="G349" s="31">
        <v>18935.44383590906</v>
      </c>
      <c r="H349" s="31">
        <v>162581</v>
      </c>
      <c r="I349" s="31">
        <v>113671.83433191929</v>
      </c>
      <c r="J349" s="32">
        <f t="shared" si="26"/>
        <v>14369.644612140968</v>
      </c>
      <c r="K349" s="31">
        <v>0</v>
      </c>
      <c r="L349" s="31">
        <v>0</v>
      </c>
      <c r="M349" s="32">
        <f t="shared" si="27"/>
        <v>0</v>
      </c>
      <c r="N349" s="33">
        <f>Result_notebook!L349</f>
        <v>0.787554996857322</v>
      </c>
      <c r="O349" s="31">
        <f t="shared" si="28"/>
        <v>-109106.03510815121</v>
      </c>
      <c r="P349" s="31">
        <f t="shared" si="31"/>
        <v>94736.390496010237</v>
      </c>
      <c r="Q349">
        <f t="shared" si="30"/>
        <v>14369.644612140968</v>
      </c>
    </row>
    <row r="350" spans="1:17" x14ac:dyDescent="0.35">
      <c r="A350">
        <v>2028</v>
      </c>
      <c r="B350" t="s">
        <v>12</v>
      </c>
      <c r="C350" t="s">
        <v>4</v>
      </c>
      <c r="D350" t="s">
        <v>18</v>
      </c>
      <c r="E350" t="s">
        <v>483</v>
      </c>
      <c r="F350" t="s">
        <v>86</v>
      </c>
      <c r="G350" s="31">
        <v>18935.44383590906</v>
      </c>
      <c r="H350" s="31">
        <v>162581</v>
      </c>
      <c r="I350" s="31">
        <v>113671.83433191929</v>
      </c>
      <c r="J350" s="32">
        <f t="shared" si="26"/>
        <v>14369.644612140968</v>
      </c>
      <c r="K350" s="31">
        <v>0</v>
      </c>
      <c r="L350" s="31">
        <v>0</v>
      </c>
      <c r="M350" s="32">
        <f t="shared" si="27"/>
        <v>0</v>
      </c>
      <c r="N350" s="33">
        <f>Result_notebook!L350</f>
        <v>0.787554996857322</v>
      </c>
      <c r="O350" s="31">
        <f t="shared" si="28"/>
        <v>-109106.03510815121</v>
      </c>
      <c r="P350" s="31">
        <f t="shared" si="31"/>
        <v>94736.390496010237</v>
      </c>
      <c r="Q350">
        <f t="shared" si="30"/>
        <v>14369.644612140968</v>
      </c>
    </row>
    <row r="351" spans="1:17" x14ac:dyDescent="0.35">
      <c r="A351">
        <v>2028</v>
      </c>
      <c r="B351" t="s">
        <v>12</v>
      </c>
      <c r="C351" t="s">
        <v>4</v>
      </c>
      <c r="D351" t="s">
        <v>18</v>
      </c>
      <c r="E351" t="s">
        <v>490</v>
      </c>
      <c r="F351" t="s">
        <v>82</v>
      </c>
      <c r="G351" s="31">
        <v>18935.44383590906</v>
      </c>
      <c r="H351" s="31">
        <v>162581</v>
      </c>
      <c r="I351" s="31">
        <v>113671.83433191929</v>
      </c>
      <c r="J351" s="32">
        <f t="shared" si="26"/>
        <v>14369.644612140968</v>
      </c>
      <c r="K351" s="31">
        <v>0</v>
      </c>
      <c r="L351" s="31">
        <v>0</v>
      </c>
      <c r="M351" s="32">
        <f t="shared" si="27"/>
        <v>0</v>
      </c>
      <c r="N351" s="33">
        <f>Result_notebook!L351</f>
        <v>0.787554996857322</v>
      </c>
      <c r="O351" s="31">
        <f t="shared" si="28"/>
        <v>-109106.03510815121</v>
      </c>
      <c r="P351" s="31">
        <f t="shared" si="31"/>
        <v>94736.390496010237</v>
      </c>
      <c r="Q351">
        <f t="shared" si="30"/>
        <v>14369.644612140968</v>
      </c>
    </row>
    <row r="352" spans="1:17" x14ac:dyDescent="0.35">
      <c r="A352">
        <v>2028</v>
      </c>
      <c r="B352" t="s">
        <v>12</v>
      </c>
      <c r="C352" t="s">
        <v>9</v>
      </c>
      <c r="D352" t="s">
        <v>16</v>
      </c>
      <c r="E352" t="s">
        <v>483</v>
      </c>
      <c r="F352" t="s">
        <v>80</v>
      </c>
      <c r="G352" s="31">
        <v>10755.25906669006</v>
      </c>
      <c r="H352" s="31">
        <v>0</v>
      </c>
      <c r="I352" s="31">
        <v>0</v>
      </c>
      <c r="J352" s="32">
        <f t="shared" si="26"/>
        <v>0</v>
      </c>
      <c r="K352" s="31">
        <v>15364.655809557231</v>
      </c>
      <c r="L352" s="31">
        <v>10755.25906669006</v>
      </c>
      <c r="M352" s="32">
        <f t="shared" si="27"/>
        <v>10755.25906669006</v>
      </c>
      <c r="N352" s="33">
        <f>Result_notebook!L352</f>
        <v>0.787554996857322</v>
      </c>
      <c r="O352" s="31">
        <f t="shared" si="28"/>
        <v>0</v>
      </c>
      <c r="P352" s="31">
        <f t="shared" si="31"/>
        <v>0</v>
      </c>
      <c r="Q352">
        <f t="shared" si="30"/>
        <v>0</v>
      </c>
    </row>
    <row r="353" spans="1:17" x14ac:dyDescent="0.35">
      <c r="A353">
        <v>2028</v>
      </c>
      <c r="B353" t="s">
        <v>12</v>
      </c>
      <c r="C353" t="s">
        <v>9</v>
      </c>
      <c r="D353" t="s">
        <v>16</v>
      </c>
      <c r="E353" t="s">
        <v>483</v>
      </c>
      <c r="F353" t="s">
        <v>81</v>
      </c>
      <c r="G353" s="31">
        <v>10755.25906669006</v>
      </c>
      <c r="H353" s="31">
        <v>40292</v>
      </c>
      <c r="I353" s="31">
        <v>28170.9766141289</v>
      </c>
      <c r="J353" s="32">
        <f t="shared" si="26"/>
        <v>3561.1893192463176</v>
      </c>
      <c r="K353" s="31">
        <v>0</v>
      </c>
      <c r="L353" s="31">
        <v>0</v>
      </c>
      <c r="M353" s="32">
        <f t="shared" si="27"/>
        <v>0</v>
      </c>
      <c r="N353" s="33">
        <f>Result_notebook!L353</f>
        <v>0.787554996857322</v>
      </c>
      <c r="O353" s="31">
        <f t="shared" si="28"/>
        <v>-20976.90686668516</v>
      </c>
      <c r="P353" s="31">
        <f t="shared" si="31"/>
        <v>17415.717547438842</v>
      </c>
      <c r="Q353">
        <f t="shared" si="30"/>
        <v>3561.1893192463176</v>
      </c>
    </row>
    <row r="354" spans="1:17" x14ac:dyDescent="0.35">
      <c r="A354">
        <v>2028</v>
      </c>
      <c r="B354" t="s">
        <v>12</v>
      </c>
      <c r="C354" t="s">
        <v>9</v>
      </c>
      <c r="D354" t="s">
        <v>18</v>
      </c>
      <c r="E354" t="s">
        <v>483</v>
      </c>
      <c r="F354" t="s">
        <v>85</v>
      </c>
      <c r="G354" s="31">
        <v>10755.25906669006</v>
      </c>
      <c r="H354" s="31">
        <v>162581</v>
      </c>
      <c r="I354" s="31">
        <v>113671.83433191929</v>
      </c>
      <c r="J354" s="32">
        <f t="shared" si="26"/>
        <v>14369.644612140968</v>
      </c>
      <c r="K354" s="31">
        <v>0</v>
      </c>
      <c r="L354" s="31">
        <v>0</v>
      </c>
      <c r="M354" s="32">
        <f t="shared" si="27"/>
        <v>0</v>
      </c>
      <c r="N354" s="33">
        <f>Result_notebook!L354</f>
        <v>0.787554996857322</v>
      </c>
      <c r="O354" s="31">
        <f t="shared" si="28"/>
        <v>-117286.2198773702</v>
      </c>
      <c r="P354" s="31">
        <f t="shared" si="31"/>
        <v>102916.57526522923</v>
      </c>
      <c r="Q354">
        <f t="shared" si="30"/>
        <v>14369.644612140968</v>
      </c>
    </row>
    <row r="355" spans="1:17" x14ac:dyDescent="0.35">
      <c r="A355">
        <v>2028</v>
      </c>
      <c r="B355" t="s">
        <v>12</v>
      </c>
      <c r="C355" t="s">
        <v>9</v>
      </c>
      <c r="D355" t="s">
        <v>18</v>
      </c>
      <c r="E355" t="s">
        <v>483</v>
      </c>
      <c r="F355" t="s">
        <v>86</v>
      </c>
      <c r="G355" s="31">
        <v>10755.25906669006</v>
      </c>
      <c r="H355" s="31">
        <v>162581</v>
      </c>
      <c r="I355" s="31">
        <v>113671.83433191929</v>
      </c>
      <c r="J355" s="32">
        <f t="shared" si="26"/>
        <v>14369.644612140968</v>
      </c>
      <c r="K355" s="31">
        <v>0</v>
      </c>
      <c r="L355" s="31">
        <v>0</v>
      </c>
      <c r="M355" s="32">
        <f t="shared" si="27"/>
        <v>0</v>
      </c>
      <c r="N355" s="33">
        <f>Result_notebook!L355</f>
        <v>0.787554996857322</v>
      </c>
      <c r="O355" s="31">
        <f t="shared" si="28"/>
        <v>-117286.2198773702</v>
      </c>
      <c r="P355" s="31">
        <f t="shared" si="31"/>
        <v>102916.57526522923</v>
      </c>
      <c r="Q355">
        <f t="shared" si="30"/>
        <v>14369.644612140968</v>
      </c>
    </row>
    <row r="356" spans="1:17" x14ac:dyDescent="0.35">
      <c r="A356">
        <v>2028</v>
      </c>
      <c r="B356" t="s">
        <v>12</v>
      </c>
      <c r="C356" t="s">
        <v>9</v>
      </c>
      <c r="D356" t="s">
        <v>18</v>
      </c>
      <c r="E356" t="s">
        <v>490</v>
      </c>
      <c r="F356" t="s">
        <v>82</v>
      </c>
      <c r="G356" s="31">
        <v>10755.25906669006</v>
      </c>
      <c r="H356" s="31">
        <v>162581</v>
      </c>
      <c r="I356" s="31">
        <v>113671.83433191929</v>
      </c>
      <c r="J356" s="32">
        <f t="shared" si="26"/>
        <v>14369.644612140968</v>
      </c>
      <c r="K356" s="31">
        <v>0</v>
      </c>
      <c r="L356" s="31">
        <v>0</v>
      </c>
      <c r="M356" s="32">
        <f t="shared" si="27"/>
        <v>0</v>
      </c>
      <c r="N356" s="33">
        <f>Result_notebook!L356</f>
        <v>0.787554996857322</v>
      </c>
      <c r="O356" s="31">
        <f t="shared" si="28"/>
        <v>-117286.2198773702</v>
      </c>
      <c r="P356" s="31">
        <f t="shared" si="31"/>
        <v>102916.57526522923</v>
      </c>
      <c r="Q356">
        <f t="shared" si="30"/>
        <v>14369.644612140968</v>
      </c>
    </row>
    <row r="357" spans="1:17" x14ac:dyDescent="0.35">
      <c r="A357">
        <v>2028</v>
      </c>
      <c r="B357" t="s">
        <v>12</v>
      </c>
      <c r="C357" t="s">
        <v>10</v>
      </c>
      <c r="D357" t="s">
        <v>16</v>
      </c>
      <c r="E357" t="s">
        <v>483</v>
      </c>
      <c r="F357" t="s">
        <v>80</v>
      </c>
      <c r="G357" s="31">
        <v>18320.51139623878</v>
      </c>
      <c r="H357" s="31">
        <v>0</v>
      </c>
      <c r="I357" s="31">
        <v>0</v>
      </c>
      <c r="J357" s="32">
        <f t="shared" si="26"/>
        <v>0</v>
      </c>
      <c r="K357" s="31">
        <v>26172.15913748397</v>
      </c>
      <c r="L357" s="31">
        <v>18320.51139623878</v>
      </c>
      <c r="M357" s="32">
        <f t="shared" si="27"/>
        <v>18320.51139623878</v>
      </c>
      <c r="N357" s="33">
        <f>Result_notebook!L357</f>
        <v>0.787554996857322</v>
      </c>
      <c r="O357" s="31">
        <f t="shared" si="28"/>
        <v>0</v>
      </c>
      <c r="P357" s="31">
        <f t="shared" si="31"/>
        <v>0</v>
      </c>
      <c r="Q357">
        <f t="shared" si="30"/>
        <v>0</v>
      </c>
    </row>
    <row r="358" spans="1:17" x14ac:dyDescent="0.35">
      <c r="A358">
        <v>2028</v>
      </c>
      <c r="B358" t="s">
        <v>12</v>
      </c>
      <c r="C358" t="s">
        <v>10</v>
      </c>
      <c r="D358" t="s">
        <v>16</v>
      </c>
      <c r="E358" t="s">
        <v>483</v>
      </c>
      <c r="F358" t="s">
        <v>81</v>
      </c>
      <c r="G358" s="31">
        <v>18320.51139623878</v>
      </c>
      <c r="H358" s="31">
        <v>40292</v>
      </c>
      <c r="I358" s="31">
        <v>28170.9766141289</v>
      </c>
      <c r="J358" s="32">
        <f t="shared" si="26"/>
        <v>3561.1893192463176</v>
      </c>
      <c r="K358" s="31">
        <v>0</v>
      </c>
      <c r="L358" s="31">
        <v>0</v>
      </c>
      <c r="M358" s="32">
        <f t="shared" si="27"/>
        <v>0</v>
      </c>
      <c r="N358" s="33">
        <f>Result_notebook!L358</f>
        <v>0.787554996857322</v>
      </c>
      <c r="O358" s="31">
        <f t="shared" si="28"/>
        <v>-13411.654537136437</v>
      </c>
      <c r="P358" s="31">
        <f t="shared" si="31"/>
        <v>9850.4652178901197</v>
      </c>
      <c r="Q358">
        <f t="shared" si="30"/>
        <v>3561.1893192463176</v>
      </c>
    </row>
    <row r="359" spans="1:17" x14ac:dyDescent="0.35">
      <c r="A359">
        <v>2028</v>
      </c>
      <c r="B359" t="s">
        <v>12</v>
      </c>
      <c r="C359" t="s">
        <v>10</v>
      </c>
      <c r="D359" t="s">
        <v>18</v>
      </c>
      <c r="E359" t="s">
        <v>483</v>
      </c>
      <c r="F359" t="s">
        <v>85</v>
      </c>
      <c r="G359" s="31">
        <v>18320.51139623878</v>
      </c>
      <c r="H359" s="31">
        <v>162581</v>
      </c>
      <c r="I359" s="31">
        <v>113671.83433191929</v>
      </c>
      <c r="J359" s="32">
        <f t="shared" si="26"/>
        <v>14369.644612140968</v>
      </c>
      <c r="K359" s="31">
        <v>0</v>
      </c>
      <c r="L359" s="31">
        <v>0</v>
      </c>
      <c r="M359" s="32">
        <f t="shared" si="27"/>
        <v>0</v>
      </c>
      <c r="N359" s="33">
        <f>Result_notebook!L359</f>
        <v>0.787554996857322</v>
      </c>
      <c r="O359" s="31">
        <f t="shared" si="28"/>
        <v>-109720.96754782148</v>
      </c>
      <c r="P359" s="31">
        <f t="shared" si="31"/>
        <v>95351.32293568051</v>
      </c>
      <c r="Q359">
        <f t="shared" si="30"/>
        <v>14369.644612140968</v>
      </c>
    </row>
    <row r="360" spans="1:17" x14ac:dyDescent="0.35">
      <c r="A360">
        <v>2028</v>
      </c>
      <c r="B360" t="s">
        <v>12</v>
      </c>
      <c r="C360" t="s">
        <v>10</v>
      </c>
      <c r="D360" t="s">
        <v>18</v>
      </c>
      <c r="E360" t="s">
        <v>483</v>
      </c>
      <c r="F360" t="s">
        <v>86</v>
      </c>
      <c r="G360" s="31">
        <v>18320.51139623878</v>
      </c>
      <c r="H360" s="31">
        <v>162581</v>
      </c>
      <c r="I360" s="31">
        <v>113671.83433191929</v>
      </c>
      <c r="J360" s="32">
        <f t="shared" si="26"/>
        <v>14369.644612140968</v>
      </c>
      <c r="K360" s="31">
        <v>0</v>
      </c>
      <c r="L360" s="31">
        <v>0</v>
      </c>
      <c r="M360" s="32">
        <f t="shared" si="27"/>
        <v>0</v>
      </c>
      <c r="N360" s="33">
        <f>Result_notebook!L360</f>
        <v>0.787554996857322</v>
      </c>
      <c r="O360" s="31">
        <f t="shared" si="28"/>
        <v>-109720.96754782148</v>
      </c>
      <c r="P360" s="31">
        <f t="shared" si="31"/>
        <v>95351.32293568051</v>
      </c>
      <c r="Q360">
        <f t="shared" si="30"/>
        <v>14369.644612140968</v>
      </c>
    </row>
    <row r="361" spans="1:17" x14ac:dyDescent="0.35">
      <c r="A361">
        <v>2028</v>
      </c>
      <c r="B361" t="s">
        <v>12</v>
      </c>
      <c r="C361" t="s">
        <v>10</v>
      </c>
      <c r="D361" t="s">
        <v>18</v>
      </c>
      <c r="E361" t="s">
        <v>490</v>
      </c>
      <c r="F361" t="s">
        <v>82</v>
      </c>
      <c r="G361" s="31">
        <v>18320.51139623878</v>
      </c>
      <c r="H361" s="31">
        <v>162581</v>
      </c>
      <c r="I361" s="31">
        <v>113671.83433191929</v>
      </c>
      <c r="J361" s="32">
        <f t="shared" si="26"/>
        <v>14369.644612140968</v>
      </c>
      <c r="K361" s="31">
        <v>0</v>
      </c>
      <c r="L361" s="31">
        <v>0</v>
      </c>
      <c r="M361" s="32">
        <f t="shared" si="27"/>
        <v>0</v>
      </c>
      <c r="N361" s="33">
        <f>Result_notebook!L361</f>
        <v>0.787554996857322</v>
      </c>
      <c r="O361" s="31">
        <f t="shared" si="28"/>
        <v>-109720.96754782148</v>
      </c>
      <c r="P361" s="31">
        <f t="shared" si="31"/>
        <v>95351.32293568051</v>
      </c>
      <c r="Q361">
        <f t="shared" si="30"/>
        <v>14369.644612140968</v>
      </c>
    </row>
    <row r="362" spans="1:17" x14ac:dyDescent="0.35">
      <c r="A362">
        <v>2029</v>
      </c>
      <c r="B362" t="s">
        <v>6</v>
      </c>
      <c r="C362" t="s">
        <v>4</v>
      </c>
      <c r="D362" t="s">
        <v>16</v>
      </c>
      <c r="E362" t="s">
        <v>483</v>
      </c>
      <c r="F362" t="s">
        <v>80</v>
      </c>
      <c r="G362" s="31">
        <v>45543.6522807039</v>
      </c>
      <c r="H362" s="31">
        <v>0</v>
      </c>
      <c r="I362" s="31">
        <v>0</v>
      </c>
      <c r="J362" s="32">
        <f t="shared" si="26"/>
        <v>0</v>
      </c>
      <c r="K362" s="31">
        <v>103508.3006379634</v>
      </c>
      <c r="L362" s="31">
        <v>45543.6522807039</v>
      </c>
      <c r="M362" s="32">
        <f t="shared" si="27"/>
        <v>45543.6522807039</v>
      </c>
      <c r="N362" s="33">
        <f>Result_notebook!L362</f>
        <v>0.439346565686978</v>
      </c>
      <c r="O362" s="31">
        <f t="shared" si="28"/>
        <v>0</v>
      </c>
      <c r="P362" s="31">
        <f t="shared" si="31"/>
        <v>0</v>
      </c>
      <c r="Q362">
        <f t="shared" si="30"/>
        <v>0</v>
      </c>
    </row>
    <row r="363" spans="1:17" x14ac:dyDescent="0.35">
      <c r="A363">
        <v>2029</v>
      </c>
      <c r="B363" t="s">
        <v>6</v>
      </c>
      <c r="C363" t="s">
        <v>4</v>
      </c>
      <c r="D363" t="s">
        <v>16</v>
      </c>
      <c r="E363" t="s">
        <v>483</v>
      </c>
      <c r="F363" t="s">
        <v>81</v>
      </c>
      <c r="G363" s="31">
        <v>45543.6522807039</v>
      </c>
      <c r="H363" s="31">
        <v>3861</v>
      </c>
      <c r="I363" s="31">
        <v>1637.7660393504759</v>
      </c>
      <c r="J363" s="32">
        <f t="shared" si="26"/>
        <v>58.551050766946219</v>
      </c>
      <c r="K363" s="31">
        <v>99647.300637963403</v>
      </c>
      <c r="L363" s="31">
        <v>43905.886241353423</v>
      </c>
      <c r="M363" s="32">
        <f t="shared" si="27"/>
        <v>43847.335190586477</v>
      </c>
      <c r="N363" s="33">
        <f>Result_notebook!L363</f>
        <v>0.439346565686978</v>
      </c>
      <c r="O363" s="31">
        <f t="shared" si="28"/>
        <v>0</v>
      </c>
      <c r="P363" s="31">
        <f t="shared" si="31"/>
        <v>0</v>
      </c>
      <c r="Q363">
        <f t="shared" si="30"/>
        <v>58.551050766946219</v>
      </c>
    </row>
    <row r="364" spans="1:17" x14ac:dyDescent="0.35">
      <c r="A364">
        <v>2029</v>
      </c>
      <c r="B364" t="s">
        <v>6</v>
      </c>
      <c r="C364" t="s">
        <v>4</v>
      </c>
      <c r="D364" t="s">
        <v>18</v>
      </c>
      <c r="E364" t="s">
        <v>483</v>
      </c>
      <c r="F364" t="s">
        <v>85</v>
      </c>
      <c r="G364" s="31">
        <v>45543.6522807039</v>
      </c>
      <c r="H364" s="31">
        <v>6719.1794773198644</v>
      </c>
      <c r="I364" s="31">
        <v>2850.1538358599209</v>
      </c>
      <c r="J364" s="32">
        <f t="shared" si="26"/>
        <v>101.89459173498517</v>
      </c>
      <c r="K364" s="31">
        <v>96789.121160643539</v>
      </c>
      <c r="L364" s="31">
        <v>42693.498444843979</v>
      </c>
      <c r="M364" s="32">
        <f t="shared" si="27"/>
        <v>42591.603853108994</v>
      </c>
      <c r="N364" s="33">
        <f>Result_notebook!L364</f>
        <v>0.439346565686978</v>
      </c>
      <c r="O364" s="31">
        <f t="shared" si="28"/>
        <v>0</v>
      </c>
      <c r="P364" s="31">
        <f t="shared" si="31"/>
        <v>0</v>
      </c>
      <c r="Q364">
        <f t="shared" si="30"/>
        <v>101.89459173498517</v>
      </c>
    </row>
    <row r="365" spans="1:17" x14ac:dyDescent="0.35">
      <c r="A365">
        <v>2029</v>
      </c>
      <c r="B365" t="s">
        <v>6</v>
      </c>
      <c r="C365" t="s">
        <v>4</v>
      </c>
      <c r="D365" t="s">
        <v>18</v>
      </c>
      <c r="E365" t="s">
        <v>483</v>
      </c>
      <c r="F365" t="s">
        <v>86</v>
      </c>
      <c r="G365" s="31">
        <v>45543.6522807039</v>
      </c>
      <c r="H365" s="31">
        <v>6719.1794773198644</v>
      </c>
      <c r="I365" s="31">
        <v>2850.1538358599209</v>
      </c>
      <c r="J365" s="32">
        <f t="shared" si="26"/>
        <v>101.89459173498517</v>
      </c>
      <c r="K365" s="31">
        <v>96789.121160643539</v>
      </c>
      <c r="L365" s="31">
        <v>42693.498444843979</v>
      </c>
      <c r="M365" s="32">
        <f t="shared" si="27"/>
        <v>42591.603853108994</v>
      </c>
      <c r="N365" s="33">
        <f>Result_notebook!L365</f>
        <v>0.439346565686978</v>
      </c>
      <c r="O365" s="31">
        <f t="shared" si="28"/>
        <v>0</v>
      </c>
      <c r="P365" s="31">
        <f t="shared" si="31"/>
        <v>0</v>
      </c>
      <c r="Q365">
        <f t="shared" si="30"/>
        <v>101.89459173498517</v>
      </c>
    </row>
    <row r="366" spans="1:17" x14ac:dyDescent="0.35">
      <c r="A366">
        <v>2029</v>
      </c>
      <c r="B366" t="s">
        <v>6</v>
      </c>
      <c r="C366" t="s">
        <v>4</v>
      </c>
      <c r="D366" t="s">
        <v>18</v>
      </c>
      <c r="E366" t="s">
        <v>490</v>
      </c>
      <c r="F366" t="s">
        <v>82</v>
      </c>
      <c r="G366" s="31">
        <v>45543.6522807039</v>
      </c>
      <c r="H366" s="31">
        <v>6719.1794773198644</v>
      </c>
      <c r="I366" s="31">
        <v>2952.0484275949088</v>
      </c>
      <c r="J366" s="32">
        <f t="shared" si="26"/>
        <v>0</v>
      </c>
      <c r="K366" s="31">
        <v>96789.121160643539</v>
      </c>
      <c r="L366" s="31">
        <v>42591.603853108987</v>
      </c>
      <c r="M366" s="32">
        <f t="shared" si="27"/>
        <v>42591.603853108987</v>
      </c>
      <c r="N366" s="33">
        <f>Result_notebook!L366</f>
        <v>0.439346565686978</v>
      </c>
      <c r="O366" s="31">
        <f t="shared" si="28"/>
        <v>0</v>
      </c>
      <c r="P366" s="31">
        <f t="shared" si="31"/>
        <v>0</v>
      </c>
      <c r="Q366">
        <f t="shared" si="30"/>
        <v>0</v>
      </c>
    </row>
    <row r="367" spans="1:17" x14ac:dyDescent="0.35">
      <c r="A367">
        <v>2029</v>
      </c>
      <c r="B367" t="s">
        <v>6</v>
      </c>
      <c r="C367" t="s">
        <v>9</v>
      </c>
      <c r="D367" t="s">
        <v>16</v>
      </c>
      <c r="E367" t="s">
        <v>483</v>
      </c>
      <c r="F367" t="s">
        <v>80</v>
      </c>
      <c r="G367" s="31">
        <v>23796.365693498821</v>
      </c>
      <c r="H367" s="31">
        <v>0</v>
      </c>
      <c r="I367" s="31">
        <v>0</v>
      </c>
      <c r="J367" s="32">
        <f t="shared" si="26"/>
        <v>0</v>
      </c>
      <c r="K367" s="31">
        <v>54082.649303406411</v>
      </c>
      <c r="L367" s="31">
        <v>23796.365693498821</v>
      </c>
      <c r="M367" s="32">
        <f t="shared" si="27"/>
        <v>23796.365693498821</v>
      </c>
      <c r="N367" s="33">
        <f>Result_notebook!L367</f>
        <v>0.439346565686978</v>
      </c>
      <c r="O367" s="31">
        <f t="shared" si="28"/>
        <v>0</v>
      </c>
      <c r="P367" s="31">
        <f t="shared" si="31"/>
        <v>0</v>
      </c>
      <c r="Q367">
        <f t="shared" si="30"/>
        <v>0</v>
      </c>
    </row>
    <row r="368" spans="1:17" x14ac:dyDescent="0.35">
      <c r="A368">
        <v>2029</v>
      </c>
      <c r="B368" t="s">
        <v>6</v>
      </c>
      <c r="C368" t="s">
        <v>9</v>
      </c>
      <c r="D368" t="s">
        <v>16</v>
      </c>
      <c r="E368" t="s">
        <v>483</v>
      </c>
      <c r="F368" t="s">
        <v>81</v>
      </c>
      <c r="G368" s="31">
        <v>23796.365693498821</v>
      </c>
      <c r="H368" s="31">
        <v>3861</v>
      </c>
      <c r="I368" s="31">
        <v>1637.7660393504759</v>
      </c>
      <c r="J368" s="32">
        <f t="shared" si="26"/>
        <v>58.551050766946219</v>
      </c>
      <c r="K368" s="31">
        <v>50221.649303406411</v>
      </c>
      <c r="L368" s="31">
        <v>22158.59965414834</v>
      </c>
      <c r="M368" s="32">
        <f t="shared" si="27"/>
        <v>22100.048603381394</v>
      </c>
      <c r="N368" s="33">
        <f>Result_notebook!L368</f>
        <v>0.439346565686978</v>
      </c>
      <c r="O368" s="31">
        <f t="shared" si="28"/>
        <v>0</v>
      </c>
      <c r="P368" s="31">
        <f t="shared" si="31"/>
        <v>0</v>
      </c>
      <c r="Q368">
        <f t="shared" si="30"/>
        <v>58.551050766946219</v>
      </c>
    </row>
    <row r="369" spans="1:17" x14ac:dyDescent="0.35">
      <c r="A369">
        <v>2029</v>
      </c>
      <c r="B369" t="s">
        <v>6</v>
      </c>
      <c r="C369" t="s">
        <v>9</v>
      </c>
      <c r="D369" t="s">
        <v>18</v>
      </c>
      <c r="E369" t="s">
        <v>483</v>
      </c>
      <c r="F369" t="s">
        <v>85</v>
      </c>
      <c r="G369" s="31">
        <v>23796.365693498821</v>
      </c>
      <c r="H369" s="31">
        <v>6719.1794773198644</v>
      </c>
      <c r="I369" s="31">
        <v>2850.1538358599209</v>
      </c>
      <c r="J369" s="32">
        <f t="shared" si="26"/>
        <v>101.89459173498517</v>
      </c>
      <c r="K369" s="31">
        <v>47363.469826086548</v>
      </c>
      <c r="L369" s="31">
        <v>20946.2118576389</v>
      </c>
      <c r="M369" s="32">
        <f t="shared" si="27"/>
        <v>20844.317265903916</v>
      </c>
      <c r="N369" s="33">
        <f>Result_notebook!L369</f>
        <v>0.439346565686978</v>
      </c>
      <c r="O369" s="31">
        <f t="shared" si="28"/>
        <v>0</v>
      </c>
      <c r="P369" s="31">
        <f t="shared" si="31"/>
        <v>0</v>
      </c>
      <c r="Q369">
        <f t="shared" si="30"/>
        <v>101.89459173498517</v>
      </c>
    </row>
    <row r="370" spans="1:17" x14ac:dyDescent="0.35">
      <c r="A370">
        <v>2029</v>
      </c>
      <c r="B370" t="s">
        <v>6</v>
      </c>
      <c r="C370" t="s">
        <v>9</v>
      </c>
      <c r="D370" t="s">
        <v>18</v>
      </c>
      <c r="E370" t="s">
        <v>483</v>
      </c>
      <c r="F370" t="s">
        <v>86</v>
      </c>
      <c r="G370" s="31">
        <v>23796.365693498821</v>
      </c>
      <c r="H370" s="31">
        <v>6719.1794773198644</v>
      </c>
      <c r="I370" s="31">
        <v>2850.1538358599209</v>
      </c>
      <c r="J370" s="32">
        <f t="shared" si="26"/>
        <v>101.89459173498517</v>
      </c>
      <c r="K370" s="31">
        <v>47363.469826086548</v>
      </c>
      <c r="L370" s="31">
        <v>20946.2118576389</v>
      </c>
      <c r="M370" s="32">
        <f t="shared" si="27"/>
        <v>20844.317265903916</v>
      </c>
      <c r="N370" s="33">
        <f>Result_notebook!L370</f>
        <v>0.439346565686978</v>
      </c>
      <c r="O370" s="31">
        <f t="shared" si="28"/>
        <v>0</v>
      </c>
      <c r="P370" s="31">
        <f t="shared" si="31"/>
        <v>0</v>
      </c>
      <c r="Q370">
        <f t="shared" si="30"/>
        <v>101.89459173498517</v>
      </c>
    </row>
    <row r="371" spans="1:17" x14ac:dyDescent="0.35">
      <c r="A371">
        <v>2029</v>
      </c>
      <c r="B371" t="s">
        <v>6</v>
      </c>
      <c r="C371" t="s">
        <v>9</v>
      </c>
      <c r="D371" t="s">
        <v>18</v>
      </c>
      <c r="E371" t="s">
        <v>490</v>
      </c>
      <c r="F371" t="s">
        <v>82</v>
      </c>
      <c r="G371" s="31">
        <v>23796.365693498821</v>
      </c>
      <c r="H371" s="31">
        <v>6719.1794773198644</v>
      </c>
      <c r="I371" s="31">
        <v>2952.0484275949088</v>
      </c>
      <c r="J371" s="32">
        <f t="shared" si="26"/>
        <v>0</v>
      </c>
      <c r="K371" s="31">
        <v>47363.469826086548</v>
      </c>
      <c r="L371" s="31">
        <v>20844.317265903908</v>
      </c>
      <c r="M371" s="32">
        <f t="shared" si="27"/>
        <v>20844.317265903908</v>
      </c>
      <c r="N371" s="33">
        <f>Result_notebook!L371</f>
        <v>0.439346565686978</v>
      </c>
      <c r="O371" s="31">
        <f t="shared" si="28"/>
        <v>0</v>
      </c>
      <c r="P371" s="31">
        <f t="shared" si="31"/>
        <v>0</v>
      </c>
      <c r="Q371">
        <f t="shared" si="30"/>
        <v>0</v>
      </c>
    </row>
    <row r="372" spans="1:17" x14ac:dyDescent="0.35">
      <c r="A372">
        <v>2029</v>
      </c>
      <c r="B372" t="s">
        <v>6</v>
      </c>
      <c r="C372" t="s">
        <v>10</v>
      </c>
      <c r="D372" t="s">
        <v>16</v>
      </c>
      <c r="E372" t="s">
        <v>483</v>
      </c>
      <c r="F372" t="s">
        <v>80</v>
      </c>
      <c r="G372" s="31">
        <v>43478.079891306123</v>
      </c>
      <c r="H372" s="31">
        <v>0</v>
      </c>
      <c r="I372" s="31">
        <v>0</v>
      </c>
      <c r="J372" s="32">
        <f t="shared" si="26"/>
        <v>0</v>
      </c>
      <c r="K372" s="31">
        <v>98813.817934786639</v>
      </c>
      <c r="L372" s="31">
        <v>43478.079891306123</v>
      </c>
      <c r="M372" s="32">
        <f t="shared" si="27"/>
        <v>43478.079891306123</v>
      </c>
      <c r="N372" s="33">
        <f>Result_notebook!L372</f>
        <v>0.439346565686978</v>
      </c>
      <c r="O372" s="31">
        <f t="shared" si="28"/>
        <v>0</v>
      </c>
      <c r="P372" s="31">
        <f t="shared" si="31"/>
        <v>0</v>
      </c>
      <c r="Q372">
        <f t="shared" si="30"/>
        <v>0</v>
      </c>
    </row>
    <row r="373" spans="1:17" x14ac:dyDescent="0.35">
      <c r="A373">
        <v>2029</v>
      </c>
      <c r="B373" t="s">
        <v>6</v>
      </c>
      <c r="C373" t="s">
        <v>10</v>
      </c>
      <c r="D373" t="s">
        <v>16</v>
      </c>
      <c r="E373" t="s">
        <v>483</v>
      </c>
      <c r="F373" t="s">
        <v>81</v>
      </c>
      <c r="G373" s="31">
        <v>43478.079891306123</v>
      </c>
      <c r="H373" s="31">
        <v>3861</v>
      </c>
      <c r="I373" s="31">
        <v>1637.7660393504759</v>
      </c>
      <c r="J373" s="32">
        <f t="shared" si="26"/>
        <v>58.551050766946219</v>
      </c>
      <c r="K373" s="31">
        <v>94952.817934786639</v>
      </c>
      <c r="L373" s="31">
        <v>41840.313851955652</v>
      </c>
      <c r="M373" s="32">
        <f t="shared" si="27"/>
        <v>41781.762801188706</v>
      </c>
      <c r="N373" s="33">
        <f>Result_notebook!L373</f>
        <v>0.439346565686978</v>
      </c>
      <c r="O373" s="31">
        <f t="shared" si="28"/>
        <v>0</v>
      </c>
      <c r="P373" s="31">
        <f t="shared" si="31"/>
        <v>0</v>
      </c>
      <c r="Q373">
        <f t="shared" si="30"/>
        <v>58.551050766946219</v>
      </c>
    </row>
    <row r="374" spans="1:17" x14ac:dyDescent="0.35">
      <c r="A374">
        <v>2029</v>
      </c>
      <c r="B374" t="s">
        <v>6</v>
      </c>
      <c r="C374" t="s">
        <v>10</v>
      </c>
      <c r="D374" t="s">
        <v>18</v>
      </c>
      <c r="E374" t="s">
        <v>483</v>
      </c>
      <c r="F374" t="s">
        <v>85</v>
      </c>
      <c r="G374" s="31">
        <v>43478.079891306123</v>
      </c>
      <c r="H374" s="31">
        <v>6719.1794773198644</v>
      </c>
      <c r="I374" s="31">
        <v>2850.1538358599209</v>
      </c>
      <c r="J374" s="32">
        <f t="shared" si="26"/>
        <v>101.89459173498517</v>
      </c>
      <c r="K374" s="31">
        <v>92094.638457466775</v>
      </c>
      <c r="L374" s="31">
        <v>40627.926055446202</v>
      </c>
      <c r="M374" s="32">
        <f t="shared" si="27"/>
        <v>40526.031463711217</v>
      </c>
      <c r="N374" s="33">
        <f>Result_notebook!L374</f>
        <v>0.439346565686978</v>
      </c>
      <c r="O374" s="31">
        <f t="shared" si="28"/>
        <v>0</v>
      </c>
      <c r="P374" s="31">
        <f t="shared" si="31"/>
        <v>0</v>
      </c>
      <c r="Q374">
        <f t="shared" si="30"/>
        <v>101.89459173498517</v>
      </c>
    </row>
    <row r="375" spans="1:17" x14ac:dyDescent="0.35">
      <c r="A375">
        <v>2029</v>
      </c>
      <c r="B375" t="s">
        <v>6</v>
      </c>
      <c r="C375" t="s">
        <v>10</v>
      </c>
      <c r="D375" t="s">
        <v>18</v>
      </c>
      <c r="E375" t="s">
        <v>483</v>
      </c>
      <c r="F375" t="s">
        <v>86</v>
      </c>
      <c r="G375" s="31">
        <v>43478.079891306123</v>
      </c>
      <c r="H375" s="31">
        <v>6719.1794773198644</v>
      </c>
      <c r="I375" s="31">
        <v>2850.1538358599209</v>
      </c>
      <c r="J375" s="32">
        <f t="shared" si="26"/>
        <v>101.89459173498517</v>
      </c>
      <c r="K375" s="31">
        <v>92094.638457466775</v>
      </c>
      <c r="L375" s="31">
        <v>40627.926055446202</v>
      </c>
      <c r="M375" s="32">
        <f t="shared" si="27"/>
        <v>40526.031463711217</v>
      </c>
      <c r="N375" s="33">
        <f>Result_notebook!L375</f>
        <v>0.439346565686978</v>
      </c>
      <c r="O375" s="31">
        <f t="shared" si="28"/>
        <v>0</v>
      </c>
      <c r="P375" s="31">
        <f t="shared" si="31"/>
        <v>0</v>
      </c>
      <c r="Q375">
        <f t="shared" si="30"/>
        <v>101.89459173498517</v>
      </c>
    </row>
    <row r="376" spans="1:17" x14ac:dyDescent="0.35">
      <c r="A376">
        <v>2029</v>
      </c>
      <c r="B376" t="s">
        <v>6</v>
      </c>
      <c r="C376" t="s">
        <v>10</v>
      </c>
      <c r="D376" t="s">
        <v>18</v>
      </c>
      <c r="E376" t="s">
        <v>490</v>
      </c>
      <c r="F376" t="s">
        <v>82</v>
      </c>
      <c r="G376" s="31">
        <v>43478.079891306123</v>
      </c>
      <c r="H376" s="31">
        <v>6719.1794773198644</v>
      </c>
      <c r="I376" s="31">
        <v>2952.0484275949088</v>
      </c>
      <c r="J376" s="32">
        <f t="shared" si="26"/>
        <v>0</v>
      </c>
      <c r="K376" s="31">
        <v>92094.638457466775</v>
      </c>
      <c r="L376" s="31">
        <v>40526.031463711217</v>
      </c>
      <c r="M376" s="32">
        <f t="shared" si="27"/>
        <v>40526.031463711217</v>
      </c>
      <c r="N376" s="33">
        <f>Result_notebook!L376</f>
        <v>0.439346565686978</v>
      </c>
      <c r="O376" s="31">
        <f t="shared" si="28"/>
        <v>0</v>
      </c>
      <c r="P376" s="31">
        <f t="shared" si="31"/>
        <v>0</v>
      </c>
      <c r="Q376">
        <f t="shared" si="30"/>
        <v>0</v>
      </c>
    </row>
    <row r="377" spans="1:17" x14ac:dyDescent="0.35">
      <c r="A377">
        <v>2029</v>
      </c>
      <c r="B377" t="s">
        <v>7</v>
      </c>
      <c r="C377" t="s">
        <v>4</v>
      </c>
      <c r="D377" t="s">
        <v>16</v>
      </c>
      <c r="E377" t="s">
        <v>483</v>
      </c>
      <c r="F377" t="s">
        <v>80</v>
      </c>
      <c r="G377" s="31">
        <v>955177.18715425662</v>
      </c>
      <c r="H377" s="31">
        <v>0</v>
      </c>
      <c r="I377" s="31">
        <v>0</v>
      </c>
      <c r="J377" s="32">
        <f t="shared" si="26"/>
        <v>0</v>
      </c>
      <c r="K377" s="31">
        <v>1150815.8881376591</v>
      </c>
      <c r="L377" s="31">
        <v>955177.18715425662</v>
      </c>
      <c r="M377" s="32">
        <f t="shared" si="27"/>
        <v>955177.18715425662</v>
      </c>
      <c r="N377" s="33">
        <f>Result_notebook!L377</f>
        <v>0.83474576271186396</v>
      </c>
      <c r="O377" s="31">
        <f t="shared" si="28"/>
        <v>0</v>
      </c>
      <c r="P377" s="31">
        <f t="shared" si="31"/>
        <v>0</v>
      </c>
      <c r="Q377">
        <f t="shared" si="30"/>
        <v>0</v>
      </c>
    </row>
    <row r="378" spans="1:17" x14ac:dyDescent="0.35">
      <c r="A378">
        <v>2029</v>
      </c>
      <c r="B378" t="s">
        <v>7</v>
      </c>
      <c r="C378" t="s">
        <v>4</v>
      </c>
      <c r="D378" t="s">
        <v>16</v>
      </c>
      <c r="E378" t="s">
        <v>483</v>
      </c>
      <c r="F378" t="s">
        <v>81</v>
      </c>
      <c r="G378" s="31">
        <v>955177.18715425662</v>
      </c>
      <c r="H378" s="31">
        <v>348255</v>
      </c>
      <c r="I378" s="31">
        <v>183045.85345911881</v>
      </c>
      <c r="J378" s="32">
        <f t="shared" si="26"/>
        <v>107658.53213410138</v>
      </c>
      <c r="K378" s="31">
        <v>802560.88813765859</v>
      </c>
      <c r="L378" s="31">
        <v>772131.33369513787</v>
      </c>
      <c r="M378" s="32">
        <f t="shared" si="27"/>
        <v>664472.8015610365</v>
      </c>
      <c r="N378" s="33">
        <f>Result_notebook!L378</f>
        <v>0.83474576271186396</v>
      </c>
      <c r="O378" s="31">
        <f t="shared" si="28"/>
        <v>0</v>
      </c>
      <c r="P378" s="31">
        <f t="shared" si="31"/>
        <v>0</v>
      </c>
      <c r="Q378">
        <f t="shared" si="30"/>
        <v>107658.53213410138</v>
      </c>
    </row>
    <row r="379" spans="1:17" x14ac:dyDescent="0.35">
      <c r="A379">
        <v>2029</v>
      </c>
      <c r="B379" t="s">
        <v>7</v>
      </c>
      <c r="C379" t="s">
        <v>4</v>
      </c>
      <c r="D379" t="s">
        <v>18</v>
      </c>
      <c r="E379" t="s">
        <v>483</v>
      </c>
      <c r="F379" t="s">
        <v>85</v>
      </c>
      <c r="G379" s="31">
        <v>955177.18715425662</v>
      </c>
      <c r="H379" s="31">
        <v>652859.49048100598</v>
      </c>
      <c r="I379" s="31">
        <v>343148.61990202928</v>
      </c>
      <c r="J379" s="32">
        <f t="shared" si="26"/>
        <v>201823.07342321693</v>
      </c>
      <c r="K379" s="31">
        <v>497956.39765665261</v>
      </c>
      <c r="L379" s="31">
        <v>612028.56725222734</v>
      </c>
      <c r="M379" s="32">
        <f t="shared" si="27"/>
        <v>410205.4938290104</v>
      </c>
      <c r="N379" s="33">
        <f>Result_notebook!L379</f>
        <v>0.83474576271186396</v>
      </c>
      <c r="O379" s="31">
        <f t="shared" si="28"/>
        <v>0</v>
      </c>
      <c r="P379" s="31">
        <f t="shared" si="31"/>
        <v>0</v>
      </c>
      <c r="Q379">
        <f t="shared" si="30"/>
        <v>201823.07342321693</v>
      </c>
    </row>
    <row r="380" spans="1:17" x14ac:dyDescent="0.35">
      <c r="A380">
        <v>2029</v>
      </c>
      <c r="B380" t="s">
        <v>7</v>
      </c>
      <c r="C380" t="s">
        <v>4</v>
      </c>
      <c r="D380" t="s">
        <v>18</v>
      </c>
      <c r="E380" t="s">
        <v>483</v>
      </c>
      <c r="F380" t="s">
        <v>86</v>
      </c>
      <c r="G380" s="31">
        <v>955177.18715425662</v>
      </c>
      <c r="H380" s="31">
        <v>652859.49048100598</v>
      </c>
      <c r="I380" s="31">
        <v>343148.61990202928</v>
      </c>
      <c r="J380" s="32">
        <f t="shared" si="26"/>
        <v>201823.07342321693</v>
      </c>
      <c r="K380" s="31">
        <v>497956.39765665261</v>
      </c>
      <c r="L380" s="31">
        <v>612028.56725222734</v>
      </c>
      <c r="M380" s="32">
        <f t="shared" si="27"/>
        <v>410205.4938290104</v>
      </c>
      <c r="N380" s="33">
        <f>Result_notebook!L380</f>
        <v>0.83474576271186396</v>
      </c>
      <c r="O380" s="31">
        <f t="shared" si="28"/>
        <v>0</v>
      </c>
      <c r="P380" s="31">
        <f t="shared" si="31"/>
        <v>0</v>
      </c>
      <c r="Q380">
        <f t="shared" si="30"/>
        <v>201823.07342321693</v>
      </c>
    </row>
    <row r="381" spans="1:17" x14ac:dyDescent="0.35">
      <c r="A381">
        <v>2029</v>
      </c>
      <c r="B381" t="s">
        <v>7</v>
      </c>
      <c r="C381" t="s">
        <v>4</v>
      </c>
      <c r="D381" t="s">
        <v>18</v>
      </c>
      <c r="E381" t="s">
        <v>490</v>
      </c>
      <c r="F381" t="s">
        <v>82</v>
      </c>
      <c r="G381" s="31">
        <v>955177.18715425662</v>
      </c>
      <c r="H381" s="31">
        <v>652859.49048100598</v>
      </c>
      <c r="I381" s="31">
        <v>544971.69332524657</v>
      </c>
      <c r="J381" s="32">
        <f t="shared" si="26"/>
        <v>0</v>
      </c>
      <c r="K381" s="31">
        <v>497956.39765665261</v>
      </c>
      <c r="L381" s="31">
        <v>410205.49382901011</v>
      </c>
      <c r="M381" s="32">
        <f t="shared" si="27"/>
        <v>410205.49382901011</v>
      </c>
      <c r="N381" s="33">
        <f>Result_notebook!L381</f>
        <v>0.83474576271186396</v>
      </c>
      <c r="O381" s="31">
        <f t="shared" si="28"/>
        <v>0</v>
      </c>
      <c r="P381" s="31">
        <f t="shared" si="31"/>
        <v>0</v>
      </c>
      <c r="Q381">
        <f t="shared" si="30"/>
        <v>0</v>
      </c>
    </row>
    <row r="382" spans="1:17" x14ac:dyDescent="0.35">
      <c r="A382">
        <v>2029</v>
      </c>
      <c r="B382" t="s">
        <v>7</v>
      </c>
      <c r="C382" t="s">
        <v>9</v>
      </c>
      <c r="D382" t="s">
        <v>16</v>
      </c>
      <c r="E382" t="s">
        <v>483</v>
      </c>
      <c r="F382" t="s">
        <v>80</v>
      </c>
      <c r="G382" s="31">
        <v>914284.5211047167</v>
      </c>
      <c r="H382" s="31">
        <v>0</v>
      </c>
      <c r="I382" s="31">
        <v>0</v>
      </c>
      <c r="J382" s="32">
        <f t="shared" si="26"/>
        <v>0</v>
      </c>
      <c r="K382" s="31">
        <v>1101547.6157888151</v>
      </c>
      <c r="L382" s="31">
        <v>914284.5211047167</v>
      </c>
      <c r="M382" s="32">
        <f t="shared" si="27"/>
        <v>914284.5211047167</v>
      </c>
      <c r="N382" s="33">
        <f>Result_notebook!L382</f>
        <v>0.83474576271186396</v>
      </c>
      <c r="O382" s="31">
        <f t="shared" si="28"/>
        <v>0</v>
      </c>
      <c r="P382" s="31">
        <f t="shared" si="31"/>
        <v>0</v>
      </c>
      <c r="Q382">
        <f t="shared" si="30"/>
        <v>0</v>
      </c>
    </row>
    <row r="383" spans="1:17" x14ac:dyDescent="0.35">
      <c r="A383">
        <v>2029</v>
      </c>
      <c r="B383" t="s">
        <v>7</v>
      </c>
      <c r="C383" t="s">
        <v>9</v>
      </c>
      <c r="D383" t="s">
        <v>16</v>
      </c>
      <c r="E383" t="s">
        <v>483</v>
      </c>
      <c r="F383" t="s">
        <v>81</v>
      </c>
      <c r="G383" s="31">
        <v>914284.5211047167</v>
      </c>
      <c r="H383" s="31">
        <v>348255</v>
      </c>
      <c r="I383" s="31">
        <v>183045.85345911881</v>
      </c>
      <c r="J383" s="32">
        <f t="shared" si="26"/>
        <v>107658.53213410138</v>
      </c>
      <c r="K383" s="31">
        <v>753292.61578881531</v>
      </c>
      <c r="L383" s="31">
        <v>731238.66764559783</v>
      </c>
      <c r="M383" s="32">
        <f t="shared" si="27"/>
        <v>623580.13551149645</v>
      </c>
      <c r="N383" s="33">
        <f>Result_notebook!L383</f>
        <v>0.83474576271186396</v>
      </c>
      <c r="O383" s="31">
        <f t="shared" si="28"/>
        <v>0</v>
      </c>
      <c r="P383" s="31">
        <f t="shared" si="31"/>
        <v>0</v>
      </c>
      <c r="Q383">
        <f t="shared" si="30"/>
        <v>107658.53213410138</v>
      </c>
    </row>
    <row r="384" spans="1:17" x14ac:dyDescent="0.35">
      <c r="A384">
        <v>2029</v>
      </c>
      <c r="B384" t="s">
        <v>7</v>
      </c>
      <c r="C384" t="s">
        <v>9</v>
      </c>
      <c r="D384" t="s">
        <v>18</v>
      </c>
      <c r="E384" t="s">
        <v>483</v>
      </c>
      <c r="F384" t="s">
        <v>85</v>
      </c>
      <c r="G384" s="31">
        <v>914284.5211047167</v>
      </c>
      <c r="H384" s="31">
        <v>652859.49048100598</v>
      </c>
      <c r="I384" s="31">
        <v>343148.61990202928</v>
      </c>
      <c r="J384" s="32">
        <f t="shared" si="26"/>
        <v>201823.07342321693</v>
      </c>
      <c r="K384" s="31">
        <v>448688.12530780933</v>
      </c>
      <c r="L384" s="31">
        <v>571135.90120268741</v>
      </c>
      <c r="M384" s="32">
        <f t="shared" si="27"/>
        <v>369312.82777947048</v>
      </c>
      <c r="N384" s="33">
        <f>Result_notebook!L384</f>
        <v>0.83474576271186396</v>
      </c>
      <c r="O384" s="31">
        <f t="shared" si="28"/>
        <v>0</v>
      </c>
      <c r="P384" s="31">
        <f t="shared" si="31"/>
        <v>0</v>
      </c>
      <c r="Q384">
        <f t="shared" si="30"/>
        <v>201823.07342321693</v>
      </c>
    </row>
    <row r="385" spans="1:17" x14ac:dyDescent="0.35">
      <c r="A385">
        <v>2029</v>
      </c>
      <c r="B385" t="s">
        <v>7</v>
      </c>
      <c r="C385" t="s">
        <v>9</v>
      </c>
      <c r="D385" t="s">
        <v>18</v>
      </c>
      <c r="E385" t="s">
        <v>483</v>
      </c>
      <c r="F385" t="s">
        <v>86</v>
      </c>
      <c r="G385" s="31">
        <v>914284.5211047167</v>
      </c>
      <c r="H385" s="31">
        <v>652859.49048100598</v>
      </c>
      <c r="I385" s="31">
        <v>343148.61990202928</v>
      </c>
      <c r="J385" s="32">
        <f t="shared" si="26"/>
        <v>201823.07342321693</v>
      </c>
      <c r="K385" s="31">
        <v>448688.12530780933</v>
      </c>
      <c r="L385" s="31">
        <v>571135.90120268741</v>
      </c>
      <c r="M385" s="32">
        <f t="shared" si="27"/>
        <v>369312.82777947048</v>
      </c>
      <c r="N385" s="33">
        <f>Result_notebook!L385</f>
        <v>0.83474576271186396</v>
      </c>
      <c r="O385" s="31">
        <f t="shared" si="28"/>
        <v>0</v>
      </c>
      <c r="P385" s="31">
        <f t="shared" si="31"/>
        <v>0</v>
      </c>
      <c r="Q385">
        <f t="shared" si="30"/>
        <v>201823.07342321693</v>
      </c>
    </row>
    <row r="386" spans="1:17" x14ac:dyDescent="0.35">
      <c r="A386">
        <v>2029</v>
      </c>
      <c r="B386" t="s">
        <v>7</v>
      </c>
      <c r="C386" t="s">
        <v>9</v>
      </c>
      <c r="D386" t="s">
        <v>18</v>
      </c>
      <c r="E386" t="s">
        <v>490</v>
      </c>
      <c r="F386" t="s">
        <v>82</v>
      </c>
      <c r="G386" s="31">
        <v>914284.5211047167</v>
      </c>
      <c r="H386" s="31">
        <v>652859.49048100598</v>
      </c>
      <c r="I386" s="31">
        <v>544971.69332524657</v>
      </c>
      <c r="J386" s="32">
        <f t="shared" si="26"/>
        <v>0</v>
      </c>
      <c r="K386" s="31">
        <v>448688.12530780933</v>
      </c>
      <c r="L386" s="31">
        <v>369312.82777947013</v>
      </c>
      <c r="M386" s="32">
        <f t="shared" si="27"/>
        <v>369312.82777947013</v>
      </c>
      <c r="N386" s="33">
        <f>Result_notebook!L386</f>
        <v>0.83474576271186396</v>
      </c>
      <c r="O386" s="31">
        <f t="shared" si="28"/>
        <v>0</v>
      </c>
      <c r="P386" s="31">
        <f t="shared" si="31"/>
        <v>0</v>
      </c>
      <c r="Q386">
        <f t="shared" si="30"/>
        <v>0</v>
      </c>
    </row>
    <row r="387" spans="1:17" x14ac:dyDescent="0.35">
      <c r="A387">
        <v>2029</v>
      </c>
      <c r="B387" t="s">
        <v>7</v>
      </c>
      <c r="C387" t="s">
        <v>10</v>
      </c>
      <c r="D387" t="s">
        <v>16</v>
      </c>
      <c r="E387" t="s">
        <v>483</v>
      </c>
      <c r="F387" t="s">
        <v>80</v>
      </c>
      <c r="G387" s="31">
        <v>930438.48177642538</v>
      </c>
      <c r="H387" s="31">
        <v>0</v>
      </c>
      <c r="I387" s="31">
        <v>0</v>
      </c>
      <c r="J387" s="32">
        <f t="shared" ref="J387:J450" si="32">H387*N387-I387</f>
        <v>0</v>
      </c>
      <c r="K387" s="31">
        <v>1121010.219007741</v>
      </c>
      <c r="L387" s="31">
        <v>930438.48177642538</v>
      </c>
      <c r="M387" s="32">
        <f t="shared" ref="M387:M450" si="33">MAX(L387-J387,0)</f>
        <v>930438.48177642538</v>
      </c>
      <c r="N387" s="33">
        <f>Result_notebook!L387</f>
        <v>0.83474576271186396</v>
      </c>
      <c r="O387" s="31">
        <f t="shared" ref="O387:O450" si="34">G387-(I387+J387+M387)</f>
        <v>0</v>
      </c>
      <c r="P387" s="31">
        <f t="shared" ref="P387:P450" si="35">MAX(I387-G387,0)</f>
        <v>0</v>
      </c>
      <c r="Q387">
        <f t="shared" ref="Q387:Q450" si="36">(H387*N387)-I387</f>
        <v>0</v>
      </c>
    </row>
    <row r="388" spans="1:17" x14ac:dyDescent="0.35">
      <c r="A388">
        <v>2029</v>
      </c>
      <c r="B388" t="s">
        <v>7</v>
      </c>
      <c r="C388" t="s">
        <v>10</v>
      </c>
      <c r="D388" t="s">
        <v>16</v>
      </c>
      <c r="E388" t="s">
        <v>483</v>
      </c>
      <c r="F388" t="s">
        <v>81</v>
      </c>
      <c r="G388" s="31">
        <v>930438.48177642538</v>
      </c>
      <c r="H388" s="31">
        <v>348255</v>
      </c>
      <c r="I388" s="31">
        <v>183045.85345911881</v>
      </c>
      <c r="J388" s="32">
        <f t="shared" si="32"/>
        <v>107658.53213410138</v>
      </c>
      <c r="K388" s="31">
        <v>772755.21900774143</v>
      </c>
      <c r="L388" s="31">
        <v>747392.62831730652</v>
      </c>
      <c r="M388" s="32">
        <f t="shared" si="33"/>
        <v>639734.09618320514</v>
      </c>
      <c r="N388" s="33">
        <f>Result_notebook!L388</f>
        <v>0.83474576271186396</v>
      </c>
      <c r="O388" s="31">
        <f t="shared" si="34"/>
        <v>0</v>
      </c>
      <c r="P388" s="31">
        <f t="shared" si="35"/>
        <v>0</v>
      </c>
      <c r="Q388">
        <f t="shared" si="36"/>
        <v>107658.53213410138</v>
      </c>
    </row>
    <row r="389" spans="1:17" x14ac:dyDescent="0.35">
      <c r="A389">
        <v>2029</v>
      </c>
      <c r="B389" t="s">
        <v>7</v>
      </c>
      <c r="C389" t="s">
        <v>10</v>
      </c>
      <c r="D389" t="s">
        <v>18</v>
      </c>
      <c r="E389" t="s">
        <v>483</v>
      </c>
      <c r="F389" t="s">
        <v>85</v>
      </c>
      <c r="G389" s="31">
        <v>930438.48177642538</v>
      </c>
      <c r="H389" s="31">
        <v>652859.49048100598</v>
      </c>
      <c r="I389" s="31">
        <v>343148.61990202928</v>
      </c>
      <c r="J389" s="32">
        <f t="shared" si="32"/>
        <v>201823.07342321693</v>
      </c>
      <c r="K389" s="31">
        <v>468150.72852673539</v>
      </c>
      <c r="L389" s="31">
        <v>587289.8618743961</v>
      </c>
      <c r="M389" s="32">
        <f t="shared" si="33"/>
        <v>385466.78845117916</v>
      </c>
      <c r="N389" s="33">
        <f>Result_notebook!L389</f>
        <v>0.83474576271186396</v>
      </c>
      <c r="O389" s="31">
        <f t="shared" si="34"/>
        <v>0</v>
      </c>
      <c r="P389" s="31">
        <f t="shared" si="35"/>
        <v>0</v>
      </c>
      <c r="Q389">
        <f t="shared" si="36"/>
        <v>201823.07342321693</v>
      </c>
    </row>
    <row r="390" spans="1:17" x14ac:dyDescent="0.35">
      <c r="A390">
        <v>2029</v>
      </c>
      <c r="B390" t="s">
        <v>7</v>
      </c>
      <c r="C390" t="s">
        <v>10</v>
      </c>
      <c r="D390" t="s">
        <v>18</v>
      </c>
      <c r="E390" t="s">
        <v>483</v>
      </c>
      <c r="F390" t="s">
        <v>86</v>
      </c>
      <c r="G390" s="31">
        <v>930438.48177642538</v>
      </c>
      <c r="H390" s="31">
        <v>652859.49048100598</v>
      </c>
      <c r="I390" s="31">
        <v>343148.61990202928</v>
      </c>
      <c r="J390" s="32">
        <f t="shared" si="32"/>
        <v>201823.07342321693</v>
      </c>
      <c r="K390" s="31">
        <v>468150.72852673539</v>
      </c>
      <c r="L390" s="31">
        <v>587289.8618743961</v>
      </c>
      <c r="M390" s="32">
        <f t="shared" si="33"/>
        <v>385466.78845117916</v>
      </c>
      <c r="N390" s="33">
        <f>Result_notebook!L390</f>
        <v>0.83474576271186396</v>
      </c>
      <c r="O390" s="31">
        <f t="shared" si="34"/>
        <v>0</v>
      </c>
      <c r="P390" s="31">
        <f t="shared" si="35"/>
        <v>0</v>
      </c>
      <c r="Q390">
        <f t="shared" si="36"/>
        <v>201823.07342321693</v>
      </c>
    </row>
    <row r="391" spans="1:17" x14ac:dyDescent="0.35">
      <c r="A391">
        <v>2029</v>
      </c>
      <c r="B391" t="s">
        <v>7</v>
      </c>
      <c r="C391" t="s">
        <v>10</v>
      </c>
      <c r="D391" t="s">
        <v>18</v>
      </c>
      <c r="E391" t="s">
        <v>490</v>
      </c>
      <c r="F391" t="s">
        <v>82</v>
      </c>
      <c r="G391" s="31">
        <v>930438.48177642538</v>
      </c>
      <c r="H391" s="31">
        <v>652859.49048100598</v>
      </c>
      <c r="I391" s="31">
        <v>544971.69332524657</v>
      </c>
      <c r="J391" s="32">
        <f t="shared" si="32"/>
        <v>0</v>
      </c>
      <c r="K391" s="31">
        <v>468150.72852673539</v>
      </c>
      <c r="L391" s="31">
        <v>385466.78845117881</v>
      </c>
      <c r="M391" s="32">
        <f t="shared" si="33"/>
        <v>385466.78845117881</v>
      </c>
      <c r="N391" s="33">
        <f>Result_notebook!L391</f>
        <v>0.83474576271186396</v>
      </c>
      <c r="O391" s="31">
        <f t="shared" si="34"/>
        <v>0</v>
      </c>
      <c r="P391" s="31">
        <f t="shared" si="35"/>
        <v>0</v>
      </c>
      <c r="Q391">
        <f t="shared" si="36"/>
        <v>0</v>
      </c>
    </row>
    <row r="392" spans="1:17" x14ac:dyDescent="0.35">
      <c r="A392">
        <v>2029</v>
      </c>
      <c r="B392" t="s">
        <v>11</v>
      </c>
      <c r="C392" t="s">
        <v>4</v>
      </c>
      <c r="D392" t="s">
        <v>16</v>
      </c>
      <c r="E392" t="s">
        <v>483</v>
      </c>
      <c r="F392" t="s">
        <v>80</v>
      </c>
      <c r="G392" s="31">
        <v>1697.8123851929049</v>
      </c>
      <c r="H392" s="31">
        <v>0</v>
      </c>
      <c r="I392" s="31">
        <v>0</v>
      </c>
      <c r="J392" s="32">
        <f t="shared" si="32"/>
        <v>0</v>
      </c>
      <c r="K392" s="31">
        <v>2829.6873086548421</v>
      </c>
      <c r="L392" s="31">
        <v>1697.8123851929049</v>
      </c>
      <c r="M392" s="32">
        <f t="shared" si="33"/>
        <v>1697.8123851929049</v>
      </c>
      <c r="N392" s="33">
        <f>Result_notebook!L392</f>
        <v>1</v>
      </c>
      <c r="O392" s="31">
        <f t="shared" si="34"/>
        <v>0</v>
      </c>
      <c r="P392" s="31">
        <f t="shared" si="35"/>
        <v>0</v>
      </c>
      <c r="Q392">
        <f t="shared" si="36"/>
        <v>0</v>
      </c>
    </row>
    <row r="393" spans="1:17" x14ac:dyDescent="0.35">
      <c r="A393">
        <v>2029</v>
      </c>
      <c r="B393" t="s">
        <v>11</v>
      </c>
      <c r="C393" t="s">
        <v>4</v>
      </c>
      <c r="D393" t="s">
        <v>16</v>
      </c>
      <c r="E393" t="s">
        <v>483</v>
      </c>
      <c r="F393" t="s">
        <v>81</v>
      </c>
      <c r="G393" s="31">
        <v>1697.8123851929049</v>
      </c>
      <c r="H393" s="31">
        <v>0</v>
      </c>
      <c r="I393" s="31">
        <v>0</v>
      </c>
      <c r="J393" s="32">
        <f t="shared" si="32"/>
        <v>0</v>
      </c>
      <c r="K393" s="31">
        <v>2829.6873086548421</v>
      </c>
      <c r="L393" s="31">
        <v>1697.8123851929049</v>
      </c>
      <c r="M393" s="32">
        <f t="shared" si="33"/>
        <v>1697.8123851929049</v>
      </c>
      <c r="N393" s="33">
        <f>Result_notebook!L393</f>
        <v>1</v>
      </c>
      <c r="O393" s="31">
        <f t="shared" si="34"/>
        <v>0</v>
      </c>
      <c r="P393" s="31">
        <f t="shared" si="35"/>
        <v>0</v>
      </c>
      <c r="Q393">
        <f t="shared" si="36"/>
        <v>0</v>
      </c>
    </row>
    <row r="394" spans="1:17" x14ac:dyDescent="0.35">
      <c r="A394">
        <v>2029</v>
      </c>
      <c r="B394" t="s">
        <v>11</v>
      </c>
      <c r="C394" t="s">
        <v>4</v>
      </c>
      <c r="D394" t="s">
        <v>18</v>
      </c>
      <c r="E394" t="s">
        <v>483</v>
      </c>
      <c r="F394" t="s">
        <v>85</v>
      </c>
      <c r="G394" s="31">
        <v>1697.8123851929049</v>
      </c>
      <c r="H394" s="31">
        <v>10.588294957512471</v>
      </c>
      <c r="I394" s="31">
        <v>6.3375595063497547</v>
      </c>
      <c r="J394" s="32">
        <f t="shared" si="32"/>
        <v>4.2507354511627158</v>
      </c>
      <c r="K394" s="31">
        <v>2819.0990136973292</v>
      </c>
      <c r="L394" s="31">
        <v>1691.4748256865551</v>
      </c>
      <c r="M394" s="32">
        <f t="shared" si="33"/>
        <v>1687.2240902353924</v>
      </c>
      <c r="N394" s="33">
        <f>Result_notebook!L394</f>
        <v>1</v>
      </c>
      <c r="O394" s="31">
        <f t="shared" si="34"/>
        <v>0</v>
      </c>
      <c r="P394" s="31">
        <f t="shared" si="35"/>
        <v>0</v>
      </c>
      <c r="Q394">
        <f t="shared" si="36"/>
        <v>4.2507354511627158</v>
      </c>
    </row>
    <row r="395" spans="1:17" x14ac:dyDescent="0.35">
      <c r="A395">
        <v>2029</v>
      </c>
      <c r="B395" t="s">
        <v>11</v>
      </c>
      <c r="C395" t="s">
        <v>4</v>
      </c>
      <c r="D395" t="s">
        <v>18</v>
      </c>
      <c r="E395" t="s">
        <v>483</v>
      </c>
      <c r="F395" t="s">
        <v>86</v>
      </c>
      <c r="G395" s="31">
        <v>1697.8123851929049</v>
      </c>
      <c r="H395" s="31">
        <v>10.588294957512471</v>
      </c>
      <c r="I395" s="31">
        <v>6.3375595063497547</v>
      </c>
      <c r="J395" s="32">
        <f t="shared" si="32"/>
        <v>4.2507354511627158</v>
      </c>
      <c r="K395" s="31">
        <v>2819.0990136973292</v>
      </c>
      <c r="L395" s="31">
        <v>1691.4748256865551</v>
      </c>
      <c r="M395" s="32">
        <f t="shared" si="33"/>
        <v>1687.2240902353924</v>
      </c>
      <c r="N395" s="33">
        <f>Result_notebook!L395</f>
        <v>1</v>
      </c>
      <c r="O395" s="31">
        <f t="shared" si="34"/>
        <v>0</v>
      </c>
      <c r="P395" s="31">
        <f t="shared" si="35"/>
        <v>0</v>
      </c>
      <c r="Q395">
        <f t="shared" si="36"/>
        <v>4.2507354511627158</v>
      </c>
    </row>
    <row r="396" spans="1:17" x14ac:dyDescent="0.35">
      <c r="A396">
        <v>2029</v>
      </c>
      <c r="B396" t="s">
        <v>11</v>
      </c>
      <c r="C396" t="s">
        <v>4</v>
      </c>
      <c r="D396" t="s">
        <v>18</v>
      </c>
      <c r="E396" t="s">
        <v>490</v>
      </c>
      <c r="F396" t="s">
        <v>82</v>
      </c>
      <c r="G396" s="31">
        <v>1697.8123851929049</v>
      </c>
      <c r="H396" s="31">
        <v>10.588294957512471</v>
      </c>
      <c r="I396" s="31">
        <v>6.3375595063497547</v>
      </c>
      <c r="J396" s="32">
        <f t="shared" si="32"/>
        <v>4.2507354511627158</v>
      </c>
      <c r="K396" s="31">
        <v>2819.0990136973292</v>
      </c>
      <c r="L396" s="31">
        <v>1691.4748256865551</v>
      </c>
      <c r="M396" s="32">
        <f t="shared" si="33"/>
        <v>1687.2240902353924</v>
      </c>
      <c r="N396" s="33">
        <f>Result_notebook!L396</f>
        <v>1</v>
      </c>
      <c r="O396" s="31">
        <f t="shared" si="34"/>
        <v>0</v>
      </c>
      <c r="P396" s="31">
        <f t="shared" si="35"/>
        <v>0</v>
      </c>
      <c r="Q396">
        <f t="shared" si="36"/>
        <v>4.2507354511627158</v>
      </c>
    </row>
    <row r="397" spans="1:17" x14ac:dyDescent="0.35">
      <c r="A397">
        <v>2029</v>
      </c>
      <c r="B397" t="s">
        <v>11</v>
      </c>
      <c r="C397" t="s">
        <v>9</v>
      </c>
      <c r="D397" t="s">
        <v>16</v>
      </c>
      <c r="E397" t="s">
        <v>483</v>
      </c>
      <c r="F397" t="s">
        <v>80</v>
      </c>
      <c r="G397" s="31">
        <v>741.81027247215718</v>
      </c>
      <c r="H397" s="31">
        <v>0</v>
      </c>
      <c r="I397" s="31">
        <v>0</v>
      </c>
      <c r="J397" s="32">
        <f t="shared" si="32"/>
        <v>0</v>
      </c>
      <c r="K397" s="31">
        <v>1236.3504541202619</v>
      </c>
      <c r="L397" s="31">
        <v>741.81027247215718</v>
      </c>
      <c r="M397" s="32">
        <f t="shared" si="33"/>
        <v>741.81027247215718</v>
      </c>
      <c r="N397" s="33">
        <f>Result_notebook!L397</f>
        <v>1</v>
      </c>
      <c r="O397" s="31">
        <f t="shared" si="34"/>
        <v>0</v>
      </c>
      <c r="P397" s="31">
        <f t="shared" si="35"/>
        <v>0</v>
      </c>
      <c r="Q397">
        <f t="shared" si="36"/>
        <v>0</v>
      </c>
    </row>
    <row r="398" spans="1:17" x14ac:dyDescent="0.35">
      <c r="A398">
        <v>2029</v>
      </c>
      <c r="B398" t="s">
        <v>11</v>
      </c>
      <c r="C398" t="s">
        <v>9</v>
      </c>
      <c r="D398" t="s">
        <v>16</v>
      </c>
      <c r="E398" t="s">
        <v>483</v>
      </c>
      <c r="F398" t="s">
        <v>81</v>
      </c>
      <c r="G398" s="31">
        <v>741.81027247215718</v>
      </c>
      <c r="H398" s="31">
        <v>0</v>
      </c>
      <c r="I398" s="31">
        <v>0</v>
      </c>
      <c r="J398" s="32">
        <f t="shared" si="32"/>
        <v>0</v>
      </c>
      <c r="K398" s="31">
        <v>1236.3504541202619</v>
      </c>
      <c r="L398" s="31">
        <v>741.81027247215718</v>
      </c>
      <c r="M398" s="32">
        <f t="shared" si="33"/>
        <v>741.81027247215718</v>
      </c>
      <c r="N398" s="33">
        <f>Result_notebook!L398</f>
        <v>1</v>
      </c>
      <c r="O398" s="31">
        <f t="shared" si="34"/>
        <v>0</v>
      </c>
      <c r="P398" s="31">
        <f t="shared" si="35"/>
        <v>0</v>
      </c>
      <c r="Q398">
        <f t="shared" si="36"/>
        <v>0</v>
      </c>
    </row>
    <row r="399" spans="1:17" x14ac:dyDescent="0.35">
      <c r="A399">
        <v>2029</v>
      </c>
      <c r="B399" t="s">
        <v>11</v>
      </c>
      <c r="C399" t="s">
        <v>9</v>
      </c>
      <c r="D399" t="s">
        <v>18</v>
      </c>
      <c r="E399" t="s">
        <v>483</v>
      </c>
      <c r="F399" t="s">
        <v>85</v>
      </c>
      <c r="G399" s="31">
        <v>741.81027247215718</v>
      </c>
      <c r="H399" s="31">
        <v>10.588294957512471</v>
      </c>
      <c r="I399" s="31">
        <v>6.3375595063497547</v>
      </c>
      <c r="J399" s="32">
        <f t="shared" si="32"/>
        <v>4.2507354511627158</v>
      </c>
      <c r="K399" s="31">
        <v>1225.762159162749</v>
      </c>
      <c r="L399" s="31">
        <v>735.47271296580743</v>
      </c>
      <c r="M399" s="32">
        <f t="shared" si="33"/>
        <v>731.22197751464466</v>
      </c>
      <c r="N399" s="33">
        <f>Result_notebook!L399</f>
        <v>1</v>
      </c>
      <c r="O399" s="31">
        <f t="shared" si="34"/>
        <v>0</v>
      </c>
      <c r="P399" s="31">
        <f t="shared" si="35"/>
        <v>0</v>
      </c>
      <c r="Q399">
        <f t="shared" si="36"/>
        <v>4.2507354511627158</v>
      </c>
    </row>
    <row r="400" spans="1:17" x14ac:dyDescent="0.35">
      <c r="A400">
        <v>2029</v>
      </c>
      <c r="B400" t="s">
        <v>11</v>
      </c>
      <c r="C400" t="s">
        <v>9</v>
      </c>
      <c r="D400" t="s">
        <v>18</v>
      </c>
      <c r="E400" t="s">
        <v>483</v>
      </c>
      <c r="F400" t="s">
        <v>86</v>
      </c>
      <c r="G400" s="31">
        <v>741.81027247215718</v>
      </c>
      <c r="H400" s="31">
        <v>10.588294957512471</v>
      </c>
      <c r="I400" s="31">
        <v>6.3375595063497547</v>
      </c>
      <c r="J400" s="32">
        <f t="shared" si="32"/>
        <v>4.2507354511627158</v>
      </c>
      <c r="K400" s="31">
        <v>1225.762159162749</v>
      </c>
      <c r="L400" s="31">
        <v>735.47271296580743</v>
      </c>
      <c r="M400" s="32">
        <f t="shared" si="33"/>
        <v>731.22197751464466</v>
      </c>
      <c r="N400" s="33">
        <f>Result_notebook!L400</f>
        <v>1</v>
      </c>
      <c r="O400" s="31">
        <f t="shared" si="34"/>
        <v>0</v>
      </c>
      <c r="P400" s="31">
        <f t="shared" si="35"/>
        <v>0</v>
      </c>
      <c r="Q400">
        <f t="shared" si="36"/>
        <v>4.2507354511627158</v>
      </c>
    </row>
    <row r="401" spans="1:17" x14ac:dyDescent="0.35">
      <c r="A401">
        <v>2029</v>
      </c>
      <c r="B401" t="s">
        <v>11</v>
      </c>
      <c r="C401" t="s">
        <v>9</v>
      </c>
      <c r="D401" t="s">
        <v>18</v>
      </c>
      <c r="E401" t="s">
        <v>490</v>
      </c>
      <c r="F401" t="s">
        <v>82</v>
      </c>
      <c r="G401" s="31">
        <v>741.81027247215718</v>
      </c>
      <c r="H401" s="31">
        <v>10.588294957512471</v>
      </c>
      <c r="I401" s="31">
        <v>6.3375595063497547</v>
      </c>
      <c r="J401" s="32">
        <f t="shared" si="32"/>
        <v>4.2507354511627158</v>
      </c>
      <c r="K401" s="31">
        <v>1225.762159162749</v>
      </c>
      <c r="L401" s="31">
        <v>735.47271296580743</v>
      </c>
      <c r="M401" s="32">
        <f t="shared" si="33"/>
        <v>731.22197751464466</v>
      </c>
      <c r="N401" s="33">
        <f>Result_notebook!L401</f>
        <v>1</v>
      </c>
      <c r="O401" s="31">
        <f t="shared" si="34"/>
        <v>0</v>
      </c>
      <c r="P401" s="31">
        <f t="shared" si="35"/>
        <v>0</v>
      </c>
      <c r="Q401">
        <f t="shared" si="36"/>
        <v>4.2507354511627158</v>
      </c>
    </row>
    <row r="402" spans="1:17" x14ac:dyDescent="0.35">
      <c r="A402">
        <v>2029</v>
      </c>
      <c r="B402" t="s">
        <v>11</v>
      </c>
      <c r="C402" t="s">
        <v>10</v>
      </c>
      <c r="D402" t="s">
        <v>16</v>
      </c>
      <c r="E402" t="s">
        <v>483</v>
      </c>
      <c r="F402" t="s">
        <v>80</v>
      </c>
      <c r="G402" s="31">
        <v>1635.953671845974</v>
      </c>
      <c r="H402" s="31">
        <v>0</v>
      </c>
      <c r="I402" s="31">
        <v>0</v>
      </c>
      <c r="J402" s="32">
        <f t="shared" si="32"/>
        <v>0</v>
      </c>
      <c r="K402" s="31">
        <v>2726.5894530766241</v>
      </c>
      <c r="L402" s="31">
        <v>1635.953671845974</v>
      </c>
      <c r="M402" s="32">
        <f t="shared" si="33"/>
        <v>1635.953671845974</v>
      </c>
      <c r="N402" s="33">
        <f>Result_notebook!L402</f>
        <v>1</v>
      </c>
      <c r="O402" s="31">
        <f t="shared" si="34"/>
        <v>0</v>
      </c>
      <c r="P402" s="31">
        <f t="shared" si="35"/>
        <v>0</v>
      </c>
      <c r="Q402">
        <f t="shared" si="36"/>
        <v>0</v>
      </c>
    </row>
    <row r="403" spans="1:17" x14ac:dyDescent="0.35">
      <c r="A403">
        <v>2029</v>
      </c>
      <c r="B403" t="s">
        <v>11</v>
      </c>
      <c r="C403" t="s">
        <v>10</v>
      </c>
      <c r="D403" t="s">
        <v>16</v>
      </c>
      <c r="E403" t="s">
        <v>483</v>
      </c>
      <c r="F403" t="s">
        <v>81</v>
      </c>
      <c r="G403" s="31">
        <v>1635.953671845974</v>
      </c>
      <c r="H403" s="31">
        <v>0</v>
      </c>
      <c r="I403" s="31">
        <v>0</v>
      </c>
      <c r="J403" s="32">
        <f t="shared" si="32"/>
        <v>0</v>
      </c>
      <c r="K403" s="31">
        <v>2726.5894530766241</v>
      </c>
      <c r="L403" s="31">
        <v>1635.953671845974</v>
      </c>
      <c r="M403" s="32">
        <f t="shared" si="33"/>
        <v>1635.953671845974</v>
      </c>
      <c r="N403" s="33">
        <f>Result_notebook!L403</f>
        <v>1</v>
      </c>
      <c r="O403" s="31">
        <f t="shared" si="34"/>
        <v>0</v>
      </c>
      <c r="P403" s="31">
        <f t="shared" si="35"/>
        <v>0</v>
      </c>
      <c r="Q403">
        <f t="shared" si="36"/>
        <v>0</v>
      </c>
    </row>
    <row r="404" spans="1:17" x14ac:dyDescent="0.35">
      <c r="A404">
        <v>2029</v>
      </c>
      <c r="B404" t="s">
        <v>11</v>
      </c>
      <c r="C404" t="s">
        <v>10</v>
      </c>
      <c r="D404" t="s">
        <v>18</v>
      </c>
      <c r="E404" t="s">
        <v>483</v>
      </c>
      <c r="F404" t="s">
        <v>85</v>
      </c>
      <c r="G404" s="31">
        <v>1635.953671845974</v>
      </c>
      <c r="H404" s="31">
        <v>10.588294957512471</v>
      </c>
      <c r="I404" s="31">
        <v>6.3375595063497547</v>
      </c>
      <c r="J404" s="32">
        <f t="shared" si="32"/>
        <v>4.2507354511627158</v>
      </c>
      <c r="K404" s="31">
        <v>2716.0011581191111</v>
      </c>
      <c r="L404" s="31">
        <v>1629.6161123396239</v>
      </c>
      <c r="M404" s="32">
        <f t="shared" si="33"/>
        <v>1625.3653768884612</v>
      </c>
      <c r="N404" s="33">
        <f>Result_notebook!L404</f>
        <v>1</v>
      </c>
      <c r="O404" s="31">
        <f t="shared" si="34"/>
        <v>0</v>
      </c>
      <c r="P404" s="31">
        <f t="shared" si="35"/>
        <v>0</v>
      </c>
      <c r="Q404">
        <f t="shared" si="36"/>
        <v>4.2507354511627158</v>
      </c>
    </row>
    <row r="405" spans="1:17" x14ac:dyDescent="0.35">
      <c r="A405">
        <v>2029</v>
      </c>
      <c r="B405" t="s">
        <v>11</v>
      </c>
      <c r="C405" t="s">
        <v>10</v>
      </c>
      <c r="D405" t="s">
        <v>18</v>
      </c>
      <c r="E405" t="s">
        <v>483</v>
      </c>
      <c r="F405" t="s">
        <v>86</v>
      </c>
      <c r="G405" s="31">
        <v>1635.953671845974</v>
      </c>
      <c r="H405" s="31">
        <v>10.588294957512471</v>
      </c>
      <c r="I405" s="31">
        <v>6.3375595063497547</v>
      </c>
      <c r="J405" s="32">
        <f t="shared" si="32"/>
        <v>4.2507354511627158</v>
      </c>
      <c r="K405" s="31">
        <v>2716.0011581191111</v>
      </c>
      <c r="L405" s="31">
        <v>1629.6161123396239</v>
      </c>
      <c r="M405" s="32">
        <f t="shared" si="33"/>
        <v>1625.3653768884612</v>
      </c>
      <c r="N405" s="33">
        <f>Result_notebook!L405</f>
        <v>1</v>
      </c>
      <c r="O405" s="31">
        <f t="shared" si="34"/>
        <v>0</v>
      </c>
      <c r="P405" s="31">
        <f t="shared" si="35"/>
        <v>0</v>
      </c>
      <c r="Q405">
        <f t="shared" si="36"/>
        <v>4.2507354511627158</v>
      </c>
    </row>
    <row r="406" spans="1:17" x14ac:dyDescent="0.35">
      <c r="A406">
        <v>2029</v>
      </c>
      <c r="B406" t="s">
        <v>11</v>
      </c>
      <c r="C406" t="s">
        <v>10</v>
      </c>
      <c r="D406" t="s">
        <v>18</v>
      </c>
      <c r="E406" t="s">
        <v>490</v>
      </c>
      <c r="F406" t="s">
        <v>82</v>
      </c>
      <c r="G406" s="31">
        <v>1635.953671845974</v>
      </c>
      <c r="H406" s="31">
        <v>10.588294957512471</v>
      </c>
      <c r="I406" s="31">
        <v>6.3375595063497547</v>
      </c>
      <c r="J406" s="32">
        <f t="shared" si="32"/>
        <v>4.2507354511627158</v>
      </c>
      <c r="K406" s="31">
        <v>2716.0011581191111</v>
      </c>
      <c r="L406" s="31">
        <v>1629.6161123396239</v>
      </c>
      <c r="M406" s="32">
        <f t="shared" si="33"/>
        <v>1625.3653768884612</v>
      </c>
      <c r="N406" s="33">
        <f>Result_notebook!L406</f>
        <v>1</v>
      </c>
      <c r="O406" s="31">
        <f t="shared" si="34"/>
        <v>0</v>
      </c>
      <c r="P406" s="31">
        <f t="shared" si="35"/>
        <v>0</v>
      </c>
      <c r="Q406">
        <f t="shared" si="36"/>
        <v>4.2507354511627158</v>
      </c>
    </row>
    <row r="407" spans="1:17" x14ac:dyDescent="0.35">
      <c r="A407">
        <v>2029</v>
      </c>
      <c r="B407" t="s">
        <v>8</v>
      </c>
      <c r="C407" t="s">
        <v>4</v>
      </c>
      <c r="D407" t="s">
        <v>16</v>
      </c>
      <c r="E407" t="s">
        <v>483</v>
      </c>
      <c r="F407" t="s">
        <v>80</v>
      </c>
      <c r="G407" s="31">
        <v>64370.502916696467</v>
      </c>
      <c r="H407" s="31">
        <v>0</v>
      </c>
      <c r="I407" s="31">
        <v>0</v>
      </c>
      <c r="J407" s="32">
        <f t="shared" si="32"/>
        <v>0</v>
      </c>
      <c r="K407" s="31">
        <v>81481.649261641098</v>
      </c>
      <c r="L407" s="31">
        <v>64370.502916696467</v>
      </c>
      <c r="M407" s="32">
        <f t="shared" si="33"/>
        <v>64370.502916696467</v>
      </c>
      <c r="N407" s="33">
        <f>Result_notebook!L407</f>
        <v>0.69917047091553897</v>
      </c>
      <c r="O407" s="31">
        <f t="shared" si="34"/>
        <v>0</v>
      </c>
      <c r="P407" s="31">
        <f t="shared" si="35"/>
        <v>0</v>
      </c>
      <c r="Q407">
        <f t="shared" si="36"/>
        <v>0</v>
      </c>
    </row>
    <row r="408" spans="1:17" x14ac:dyDescent="0.35">
      <c r="A408">
        <v>2029</v>
      </c>
      <c r="B408" t="s">
        <v>8</v>
      </c>
      <c r="C408" t="s">
        <v>4</v>
      </c>
      <c r="D408" t="s">
        <v>16</v>
      </c>
      <c r="E408" t="s">
        <v>483</v>
      </c>
      <c r="F408" t="s">
        <v>81</v>
      </c>
      <c r="G408" s="31">
        <v>64370.502916696467</v>
      </c>
      <c r="H408" s="31">
        <v>152074</v>
      </c>
      <c r="I408" s="31">
        <v>85295.271642077118</v>
      </c>
      <c r="J408" s="32">
        <f t="shared" si="32"/>
        <v>21030.378551932561</v>
      </c>
      <c r="K408" s="31">
        <v>0</v>
      </c>
      <c r="L408" s="31">
        <v>0</v>
      </c>
      <c r="M408" s="32">
        <f t="shared" si="33"/>
        <v>0</v>
      </c>
      <c r="N408" s="33">
        <f>Result_notebook!L408</f>
        <v>0.69917047091553897</v>
      </c>
      <c r="O408" s="31">
        <f t="shared" si="34"/>
        <v>-41955.147277313212</v>
      </c>
      <c r="P408" s="31">
        <f t="shared" si="35"/>
        <v>20924.768725380651</v>
      </c>
      <c r="Q408">
        <f t="shared" si="36"/>
        <v>21030.378551932561</v>
      </c>
    </row>
    <row r="409" spans="1:17" x14ac:dyDescent="0.35">
      <c r="A409">
        <v>2029</v>
      </c>
      <c r="B409" t="s">
        <v>8</v>
      </c>
      <c r="C409" t="s">
        <v>4</v>
      </c>
      <c r="D409" t="s">
        <v>18</v>
      </c>
      <c r="E409" t="s">
        <v>483</v>
      </c>
      <c r="F409" t="s">
        <v>85</v>
      </c>
      <c r="G409" s="31">
        <v>64370.502916696467</v>
      </c>
      <c r="H409" s="31">
        <v>190724</v>
      </c>
      <c r="I409" s="31">
        <v>106973.2852996799</v>
      </c>
      <c r="J409" s="32">
        <f t="shared" si="32"/>
        <v>26375.303595215344</v>
      </c>
      <c r="K409" s="31">
        <v>0</v>
      </c>
      <c r="L409" s="31">
        <v>0</v>
      </c>
      <c r="M409" s="32">
        <f t="shared" si="33"/>
        <v>0</v>
      </c>
      <c r="N409" s="33">
        <f>Result_notebook!L409</f>
        <v>0.69917047091553897</v>
      </c>
      <c r="O409" s="31">
        <f t="shared" si="34"/>
        <v>-68978.085978198782</v>
      </c>
      <c r="P409" s="31">
        <f t="shared" si="35"/>
        <v>42602.782382983438</v>
      </c>
      <c r="Q409">
        <f t="shared" si="36"/>
        <v>26375.303595215344</v>
      </c>
    </row>
    <row r="410" spans="1:17" x14ac:dyDescent="0.35">
      <c r="A410">
        <v>2029</v>
      </c>
      <c r="B410" t="s">
        <v>8</v>
      </c>
      <c r="C410" t="s">
        <v>4</v>
      </c>
      <c r="D410" t="s">
        <v>18</v>
      </c>
      <c r="E410" t="s">
        <v>483</v>
      </c>
      <c r="F410" t="s">
        <v>86</v>
      </c>
      <c r="G410" s="31">
        <v>64370.502916696467</v>
      </c>
      <c r="H410" s="31">
        <v>190724</v>
      </c>
      <c r="I410" s="31">
        <v>106973.2852996799</v>
      </c>
      <c r="J410" s="32">
        <f t="shared" si="32"/>
        <v>26375.303595215344</v>
      </c>
      <c r="K410" s="31">
        <v>0</v>
      </c>
      <c r="L410" s="31">
        <v>0</v>
      </c>
      <c r="M410" s="32">
        <f t="shared" si="33"/>
        <v>0</v>
      </c>
      <c r="N410" s="33">
        <f>Result_notebook!L410</f>
        <v>0.69917047091553897</v>
      </c>
      <c r="O410" s="31">
        <f t="shared" si="34"/>
        <v>-68978.085978198782</v>
      </c>
      <c r="P410" s="31">
        <f t="shared" si="35"/>
        <v>42602.782382983438</v>
      </c>
      <c r="Q410">
        <f t="shared" si="36"/>
        <v>26375.303595215344</v>
      </c>
    </row>
    <row r="411" spans="1:17" x14ac:dyDescent="0.35">
      <c r="A411">
        <v>2029</v>
      </c>
      <c r="B411" t="s">
        <v>8</v>
      </c>
      <c r="C411" t="s">
        <v>4</v>
      </c>
      <c r="D411" t="s">
        <v>18</v>
      </c>
      <c r="E411" t="s">
        <v>490</v>
      </c>
      <c r="F411" t="s">
        <v>82</v>
      </c>
      <c r="G411" s="31">
        <v>64370.502916696467</v>
      </c>
      <c r="H411" s="31">
        <v>190724</v>
      </c>
      <c r="I411" s="31">
        <v>150205.63922061599</v>
      </c>
      <c r="J411" s="32">
        <f t="shared" si="32"/>
        <v>-16857.050325720746</v>
      </c>
      <c r="K411" s="31">
        <v>0</v>
      </c>
      <c r="L411" s="31">
        <v>0</v>
      </c>
      <c r="M411" s="32">
        <f t="shared" si="33"/>
        <v>16857.050325720746</v>
      </c>
      <c r="N411" s="33">
        <f>Result_notebook!L411</f>
        <v>0.69917047091553897</v>
      </c>
      <c r="O411" s="31">
        <f t="shared" si="34"/>
        <v>-85835.136303919528</v>
      </c>
      <c r="P411" s="31">
        <f t="shared" si="35"/>
        <v>85835.136303919528</v>
      </c>
      <c r="Q411">
        <f t="shared" si="36"/>
        <v>-16857.050325720746</v>
      </c>
    </row>
    <row r="412" spans="1:17" x14ac:dyDescent="0.35">
      <c r="A412">
        <v>2029</v>
      </c>
      <c r="B412" t="s">
        <v>8</v>
      </c>
      <c r="C412" t="s">
        <v>9</v>
      </c>
      <c r="D412" t="s">
        <v>16</v>
      </c>
      <c r="E412" t="s">
        <v>483</v>
      </c>
      <c r="F412" t="s">
        <v>80</v>
      </c>
      <c r="G412" s="31">
        <v>37163.881136711549</v>
      </c>
      <c r="H412" s="31">
        <v>0</v>
      </c>
      <c r="I412" s="31">
        <v>0</v>
      </c>
      <c r="J412" s="32">
        <f t="shared" si="32"/>
        <v>0</v>
      </c>
      <c r="K412" s="31">
        <v>47042.887514824753</v>
      </c>
      <c r="L412" s="31">
        <v>37163.881136711549</v>
      </c>
      <c r="M412" s="32">
        <f t="shared" si="33"/>
        <v>37163.881136711549</v>
      </c>
      <c r="N412" s="33">
        <f>Result_notebook!L412</f>
        <v>0.69917047091553897</v>
      </c>
      <c r="O412" s="31">
        <f t="shared" si="34"/>
        <v>0</v>
      </c>
      <c r="P412" s="31">
        <f t="shared" si="35"/>
        <v>0</v>
      </c>
      <c r="Q412">
        <f t="shared" si="36"/>
        <v>0</v>
      </c>
    </row>
    <row r="413" spans="1:17" x14ac:dyDescent="0.35">
      <c r="A413">
        <v>2029</v>
      </c>
      <c r="B413" t="s">
        <v>8</v>
      </c>
      <c r="C413" t="s">
        <v>9</v>
      </c>
      <c r="D413" t="s">
        <v>16</v>
      </c>
      <c r="E413" t="s">
        <v>483</v>
      </c>
      <c r="F413" t="s">
        <v>81</v>
      </c>
      <c r="G413" s="31">
        <v>37163.881136711549</v>
      </c>
      <c r="H413" s="31">
        <v>152074</v>
      </c>
      <c r="I413" s="31">
        <v>85295.271642077118</v>
      </c>
      <c r="J413" s="32">
        <f t="shared" si="32"/>
        <v>21030.378551932561</v>
      </c>
      <c r="K413" s="31">
        <v>0</v>
      </c>
      <c r="L413" s="31">
        <v>0</v>
      </c>
      <c r="M413" s="32">
        <f t="shared" si="33"/>
        <v>0</v>
      </c>
      <c r="N413" s="33">
        <f>Result_notebook!L413</f>
        <v>0.69917047091553897</v>
      </c>
      <c r="O413" s="31">
        <f t="shared" si="34"/>
        <v>-69161.769057298137</v>
      </c>
      <c r="P413" s="31">
        <f t="shared" si="35"/>
        <v>48131.390505365569</v>
      </c>
      <c r="Q413">
        <f t="shared" si="36"/>
        <v>21030.378551932561</v>
      </c>
    </row>
    <row r="414" spans="1:17" x14ac:dyDescent="0.35">
      <c r="A414">
        <v>2029</v>
      </c>
      <c r="B414" t="s">
        <v>8</v>
      </c>
      <c r="C414" t="s">
        <v>9</v>
      </c>
      <c r="D414" t="s">
        <v>18</v>
      </c>
      <c r="E414" t="s">
        <v>483</v>
      </c>
      <c r="F414" t="s">
        <v>85</v>
      </c>
      <c r="G414" s="31">
        <v>37163.881136711549</v>
      </c>
      <c r="H414" s="31">
        <v>190724</v>
      </c>
      <c r="I414" s="31">
        <v>106973.2852996799</v>
      </c>
      <c r="J414" s="32">
        <f t="shared" si="32"/>
        <v>26375.303595215344</v>
      </c>
      <c r="K414" s="31">
        <v>0</v>
      </c>
      <c r="L414" s="31">
        <v>0</v>
      </c>
      <c r="M414" s="32">
        <f t="shared" si="33"/>
        <v>0</v>
      </c>
      <c r="N414" s="33">
        <f>Result_notebook!L414</f>
        <v>0.69917047091553897</v>
      </c>
      <c r="O414" s="31">
        <f t="shared" si="34"/>
        <v>-96184.707758183707</v>
      </c>
      <c r="P414" s="31">
        <f t="shared" si="35"/>
        <v>69809.404162968363</v>
      </c>
      <c r="Q414">
        <f t="shared" si="36"/>
        <v>26375.303595215344</v>
      </c>
    </row>
    <row r="415" spans="1:17" x14ac:dyDescent="0.35">
      <c r="A415">
        <v>2029</v>
      </c>
      <c r="B415" t="s">
        <v>8</v>
      </c>
      <c r="C415" t="s">
        <v>9</v>
      </c>
      <c r="D415" t="s">
        <v>18</v>
      </c>
      <c r="E415" t="s">
        <v>483</v>
      </c>
      <c r="F415" t="s">
        <v>86</v>
      </c>
      <c r="G415" s="31">
        <v>37163.881136711549</v>
      </c>
      <c r="H415" s="31">
        <v>190724</v>
      </c>
      <c r="I415" s="31">
        <v>106973.2852996799</v>
      </c>
      <c r="J415" s="32">
        <f t="shared" si="32"/>
        <v>26375.303595215344</v>
      </c>
      <c r="K415" s="31">
        <v>0</v>
      </c>
      <c r="L415" s="31">
        <v>0</v>
      </c>
      <c r="M415" s="32">
        <f t="shared" si="33"/>
        <v>0</v>
      </c>
      <c r="N415" s="33">
        <f>Result_notebook!L415</f>
        <v>0.69917047091553897</v>
      </c>
      <c r="O415" s="31">
        <f t="shared" si="34"/>
        <v>-96184.707758183707</v>
      </c>
      <c r="P415" s="31">
        <f t="shared" si="35"/>
        <v>69809.404162968363</v>
      </c>
      <c r="Q415">
        <f t="shared" si="36"/>
        <v>26375.303595215344</v>
      </c>
    </row>
    <row r="416" spans="1:17" x14ac:dyDescent="0.35">
      <c r="A416">
        <v>2029</v>
      </c>
      <c r="B416" t="s">
        <v>8</v>
      </c>
      <c r="C416" t="s">
        <v>9</v>
      </c>
      <c r="D416" t="s">
        <v>18</v>
      </c>
      <c r="E416" t="s">
        <v>490</v>
      </c>
      <c r="F416" t="s">
        <v>82</v>
      </c>
      <c r="G416" s="31">
        <v>37163.881136711549</v>
      </c>
      <c r="H416" s="31">
        <v>190724</v>
      </c>
      <c r="I416" s="31">
        <v>150205.63922061599</v>
      </c>
      <c r="J416" s="32">
        <f t="shared" si="32"/>
        <v>-16857.050325720746</v>
      </c>
      <c r="K416" s="31">
        <v>0</v>
      </c>
      <c r="L416" s="31">
        <v>0</v>
      </c>
      <c r="M416" s="32">
        <f t="shared" si="33"/>
        <v>16857.050325720746</v>
      </c>
      <c r="N416" s="33">
        <f>Result_notebook!L416</f>
        <v>0.69917047091553897</v>
      </c>
      <c r="O416" s="31">
        <f t="shared" si="34"/>
        <v>-113041.75808390445</v>
      </c>
      <c r="P416" s="31">
        <f t="shared" si="35"/>
        <v>113041.75808390445</v>
      </c>
      <c r="Q416">
        <f t="shared" si="36"/>
        <v>-16857.050325720746</v>
      </c>
    </row>
    <row r="417" spans="1:17" x14ac:dyDescent="0.35">
      <c r="A417">
        <v>2029</v>
      </c>
      <c r="B417" t="s">
        <v>8</v>
      </c>
      <c r="C417" t="s">
        <v>10</v>
      </c>
      <c r="D417" t="s">
        <v>16</v>
      </c>
      <c r="E417" t="s">
        <v>483</v>
      </c>
      <c r="F417" t="s">
        <v>80</v>
      </c>
      <c r="G417" s="31">
        <v>61092.529648571137</v>
      </c>
      <c r="H417" s="31">
        <v>0</v>
      </c>
      <c r="I417" s="31">
        <v>0</v>
      </c>
      <c r="J417" s="32">
        <f t="shared" si="32"/>
        <v>0</v>
      </c>
      <c r="K417" s="31">
        <v>77332.316010849536</v>
      </c>
      <c r="L417" s="31">
        <v>61092.529648571137</v>
      </c>
      <c r="M417" s="32">
        <f t="shared" si="33"/>
        <v>61092.529648571137</v>
      </c>
      <c r="N417" s="33">
        <f>Result_notebook!L417</f>
        <v>0.69917047091553897</v>
      </c>
      <c r="O417" s="31">
        <f t="shared" si="34"/>
        <v>0</v>
      </c>
      <c r="P417" s="31">
        <f t="shared" si="35"/>
        <v>0</v>
      </c>
      <c r="Q417">
        <f t="shared" si="36"/>
        <v>0</v>
      </c>
    </row>
    <row r="418" spans="1:17" x14ac:dyDescent="0.35">
      <c r="A418">
        <v>2029</v>
      </c>
      <c r="B418" t="s">
        <v>8</v>
      </c>
      <c r="C418" t="s">
        <v>10</v>
      </c>
      <c r="D418" t="s">
        <v>16</v>
      </c>
      <c r="E418" t="s">
        <v>483</v>
      </c>
      <c r="F418" t="s">
        <v>81</v>
      </c>
      <c r="G418" s="31">
        <v>61092.529648571137</v>
      </c>
      <c r="H418" s="31">
        <v>152074</v>
      </c>
      <c r="I418" s="31">
        <v>85295.271642077118</v>
      </c>
      <c r="J418" s="32">
        <f t="shared" si="32"/>
        <v>21030.378551932561</v>
      </c>
      <c r="K418" s="31">
        <v>0</v>
      </c>
      <c r="L418" s="31">
        <v>0</v>
      </c>
      <c r="M418" s="32">
        <f t="shared" si="33"/>
        <v>0</v>
      </c>
      <c r="N418" s="33">
        <f>Result_notebook!L418</f>
        <v>0.69917047091553897</v>
      </c>
      <c r="O418" s="31">
        <f t="shared" si="34"/>
        <v>-45233.120545438542</v>
      </c>
      <c r="P418" s="31">
        <f t="shared" si="35"/>
        <v>24202.741993505981</v>
      </c>
      <c r="Q418">
        <f t="shared" si="36"/>
        <v>21030.378551932561</v>
      </c>
    </row>
    <row r="419" spans="1:17" x14ac:dyDescent="0.35">
      <c r="A419">
        <v>2029</v>
      </c>
      <c r="B419" t="s">
        <v>8</v>
      </c>
      <c r="C419" t="s">
        <v>10</v>
      </c>
      <c r="D419" t="s">
        <v>18</v>
      </c>
      <c r="E419" t="s">
        <v>483</v>
      </c>
      <c r="F419" t="s">
        <v>85</v>
      </c>
      <c r="G419" s="31">
        <v>61092.529648571137</v>
      </c>
      <c r="H419" s="31">
        <v>190724</v>
      </c>
      <c r="I419" s="31">
        <v>106973.2852996799</v>
      </c>
      <c r="J419" s="32">
        <f t="shared" si="32"/>
        <v>26375.303595215344</v>
      </c>
      <c r="K419" s="31">
        <v>0</v>
      </c>
      <c r="L419" s="31">
        <v>0</v>
      </c>
      <c r="M419" s="32">
        <f t="shared" si="33"/>
        <v>0</v>
      </c>
      <c r="N419" s="33">
        <f>Result_notebook!L419</f>
        <v>0.69917047091553897</v>
      </c>
      <c r="O419" s="31">
        <f t="shared" si="34"/>
        <v>-72256.059246324119</v>
      </c>
      <c r="P419" s="31">
        <f t="shared" si="35"/>
        <v>45880.755651108768</v>
      </c>
      <c r="Q419">
        <f t="shared" si="36"/>
        <v>26375.303595215344</v>
      </c>
    </row>
    <row r="420" spans="1:17" x14ac:dyDescent="0.35">
      <c r="A420">
        <v>2029</v>
      </c>
      <c r="B420" t="s">
        <v>8</v>
      </c>
      <c r="C420" t="s">
        <v>10</v>
      </c>
      <c r="D420" t="s">
        <v>18</v>
      </c>
      <c r="E420" t="s">
        <v>483</v>
      </c>
      <c r="F420" t="s">
        <v>86</v>
      </c>
      <c r="G420" s="31">
        <v>61092.529648571137</v>
      </c>
      <c r="H420" s="31">
        <v>190724</v>
      </c>
      <c r="I420" s="31">
        <v>106973.2852996799</v>
      </c>
      <c r="J420" s="32">
        <f t="shared" si="32"/>
        <v>26375.303595215344</v>
      </c>
      <c r="K420" s="31">
        <v>0</v>
      </c>
      <c r="L420" s="31">
        <v>0</v>
      </c>
      <c r="M420" s="32">
        <f t="shared" si="33"/>
        <v>0</v>
      </c>
      <c r="N420" s="33">
        <f>Result_notebook!L420</f>
        <v>0.69917047091553897</v>
      </c>
      <c r="O420" s="31">
        <f t="shared" si="34"/>
        <v>-72256.059246324119</v>
      </c>
      <c r="P420" s="31">
        <f t="shared" si="35"/>
        <v>45880.755651108768</v>
      </c>
      <c r="Q420">
        <f t="shared" si="36"/>
        <v>26375.303595215344</v>
      </c>
    </row>
    <row r="421" spans="1:17" x14ac:dyDescent="0.35">
      <c r="A421">
        <v>2029</v>
      </c>
      <c r="B421" t="s">
        <v>8</v>
      </c>
      <c r="C421" t="s">
        <v>10</v>
      </c>
      <c r="D421" t="s">
        <v>18</v>
      </c>
      <c r="E421" t="s">
        <v>490</v>
      </c>
      <c r="F421" t="s">
        <v>82</v>
      </c>
      <c r="G421" s="31">
        <v>61092.529648571137</v>
      </c>
      <c r="H421" s="31">
        <v>190724</v>
      </c>
      <c r="I421" s="31">
        <v>150205.63922061599</v>
      </c>
      <c r="J421" s="32">
        <f t="shared" si="32"/>
        <v>-16857.050325720746</v>
      </c>
      <c r="K421" s="31">
        <v>0</v>
      </c>
      <c r="L421" s="31">
        <v>0</v>
      </c>
      <c r="M421" s="32">
        <f t="shared" si="33"/>
        <v>16857.050325720746</v>
      </c>
      <c r="N421" s="33">
        <f>Result_notebook!L421</f>
        <v>0.69917047091553897</v>
      </c>
      <c r="O421" s="31">
        <f t="shared" si="34"/>
        <v>-89113.109572044865</v>
      </c>
      <c r="P421" s="31">
        <f t="shared" si="35"/>
        <v>89113.109572044865</v>
      </c>
      <c r="Q421">
        <f t="shared" si="36"/>
        <v>-16857.050325720746</v>
      </c>
    </row>
    <row r="422" spans="1:17" x14ac:dyDescent="0.35">
      <c r="A422">
        <v>2029</v>
      </c>
      <c r="B422" t="s">
        <v>13</v>
      </c>
      <c r="C422" t="s">
        <v>4</v>
      </c>
      <c r="D422" t="s">
        <v>16</v>
      </c>
      <c r="E422" t="s">
        <v>483</v>
      </c>
      <c r="F422" t="s">
        <v>80</v>
      </c>
      <c r="G422" s="31">
        <v>1524.695210353849</v>
      </c>
      <c r="H422" s="31">
        <v>0</v>
      </c>
      <c r="I422" s="31">
        <v>0</v>
      </c>
      <c r="J422" s="32">
        <f t="shared" si="32"/>
        <v>0</v>
      </c>
      <c r="K422" s="31">
        <v>1524.695210353849</v>
      </c>
      <c r="L422" s="31">
        <v>1524.695210353849</v>
      </c>
      <c r="M422" s="32">
        <f t="shared" si="33"/>
        <v>1524.695210353849</v>
      </c>
      <c r="N422" s="33">
        <f>Result_notebook!L422</f>
        <v>0.59854391398996798</v>
      </c>
      <c r="O422" s="31">
        <f t="shared" si="34"/>
        <v>0</v>
      </c>
      <c r="P422" s="31">
        <f t="shared" si="35"/>
        <v>0</v>
      </c>
      <c r="Q422">
        <f t="shared" si="36"/>
        <v>0</v>
      </c>
    </row>
    <row r="423" spans="1:17" x14ac:dyDescent="0.35">
      <c r="A423">
        <v>2029</v>
      </c>
      <c r="B423" t="s">
        <v>13</v>
      </c>
      <c r="C423" t="s">
        <v>4</v>
      </c>
      <c r="D423" t="s">
        <v>16</v>
      </c>
      <c r="E423" t="s">
        <v>483</v>
      </c>
      <c r="F423" t="s">
        <v>81</v>
      </c>
      <c r="G423" s="31">
        <v>1524.695210353849</v>
      </c>
      <c r="H423" s="31">
        <v>0</v>
      </c>
      <c r="I423" s="31">
        <v>0</v>
      </c>
      <c r="J423" s="32">
        <f t="shared" si="32"/>
        <v>0</v>
      </c>
      <c r="K423" s="31">
        <v>1524.695210353849</v>
      </c>
      <c r="L423" s="31">
        <v>1524.695210353849</v>
      </c>
      <c r="M423" s="32">
        <f t="shared" si="33"/>
        <v>1524.695210353849</v>
      </c>
      <c r="N423" s="33">
        <f>Result_notebook!L423</f>
        <v>0.59854391398996798</v>
      </c>
      <c r="O423" s="31">
        <f t="shared" si="34"/>
        <v>0</v>
      </c>
      <c r="P423" s="31">
        <f t="shared" si="35"/>
        <v>0</v>
      </c>
      <c r="Q423">
        <f t="shared" si="36"/>
        <v>0</v>
      </c>
    </row>
    <row r="424" spans="1:17" x14ac:dyDescent="0.35">
      <c r="A424">
        <v>2029</v>
      </c>
      <c r="B424" t="s">
        <v>13</v>
      </c>
      <c r="C424" t="s">
        <v>4</v>
      </c>
      <c r="D424" t="s">
        <v>18</v>
      </c>
      <c r="E424" t="s">
        <v>483</v>
      </c>
      <c r="F424" t="s">
        <v>85</v>
      </c>
      <c r="G424" s="31">
        <v>1524.695210353849</v>
      </c>
      <c r="H424" s="31">
        <v>99514</v>
      </c>
      <c r="I424" s="31">
        <v>32839.620000000003</v>
      </c>
      <c r="J424" s="32">
        <f t="shared" si="32"/>
        <v>26723.879056797668</v>
      </c>
      <c r="K424" s="31">
        <v>0</v>
      </c>
      <c r="L424" s="31">
        <v>0</v>
      </c>
      <c r="M424" s="32">
        <f t="shared" si="33"/>
        <v>0</v>
      </c>
      <c r="N424" s="33">
        <f>Result_notebook!L424</f>
        <v>0.59854391398996798</v>
      </c>
      <c r="O424" s="31">
        <f t="shared" si="34"/>
        <v>-58038.803846443821</v>
      </c>
      <c r="P424" s="31">
        <f t="shared" si="35"/>
        <v>31314.924789646153</v>
      </c>
      <c r="Q424">
        <f t="shared" si="36"/>
        <v>26723.879056797668</v>
      </c>
    </row>
    <row r="425" spans="1:17" x14ac:dyDescent="0.35">
      <c r="A425">
        <v>2029</v>
      </c>
      <c r="B425" t="s">
        <v>13</v>
      </c>
      <c r="C425" t="s">
        <v>4</v>
      </c>
      <c r="D425" t="s">
        <v>18</v>
      </c>
      <c r="E425" t="s">
        <v>483</v>
      </c>
      <c r="F425" t="s">
        <v>86</v>
      </c>
      <c r="G425" s="31">
        <v>1524.695210353849</v>
      </c>
      <c r="H425" s="31">
        <v>99514</v>
      </c>
      <c r="I425" s="31">
        <v>32839.620000000003</v>
      </c>
      <c r="J425" s="32">
        <f t="shared" si="32"/>
        <v>26723.879056797668</v>
      </c>
      <c r="K425" s="31">
        <v>0</v>
      </c>
      <c r="L425" s="31">
        <v>0</v>
      </c>
      <c r="M425" s="32">
        <f t="shared" si="33"/>
        <v>0</v>
      </c>
      <c r="N425" s="33">
        <f>Result_notebook!L425</f>
        <v>0.59854391398996798</v>
      </c>
      <c r="O425" s="31">
        <f t="shared" si="34"/>
        <v>-58038.803846443821</v>
      </c>
      <c r="P425" s="31">
        <f t="shared" si="35"/>
        <v>31314.924789646153</v>
      </c>
      <c r="Q425">
        <f t="shared" si="36"/>
        <v>26723.879056797668</v>
      </c>
    </row>
    <row r="426" spans="1:17" x14ac:dyDescent="0.35">
      <c r="A426">
        <v>2029</v>
      </c>
      <c r="B426" t="s">
        <v>13</v>
      </c>
      <c r="C426" t="s">
        <v>4</v>
      </c>
      <c r="D426" t="s">
        <v>18</v>
      </c>
      <c r="E426" t="s">
        <v>490</v>
      </c>
      <c r="F426" t="s">
        <v>82</v>
      </c>
      <c r="G426" s="31">
        <v>1524.695210353849</v>
      </c>
      <c r="H426" s="31">
        <v>99514</v>
      </c>
      <c r="I426" s="31">
        <v>32839.620000000003</v>
      </c>
      <c r="J426" s="32">
        <f t="shared" si="32"/>
        <v>26723.879056797668</v>
      </c>
      <c r="K426" s="31">
        <v>0</v>
      </c>
      <c r="L426" s="31">
        <v>0</v>
      </c>
      <c r="M426" s="32">
        <f t="shared" si="33"/>
        <v>0</v>
      </c>
      <c r="N426" s="33">
        <f>Result_notebook!L426</f>
        <v>0.59854391398996798</v>
      </c>
      <c r="O426" s="31">
        <f t="shared" si="34"/>
        <v>-58038.803846443821</v>
      </c>
      <c r="P426" s="31">
        <f t="shared" si="35"/>
        <v>31314.924789646153</v>
      </c>
      <c r="Q426">
        <f t="shared" si="36"/>
        <v>26723.879056797668</v>
      </c>
    </row>
    <row r="427" spans="1:17" x14ac:dyDescent="0.35">
      <c r="A427">
        <v>2029</v>
      </c>
      <c r="B427" t="s">
        <v>13</v>
      </c>
      <c r="C427" t="s">
        <v>9</v>
      </c>
      <c r="D427" t="s">
        <v>16</v>
      </c>
      <c r="E427" t="s">
        <v>483</v>
      </c>
      <c r="F427" t="s">
        <v>80</v>
      </c>
      <c r="G427" s="31">
        <v>774.14440896765586</v>
      </c>
      <c r="H427" s="31">
        <v>0</v>
      </c>
      <c r="I427" s="31">
        <v>0</v>
      </c>
      <c r="J427" s="32">
        <f t="shared" si="32"/>
        <v>0</v>
      </c>
      <c r="K427" s="31">
        <v>774.14440896765586</v>
      </c>
      <c r="L427" s="31">
        <v>774.14440896765586</v>
      </c>
      <c r="M427" s="32">
        <f t="shared" si="33"/>
        <v>774.14440896765586</v>
      </c>
      <c r="N427" s="33">
        <f>Result_notebook!L427</f>
        <v>0.59854391398996798</v>
      </c>
      <c r="O427" s="31">
        <f t="shared" si="34"/>
        <v>0</v>
      </c>
      <c r="P427" s="31">
        <f t="shared" si="35"/>
        <v>0</v>
      </c>
      <c r="Q427">
        <f t="shared" si="36"/>
        <v>0</v>
      </c>
    </row>
    <row r="428" spans="1:17" x14ac:dyDescent="0.35">
      <c r="A428">
        <v>2029</v>
      </c>
      <c r="B428" t="s">
        <v>13</v>
      </c>
      <c r="C428" t="s">
        <v>9</v>
      </c>
      <c r="D428" t="s">
        <v>16</v>
      </c>
      <c r="E428" t="s">
        <v>483</v>
      </c>
      <c r="F428" t="s">
        <v>81</v>
      </c>
      <c r="G428" s="31">
        <v>774.14440896765586</v>
      </c>
      <c r="H428" s="31">
        <v>0</v>
      </c>
      <c r="I428" s="31">
        <v>0</v>
      </c>
      <c r="J428" s="32">
        <f t="shared" si="32"/>
        <v>0</v>
      </c>
      <c r="K428" s="31">
        <v>774.14440896765586</v>
      </c>
      <c r="L428" s="31">
        <v>774.14440896765586</v>
      </c>
      <c r="M428" s="32">
        <f t="shared" si="33"/>
        <v>774.14440896765586</v>
      </c>
      <c r="N428" s="33">
        <f>Result_notebook!L428</f>
        <v>0.59854391398996798</v>
      </c>
      <c r="O428" s="31">
        <f t="shared" si="34"/>
        <v>0</v>
      </c>
      <c r="P428" s="31">
        <f t="shared" si="35"/>
        <v>0</v>
      </c>
      <c r="Q428">
        <f t="shared" si="36"/>
        <v>0</v>
      </c>
    </row>
    <row r="429" spans="1:17" x14ac:dyDescent="0.35">
      <c r="A429">
        <v>2029</v>
      </c>
      <c r="B429" t="s">
        <v>13</v>
      </c>
      <c r="C429" t="s">
        <v>9</v>
      </c>
      <c r="D429" t="s">
        <v>18</v>
      </c>
      <c r="E429" t="s">
        <v>483</v>
      </c>
      <c r="F429" t="s">
        <v>85</v>
      </c>
      <c r="G429" s="31">
        <v>774.14440896765586</v>
      </c>
      <c r="H429" s="31">
        <v>99514</v>
      </c>
      <c r="I429" s="31">
        <v>32839.620000000003</v>
      </c>
      <c r="J429" s="32">
        <f t="shared" si="32"/>
        <v>26723.879056797668</v>
      </c>
      <c r="K429" s="31">
        <v>0</v>
      </c>
      <c r="L429" s="31">
        <v>0</v>
      </c>
      <c r="M429" s="32">
        <f t="shared" si="33"/>
        <v>0</v>
      </c>
      <c r="N429" s="33">
        <f>Result_notebook!L429</f>
        <v>0.59854391398996798</v>
      </c>
      <c r="O429" s="31">
        <f t="shared" si="34"/>
        <v>-58789.354647830012</v>
      </c>
      <c r="P429" s="31">
        <f t="shared" si="35"/>
        <v>32065.475591032347</v>
      </c>
      <c r="Q429">
        <f t="shared" si="36"/>
        <v>26723.879056797668</v>
      </c>
    </row>
    <row r="430" spans="1:17" x14ac:dyDescent="0.35">
      <c r="A430">
        <v>2029</v>
      </c>
      <c r="B430" t="s">
        <v>13</v>
      </c>
      <c r="C430" t="s">
        <v>9</v>
      </c>
      <c r="D430" t="s">
        <v>18</v>
      </c>
      <c r="E430" t="s">
        <v>483</v>
      </c>
      <c r="F430" t="s">
        <v>86</v>
      </c>
      <c r="G430" s="31">
        <v>774.14440896765586</v>
      </c>
      <c r="H430" s="31">
        <v>99514</v>
      </c>
      <c r="I430" s="31">
        <v>32839.620000000003</v>
      </c>
      <c r="J430" s="32">
        <f t="shared" si="32"/>
        <v>26723.879056797668</v>
      </c>
      <c r="K430" s="31">
        <v>0</v>
      </c>
      <c r="L430" s="31">
        <v>0</v>
      </c>
      <c r="M430" s="32">
        <f t="shared" si="33"/>
        <v>0</v>
      </c>
      <c r="N430" s="33">
        <f>Result_notebook!L430</f>
        <v>0.59854391398996798</v>
      </c>
      <c r="O430" s="31">
        <f t="shared" si="34"/>
        <v>-58789.354647830012</v>
      </c>
      <c r="P430" s="31">
        <f t="shared" si="35"/>
        <v>32065.475591032347</v>
      </c>
      <c r="Q430">
        <f t="shared" si="36"/>
        <v>26723.879056797668</v>
      </c>
    </row>
    <row r="431" spans="1:17" x14ac:dyDescent="0.35">
      <c r="A431">
        <v>2029</v>
      </c>
      <c r="B431" t="s">
        <v>13</v>
      </c>
      <c r="C431" t="s">
        <v>9</v>
      </c>
      <c r="D431" t="s">
        <v>18</v>
      </c>
      <c r="E431" t="s">
        <v>490</v>
      </c>
      <c r="F431" t="s">
        <v>82</v>
      </c>
      <c r="G431" s="31">
        <v>774.14440896765586</v>
      </c>
      <c r="H431" s="31">
        <v>99514</v>
      </c>
      <c r="I431" s="31">
        <v>32839.620000000003</v>
      </c>
      <c r="J431" s="32">
        <f t="shared" si="32"/>
        <v>26723.879056797668</v>
      </c>
      <c r="K431" s="31">
        <v>0</v>
      </c>
      <c r="L431" s="31">
        <v>0</v>
      </c>
      <c r="M431" s="32">
        <f t="shared" si="33"/>
        <v>0</v>
      </c>
      <c r="N431" s="33">
        <f>Result_notebook!L431</f>
        <v>0.59854391398996798</v>
      </c>
      <c r="O431" s="31">
        <f t="shared" si="34"/>
        <v>-58789.354647830012</v>
      </c>
      <c r="P431" s="31">
        <f t="shared" si="35"/>
        <v>32065.475591032347</v>
      </c>
      <c r="Q431">
        <f t="shared" si="36"/>
        <v>26723.879056797668</v>
      </c>
    </row>
    <row r="432" spans="1:17" x14ac:dyDescent="0.35">
      <c r="A432">
        <v>2029</v>
      </c>
      <c r="B432" t="s">
        <v>13</v>
      </c>
      <c r="C432" t="s">
        <v>10</v>
      </c>
      <c r="D432" t="s">
        <v>16</v>
      </c>
      <c r="E432" t="s">
        <v>483</v>
      </c>
      <c r="F432" t="s">
        <v>80</v>
      </c>
      <c r="G432" s="31">
        <v>1460.140190208509</v>
      </c>
      <c r="H432" s="31">
        <v>0</v>
      </c>
      <c r="I432" s="31">
        <v>0</v>
      </c>
      <c r="J432" s="32">
        <f t="shared" si="32"/>
        <v>0</v>
      </c>
      <c r="K432" s="31">
        <v>1460.140190208509</v>
      </c>
      <c r="L432" s="31">
        <v>1460.140190208509</v>
      </c>
      <c r="M432" s="32">
        <f t="shared" si="33"/>
        <v>1460.140190208509</v>
      </c>
      <c r="N432" s="33">
        <f>Result_notebook!L432</f>
        <v>0.59854391398996798</v>
      </c>
      <c r="O432" s="31">
        <f t="shared" si="34"/>
        <v>0</v>
      </c>
      <c r="P432" s="31">
        <f t="shared" si="35"/>
        <v>0</v>
      </c>
      <c r="Q432">
        <f t="shared" si="36"/>
        <v>0</v>
      </c>
    </row>
    <row r="433" spans="1:17" x14ac:dyDescent="0.35">
      <c r="A433">
        <v>2029</v>
      </c>
      <c r="B433" t="s">
        <v>13</v>
      </c>
      <c r="C433" t="s">
        <v>10</v>
      </c>
      <c r="D433" t="s">
        <v>16</v>
      </c>
      <c r="E433" t="s">
        <v>483</v>
      </c>
      <c r="F433" t="s">
        <v>81</v>
      </c>
      <c r="G433" s="31">
        <v>1460.140190208509</v>
      </c>
      <c r="H433" s="31">
        <v>0</v>
      </c>
      <c r="I433" s="31">
        <v>0</v>
      </c>
      <c r="J433" s="32">
        <f t="shared" si="32"/>
        <v>0</v>
      </c>
      <c r="K433" s="31">
        <v>1460.140190208509</v>
      </c>
      <c r="L433" s="31">
        <v>1460.140190208509</v>
      </c>
      <c r="M433" s="32">
        <f t="shared" si="33"/>
        <v>1460.140190208509</v>
      </c>
      <c r="N433" s="33">
        <f>Result_notebook!L433</f>
        <v>0.59854391398996798</v>
      </c>
      <c r="O433" s="31">
        <f t="shared" si="34"/>
        <v>0</v>
      </c>
      <c r="P433" s="31">
        <f t="shared" si="35"/>
        <v>0</v>
      </c>
      <c r="Q433">
        <f t="shared" si="36"/>
        <v>0</v>
      </c>
    </row>
    <row r="434" spans="1:17" x14ac:dyDescent="0.35">
      <c r="A434">
        <v>2029</v>
      </c>
      <c r="B434" t="s">
        <v>13</v>
      </c>
      <c r="C434" t="s">
        <v>10</v>
      </c>
      <c r="D434" t="s">
        <v>18</v>
      </c>
      <c r="E434" t="s">
        <v>483</v>
      </c>
      <c r="F434" t="s">
        <v>85</v>
      </c>
      <c r="G434" s="31">
        <v>1460.140190208509</v>
      </c>
      <c r="H434" s="31">
        <v>99514</v>
      </c>
      <c r="I434" s="31">
        <v>32839.620000000003</v>
      </c>
      <c r="J434" s="32">
        <f t="shared" si="32"/>
        <v>26723.879056797668</v>
      </c>
      <c r="K434" s="31">
        <v>0</v>
      </c>
      <c r="L434" s="31">
        <v>0</v>
      </c>
      <c r="M434" s="32">
        <f t="shared" si="33"/>
        <v>0</v>
      </c>
      <c r="N434" s="33">
        <f>Result_notebook!L434</f>
        <v>0.59854391398996798</v>
      </c>
      <c r="O434" s="31">
        <f t="shared" si="34"/>
        <v>-58103.358866589158</v>
      </c>
      <c r="P434" s="31">
        <f t="shared" si="35"/>
        <v>31379.479809791494</v>
      </c>
      <c r="Q434">
        <f t="shared" si="36"/>
        <v>26723.879056797668</v>
      </c>
    </row>
    <row r="435" spans="1:17" x14ac:dyDescent="0.35">
      <c r="A435">
        <v>2029</v>
      </c>
      <c r="B435" t="s">
        <v>13</v>
      </c>
      <c r="C435" t="s">
        <v>10</v>
      </c>
      <c r="D435" t="s">
        <v>18</v>
      </c>
      <c r="E435" t="s">
        <v>483</v>
      </c>
      <c r="F435" t="s">
        <v>86</v>
      </c>
      <c r="G435" s="31">
        <v>1460.140190208509</v>
      </c>
      <c r="H435" s="31">
        <v>99514</v>
      </c>
      <c r="I435" s="31">
        <v>32839.620000000003</v>
      </c>
      <c r="J435" s="32">
        <f t="shared" si="32"/>
        <v>26723.879056797668</v>
      </c>
      <c r="K435" s="31">
        <v>0</v>
      </c>
      <c r="L435" s="31">
        <v>0</v>
      </c>
      <c r="M435" s="32">
        <f t="shared" si="33"/>
        <v>0</v>
      </c>
      <c r="N435" s="33">
        <f>Result_notebook!L435</f>
        <v>0.59854391398996798</v>
      </c>
      <c r="O435" s="31">
        <f t="shared" si="34"/>
        <v>-58103.358866589158</v>
      </c>
      <c r="P435" s="31">
        <f t="shared" si="35"/>
        <v>31379.479809791494</v>
      </c>
      <c r="Q435">
        <f t="shared" si="36"/>
        <v>26723.879056797668</v>
      </c>
    </row>
    <row r="436" spans="1:17" x14ac:dyDescent="0.35">
      <c r="A436">
        <v>2029</v>
      </c>
      <c r="B436" t="s">
        <v>13</v>
      </c>
      <c r="C436" t="s">
        <v>10</v>
      </c>
      <c r="D436" t="s">
        <v>18</v>
      </c>
      <c r="E436" t="s">
        <v>490</v>
      </c>
      <c r="F436" t="s">
        <v>82</v>
      </c>
      <c r="G436" s="31">
        <v>1460.140190208509</v>
      </c>
      <c r="H436" s="31">
        <v>99514</v>
      </c>
      <c r="I436" s="31">
        <v>32839.620000000003</v>
      </c>
      <c r="J436" s="32">
        <f t="shared" si="32"/>
        <v>26723.879056797668</v>
      </c>
      <c r="K436" s="31">
        <v>0</v>
      </c>
      <c r="L436" s="31">
        <v>0</v>
      </c>
      <c r="M436" s="32">
        <f t="shared" si="33"/>
        <v>0</v>
      </c>
      <c r="N436" s="33">
        <f>Result_notebook!L436</f>
        <v>0.59854391398996798</v>
      </c>
      <c r="O436" s="31">
        <f t="shared" si="34"/>
        <v>-58103.358866589158</v>
      </c>
      <c r="P436" s="31">
        <f t="shared" si="35"/>
        <v>31379.479809791494</v>
      </c>
      <c r="Q436">
        <f t="shared" si="36"/>
        <v>26723.879056797668</v>
      </c>
    </row>
    <row r="437" spans="1:17" x14ac:dyDescent="0.35">
      <c r="A437">
        <v>2029</v>
      </c>
      <c r="B437" t="s">
        <v>12</v>
      </c>
      <c r="C437" t="s">
        <v>4</v>
      </c>
      <c r="D437" t="s">
        <v>16</v>
      </c>
      <c r="E437" t="s">
        <v>483</v>
      </c>
      <c r="F437" t="s">
        <v>80</v>
      </c>
      <c r="G437" s="31">
        <v>24655.859039949839</v>
      </c>
      <c r="H437" s="31">
        <v>0</v>
      </c>
      <c r="I437" s="31">
        <v>0</v>
      </c>
      <c r="J437" s="32">
        <f t="shared" si="32"/>
        <v>0</v>
      </c>
      <c r="K437" s="31">
        <v>35222.655771356913</v>
      </c>
      <c r="L437" s="31">
        <v>24655.859039949839</v>
      </c>
      <c r="M437" s="32">
        <f t="shared" si="33"/>
        <v>24655.859039949839</v>
      </c>
      <c r="N437" s="33">
        <f>Result_notebook!L437</f>
        <v>0.787554996857322</v>
      </c>
      <c r="O437" s="31">
        <f t="shared" si="34"/>
        <v>0</v>
      </c>
      <c r="P437" s="31">
        <f t="shared" si="35"/>
        <v>0</v>
      </c>
      <c r="Q437">
        <f t="shared" si="36"/>
        <v>0</v>
      </c>
    </row>
    <row r="438" spans="1:17" x14ac:dyDescent="0.35">
      <c r="A438">
        <v>2029</v>
      </c>
      <c r="B438" t="s">
        <v>12</v>
      </c>
      <c r="C438" t="s">
        <v>4</v>
      </c>
      <c r="D438" t="s">
        <v>16</v>
      </c>
      <c r="E438" t="s">
        <v>483</v>
      </c>
      <c r="F438" t="s">
        <v>81</v>
      </c>
      <c r="G438" s="31">
        <v>24655.859039949839</v>
      </c>
      <c r="H438" s="31">
        <v>37907</v>
      </c>
      <c r="I438" s="31">
        <v>26503.455040995341</v>
      </c>
      <c r="J438" s="32">
        <f t="shared" si="32"/>
        <v>3350.3922248751624</v>
      </c>
      <c r="K438" s="31">
        <v>0</v>
      </c>
      <c r="L438" s="31">
        <v>0</v>
      </c>
      <c r="M438" s="32">
        <f t="shared" si="33"/>
        <v>0</v>
      </c>
      <c r="N438" s="33">
        <f>Result_notebook!L438</f>
        <v>0.787554996857322</v>
      </c>
      <c r="O438" s="31">
        <f t="shared" si="34"/>
        <v>-5197.9882259206643</v>
      </c>
      <c r="P438" s="31">
        <f t="shared" si="35"/>
        <v>1847.5960010455019</v>
      </c>
      <c r="Q438">
        <f t="shared" si="36"/>
        <v>3350.3922248751624</v>
      </c>
    </row>
    <row r="439" spans="1:17" x14ac:dyDescent="0.35">
      <c r="A439">
        <v>2029</v>
      </c>
      <c r="B439" t="s">
        <v>12</v>
      </c>
      <c r="C439" t="s">
        <v>4</v>
      </c>
      <c r="D439" t="s">
        <v>18</v>
      </c>
      <c r="E439" t="s">
        <v>483</v>
      </c>
      <c r="F439" t="s">
        <v>85</v>
      </c>
      <c r="G439" s="31">
        <v>24655.859039949839</v>
      </c>
      <c r="H439" s="31">
        <v>152814</v>
      </c>
      <c r="I439" s="31">
        <v>106843.0363424872</v>
      </c>
      <c r="J439" s="32">
        <f t="shared" si="32"/>
        <v>13506.392947267595</v>
      </c>
      <c r="K439" s="31">
        <v>0</v>
      </c>
      <c r="L439" s="31">
        <v>0</v>
      </c>
      <c r="M439" s="32">
        <f t="shared" si="33"/>
        <v>0</v>
      </c>
      <c r="N439" s="33">
        <f>Result_notebook!L439</f>
        <v>0.787554996857322</v>
      </c>
      <c r="O439" s="31">
        <f t="shared" si="34"/>
        <v>-95693.570249804965</v>
      </c>
      <c r="P439" s="31">
        <f t="shared" si="35"/>
        <v>82187.17730253737</v>
      </c>
      <c r="Q439">
        <f t="shared" si="36"/>
        <v>13506.392947267595</v>
      </c>
    </row>
    <row r="440" spans="1:17" x14ac:dyDescent="0.35">
      <c r="A440">
        <v>2029</v>
      </c>
      <c r="B440" t="s">
        <v>12</v>
      </c>
      <c r="C440" t="s">
        <v>4</v>
      </c>
      <c r="D440" t="s">
        <v>18</v>
      </c>
      <c r="E440" t="s">
        <v>483</v>
      </c>
      <c r="F440" t="s">
        <v>86</v>
      </c>
      <c r="G440" s="31">
        <v>24655.859039949839</v>
      </c>
      <c r="H440" s="31">
        <v>152814</v>
      </c>
      <c r="I440" s="31">
        <v>106843.0363424872</v>
      </c>
      <c r="J440" s="32">
        <f t="shared" si="32"/>
        <v>13506.392947267595</v>
      </c>
      <c r="K440" s="31">
        <v>0</v>
      </c>
      <c r="L440" s="31">
        <v>0</v>
      </c>
      <c r="M440" s="32">
        <f t="shared" si="33"/>
        <v>0</v>
      </c>
      <c r="N440" s="33">
        <f>Result_notebook!L440</f>
        <v>0.787554996857322</v>
      </c>
      <c r="O440" s="31">
        <f t="shared" si="34"/>
        <v>-95693.570249804965</v>
      </c>
      <c r="P440" s="31">
        <f t="shared" si="35"/>
        <v>82187.17730253737</v>
      </c>
      <c r="Q440">
        <f t="shared" si="36"/>
        <v>13506.392947267595</v>
      </c>
    </row>
    <row r="441" spans="1:17" x14ac:dyDescent="0.35">
      <c r="A441">
        <v>2029</v>
      </c>
      <c r="B441" t="s">
        <v>12</v>
      </c>
      <c r="C441" t="s">
        <v>4</v>
      </c>
      <c r="D441" t="s">
        <v>18</v>
      </c>
      <c r="E441" t="s">
        <v>490</v>
      </c>
      <c r="F441" t="s">
        <v>82</v>
      </c>
      <c r="G441" s="31">
        <v>24655.859039949839</v>
      </c>
      <c r="H441" s="31">
        <v>152814</v>
      </c>
      <c r="I441" s="31">
        <v>106843.0363424872</v>
      </c>
      <c r="J441" s="32">
        <f t="shared" si="32"/>
        <v>13506.392947267595</v>
      </c>
      <c r="K441" s="31">
        <v>0</v>
      </c>
      <c r="L441" s="31">
        <v>0</v>
      </c>
      <c r="M441" s="32">
        <f t="shared" si="33"/>
        <v>0</v>
      </c>
      <c r="N441" s="33">
        <f>Result_notebook!L441</f>
        <v>0.787554996857322</v>
      </c>
      <c r="O441" s="31">
        <f t="shared" si="34"/>
        <v>-95693.570249804965</v>
      </c>
      <c r="P441" s="31">
        <f t="shared" si="35"/>
        <v>82187.17730253737</v>
      </c>
      <c r="Q441">
        <f t="shared" si="36"/>
        <v>13506.392947267595</v>
      </c>
    </row>
    <row r="442" spans="1:17" x14ac:dyDescent="0.35">
      <c r="A442">
        <v>2029</v>
      </c>
      <c r="B442" t="s">
        <v>12</v>
      </c>
      <c r="C442" t="s">
        <v>9</v>
      </c>
      <c r="D442" t="s">
        <v>16</v>
      </c>
      <c r="E442" t="s">
        <v>483</v>
      </c>
      <c r="F442" t="s">
        <v>80</v>
      </c>
      <c r="G442" s="31">
        <v>12518.69573305871</v>
      </c>
      <c r="H442" s="31">
        <v>0</v>
      </c>
      <c r="I442" s="31">
        <v>0</v>
      </c>
      <c r="J442" s="32">
        <f t="shared" si="32"/>
        <v>0</v>
      </c>
      <c r="K442" s="31">
        <v>17883.85104722673</v>
      </c>
      <c r="L442" s="31">
        <v>12518.69573305871</v>
      </c>
      <c r="M442" s="32">
        <f t="shared" si="33"/>
        <v>12518.69573305871</v>
      </c>
      <c r="N442" s="33">
        <f>Result_notebook!L442</f>
        <v>0.787554996857322</v>
      </c>
      <c r="O442" s="31">
        <f t="shared" si="34"/>
        <v>0</v>
      </c>
      <c r="P442" s="31">
        <f t="shared" si="35"/>
        <v>0</v>
      </c>
      <c r="Q442">
        <f t="shared" si="36"/>
        <v>0</v>
      </c>
    </row>
    <row r="443" spans="1:17" x14ac:dyDescent="0.35">
      <c r="A443">
        <v>2029</v>
      </c>
      <c r="B443" t="s">
        <v>12</v>
      </c>
      <c r="C443" t="s">
        <v>9</v>
      </c>
      <c r="D443" t="s">
        <v>16</v>
      </c>
      <c r="E443" t="s">
        <v>483</v>
      </c>
      <c r="F443" t="s">
        <v>81</v>
      </c>
      <c r="G443" s="31">
        <v>12518.69573305871</v>
      </c>
      <c r="H443" s="31">
        <v>37907</v>
      </c>
      <c r="I443" s="31">
        <v>26503.455040995341</v>
      </c>
      <c r="J443" s="32">
        <f t="shared" si="32"/>
        <v>3350.3922248751624</v>
      </c>
      <c r="K443" s="31">
        <v>0</v>
      </c>
      <c r="L443" s="31">
        <v>0</v>
      </c>
      <c r="M443" s="32">
        <f t="shared" si="33"/>
        <v>0</v>
      </c>
      <c r="N443" s="33">
        <f>Result_notebook!L443</f>
        <v>0.787554996857322</v>
      </c>
      <c r="O443" s="31">
        <f t="shared" si="34"/>
        <v>-17335.151532811793</v>
      </c>
      <c r="P443" s="31">
        <f t="shared" si="35"/>
        <v>13984.759307936631</v>
      </c>
      <c r="Q443">
        <f t="shared" si="36"/>
        <v>3350.3922248751624</v>
      </c>
    </row>
    <row r="444" spans="1:17" x14ac:dyDescent="0.35">
      <c r="A444">
        <v>2029</v>
      </c>
      <c r="B444" t="s">
        <v>12</v>
      </c>
      <c r="C444" t="s">
        <v>9</v>
      </c>
      <c r="D444" t="s">
        <v>18</v>
      </c>
      <c r="E444" t="s">
        <v>483</v>
      </c>
      <c r="F444" t="s">
        <v>85</v>
      </c>
      <c r="G444" s="31">
        <v>12518.69573305871</v>
      </c>
      <c r="H444" s="31">
        <v>152814</v>
      </c>
      <c r="I444" s="31">
        <v>106843.0363424872</v>
      </c>
      <c r="J444" s="32">
        <f t="shared" si="32"/>
        <v>13506.392947267595</v>
      </c>
      <c r="K444" s="31">
        <v>0</v>
      </c>
      <c r="L444" s="31">
        <v>0</v>
      </c>
      <c r="M444" s="32">
        <f t="shared" si="33"/>
        <v>0</v>
      </c>
      <c r="N444" s="33">
        <f>Result_notebook!L444</f>
        <v>0.787554996857322</v>
      </c>
      <c r="O444" s="31">
        <f t="shared" si="34"/>
        <v>-107830.7335566961</v>
      </c>
      <c r="P444" s="31">
        <f t="shared" si="35"/>
        <v>94324.340609428502</v>
      </c>
      <c r="Q444">
        <f t="shared" si="36"/>
        <v>13506.392947267595</v>
      </c>
    </row>
    <row r="445" spans="1:17" x14ac:dyDescent="0.35">
      <c r="A445">
        <v>2029</v>
      </c>
      <c r="B445" t="s">
        <v>12</v>
      </c>
      <c r="C445" t="s">
        <v>9</v>
      </c>
      <c r="D445" t="s">
        <v>18</v>
      </c>
      <c r="E445" t="s">
        <v>483</v>
      </c>
      <c r="F445" t="s">
        <v>86</v>
      </c>
      <c r="G445" s="31">
        <v>12518.69573305871</v>
      </c>
      <c r="H445" s="31">
        <v>152814</v>
      </c>
      <c r="I445" s="31">
        <v>106843.0363424872</v>
      </c>
      <c r="J445" s="32">
        <f t="shared" si="32"/>
        <v>13506.392947267595</v>
      </c>
      <c r="K445" s="31">
        <v>0</v>
      </c>
      <c r="L445" s="31">
        <v>0</v>
      </c>
      <c r="M445" s="32">
        <f t="shared" si="33"/>
        <v>0</v>
      </c>
      <c r="N445" s="33">
        <f>Result_notebook!L445</f>
        <v>0.787554996857322</v>
      </c>
      <c r="O445" s="31">
        <f t="shared" si="34"/>
        <v>-107830.7335566961</v>
      </c>
      <c r="P445" s="31">
        <f t="shared" si="35"/>
        <v>94324.340609428502</v>
      </c>
      <c r="Q445">
        <f t="shared" si="36"/>
        <v>13506.392947267595</v>
      </c>
    </row>
    <row r="446" spans="1:17" x14ac:dyDescent="0.35">
      <c r="A446">
        <v>2029</v>
      </c>
      <c r="B446" t="s">
        <v>12</v>
      </c>
      <c r="C446" t="s">
        <v>9</v>
      </c>
      <c r="D446" t="s">
        <v>18</v>
      </c>
      <c r="E446" t="s">
        <v>490</v>
      </c>
      <c r="F446" t="s">
        <v>82</v>
      </c>
      <c r="G446" s="31">
        <v>12518.69573305871</v>
      </c>
      <c r="H446" s="31">
        <v>152814</v>
      </c>
      <c r="I446" s="31">
        <v>106843.0363424872</v>
      </c>
      <c r="J446" s="32">
        <f t="shared" si="32"/>
        <v>13506.392947267595</v>
      </c>
      <c r="K446" s="31">
        <v>0</v>
      </c>
      <c r="L446" s="31">
        <v>0</v>
      </c>
      <c r="M446" s="32">
        <f t="shared" si="33"/>
        <v>0</v>
      </c>
      <c r="N446" s="33">
        <f>Result_notebook!L446</f>
        <v>0.787554996857322</v>
      </c>
      <c r="O446" s="31">
        <f t="shared" si="34"/>
        <v>-107830.7335566961</v>
      </c>
      <c r="P446" s="31">
        <f t="shared" si="35"/>
        <v>94324.340609428502</v>
      </c>
      <c r="Q446">
        <f t="shared" si="36"/>
        <v>13506.392947267595</v>
      </c>
    </row>
    <row r="447" spans="1:17" x14ac:dyDescent="0.35">
      <c r="A447">
        <v>2029</v>
      </c>
      <c r="B447" t="s">
        <v>12</v>
      </c>
      <c r="C447" t="s">
        <v>10</v>
      </c>
      <c r="D447" t="s">
        <v>16</v>
      </c>
      <c r="E447" t="s">
        <v>483</v>
      </c>
      <c r="F447" t="s">
        <v>80</v>
      </c>
      <c r="G447" s="31">
        <v>23611.939267515339</v>
      </c>
      <c r="H447" s="31">
        <v>0</v>
      </c>
      <c r="I447" s="31">
        <v>0</v>
      </c>
      <c r="J447" s="32">
        <f t="shared" si="32"/>
        <v>0</v>
      </c>
      <c r="K447" s="31">
        <v>33731.341810736201</v>
      </c>
      <c r="L447" s="31">
        <v>23611.939267515339</v>
      </c>
      <c r="M447" s="32">
        <f t="shared" si="33"/>
        <v>23611.939267515339</v>
      </c>
      <c r="N447" s="33">
        <f>Result_notebook!L447</f>
        <v>0.787554996857322</v>
      </c>
      <c r="O447" s="31">
        <f t="shared" si="34"/>
        <v>0</v>
      </c>
      <c r="P447" s="31">
        <f t="shared" si="35"/>
        <v>0</v>
      </c>
      <c r="Q447">
        <f t="shared" si="36"/>
        <v>0</v>
      </c>
    </row>
    <row r="448" spans="1:17" x14ac:dyDescent="0.35">
      <c r="A448">
        <v>2029</v>
      </c>
      <c r="B448" t="s">
        <v>12</v>
      </c>
      <c r="C448" t="s">
        <v>10</v>
      </c>
      <c r="D448" t="s">
        <v>16</v>
      </c>
      <c r="E448" t="s">
        <v>483</v>
      </c>
      <c r="F448" t="s">
        <v>81</v>
      </c>
      <c r="G448" s="31">
        <v>23611.939267515339</v>
      </c>
      <c r="H448" s="31">
        <v>37907</v>
      </c>
      <c r="I448" s="31">
        <v>26503.455040995341</v>
      </c>
      <c r="J448" s="32">
        <f t="shared" si="32"/>
        <v>3350.3922248751624</v>
      </c>
      <c r="K448" s="31">
        <v>0</v>
      </c>
      <c r="L448" s="31">
        <v>0</v>
      </c>
      <c r="M448" s="32">
        <f t="shared" si="33"/>
        <v>0</v>
      </c>
      <c r="N448" s="33">
        <f>Result_notebook!L448</f>
        <v>0.787554996857322</v>
      </c>
      <c r="O448" s="31">
        <f t="shared" si="34"/>
        <v>-6241.9079983551637</v>
      </c>
      <c r="P448" s="31">
        <f t="shared" si="35"/>
        <v>2891.5157734800014</v>
      </c>
      <c r="Q448">
        <f t="shared" si="36"/>
        <v>3350.3922248751624</v>
      </c>
    </row>
    <row r="449" spans="1:17" x14ac:dyDescent="0.35">
      <c r="A449">
        <v>2029</v>
      </c>
      <c r="B449" t="s">
        <v>12</v>
      </c>
      <c r="C449" t="s">
        <v>10</v>
      </c>
      <c r="D449" t="s">
        <v>18</v>
      </c>
      <c r="E449" t="s">
        <v>483</v>
      </c>
      <c r="F449" t="s">
        <v>85</v>
      </c>
      <c r="G449" s="31">
        <v>23611.939267515339</v>
      </c>
      <c r="H449" s="31">
        <v>152814</v>
      </c>
      <c r="I449" s="31">
        <v>106843.0363424872</v>
      </c>
      <c r="J449" s="32">
        <f t="shared" si="32"/>
        <v>13506.392947267595</v>
      </c>
      <c r="K449" s="31">
        <v>0</v>
      </c>
      <c r="L449" s="31">
        <v>0</v>
      </c>
      <c r="M449" s="32">
        <f t="shared" si="33"/>
        <v>0</v>
      </c>
      <c r="N449" s="33">
        <f>Result_notebook!L449</f>
        <v>0.787554996857322</v>
      </c>
      <c r="O449" s="31">
        <f t="shared" si="34"/>
        <v>-96737.490022239464</v>
      </c>
      <c r="P449" s="31">
        <f t="shared" si="35"/>
        <v>83231.097074971869</v>
      </c>
      <c r="Q449">
        <f t="shared" si="36"/>
        <v>13506.392947267595</v>
      </c>
    </row>
    <row r="450" spans="1:17" x14ac:dyDescent="0.35">
      <c r="A450">
        <v>2029</v>
      </c>
      <c r="B450" t="s">
        <v>12</v>
      </c>
      <c r="C450" t="s">
        <v>10</v>
      </c>
      <c r="D450" t="s">
        <v>18</v>
      </c>
      <c r="E450" t="s">
        <v>483</v>
      </c>
      <c r="F450" t="s">
        <v>86</v>
      </c>
      <c r="G450" s="31">
        <v>23611.939267515339</v>
      </c>
      <c r="H450" s="31">
        <v>152814</v>
      </c>
      <c r="I450" s="31">
        <v>106843.0363424872</v>
      </c>
      <c r="J450" s="32">
        <f t="shared" si="32"/>
        <v>13506.392947267595</v>
      </c>
      <c r="K450" s="31">
        <v>0</v>
      </c>
      <c r="L450" s="31">
        <v>0</v>
      </c>
      <c r="M450" s="32">
        <f t="shared" si="33"/>
        <v>0</v>
      </c>
      <c r="N450" s="33">
        <f>Result_notebook!L450</f>
        <v>0.787554996857322</v>
      </c>
      <c r="O450" s="31">
        <f t="shared" si="34"/>
        <v>-96737.490022239464</v>
      </c>
      <c r="P450" s="31">
        <f t="shared" si="35"/>
        <v>83231.097074971869</v>
      </c>
      <c r="Q450">
        <f t="shared" si="36"/>
        <v>13506.392947267595</v>
      </c>
    </row>
    <row r="451" spans="1:17" x14ac:dyDescent="0.35">
      <c r="A451">
        <v>2029</v>
      </c>
      <c r="B451" t="s">
        <v>12</v>
      </c>
      <c r="C451" t="s">
        <v>10</v>
      </c>
      <c r="D451" t="s">
        <v>18</v>
      </c>
      <c r="E451" t="s">
        <v>490</v>
      </c>
      <c r="F451" t="s">
        <v>82</v>
      </c>
      <c r="G451" s="31">
        <v>23611.939267515339</v>
      </c>
      <c r="H451" s="31">
        <v>152814</v>
      </c>
      <c r="I451" s="31">
        <v>106843.0363424872</v>
      </c>
      <c r="J451" s="32">
        <f t="shared" ref="J451:J514" si="37">H451*N451-I451</f>
        <v>13506.392947267595</v>
      </c>
      <c r="K451" s="31">
        <v>0</v>
      </c>
      <c r="L451" s="31">
        <v>0</v>
      </c>
      <c r="M451" s="32">
        <f t="shared" ref="M451:M514" si="38">MAX(L451-J451,0)</f>
        <v>0</v>
      </c>
      <c r="N451" s="33">
        <f>Result_notebook!L451</f>
        <v>0.787554996857322</v>
      </c>
      <c r="O451" s="31">
        <f t="shared" ref="O451:O514" si="39">G451-(I451+J451+M451)</f>
        <v>-96737.490022239464</v>
      </c>
      <c r="P451" s="31">
        <f t="shared" ref="P451" si="40">MAX(I451-G451,0)</f>
        <v>83231.097074971869</v>
      </c>
      <c r="Q451">
        <f t="shared" ref="Q451:Q514" si="41">(H451*N451)-I451</f>
        <v>13506.392947267595</v>
      </c>
    </row>
    <row r="452" spans="1:17" x14ac:dyDescent="0.35">
      <c r="A452">
        <v>2030</v>
      </c>
      <c r="B452" t="s">
        <v>6</v>
      </c>
      <c r="C452" t="s">
        <v>4</v>
      </c>
      <c r="D452" t="s">
        <v>16</v>
      </c>
      <c r="E452" t="s">
        <v>483</v>
      </c>
      <c r="F452" t="s">
        <v>80</v>
      </c>
      <c r="G452" s="31">
        <v>58753.881043988476</v>
      </c>
      <c r="H452" s="31">
        <v>0</v>
      </c>
      <c r="I452" s="31">
        <v>0</v>
      </c>
      <c r="J452" s="32">
        <f t="shared" si="37"/>
        <v>0</v>
      </c>
      <c r="K452" s="31">
        <v>133531.54782724651</v>
      </c>
      <c r="L452" s="31">
        <v>58753.881043988476</v>
      </c>
      <c r="M452" s="32">
        <f t="shared" si="38"/>
        <v>58753.881043988476</v>
      </c>
      <c r="N452" s="33">
        <f>Result_notebook!L452</f>
        <v>0.439346565686978</v>
      </c>
      <c r="O452" s="31">
        <f t="shared" si="39"/>
        <v>0</v>
      </c>
      <c r="P452" s="31">
        <f t="shared" ref="P452:P514" si="42">MAX(I452-G452,0)</f>
        <v>0</v>
      </c>
      <c r="Q452">
        <f t="shared" si="41"/>
        <v>0</v>
      </c>
    </row>
    <row r="453" spans="1:17" x14ac:dyDescent="0.35">
      <c r="A453">
        <v>2030</v>
      </c>
      <c r="B453" t="s">
        <v>6</v>
      </c>
      <c r="C453" t="s">
        <v>4</v>
      </c>
      <c r="D453" t="s">
        <v>16</v>
      </c>
      <c r="E453" t="s">
        <v>483</v>
      </c>
      <c r="F453" t="s">
        <v>81</v>
      </c>
      <c r="G453" s="31">
        <v>58753.881043988476</v>
      </c>
      <c r="H453" s="31">
        <v>3861</v>
      </c>
      <c r="I453" s="31">
        <v>1637.7660393504759</v>
      </c>
      <c r="J453" s="32">
        <f t="shared" si="37"/>
        <v>58.551050766946219</v>
      </c>
      <c r="K453" s="31">
        <v>129670.5478272465</v>
      </c>
      <c r="L453" s="31">
        <v>57116.115004637999</v>
      </c>
      <c r="M453" s="32">
        <f t="shared" si="38"/>
        <v>57057.563953871053</v>
      </c>
      <c r="N453" s="33">
        <f>Result_notebook!L453</f>
        <v>0.439346565686978</v>
      </c>
      <c r="O453" s="31">
        <f t="shared" si="39"/>
        <v>0</v>
      </c>
      <c r="P453" s="31">
        <f t="shared" si="42"/>
        <v>0</v>
      </c>
      <c r="Q453">
        <f t="shared" si="41"/>
        <v>58.551050766946219</v>
      </c>
    </row>
    <row r="454" spans="1:17" x14ac:dyDescent="0.35">
      <c r="A454">
        <v>2030</v>
      </c>
      <c r="B454" t="s">
        <v>6</v>
      </c>
      <c r="C454" t="s">
        <v>4</v>
      </c>
      <c r="D454" t="s">
        <v>18</v>
      </c>
      <c r="E454" t="s">
        <v>483</v>
      </c>
      <c r="F454" t="s">
        <v>85</v>
      </c>
      <c r="G454" s="31">
        <v>58753.881043988476</v>
      </c>
      <c r="H454" s="31">
        <v>7722.69119676847</v>
      </c>
      <c r="I454" s="31">
        <v>3275.825271809967</v>
      </c>
      <c r="J454" s="32">
        <f t="shared" si="37"/>
        <v>117.11258335131834</v>
      </c>
      <c r="K454" s="31">
        <v>125808.8566304781</v>
      </c>
      <c r="L454" s="31">
        <v>55478.055772178508</v>
      </c>
      <c r="M454" s="32">
        <f t="shared" si="38"/>
        <v>55360.943188827187</v>
      </c>
      <c r="N454" s="33">
        <f>Result_notebook!L454</f>
        <v>0.439346565686978</v>
      </c>
      <c r="O454" s="31">
        <f t="shared" si="39"/>
        <v>0</v>
      </c>
      <c r="P454" s="31">
        <f t="shared" si="42"/>
        <v>0</v>
      </c>
      <c r="Q454">
        <f t="shared" si="41"/>
        <v>117.11258335131834</v>
      </c>
    </row>
    <row r="455" spans="1:17" x14ac:dyDescent="0.35">
      <c r="A455">
        <v>2030</v>
      </c>
      <c r="B455" t="s">
        <v>6</v>
      </c>
      <c r="C455" t="s">
        <v>4</v>
      </c>
      <c r="D455" t="s">
        <v>18</v>
      </c>
      <c r="E455" t="s">
        <v>483</v>
      </c>
      <c r="F455" t="s">
        <v>86</v>
      </c>
      <c r="G455" s="31">
        <v>58753.881043988476</v>
      </c>
      <c r="H455" s="31">
        <v>7722.69119676847</v>
      </c>
      <c r="I455" s="31">
        <v>3275.825271809967</v>
      </c>
      <c r="J455" s="32">
        <f t="shared" si="37"/>
        <v>117.11258335131834</v>
      </c>
      <c r="K455" s="31">
        <v>125808.8566304781</v>
      </c>
      <c r="L455" s="31">
        <v>55478.055772178508</v>
      </c>
      <c r="M455" s="32">
        <f t="shared" si="38"/>
        <v>55360.943188827187</v>
      </c>
      <c r="N455" s="33">
        <f>Result_notebook!L455</f>
        <v>0.439346565686978</v>
      </c>
      <c r="O455" s="31">
        <f t="shared" si="39"/>
        <v>0</v>
      </c>
      <c r="P455" s="31">
        <f t="shared" si="42"/>
        <v>0</v>
      </c>
      <c r="Q455">
        <f t="shared" si="41"/>
        <v>117.11258335131834</v>
      </c>
    </row>
    <row r="456" spans="1:17" x14ac:dyDescent="0.35">
      <c r="A456">
        <v>2030</v>
      </c>
      <c r="B456" t="s">
        <v>6</v>
      </c>
      <c r="C456" t="s">
        <v>4</v>
      </c>
      <c r="D456" t="s">
        <v>18</v>
      </c>
      <c r="E456" t="s">
        <v>490</v>
      </c>
      <c r="F456" t="s">
        <v>82</v>
      </c>
      <c r="G456" s="31">
        <v>58753.881043988476</v>
      </c>
      <c r="H456" s="31">
        <v>7722.69119676847</v>
      </c>
      <c r="I456" s="31">
        <v>3392.937855161289</v>
      </c>
      <c r="J456" s="32">
        <f t="shared" si="37"/>
        <v>-3.637978807091713E-12</v>
      </c>
      <c r="K456" s="31">
        <v>125808.8566304781</v>
      </c>
      <c r="L456" s="31">
        <v>55360.943188827187</v>
      </c>
      <c r="M456" s="32">
        <f t="shared" si="38"/>
        <v>55360.943188827194</v>
      </c>
      <c r="N456" s="33">
        <f>Result_notebook!L456</f>
        <v>0.439346565686978</v>
      </c>
      <c r="O456" s="31">
        <f t="shared" si="39"/>
        <v>0</v>
      </c>
      <c r="P456" s="31">
        <f t="shared" si="42"/>
        <v>0</v>
      </c>
      <c r="Q456">
        <f t="shared" si="41"/>
        <v>-3.637978807091713E-12</v>
      </c>
    </row>
    <row r="457" spans="1:17" x14ac:dyDescent="0.35">
      <c r="A457">
        <v>2030</v>
      </c>
      <c r="B457" t="s">
        <v>6</v>
      </c>
      <c r="C457" t="s">
        <v>9</v>
      </c>
      <c r="D457" t="s">
        <v>16</v>
      </c>
      <c r="E457" t="s">
        <v>483</v>
      </c>
      <c r="F457" t="s">
        <v>80</v>
      </c>
      <c r="G457" s="31">
        <v>28359.41743748487</v>
      </c>
      <c r="H457" s="31">
        <v>0</v>
      </c>
      <c r="I457" s="31">
        <v>0</v>
      </c>
      <c r="J457" s="32">
        <f t="shared" si="37"/>
        <v>0</v>
      </c>
      <c r="K457" s="31">
        <v>64453.221448829252</v>
      </c>
      <c r="L457" s="31">
        <v>28359.41743748487</v>
      </c>
      <c r="M457" s="32">
        <f t="shared" si="38"/>
        <v>28359.41743748487</v>
      </c>
      <c r="N457" s="33">
        <f>Result_notebook!L457</f>
        <v>0.439346565686978</v>
      </c>
      <c r="O457" s="31">
        <f t="shared" si="39"/>
        <v>0</v>
      </c>
      <c r="P457" s="31">
        <f t="shared" si="42"/>
        <v>0</v>
      </c>
      <c r="Q457">
        <f t="shared" si="41"/>
        <v>0</v>
      </c>
    </row>
    <row r="458" spans="1:17" x14ac:dyDescent="0.35">
      <c r="A458">
        <v>2030</v>
      </c>
      <c r="B458" t="s">
        <v>6</v>
      </c>
      <c r="C458" t="s">
        <v>9</v>
      </c>
      <c r="D458" t="s">
        <v>16</v>
      </c>
      <c r="E458" t="s">
        <v>483</v>
      </c>
      <c r="F458" t="s">
        <v>81</v>
      </c>
      <c r="G458" s="31">
        <v>28359.41743748487</v>
      </c>
      <c r="H458" s="31">
        <v>3861</v>
      </c>
      <c r="I458" s="31">
        <v>1637.7660393504759</v>
      </c>
      <c r="J458" s="32">
        <f t="shared" si="37"/>
        <v>58.551050766946219</v>
      </c>
      <c r="K458" s="31">
        <v>60592.221448829252</v>
      </c>
      <c r="L458" s="31">
        <v>26721.651398134389</v>
      </c>
      <c r="M458" s="32">
        <f t="shared" si="38"/>
        <v>26663.100347367443</v>
      </c>
      <c r="N458" s="33">
        <f>Result_notebook!L458</f>
        <v>0.439346565686978</v>
      </c>
      <c r="O458" s="31">
        <f t="shared" si="39"/>
        <v>0</v>
      </c>
      <c r="P458" s="31">
        <f t="shared" si="42"/>
        <v>0</v>
      </c>
      <c r="Q458">
        <f t="shared" si="41"/>
        <v>58.551050766946219</v>
      </c>
    </row>
    <row r="459" spans="1:17" x14ac:dyDescent="0.35">
      <c r="A459">
        <v>2030</v>
      </c>
      <c r="B459" t="s">
        <v>6</v>
      </c>
      <c r="C459" t="s">
        <v>9</v>
      </c>
      <c r="D459" t="s">
        <v>18</v>
      </c>
      <c r="E459" t="s">
        <v>483</v>
      </c>
      <c r="F459" t="s">
        <v>85</v>
      </c>
      <c r="G459" s="31">
        <v>28359.41743748487</v>
      </c>
      <c r="H459" s="31">
        <v>7722.69119676847</v>
      </c>
      <c r="I459" s="31">
        <v>3275.825271809967</v>
      </c>
      <c r="J459" s="32">
        <f t="shared" si="37"/>
        <v>117.11258335131834</v>
      </c>
      <c r="K459" s="31">
        <v>56730.53025206078</v>
      </c>
      <c r="L459" s="31">
        <v>25083.592165674901</v>
      </c>
      <c r="M459" s="32">
        <f t="shared" si="38"/>
        <v>24966.479582323584</v>
      </c>
      <c r="N459" s="33">
        <f>Result_notebook!L459</f>
        <v>0.439346565686978</v>
      </c>
      <c r="O459" s="31">
        <f t="shared" si="39"/>
        <v>0</v>
      </c>
      <c r="P459" s="31">
        <f t="shared" si="42"/>
        <v>0</v>
      </c>
      <c r="Q459">
        <f t="shared" si="41"/>
        <v>117.11258335131834</v>
      </c>
    </row>
    <row r="460" spans="1:17" x14ac:dyDescent="0.35">
      <c r="A460">
        <v>2030</v>
      </c>
      <c r="B460" t="s">
        <v>6</v>
      </c>
      <c r="C460" t="s">
        <v>9</v>
      </c>
      <c r="D460" t="s">
        <v>18</v>
      </c>
      <c r="E460" t="s">
        <v>483</v>
      </c>
      <c r="F460" t="s">
        <v>86</v>
      </c>
      <c r="G460" s="31">
        <v>28359.41743748487</v>
      </c>
      <c r="H460" s="31">
        <v>7722.69119676847</v>
      </c>
      <c r="I460" s="31">
        <v>3275.825271809967</v>
      </c>
      <c r="J460" s="32">
        <f t="shared" si="37"/>
        <v>117.11258335131834</v>
      </c>
      <c r="K460" s="31">
        <v>56730.53025206078</v>
      </c>
      <c r="L460" s="31">
        <v>25083.592165674901</v>
      </c>
      <c r="M460" s="32">
        <f t="shared" si="38"/>
        <v>24966.479582323584</v>
      </c>
      <c r="N460" s="33">
        <f>Result_notebook!L460</f>
        <v>0.439346565686978</v>
      </c>
      <c r="O460" s="31">
        <f t="shared" si="39"/>
        <v>0</v>
      </c>
      <c r="P460" s="31">
        <f t="shared" si="42"/>
        <v>0</v>
      </c>
      <c r="Q460">
        <f t="shared" si="41"/>
        <v>117.11258335131834</v>
      </c>
    </row>
    <row r="461" spans="1:17" x14ac:dyDescent="0.35">
      <c r="A461">
        <v>2030</v>
      </c>
      <c r="B461" t="s">
        <v>6</v>
      </c>
      <c r="C461" t="s">
        <v>9</v>
      </c>
      <c r="D461" t="s">
        <v>18</v>
      </c>
      <c r="E461" t="s">
        <v>490</v>
      </c>
      <c r="F461" t="s">
        <v>82</v>
      </c>
      <c r="G461" s="31">
        <v>28359.41743748487</v>
      </c>
      <c r="H461" s="31">
        <v>7722.69119676847</v>
      </c>
      <c r="I461" s="31">
        <v>3392.937855161289</v>
      </c>
      <c r="J461" s="32">
        <f t="shared" si="37"/>
        <v>-3.637978807091713E-12</v>
      </c>
      <c r="K461" s="31">
        <v>56730.53025206078</v>
      </c>
      <c r="L461" s="31">
        <v>24966.47958232358</v>
      </c>
      <c r="M461" s="32">
        <f t="shared" si="38"/>
        <v>24966.479582323584</v>
      </c>
      <c r="N461" s="33">
        <f>Result_notebook!L461</f>
        <v>0.439346565686978</v>
      </c>
      <c r="O461" s="31">
        <f t="shared" si="39"/>
        <v>0</v>
      </c>
      <c r="P461" s="31">
        <f t="shared" si="42"/>
        <v>0</v>
      </c>
      <c r="Q461">
        <f t="shared" si="41"/>
        <v>-3.637978807091713E-12</v>
      </c>
    </row>
    <row r="462" spans="1:17" x14ac:dyDescent="0.35">
      <c r="A462">
        <v>2030</v>
      </c>
      <c r="B462" t="s">
        <v>6</v>
      </c>
      <c r="C462" t="s">
        <v>10</v>
      </c>
      <c r="D462" t="s">
        <v>16</v>
      </c>
      <c r="E462" t="s">
        <v>483</v>
      </c>
      <c r="F462" t="s">
        <v>80</v>
      </c>
      <c r="G462" s="31">
        <v>55644.976100679487</v>
      </c>
      <c r="H462" s="31">
        <v>0</v>
      </c>
      <c r="I462" s="31">
        <v>0</v>
      </c>
      <c r="J462" s="32">
        <f t="shared" si="37"/>
        <v>0</v>
      </c>
      <c r="K462" s="31">
        <v>126465.8547742716</v>
      </c>
      <c r="L462" s="31">
        <v>55644.976100679487</v>
      </c>
      <c r="M462" s="32">
        <f t="shared" si="38"/>
        <v>55644.976100679487</v>
      </c>
      <c r="N462" s="33">
        <f>Result_notebook!L462</f>
        <v>0.439346565686978</v>
      </c>
      <c r="O462" s="31">
        <f t="shared" si="39"/>
        <v>0</v>
      </c>
      <c r="P462" s="31">
        <f t="shared" si="42"/>
        <v>0</v>
      </c>
      <c r="Q462">
        <f t="shared" si="41"/>
        <v>0</v>
      </c>
    </row>
    <row r="463" spans="1:17" x14ac:dyDescent="0.35">
      <c r="A463">
        <v>2030</v>
      </c>
      <c r="B463" t="s">
        <v>6</v>
      </c>
      <c r="C463" t="s">
        <v>10</v>
      </c>
      <c r="D463" t="s">
        <v>16</v>
      </c>
      <c r="E463" t="s">
        <v>483</v>
      </c>
      <c r="F463" t="s">
        <v>81</v>
      </c>
      <c r="G463" s="31">
        <v>55644.976100679487</v>
      </c>
      <c r="H463" s="31">
        <v>3861</v>
      </c>
      <c r="I463" s="31">
        <v>1637.7660393504759</v>
      </c>
      <c r="J463" s="32">
        <f t="shared" si="37"/>
        <v>58.551050766946219</v>
      </c>
      <c r="K463" s="31">
        <v>122604.8547742716</v>
      </c>
      <c r="L463" s="31">
        <v>54007.210061329009</v>
      </c>
      <c r="M463" s="32">
        <f t="shared" si="38"/>
        <v>53948.659010562063</v>
      </c>
      <c r="N463" s="33">
        <f>Result_notebook!L463</f>
        <v>0.439346565686978</v>
      </c>
      <c r="O463" s="31">
        <f t="shared" si="39"/>
        <v>0</v>
      </c>
      <c r="P463" s="31">
        <f t="shared" si="42"/>
        <v>0</v>
      </c>
      <c r="Q463">
        <f t="shared" si="41"/>
        <v>58.551050766946219</v>
      </c>
    </row>
    <row r="464" spans="1:17" x14ac:dyDescent="0.35">
      <c r="A464">
        <v>2030</v>
      </c>
      <c r="B464" t="s">
        <v>6</v>
      </c>
      <c r="C464" t="s">
        <v>10</v>
      </c>
      <c r="D464" t="s">
        <v>18</v>
      </c>
      <c r="E464" t="s">
        <v>483</v>
      </c>
      <c r="F464" t="s">
        <v>85</v>
      </c>
      <c r="G464" s="31">
        <v>55644.976100679487</v>
      </c>
      <c r="H464" s="31">
        <v>7722.69119676847</v>
      </c>
      <c r="I464" s="31">
        <v>3275.825271809967</v>
      </c>
      <c r="J464" s="32">
        <f t="shared" si="37"/>
        <v>117.11258335131834</v>
      </c>
      <c r="K464" s="31">
        <v>118743.1635775031</v>
      </c>
      <c r="L464" s="31">
        <v>52369.150828869519</v>
      </c>
      <c r="M464" s="32">
        <f t="shared" si="38"/>
        <v>52252.038245518197</v>
      </c>
      <c r="N464" s="33">
        <f>Result_notebook!L464</f>
        <v>0.439346565686978</v>
      </c>
      <c r="O464" s="31">
        <f t="shared" si="39"/>
        <v>0</v>
      </c>
      <c r="P464" s="31">
        <f t="shared" si="42"/>
        <v>0</v>
      </c>
      <c r="Q464">
        <f t="shared" si="41"/>
        <v>117.11258335131834</v>
      </c>
    </row>
    <row r="465" spans="1:17" x14ac:dyDescent="0.35">
      <c r="A465">
        <v>2030</v>
      </c>
      <c r="B465" t="s">
        <v>6</v>
      </c>
      <c r="C465" t="s">
        <v>10</v>
      </c>
      <c r="D465" t="s">
        <v>18</v>
      </c>
      <c r="E465" t="s">
        <v>483</v>
      </c>
      <c r="F465" t="s">
        <v>86</v>
      </c>
      <c r="G465" s="31">
        <v>55644.976100679487</v>
      </c>
      <c r="H465" s="31">
        <v>7722.69119676847</v>
      </c>
      <c r="I465" s="31">
        <v>3275.825271809967</v>
      </c>
      <c r="J465" s="32">
        <f t="shared" si="37"/>
        <v>117.11258335131834</v>
      </c>
      <c r="K465" s="31">
        <v>118743.1635775031</v>
      </c>
      <c r="L465" s="31">
        <v>52369.150828869519</v>
      </c>
      <c r="M465" s="32">
        <f t="shared" si="38"/>
        <v>52252.038245518197</v>
      </c>
      <c r="N465" s="33">
        <f>Result_notebook!L465</f>
        <v>0.439346565686978</v>
      </c>
      <c r="O465" s="31">
        <f t="shared" si="39"/>
        <v>0</v>
      </c>
      <c r="P465" s="31">
        <f t="shared" si="42"/>
        <v>0</v>
      </c>
      <c r="Q465">
        <f t="shared" si="41"/>
        <v>117.11258335131834</v>
      </c>
    </row>
    <row r="466" spans="1:17" x14ac:dyDescent="0.35">
      <c r="A466">
        <v>2030</v>
      </c>
      <c r="B466" t="s">
        <v>6</v>
      </c>
      <c r="C466" t="s">
        <v>10</v>
      </c>
      <c r="D466" t="s">
        <v>18</v>
      </c>
      <c r="E466" t="s">
        <v>490</v>
      </c>
      <c r="F466" t="s">
        <v>82</v>
      </c>
      <c r="G466" s="31">
        <v>55644.976100679487</v>
      </c>
      <c r="H466" s="31">
        <v>7722.69119676847</v>
      </c>
      <c r="I466" s="31">
        <v>3392.937855161289</v>
      </c>
      <c r="J466" s="32">
        <f t="shared" si="37"/>
        <v>-3.637978807091713E-12</v>
      </c>
      <c r="K466" s="31">
        <v>118743.1635775031</v>
      </c>
      <c r="L466" s="31">
        <v>52252.038245518197</v>
      </c>
      <c r="M466" s="32">
        <f t="shared" si="38"/>
        <v>52252.038245518197</v>
      </c>
      <c r="N466" s="33">
        <f>Result_notebook!L466</f>
        <v>0.439346565686978</v>
      </c>
      <c r="O466" s="31">
        <f t="shared" si="39"/>
        <v>0</v>
      </c>
      <c r="P466" s="31">
        <f t="shared" si="42"/>
        <v>0</v>
      </c>
      <c r="Q466">
        <f t="shared" si="41"/>
        <v>-3.637978807091713E-12</v>
      </c>
    </row>
    <row r="467" spans="1:17" x14ac:dyDescent="0.35">
      <c r="A467">
        <v>2030</v>
      </c>
      <c r="B467" t="s">
        <v>7</v>
      </c>
      <c r="C467" t="s">
        <v>4</v>
      </c>
      <c r="D467" t="s">
        <v>16</v>
      </c>
      <c r="E467" t="s">
        <v>483</v>
      </c>
      <c r="F467" t="s">
        <v>80</v>
      </c>
      <c r="G467" s="31">
        <v>999788.1668806962</v>
      </c>
      <c r="H467" s="31">
        <v>0</v>
      </c>
      <c r="I467" s="31">
        <v>0</v>
      </c>
      <c r="J467" s="32">
        <f t="shared" si="37"/>
        <v>0</v>
      </c>
      <c r="K467" s="31">
        <v>1204564.056482767</v>
      </c>
      <c r="L467" s="31">
        <v>999788.1668806962</v>
      </c>
      <c r="M467" s="32">
        <f t="shared" si="38"/>
        <v>999788.1668806962</v>
      </c>
      <c r="N467" s="33">
        <f>Result_notebook!L467</f>
        <v>0.83474576271186396</v>
      </c>
      <c r="O467" s="31">
        <f t="shared" si="39"/>
        <v>0</v>
      </c>
      <c r="P467" s="31">
        <f t="shared" si="42"/>
        <v>0</v>
      </c>
      <c r="Q467">
        <f t="shared" si="41"/>
        <v>0</v>
      </c>
    </row>
    <row r="468" spans="1:17" x14ac:dyDescent="0.35">
      <c r="A468">
        <v>2030</v>
      </c>
      <c r="B468" t="s">
        <v>7</v>
      </c>
      <c r="C468" t="s">
        <v>4</v>
      </c>
      <c r="D468" t="s">
        <v>16</v>
      </c>
      <c r="E468" t="s">
        <v>483</v>
      </c>
      <c r="F468" t="s">
        <v>81</v>
      </c>
      <c r="G468" s="31">
        <v>999788.1668806962</v>
      </c>
      <c r="H468" s="31">
        <v>331738</v>
      </c>
      <c r="I468" s="31">
        <v>174364.3747679751</v>
      </c>
      <c r="J468" s="32">
        <f t="shared" si="37"/>
        <v>102552.51506253323</v>
      </c>
      <c r="K468" s="31">
        <v>872826.05648276652</v>
      </c>
      <c r="L468" s="31">
        <v>825423.79211272113</v>
      </c>
      <c r="M468" s="32">
        <f t="shared" si="38"/>
        <v>722871.27705018793</v>
      </c>
      <c r="N468" s="33">
        <f>Result_notebook!L468</f>
        <v>0.83474576271186396</v>
      </c>
      <c r="O468" s="31">
        <f t="shared" si="39"/>
        <v>0</v>
      </c>
      <c r="P468" s="31">
        <f t="shared" si="42"/>
        <v>0</v>
      </c>
      <c r="Q468">
        <f t="shared" si="41"/>
        <v>102552.51506253323</v>
      </c>
    </row>
    <row r="469" spans="1:17" x14ac:dyDescent="0.35">
      <c r="A469">
        <v>2030</v>
      </c>
      <c r="B469" t="s">
        <v>7</v>
      </c>
      <c r="C469" t="s">
        <v>4</v>
      </c>
      <c r="D469" t="s">
        <v>18</v>
      </c>
      <c r="E469" t="s">
        <v>483</v>
      </c>
      <c r="F469" t="s">
        <v>85</v>
      </c>
      <c r="G469" s="31">
        <v>999788.1668806962</v>
      </c>
      <c r="H469" s="31">
        <v>686257.18012875051</v>
      </c>
      <c r="I469" s="31">
        <v>360702.73572271859</v>
      </c>
      <c r="J469" s="32">
        <f t="shared" si="37"/>
        <v>212147.53752034827</v>
      </c>
      <c r="K469" s="31">
        <v>518306.87635401601</v>
      </c>
      <c r="L469" s="31">
        <v>639085.43115797755</v>
      </c>
      <c r="M469" s="32">
        <f t="shared" si="38"/>
        <v>426937.89363762928</v>
      </c>
      <c r="N469" s="33">
        <f>Result_notebook!L469</f>
        <v>0.83474576271186396</v>
      </c>
      <c r="O469" s="31">
        <f t="shared" si="39"/>
        <v>0</v>
      </c>
      <c r="P469" s="31">
        <f t="shared" si="42"/>
        <v>0</v>
      </c>
      <c r="Q469">
        <f t="shared" si="41"/>
        <v>212147.53752034827</v>
      </c>
    </row>
    <row r="470" spans="1:17" x14ac:dyDescent="0.35">
      <c r="A470">
        <v>2030</v>
      </c>
      <c r="B470" t="s">
        <v>7</v>
      </c>
      <c r="C470" t="s">
        <v>4</v>
      </c>
      <c r="D470" t="s">
        <v>18</v>
      </c>
      <c r="E470" t="s">
        <v>483</v>
      </c>
      <c r="F470" t="s">
        <v>86</v>
      </c>
      <c r="G470" s="31">
        <v>999788.1668806962</v>
      </c>
      <c r="H470" s="31">
        <v>686257.18012875051</v>
      </c>
      <c r="I470" s="31">
        <v>360702.73572271859</v>
      </c>
      <c r="J470" s="32">
        <f t="shared" si="37"/>
        <v>212147.53752034827</v>
      </c>
      <c r="K470" s="31">
        <v>518306.87635401601</v>
      </c>
      <c r="L470" s="31">
        <v>639085.43115797755</v>
      </c>
      <c r="M470" s="32">
        <f t="shared" si="38"/>
        <v>426937.89363762928</v>
      </c>
      <c r="N470" s="33">
        <f>Result_notebook!L470</f>
        <v>0.83474576271186396</v>
      </c>
      <c r="O470" s="31">
        <f t="shared" si="39"/>
        <v>0</v>
      </c>
      <c r="P470" s="31">
        <f t="shared" si="42"/>
        <v>0</v>
      </c>
      <c r="Q470">
        <f t="shared" si="41"/>
        <v>212147.53752034827</v>
      </c>
    </row>
    <row r="471" spans="1:17" x14ac:dyDescent="0.35">
      <c r="A471">
        <v>2030</v>
      </c>
      <c r="B471" t="s">
        <v>7</v>
      </c>
      <c r="C471" t="s">
        <v>4</v>
      </c>
      <c r="D471" t="s">
        <v>18</v>
      </c>
      <c r="E471" t="s">
        <v>490</v>
      </c>
      <c r="F471" t="s">
        <v>82</v>
      </c>
      <c r="G471" s="31">
        <v>999788.1668806962</v>
      </c>
      <c r="H471" s="31">
        <v>686257.18012875051</v>
      </c>
      <c r="I471" s="31">
        <v>572850.2732430672</v>
      </c>
      <c r="J471" s="32">
        <f t="shared" si="37"/>
        <v>0</v>
      </c>
      <c r="K471" s="31">
        <v>518306.87635401601</v>
      </c>
      <c r="L471" s="31">
        <v>426937.89363762899</v>
      </c>
      <c r="M471" s="32">
        <f t="shared" si="38"/>
        <v>426937.89363762899</v>
      </c>
      <c r="N471" s="33">
        <f>Result_notebook!L471</f>
        <v>0.83474576271186396</v>
      </c>
      <c r="O471" s="31">
        <f t="shared" si="39"/>
        <v>0</v>
      </c>
      <c r="P471" s="31">
        <f t="shared" si="42"/>
        <v>0</v>
      </c>
      <c r="Q471">
        <f t="shared" si="41"/>
        <v>0</v>
      </c>
    </row>
    <row r="472" spans="1:17" x14ac:dyDescent="0.35">
      <c r="A472">
        <v>2030</v>
      </c>
      <c r="B472" t="s">
        <v>7</v>
      </c>
      <c r="C472" t="s">
        <v>9</v>
      </c>
      <c r="D472" t="s">
        <v>16</v>
      </c>
      <c r="E472" t="s">
        <v>483</v>
      </c>
      <c r="F472" t="s">
        <v>80</v>
      </c>
      <c r="G472" s="31">
        <v>938553.71310400078</v>
      </c>
      <c r="H472" s="31">
        <v>0</v>
      </c>
      <c r="I472" s="31">
        <v>0</v>
      </c>
      <c r="J472" s="32">
        <f t="shared" si="37"/>
        <v>0</v>
      </c>
      <c r="K472" s="31">
        <v>1130787.606149398</v>
      </c>
      <c r="L472" s="31">
        <v>938553.71310400078</v>
      </c>
      <c r="M472" s="32">
        <f t="shared" si="38"/>
        <v>938553.71310400078</v>
      </c>
      <c r="N472" s="33">
        <f>Result_notebook!L472</f>
        <v>0.83474576271186396</v>
      </c>
      <c r="O472" s="31">
        <f t="shared" si="39"/>
        <v>0</v>
      </c>
      <c r="P472" s="31">
        <f t="shared" si="42"/>
        <v>0</v>
      </c>
      <c r="Q472">
        <f t="shared" si="41"/>
        <v>0</v>
      </c>
    </row>
    <row r="473" spans="1:17" x14ac:dyDescent="0.35">
      <c r="A473">
        <v>2030</v>
      </c>
      <c r="B473" t="s">
        <v>7</v>
      </c>
      <c r="C473" t="s">
        <v>9</v>
      </c>
      <c r="D473" t="s">
        <v>16</v>
      </c>
      <c r="E473" t="s">
        <v>483</v>
      </c>
      <c r="F473" t="s">
        <v>81</v>
      </c>
      <c r="G473" s="31">
        <v>938553.71310400078</v>
      </c>
      <c r="H473" s="31">
        <v>331738</v>
      </c>
      <c r="I473" s="31">
        <v>174364.3747679751</v>
      </c>
      <c r="J473" s="32">
        <f t="shared" si="37"/>
        <v>102552.51506253323</v>
      </c>
      <c r="K473" s="31">
        <v>799049.60614939849</v>
      </c>
      <c r="L473" s="31">
        <v>764189.33833602571</v>
      </c>
      <c r="M473" s="32">
        <f t="shared" si="38"/>
        <v>661636.82327349251</v>
      </c>
      <c r="N473" s="33">
        <f>Result_notebook!L473</f>
        <v>0.83474576271186396</v>
      </c>
      <c r="O473" s="31">
        <f t="shared" si="39"/>
        <v>0</v>
      </c>
      <c r="P473" s="31">
        <f t="shared" si="42"/>
        <v>0</v>
      </c>
      <c r="Q473">
        <f t="shared" si="41"/>
        <v>102552.51506253323</v>
      </c>
    </row>
    <row r="474" spans="1:17" x14ac:dyDescent="0.35">
      <c r="A474">
        <v>2030</v>
      </c>
      <c r="B474" t="s">
        <v>7</v>
      </c>
      <c r="C474" t="s">
        <v>9</v>
      </c>
      <c r="D474" t="s">
        <v>18</v>
      </c>
      <c r="E474" t="s">
        <v>483</v>
      </c>
      <c r="F474" t="s">
        <v>85</v>
      </c>
      <c r="G474" s="31">
        <v>938553.71310400078</v>
      </c>
      <c r="H474" s="31">
        <v>686257.18012875051</v>
      </c>
      <c r="I474" s="31">
        <v>360702.73572271859</v>
      </c>
      <c r="J474" s="32">
        <f t="shared" si="37"/>
        <v>212147.53752034827</v>
      </c>
      <c r="K474" s="31">
        <v>444530.42602064798</v>
      </c>
      <c r="L474" s="31">
        <v>577850.97738128214</v>
      </c>
      <c r="M474" s="32">
        <f t="shared" si="38"/>
        <v>365703.43986093387</v>
      </c>
      <c r="N474" s="33">
        <f>Result_notebook!L474</f>
        <v>0.83474576271186396</v>
      </c>
      <c r="O474" s="31">
        <f t="shared" si="39"/>
        <v>0</v>
      </c>
      <c r="P474" s="31">
        <f t="shared" si="42"/>
        <v>0</v>
      </c>
      <c r="Q474">
        <f t="shared" si="41"/>
        <v>212147.53752034827</v>
      </c>
    </row>
    <row r="475" spans="1:17" x14ac:dyDescent="0.35">
      <c r="A475">
        <v>2030</v>
      </c>
      <c r="B475" t="s">
        <v>7</v>
      </c>
      <c r="C475" t="s">
        <v>9</v>
      </c>
      <c r="D475" t="s">
        <v>18</v>
      </c>
      <c r="E475" t="s">
        <v>483</v>
      </c>
      <c r="F475" t="s">
        <v>86</v>
      </c>
      <c r="G475" s="31">
        <v>938553.71310400078</v>
      </c>
      <c r="H475" s="31">
        <v>686257.18012875051</v>
      </c>
      <c r="I475" s="31">
        <v>360702.73572271859</v>
      </c>
      <c r="J475" s="32">
        <f t="shared" si="37"/>
        <v>212147.53752034827</v>
      </c>
      <c r="K475" s="31">
        <v>444530.42602064798</v>
      </c>
      <c r="L475" s="31">
        <v>577850.97738128214</v>
      </c>
      <c r="M475" s="32">
        <f t="shared" si="38"/>
        <v>365703.43986093387</v>
      </c>
      <c r="N475" s="33">
        <f>Result_notebook!L475</f>
        <v>0.83474576271186396</v>
      </c>
      <c r="O475" s="31">
        <f t="shared" si="39"/>
        <v>0</v>
      </c>
      <c r="P475" s="31">
        <f t="shared" si="42"/>
        <v>0</v>
      </c>
      <c r="Q475">
        <f t="shared" si="41"/>
        <v>212147.53752034827</v>
      </c>
    </row>
    <row r="476" spans="1:17" x14ac:dyDescent="0.35">
      <c r="A476">
        <v>2030</v>
      </c>
      <c r="B476" t="s">
        <v>7</v>
      </c>
      <c r="C476" t="s">
        <v>9</v>
      </c>
      <c r="D476" t="s">
        <v>18</v>
      </c>
      <c r="E476" t="s">
        <v>490</v>
      </c>
      <c r="F476" t="s">
        <v>82</v>
      </c>
      <c r="G476" s="31">
        <v>938553.71310400078</v>
      </c>
      <c r="H476" s="31">
        <v>686257.18012875051</v>
      </c>
      <c r="I476" s="31">
        <v>572850.2732430672</v>
      </c>
      <c r="J476" s="32">
        <f t="shared" si="37"/>
        <v>0</v>
      </c>
      <c r="K476" s="31">
        <v>444530.42602064798</v>
      </c>
      <c r="L476" s="31">
        <v>365703.43986093358</v>
      </c>
      <c r="M476" s="32">
        <f t="shared" si="38"/>
        <v>365703.43986093358</v>
      </c>
      <c r="N476" s="33">
        <f>Result_notebook!L476</f>
        <v>0.83474576271186396</v>
      </c>
      <c r="O476" s="31">
        <f t="shared" si="39"/>
        <v>0</v>
      </c>
      <c r="P476" s="31">
        <f t="shared" si="42"/>
        <v>0</v>
      </c>
      <c r="Q476">
        <f t="shared" si="41"/>
        <v>0</v>
      </c>
    </row>
    <row r="477" spans="1:17" x14ac:dyDescent="0.35">
      <c r="A477">
        <v>2030</v>
      </c>
      <c r="B477" t="s">
        <v>7</v>
      </c>
      <c r="C477" t="s">
        <v>10</v>
      </c>
      <c r="D477" t="s">
        <v>16</v>
      </c>
      <c r="E477" t="s">
        <v>483</v>
      </c>
      <c r="F477" t="s">
        <v>80</v>
      </c>
      <c r="G477" s="31">
        <v>970850.53343822004</v>
      </c>
      <c r="H477" s="31">
        <v>0</v>
      </c>
      <c r="I477" s="31">
        <v>0</v>
      </c>
      <c r="J477" s="32">
        <f t="shared" si="37"/>
        <v>0</v>
      </c>
      <c r="K477" s="31">
        <v>1169699.437877374</v>
      </c>
      <c r="L477" s="31">
        <v>970850.53343822004</v>
      </c>
      <c r="M477" s="32">
        <f t="shared" si="38"/>
        <v>970850.53343822004</v>
      </c>
      <c r="N477" s="33">
        <f>Result_notebook!L477</f>
        <v>0.83474576271186396</v>
      </c>
      <c r="O477" s="31">
        <f t="shared" si="39"/>
        <v>0</v>
      </c>
      <c r="P477" s="31">
        <f t="shared" si="42"/>
        <v>0</v>
      </c>
      <c r="Q477">
        <f t="shared" si="41"/>
        <v>0</v>
      </c>
    </row>
    <row r="478" spans="1:17" x14ac:dyDescent="0.35">
      <c r="A478">
        <v>2030</v>
      </c>
      <c r="B478" t="s">
        <v>7</v>
      </c>
      <c r="C478" t="s">
        <v>10</v>
      </c>
      <c r="D478" t="s">
        <v>16</v>
      </c>
      <c r="E478" t="s">
        <v>483</v>
      </c>
      <c r="F478" t="s">
        <v>81</v>
      </c>
      <c r="G478" s="31">
        <v>970850.53343822004</v>
      </c>
      <c r="H478" s="31">
        <v>331738</v>
      </c>
      <c r="I478" s="31">
        <v>174364.3747679751</v>
      </c>
      <c r="J478" s="32">
        <f t="shared" si="37"/>
        <v>102552.51506253323</v>
      </c>
      <c r="K478" s="31">
        <v>837961.43787737354</v>
      </c>
      <c r="L478" s="31">
        <v>796486.15867024497</v>
      </c>
      <c r="M478" s="32">
        <f t="shared" si="38"/>
        <v>693933.64360771177</v>
      </c>
      <c r="N478" s="33">
        <f>Result_notebook!L478</f>
        <v>0.83474576271186396</v>
      </c>
      <c r="O478" s="31">
        <f t="shared" si="39"/>
        <v>0</v>
      </c>
      <c r="P478" s="31">
        <f t="shared" si="42"/>
        <v>0</v>
      </c>
      <c r="Q478">
        <f t="shared" si="41"/>
        <v>102552.51506253323</v>
      </c>
    </row>
    <row r="479" spans="1:17" x14ac:dyDescent="0.35">
      <c r="A479">
        <v>2030</v>
      </c>
      <c r="B479" t="s">
        <v>7</v>
      </c>
      <c r="C479" t="s">
        <v>10</v>
      </c>
      <c r="D479" t="s">
        <v>18</v>
      </c>
      <c r="E479" t="s">
        <v>483</v>
      </c>
      <c r="F479" t="s">
        <v>85</v>
      </c>
      <c r="G479" s="31">
        <v>970850.53343822004</v>
      </c>
      <c r="H479" s="31">
        <v>686257.18012875051</v>
      </c>
      <c r="I479" s="31">
        <v>360702.73572271859</v>
      </c>
      <c r="J479" s="32">
        <f t="shared" si="37"/>
        <v>212147.53752034827</v>
      </c>
      <c r="K479" s="31">
        <v>483442.25774862297</v>
      </c>
      <c r="L479" s="31">
        <v>610147.79771550139</v>
      </c>
      <c r="M479" s="32">
        <f t="shared" si="38"/>
        <v>398000.26019515313</v>
      </c>
      <c r="N479" s="33">
        <f>Result_notebook!L479</f>
        <v>0.83474576271186396</v>
      </c>
      <c r="O479" s="31">
        <f t="shared" si="39"/>
        <v>0</v>
      </c>
      <c r="P479" s="31">
        <f t="shared" si="42"/>
        <v>0</v>
      </c>
      <c r="Q479">
        <f t="shared" si="41"/>
        <v>212147.53752034827</v>
      </c>
    </row>
    <row r="480" spans="1:17" x14ac:dyDescent="0.35">
      <c r="A480">
        <v>2030</v>
      </c>
      <c r="B480" t="s">
        <v>7</v>
      </c>
      <c r="C480" t="s">
        <v>10</v>
      </c>
      <c r="D480" t="s">
        <v>18</v>
      </c>
      <c r="E480" t="s">
        <v>483</v>
      </c>
      <c r="F480" t="s">
        <v>86</v>
      </c>
      <c r="G480" s="31">
        <v>970850.53343822004</v>
      </c>
      <c r="H480" s="31">
        <v>686257.18012875051</v>
      </c>
      <c r="I480" s="31">
        <v>360702.73572271859</v>
      </c>
      <c r="J480" s="32">
        <f t="shared" si="37"/>
        <v>212147.53752034827</v>
      </c>
      <c r="K480" s="31">
        <v>483442.25774862297</v>
      </c>
      <c r="L480" s="31">
        <v>610147.79771550139</v>
      </c>
      <c r="M480" s="32">
        <f t="shared" si="38"/>
        <v>398000.26019515313</v>
      </c>
      <c r="N480" s="33">
        <f>Result_notebook!L480</f>
        <v>0.83474576271186396</v>
      </c>
      <c r="O480" s="31">
        <f t="shared" si="39"/>
        <v>0</v>
      </c>
      <c r="P480" s="31">
        <f t="shared" si="42"/>
        <v>0</v>
      </c>
      <c r="Q480">
        <f t="shared" si="41"/>
        <v>212147.53752034827</v>
      </c>
    </row>
    <row r="481" spans="1:17" x14ac:dyDescent="0.35">
      <c r="A481">
        <v>2030</v>
      </c>
      <c r="B481" t="s">
        <v>7</v>
      </c>
      <c r="C481" t="s">
        <v>10</v>
      </c>
      <c r="D481" t="s">
        <v>18</v>
      </c>
      <c r="E481" t="s">
        <v>490</v>
      </c>
      <c r="F481" t="s">
        <v>82</v>
      </c>
      <c r="G481" s="31">
        <v>970850.53343822004</v>
      </c>
      <c r="H481" s="31">
        <v>686257.18012875051</v>
      </c>
      <c r="I481" s="31">
        <v>572850.2732430672</v>
      </c>
      <c r="J481" s="32">
        <f t="shared" si="37"/>
        <v>0</v>
      </c>
      <c r="K481" s="31">
        <v>483442.25774862297</v>
      </c>
      <c r="L481" s="31">
        <v>398000.26019515278</v>
      </c>
      <c r="M481" s="32">
        <f t="shared" si="38"/>
        <v>398000.26019515278</v>
      </c>
      <c r="N481" s="33">
        <f>Result_notebook!L481</f>
        <v>0.83474576271186396</v>
      </c>
      <c r="O481" s="31">
        <f t="shared" si="39"/>
        <v>0</v>
      </c>
      <c r="P481" s="31">
        <f t="shared" si="42"/>
        <v>0</v>
      </c>
      <c r="Q481">
        <f t="shared" si="41"/>
        <v>0</v>
      </c>
    </row>
    <row r="482" spans="1:17" x14ac:dyDescent="0.35">
      <c r="A482">
        <v>2030</v>
      </c>
      <c r="B482" t="s">
        <v>11</v>
      </c>
      <c r="C482" t="s">
        <v>4</v>
      </c>
      <c r="D482" t="s">
        <v>16</v>
      </c>
      <c r="E482" t="s">
        <v>483</v>
      </c>
      <c r="F482" t="s">
        <v>80</v>
      </c>
      <c r="G482" s="31">
        <v>2154.8829337155262</v>
      </c>
      <c r="H482" s="31">
        <v>0</v>
      </c>
      <c r="I482" s="31">
        <v>0</v>
      </c>
      <c r="J482" s="32">
        <f t="shared" si="37"/>
        <v>0</v>
      </c>
      <c r="K482" s="31">
        <v>3591.4715561925441</v>
      </c>
      <c r="L482" s="31">
        <v>2154.8829337155262</v>
      </c>
      <c r="M482" s="32">
        <f t="shared" si="38"/>
        <v>2154.8829337155262</v>
      </c>
      <c r="N482" s="33">
        <f>Result_notebook!L482</f>
        <v>1</v>
      </c>
      <c r="O482" s="31">
        <f t="shared" si="39"/>
        <v>0</v>
      </c>
      <c r="P482" s="31">
        <f t="shared" si="42"/>
        <v>0</v>
      </c>
      <c r="Q482">
        <f t="shared" si="41"/>
        <v>0</v>
      </c>
    </row>
    <row r="483" spans="1:17" x14ac:dyDescent="0.35">
      <c r="A483">
        <v>2030</v>
      </c>
      <c r="B483" t="s">
        <v>11</v>
      </c>
      <c r="C483" t="s">
        <v>4</v>
      </c>
      <c r="D483" t="s">
        <v>16</v>
      </c>
      <c r="E483" t="s">
        <v>483</v>
      </c>
      <c r="F483" t="s">
        <v>81</v>
      </c>
      <c r="G483" s="31">
        <v>2154.8829337155262</v>
      </c>
      <c r="H483" s="31">
        <v>0</v>
      </c>
      <c r="I483" s="31">
        <v>0</v>
      </c>
      <c r="J483" s="32">
        <f t="shared" si="37"/>
        <v>0</v>
      </c>
      <c r="K483" s="31">
        <v>3591.4715561925441</v>
      </c>
      <c r="L483" s="31">
        <v>2154.8829337155262</v>
      </c>
      <c r="M483" s="32">
        <f t="shared" si="38"/>
        <v>2154.8829337155262</v>
      </c>
      <c r="N483" s="33">
        <f>Result_notebook!L483</f>
        <v>1</v>
      </c>
      <c r="O483" s="31">
        <f t="shared" si="39"/>
        <v>0</v>
      </c>
      <c r="P483" s="31">
        <f t="shared" si="42"/>
        <v>0</v>
      </c>
      <c r="Q483">
        <f t="shared" si="41"/>
        <v>0</v>
      </c>
    </row>
    <row r="484" spans="1:17" x14ac:dyDescent="0.35">
      <c r="A484">
        <v>2030</v>
      </c>
      <c r="B484" t="s">
        <v>11</v>
      </c>
      <c r="C484" t="s">
        <v>4</v>
      </c>
      <c r="D484" t="s">
        <v>18</v>
      </c>
      <c r="E484" t="s">
        <v>483</v>
      </c>
      <c r="F484" t="s">
        <v>85</v>
      </c>
      <c r="G484" s="31">
        <v>2154.8829337155262</v>
      </c>
      <c r="H484" s="31">
        <v>14.8330257144349</v>
      </c>
      <c r="I484" s="31">
        <v>8.878217267431701</v>
      </c>
      <c r="J484" s="32">
        <f t="shared" si="37"/>
        <v>5.9548084470031988</v>
      </c>
      <c r="K484" s="31">
        <v>3576.6385304781088</v>
      </c>
      <c r="L484" s="31">
        <v>2146.0047164480939</v>
      </c>
      <c r="M484" s="32">
        <f t="shared" si="38"/>
        <v>2140.0499080010904</v>
      </c>
      <c r="N484" s="33">
        <f>Result_notebook!L484</f>
        <v>1</v>
      </c>
      <c r="O484" s="31">
        <f t="shared" si="39"/>
        <v>0</v>
      </c>
      <c r="P484" s="31">
        <f t="shared" si="42"/>
        <v>0</v>
      </c>
      <c r="Q484">
        <f t="shared" si="41"/>
        <v>5.9548084470031988</v>
      </c>
    </row>
    <row r="485" spans="1:17" x14ac:dyDescent="0.35">
      <c r="A485">
        <v>2030</v>
      </c>
      <c r="B485" t="s">
        <v>11</v>
      </c>
      <c r="C485" t="s">
        <v>4</v>
      </c>
      <c r="D485" t="s">
        <v>18</v>
      </c>
      <c r="E485" t="s">
        <v>483</v>
      </c>
      <c r="F485" t="s">
        <v>86</v>
      </c>
      <c r="G485" s="31">
        <v>2154.8829337155262</v>
      </c>
      <c r="H485" s="31">
        <v>14.8330257144349</v>
      </c>
      <c r="I485" s="31">
        <v>8.878217267431701</v>
      </c>
      <c r="J485" s="32">
        <f t="shared" si="37"/>
        <v>5.9548084470031988</v>
      </c>
      <c r="K485" s="31">
        <v>3576.6385304781088</v>
      </c>
      <c r="L485" s="31">
        <v>2146.0047164480939</v>
      </c>
      <c r="M485" s="32">
        <f t="shared" si="38"/>
        <v>2140.0499080010904</v>
      </c>
      <c r="N485" s="33">
        <f>Result_notebook!L485</f>
        <v>1</v>
      </c>
      <c r="O485" s="31">
        <f t="shared" si="39"/>
        <v>0</v>
      </c>
      <c r="P485" s="31">
        <f t="shared" si="42"/>
        <v>0</v>
      </c>
      <c r="Q485">
        <f t="shared" si="41"/>
        <v>5.9548084470031988</v>
      </c>
    </row>
    <row r="486" spans="1:17" x14ac:dyDescent="0.35">
      <c r="A486">
        <v>2030</v>
      </c>
      <c r="B486" t="s">
        <v>11</v>
      </c>
      <c r="C486" t="s">
        <v>4</v>
      </c>
      <c r="D486" t="s">
        <v>18</v>
      </c>
      <c r="E486" t="s">
        <v>490</v>
      </c>
      <c r="F486" t="s">
        <v>82</v>
      </c>
      <c r="G486" s="31">
        <v>2154.8829337155262</v>
      </c>
      <c r="H486" s="31">
        <v>14.8330257144349</v>
      </c>
      <c r="I486" s="31">
        <v>8.878217267431701</v>
      </c>
      <c r="J486" s="32">
        <f t="shared" si="37"/>
        <v>5.9548084470031988</v>
      </c>
      <c r="K486" s="31">
        <v>3576.6385304781088</v>
      </c>
      <c r="L486" s="31">
        <v>2146.0047164480939</v>
      </c>
      <c r="M486" s="32">
        <f t="shared" si="38"/>
        <v>2140.0499080010904</v>
      </c>
      <c r="N486" s="33">
        <f>Result_notebook!L486</f>
        <v>1</v>
      </c>
      <c r="O486" s="31">
        <f t="shared" si="39"/>
        <v>0</v>
      </c>
      <c r="P486" s="31">
        <f t="shared" si="42"/>
        <v>0</v>
      </c>
      <c r="Q486">
        <f t="shared" si="41"/>
        <v>5.9548084470031988</v>
      </c>
    </row>
    <row r="487" spans="1:17" x14ac:dyDescent="0.35">
      <c r="A487">
        <v>2030</v>
      </c>
      <c r="B487" t="s">
        <v>11</v>
      </c>
      <c r="C487" t="s">
        <v>9</v>
      </c>
      <c r="D487" t="s">
        <v>16</v>
      </c>
      <c r="E487" t="s">
        <v>483</v>
      </c>
      <c r="F487" t="s">
        <v>80</v>
      </c>
      <c r="G487" s="31">
        <v>874.53250184739602</v>
      </c>
      <c r="H487" s="31">
        <v>0</v>
      </c>
      <c r="I487" s="31">
        <v>0</v>
      </c>
      <c r="J487" s="32">
        <f t="shared" si="37"/>
        <v>0</v>
      </c>
      <c r="K487" s="31">
        <v>1457.5541697456599</v>
      </c>
      <c r="L487" s="31">
        <v>874.53250184739602</v>
      </c>
      <c r="M487" s="32">
        <f t="shared" si="38"/>
        <v>874.53250184739602</v>
      </c>
      <c r="N487" s="33">
        <f>Result_notebook!L487</f>
        <v>1</v>
      </c>
      <c r="O487" s="31">
        <f t="shared" si="39"/>
        <v>0</v>
      </c>
      <c r="P487" s="31">
        <f t="shared" si="42"/>
        <v>0</v>
      </c>
      <c r="Q487">
        <f t="shared" si="41"/>
        <v>0</v>
      </c>
    </row>
    <row r="488" spans="1:17" x14ac:dyDescent="0.35">
      <c r="A488">
        <v>2030</v>
      </c>
      <c r="B488" t="s">
        <v>11</v>
      </c>
      <c r="C488" t="s">
        <v>9</v>
      </c>
      <c r="D488" t="s">
        <v>16</v>
      </c>
      <c r="E488" t="s">
        <v>483</v>
      </c>
      <c r="F488" t="s">
        <v>81</v>
      </c>
      <c r="G488" s="31">
        <v>874.53250184739602</v>
      </c>
      <c r="H488" s="31">
        <v>0</v>
      </c>
      <c r="I488" s="31">
        <v>0</v>
      </c>
      <c r="J488" s="32">
        <f t="shared" si="37"/>
        <v>0</v>
      </c>
      <c r="K488" s="31">
        <v>1457.5541697456599</v>
      </c>
      <c r="L488" s="31">
        <v>874.53250184739602</v>
      </c>
      <c r="M488" s="32">
        <f t="shared" si="38"/>
        <v>874.53250184739602</v>
      </c>
      <c r="N488" s="33">
        <f>Result_notebook!L488</f>
        <v>1</v>
      </c>
      <c r="O488" s="31">
        <f t="shared" si="39"/>
        <v>0</v>
      </c>
      <c r="P488" s="31">
        <f t="shared" si="42"/>
        <v>0</v>
      </c>
      <c r="Q488">
        <f t="shared" si="41"/>
        <v>0</v>
      </c>
    </row>
    <row r="489" spans="1:17" x14ac:dyDescent="0.35">
      <c r="A489">
        <v>2030</v>
      </c>
      <c r="B489" t="s">
        <v>11</v>
      </c>
      <c r="C489" t="s">
        <v>9</v>
      </c>
      <c r="D489" t="s">
        <v>18</v>
      </c>
      <c r="E489" t="s">
        <v>483</v>
      </c>
      <c r="F489" t="s">
        <v>85</v>
      </c>
      <c r="G489" s="31">
        <v>874.53250184739602</v>
      </c>
      <c r="H489" s="31">
        <v>14.8330257144349</v>
      </c>
      <c r="I489" s="31">
        <v>8.878217267431701</v>
      </c>
      <c r="J489" s="32">
        <f t="shared" si="37"/>
        <v>5.9548084470031988</v>
      </c>
      <c r="K489" s="31">
        <v>1442.7211440312251</v>
      </c>
      <c r="L489" s="31">
        <v>865.65428457996427</v>
      </c>
      <c r="M489" s="32">
        <f t="shared" si="38"/>
        <v>859.69947613296108</v>
      </c>
      <c r="N489" s="33">
        <f>Result_notebook!L489</f>
        <v>1</v>
      </c>
      <c r="O489" s="31">
        <f t="shared" si="39"/>
        <v>0</v>
      </c>
      <c r="P489" s="31">
        <f t="shared" si="42"/>
        <v>0</v>
      </c>
      <c r="Q489">
        <f t="shared" si="41"/>
        <v>5.9548084470031988</v>
      </c>
    </row>
    <row r="490" spans="1:17" x14ac:dyDescent="0.35">
      <c r="A490">
        <v>2030</v>
      </c>
      <c r="B490" t="s">
        <v>11</v>
      </c>
      <c r="C490" t="s">
        <v>9</v>
      </c>
      <c r="D490" t="s">
        <v>18</v>
      </c>
      <c r="E490" t="s">
        <v>483</v>
      </c>
      <c r="F490" t="s">
        <v>86</v>
      </c>
      <c r="G490" s="31">
        <v>874.53250184739602</v>
      </c>
      <c r="H490" s="31">
        <v>14.8330257144349</v>
      </c>
      <c r="I490" s="31">
        <v>8.878217267431701</v>
      </c>
      <c r="J490" s="32">
        <f t="shared" si="37"/>
        <v>5.9548084470031988</v>
      </c>
      <c r="K490" s="31">
        <v>1442.7211440312251</v>
      </c>
      <c r="L490" s="31">
        <v>865.65428457996427</v>
      </c>
      <c r="M490" s="32">
        <f t="shared" si="38"/>
        <v>859.69947613296108</v>
      </c>
      <c r="N490" s="33">
        <f>Result_notebook!L490</f>
        <v>1</v>
      </c>
      <c r="O490" s="31">
        <f t="shared" si="39"/>
        <v>0</v>
      </c>
      <c r="P490" s="31">
        <f t="shared" si="42"/>
        <v>0</v>
      </c>
      <c r="Q490">
        <f t="shared" si="41"/>
        <v>5.9548084470031988</v>
      </c>
    </row>
    <row r="491" spans="1:17" x14ac:dyDescent="0.35">
      <c r="A491">
        <v>2030</v>
      </c>
      <c r="B491" t="s">
        <v>11</v>
      </c>
      <c r="C491" t="s">
        <v>9</v>
      </c>
      <c r="D491" t="s">
        <v>18</v>
      </c>
      <c r="E491" t="s">
        <v>490</v>
      </c>
      <c r="F491" t="s">
        <v>82</v>
      </c>
      <c r="G491" s="31">
        <v>874.53250184739602</v>
      </c>
      <c r="H491" s="31">
        <v>14.8330257144349</v>
      </c>
      <c r="I491" s="31">
        <v>8.878217267431701</v>
      </c>
      <c r="J491" s="32">
        <f t="shared" si="37"/>
        <v>5.9548084470031988</v>
      </c>
      <c r="K491" s="31">
        <v>1442.7211440312251</v>
      </c>
      <c r="L491" s="31">
        <v>865.65428457996427</v>
      </c>
      <c r="M491" s="32">
        <f t="shared" si="38"/>
        <v>859.69947613296108</v>
      </c>
      <c r="N491" s="33">
        <f>Result_notebook!L491</f>
        <v>1</v>
      </c>
      <c r="O491" s="31">
        <f t="shared" si="39"/>
        <v>0</v>
      </c>
      <c r="P491" s="31">
        <f t="shared" si="42"/>
        <v>0</v>
      </c>
      <c r="Q491">
        <f t="shared" si="41"/>
        <v>5.9548084470031988</v>
      </c>
    </row>
    <row r="492" spans="1:17" x14ac:dyDescent="0.35">
      <c r="A492">
        <v>2030</v>
      </c>
      <c r="B492" t="s">
        <v>11</v>
      </c>
      <c r="C492" t="s">
        <v>10</v>
      </c>
      <c r="D492" t="s">
        <v>16</v>
      </c>
      <c r="E492" t="s">
        <v>483</v>
      </c>
      <c r="F492" t="s">
        <v>80</v>
      </c>
      <c r="G492" s="31">
        <v>2060.9784695548619</v>
      </c>
      <c r="H492" s="31">
        <v>0</v>
      </c>
      <c r="I492" s="31">
        <v>0</v>
      </c>
      <c r="J492" s="32">
        <f t="shared" si="37"/>
        <v>0</v>
      </c>
      <c r="K492" s="31">
        <v>3434.9641159247699</v>
      </c>
      <c r="L492" s="31">
        <v>2060.9784695548619</v>
      </c>
      <c r="M492" s="32">
        <f t="shared" si="38"/>
        <v>2060.9784695548619</v>
      </c>
      <c r="N492" s="33">
        <f>Result_notebook!L492</f>
        <v>1</v>
      </c>
      <c r="O492" s="31">
        <f t="shared" si="39"/>
        <v>0</v>
      </c>
      <c r="P492" s="31">
        <f t="shared" si="42"/>
        <v>0</v>
      </c>
      <c r="Q492">
        <f t="shared" si="41"/>
        <v>0</v>
      </c>
    </row>
    <row r="493" spans="1:17" x14ac:dyDescent="0.35">
      <c r="A493">
        <v>2030</v>
      </c>
      <c r="B493" t="s">
        <v>11</v>
      </c>
      <c r="C493" t="s">
        <v>10</v>
      </c>
      <c r="D493" t="s">
        <v>16</v>
      </c>
      <c r="E493" t="s">
        <v>483</v>
      </c>
      <c r="F493" t="s">
        <v>81</v>
      </c>
      <c r="G493" s="31">
        <v>2060.9784695548619</v>
      </c>
      <c r="H493" s="31">
        <v>0</v>
      </c>
      <c r="I493" s="31">
        <v>0</v>
      </c>
      <c r="J493" s="32">
        <f t="shared" si="37"/>
        <v>0</v>
      </c>
      <c r="K493" s="31">
        <v>3434.9641159247699</v>
      </c>
      <c r="L493" s="31">
        <v>2060.9784695548619</v>
      </c>
      <c r="M493" s="32">
        <f t="shared" si="38"/>
        <v>2060.9784695548619</v>
      </c>
      <c r="N493" s="33">
        <f>Result_notebook!L493</f>
        <v>1</v>
      </c>
      <c r="O493" s="31">
        <f t="shared" si="39"/>
        <v>0</v>
      </c>
      <c r="P493" s="31">
        <f t="shared" si="42"/>
        <v>0</v>
      </c>
      <c r="Q493">
        <f t="shared" si="41"/>
        <v>0</v>
      </c>
    </row>
    <row r="494" spans="1:17" x14ac:dyDescent="0.35">
      <c r="A494">
        <v>2030</v>
      </c>
      <c r="B494" t="s">
        <v>11</v>
      </c>
      <c r="C494" t="s">
        <v>10</v>
      </c>
      <c r="D494" t="s">
        <v>18</v>
      </c>
      <c r="E494" t="s">
        <v>483</v>
      </c>
      <c r="F494" t="s">
        <v>85</v>
      </c>
      <c r="G494" s="31">
        <v>2060.9784695548619</v>
      </c>
      <c r="H494" s="31">
        <v>14.8330257144349</v>
      </c>
      <c r="I494" s="31">
        <v>8.878217267431701</v>
      </c>
      <c r="J494" s="32">
        <f t="shared" si="37"/>
        <v>5.9548084470031988</v>
      </c>
      <c r="K494" s="31">
        <v>3420.1310902103351</v>
      </c>
      <c r="L494" s="31">
        <v>2052.1002522874301</v>
      </c>
      <c r="M494" s="32">
        <f t="shared" si="38"/>
        <v>2046.1454438404269</v>
      </c>
      <c r="N494" s="33">
        <f>Result_notebook!L494</f>
        <v>1</v>
      </c>
      <c r="O494" s="31">
        <f t="shared" si="39"/>
        <v>0</v>
      </c>
      <c r="P494" s="31">
        <f t="shared" si="42"/>
        <v>0</v>
      </c>
      <c r="Q494">
        <f t="shared" si="41"/>
        <v>5.9548084470031988</v>
      </c>
    </row>
    <row r="495" spans="1:17" x14ac:dyDescent="0.35">
      <c r="A495">
        <v>2030</v>
      </c>
      <c r="B495" t="s">
        <v>11</v>
      </c>
      <c r="C495" t="s">
        <v>10</v>
      </c>
      <c r="D495" t="s">
        <v>18</v>
      </c>
      <c r="E495" t="s">
        <v>483</v>
      </c>
      <c r="F495" t="s">
        <v>86</v>
      </c>
      <c r="G495" s="31">
        <v>2060.9784695548619</v>
      </c>
      <c r="H495" s="31">
        <v>14.8330257144349</v>
      </c>
      <c r="I495" s="31">
        <v>8.878217267431701</v>
      </c>
      <c r="J495" s="32">
        <f t="shared" si="37"/>
        <v>5.9548084470031988</v>
      </c>
      <c r="K495" s="31">
        <v>3420.1310902103351</v>
      </c>
      <c r="L495" s="31">
        <v>2052.1002522874301</v>
      </c>
      <c r="M495" s="32">
        <f t="shared" si="38"/>
        <v>2046.1454438404269</v>
      </c>
      <c r="N495" s="33">
        <f>Result_notebook!L495</f>
        <v>1</v>
      </c>
      <c r="O495" s="31">
        <f t="shared" si="39"/>
        <v>0</v>
      </c>
      <c r="P495" s="31">
        <f t="shared" si="42"/>
        <v>0</v>
      </c>
      <c r="Q495">
        <f t="shared" si="41"/>
        <v>5.9548084470031988</v>
      </c>
    </row>
    <row r="496" spans="1:17" x14ac:dyDescent="0.35">
      <c r="A496">
        <v>2030</v>
      </c>
      <c r="B496" t="s">
        <v>11</v>
      </c>
      <c r="C496" t="s">
        <v>10</v>
      </c>
      <c r="D496" t="s">
        <v>18</v>
      </c>
      <c r="E496" t="s">
        <v>490</v>
      </c>
      <c r="F496" t="s">
        <v>82</v>
      </c>
      <c r="G496" s="31">
        <v>2060.9784695548619</v>
      </c>
      <c r="H496" s="31">
        <v>14.8330257144349</v>
      </c>
      <c r="I496" s="31">
        <v>8.878217267431701</v>
      </c>
      <c r="J496" s="32">
        <f t="shared" si="37"/>
        <v>5.9548084470031988</v>
      </c>
      <c r="K496" s="31">
        <v>3420.1310902103351</v>
      </c>
      <c r="L496" s="31">
        <v>2052.1002522874301</v>
      </c>
      <c r="M496" s="32">
        <f t="shared" si="38"/>
        <v>2046.1454438404269</v>
      </c>
      <c r="N496" s="33">
        <f>Result_notebook!L496</f>
        <v>1</v>
      </c>
      <c r="O496" s="31">
        <f t="shared" si="39"/>
        <v>0</v>
      </c>
      <c r="P496" s="31">
        <f t="shared" si="42"/>
        <v>0</v>
      </c>
      <c r="Q496">
        <f t="shared" si="41"/>
        <v>5.9548084470031988</v>
      </c>
    </row>
    <row r="497" spans="1:17" x14ac:dyDescent="0.35">
      <c r="A497">
        <v>2030</v>
      </c>
      <c r="B497" t="s">
        <v>8</v>
      </c>
      <c r="C497" t="s">
        <v>4</v>
      </c>
      <c r="D497" t="s">
        <v>16</v>
      </c>
      <c r="E497" t="s">
        <v>483</v>
      </c>
      <c r="F497" t="s">
        <v>80</v>
      </c>
      <c r="G497" s="31">
        <v>78598.837813683815</v>
      </c>
      <c r="H497" s="31">
        <v>0</v>
      </c>
      <c r="I497" s="31">
        <v>0</v>
      </c>
      <c r="J497" s="32">
        <f t="shared" si="37"/>
        <v>0</v>
      </c>
      <c r="K497" s="31">
        <v>99492.199764156729</v>
      </c>
      <c r="L497" s="31">
        <v>78598.837813683815</v>
      </c>
      <c r="M497" s="32">
        <f t="shared" si="38"/>
        <v>78598.837813683815</v>
      </c>
      <c r="N497" s="33">
        <f>Result_notebook!L497</f>
        <v>0.69917047091553897</v>
      </c>
      <c r="O497" s="31">
        <f t="shared" si="39"/>
        <v>0</v>
      </c>
      <c r="P497" s="31">
        <f t="shared" si="42"/>
        <v>0</v>
      </c>
      <c r="Q497">
        <f t="shared" si="41"/>
        <v>0</v>
      </c>
    </row>
    <row r="498" spans="1:17" x14ac:dyDescent="0.35">
      <c r="A498">
        <v>2030</v>
      </c>
      <c r="B498" t="s">
        <v>8</v>
      </c>
      <c r="C498" t="s">
        <v>4</v>
      </c>
      <c r="D498" t="s">
        <v>16</v>
      </c>
      <c r="E498" t="s">
        <v>483</v>
      </c>
      <c r="F498" t="s">
        <v>81</v>
      </c>
      <c r="G498" s="31">
        <v>78598.837813683815</v>
      </c>
      <c r="H498" s="31">
        <v>150184</v>
      </c>
      <c r="I498" s="31">
        <v>84235.208361019701</v>
      </c>
      <c r="J498" s="32">
        <f t="shared" si="37"/>
        <v>20769.009642959601</v>
      </c>
      <c r="K498" s="31">
        <v>0</v>
      </c>
      <c r="L498" s="31">
        <v>0</v>
      </c>
      <c r="M498" s="32">
        <f t="shared" si="38"/>
        <v>0</v>
      </c>
      <c r="N498" s="33">
        <f>Result_notebook!L498</f>
        <v>0.69917047091553897</v>
      </c>
      <c r="O498" s="31">
        <f t="shared" si="39"/>
        <v>-26405.380190295487</v>
      </c>
      <c r="P498" s="31">
        <f t="shared" si="42"/>
        <v>5636.3705473358859</v>
      </c>
      <c r="Q498">
        <f t="shared" si="41"/>
        <v>20769.009642959601</v>
      </c>
    </row>
    <row r="499" spans="1:17" x14ac:dyDescent="0.35">
      <c r="A499">
        <v>2030</v>
      </c>
      <c r="B499" t="s">
        <v>8</v>
      </c>
      <c r="C499" t="s">
        <v>4</v>
      </c>
      <c r="D499" t="s">
        <v>18</v>
      </c>
      <c r="E499" t="s">
        <v>483</v>
      </c>
      <c r="F499" t="s">
        <v>85</v>
      </c>
      <c r="G499" s="31">
        <v>78598.837813683815</v>
      </c>
      <c r="H499" s="31">
        <v>193081</v>
      </c>
      <c r="I499" s="31">
        <v>108295.2795607657</v>
      </c>
      <c r="J499" s="32">
        <f t="shared" si="37"/>
        <v>26701.254134077477</v>
      </c>
      <c r="K499" s="31">
        <v>0</v>
      </c>
      <c r="L499" s="31">
        <v>0</v>
      </c>
      <c r="M499" s="32">
        <f t="shared" si="38"/>
        <v>0</v>
      </c>
      <c r="N499" s="33">
        <f>Result_notebook!L499</f>
        <v>0.69917047091553897</v>
      </c>
      <c r="O499" s="31">
        <f t="shared" si="39"/>
        <v>-56397.695881159365</v>
      </c>
      <c r="P499" s="31">
        <f t="shared" si="42"/>
        <v>29696.441747081888</v>
      </c>
      <c r="Q499">
        <f t="shared" si="41"/>
        <v>26701.254134077477</v>
      </c>
    </row>
    <row r="500" spans="1:17" x14ac:dyDescent="0.35">
      <c r="A500">
        <v>2030</v>
      </c>
      <c r="B500" t="s">
        <v>8</v>
      </c>
      <c r="C500" t="s">
        <v>4</v>
      </c>
      <c r="D500" t="s">
        <v>18</v>
      </c>
      <c r="E500" t="s">
        <v>483</v>
      </c>
      <c r="F500" t="s">
        <v>86</v>
      </c>
      <c r="G500" s="31">
        <v>78598.837813683815</v>
      </c>
      <c r="H500" s="31">
        <v>193081</v>
      </c>
      <c r="I500" s="31">
        <v>108295.2795607657</v>
      </c>
      <c r="J500" s="32">
        <f t="shared" si="37"/>
        <v>26701.254134077477</v>
      </c>
      <c r="K500" s="31">
        <v>0</v>
      </c>
      <c r="L500" s="31">
        <v>0</v>
      </c>
      <c r="M500" s="32">
        <f t="shared" si="38"/>
        <v>0</v>
      </c>
      <c r="N500" s="33">
        <f>Result_notebook!L500</f>
        <v>0.69917047091553897</v>
      </c>
      <c r="O500" s="31">
        <f t="shared" si="39"/>
        <v>-56397.695881159365</v>
      </c>
      <c r="P500" s="31">
        <f t="shared" si="42"/>
        <v>29696.441747081888</v>
      </c>
      <c r="Q500">
        <f t="shared" si="41"/>
        <v>26701.254134077477</v>
      </c>
    </row>
    <row r="501" spans="1:17" x14ac:dyDescent="0.35">
      <c r="A501">
        <v>2030</v>
      </c>
      <c r="B501" t="s">
        <v>8</v>
      </c>
      <c r="C501" t="s">
        <v>4</v>
      </c>
      <c r="D501" t="s">
        <v>18</v>
      </c>
      <c r="E501" t="s">
        <v>490</v>
      </c>
      <c r="F501" t="s">
        <v>82</v>
      </c>
      <c r="G501" s="31">
        <v>78598.837813683815</v>
      </c>
      <c r="H501" s="31">
        <v>193081</v>
      </c>
      <c r="I501" s="31">
        <v>152061.90634820869</v>
      </c>
      <c r="J501" s="32">
        <f t="shared" si="37"/>
        <v>-17065.372653365514</v>
      </c>
      <c r="K501" s="31">
        <v>0</v>
      </c>
      <c r="L501" s="31">
        <v>0</v>
      </c>
      <c r="M501" s="32">
        <f t="shared" si="38"/>
        <v>17065.372653365514</v>
      </c>
      <c r="N501" s="33">
        <f>Result_notebook!L501</f>
        <v>0.69917047091553897</v>
      </c>
      <c r="O501" s="31">
        <f t="shared" si="39"/>
        <v>-73463.068534524878</v>
      </c>
      <c r="P501" s="31">
        <f t="shared" si="42"/>
        <v>73463.068534524878</v>
      </c>
      <c r="Q501">
        <f t="shared" si="41"/>
        <v>-17065.372653365514</v>
      </c>
    </row>
    <row r="502" spans="1:17" x14ac:dyDescent="0.35">
      <c r="A502">
        <v>2030</v>
      </c>
      <c r="B502" t="s">
        <v>8</v>
      </c>
      <c r="C502" t="s">
        <v>9</v>
      </c>
      <c r="D502" t="s">
        <v>16</v>
      </c>
      <c r="E502" t="s">
        <v>483</v>
      </c>
      <c r="F502" t="s">
        <v>80</v>
      </c>
      <c r="G502" s="31">
        <v>41464.346616727722</v>
      </c>
      <c r="H502" s="31">
        <v>0</v>
      </c>
      <c r="I502" s="31">
        <v>0</v>
      </c>
      <c r="J502" s="32">
        <f t="shared" si="37"/>
        <v>0</v>
      </c>
      <c r="K502" s="31">
        <v>52486.514704718633</v>
      </c>
      <c r="L502" s="31">
        <v>41464.346616727722</v>
      </c>
      <c r="M502" s="32">
        <f t="shared" si="38"/>
        <v>41464.346616727722</v>
      </c>
      <c r="N502" s="33">
        <f>Result_notebook!L502</f>
        <v>0.69917047091553897</v>
      </c>
      <c r="O502" s="31">
        <f t="shared" si="39"/>
        <v>0</v>
      </c>
      <c r="P502" s="31">
        <f t="shared" si="42"/>
        <v>0</v>
      </c>
      <c r="Q502">
        <f t="shared" si="41"/>
        <v>0</v>
      </c>
    </row>
    <row r="503" spans="1:17" x14ac:dyDescent="0.35">
      <c r="A503">
        <v>2030</v>
      </c>
      <c r="B503" t="s">
        <v>8</v>
      </c>
      <c r="C503" t="s">
        <v>9</v>
      </c>
      <c r="D503" t="s">
        <v>16</v>
      </c>
      <c r="E503" t="s">
        <v>483</v>
      </c>
      <c r="F503" t="s">
        <v>81</v>
      </c>
      <c r="G503" s="31">
        <v>41464.346616727722</v>
      </c>
      <c r="H503" s="31">
        <v>150184</v>
      </c>
      <c r="I503" s="31">
        <v>84235.208361019701</v>
      </c>
      <c r="J503" s="32">
        <f t="shared" si="37"/>
        <v>20769.009642959601</v>
      </c>
      <c r="K503" s="31">
        <v>0</v>
      </c>
      <c r="L503" s="31">
        <v>0</v>
      </c>
      <c r="M503" s="32">
        <f t="shared" si="38"/>
        <v>0</v>
      </c>
      <c r="N503" s="33">
        <f>Result_notebook!L503</f>
        <v>0.69917047091553897</v>
      </c>
      <c r="O503" s="31">
        <f t="shared" si="39"/>
        <v>-63539.87138725158</v>
      </c>
      <c r="P503" s="31">
        <f t="shared" si="42"/>
        <v>42770.861744291979</v>
      </c>
      <c r="Q503">
        <f t="shared" si="41"/>
        <v>20769.009642959601</v>
      </c>
    </row>
    <row r="504" spans="1:17" x14ac:dyDescent="0.35">
      <c r="A504">
        <v>2030</v>
      </c>
      <c r="B504" t="s">
        <v>8</v>
      </c>
      <c r="C504" t="s">
        <v>9</v>
      </c>
      <c r="D504" t="s">
        <v>18</v>
      </c>
      <c r="E504" t="s">
        <v>483</v>
      </c>
      <c r="F504" t="s">
        <v>85</v>
      </c>
      <c r="G504" s="31">
        <v>41464.346616727722</v>
      </c>
      <c r="H504" s="31">
        <v>193081</v>
      </c>
      <c r="I504" s="31">
        <v>108295.2795607657</v>
      </c>
      <c r="J504" s="32">
        <f t="shared" si="37"/>
        <v>26701.254134077477</v>
      </c>
      <c r="K504" s="31">
        <v>0</v>
      </c>
      <c r="L504" s="31">
        <v>0</v>
      </c>
      <c r="M504" s="32">
        <f t="shared" si="38"/>
        <v>0</v>
      </c>
      <c r="N504" s="33">
        <f>Result_notebook!L504</f>
        <v>0.69917047091553897</v>
      </c>
      <c r="O504" s="31">
        <f t="shared" si="39"/>
        <v>-93532.187078115458</v>
      </c>
      <c r="P504" s="31">
        <f t="shared" si="42"/>
        <v>66830.932944037981</v>
      </c>
      <c r="Q504">
        <f t="shared" si="41"/>
        <v>26701.254134077477</v>
      </c>
    </row>
    <row r="505" spans="1:17" x14ac:dyDescent="0.35">
      <c r="A505">
        <v>2030</v>
      </c>
      <c r="B505" t="s">
        <v>8</v>
      </c>
      <c r="C505" t="s">
        <v>9</v>
      </c>
      <c r="D505" t="s">
        <v>18</v>
      </c>
      <c r="E505" t="s">
        <v>483</v>
      </c>
      <c r="F505" t="s">
        <v>86</v>
      </c>
      <c r="G505" s="31">
        <v>41464.346616727722</v>
      </c>
      <c r="H505" s="31">
        <v>193081</v>
      </c>
      <c r="I505" s="31">
        <v>108295.2795607657</v>
      </c>
      <c r="J505" s="32">
        <f t="shared" si="37"/>
        <v>26701.254134077477</v>
      </c>
      <c r="K505" s="31">
        <v>0</v>
      </c>
      <c r="L505" s="31">
        <v>0</v>
      </c>
      <c r="M505" s="32">
        <f t="shared" si="38"/>
        <v>0</v>
      </c>
      <c r="N505" s="33">
        <f>Result_notebook!L505</f>
        <v>0.69917047091553897</v>
      </c>
      <c r="O505" s="31">
        <f t="shared" si="39"/>
        <v>-93532.187078115458</v>
      </c>
      <c r="P505" s="31">
        <f t="shared" si="42"/>
        <v>66830.932944037981</v>
      </c>
      <c r="Q505">
        <f t="shared" si="41"/>
        <v>26701.254134077477</v>
      </c>
    </row>
    <row r="506" spans="1:17" x14ac:dyDescent="0.35">
      <c r="A506">
        <v>2030</v>
      </c>
      <c r="B506" t="s">
        <v>8</v>
      </c>
      <c r="C506" t="s">
        <v>9</v>
      </c>
      <c r="D506" t="s">
        <v>18</v>
      </c>
      <c r="E506" t="s">
        <v>490</v>
      </c>
      <c r="F506" t="s">
        <v>82</v>
      </c>
      <c r="G506" s="31">
        <v>41464.346616727722</v>
      </c>
      <c r="H506" s="31">
        <v>193081</v>
      </c>
      <c r="I506" s="31">
        <v>152061.90634820869</v>
      </c>
      <c r="J506" s="32">
        <f t="shared" si="37"/>
        <v>-17065.372653365514</v>
      </c>
      <c r="K506" s="31">
        <v>0</v>
      </c>
      <c r="L506" s="31">
        <v>0</v>
      </c>
      <c r="M506" s="32">
        <f t="shared" si="38"/>
        <v>17065.372653365514</v>
      </c>
      <c r="N506" s="33">
        <f>Result_notebook!L506</f>
        <v>0.69917047091553897</v>
      </c>
      <c r="O506" s="31">
        <f t="shared" si="39"/>
        <v>-110597.55973148097</v>
      </c>
      <c r="P506" s="31">
        <f t="shared" si="42"/>
        <v>110597.55973148097</v>
      </c>
      <c r="Q506">
        <f t="shared" si="41"/>
        <v>-17065.372653365514</v>
      </c>
    </row>
    <row r="507" spans="1:17" x14ac:dyDescent="0.35">
      <c r="A507">
        <v>2030</v>
      </c>
      <c r="B507" t="s">
        <v>8</v>
      </c>
      <c r="C507" t="s">
        <v>10</v>
      </c>
      <c r="D507" t="s">
        <v>16</v>
      </c>
      <c r="E507" t="s">
        <v>483</v>
      </c>
      <c r="F507" t="s">
        <v>80</v>
      </c>
      <c r="G507" s="31">
        <v>74062.238097093548</v>
      </c>
      <c r="H507" s="31">
        <v>0</v>
      </c>
      <c r="I507" s="31">
        <v>0</v>
      </c>
      <c r="J507" s="32">
        <f t="shared" si="37"/>
        <v>0</v>
      </c>
      <c r="K507" s="31">
        <v>93749.668477333602</v>
      </c>
      <c r="L507" s="31">
        <v>74062.238097093548</v>
      </c>
      <c r="M507" s="32">
        <f t="shared" si="38"/>
        <v>74062.238097093548</v>
      </c>
      <c r="N507" s="33">
        <f>Result_notebook!L507</f>
        <v>0.69917047091553897</v>
      </c>
      <c r="O507" s="31">
        <f t="shared" si="39"/>
        <v>0</v>
      </c>
      <c r="P507" s="31">
        <f t="shared" si="42"/>
        <v>0</v>
      </c>
      <c r="Q507">
        <f t="shared" si="41"/>
        <v>0</v>
      </c>
    </row>
    <row r="508" spans="1:17" x14ac:dyDescent="0.35">
      <c r="A508">
        <v>2030</v>
      </c>
      <c r="B508" t="s">
        <v>8</v>
      </c>
      <c r="C508" t="s">
        <v>10</v>
      </c>
      <c r="D508" t="s">
        <v>16</v>
      </c>
      <c r="E508" t="s">
        <v>483</v>
      </c>
      <c r="F508" t="s">
        <v>81</v>
      </c>
      <c r="G508" s="31">
        <v>74062.238097093548</v>
      </c>
      <c r="H508" s="31">
        <v>150184</v>
      </c>
      <c r="I508" s="31">
        <v>84235.208361019701</v>
      </c>
      <c r="J508" s="32">
        <f t="shared" si="37"/>
        <v>20769.009642959601</v>
      </c>
      <c r="K508" s="31">
        <v>0</v>
      </c>
      <c r="L508" s="31">
        <v>0</v>
      </c>
      <c r="M508" s="32">
        <f t="shared" si="38"/>
        <v>0</v>
      </c>
      <c r="N508" s="33">
        <f>Result_notebook!L508</f>
        <v>0.69917047091553897</v>
      </c>
      <c r="O508" s="31">
        <f t="shared" si="39"/>
        <v>-30941.979906885754</v>
      </c>
      <c r="P508" s="31">
        <f t="shared" si="42"/>
        <v>10172.970263926152</v>
      </c>
      <c r="Q508">
        <f t="shared" si="41"/>
        <v>20769.009642959601</v>
      </c>
    </row>
    <row r="509" spans="1:17" x14ac:dyDescent="0.35">
      <c r="A509">
        <v>2030</v>
      </c>
      <c r="B509" t="s">
        <v>8</v>
      </c>
      <c r="C509" t="s">
        <v>10</v>
      </c>
      <c r="D509" t="s">
        <v>18</v>
      </c>
      <c r="E509" t="s">
        <v>483</v>
      </c>
      <c r="F509" t="s">
        <v>85</v>
      </c>
      <c r="G509" s="31">
        <v>74062.238097093548</v>
      </c>
      <c r="H509" s="31">
        <v>193081</v>
      </c>
      <c r="I509" s="31">
        <v>108295.2795607657</v>
      </c>
      <c r="J509" s="32">
        <f t="shared" si="37"/>
        <v>26701.254134077477</v>
      </c>
      <c r="K509" s="31">
        <v>0</v>
      </c>
      <c r="L509" s="31">
        <v>0</v>
      </c>
      <c r="M509" s="32">
        <f t="shared" si="38"/>
        <v>0</v>
      </c>
      <c r="N509" s="33">
        <f>Result_notebook!L509</f>
        <v>0.69917047091553897</v>
      </c>
      <c r="O509" s="31">
        <f t="shared" si="39"/>
        <v>-60934.295597749631</v>
      </c>
      <c r="P509" s="31">
        <f t="shared" si="42"/>
        <v>34233.041463672154</v>
      </c>
      <c r="Q509">
        <f t="shared" si="41"/>
        <v>26701.254134077477</v>
      </c>
    </row>
    <row r="510" spans="1:17" x14ac:dyDescent="0.35">
      <c r="A510">
        <v>2030</v>
      </c>
      <c r="B510" t="s">
        <v>8</v>
      </c>
      <c r="C510" t="s">
        <v>10</v>
      </c>
      <c r="D510" t="s">
        <v>18</v>
      </c>
      <c r="E510" t="s">
        <v>483</v>
      </c>
      <c r="F510" t="s">
        <v>86</v>
      </c>
      <c r="G510" s="31">
        <v>74062.238097093548</v>
      </c>
      <c r="H510" s="31">
        <v>193081</v>
      </c>
      <c r="I510" s="31">
        <v>108295.2795607657</v>
      </c>
      <c r="J510" s="32">
        <f t="shared" si="37"/>
        <v>26701.254134077477</v>
      </c>
      <c r="K510" s="31">
        <v>0</v>
      </c>
      <c r="L510" s="31">
        <v>0</v>
      </c>
      <c r="M510" s="32">
        <f t="shared" si="38"/>
        <v>0</v>
      </c>
      <c r="N510" s="33">
        <f>Result_notebook!L510</f>
        <v>0.69917047091553897</v>
      </c>
      <c r="O510" s="31">
        <f t="shared" si="39"/>
        <v>-60934.295597749631</v>
      </c>
      <c r="P510" s="31">
        <f t="shared" si="42"/>
        <v>34233.041463672154</v>
      </c>
      <c r="Q510">
        <f t="shared" si="41"/>
        <v>26701.254134077477</v>
      </c>
    </row>
    <row r="511" spans="1:17" x14ac:dyDescent="0.35">
      <c r="A511">
        <v>2030</v>
      </c>
      <c r="B511" t="s">
        <v>8</v>
      </c>
      <c r="C511" t="s">
        <v>10</v>
      </c>
      <c r="D511" t="s">
        <v>18</v>
      </c>
      <c r="E511" t="s">
        <v>490</v>
      </c>
      <c r="F511" t="s">
        <v>82</v>
      </c>
      <c r="G511" s="31">
        <v>74062.238097093548</v>
      </c>
      <c r="H511" s="31">
        <v>193081</v>
      </c>
      <c r="I511" s="31">
        <v>152061.90634820869</v>
      </c>
      <c r="J511" s="32">
        <f t="shared" si="37"/>
        <v>-17065.372653365514</v>
      </c>
      <c r="K511" s="31">
        <v>0</v>
      </c>
      <c r="L511" s="31">
        <v>0</v>
      </c>
      <c r="M511" s="32">
        <f t="shared" si="38"/>
        <v>17065.372653365514</v>
      </c>
      <c r="N511" s="33">
        <f>Result_notebook!L511</f>
        <v>0.69917047091553897</v>
      </c>
      <c r="O511" s="31">
        <f t="shared" si="39"/>
        <v>-77999.668251115145</v>
      </c>
      <c r="P511" s="31">
        <f t="shared" si="42"/>
        <v>77999.668251115145</v>
      </c>
      <c r="Q511">
        <f t="shared" si="41"/>
        <v>-17065.372653365514</v>
      </c>
    </row>
    <row r="512" spans="1:17" x14ac:dyDescent="0.35">
      <c r="A512">
        <v>2030</v>
      </c>
      <c r="B512" t="s">
        <v>13</v>
      </c>
      <c r="C512" t="s">
        <v>4</v>
      </c>
      <c r="D512" t="s">
        <v>16</v>
      </c>
      <c r="E512" t="s">
        <v>483</v>
      </c>
      <c r="F512" t="s">
        <v>80</v>
      </c>
      <c r="G512" s="31">
        <v>1855.5643647638899</v>
      </c>
      <c r="H512" s="31">
        <v>0</v>
      </c>
      <c r="I512" s="31">
        <v>0</v>
      </c>
      <c r="J512" s="32">
        <f t="shared" si="37"/>
        <v>0</v>
      </c>
      <c r="K512" s="31">
        <v>1855.5643647638899</v>
      </c>
      <c r="L512" s="31">
        <v>1855.5643647638899</v>
      </c>
      <c r="M512" s="32">
        <f t="shared" si="38"/>
        <v>1855.5643647638899</v>
      </c>
      <c r="N512" s="33">
        <f>Result_notebook!L512</f>
        <v>0.59854391398996798</v>
      </c>
      <c r="O512" s="31">
        <f t="shared" si="39"/>
        <v>0</v>
      </c>
      <c r="P512" s="31">
        <f t="shared" si="42"/>
        <v>0</v>
      </c>
      <c r="Q512">
        <f t="shared" si="41"/>
        <v>0</v>
      </c>
    </row>
    <row r="513" spans="1:17" x14ac:dyDescent="0.35">
      <c r="A513">
        <v>2030</v>
      </c>
      <c r="B513" t="s">
        <v>13</v>
      </c>
      <c r="C513" t="s">
        <v>4</v>
      </c>
      <c r="D513" t="s">
        <v>16</v>
      </c>
      <c r="E513" t="s">
        <v>483</v>
      </c>
      <c r="F513" t="s">
        <v>81</v>
      </c>
      <c r="G513" s="31">
        <v>1855.5643647638899</v>
      </c>
      <c r="H513" s="31">
        <v>0</v>
      </c>
      <c r="I513" s="31">
        <v>0</v>
      </c>
      <c r="J513" s="32">
        <f t="shared" si="37"/>
        <v>0</v>
      </c>
      <c r="K513" s="31">
        <v>1855.5643647638899</v>
      </c>
      <c r="L513" s="31">
        <v>1855.5643647638899</v>
      </c>
      <c r="M513" s="32">
        <f t="shared" si="38"/>
        <v>1855.5643647638899</v>
      </c>
      <c r="N513" s="33">
        <f>Result_notebook!L513</f>
        <v>0.59854391398996798</v>
      </c>
      <c r="O513" s="31">
        <f t="shared" si="39"/>
        <v>0</v>
      </c>
      <c r="P513" s="31">
        <f t="shared" si="42"/>
        <v>0</v>
      </c>
      <c r="Q513">
        <f t="shared" si="41"/>
        <v>0</v>
      </c>
    </row>
    <row r="514" spans="1:17" x14ac:dyDescent="0.35">
      <c r="A514">
        <v>2030</v>
      </c>
      <c r="B514" t="s">
        <v>13</v>
      </c>
      <c r="C514" t="s">
        <v>4</v>
      </c>
      <c r="D514" t="s">
        <v>18</v>
      </c>
      <c r="E514" t="s">
        <v>483</v>
      </c>
      <c r="F514" t="s">
        <v>85</v>
      </c>
      <c r="G514" s="31">
        <v>1855.5643647638899</v>
      </c>
      <c r="H514" s="31">
        <v>99712</v>
      </c>
      <c r="I514" s="31">
        <v>32904.959999999999</v>
      </c>
      <c r="J514" s="32">
        <f t="shared" si="37"/>
        <v>26777.050751767689</v>
      </c>
      <c r="K514" s="31">
        <v>0</v>
      </c>
      <c r="L514" s="31">
        <v>0</v>
      </c>
      <c r="M514" s="32">
        <f t="shared" si="38"/>
        <v>0</v>
      </c>
      <c r="N514" s="33">
        <f>Result_notebook!L514</f>
        <v>0.59854391398996798</v>
      </c>
      <c r="O514" s="31">
        <f t="shared" si="39"/>
        <v>-57826.446387003802</v>
      </c>
      <c r="P514" s="31">
        <f t="shared" si="42"/>
        <v>31049.395635236109</v>
      </c>
      <c r="Q514">
        <f t="shared" si="41"/>
        <v>26777.050751767689</v>
      </c>
    </row>
    <row r="515" spans="1:17" x14ac:dyDescent="0.35">
      <c r="A515">
        <v>2030</v>
      </c>
      <c r="B515" t="s">
        <v>13</v>
      </c>
      <c r="C515" t="s">
        <v>4</v>
      </c>
      <c r="D515" t="s">
        <v>18</v>
      </c>
      <c r="E515" t="s">
        <v>483</v>
      </c>
      <c r="F515" t="s">
        <v>86</v>
      </c>
      <c r="G515" s="31">
        <v>1855.5643647638899</v>
      </c>
      <c r="H515" s="31">
        <v>99712</v>
      </c>
      <c r="I515" s="31">
        <v>32904.959999999999</v>
      </c>
      <c r="J515" s="32">
        <f t="shared" ref="J515:J578" si="43">H515*N515-I515</f>
        <v>26777.050751767689</v>
      </c>
      <c r="K515" s="31">
        <v>0</v>
      </c>
      <c r="L515" s="31">
        <v>0</v>
      </c>
      <c r="M515" s="32">
        <f t="shared" ref="M515:M578" si="44">MAX(L515-J515,0)</f>
        <v>0</v>
      </c>
      <c r="N515" s="33">
        <f>Result_notebook!L515</f>
        <v>0.59854391398996798</v>
      </c>
      <c r="O515" s="31">
        <f t="shared" ref="O515:O578" si="45">G515-(I515+J515+M515)</f>
        <v>-57826.446387003802</v>
      </c>
      <c r="P515" s="31">
        <f t="shared" ref="P515:P516" si="46">MAX(I515-G515,0)</f>
        <v>31049.395635236109</v>
      </c>
      <c r="Q515">
        <f t="shared" ref="Q515:Q578" si="47">(H515*N515)-I515</f>
        <v>26777.050751767689</v>
      </c>
    </row>
    <row r="516" spans="1:17" x14ac:dyDescent="0.35">
      <c r="A516">
        <v>2030</v>
      </c>
      <c r="B516" t="s">
        <v>13</v>
      </c>
      <c r="C516" t="s">
        <v>4</v>
      </c>
      <c r="D516" t="s">
        <v>18</v>
      </c>
      <c r="E516" t="s">
        <v>490</v>
      </c>
      <c r="F516" t="s">
        <v>82</v>
      </c>
      <c r="G516" s="31">
        <v>1855.5643647638899</v>
      </c>
      <c r="H516" s="31">
        <v>99712</v>
      </c>
      <c r="I516" s="31">
        <v>32904.959999999999</v>
      </c>
      <c r="J516" s="32">
        <f t="shared" si="43"/>
        <v>26777.050751767689</v>
      </c>
      <c r="K516" s="31">
        <v>0</v>
      </c>
      <c r="L516" s="31">
        <v>0</v>
      </c>
      <c r="M516" s="32">
        <f t="shared" si="44"/>
        <v>0</v>
      </c>
      <c r="N516" s="33">
        <f>Result_notebook!L516</f>
        <v>0.59854391398996798</v>
      </c>
      <c r="O516" s="31">
        <f t="shared" si="45"/>
        <v>-57826.446387003802</v>
      </c>
      <c r="P516" s="31">
        <f t="shared" si="46"/>
        <v>31049.395635236109</v>
      </c>
      <c r="Q516">
        <f t="shared" si="47"/>
        <v>26777.050751767689</v>
      </c>
    </row>
    <row r="517" spans="1:17" x14ac:dyDescent="0.35">
      <c r="A517">
        <v>2030</v>
      </c>
      <c r="B517" t="s">
        <v>13</v>
      </c>
      <c r="C517" t="s">
        <v>9</v>
      </c>
      <c r="D517" t="s">
        <v>16</v>
      </c>
      <c r="E517" t="s">
        <v>483</v>
      </c>
      <c r="F517" t="s">
        <v>80</v>
      </c>
      <c r="G517" s="31">
        <v>872.97124354802133</v>
      </c>
      <c r="H517" s="31">
        <v>0</v>
      </c>
      <c r="I517" s="31">
        <v>0</v>
      </c>
      <c r="J517" s="32">
        <f t="shared" si="43"/>
        <v>0</v>
      </c>
      <c r="K517" s="31">
        <v>872.97124354802133</v>
      </c>
      <c r="L517" s="31">
        <v>872.97124354802133</v>
      </c>
      <c r="M517" s="32">
        <f t="shared" si="44"/>
        <v>872.97124354802133</v>
      </c>
      <c r="N517" s="33">
        <f>Result_notebook!L517</f>
        <v>0.59854391398996798</v>
      </c>
      <c r="O517" s="31">
        <f t="shared" si="45"/>
        <v>0</v>
      </c>
      <c r="P517" s="31">
        <f t="shared" ref="P517:P578" si="48">MAX(I517-G517,0)</f>
        <v>0</v>
      </c>
      <c r="Q517">
        <f t="shared" si="47"/>
        <v>0</v>
      </c>
    </row>
    <row r="518" spans="1:17" x14ac:dyDescent="0.35">
      <c r="A518">
        <v>2030</v>
      </c>
      <c r="B518" t="s">
        <v>13</v>
      </c>
      <c r="C518" t="s">
        <v>9</v>
      </c>
      <c r="D518" t="s">
        <v>16</v>
      </c>
      <c r="E518" t="s">
        <v>483</v>
      </c>
      <c r="F518" t="s">
        <v>81</v>
      </c>
      <c r="G518" s="31">
        <v>872.97124354802133</v>
      </c>
      <c r="H518" s="31">
        <v>0</v>
      </c>
      <c r="I518" s="31">
        <v>0</v>
      </c>
      <c r="J518" s="32">
        <f t="shared" si="43"/>
        <v>0</v>
      </c>
      <c r="K518" s="31">
        <v>872.97124354802133</v>
      </c>
      <c r="L518" s="31">
        <v>872.97124354802133</v>
      </c>
      <c r="M518" s="32">
        <f t="shared" si="44"/>
        <v>872.97124354802133</v>
      </c>
      <c r="N518" s="33">
        <f>Result_notebook!L518</f>
        <v>0.59854391398996798</v>
      </c>
      <c r="O518" s="31">
        <f t="shared" si="45"/>
        <v>0</v>
      </c>
      <c r="P518" s="31">
        <f t="shared" si="48"/>
        <v>0</v>
      </c>
      <c r="Q518">
        <f t="shared" si="47"/>
        <v>0</v>
      </c>
    </row>
    <row r="519" spans="1:17" x14ac:dyDescent="0.35">
      <c r="A519">
        <v>2030</v>
      </c>
      <c r="B519" t="s">
        <v>13</v>
      </c>
      <c r="C519" t="s">
        <v>9</v>
      </c>
      <c r="D519" t="s">
        <v>18</v>
      </c>
      <c r="E519" t="s">
        <v>483</v>
      </c>
      <c r="F519" t="s">
        <v>85</v>
      </c>
      <c r="G519" s="31">
        <v>872.97124354802133</v>
      </c>
      <c r="H519" s="31">
        <v>99712</v>
      </c>
      <c r="I519" s="31">
        <v>32904.959999999999</v>
      </c>
      <c r="J519" s="32">
        <f t="shared" si="43"/>
        <v>26777.050751767689</v>
      </c>
      <c r="K519" s="31">
        <v>0</v>
      </c>
      <c r="L519" s="31">
        <v>0</v>
      </c>
      <c r="M519" s="32">
        <f t="shared" si="44"/>
        <v>0</v>
      </c>
      <c r="N519" s="33">
        <f>Result_notebook!L519</f>
        <v>0.59854391398996798</v>
      </c>
      <c r="O519" s="31">
        <f t="shared" si="45"/>
        <v>-58809.03950821967</v>
      </c>
      <c r="P519" s="31">
        <f t="shared" si="48"/>
        <v>32031.988756451978</v>
      </c>
      <c r="Q519">
        <f t="shared" si="47"/>
        <v>26777.050751767689</v>
      </c>
    </row>
    <row r="520" spans="1:17" x14ac:dyDescent="0.35">
      <c r="A520">
        <v>2030</v>
      </c>
      <c r="B520" t="s">
        <v>13</v>
      </c>
      <c r="C520" t="s">
        <v>9</v>
      </c>
      <c r="D520" t="s">
        <v>18</v>
      </c>
      <c r="E520" t="s">
        <v>483</v>
      </c>
      <c r="F520" t="s">
        <v>86</v>
      </c>
      <c r="G520" s="31">
        <v>872.97124354802133</v>
      </c>
      <c r="H520" s="31">
        <v>99712</v>
      </c>
      <c r="I520" s="31">
        <v>32904.959999999999</v>
      </c>
      <c r="J520" s="32">
        <f t="shared" si="43"/>
        <v>26777.050751767689</v>
      </c>
      <c r="K520" s="31">
        <v>0</v>
      </c>
      <c r="L520" s="31">
        <v>0</v>
      </c>
      <c r="M520" s="32">
        <f t="shared" si="44"/>
        <v>0</v>
      </c>
      <c r="N520" s="33">
        <f>Result_notebook!L520</f>
        <v>0.59854391398996798</v>
      </c>
      <c r="O520" s="31">
        <f t="shared" si="45"/>
        <v>-58809.03950821967</v>
      </c>
      <c r="P520" s="31">
        <f t="shared" si="48"/>
        <v>32031.988756451978</v>
      </c>
      <c r="Q520">
        <f t="shared" si="47"/>
        <v>26777.050751767689</v>
      </c>
    </row>
    <row r="521" spans="1:17" x14ac:dyDescent="0.35">
      <c r="A521">
        <v>2030</v>
      </c>
      <c r="B521" t="s">
        <v>13</v>
      </c>
      <c r="C521" t="s">
        <v>9</v>
      </c>
      <c r="D521" t="s">
        <v>18</v>
      </c>
      <c r="E521" t="s">
        <v>490</v>
      </c>
      <c r="F521" t="s">
        <v>82</v>
      </c>
      <c r="G521" s="31">
        <v>872.97124354802133</v>
      </c>
      <c r="H521" s="31">
        <v>99712</v>
      </c>
      <c r="I521" s="31">
        <v>32904.959999999999</v>
      </c>
      <c r="J521" s="32">
        <f t="shared" si="43"/>
        <v>26777.050751767689</v>
      </c>
      <c r="K521" s="31">
        <v>0</v>
      </c>
      <c r="L521" s="31">
        <v>0</v>
      </c>
      <c r="M521" s="32">
        <f t="shared" si="44"/>
        <v>0</v>
      </c>
      <c r="N521" s="33">
        <f>Result_notebook!L521</f>
        <v>0.59854391398996798</v>
      </c>
      <c r="O521" s="31">
        <f t="shared" si="45"/>
        <v>-58809.03950821967</v>
      </c>
      <c r="P521" s="31">
        <f t="shared" si="48"/>
        <v>32031.988756451978</v>
      </c>
      <c r="Q521">
        <f t="shared" si="47"/>
        <v>26777.050751767689</v>
      </c>
    </row>
    <row r="522" spans="1:17" x14ac:dyDescent="0.35">
      <c r="A522">
        <v>2030</v>
      </c>
      <c r="B522" t="s">
        <v>13</v>
      </c>
      <c r="C522" t="s">
        <v>10</v>
      </c>
      <c r="D522" t="s">
        <v>16</v>
      </c>
      <c r="E522" t="s">
        <v>483</v>
      </c>
      <c r="F522" t="s">
        <v>80</v>
      </c>
      <c r="G522" s="31">
        <v>1761.827543456644</v>
      </c>
      <c r="H522" s="31">
        <v>0</v>
      </c>
      <c r="I522" s="31">
        <v>0</v>
      </c>
      <c r="J522" s="32">
        <f t="shared" si="43"/>
        <v>0</v>
      </c>
      <c r="K522" s="31">
        <v>1761.827543456644</v>
      </c>
      <c r="L522" s="31">
        <v>1761.827543456644</v>
      </c>
      <c r="M522" s="32">
        <f t="shared" si="44"/>
        <v>1761.827543456644</v>
      </c>
      <c r="N522" s="33">
        <f>Result_notebook!L522</f>
        <v>0.59854391398996798</v>
      </c>
      <c r="O522" s="31">
        <f t="shared" si="45"/>
        <v>0</v>
      </c>
      <c r="P522" s="31">
        <f t="shared" si="48"/>
        <v>0</v>
      </c>
      <c r="Q522">
        <f t="shared" si="47"/>
        <v>0</v>
      </c>
    </row>
    <row r="523" spans="1:17" x14ac:dyDescent="0.35">
      <c r="A523">
        <v>2030</v>
      </c>
      <c r="B523" t="s">
        <v>13</v>
      </c>
      <c r="C523" t="s">
        <v>10</v>
      </c>
      <c r="D523" t="s">
        <v>16</v>
      </c>
      <c r="E523" t="s">
        <v>483</v>
      </c>
      <c r="F523" t="s">
        <v>81</v>
      </c>
      <c r="G523" s="31">
        <v>1761.827543456644</v>
      </c>
      <c r="H523" s="31">
        <v>0</v>
      </c>
      <c r="I523" s="31">
        <v>0</v>
      </c>
      <c r="J523" s="32">
        <f t="shared" si="43"/>
        <v>0</v>
      </c>
      <c r="K523" s="31">
        <v>1761.827543456644</v>
      </c>
      <c r="L523" s="31">
        <v>1761.827543456644</v>
      </c>
      <c r="M523" s="32">
        <f t="shared" si="44"/>
        <v>1761.827543456644</v>
      </c>
      <c r="N523" s="33">
        <f>Result_notebook!L523</f>
        <v>0.59854391398996798</v>
      </c>
      <c r="O523" s="31">
        <f t="shared" si="45"/>
        <v>0</v>
      </c>
      <c r="P523" s="31">
        <f t="shared" si="48"/>
        <v>0</v>
      </c>
      <c r="Q523">
        <f t="shared" si="47"/>
        <v>0</v>
      </c>
    </row>
    <row r="524" spans="1:17" x14ac:dyDescent="0.35">
      <c r="A524">
        <v>2030</v>
      </c>
      <c r="B524" t="s">
        <v>13</v>
      </c>
      <c r="C524" t="s">
        <v>10</v>
      </c>
      <c r="D524" t="s">
        <v>18</v>
      </c>
      <c r="E524" t="s">
        <v>483</v>
      </c>
      <c r="F524" t="s">
        <v>85</v>
      </c>
      <c r="G524" s="31">
        <v>1761.827543456644</v>
      </c>
      <c r="H524" s="31">
        <v>99712</v>
      </c>
      <c r="I524" s="31">
        <v>32904.959999999999</v>
      </c>
      <c r="J524" s="32">
        <f t="shared" si="43"/>
        <v>26777.050751767689</v>
      </c>
      <c r="K524" s="31">
        <v>0</v>
      </c>
      <c r="L524" s="31">
        <v>0</v>
      </c>
      <c r="M524" s="32">
        <f t="shared" si="44"/>
        <v>0</v>
      </c>
      <c r="N524" s="33">
        <f>Result_notebook!L524</f>
        <v>0.59854391398996798</v>
      </c>
      <c r="O524" s="31">
        <f t="shared" si="45"/>
        <v>-57920.183208311042</v>
      </c>
      <c r="P524" s="31">
        <f t="shared" si="48"/>
        <v>31143.132456543353</v>
      </c>
      <c r="Q524">
        <f t="shared" si="47"/>
        <v>26777.050751767689</v>
      </c>
    </row>
    <row r="525" spans="1:17" x14ac:dyDescent="0.35">
      <c r="A525">
        <v>2030</v>
      </c>
      <c r="B525" t="s">
        <v>13</v>
      </c>
      <c r="C525" t="s">
        <v>10</v>
      </c>
      <c r="D525" t="s">
        <v>18</v>
      </c>
      <c r="E525" t="s">
        <v>483</v>
      </c>
      <c r="F525" t="s">
        <v>86</v>
      </c>
      <c r="G525" s="31">
        <v>1761.827543456644</v>
      </c>
      <c r="H525" s="31">
        <v>99712</v>
      </c>
      <c r="I525" s="31">
        <v>32904.959999999999</v>
      </c>
      <c r="J525" s="32">
        <f t="shared" si="43"/>
        <v>26777.050751767689</v>
      </c>
      <c r="K525" s="31">
        <v>0</v>
      </c>
      <c r="L525" s="31">
        <v>0</v>
      </c>
      <c r="M525" s="32">
        <f t="shared" si="44"/>
        <v>0</v>
      </c>
      <c r="N525" s="33">
        <f>Result_notebook!L525</f>
        <v>0.59854391398996798</v>
      </c>
      <c r="O525" s="31">
        <f t="shared" si="45"/>
        <v>-57920.183208311042</v>
      </c>
      <c r="P525" s="31">
        <f t="shared" si="48"/>
        <v>31143.132456543353</v>
      </c>
      <c r="Q525">
        <f t="shared" si="47"/>
        <v>26777.050751767689</v>
      </c>
    </row>
    <row r="526" spans="1:17" x14ac:dyDescent="0.35">
      <c r="A526">
        <v>2030</v>
      </c>
      <c r="B526" t="s">
        <v>13</v>
      </c>
      <c r="C526" t="s">
        <v>10</v>
      </c>
      <c r="D526" t="s">
        <v>18</v>
      </c>
      <c r="E526" t="s">
        <v>490</v>
      </c>
      <c r="F526" t="s">
        <v>82</v>
      </c>
      <c r="G526" s="31">
        <v>1761.827543456644</v>
      </c>
      <c r="H526" s="31">
        <v>99712</v>
      </c>
      <c r="I526" s="31">
        <v>32904.959999999999</v>
      </c>
      <c r="J526" s="32">
        <f t="shared" si="43"/>
        <v>26777.050751767689</v>
      </c>
      <c r="K526" s="31">
        <v>0</v>
      </c>
      <c r="L526" s="31">
        <v>0</v>
      </c>
      <c r="M526" s="32">
        <f t="shared" si="44"/>
        <v>0</v>
      </c>
      <c r="N526" s="33">
        <f>Result_notebook!L526</f>
        <v>0.59854391398996798</v>
      </c>
      <c r="O526" s="31">
        <f t="shared" si="45"/>
        <v>-57920.183208311042</v>
      </c>
      <c r="P526" s="31">
        <f t="shared" si="48"/>
        <v>31143.132456543353</v>
      </c>
      <c r="Q526">
        <f t="shared" si="47"/>
        <v>26777.050751767689</v>
      </c>
    </row>
    <row r="527" spans="1:17" x14ac:dyDescent="0.35">
      <c r="A527">
        <v>2030</v>
      </c>
      <c r="B527" t="s">
        <v>12</v>
      </c>
      <c r="C527" t="s">
        <v>4</v>
      </c>
      <c r="D527" t="s">
        <v>16</v>
      </c>
      <c r="E527" t="s">
        <v>483</v>
      </c>
      <c r="F527" t="s">
        <v>80</v>
      </c>
      <c r="G527" s="31">
        <v>30338.572462274031</v>
      </c>
      <c r="H527" s="31">
        <v>0</v>
      </c>
      <c r="I527" s="31">
        <v>0</v>
      </c>
      <c r="J527" s="32">
        <f t="shared" si="43"/>
        <v>0</v>
      </c>
      <c r="K527" s="31">
        <v>43340.817803248618</v>
      </c>
      <c r="L527" s="31">
        <v>30338.572462274031</v>
      </c>
      <c r="M527" s="32">
        <f t="shared" si="44"/>
        <v>30338.572462274031</v>
      </c>
      <c r="N527" s="33">
        <f>Result_notebook!L527</f>
        <v>0.787554996857322</v>
      </c>
      <c r="O527" s="31">
        <f t="shared" si="45"/>
        <v>0</v>
      </c>
      <c r="P527" s="31">
        <f t="shared" si="48"/>
        <v>0</v>
      </c>
      <c r="Q527">
        <f t="shared" si="47"/>
        <v>0</v>
      </c>
    </row>
    <row r="528" spans="1:17" x14ac:dyDescent="0.35">
      <c r="A528">
        <v>2030</v>
      </c>
      <c r="B528" t="s">
        <v>12</v>
      </c>
      <c r="C528" t="s">
        <v>4</v>
      </c>
      <c r="D528" t="s">
        <v>16</v>
      </c>
      <c r="E528" t="s">
        <v>483</v>
      </c>
      <c r="F528" t="s">
        <v>81</v>
      </c>
      <c r="G528" s="31">
        <v>30338.572462274031</v>
      </c>
      <c r="H528" s="31">
        <v>38979</v>
      </c>
      <c r="I528" s="31">
        <v>27252.965785816788</v>
      </c>
      <c r="J528" s="32">
        <f t="shared" si="43"/>
        <v>3445.1404366847673</v>
      </c>
      <c r="K528" s="31">
        <v>4361.8178032486176</v>
      </c>
      <c r="L528" s="31">
        <v>3085.6066764572388</v>
      </c>
      <c r="M528" s="32">
        <f t="shared" si="44"/>
        <v>0</v>
      </c>
      <c r="N528" s="33">
        <f>Result_notebook!L528</f>
        <v>0.787554996857322</v>
      </c>
      <c r="O528" s="31">
        <f t="shared" si="45"/>
        <v>-359.53376022752491</v>
      </c>
      <c r="P528" s="31">
        <f t="shared" si="48"/>
        <v>0</v>
      </c>
      <c r="Q528">
        <f t="shared" si="47"/>
        <v>3445.1404366847673</v>
      </c>
    </row>
    <row r="529" spans="1:17" x14ac:dyDescent="0.35">
      <c r="A529">
        <v>2030</v>
      </c>
      <c r="B529" t="s">
        <v>12</v>
      </c>
      <c r="C529" t="s">
        <v>4</v>
      </c>
      <c r="D529" t="s">
        <v>18</v>
      </c>
      <c r="E529" t="s">
        <v>483</v>
      </c>
      <c r="F529" t="s">
        <v>85</v>
      </c>
      <c r="G529" s="31">
        <v>30338.572462274031</v>
      </c>
      <c r="H529" s="31">
        <v>146529</v>
      </c>
      <c r="I529" s="31">
        <v>102448.749932783</v>
      </c>
      <c r="J529" s="32">
        <f t="shared" si="43"/>
        <v>12950.896201723532</v>
      </c>
      <c r="K529" s="31">
        <v>0</v>
      </c>
      <c r="L529" s="31">
        <v>0</v>
      </c>
      <c r="M529" s="32">
        <f t="shared" si="44"/>
        <v>0</v>
      </c>
      <c r="N529" s="33">
        <f>Result_notebook!L529</f>
        <v>0.787554996857322</v>
      </c>
      <c r="O529" s="31">
        <f t="shared" si="45"/>
        <v>-85061.073672232509</v>
      </c>
      <c r="P529" s="31">
        <f t="shared" si="48"/>
        <v>72110.177470508963</v>
      </c>
      <c r="Q529">
        <f t="shared" si="47"/>
        <v>12950.896201723532</v>
      </c>
    </row>
    <row r="530" spans="1:17" x14ac:dyDescent="0.35">
      <c r="A530">
        <v>2030</v>
      </c>
      <c r="B530" t="s">
        <v>12</v>
      </c>
      <c r="C530" t="s">
        <v>4</v>
      </c>
      <c r="D530" t="s">
        <v>18</v>
      </c>
      <c r="E530" t="s">
        <v>483</v>
      </c>
      <c r="F530" t="s">
        <v>86</v>
      </c>
      <c r="G530" s="31">
        <v>30338.572462274031</v>
      </c>
      <c r="H530" s="31">
        <v>146529</v>
      </c>
      <c r="I530" s="31">
        <v>102448.749932783</v>
      </c>
      <c r="J530" s="32">
        <f t="shared" si="43"/>
        <v>12950.896201723532</v>
      </c>
      <c r="K530" s="31">
        <v>0</v>
      </c>
      <c r="L530" s="31">
        <v>0</v>
      </c>
      <c r="M530" s="32">
        <f t="shared" si="44"/>
        <v>0</v>
      </c>
      <c r="N530" s="33">
        <f>Result_notebook!L530</f>
        <v>0.787554996857322</v>
      </c>
      <c r="O530" s="31">
        <f t="shared" si="45"/>
        <v>-85061.073672232509</v>
      </c>
      <c r="P530" s="31">
        <f t="shared" si="48"/>
        <v>72110.177470508963</v>
      </c>
      <c r="Q530">
        <f t="shared" si="47"/>
        <v>12950.896201723532</v>
      </c>
    </row>
    <row r="531" spans="1:17" x14ac:dyDescent="0.35">
      <c r="A531">
        <v>2030</v>
      </c>
      <c r="B531" t="s">
        <v>12</v>
      </c>
      <c r="C531" t="s">
        <v>4</v>
      </c>
      <c r="D531" t="s">
        <v>18</v>
      </c>
      <c r="E531" t="s">
        <v>490</v>
      </c>
      <c r="F531" t="s">
        <v>82</v>
      </c>
      <c r="G531" s="31">
        <v>30338.572462274031</v>
      </c>
      <c r="H531" s="31">
        <v>146529</v>
      </c>
      <c r="I531" s="31">
        <v>102448.749932783</v>
      </c>
      <c r="J531" s="32">
        <f t="shared" si="43"/>
        <v>12950.896201723532</v>
      </c>
      <c r="K531" s="31">
        <v>0</v>
      </c>
      <c r="L531" s="31">
        <v>0</v>
      </c>
      <c r="M531" s="32">
        <f t="shared" si="44"/>
        <v>0</v>
      </c>
      <c r="N531" s="33">
        <f>Result_notebook!L531</f>
        <v>0.787554996857322</v>
      </c>
      <c r="O531" s="31">
        <f t="shared" si="45"/>
        <v>-85061.073672232509</v>
      </c>
      <c r="P531" s="31">
        <f t="shared" si="48"/>
        <v>72110.177470508963</v>
      </c>
      <c r="Q531">
        <f t="shared" si="47"/>
        <v>12950.896201723532</v>
      </c>
    </row>
    <row r="532" spans="1:17" x14ac:dyDescent="0.35">
      <c r="A532">
        <v>2030</v>
      </c>
      <c r="B532" t="s">
        <v>12</v>
      </c>
      <c r="C532" t="s">
        <v>9</v>
      </c>
      <c r="D532" t="s">
        <v>16</v>
      </c>
      <c r="E532" t="s">
        <v>483</v>
      </c>
      <c r="F532" t="s">
        <v>80</v>
      </c>
      <c r="G532" s="31">
        <v>14273.12457212076</v>
      </c>
      <c r="H532" s="31">
        <v>0</v>
      </c>
      <c r="I532" s="31">
        <v>0</v>
      </c>
      <c r="J532" s="32">
        <f t="shared" si="43"/>
        <v>0</v>
      </c>
      <c r="K532" s="31">
        <v>20390.17796017251</v>
      </c>
      <c r="L532" s="31">
        <v>14273.12457212076</v>
      </c>
      <c r="M532" s="32">
        <f t="shared" si="44"/>
        <v>14273.12457212076</v>
      </c>
      <c r="N532" s="33">
        <f>Result_notebook!L532</f>
        <v>0.787554996857322</v>
      </c>
      <c r="O532" s="31">
        <f t="shared" si="45"/>
        <v>0</v>
      </c>
      <c r="P532" s="31">
        <f t="shared" si="48"/>
        <v>0</v>
      </c>
      <c r="Q532">
        <f t="shared" si="47"/>
        <v>0</v>
      </c>
    </row>
    <row r="533" spans="1:17" x14ac:dyDescent="0.35">
      <c r="A533">
        <v>2030</v>
      </c>
      <c r="B533" t="s">
        <v>12</v>
      </c>
      <c r="C533" t="s">
        <v>9</v>
      </c>
      <c r="D533" t="s">
        <v>16</v>
      </c>
      <c r="E533" t="s">
        <v>483</v>
      </c>
      <c r="F533" t="s">
        <v>81</v>
      </c>
      <c r="G533" s="31">
        <v>14273.12457212076</v>
      </c>
      <c r="H533" s="31">
        <v>38979</v>
      </c>
      <c r="I533" s="31">
        <v>27252.965785816788</v>
      </c>
      <c r="J533" s="32">
        <f t="shared" si="43"/>
        <v>3445.1404366847673</v>
      </c>
      <c r="K533" s="31">
        <v>0</v>
      </c>
      <c r="L533" s="31">
        <v>0</v>
      </c>
      <c r="M533" s="32">
        <f t="shared" si="44"/>
        <v>0</v>
      </c>
      <c r="N533" s="33">
        <f>Result_notebook!L533</f>
        <v>0.787554996857322</v>
      </c>
      <c r="O533" s="31">
        <f t="shared" si="45"/>
        <v>-16424.981650380796</v>
      </c>
      <c r="P533" s="31">
        <f t="shared" si="48"/>
        <v>12979.841213696029</v>
      </c>
      <c r="Q533">
        <f t="shared" si="47"/>
        <v>3445.1404366847673</v>
      </c>
    </row>
    <row r="534" spans="1:17" x14ac:dyDescent="0.35">
      <c r="A534">
        <v>2030</v>
      </c>
      <c r="B534" t="s">
        <v>12</v>
      </c>
      <c r="C534" t="s">
        <v>9</v>
      </c>
      <c r="D534" t="s">
        <v>18</v>
      </c>
      <c r="E534" t="s">
        <v>483</v>
      </c>
      <c r="F534" t="s">
        <v>85</v>
      </c>
      <c r="G534" s="31">
        <v>14273.12457212076</v>
      </c>
      <c r="H534" s="31">
        <v>146529</v>
      </c>
      <c r="I534" s="31">
        <v>102448.749932783</v>
      </c>
      <c r="J534" s="32">
        <f t="shared" si="43"/>
        <v>12950.896201723532</v>
      </c>
      <c r="K534" s="31">
        <v>0</v>
      </c>
      <c r="L534" s="31">
        <v>0</v>
      </c>
      <c r="M534" s="32">
        <f t="shared" si="44"/>
        <v>0</v>
      </c>
      <c r="N534" s="33">
        <f>Result_notebook!L534</f>
        <v>0.787554996857322</v>
      </c>
      <c r="O534" s="31">
        <f t="shared" si="45"/>
        <v>-101126.52156238578</v>
      </c>
      <c r="P534" s="31">
        <f t="shared" si="48"/>
        <v>88175.625360662234</v>
      </c>
      <c r="Q534">
        <f t="shared" si="47"/>
        <v>12950.896201723532</v>
      </c>
    </row>
    <row r="535" spans="1:17" x14ac:dyDescent="0.35">
      <c r="A535">
        <v>2030</v>
      </c>
      <c r="B535" t="s">
        <v>12</v>
      </c>
      <c r="C535" t="s">
        <v>9</v>
      </c>
      <c r="D535" t="s">
        <v>18</v>
      </c>
      <c r="E535" t="s">
        <v>483</v>
      </c>
      <c r="F535" t="s">
        <v>86</v>
      </c>
      <c r="G535" s="31">
        <v>14273.12457212076</v>
      </c>
      <c r="H535" s="31">
        <v>146529</v>
      </c>
      <c r="I535" s="31">
        <v>102448.749932783</v>
      </c>
      <c r="J535" s="32">
        <f t="shared" si="43"/>
        <v>12950.896201723532</v>
      </c>
      <c r="K535" s="31">
        <v>0</v>
      </c>
      <c r="L535" s="31">
        <v>0</v>
      </c>
      <c r="M535" s="32">
        <f t="shared" si="44"/>
        <v>0</v>
      </c>
      <c r="N535" s="33">
        <f>Result_notebook!L535</f>
        <v>0.787554996857322</v>
      </c>
      <c r="O535" s="31">
        <f t="shared" si="45"/>
        <v>-101126.52156238578</v>
      </c>
      <c r="P535" s="31">
        <f t="shared" si="48"/>
        <v>88175.625360662234</v>
      </c>
      <c r="Q535">
        <f t="shared" si="47"/>
        <v>12950.896201723532</v>
      </c>
    </row>
    <row r="536" spans="1:17" x14ac:dyDescent="0.35">
      <c r="A536">
        <v>2030</v>
      </c>
      <c r="B536" t="s">
        <v>12</v>
      </c>
      <c r="C536" t="s">
        <v>9</v>
      </c>
      <c r="D536" t="s">
        <v>18</v>
      </c>
      <c r="E536" t="s">
        <v>490</v>
      </c>
      <c r="F536" t="s">
        <v>82</v>
      </c>
      <c r="G536" s="31">
        <v>14273.12457212076</v>
      </c>
      <c r="H536" s="31">
        <v>146529</v>
      </c>
      <c r="I536" s="31">
        <v>102448.749932783</v>
      </c>
      <c r="J536" s="32">
        <f t="shared" si="43"/>
        <v>12950.896201723532</v>
      </c>
      <c r="K536" s="31">
        <v>0</v>
      </c>
      <c r="L536" s="31">
        <v>0</v>
      </c>
      <c r="M536" s="32">
        <f t="shared" si="44"/>
        <v>0</v>
      </c>
      <c r="N536" s="33">
        <f>Result_notebook!L536</f>
        <v>0.787554996857322</v>
      </c>
      <c r="O536" s="31">
        <f t="shared" si="45"/>
        <v>-101126.52156238578</v>
      </c>
      <c r="P536" s="31">
        <f t="shared" si="48"/>
        <v>88175.625360662234</v>
      </c>
      <c r="Q536">
        <f t="shared" si="47"/>
        <v>12950.896201723532</v>
      </c>
    </row>
    <row r="537" spans="1:17" x14ac:dyDescent="0.35">
      <c r="A537">
        <v>2030</v>
      </c>
      <c r="B537" t="s">
        <v>12</v>
      </c>
      <c r="C537" t="s">
        <v>10</v>
      </c>
      <c r="D537" t="s">
        <v>16</v>
      </c>
      <c r="E537" t="s">
        <v>483</v>
      </c>
      <c r="F537" t="s">
        <v>80</v>
      </c>
      <c r="G537" s="31">
        <v>28805.97062985264</v>
      </c>
      <c r="H537" s="31">
        <v>0</v>
      </c>
      <c r="I537" s="31">
        <v>0</v>
      </c>
      <c r="J537" s="32">
        <f t="shared" si="43"/>
        <v>0</v>
      </c>
      <c r="K537" s="31">
        <v>41151.3866140752</v>
      </c>
      <c r="L537" s="31">
        <v>28805.97062985264</v>
      </c>
      <c r="M537" s="32">
        <f t="shared" si="44"/>
        <v>28805.97062985264</v>
      </c>
      <c r="N537" s="33">
        <f>Result_notebook!L537</f>
        <v>0.787554996857322</v>
      </c>
      <c r="O537" s="31">
        <f t="shared" si="45"/>
        <v>0</v>
      </c>
      <c r="P537" s="31">
        <f t="shared" si="48"/>
        <v>0</v>
      </c>
      <c r="Q537">
        <f t="shared" si="47"/>
        <v>0</v>
      </c>
    </row>
    <row r="538" spans="1:17" x14ac:dyDescent="0.35">
      <c r="A538">
        <v>2030</v>
      </c>
      <c r="B538" t="s">
        <v>12</v>
      </c>
      <c r="C538" t="s">
        <v>10</v>
      </c>
      <c r="D538" t="s">
        <v>16</v>
      </c>
      <c r="E538" t="s">
        <v>483</v>
      </c>
      <c r="F538" t="s">
        <v>81</v>
      </c>
      <c r="G538" s="31">
        <v>28805.97062985264</v>
      </c>
      <c r="H538" s="31">
        <v>38979</v>
      </c>
      <c r="I538" s="31">
        <v>27252.965785816788</v>
      </c>
      <c r="J538" s="32">
        <f t="shared" si="43"/>
        <v>3445.1404366847673</v>
      </c>
      <c r="K538" s="31">
        <v>2172.3866140752002</v>
      </c>
      <c r="L538" s="31">
        <v>1553.004844035848</v>
      </c>
      <c r="M538" s="32">
        <f t="shared" si="44"/>
        <v>0</v>
      </c>
      <c r="N538" s="33">
        <f>Result_notebook!L538</f>
        <v>0.787554996857322</v>
      </c>
      <c r="O538" s="31">
        <f t="shared" si="45"/>
        <v>-1892.1355926489159</v>
      </c>
      <c r="P538" s="31">
        <f t="shared" si="48"/>
        <v>0</v>
      </c>
      <c r="Q538">
        <f t="shared" si="47"/>
        <v>3445.1404366847673</v>
      </c>
    </row>
    <row r="539" spans="1:17" x14ac:dyDescent="0.35">
      <c r="A539">
        <v>2030</v>
      </c>
      <c r="B539" t="s">
        <v>12</v>
      </c>
      <c r="C539" t="s">
        <v>10</v>
      </c>
      <c r="D539" t="s">
        <v>18</v>
      </c>
      <c r="E539" t="s">
        <v>483</v>
      </c>
      <c r="F539" t="s">
        <v>85</v>
      </c>
      <c r="G539" s="31">
        <v>28805.97062985264</v>
      </c>
      <c r="H539" s="31">
        <v>146529</v>
      </c>
      <c r="I539" s="31">
        <v>102448.749932783</v>
      </c>
      <c r="J539" s="32">
        <f t="shared" si="43"/>
        <v>12950.896201723532</v>
      </c>
      <c r="K539" s="31">
        <v>0</v>
      </c>
      <c r="L539" s="31">
        <v>0</v>
      </c>
      <c r="M539" s="32">
        <f t="shared" si="44"/>
        <v>0</v>
      </c>
      <c r="N539" s="33">
        <f>Result_notebook!L539</f>
        <v>0.787554996857322</v>
      </c>
      <c r="O539" s="31">
        <f t="shared" si="45"/>
        <v>-86593.675504653889</v>
      </c>
      <c r="P539" s="31">
        <f t="shared" si="48"/>
        <v>73642.779302930358</v>
      </c>
      <c r="Q539">
        <f t="shared" si="47"/>
        <v>12950.896201723532</v>
      </c>
    </row>
    <row r="540" spans="1:17" x14ac:dyDescent="0.35">
      <c r="A540">
        <v>2030</v>
      </c>
      <c r="B540" t="s">
        <v>12</v>
      </c>
      <c r="C540" t="s">
        <v>10</v>
      </c>
      <c r="D540" t="s">
        <v>18</v>
      </c>
      <c r="E540" t="s">
        <v>483</v>
      </c>
      <c r="F540" t="s">
        <v>86</v>
      </c>
      <c r="G540" s="31">
        <v>28805.97062985264</v>
      </c>
      <c r="H540" s="31">
        <v>146529</v>
      </c>
      <c r="I540" s="31">
        <v>102448.749932783</v>
      </c>
      <c r="J540" s="32">
        <f t="shared" si="43"/>
        <v>12950.896201723532</v>
      </c>
      <c r="K540" s="31">
        <v>0</v>
      </c>
      <c r="L540" s="31">
        <v>0</v>
      </c>
      <c r="M540" s="32">
        <f t="shared" si="44"/>
        <v>0</v>
      </c>
      <c r="N540" s="33">
        <f>Result_notebook!L540</f>
        <v>0.787554996857322</v>
      </c>
      <c r="O540" s="31">
        <f t="shared" si="45"/>
        <v>-86593.675504653889</v>
      </c>
      <c r="P540" s="31">
        <f t="shared" si="48"/>
        <v>73642.779302930358</v>
      </c>
      <c r="Q540">
        <f t="shared" si="47"/>
        <v>12950.896201723532</v>
      </c>
    </row>
    <row r="541" spans="1:17" x14ac:dyDescent="0.35">
      <c r="A541">
        <v>2030</v>
      </c>
      <c r="B541" t="s">
        <v>12</v>
      </c>
      <c r="C541" t="s">
        <v>10</v>
      </c>
      <c r="D541" t="s">
        <v>18</v>
      </c>
      <c r="E541" t="s">
        <v>490</v>
      </c>
      <c r="F541" t="s">
        <v>82</v>
      </c>
      <c r="G541" s="31">
        <v>28805.97062985264</v>
      </c>
      <c r="H541" s="31">
        <v>146529</v>
      </c>
      <c r="I541" s="31">
        <v>102448.749932783</v>
      </c>
      <c r="J541" s="32">
        <f t="shared" si="43"/>
        <v>12950.896201723532</v>
      </c>
      <c r="K541" s="31">
        <v>0</v>
      </c>
      <c r="L541" s="31">
        <v>0</v>
      </c>
      <c r="M541" s="32">
        <f t="shared" si="44"/>
        <v>0</v>
      </c>
      <c r="N541" s="33">
        <f>Result_notebook!L541</f>
        <v>0.787554996857322</v>
      </c>
      <c r="O541" s="31">
        <f t="shared" si="45"/>
        <v>-86593.675504653889</v>
      </c>
      <c r="P541" s="31">
        <f t="shared" si="48"/>
        <v>73642.779302930358</v>
      </c>
      <c r="Q541">
        <f t="shared" si="47"/>
        <v>12950.896201723532</v>
      </c>
    </row>
    <row r="542" spans="1:17" x14ac:dyDescent="0.35">
      <c r="A542">
        <v>2031</v>
      </c>
      <c r="B542" t="s">
        <v>6</v>
      </c>
      <c r="C542" t="s">
        <v>4</v>
      </c>
      <c r="D542" t="s">
        <v>16</v>
      </c>
      <c r="E542" t="s">
        <v>483</v>
      </c>
      <c r="F542" t="s">
        <v>80</v>
      </c>
      <c r="G542" s="31">
        <v>74634.661248827935</v>
      </c>
      <c r="H542" s="31">
        <v>0</v>
      </c>
      <c r="I542" s="31">
        <v>0</v>
      </c>
      <c r="J542" s="32">
        <f t="shared" si="43"/>
        <v>0</v>
      </c>
      <c r="K542" s="31">
        <v>169624.2301109726</v>
      </c>
      <c r="L542" s="31">
        <v>74634.661248827935</v>
      </c>
      <c r="M542" s="32">
        <f t="shared" si="44"/>
        <v>74634.661248827935</v>
      </c>
      <c r="N542" s="33">
        <f>Result_notebook!L542</f>
        <v>0.439346565686978</v>
      </c>
      <c r="O542" s="31">
        <f t="shared" si="45"/>
        <v>0</v>
      </c>
      <c r="P542" s="31">
        <f t="shared" si="48"/>
        <v>0</v>
      </c>
      <c r="Q542">
        <f t="shared" si="47"/>
        <v>0</v>
      </c>
    </row>
    <row r="543" spans="1:17" x14ac:dyDescent="0.35">
      <c r="A543">
        <v>2031</v>
      </c>
      <c r="B543" t="s">
        <v>6</v>
      </c>
      <c r="C543" t="s">
        <v>4</v>
      </c>
      <c r="D543" t="s">
        <v>16</v>
      </c>
      <c r="E543" t="s">
        <v>483</v>
      </c>
      <c r="F543" t="s">
        <v>81</v>
      </c>
      <c r="G543" s="31">
        <v>74634.661248827935</v>
      </c>
      <c r="H543" s="31">
        <v>3707</v>
      </c>
      <c r="I543" s="31">
        <v>1572.4420377809411</v>
      </c>
      <c r="J543" s="32">
        <f t="shared" si="43"/>
        <v>56.215681220686292</v>
      </c>
      <c r="K543" s="31">
        <v>165917.2301109726</v>
      </c>
      <c r="L543" s="31">
        <v>73062.219211046991</v>
      </c>
      <c r="M543" s="32">
        <f t="shared" si="44"/>
        <v>73006.00352982631</v>
      </c>
      <c r="N543" s="33">
        <f>Result_notebook!L543</f>
        <v>0.439346565686978</v>
      </c>
      <c r="O543" s="31">
        <f t="shared" si="45"/>
        <v>0</v>
      </c>
      <c r="P543" s="31">
        <f t="shared" si="48"/>
        <v>0</v>
      </c>
      <c r="Q543">
        <f t="shared" si="47"/>
        <v>56.215681220686292</v>
      </c>
    </row>
    <row r="544" spans="1:17" x14ac:dyDescent="0.35">
      <c r="A544">
        <v>2031</v>
      </c>
      <c r="B544" t="s">
        <v>6</v>
      </c>
      <c r="C544" t="s">
        <v>4</v>
      </c>
      <c r="D544" t="s">
        <v>18</v>
      </c>
      <c r="E544" t="s">
        <v>483</v>
      </c>
      <c r="F544" t="s">
        <v>85</v>
      </c>
      <c r="G544" s="31">
        <v>74634.661248827935</v>
      </c>
      <c r="H544" s="31">
        <v>8876.0777297221903</v>
      </c>
      <c r="I544" s="31">
        <v>3765.070880179765</v>
      </c>
      <c r="J544" s="32">
        <f t="shared" si="43"/>
        <v>134.60338714434783</v>
      </c>
      <c r="K544" s="31">
        <v>160748.1523812504</v>
      </c>
      <c r="L544" s="31">
        <v>70869.590368648176</v>
      </c>
      <c r="M544" s="32">
        <f t="shared" si="44"/>
        <v>70734.986981503826</v>
      </c>
      <c r="N544" s="33">
        <f>Result_notebook!L544</f>
        <v>0.439346565686978</v>
      </c>
      <c r="O544" s="31">
        <f t="shared" si="45"/>
        <v>0</v>
      </c>
      <c r="P544" s="31">
        <f t="shared" si="48"/>
        <v>0</v>
      </c>
      <c r="Q544">
        <f t="shared" si="47"/>
        <v>134.60338714434783</v>
      </c>
    </row>
    <row r="545" spans="1:17" x14ac:dyDescent="0.35">
      <c r="A545">
        <v>2031</v>
      </c>
      <c r="B545" t="s">
        <v>6</v>
      </c>
      <c r="C545" t="s">
        <v>4</v>
      </c>
      <c r="D545" t="s">
        <v>18</v>
      </c>
      <c r="E545" t="s">
        <v>483</v>
      </c>
      <c r="F545" t="s">
        <v>86</v>
      </c>
      <c r="G545" s="31">
        <v>74634.661248827935</v>
      </c>
      <c r="H545" s="31">
        <v>8876.0777297221903</v>
      </c>
      <c r="I545" s="31">
        <v>3765.070880179765</v>
      </c>
      <c r="J545" s="32">
        <f t="shared" si="43"/>
        <v>134.60338714434783</v>
      </c>
      <c r="K545" s="31">
        <v>160748.1523812504</v>
      </c>
      <c r="L545" s="31">
        <v>70869.590368648176</v>
      </c>
      <c r="M545" s="32">
        <f t="shared" si="44"/>
        <v>70734.986981503826</v>
      </c>
      <c r="N545" s="33">
        <f>Result_notebook!L545</f>
        <v>0.439346565686978</v>
      </c>
      <c r="O545" s="31">
        <f t="shared" si="45"/>
        <v>0</v>
      </c>
      <c r="P545" s="31">
        <f t="shared" si="48"/>
        <v>0</v>
      </c>
      <c r="Q545">
        <f t="shared" si="47"/>
        <v>134.60338714434783</v>
      </c>
    </row>
    <row r="546" spans="1:17" x14ac:dyDescent="0.35">
      <c r="A546">
        <v>2031</v>
      </c>
      <c r="B546" t="s">
        <v>6</v>
      </c>
      <c r="C546" t="s">
        <v>4</v>
      </c>
      <c r="D546" t="s">
        <v>18</v>
      </c>
      <c r="E546" t="s">
        <v>490</v>
      </c>
      <c r="F546" t="s">
        <v>82</v>
      </c>
      <c r="G546" s="31">
        <v>74634.661248827935</v>
      </c>
      <c r="H546" s="31">
        <v>8876.0777297221903</v>
      </c>
      <c r="I546" s="31">
        <v>3899.674267324116</v>
      </c>
      <c r="J546" s="32">
        <f t="shared" si="43"/>
        <v>0</v>
      </c>
      <c r="K546" s="31">
        <v>160748.1523812504</v>
      </c>
      <c r="L546" s="31">
        <v>70734.986981503826</v>
      </c>
      <c r="M546" s="32">
        <f t="shared" si="44"/>
        <v>70734.986981503826</v>
      </c>
      <c r="N546" s="33">
        <f>Result_notebook!L546</f>
        <v>0.439346565686978</v>
      </c>
      <c r="O546" s="31">
        <f t="shared" si="45"/>
        <v>0</v>
      </c>
      <c r="P546" s="31">
        <f t="shared" si="48"/>
        <v>0</v>
      </c>
      <c r="Q546">
        <f t="shared" si="47"/>
        <v>0</v>
      </c>
    </row>
    <row r="547" spans="1:17" x14ac:dyDescent="0.35">
      <c r="A547">
        <v>2031</v>
      </c>
      <c r="B547" t="s">
        <v>6</v>
      </c>
      <c r="C547" t="s">
        <v>9</v>
      </c>
      <c r="D547" t="s">
        <v>16</v>
      </c>
      <c r="E547" t="s">
        <v>483</v>
      </c>
      <c r="F547" t="s">
        <v>80</v>
      </c>
      <c r="G547" s="31">
        <v>33266.833134093657</v>
      </c>
      <c r="H547" s="31">
        <v>0</v>
      </c>
      <c r="I547" s="31">
        <v>0</v>
      </c>
      <c r="J547" s="32">
        <f t="shared" si="43"/>
        <v>0</v>
      </c>
      <c r="K547" s="31">
        <v>75606.438941121945</v>
      </c>
      <c r="L547" s="31">
        <v>33266.833134093657</v>
      </c>
      <c r="M547" s="32">
        <f t="shared" si="44"/>
        <v>33266.833134093657</v>
      </c>
      <c r="N547" s="33">
        <f>Result_notebook!L547</f>
        <v>0.439346565686978</v>
      </c>
      <c r="O547" s="31">
        <f t="shared" si="45"/>
        <v>0</v>
      </c>
      <c r="P547" s="31">
        <f t="shared" si="48"/>
        <v>0</v>
      </c>
      <c r="Q547">
        <f t="shared" si="47"/>
        <v>0</v>
      </c>
    </row>
    <row r="548" spans="1:17" x14ac:dyDescent="0.35">
      <c r="A548">
        <v>2031</v>
      </c>
      <c r="B548" t="s">
        <v>6</v>
      </c>
      <c r="C548" t="s">
        <v>9</v>
      </c>
      <c r="D548" t="s">
        <v>16</v>
      </c>
      <c r="E548" t="s">
        <v>483</v>
      </c>
      <c r="F548" t="s">
        <v>81</v>
      </c>
      <c r="G548" s="31">
        <v>33266.833134093657</v>
      </c>
      <c r="H548" s="31">
        <v>3707</v>
      </c>
      <c r="I548" s="31">
        <v>1572.4420377809411</v>
      </c>
      <c r="J548" s="32">
        <f t="shared" si="43"/>
        <v>56.215681220686292</v>
      </c>
      <c r="K548" s="31">
        <v>71899.438941121945</v>
      </c>
      <c r="L548" s="31">
        <v>31694.39109631272</v>
      </c>
      <c r="M548" s="32">
        <f t="shared" si="44"/>
        <v>31638.175415092035</v>
      </c>
      <c r="N548" s="33">
        <f>Result_notebook!L548</f>
        <v>0.439346565686978</v>
      </c>
      <c r="O548" s="31">
        <f t="shared" si="45"/>
        <v>0</v>
      </c>
      <c r="P548" s="31">
        <f t="shared" si="48"/>
        <v>0</v>
      </c>
      <c r="Q548">
        <f t="shared" si="47"/>
        <v>56.215681220686292</v>
      </c>
    </row>
    <row r="549" spans="1:17" x14ac:dyDescent="0.35">
      <c r="A549">
        <v>2031</v>
      </c>
      <c r="B549" t="s">
        <v>6</v>
      </c>
      <c r="C549" t="s">
        <v>9</v>
      </c>
      <c r="D549" t="s">
        <v>18</v>
      </c>
      <c r="E549" t="s">
        <v>483</v>
      </c>
      <c r="F549" t="s">
        <v>85</v>
      </c>
      <c r="G549" s="31">
        <v>33266.833134093657</v>
      </c>
      <c r="H549" s="31">
        <v>8876.0777297221903</v>
      </c>
      <c r="I549" s="31">
        <v>3765.070880179765</v>
      </c>
      <c r="J549" s="32">
        <f t="shared" si="43"/>
        <v>134.60338714434783</v>
      </c>
      <c r="K549" s="31">
        <v>66730.361211399751</v>
      </c>
      <c r="L549" s="31">
        <v>29501.76225391389</v>
      </c>
      <c r="M549" s="32">
        <f t="shared" si="44"/>
        <v>29367.158866769543</v>
      </c>
      <c r="N549" s="33">
        <f>Result_notebook!L549</f>
        <v>0.439346565686978</v>
      </c>
      <c r="O549" s="31">
        <f t="shared" si="45"/>
        <v>0</v>
      </c>
      <c r="P549" s="31">
        <f t="shared" si="48"/>
        <v>0</v>
      </c>
      <c r="Q549">
        <f t="shared" si="47"/>
        <v>134.60338714434783</v>
      </c>
    </row>
    <row r="550" spans="1:17" x14ac:dyDescent="0.35">
      <c r="A550">
        <v>2031</v>
      </c>
      <c r="B550" t="s">
        <v>6</v>
      </c>
      <c r="C550" t="s">
        <v>9</v>
      </c>
      <c r="D550" t="s">
        <v>18</v>
      </c>
      <c r="E550" t="s">
        <v>483</v>
      </c>
      <c r="F550" t="s">
        <v>86</v>
      </c>
      <c r="G550" s="31">
        <v>33266.833134093657</v>
      </c>
      <c r="H550" s="31">
        <v>8876.0777297221903</v>
      </c>
      <c r="I550" s="31">
        <v>3765.070880179765</v>
      </c>
      <c r="J550" s="32">
        <f t="shared" si="43"/>
        <v>134.60338714434783</v>
      </c>
      <c r="K550" s="31">
        <v>66730.361211399751</v>
      </c>
      <c r="L550" s="31">
        <v>29501.76225391389</v>
      </c>
      <c r="M550" s="32">
        <f t="shared" si="44"/>
        <v>29367.158866769543</v>
      </c>
      <c r="N550" s="33">
        <f>Result_notebook!L550</f>
        <v>0.439346565686978</v>
      </c>
      <c r="O550" s="31">
        <f t="shared" si="45"/>
        <v>0</v>
      </c>
      <c r="P550" s="31">
        <f t="shared" si="48"/>
        <v>0</v>
      </c>
      <c r="Q550">
        <f t="shared" si="47"/>
        <v>134.60338714434783</v>
      </c>
    </row>
    <row r="551" spans="1:17" x14ac:dyDescent="0.35">
      <c r="A551">
        <v>2031</v>
      </c>
      <c r="B551" t="s">
        <v>6</v>
      </c>
      <c r="C551" t="s">
        <v>9</v>
      </c>
      <c r="D551" t="s">
        <v>18</v>
      </c>
      <c r="E551" t="s">
        <v>490</v>
      </c>
      <c r="F551" t="s">
        <v>82</v>
      </c>
      <c r="G551" s="31">
        <v>33266.833134093657</v>
      </c>
      <c r="H551" s="31">
        <v>8876.0777297221903</v>
      </c>
      <c r="I551" s="31">
        <v>3899.674267324116</v>
      </c>
      <c r="J551" s="32">
        <f t="shared" si="43"/>
        <v>0</v>
      </c>
      <c r="K551" s="31">
        <v>66730.361211399751</v>
      </c>
      <c r="L551" s="31">
        <v>29367.15886676954</v>
      </c>
      <c r="M551" s="32">
        <f t="shared" si="44"/>
        <v>29367.15886676954</v>
      </c>
      <c r="N551" s="33">
        <f>Result_notebook!L551</f>
        <v>0.439346565686978</v>
      </c>
      <c r="O551" s="31">
        <f t="shared" si="45"/>
        <v>0</v>
      </c>
      <c r="P551" s="31">
        <f t="shared" si="48"/>
        <v>0</v>
      </c>
      <c r="Q551">
        <f t="shared" si="47"/>
        <v>0</v>
      </c>
    </row>
    <row r="552" spans="1:17" x14ac:dyDescent="0.35">
      <c r="A552">
        <v>2031</v>
      </c>
      <c r="B552" t="s">
        <v>6</v>
      </c>
      <c r="C552" t="s">
        <v>10</v>
      </c>
      <c r="D552" t="s">
        <v>16</v>
      </c>
      <c r="E552" t="s">
        <v>483</v>
      </c>
      <c r="F552" t="s">
        <v>80</v>
      </c>
      <c r="G552" s="31">
        <v>70618.965487702415</v>
      </c>
      <c r="H552" s="31">
        <v>0</v>
      </c>
      <c r="I552" s="31">
        <v>0</v>
      </c>
      <c r="J552" s="32">
        <f t="shared" si="43"/>
        <v>0</v>
      </c>
      <c r="K552" s="31">
        <v>160497.64883568729</v>
      </c>
      <c r="L552" s="31">
        <v>70618.965487702415</v>
      </c>
      <c r="M552" s="32">
        <f t="shared" si="44"/>
        <v>70618.965487702415</v>
      </c>
      <c r="N552" s="33">
        <f>Result_notebook!L552</f>
        <v>0.439346565686978</v>
      </c>
      <c r="O552" s="31">
        <f t="shared" si="45"/>
        <v>0</v>
      </c>
      <c r="P552" s="31">
        <f t="shared" si="48"/>
        <v>0</v>
      </c>
      <c r="Q552">
        <f t="shared" si="47"/>
        <v>0</v>
      </c>
    </row>
    <row r="553" spans="1:17" x14ac:dyDescent="0.35">
      <c r="A553">
        <v>2031</v>
      </c>
      <c r="B553" t="s">
        <v>6</v>
      </c>
      <c r="C553" t="s">
        <v>10</v>
      </c>
      <c r="D553" t="s">
        <v>16</v>
      </c>
      <c r="E553" t="s">
        <v>483</v>
      </c>
      <c r="F553" t="s">
        <v>81</v>
      </c>
      <c r="G553" s="31">
        <v>70618.965487702415</v>
      </c>
      <c r="H553" s="31">
        <v>3707</v>
      </c>
      <c r="I553" s="31">
        <v>1572.4420377809411</v>
      </c>
      <c r="J553" s="32">
        <f t="shared" si="43"/>
        <v>56.215681220686292</v>
      </c>
      <c r="K553" s="31">
        <v>156790.64883568729</v>
      </c>
      <c r="L553" s="31">
        <v>69046.523449921471</v>
      </c>
      <c r="M553" s="32">
        <f t="shared" si="44"/>
        <v>68990.30776870079</v>
      </c>
      <c r="N553" s="33">
        <f>Result_notebook!L553</f>
        <v>0.439346565686978</v>
      </c>
      <c r="O553" s="31">
        <f t="shared" si="45"/>
        <v>0</v>
      </c>
      <c r="P553" s="31">
        <f t="shared" si="48"/>
        <v>0</v>
      </c>
      <c r="Q553">
        <f t="shared" si="47"/>
        <v>56.215681220686292</v>
      </c>
    </row>
    <row r="554" spans="1:17" x14ac:dyDescent="0.35">
      <c r="A554">
        <v>2031</v>
      </c>
      <c r="B554" t="s">
        <v>6</v>
      </c>
      <c r="C554" t="s">
        <v>10</v>
      </c>
      <c r="D554" t="s">
        <v>18</v>
      </c>
      <c r="E554" t="s">
        <v>483</v>
      </c>
      <c r="F554" t="s">
        <v>85</v>
      </c>
      <c r="G554" s="31">
        <v>70618.965487702415</v>
      </c>
      <c r="H554" s="31">
        <v>8876.0777297221903</v>
      </c>
      <c r="I554" s="31">
        <v>3765.070880179765</v>
      </c>
      <c r="J554" s="32">
        <f t="shared" si="43"/>
        <v>134.60338714434783</v>
      </c>
      <c r="K554" s="31">
        <v>151621.57110596509</v>
      </c>
      <c r="L554" s="31">
        <v>66853.894607522656</v>
      </c>
      <c r="M554" s="32">
        <f t="shared" si="44"/>
        <v>66719.291220378305</v>
      </c>
      <c r="N554" s="33">
        <f>Result_notebook!L554</f>
        <v>0.439346565686978</v>
      </c>
      <c r="O554" s="31">
        <f t="shared" si="45"/>
        <v>0</v>
      </c>
      <c r="P554" s="31">
        <f t="shared" si="48"/>
        <v>0</v>
      </c>
      <c r="Q554">
        <f t="shared" si="47"/>
        <v>134.60338714434783</v>
      </c>
    </row>
    <row r="555" spans="1:17" x14ac:dyDescent="0.35">
      <c r="A555">
        <v>2031</v>
      </c>
      <c r="B555" t="s">
        <v>6</v>
      </c>
      <c r="C555" t="s">
        <v>10</v>
      </c>
      <c r="D555" t="s">
        <v>18</v>
      </c>
      <c r="E555" t="s">
        <v>483</v>
      </c>
      <c r="F555" t="s">
        <v>86</v>
      </c>
      <c r="G555" s="31">
        <v>70618.965487702415</v>
      </c>
      <c r="H555" s="31">
        <v>8876.0777297221903</v>
      </c>
      <c r="I555" s="31">
        <v>3765.070880179765</v>
      </c>
      <c r="J555" s="32">
        <f t="shared" si="43"/>
        <v>134.60338714434783</v>
      </c>
      <c r="K555" s="31">
        <v>151621.57110596509</v>
      </c>
      <c r="L555" s="31">
        <v>66853.894607522656</v>
      </c>
      <c r="M555" s="32">
        <f t="shared" si="44"/>
        <v>66719.291220378305</v>
      </c>
      <c r="N555" s="33">
        <f>Result_notebook!L555</f>
        <v>0.439346565686978</v>
      </c>
      <c r="O555" s="31">
        <f t="shared" si="45"/>
        <v>0</v>
      </c>
      <c r="P555" s="31">
        <f t="shared" si="48"/>
        <v>0</v>
      </c>
      <c r="Q555">
        <f t="shared" si="47"/>
        <v>134.60338714434783</v>
      </c>
    </row>
    <row r="556" spans="1:17" x14ac:dyDescent="0.35">
      <c r="A556">
        <v>2031</v>
      </c>
      <c r="B556" t="s">
        <v>6</v>
      </c>
      <c r="C556" t="s">
        <v>10</v>
      </c>
      <c r="D556" t="s">
        <v>18</v>
      </c>
      <c r="E556" t="s">
        <v>490</v>
      </c>
      <c r="F556" t="s">
        <v>82</v>
      </c>
      <c r="G556" s="31">
        <v>70618.965487702415</v>
      </c>
      <c r="H556" s="31">
        <v>8876.0777297221903</v>
      </c>
      <c r="I556" s="31">
        <v>3899.674267324116</v>
      </c>
      <c r="J556" s="32">
        <f t="shared" si="43"/>
        <v>0</v>
      </c>
      <c r="K556" s="31">
        <v>151621.57110596509</v>
      </c>
      <c r="L556" s="31">
        <v>66719.291220378305</v>
      </c>
      <c r="M556" s="32">
        <f t="shared" si="44"/>
        <v>66719.291220378305</v>
      </c>
      <c r="N556" s="33">
        <f>Result_notebook!L556</f>
        <v>0.439346565686978</v>
      </c>
      <c r="O556" s="31">
        <f t="shared" si="45"/>
        <v>0</v>
      </c>
      <c r="P556" s="31">
        <f t="shared" si="48"/>
        <v>0</v>
      </c>
      <c r="Q556">
        <f t="shared" si="47"/>
        <v>0</v>
      </c>
    </row>
    <row r="557" spans="1:17" x14ac:dyDescent="0.35">
      <c r="A557">
        <v>2031</v>
      </c>
      <c r="B557" t="s">
        <v>7</v>
      </c>
      <c r="C557" t="s">
        <v>4</v>
      </c>
      <c r="D557" t="s">
        <v>16</v>
      </c>
      <c r="E557" t="s">
        <v>483</v>
      </c>
      <c r="F557" t="s">
        <v>80</v>
      </c>
      <c r="G557" s="31">
        <v>1075624.1200135939</v>
      </c>
      <c r="H557" s="31">
        <v>0</v>
      </c>
      <c r="I557" s="31">
        <v>0</v>
      </c>
      <c r="J557" s="32">
        <f t="shared" si="43"/>
        <v>0</v>
      </c>
      <c r="K557" s="31">
        <v>1295932.674715173</v>
      </c>
      <c r="L557" s="31">
        <v>1075624.1200135939</v>
      </c>
      <c r="M557" s="32">
        <f t="shared" si="44"/>
        <v>1075624.1200135939</v>
      </c>
      <c r="N557" s="33">
        <f>Result_notebook!L557</f>
        <v>0.83474576271186396</v>
      </c>
      <c r="O557" s="31">
        <f t="shared" si="45"/>
        <v>0</v>
      </c>
      <c r="P557" s="31">
        <f t="shared" si="48"/>
        <v>0</v>
      </c>
      <c r="Q557">
        <f t="shared" si="47"/>
        <v>0</v>
      </c>
    </row>
    <row r="558" spans="1:17" x14ac:dyDescent="0.35">
      <c r="A558">
        <v>2031</v>
      </c>
      <c r="B558" t="s">
        <v>7</v>
      </c>
      <c r="C558" t="s">
        <v>4</v>
      </c>
      <c r="D558" t="s">
        <v>16</v>
      </c>
      <c r="E558" t="s">
        <v>483</v>
      </c>
      <c r="F558" t="s">
        <v>81</v>
      </c>
      <c r="G558" s="31">
        <v>1075624.1200135939</v>
      </c>
      <c r="H558" s="31">
        <v>311145</v>
      </c>
      <c r="I558" s="31">
        <v>163540.51506665381</v>
      </c>
      <c r="J558" s="32">
        <f t="shared" si="43"/>
        <v>96186.455272329098</v>
      </c>
      <c r="K558" s="31">
        <v>984787.67471517343</v>
      </c>
      <c r="L558" s="31">
        <v>912083.60494694009</v>
      </c>
      <c r="M558" s="32">
        <f t="shared" si="44"/>
        <v>815897.14967461093</v>
      </c>
      <c r="N558" s="33">
        <f>Result_notebook!L558</f>
        <v>0.83474576271186396</v>
      </c>
      <c r="O558" s="31">
        <f t="shared" si="45"/>
        <v>0</v>
      </c>
      <c r="P558" s="31">
        <f t="shared" si="48"/>
        <v>0</v>
      </c>
      <c r="Q558">
        <f t="shared" si="47"/>
        <v>96186.455272329098</v>
      </c>
    </row>
    <row r="559" spans="1:17" x14ac:dyDescent="0.35">
      <c r="A559">
        <v>2031</v>
      </c>
      <c r="B559" t="s">
        <v>7</v>
      </c>
      <c r="C559" t="s">
        <v>4</v>
      </c>
      <c r="D559" t="s">
        <v>18</v>
      </c>
      <c r="E559" t="s">
        <v>483</v>
      </c>
      <c r="F559" t="s">
        <v>85</v>
      </c>
      <c r="G559" s="31">
        <v>1075624.1200135939</v>
      </c>
      <c r="H559" s="31">
        <v>721363.36247679312</v>
      </c>
      <c r="I559" s="31">
        <v>379154.85014918452</v>
      </c>
      <c r="J559" s="32">
        <f t="shared" si="43"/>
        <v>223000.16005390097</v>
      </c>
      <c r="K559" s="31">
        <v>574569.31223838031</v>
      </c>
      <c r="L559" s="31">
        <v>696469.26986440946</v>
      </c>
      <c r="M559" s="32">
        <f t="shared" si="44"/>
        <v>473469.1098105085</v>
      </c>
      <c r="N559" s="33">
        <f>Result_notebook!L559</f>
        <v>0.83474576271186396</v>
      </c>
      <c r="O559" s="31">
        <f t="shared" si="45"/>
        <v>0</v>
      </c>
      <c r="P559" s="31">
        <f t="shared" si="48"/>
        <v>0</v>
      </c>
      <c r="Q559">
        <f t="shared" si="47"/>
        <v>223000.16005390097</v>
      </c>
    </row>
    <row r="560" spans="1:17" x14ac:dyDescent="0.35">
      <c r="A560">
        <v>2031</v>
      </c>
      <c r="B560" t="s">
        <v>7</v>
      </c>
      <c r="C560" t="s">
        <v>4</v>
      </c>
      <c r="D560" t="s">
        <v>18</v>
      </c>
      <c r="E560" t="s">
        <v>483</v>
      </c>
      <c r="F560" t="s">
        <v>86</v>
      </c>
      <c r="G560" s="31">
        <v>1075624.1200135939</v>
      </c>
      <c r="H560" s="31">
        <v>721363.36247679312</v>
      </c>
      <c r="I560" s="31">
        <v>379154.85014918452</v>
      </c>
      <c r="J560" s="32">
        <f t="shared" si="43"/>
        <v>223000.16005390097</v>
      </c>
      <c r="K560" s="31">
        <v>574569.31223838031</v>
      </c>
      <c r="L560" s="31">
        <v>696469.26986440946</v>
      </c>
      <c r="M560" s="32">
        <f t="shared" si="44"/>
        <v>473469.1098105085</v>
      </c>
      <c r="N560" s="33">
        <f>Result_notebook!L560</f>
        <v>0.83474576271186396</v>
      </c>
      <c r="O560" s="31">
        <f t="shared" si="45"/>
        <v>0</v>
      </c>
      <c r="P560" s="31">
        <f t="shared" si="48"/>
        <v>0</v>
      </c>
      <c r="Q560">
        <f t="shared" si="47"/>
        <v>223000.16005390097</v>
      </c>
    </row>
    <row r="561" spans="1:17" x14ac:dyDescent="0.35">
      <c r="A561">
        <v>2031</v>
      </c>
      <c r="B561" t="s">
        <v>7</v>
      </c>
      <c r="C561" t="s">
        <v>4</v>
      </c>
      <c r="D561" t="s">
        <v>18</v>
      </c>
      <c r="E561" t="s">
        <v>490</v>
      </c>
      <c r="F561" t="s">
        <v>82</v>
      </c>
      <c r="G561" s="31">
        <v>1075624.1200135939</v>
      </c>
      <c r="H561" s="31">
        <v>721363.36247679312</v>
      </c>
      <c r="I561" s="31">
        <v>602155.01020308572</v>
      </c>
      <c r="J561" s="32">
        <f t="shared" si="43"/>
        <v>0</v>
      </c>
      <c r="K561" s="31">
        <v>574569.31223838031</v>
      </c>
      <c r="L561" s="31">
        <v>473469.10981050821</v>
      </c>
      <c r="M561" s="32">
        <f t="shared" si="44"/>
        <v>473469.10981050821</v>
      </c>
      <c r="N561" s="33">
        <f>Result_notebook!L561</f>
        <v>0.83474576271186396</v>
      </c>
      <c r="O561" s="31">
        <f t="shared" si="45"/>
        <v>0</v>
      </c>
      <c r="P561" s="31">
        <f t="shared" si="48"/>
        <v>0</v>
      </c>
      <c r="Q561">
        <f t="shared" si="47"/>
        <v>0</v>
      </c>
    </row>
    <row r="562" spans="1:17" x14ac:dyDescent="0.35">
      <c r="A562">
        <v>2031</v>
      </c>
      <c r="B562" t="s">
        <v>7</v>
      </c>
      <c r="C562" t="s">
        <v>9</v>
      </c>
      <c r="D562" t="s">
        <v>16</v>
      </c>
      <c r="E562" t="s">
        <v>483</v>
      </c>
      <c r="F562" t="s">
        <v>80</v>
      </c>
      <c r="G562" s="31">
        <v>961084.55032117816</v>
      </c>
      <c r="H562" s="31">
        <v>0</v>
      </c>
      <c r="I562" s="31">
        <v>0</v>
      </c>
      <c r="J562" s="32">
        <f t="shared" si="43"/>
        <v>0</v>
      </c>
      <c r="K562" s="31">
        <v>1157933.1931580461</v>
      </c>
      <c r="L562" s="31">
        <v>961084.55032117816</v>
      </c>
      <c r="M562" s="32">
        <f t="shared" si="44"/>
        <v>961084.55032117816</v>
      </c>
      <c r="N562" s="33">
        <f>Result_notebook!L562</f>
        <v>0.83474576271186396</v>
      </c>
      <c r="O562" s="31">
        <f t="shared" si="45"/>
        <v>0</v>
      </c>
      <c r="P562" s="31">
        <f t="shared" si="48"/>
        <v>0</v>
      </c>
      <c r="Q562">
        <f t="shared" si="47"/>
        <v>0</v>
      </c>
    </row>
    <row r="563" spans="1:17" x14ac:dyDescent="0.35">
      <c r="A563">
        <v>2031</v>
      </c>
      <c r="B563" t="s">
        <v>7</v>
      </c>
      <c r="C563" t="s">
        <v>9</v>
      </c>
      <c r="D563" t="s">
        <v>16</v>
      </c>
      <c r="E563" t="s">
        <v>483</v>
      </c>
      <c r="F563" t="s">
        <v>81</v>
      </c>
      <c r="G563" s="31">
        <v>961084.55032117816</v>
      </c>
      <c r="H563" s="31">
        <v>311145</v>
      </c>
      <c r="I563" s="31">
        <v>163540.51506665381</v>
      </c>
      <c r="J563" s="32">
        <f t="shared" si="43"/>
        <v>96186.455272329098</v>
      </c>
      <c r="K563" s="31">
        <v>846788.19315804611</v>
      </c>
      <c r="L563" s="31">
        <v>797544.03525452432</v>
      </c>
      <c r="M563" s="32">
        <f t="shared" si="44"/>
        <v>701357.57998219528</v>
      </c>
      <c r="N563" s="33">
        <f>Result_notebook!L563</f>
        <v>0.83474576271186396</v>
      </c>
      <c r="O563" s="31">
        <f t="shared" si="45"/>
        <v>0</v>
      </c>
      <c r="P563" s="31">
        <f t="shared" si="48"/>
        <v>0</v>
      </c>
      <c r="Q563">
        <f t="shared" si="47"/>
        <v>96186.455272329098</v>
      </c>
    </row>
    <row r="564" spans="1:17" x14ac:dyDescent="0.35">
      <c r="A564">
        <v>2031</v>
      </c>
      <c r="B564" t="s">
        <v>7</v>
      </c>
      <c r="C564" t="s">
        <v>9</v>
      </c>
      <c r="D564" t="s">
        <v>18</v>
      </c>
      <c r="E564" t="s">
        <v>483</v>
      </c>
      <c r="F564" t="s">
        <v>85</v>
      </c>
      <c r="G564" s="31">
        <v>961084.55032117816</v>
      </c>
      <c r="H564" s="31">
        <v>721363.36247679312</v>
      </c>
      <c r="I564" s="31">
        <v>379154.85014918452</v>
      </c>
      <c r="J564" s="32">
        <f t="shared" si="43"/>
        <v>223000.16005390097</v>
      </c>
      <c r="K564" s="31">
        <v>436569.83068125299</v>
      </c>
      <c r="L564" s="31">
        <v>581929.70017199358</v>
      </c>
      <c r="M564" s="32">
        <f t="shared" si="44"/>
        <v>358929.54011809261</v>
      </c>
      <c r="N564" s="33">
        <f>Result_notebook!L564</f>
        <v>0.83474576271186396</v>
      </c>
      <c r="O564" s="31">
        <f t="shared" si="45"/>
        <v>0</v>
      </c>
      <c r="P564" s="31">
        <f t="shared" si="48"/>
        <v>0</v>
      </c>
      <c r="Q564">
        <f t="shared" si="47"/>
        <v>223000.16005390097</v>
      </c>
    </row>
    <row r="565" spans="1:17" x14ac:dyDescent="0.35">
      <c r="A565">
        <v>2031</v>
      </c>
      <c r="B565" t="s">
        <v>7</v>
      </c>
      <c r="C565" t="s">
        <v>9</v>
      </c>
      <c r="D565" t="s">
        <v>18</v>
      </c>
      <c r="E565" t="s">
        <v>483</v>
      </c>
      <c r="F565" t="s">
        <v>86</v>
      </c>
      <c r="G565" s="31">
        <v>961084.55032117816</v>
      </c>
      <c r="H565" s="31">
        <v>721363.36247679312</v>
      </c>
      <c r="I565" s="31">
        <v>379154.85014918452</v>
      </c>
      <c r="J565" s="32">
        <f t="shared" si="43"/>
        <v>223000.16005390097</v>
      </c>
      <c r="K565" s="31">
        <v>436569.83068125299</v>
      </c>
      <c r="L565" s="31">
        <v>581929.70017199358</v>
      </c>
      <c r="M565" s="32">
        <f t="shared" si="44"/>
        <v>358929.54011809261</v>
      </c>
      <c r="N565" s="33">
        <f>Result_notebook!L565</f>
        <v>0.83474576271186396</v>
      </c>
      <c r="O565" s="31">
        <f t="shared" si="45"/>
        <v>0</v>
      </c>
      <c r="P565" s="31">
        <f t="shared" si="48"/>
        <v>0</v>
      </c>
      <c r="Q565">
        <f t="shared" si="47"/>
        <v>223000.16005390097</v>
      </c>
    </row>
    <row r="566" spans="1:17" x14ac:dyDescent="0.35">
      <c r="A566">
        <v>2031</v>
      </c>
      <c r="B566" t="s">
        <v>7</v>
      </c>
      <c r="C566" t="s">
        <v>9</v>
      </c>
      <c r="D566" t="s">
        <v>18</v>
      </c>
      <c r="E566" t="s">
        <v>490</v>
      </c>
      <c r="F566" t="s">
        <v>82</v>
      </c>
      <c r="G566" s="31">
        <v>961084.55032117816</v>
      </c>
      <c r="H566" s="31">
        <v>721363.36247679312</v>
      </c>
      <c r="I566" s="31">
        <v>602155.01020308572</v>
      </c>
      <c r="J566" s="32">
        <f t="shared" si="43"/>
        <v>0</v>
      </c>
      <c r="K566" s="31">
        <v>436569.83068125299</v>
      </c>
      <c r="L566" s="31">
        <v>358929.54011809238</v>
      </c>
      <c r="M566" s="32">
        <f t="shared" si="44"/>
        <v>358929.54011809238</v>
      </c>
      <c r="N566" s="33">
        <f>Result_notebook!L566</f>
        <v>0.83474576271186396</v>
      </c>
      <c r="O566" s="31">
        <f t="shared" si="45"/>
        <v>0</v>
      </c>
      <c r="P566" s="31">
        <f t="shared" si="48"/>
        <v>0</v>
      </c>
      <c r="Q566">
        <f t="shared" si="47"/>
        <v>0</v>
      </c>
    </row>
    <row r="567" spans="1:17" x14ac:dyDescent="0.35">
      <c r="A567">
        <v>2031</v>
      </c>
      <c r="B567" t="s">
        <v>7</v>
      </c>
      <c r="C567" t="s">
        <v>10</v>
      </c>
      <c r="D567" t="s">
        <v>16</v>
      </c>
      <c r="E567" t="s">
        <v>483</v>
      </c>
      <c r="F567" t="s">
        <v>80</v>
      </c>
      <c r="G567" s="31">
        <v>1040489.0683717401</v>
      </c>
      <c r="H567" s="31">
        <v>0</v>
      </c>
      <c r="I567" s="31">
        <v>0</v>
      </c>
      <c r="J567" s="32">
        <f t="shared" si="43"/>
        <v>0</v>
      </c>
      <c r="K567" s="31">
        <v>1253601.2871948681</v>
      </c>
      <c r="L567" s="31">
        <v>1040489.0683717401</v>
      </c>
      <c r="M567" s="32">
        <f t="shared" si="44"/>
        <v>1040489.0683717401</v>
      </c>
      <c r="N567" s="33">
        <f>Result_notebook!L567</f>
        <v>0.83474576271186396</v>
      </c>
      <c r="O567" s="31">
        <f t="shared" si="45"/>
        <v>0</v>
      </c>
      <c r="P567" s="31">
        <f t="shared" si="48"/>
        <v>0</v>
      </c>
      <c r="Q567">
        <f t="shared" si="47"/>
        <v>0</v>
      </c>
    </row>
    <row r="568" spans="1:17" x14ac:dyDescent="0.35">
      <c r="A568">
        <v>2031</v>
      </c>
      <c r="B568" t="s">
        <v>7</v>
      </c>
      <c r="C568" t="s">
        <v>10</v>
      </c>
      <c r="D568" t="s">
        <v>16</v>
      </c>
      <c r="E568" t="s">
        <v>483</v>
      </c>
      <c r="F568" t="s">
        <v>81</v>
      </c>
      <c r="G568" s="31">
        <v>1040489.0683717401</v>
      </c>
      <c r="H568" s="31">
        <v>311145</v>
      </c>
      <c r="I568" s="31">
        <v>163540.51506665381</v>
      </c>
      <c r="J568" s="32">
        <f t="shared" si="43"/>
        <v>96186.455272329098</v>
      </c>
      <c r="K568" s="31">
        <v>942456.28719486762</v>
      </c>
      <c r="L568" s="31">
        <v>876948.55330508621</v>
      </c>
      <c r="M568" s="32">
        <f t="shared" si="44"/>
        <v>780762.09803275717</v>
      </c>
      <c r="N568" s="33">
        <f>Result_notebook!L568</f>
        <v>0.83474576271186396</v>
      </c>
      <c r="O568" s="31">
        <f t="shared" si="45"/>
        <v>0</v>
      </c>
      <c r="P568" s="31">
        <f t="shared" si="48"/>
        <v>0</v>
      </c>
      <c r="Q568">
        <f t="shared" si="47"/>
        <v>96186.455272329098</v>
      </c>
    </row>
    <row r="569" spans="1:17" x14ac:dyDescent="0.35">
      <c r="A569">
        <v>2031</v>
      </c>
      <c r="B569" t="s">
        <v>7</v>
      </c>
      <c r="C569" t="s">
        <v>10</v>
      </c>
      <c r="D569" t="s">
        <v>18</v>
      </c>
      <c r="E569" t="s">
        <v>483</v>
      </c>
      <c r="F569" t="s">
        <v>85</v>
      </c>
      <c r="G569" s="31">
        <v>1040489.0683717401</v>
      </c>
      <c r="H569" s="31">
        <v>721363.36247679312</v>
      </c>
      <c r="I569" s="31">
        <v>379154.85014918452</v>
      </c>
      <c r="J569" s="32">
        <f t="shared" si="43"/>
        <v>223000.16005390097</v>
      </c>
      <c r="K569" s="31">
        <v>532237.9247180745</v>
      </c>
      <c r="L569" s="31">
        <v>661334.21822255547</v>
      </c>
      <c r="M569" s="32">
        <f t="shared" si="44"/>
        <v>438334.0581686545</v>
      </c>
      <c r="N569" s="33">
        <f>Result_notebook!L569</f>
        <v>0.83474576271186396</v>
      </c>
      <c r="O569" s="31">
        <f t="shared" si="45"/>
        <v>0</v>
      </c>
      <c r="P569" s="31">
        <f t="shared" si="48"/>
        <v>0</v>
      </c>
      <c r="Q569">
        <f t="shared" si="47"/>
        <v>223000.16005390097</v>
      </c>
    </row>
    <row r="570" spans="1:17" x14ac:dyDescent="0.35">
      <c r="A570">
        <v>2031</v>
      </c>
      <c r="B570" t="s">
        <v>7</v>
      </c>
      <c r="C570" t="s">
        <v>10</v>
      </c>
      <c r="D570" t="s">
        <v>18</v>
      </c>
      <c r="E570" t="s">
        <v>483</v>
      </c>
      <c r="F570" t="s">
        <v>86</v>
      </c>
      <c r="G570" s="31">
        <v>1040489.0683717401</v>
      </c>
      <c r="H570" s="31">
        <v>721363.36247679312</v>
      </c>
      <c r="I570" s="31">
        <v>379154.85014918452</v>
      </c>
      <c r="J570" s="32">
        <f t="shared" si="43"/>
        <v>223000.16005390097</v>
      </c>
      <c r="K570" s="31">
        <v>532237.9247180745</v>
      </c>
      <c r="L570" s="31">
        <v>661334.21822255547</v>
      </c>
      <c r="M570" s="32">
        <f t="shared" si="44"/>
        <v>438334.0581686545</v>
      </c>
      <c r="N570" s="33">
        <f>Result_notebook!L570</f>
        <v>0.83474576271186396</v>
      </c>
      <c r="O570" s="31">
        <f t="shared" si="45"/>
        <v>0</v>
      </c>
      <c r="P570" s="31">
        <f t="shared" si="48"/>
        <v>0</v>
      </c>
      <c r="Q570">
        <f t="shared" si="47"/>
        <v>223000.16005390097</v>
      </c>
    </row>
    <row r="571" spans="1:17" x14ac:dyDescent="0.35">
      <c r="A571">
        <v>2031</v>
      </c>
      <c r="B571" t="s">
        <v>7</v>
      </c>
      <c r="C571" t="s">
        <v>10</v>
      </c>
      <c r="D571" t="s">
        <v>18</v>
      </c>
      <c r="E571" t="s">
        <v>490</v>
      </c>
      <c r="F571" t="s">
        <v>82</v>
      </c>
      <c r="G571" s="31">
        <v>1040489.0683717401</v>
      </c>
      <c r="H571" s="31">
        <v>721363.36247679312</v>
      </c>
      <c r="I571" s="31">
        <v>602155.01020308572</v>
      </c>
      <c r="J571" s="32">
        <f t="shared" si="43"/>
        <v>0</v>
      </c>
      <c r="K571" s="31">
        <v>532237.9247180745</v>
      </c>
      <c r="L571" s="31">
        <v>438334.05816865427</v>
      </c>
      <c r="M571" s="32">
        <f t="shared" si="44"/>
        <v>438334.05816865427</v>
      </c>
      <c r="N571" s="33">
        <f>Result_notebook!L571</f>
        <v>0.83474576271186396</v>
      </c>
      <c r="O571" s="31">
        <f t="shared" si="45"/>
        <v>0</v>
      </c>
      <c r="P571" s="31">
        <f t="shared" si="48"/>
        <v>0</v>
      </c>
      <c r="Q571">
        <f t="shared" si="47"/>
        <v>0</v>
      </c>
    </row>
    <row r="572" spans="1:17" x14ac:dyDescent="0.35">
      <c r="A572">
        <v>2031</v>
      </c>
      <c r="B572" t="s">
        <v>11</v>
      </c>
      <c r="C572" t="s">
        <v>4</v>
      </c>
      <c r="D572" t="s">
        <v>16</v>
      </c>
      <c r="E572" t="s">
        <v>483</v>
      </c>
      <c r="F572" t="s">
        <v>80</v>
      </c>
      <c r="G572" s="31">
        <v>2673.374204195637</v>
      </c>
      <c r="H572" s="31">
        <v>0</v>
      </c>
      <c r="I572" s="31">
        <v>0</v>
      </c>
      <c r="J572" s="32">
        <f t="shared" si="43"/>
        <v>0</v>
      </c>
      <c r="K572" s="31">
        <v>4455.6236736593964</v>
      </c>
      <c r="L572" s="31">
        <v>2673.374204195637</v>
      </c>
      <c r="M572" s="32">
        <f t="shared" si="44"/>
        <v>2673.374204195637</v>
      </c>
      <c r="N572" s="33">
        <f>Result_notebook!L572</f>
        <v>1</v>
      </c>
      <c r="O572" s="31">
        <f t="shared" si="45"/>
        <v>0</v>
      </c>
      <c r="P572" s="31">
        <f t="shared" si="48"/>
        <v>0</v>
      </c>
      <c r="Q572">
        <f t="shared" si="47"/>
        <v>0</v>
      </c>
    </row>
    <row r="573" spans="1:17" x14ac:dyDescent="0.35">
      <c r="A573">
        <v>2031</v>
      </c>
      <c r="B573" t="s">
        <v>11</v>
      </c>
      <c r="C573" t="s">
        <v>4</v>
      </c>
      <c r="D573" t="s">
        <v>16</v>
      </c>
      <c r="E573" t="s">
        <v>483</v>
      </c>
      <c r="F573" t="s">
        <v>81</v>
      </c>
      <c r="G573" s="31">
        <v>2673.374204195637</v>
      </c>
      <c r="H573" s="31">
        <v>0</v>
      </c>
      <c r="I573" s="31">
        <v>0</v>
      </c>
      <c r="J573" s="32">
        <f t="shared" si="43"/>
        <v>0</v>
      </c>
      <c r="K573" s="31">
        <v>4455.6236736593964</v>
      </c>
      <c r="L573" s="31">
        <v>2673.374204195637</v>
      </c>
      <c r="M573" s="32">
        <f t="shared" si="44"/>
        <v>2673.374204195637</v>
      </c>
      <c r="N573" s="33">
        <f>Result_notebook!L573</f>
        <v>1</v>
      </c>
      <c r="O573" s="31">
        <f t="shared" si="45"/>
        <v>0</v>
      </c>
      <c r="P573" s="31">
        <f t="shared" si="48"/>
        <v>0</v>
      </c>
      <c r="Q573">
        <f t="shared" si="47"/>
        <v>0</v>
      </c>
    </row>
    <row r="574" spans="1:17" x14ac:dyDescent="0.35">
      <c r="A574">
        <v>2031</v>
      </c>
      <c r="B574" t="s">
        <v>11</v>
      </c>
      <c r="C574" t="s">
        <v>4</v>
      </c>
      <c r="D574" t="s">
        <v>18</v>
      </c>
      <c r="E574" t="s">
        <v>483</v>
      </c>
      <c r="F574" t="s">
        <v>85</v>
      </c>
      <c r="G574" s="31">
        <v>2673.374204195637</v>
      </c>
      <c r="H574" s="31">
        <v>20.77942225145344</v>
      </c>
      <c r="I574" s="31">
        <v>12.437396724835169</v>
      </c>
      <c r="J574" s="32">
        <f t="shared" si="43"/>
        <v>8.3420255266182703</v>
      </c>
      <c r="K574" s="31">
        <v>4434.8442514079416</v>
      </c>
      <c r="L574" s="31">
        <v>2660.9368074708018</v>
      </c>
      <c r="M574" s="32">
        <f t="shared" si="44"/>
        <v>2652.5947819441835</v>
      </c>
      <c r="N574" s="33">
        <f>Result_notebook!L574</f>
        <v>1</v>
      </c>
      <c r="O574" s="31">
        <f t="shared" si="45"/>
        <v>0</v>
      </c>
      <c r="P574" s="31">
        <f t="shared" si="48"/>
        <v>0</v>
      </c>
      <c r="Q574">
        <f t="shared" si="47"/>
        <v>8.3420255266182703</v>
      </c>
    </row>
    <row r="575" spans="1:17" x14ac:dyDescent="0.35">
      <c r="A575">
        <v>2031</v>
      </c>
      <c r="B575" t="s">
        <v>11</v>
      </c>
      <c r="C575" t="s">
        <v>4</v>
      </c>
      <c r="D575" t="s">
        <v>18</v>
      </c>
      <c r="E575" t="s">
        <v>483</v>
      </c>
      <c r="F575" t="s">
        <v>86</v>
      </c>
      <c r="G575" s="31">
        <v>2673.374204195637</v>
      </c>
      <c r="H575" s="31">
        <v>20.77942225145344</v>
      </c>
      <c r="I575" s="31">
        <v>12.437396724835169</v>
      </c>
      <c r="J575" s="32">
        <f t="shared" si="43"/>
        <v>8.3420255266182703</v>
      </c>
      <c r="K575" s="31">
        <v>4434.8442514079416</v>
      </c>
      <c r="L575" s="31">
        <v>2660.9368074708018</v>
      </c>
      <c r="M575" s="32">
        <f t="shared" si="44"/>
        <v>2652.5947819441835</v>
      </c>
      <c r="N575" s="33">
        <f>Result_notebook!L575</f>
        <v>1</v>
      </c>
      <c r="O575" s="31">
        <f t="shared" si="45"/>
        <v>0</v>
      </c>
      <c r="P575" s="31">
        <f t="shared" si="48"/>
        <v>0</v>
      </c>
      <c r="Q575">
        <f t="shared" si="47"/>
        <v>8.3420255266182703</v>
      </c>
    </row>
    <row r="576" spans="1:17" x14ac:dyDescent="0.35">
      <c r="A576">
        <v>2031</v>
      </c>
      <c r="B576" t="s">
        <v>11</v>
      </c>
      <c r="C576" t="s">
        <v>4</v>
      </c>
      <c r="D576" t="s">
        <v>18</v>
      </c>
      <c r="E576" t="s">
        <v>490</v>
      </c>
      <c r="F576" t="s">
        <v>82</v>
      </c>
      <c r="G576" s="31">
        <v>2673.374204195637</v>
      </c>
      <c r="H576" s="31">
        <v>20.77942225145344</v>
      </c>
      <c r="I576" s="31">
        <v>12.437396724835169</v>
      </c>
      <c r="J576" s="32">
        <f t="shared" si="43"/>
        <v>8.3420255266182703</v>
      </c>
      <c r="K576" s="31">
        <v>4434.8442514079416</v>
      </c>
      <c r="L576" s="31">
        <v>2660.9368074708018</v>
      </c>
      <c r="M576" s="32">
        <f t="shared" si="44"/>
        <v>2652.5947819441835</v>
      </c>
      <c r="N576" s="33">
        <f>Result_notebook!L576</f>
        <v>1</v>
      </c>
      <c r="O576" s="31">
        <f t="shared" si="45"/>
        <v>0</v>
      </c>
      <c r="P576" s="31">
        <f t="shared" si="48"/>
        <v>0</v>
      </c>
      <c r="Q576">
        <f t="shared" si="47"/>
        <v>8.3420255266182703</v>
      </c>
    </row>
    <row r="577" spans="1:17" x14ac:dyDescent="0.35">
      <c r="A577">
        <v>2031</v>
      </c>
      <c r="B577" t="s">
        <v>11</v>
      </c>
      <c r="C577" t="s">
        <v>9</v>
      </c>
      <c r="D577" t="s">
        <v>16</v>
      </c>
      <c r="E577" t="s">
        <v>483</v>
      </c>
      <c r="F577" t="s">
        <v>80</v>
      </c>
      <c r="G577" s="31">
        <v>995.76153396036739</v>
      </c>
      <c r="H577" s="31">
        <v>0</v>
      </c>
      <c r="I577" s="31">
        <v>0</v>
      </c>
      <c r="J577" s="32">
        <f t="shared" si="43"/>
        <v>0</v>
      </c>
      <c r="K577" s="31">
        <v>1659.6025566006119</v>
      </c>
      <c r="L577" s="31">
        <v>995.76153396036739</v>
      </c>
      <c r="M577" s="32">
        <f t="shared" si="44"/>
        <v>995.76153396036739</v>
      </c>
      <c r="N577" s="33">
        <f>Result_notebook!L577</f>
        <v>1</v>
      </c>
      <c r="O577" s="31">
        <f t="shared" si="45"/>
        <v>0</v>
      </c>
      <c r="P577" s="31">
        <f t="shared" si="48"/>
        <v>0</v>
      </c>
      <c r="Q577">
        <f t="shared" si="47"/>
        <v>0</v>
      </c>
    </row>
    <row r="578" spans="1:17" x14ac:dyDescent="0.35">
      <c r="A578">
        <v>2031</v>
      </c>
      <c r="B578" t="s">
        <v>11</v>
      </c>
      <c r="C578" t="s">
        <v>9</v>
      </c>
      <c r="D578" t="s">
        <v>16</v>
      </c>
      <c r="E578" t="s">
        <v>483</v>
      </c>
      <c r="F578" t="s">
        <v>81</v>
      </c>
      <c r="G578" s="31">
        <v>995.76153396036739</v>
      </c>
      <c r="H578" s="31">
        <v>0</v>
      </c>
      <c r="I578" s="31">
        <v>0</v>
      </c>
      <c r="J578" s="32">
        <f t="shared" si="43"/>
        <v>0</v>
      </c>
      <c r="K578" s="31">
        <v>1659.6025566006119</v>
      </c>
      <c r="L578" s="31">
        <v>995.76153396036739</v>
      </c>
      <c r="M578" s="32">
        <f t="shared" si="44"/>
        <v>995.76153396036739</v>
      </c>
      <c r="N578" s="33">
        <f>Result_notebook!L578</f>
        <v>1</v>
      </c>
      <c r="O578" s="31">
        <f t="shared" si="45"/>
        <v>0</v>
      </c>
      <c r="P578" s="31">
        <f t="shared" si="48"/>
        <v>0</v>
      </c>
      <c r="Q578">
        <f t="shared" si="47"/>
        <v>0</v>
      </c>
    </row>
    <row r="579" spans="1:17" x14ac:dyDescent="0.35">
      <c r="A579">
        <v>2031</v>
      </c>
      <c r="B579" t="s">
        <v>11</v>
      </c>
      <c r="C579" t="s">
        <v>9</v>
      </c>
      <c r="D579" t="s">
        <v>18</v>
      </c>
      <c r="E579" t="s">
        <v>483</v>
      </c>
      <c r="F579" t="s">
        <v>85</v>
      </c>
      <c r="G579" s="31">
        <v>995.76153396036739</v>
      </c>
      <c r="H579" s="31">
        <v>20.77942225145344</v>
      </c>
      <c r="I579" s="31">
        <v>12.437396724835169</v>
      </c>
      <c r="J579" s="32">
        <f t="shared" ref="J579:J642" si="49">H579*N579-I579</f>
        <v>8.3420255266182703</v>
      </c>
      <c r="K579" s="31">
        <v>1638.8231343491591</v>
      </c>
      <c r="L579" s="31">
        <v>983.32413723553225</v>
      </c>
      <c r="M579" s="32">
        <f t="shared" ref="M579:M642" si="50">MAX(L579-J579,0)</f>
        <v>974.98211170891398</v>
      </c>
      <c r="N579" s="33">
        <f>Result_notebook!L579</f>
        <v>1</v>
      </c>
      <c r="O579" s="31">
        <f t="shared" ref="O579:O642" si="51">G579-(I579+J579+M579)</f>
        <v>0</v>
      </c>
      <c r="P579" s="31">
        <f t="shared" ref="P579:P642" si="52">MAX(I579-G579,0)</f>
        <v>0</v>
      </c>
      <c r="Q579">
        <f t="shared" ref="Q579:Q642" si="53">(H579*N579)-I579</f>
        <v>8.3420255266182703</v>
      </c>
    </row>
    <row r="580" spans="1:17" x14ac:dyDescent="0.35">
      <c r="A580">
        <v>2031</v>
      </c>
      <c r="B580" t="s">
        <v>11</v>
      </c>
      <c r="C580" t="s">
        <v>9</v>
      </c>
      <c r="D580" t="s">
        <v>18</v>
      </c>
      <c r="E580" t="s">
        <v>483</v>
      </c>
      <c r="F580" t="s">
        <v>86</v>
      </c>
      <c r="G580" s="31">
        <v>995.76153396036739</v>
      </c>
      <c r="H580" s="31">
        <v>20.77942225145344</v>
      </c>
      <c r="I580" s="31">
        <v>12.437396724835169</v>
      </c>
      <c r="J580" s="32">
        <f t="shared" si="49"/>
        <v>8.3420255266182703</v>
      </c>
      <c r="K580" s="31">
        <v>1638.8231343491591</v>
      </c>
      <c r="L580" s="31">
        <v>983.32413723553225</v>
      </c>
      <c r="M580" s="32">
        <f t="shared" si="50"/>
        <v>974.98211170891398</v>
      </c>
      <c r="N580" s="33">
        <f>Result_notebook!L580</f>
        <v>1</v>
      </c>
      <c r="O580" s="31">
        <f t="shared" si="51"/>
        <v>0</v>
      </c>
      <c r="P580" s="31">
        <f t="shared" si="52"/>
        <v>0</v>
      </c>
      <c r="Q580">
        <f t="shared" si="53"/>
        <v>8.3420255266182703</v>
      </c>
    </row>
    <row r="581" spans="1:17" x14ac:dyDescent="0.35">
      <c r="A581">
        <v>2031</v>
      </c>
      <c r="B581" t="s">
        <v>11</v>
      </c>
      <c r="C581" t="s">
        <v>9</v>
      </c>
      <c r="D581" t="s">
        <v>18</v>
      </c>
      <c r="E581" t="s">
        <v>490</v>
      </c>
      <c r="F581" t="s">
        <v>82</v>
      </c>
      <c r="G581" s="31">
        <v>995.76153396036739</v>
      </c>
      <c r="H581" s="31">
        <v>20.77942225145344</v>
      </c>
      <c r="I581" s="31">
        <v>12.437396724835169</v>
      </c>
      <c r="J581" s="32">
        <f t="shared" si="49"/>
        <v>8.3420255266182703</v>
      </c>
      <c r="K581" s="31">
        <v>1638.8231343491591</v>
      </c>
      <c r="L581" s="31">
        <v>983.32413723553225</v>
      </c>
      <c r="M581" s="32">
        <f t="shared" si="50"/>
        <v>974.98211170891398</v>
      </c>
      <c r="N581" s="33">
        <f>Result_notebook!L581</f>
        <v>1</v>
      </c>
      <c r="O581" s="31">
        <f t="shared" si="51"/>
        <v>0</v>
      </c>
      <c r="P581" s="31">
        <f t="shared" si="52"/>
        <v>0</v>
      </c>
      <c r="Q581">
        <f t="shared" si="53"/>
        <v>8.3420255266182703</v>
      </c>
    </row>
    <row r="582" spans="1:17" x14ac:dyDescent="0.35">
      <c r="A582">
        <v>2031</v>
      </c>
      <c r="B582" t="s">
        <v>11</v>
      </c>
      <c r="C582" t="s">
        <v>10</v>
      </c>
      <c r="D582" t="s">
        <v>16</v>
      </c>
      <c r="E582" t="s">
        <v>483</v>
      </c>
      <c r="F582" t="s">
        <v>80</v>
      </c>
      <c r="G582" s="31">
        <v>2554.0345257736349</v>
      </c>
      <c r="H582" s="31">
        <v>0</v>
      </c>
      <c r="I582" s="31">
        <v>0</v>
      </c>
      <c r="J582" s="32">
        <f t="shared" si="49"/>
        <v>0</v>
      </c>
      <c r="K582" s="31">
        <v>4256.7242096227246</v>
      </c>
      <c r="L582" s="31">
        <v>2554.0345257736349</v>
      </c>
      <c r="M582" s="32">
        <f t="shared" si="50"/>
        <v>2554.0345257736349</v>
      </c>
      <c r="N582" s="33">
        <f>Result_notebook!L582</f>
        <v>1</v>
      </c>
      <c r="O582" s="31">
        <f t="shared" si="51"/>
        <v>0</v>
      </c>
      <c r="P582" s="31">
        <f t="shared" si="52"/>
        <v>0</v>
      </c>
      <c r="Q582">
        <f t="shared" si="53"/>
        <v>0</v>
      </c>
    </row>
    <row r="583" spans="1:17" x14ac:dyDescent="0.35">
      <c r="A583">
        <v>2031</v>
      </c>
      <c r="B583" t="s">
        <v>11</v>
      </c>
      <c r="C583" t="s">
        <v>10</v>
      </c>
      <c r="D583" t="s">
        <v>16</v>
      </c>
      <c r="E583" t="s">
        <v>483</v>
      </c>
      <c r="F583" t="s">
        <v>81</v>
      </c>
      <c r="G583" s="31">
        <v>2554.0345257736349</v>
      </c>
      <c r="H583" s="31">
        <v>0</v>
      </c>
      <c r="I583" s="31">
        <v>0</v>
      </c>
      <c r="J583" s="32">
        <f t="shared" si="49"/>
        <v>0</v>
      </c>
      <c r="K583" s="31">
        <v>4256.7242096227246</v>
      </c>
      <c r="L583" s="31">
        <v>2554.0345257736349</v>
      </c>
      <c r="M583" s="32">
        <f t="shared" si="50"/>
        <v>2554.0345257736349</v>
      </c>
      <c r="N583" s="33">
        <f>Result_notebook!L583</f>
        <v>1</v>
      </c>
      <c r="O583" s="31">
        <f t="shared" si="51"/>
        <v>0</v>
      </c>
      <c r="P583" s="31">
        <f t="shared" si="52"/>
        <v>0</v>
      </c>
      <c r="Q583">
        <f t="shared" si="53"/>
        <v>0</v>
      </c>
    </row>
    <row r="584" spans="1:17" x14ac:dyDescent="0.35">
      <c r="A584">
        <v>2031</v>
      </c>
      <c r="B584" t="s">
        <v>11</v>
      </c>
      <c r="C584" t="s">
        <v>10</v>
      </c>
      <c r="D584" t="s">
        <v>18</v>
      </c>
      <c r="E584" t="s">
        <v>483</v>
      </c>
      <c r="F584" t="s">
        <v>85</v>
      </c>
      <c r="G584" s="31">
        <v>2554.0345257736349</v>
      </c>
      <c r="H584" s="31">
        <v>20.77942225145344</v>
      </c>
      <c r="I584" s="31">
        <v>12.437396724835169</v>
      </c>
      <c r="J584" s="32">
        <f t="shared" si="49"/>
        <v>8.3420255266182703</v>
      </c>
      <c r="K584" s="31">
        <v>4235.9447873712716</v>
      </c>
      <c r="L584" s="31">
        <v>2541.5971290488001</v>
      </c>
      <c r="M584" s="32">
        <f t="shared" si="50"/>
        <v>2533.2551035221818</v>
      </c>
      <c r="N584" s="33">
        <f>Result_notebook!L584</f>
        <v>1</v>
      </c>
      <c r="O584" s="31">
        <f t="shared" si="51"/>
        <v>0</v>
      </c>
      <c r="P584" s="31">
        <f t="shared" si="52"/>
        <v>0</v>
      </c>
      <c r="Q584">
        <f t="shared" si="53"/>
        <v>8.3420255266182703</v>
      </c>
    </row>
    <row r="585" spans="1:17" x14ac:dyDescent="0.35">
      <c r="A585">
        <v>2031</v>
      </c>
      <c r="B585" t="s">
        <v>11</v>
      </c>
      <c r="C585" t="s">
        <v>10</v>
      </c>
      <c r="D585" t="s">
        <v>18</v>
      </c>
      <c r="E585" t="s">
        <v>483</v>
      </c>
      <c r="F585" t="s">
        <v>86</v>
      </c>
      <c r="G585" s="31">
        <v>2554.0345257736349</v>
      </c>
      <c r="H585" s="31">
        <v>20.77942225145344</v>
      </c>
      <c r="I585" s="31">
        <v>12.437396724835169</v>
      </c>
      <c r="J585" s="32">
        <f t="shared" si="49"/>
        <v>8.3420255266182703</v>
      </c>
      <c r="K585" s="31">
        <v>4235.9447873712716</v>
      </c>
      <c r="L585" s="31">
        <v>2541.5971290488001</v>
      </c>
      <c r="M585" s="32">
        <f t="shared" si="50"/>
        <v>2533.2551035221818</v>
      </c>
      <c r="N585" s="33">
        <f>Result_notebook!L585</f>
        <v>1</v>
      </c>
      <c r="O585" s="31">
        <f t="shared" si="51"/>
        <v>0</v>
      </c>
      <c r="P585" s="31">
        <f t="shared" si="52"/>
        <v>0</v>
      </c>
      <c r="Q585">
        <f t="shared" si="53"/>
        <v>8.3420255266182703</v>
      </c>
    </row>
    <row r="586" spans="1:17" x14ac:dyDescent="0.35">
      <c r="A586">
        <v>2031</v>
      </c>
      <c r="B586" t="s">
        <v>11</v>
      </c>
      <c r="C586" t="s">
        <v>10</v>
      </c>
      <c r="D586" t="s">
        <v>18</v>
      </c>
      <c r="E586" t="s">
        <v>490</v>
      </c>
      <c r="F586" t="s">
        <v>82</v>
      </c>
      <c r="G586" s="31">
        <v>2554.0345257736349</v>
      </c>
      <c r="H586" s="31">
        <v>20.77942225145344</v>
      </c>
      <c r="I586" s="31">
        <v>12.437396724835169</v>
      </c>
      <c r="J586" s="32">
        <f t="shared" si="49"/>
        <v>8.3420255266182703</v>
      </c>
      <c r="K586" s="31">
        <v>4235.9447873712716</v>
      </c>
      <c r="L586" s="31">
        <v>2541.5971290488001</v>
      </c>
      <c r="M586" s="32">
        <f t="shared" si="50"/>
        <v>2533.2551035221818</v>
      </c>
      <c r="N586" s="33">
        <f>Result_notebook!L586</f>
        <v>1</v>
      </c>
      <c r="O586" s="31">
        <f t="shared" si="51"/>
        <v>0</v>
      </c>
      <c r="P586" s="31">
        <f t="shared" si="52"/>
        <v>0</v>
      </c>
      <c r="Q586">
        <f t="shared" si="53"/>
        <v>8.3420255266182703</v>
      </c>
    </row>
    <row r="587" spans="1:17" x14ac:dyDescent="0.35">
      <c r="A587">
        <v>2031</v>
      </c>
      <c r="B587" t="s">
        <v>8</v>
      </c>
      <c r="C587" t="s">
        <v>4</v>
      </c>
      <c r="D587" t="s">
        <v>16</v>
      </c>
      <c r="E587" t="s">
        <v>483</v>
      </c>
      <c r="F587" t="s">
        <v>80</v>
      </c>
      <c r="G587" s="31">
        <v>93641.810348820844</v>
      </c>
      <c r="H587" s="31">
        <v>0</v>
      </c>
      <c r="I587" s="31">
        <v>0</v>
      </c>
      <c r="J587" s="32">
        <f t="shared" si="49"/>
        <v>0</v>
      </c>
      <c r="K587" s="31">
        <v>118533.9371504061</v>
      </c>
      <c r="L587" s="31">
        <v>93641.810348820844</v>
      </c>
      <c r="M587" s="32">
        <f t="shared" si="50"/>
        <v>93641.810348820844</v>
      </c>
      <c r="N587" s="33">
        <f>Result_notebook!L587</f>
        <v>0.69917047091553897</v>
      </c>
      <c r="O587" s="31">
        <f t="shared" si="51"/>
        <v>0</v>
      </c>
      <c r="P587" s="31">
        <f t="shared" si="52"/>
        <v>0</v>
      </c>
      <c r="Q587">
        <f t="shared" si="53"/>
        <v>0</v>
      </c>
    </row>
    <row r="588" spans="1:17" x14ac:dyDescent="0.35">
      <c r="A588">
        <v>2031</v>
      </c>
      <c r="B588" t="s">
        <v>8</v>
      </c>
      <c r="C588" t="s">
        <v>4</v>
      </c>
      <c r="D588" t="s">
        <v>16</v>
      </c>
      <c r="E588" t="s">
        <v>483</v>
      </c>
      <c r="F588" t="s">
        <v>81</v>
      </c>
      <c r="G588" s="31">
        <v>93641.810348820844</v>
      </c>
      <c r="H588" s="31">
        <v>139278</v>
      </c>
      <c r="I588" s="31">
        <v>78118.250613288372</v>
      </c>
      <c r="J588" s="32">
        <f t="shared" si="49"/>
        <v>19260.814234886071</v>
      </c>
      <c r="K588" s="31">
        <v>0</v>
      </c>
      <c r="L588" s="31">
        <v>15523.55973553247</v>
      </c>
      <c r="M588" s="32">
        <f t="shared" si="50"/>
        <v>0</v>
      </c>
      <c r="N588" s="33">
        <f>Result_notebook!L588</f>
        <v>0.69917047091553897</v>
      </c>
      <c r="O588" s="31">
        <f t="shared" si="51"/>
        <v>-3737.2544993535994</v>
      </c>
      <c r="P588" s="31">
        <f t="shared" si="52"/>
        <v>0</v>
      </c>
      <c r="Q588">
        <f t="shared" si="53"/>
        <v>19260.814234886071</v>
      </c>
    </row>
    <row r="589" spans="1:17" x14ac:dyDescent="0.35">
      <c r="A589">
        <v>2031</v>
      </c>
      <c r="B589" t="s">
        <v>8</v>
      </c>
      <c r="C589" t="s">
        <v>4</v>
      </c>
      <c r="D589" t="s">
        <v>18</v>
      </c>
      <c r="E589" t="s">
        <v>483</v>
      </c>
      <c r="F589" t="s">
        <v>85</v>
      </c>
      <c r="G589" s="31">
        <v>93641.810348820844</v>
      </c>
      <c r="H589" s="31">
        <v>192804</v>
      </c>
      <c r="I589" s="31">
        <v>108139.9157888859</v>
      </c>
      <c r="J589" s="32">
        <f t="shared" si="49"/>
        <v>26662.947685513675</v>
      </c>
      <c r="K589" s="31">
        <v>0</v>
      </c>
      <c r="L589" s="31">
        <v>0</v>
      </c>
      <c r="M589" s="32">
        <f t="shared" si="50"/>
        <v>0</v>
      </c>
      <c r="N589" s="33">
        <f>Result_notebook!L589</f>
        <v>0.69917047091553897</v>
      </c>
      <c r="O589" s="31">
        <f t="shared" si="51"/>
        <v>-41161.053125578735</v>
      </c>
      <c r="P589" s="31">
        <f t="shared" si="52"/>
        <v>14498.105440065061</v>
      </c>
      <c r="Q589">
        <f t="shared" si="53"/>
        <v>26662.947685513675</v>
      </c>
    </row>
    <row r="590" spans="1:17" x14ac:dyDescent="0.35">
      <c r="A590">
        <v>2031</v>
      </c>
      <c r="B590" t="s">
        <v>8</v>
      </c>
      <c r="C590" t="s">
        <v>4</v>
      </c>
      <c r="D590" t="s">
        <v>18</v>
      </c>
      <c r="E590" t="s">
        <v>483</v>
      </c>
      <c r="F590" t="s">
        <v>86</v>
      </c>
      <c r="G590" s="31">
        <v>93641.810348820844</v>
      </c>
      <c r="H590" s="31">
        <v>192804</v>
      </c>
      <c r="I590" s="31">
        <v>108139.9157888859</v>
      </c>
      <c r="J590" s="32">
        <f t="shared" si="49"/>
        <v>26662.947685513675</v>
      </c>
      <c r="K590" s="31">
        <v>0</v>
      </c>
      <c r="L590" s="31">
        <v>0</v>
      </c>
      <c r="M590" s="32">
        <f t="shared" si="50"/>
        <v>0</v>
      </c>
      <c r="N590" s="33">
        <f>Result_notebook!L590</f>
        <v>0.69917047091553897</v>
      </c>
      <c r="O590" s="31">
        <f t="shared" si="51"/>
        <v>-41161.053125578735</v>
      </c>
      <c r="P590" s="31">
        <f t="shared" si="52"/>
        <v>14498.105440065061</v>
      </c>
      <c r="Q590">
        <f t="shared" si="53"/>
        <v>26662.947685513675</v>
      </c>
    </row>
    <row r="591" spans="1:17" x14ac:dyDescent="0.35">
      <c r="A591">
        <v>2031</v>
      </c>
      <c r="B591" t="s">
        <v>8</v>
      </c>
      <c r="C591" t="s">
        <v>4</v>
      </c>
      <c r="D591" t="s">
        <v>18</v>
      </c>
      <c r="E591" t="s">
        <v>490</v>
      </c>
      <c r="F591" t="s">
        <v>82</v>
      </c>
      <c r="G591" s="31">
        <v>93641.810348820844</v>
      </c>
      <c r="H591" s="31">
        <v>192804</v>
      </c>
      <c r="I591" s="31">
        <v>151843.75361407921</v>
      </c>
      <c r="J591" s="32">
        <f t="shared" si="49"/>
        <v>-17040.890139679628</v>
      </c>
      <c r="K591" s="31">
        <v>0</v>
      </c>
      <c r="L591" s="31">
        <v>0</v>
      </c>
      <c r="M591" s="32">
        <f t="shared" si="50"/>
        <v>17040.890139679628</v>
      </c>
      <c r="N591" s="33">
        <f>Result_notebook!L591</f>
        <v>0.69917047091553897</v>
      </c>
      <c r="O591" s="31">
        <f t="shared" si="51"/>
        <v>-58201.943265258364</v>
      </c>
      <c r="P591" s="31">
        <f t="shared" si="52"/>
        <v>58201.943265258364</v>
      </c>
      <c r="Q591">
        <f t="shared" si="53"/>
        <v>-17040.890139679628</v>
      </c>
    </row>
    <row r="592" spans="1:17" x14ac:dyDescent="0.35">
      <c r="A592">
        <v>2031</v>
      </c>
      <c r="B592" t="s">
        <v>8</v>
      </c>
      <c r="C592" t="s">
        <v>9</v>
      </c>
      <c r="D592" t="s">
        <v>16</v>
      </c>
      <c r="E592" t="s">
        <v>483</v>
      </c>
      <c r="F592" t="s">
        <v>80</v>
      </c>
      <c r="G592" s="31">
        <v>45309.507358348303</v>
      </c>
      <c r="H592" s="31">
        <v>0</v>
      </c>
      <c r="I592" s="31">
        <v>0</v>
      </c>
      <c r="J592" s="32">
        <f t="shared" si="49"/>
        <v>0</v>
      </c>
      <c r="K592" s="31">
        <v>57353.806782719374</v>
      </c>
      <c r="L592" s="31">
        <v>45309.507358348303</v>
      </c>
      <c r="M592" s="32">
        <f t="shared" si="50"/>
        <v>45309.507358348303</v>
      </c>
      <c r="N592" s="33">
        <f>Result_notebook!L592</f>
        <v>0.69917047091553897</v>
      </c>
      <c r="O592" s="31">
        <f t="shared" si="51"/>
        <v>0</v>
      </c>
      <c r="P592" s="31">
        <f t="shared" si="52"/>
        <v>0</v>
      </c>
      <c r="Q592">
        <f t="shared" si="53"/>
        <v>0</v>
      </c>
    </row>
    <row r="593" spans="1:17" x14ac:dyDescent="0.35">
      <c r="A593">
        <v>2031</v>
      </c>
      <c r="B593" t="s">
        <v>8</v>
      </c>
      <c r="C593" t="s">
        <v>9</v>
      </c>
      <c r="D593" t="s">
        <v>16</v>
      </c>
      <c r="E593" t="s">
        <v>483</v>
      </c>
      <c r="F593" t="s">
        <v>81</v>
      </c>
      <c r="G593" s="31">
        <v>45309.507358348303</v>
      </c>
      <c r="H593" s="31">
        <v>139278</v>
      </c>
      <c r="I593" s="31">
        <v>78118.250613288372</v>
      </c>
      <c r="J593" s="32">
        <f t="shared" si="49"/>
        <v>19260.814234886071</v>
      </c>
      <c r="K593" s="31">
        <v>0</v>
      </c>
      <c r="L593" s="31">
        <v>0</v>
      </c>
      <c r="M593" s="32">
        <f t="shared" si="50"/>
        <v>0</v>
      </c>
      <c r="N593" s="33">
        <f>Result_notebook!L593</f>
        <v>0.69917047091553897</v>
      </c>
      <c r="O593" s="31">
        <f t="shared" si="51"/>
        <v>-52069.55748982614</v>
      </c>
      <c r="P593" s="31">
        <f t="shared" si="52"/>
        <v>32808.743254940069</v>
      </c>
      <c r="Q593">
        <f t="shared" si="53"/>
        <v>19260.814234886071</v>
      </c>
    </row>
    <row r="594" spans="1:17" x14ac:dyDescent="0.35">
      <c r="A594">
        <v>2031</v>
      </c>
      <c r="B594" t="s">
        <v>8</v>
      </c>
      <c r="C594" t="s">
        <v>9</v>
      </c>
      <c r="D594" t="s">
        <v>18</v>
      </c>
      <c r="E594" t="s">
        <v>483</v>
      </c>
      <c r="F594" t="s">
        <v>85</v>
      </c>
      <c r="G594" s="31">
        <v>45309.507358348303</v>
      </c>
      <c r="H594" s="31">
        <v>192804</v>
      </c>
      <c r="I594" s="31">
        <v>108139.9157888859</v>
      </c>
      <c r="J594" s="32">
        <f t="shared" si="49"/>
        <v>26662.947685513675</v>
      </c>
      <c r="K594" s="31">
        <v>0</v>
      </c>
      <c r="L594" s="31">
        <v>0</v>
      </c>
      <c r="M594" s="32">
        <f t="shared" si="50"/>
        <v>0</v>
      </c>
      <c r="N594" s="33">
        <f>Result_notebook!L594</f>
        <v>0.69917047091553897</v>
      </c>
      <c r="O594" s="31">
        <f t="shared" si="51"/>
        <v>-89493.356116051276</v>
      </c>
      <c r="P594" s="31">
        <f t="shared" si="52"/>
        <v>62830.408430537602</v>
      </c>
      <c r="Q594">
        <f t="shared" si="53"/>
        <v>26662.947685513675</v>
      </c>
    </row>
    <row r="595" spans="1:17" x14ac:dyDescent="0.35">
      <c r="A595">
        <v>2031</v>
      </c>
      <c r="B595" t="s">
        <v>8</v>
      </c>
      <c r="C595" t="s">
        <v>9</v>
      </c>
      <c r="D595" t="s">
        <v>18</v>
      </c>
      <c r="E595" t="s">
        <v>483</v>
      </c>
      <c r="F595" t="s">
        <v>86</v>
      </c>
      <c r="G595" s="31">
        <v>45309.507358348303</v>
      </c>
      <c r="H595" s="31">
        <v>192804</v>
      </c>
      <c r="I595" s="31">
        <v>108139.9157888859</v>
      </c>
      <c r="J595" s="32">
        <f t="shared" si="49"/>
        <v>26662.947685513675</v>
      </c>
      <c r="K595" s="31">
        <v>0</v>
      </c>
      <c r="L595" s="31">
        <v>0</v>
      </c>
      <c r="M595" s="32">
        <f t="shared" si="50"/>
        <v>0</v>
      </c>
      <c r="N595" s="33">
        <f>Result_notebook!L595</f>
        <v>0.69917047091553897</v>
      </c>
      <c r="O595" s="31">
        <f t="shared" si="51"/>
        <v>-89493.356116051276</v>
      </c>
      <c r="P595" s="31">
        <f t="shared" si="52"/>
        <v>62830.408430537602</v>
      </c>
      <c r="Q595">
        <f t="shared" si="53"/>
        <v>26662.947685513675</v>
      </c>
    </row>
    <row r="596" spans="1:17" x14ac:dyDescent="0.35">
      <c r="A596">
        <v>2031</v>
      </c>
      <c r="B596" t="s">
        <v>8</v>
      </c>
      <c r="C596" t="s">
        <v>9</v>
      </c>
      <c r="D596" t="s">
        <v>18</v>
      </c>
      <c r="E596" t="s">
        <v>490</v>
      </c>
      <c r="F596" t="s">
        <v>82</v>
      </c>
      <c r="G596" s="31">
        <v>45309.507358348303</v>
      </c>
      <c r="H596" s="31">
        <v>192804</v>
      </c>
      <c r="I596" s="31">
        <v>151843.75361407921</v>
      </c>
      <c r="J596" s="32">
        <f t="shared" si="49"/>
        <v>-17040.890139679628</v>
      </c>
      <c r="K596" s="31">
        <v>0</v>
      </c>
      <c r="L596" s="31">
        <v>0</v>
      </c>
      <c r="M596" s="32">
        <f t="shared" si="50"/>
        <v>17040.890139679628</v>
      </c>
      <c r="N596" s="33">
        <f>Result_notebook!L596</f>
        <v>0.69917047091553897</v>
      </c>
      <c r="O596" s="31">
        <f t="shared" si="51"/>
        <v>-106534.2462557309</v>
      </c>
      <c r="P596" s="31">
        <f t="shared" si="52"/>
        <v>106534.2462557309</v>
      </c>
      <c r="Q596">
        <f t="shared" si="53"/>
        <v>-17040.890139679628</v>
      </c>
    </row>
    <row r="597" spans="1:17" x14ac:dyDescent="0.35">
      <c r="A597">
        <v>2031</v>
      </c>
      <c r="B597" t="s">
        <v>8</v>
      </c>
      <c r="C597" t="s">
        <v>10</v>
      </c>
      <c r="D597" t="s">
        <v>16</v>
      </c>
      <c r="E597" t="s">
        <v>483</v>
      </c>
      <c r="F597" t="s">
        <v>80</v>
      </c>
      <c r="G597" s="31">
        <v>88691.707094776124</v>
      </c>
      <c r="H597" s="31">
        <v>0</v>
      </c>
      <c r="I597" s="31">
        <v>0</v>
      </c>
      <c r="J597" s="32">
        <f t="shared" si="49"/>
        <v>0</v>
      </c>
      <c r="K597" s="31">
        <v>112267.9836642736</v>
      </c>
      <c r="L597" s="31">
        <v>88691.707094776124</v>
      </c>
      <c r="M597" s="32">
        <f t="shared" si="50"/>
        <v>88691.707094776124</v>
      </c>
      <c r="N597" s="33">
        <f>Result_notebook!L597</f>
        <v>0.69917047091553897</v>
      </c>
      <c r="O597" s="31">
        <f t="shared" si="51"/>
        <v>0</v>
      </c>
      <c r="P597" s="31">
        <f t="shared" si="52"/>
        <v>0</v>
      </c>
      <c r="Q597">
        <f t="shared" si="53"/>
        <v>0</v>
      </c>
    </row>
    <row r="598" spans="1:17" x14ac:dyDescent="0.35">
      <c r="A598">
        <v>2031</v>
      </c>
      <c r="B598" t="s">
        <v>8</v>
      </c>
      <c r="C598" t="s">
        <v>10</v>
      </c>
      <c r="D598" t="s">
        <v>16</v>
      </c>
      <c r="E598" t="s">
        <v>483</v>
      </c>
      <c r="F598" t="s">
        <v>81</v>
      </c>
      <c r="G598" s="31">
        <v>88691.707094776124</v>
      </c>
      <c r="H598" s="31">
        <v>139278</v>
      </c>
      <c r="I598" s="31">
        <v>78118.250613288372</v>
      </c>
      <c r="J598" s="32">
        <f t="shared" si="49"/>
        <v>19260.814234886071</v>
      </c>
      <c r="K598" s="31">
        <v>0</v>
      </c>
      <c r="L598" s="31">
        <v>10573.45648148775</v>
      </c>
      <c r="M598" s="32">
        <f t="shared" si="50"/>
        <v>0</v>
      </c>
      <c r="N598" s="33">
        <f>Result_notebook!L598</f>
        <v>0.69917047091553897</v>
      </c>
      <c r="O598" s="31">
        <f t="shared" si="51"/>
        <v>-8687.3577533983189</v>
      </c>
      <c r="P598" s="31">
        <f t="shared" si="52"/>
        <v>0</v>
      </c>
      <c r="Q598">
        <f t="shared" si="53"/>
        <v>19260.814234886071</v>
      </c>
    </row>
    <row r="599" spans="1:17" x14ac:dyDescent="0.35">
      <c r="A599">
        <v>2031</v>
      </c>
      <c r="B599" t="s">
        <v>8</v>
      </c>
      <c r="C599" t="s">
        <v>10</v>
      </c>
      <c r="D599" t="s">
        <v>18</v>
      </c>
      <c r="E599" t="s">
        <v>483</v>
      </c>
      <c r="F599" t="s">
        <v>85</v>
      </c>
      <c r="G599" s="31">
        <v>88691.707094776124</v>
      </c>
      <c r="H599" s="31">
        <v>192804</v>
      </c>
      <c r="I599" s="31">
        <v>108139.9157888859</v>
      </c>
      <c r="J599" s="32">
        <f t="shared" si="49"/>
        <v>26662.947685513675</v>
      </c>
      <c r="K599" s="31">
        <v>0</v>
      </c>
      <c r="L599" s="31">
        <v>0</v>
      </c>
      <c r="M599" s="32">
        <f t="shared" si="50"/>
        <v>0</v>
      </c>
      <c r="N599" s="33">
        <f>Result_notebook!L599</f>
        <v>0.69917047091553897</v>
      </c>
      <c r="O599" s="31">
        <f t="shared" si="51"/>
        <v>-46111.156379623455</v>
      </c>
      <c r="P599" s="31">
        <f t="shared" si="52"/>
        <v>19448.20869410978</v>
      </c>
      <c r="Q599">
        <f t="shared" si="53"/>
        <v>26662.947685513675</v>
      </c>
    </row>
    <row r="600" spans="1:17" x14ac:dyDescent="0.35">
      <c r="A600">
        <v>2031</v>
      </c>
      <c r="B600" t="s">
        <v>8</v>
      </c>
      <c r="C600" t="s">
        <v>10</v>
      </c>
      <c r="D600" t="s">
        <v>18</v>
      </c>
      <c r="E600" t="s">
        <v>483</v>
      </c>
      <c r="F600" t="s">
        <v>86</v>
      </c>
      <c r="G600" s="31">
        <v>88691.707094776124</v>
      </c>
      <c r="H600" s="31">
        <v>192804</v>
      </c>
      <c r="I600" s="31">
        <v>108139.9157888859</v>
      </c>
      <c r="J600" s="32">
        <f t="shared" si="49"/>
        <v>26662.947685513675</v>
      </c>
      <c r="K600" s="31">
        <v>0</v>
      </c>
      <c r="L600" s="31">
        <v>0</v>
      </c>
      <c r="M600" s="32">
        <f t="shared" si="50"/>
        <v>0</v>
      </c>
      <c r="N600" s="33">
        <f>Result_notebook!L600</f>
        <v>0.69917047091553897</v>
      </c>
      <c r="O600" s="31">
        <f t="shared" si="51"/>
        <v>-46111.156379623455</v>
      </c>
      <c r="P600" s="31">
        <f t="shared" si="52"/>
        <v>19448.20869410978</v>
      </c>
      <c r="Q600">
        <f t="shared" si="53"/>
        <v>26662.947685513675</v>
      </c>
    </row>
    <row r="601" spans="1:17" x14ac:dyDescent="0.35">
      <c r="A601">
        <v>2031</v>
      </c>
      <c r="B601" t="s">
        <v>8</v>
      </c>
      <c r="C601" t="s">
        <v>10</v>
      </c>
      <c r="D601" t="s">
        <v>18</v>
      </c>
      <c r="E601" t="s">
        <v>490</v>
      </c>
      <c r="F601" t="s">
        <v>82</v>
      </c>
      <c r="G601" s="31">
        <v>88691.707094776124</v>
      </c>
      <c r="H601" s="31">
        <v>192804</v>
      </c>
      <c r="I601" s="31">
        <v>151843.75361407921</v>
      </c>
      <c r="J601" s="32">
        <f t="shared" si="49"/>
        <v>-17040.890139679628</v>
      </c>
      <c r="K601" s="31">
        <v>0</v>
      </c>
      <c r="L601" s="31">
        <v>0</v>
      </c>
      <c r="M601" s="32">
        <f t="shared" si="50"/>
        <v>17040.890139679628</v>
      </c>
      <c r="N601" s="33">
        <f>Result_notebook!L601</f>
        <v>0.69917047091553897</v>
      </c>
      <c r="O601" s="31">
        <f t="shared" si="51"/>
        <v>-63152.046519303083</v>
      </c>
      <c r="P601" s="31">
        <f t="shared" si="52"/>
        <v>63152.046519303083</v>
      </c>
      <c r="Q601">
        <f t="shared" si="53"/>
        <v>-17040.890139679628</v>
      </c>
    </row>
    <row r="602" spans="1:17" x14ac:dyDescent="0.35">
      <c r="A602">
        <v>2031</v>
      </c>
      <c r="B602" t="s">
        <v>13</v>
      </c>
      <c r="C602" t="s">
        <v>4</v>
      </c>
      <c r="D602" t="s">
        <v>16</v>
      </c>
      <c r="E602" t="s">
        <v>483</v>
      </c>
      <c r="F602" t="s">
        <v>80</v>
      </c>
      <c r="G602" s="31">
        <v>2159.8800640851032</v>
      </c>
      <c r="H602" s="31">
        <v>0</v>
      </c>
      <c r="I602" s="31">
        <v>0</v>
      </c>
      <c r="J602" s="32">
        <f t="shared" si="49"/>
        <v>0</v>
      </c>
      <c r="K602" s="31">
        <v>2159.8800640851032</v>
      </c>
      <c r="L602" s="31">
        <v>2159.8800640851032</v>
      </c>
      <c r="M602" s="32">
        <f t="shared" si="50"/>
        <v>2159.8800640851032</v>
      </c>
      <c r="N602" s="33">
        <f>Result_notebook!L602</f>
        <v>0.59854391398996798</v>
      </c>
      <c r="O602" s="31">
        <f t="shared" si="51"/>
        <v>0</v>
      </c>
      <c r="P602" s="31">
        <f t="shared" si="52"/>
        <v>0</v>
      </c>
      <c r="Q602">
        <f t="shared" si="53"/>
        <v>0</v>
      </c>
    </row>
    <row r="603" spans="1:17" x14ac:dyDescent="0.35">
      <c r="A603">
        <v>2031</v>
      </c>
      <c r="B603" t="s">
        <v>13</v>
      </c>
      <c r="C603" t="s">
        <v>4</v>
      </c>
      <c r="D603" t="s">
        <v>16</v>
      </c>
      <c r="E603" t="s">
        <v>483</v>
      </c>
      <c r="F603" t="s">
        <v>81</v>
      </c>
      <c r="G603" s="31">
        <v>2159.8800640851032</v>
      </c>
      <c r="H603" s="31">
        <v>0</v>
      </c>
      <c r="I603" s="31">
        <v>0</v>
      </c>
      <c r="J603" s="32">
        <f t="shared" si="49"/>
        <v>0</v>
      </c>
      <c r="K603" s="31">
        <v>2159.8800640851032</v>
      </c>
      <c r="L603" s="31">
        <v>2159.8800640851032</v>
      </c>
      <c r="M603" s="32">
        <f t="shared" si="50"/>
        <v>2159.8800640851032</v>
      </c>
      <c r="N603" s="33">
        <f>Result_notebook!L603</f>
        <v>0.59854391398996798</v>
      </c>
      <c r="O603" s="31">
        <f t="shared" si="51"/>
        <v>0</v>
      </c>
      <c r="P603" s="31">
        <f t="shared" si="52"/>
        <v>0</v>
      </c>
      <c r="Q603">
        <f t="shared" si="53"/>
        <v>0</v>
      </c>
    </row>
    <row r="604" spans="1:17" x14ac:dyDescent="0.35">
      <c r="A604">
        <v>2031</v>
      </c>
      <c r="B604" t="s">
        <v>13</v>
      </c>
      <c r="C604" t="s">
        <v>4</v>
      </c>
      <c r="D604" t="s">
        <v>18</v>
      </c>
      <c r="E604" t="s">
        <v>483</v>
      </c>
      <c r="F604" t="s">
        <v>85</v>
      </c>
      <c r="G604" s="31">
        <v>2159.8800640851032</v>
      </c>
      <c r="H604" s="31">
        <v>99848</v>
      </c>
      <c r="I604" s="31">
        <v>32949.839999999997</v>
      </c>
      <c r="J604" s="32">
        <f t="shared" si="49"/>
        <v>26813.572724070327</v>
      </c>
      <c r="K604" s="31">
        <v>0</v>
      </c>
      <c r="L604" s="31">
        <v>0</v>
      </c>
      <c r="M604" s="32">
        <f t="shared" si="50"/>
        <v>0</v>
      </c>
      <c r="N604" s="33">
        <f>Result_notebook!L604</f>
        <v>0.59854391398996798</v>
      </c>
      <c r="O604" s="31">
        <f t="shared" si="51"/>
        <v>-57603.53265998522</v>
      </c>
      <c r="P604" s="31">
        <f t="shared" si="52"/>
        <v>30789.959935914892</v>
      </c>
      <c r="Q604">
        <f t="shared" si="53"/>
        <v>26813.572724070327</v>
      </c>
    </row>
    <row r="605" spans="1:17" x14ac:dyDescent="0.35">
      <c r="A605">
        <v>2031</v>
      </c>
      <c r="B605" t="s">
        <v>13</v>
      </c>
      <c r="C605" t="s">
        <v>4</v>
      </c>
      <c r="D605" t="s">
        <v>18</v>
      </c>
      <c r="E605" t="s">
        <v>483</v>
      </c>
      <c r="F605" t="s">
        <v>86</v>
      </c>
      <c r="G605" s="31">
        <v>2159.8800640851032</v>
      </c>
      <c r="H605" s="31">
        <v>99848</v>
      </c>
      <c r="I605" s="31">
        <v>32949.839999999997</v>
      </c>
      <c r="J605" s="32">
        <f t="shared" si="49"/>
        <v>26813.572724070327</v>
      </c>
      <c r="K605" s="31">
        <v>0</v>
      </c>
      <c r="L605" s="31">
        <v>0</v>
      </c>
      <c r="M605" s="32">
        <f t="shared" si="50"/>
        <v>0</v>
      </c>
      <c r="N605" s="33">
        <f>Result_notebook!L605</f>
        <v>0.59854391398996798</v>
      </c>
      <c r="O605" s="31">
        <f t="shared" si="51"/>
        <v>-57603.53265998522</v>
      </c>
      <c r="P605" s="31">
        <f t="shared" si="52"/>
        <v>30789.959935914892</v>
      </c>
      <c r="Q605">
        <f t="shared" si="53"/>
        <v>26813.572724070327</v>
      </c>
    </row>
    <row r="606" spans="1:17" x14ac:dyDescent="0.35">
      <c r="A606">
        <v>2031</v>
      </c>
      <c r="B606" t="s">
        <v>13</v>
      </c>
      <c r="C606" t="s">
        <v>4</v>
      </c>
      <c r="D606" t="s">
        <v>18</v>
      </c>
      <c r="E606" t="s">
        <v>490</v>
      </c>
      <c r="F606" t="s">
        <v>82</v>
      </c>
      <c r="G606" s="31">
        <v>2159.8800640851032</v>
      </c>
      <c r="H606" s="31">
        <v>99848</v>
      </c>
      <c r="I606" s="31">
        <v>32949.839999999997</v>
      </c>
      <c r="J606" s="32">
        <f t="shared" si="49"/>
        <v>26813.572724070327</v>
      </c>
      <c r="K606" s="31">
        <v>0</v>
      </c>
      <c r="L606" s="31">
        <v>0</v>
      </c>
      <c r="M606" s="32">
        <f t="shared" si="50"/>
        <v>0</v>
      </c>
      <c r="N606" s="33">
        <f>Result_notebook!L606</f>
        <v>0.59854391398996798</v>
      </c>
      <c r="O606" s="31">
        <f t="shared" si="51"/>
        <v>-57603.53265998522</v>
      </c>
      <c r="P606" s="31">
        <f t="shared" si="52"/>
        <v>30789.959935914892</v>
      </c>
      <c r="Q606">
        <f t="shared" si="53"/>
        <v>26813.572724070327</v>
      </c>
    </row>
    <row r="607" spans="1:17" x14ac:dyDescent="0.35">
      <c r="A607">
        <v>2031</v>
      </c>
      <c r="B607" t="s">
        <v>13</v>
      </c>
      <c r="C607" t="s">
        <v>9</v>
      </c>
      <c r="D607" t="s">
        <v>16</v>
      </c>
      <c r="E607" t="s">
        <v>483</v>
      </c>
      <c r="F607" t="s">
        <v>80</v>
      </c>
      <c r="G607" s="31">
        <v>939.76655065013301</v>
      </c>
      <c r="H607" s="31">
        <v>0</v>
      </c>
      <c r="I607" s="31">
        <v>0</v>
      </c>
      <c r="J607" s="32">
        <f t="shared" si="49"/>
        <v>0</v>
      </c>
      <c r="K607" s="31">
        <v>939.76655065013301</v>
      </c>
      <c r="L607" s="31">
        <v>939.76655065013301</v>
      </c>
      <c r="M607" s="32">
        <f t="shared" si="50"/>
        <v>939.76655065013301</v>
      </c>
      <c r="N607" s="33">
        <f>Result_notebook!L607</f>
        <v>0.59854391398996798</v>
      </c>
      <c r="O607" s="31">
        <f t="shared" si="51"/>
        <v>0</v>
      </c>
      <c r="P607" s="31">
        <f t="shared" si="52"/>
        <v>0</v>
      </c>
      <c r="Q607">
        <f t="shared" si="53"/>
        <v>0</v>
      </c>
    </row>
    <row r="608" spans="1:17" x14ac:dyDescent="0.35">
      <c r="A608">
        <v>2031</v>
      </c>
      <c r="B608" t="s">
        <v>13</v>
      </c>
      <c r="C608" t="s">
        <v>9</v>
      </c>
      <c r="D608" t="s">
        <v>16</v>
      </c>
      <c r="E608" t="s">
        <v>483</v>
      </c>
      <c r="F608" t="s">
        <v>81</v>
      </c>
      <c r="G608" s="31">
        <v>939.76655065013301</v>
      </c>
      <c r="H608" s="31">
        <v>0</v>
      </c>
      <c r="I608" s="31">
        <v>0</v>
      </c>
      <c r="J608" s="32">
        <f t="shared" si="49"/>
        <v>0</v>
      </c>
      <c r="K608" s="31">
        <v>939.76655065013301</v>
      </c>
      <c r="L608" s="31">
        <v>939.76655065013301</v>
      </c>
      <c r="M608" s="32">
        <f t="shared" si="50"/>
        <v>939.76655065013301</v>
      </c>
      <c r="N608" s="33">
        <f>Result_notebook!L608</f>
        <v>0.59854391398996798</v>
      </c>
      <c r="O608" s="31">
        <f t="shared" si="51"/>
        <v>0</v>
      </c>
      <c r="P608" s="31">
        <f t="shared" si="52"/>
        <v>0</v>
      </c>
      <c r="Q608">
        <f t="shared" si="53"/>
        <v>0</v>
      </c>
    </row>
    <row r="609" spans="1:17" x14ac:dyDescent="0.35">
      <c r="A609">
        <v>2031</v>
      </c>
      <c r="B609" t="s">
        <v>13</v>
      </c>
      <c r="C609" t="s">
        <v>9</v>
      </c>
      <c r="D609" t="s">
        <v>18</v>
      </c>
      <c r="E609" t="s">
        <v>483</v>
      </c>
      <c r="F609" t="s">
        <v>85</v>
      </c>
      <c r="G609" s="31">
        <v>939.76655065013301</v>
      </c>
      <c r="H609" s="31">
        <v>99848</v>
      </c>
      <c r="I609" s="31">
        <v>32949.839999999997</v>
      </c>
      <c r="J609" s="32">
        <f t="shared" si="49"/>
        <v>26813.572724070327</v>
      </c>
      <c r="K609" s="31">
        <v>0</v>
      </c>
      <c r="L609" s="31">
        <v>0</v>
      </c>
      <c r="M609" s="32">
        <f t="shared" si="50"/>
        <v>0</v>
      </c>
      <c r="N609" s="33">
        <f>Result_notebook!L609</f>
        <v>0.59854391398996798</v>
      </c>
      <c r="O609" s="31">
        <f t="shared" si="51"/>
        <v>-58823.646173420188</v>
      </c>
      <c r="P609" s="31">
        <f t="shared" si="52"/>
        <v>32010.073449349864</v>
      </c>
      <c r="Q609">
        <f t="shared" si="53"/>
        <v>26813.572724070327</v>
      </c>
    </row>
    <row r="610" spans="1:17" x14ac:dyDescent="0.35">
      <c r="A610">
        <v>2031</v>
      </c>
      <c r="B610" t="s">
        <v>13</v>
      </c>
      <c r="C610" t="s">
        <v>9</v>
      </c>
      <c r="D610" t="s">
        <v>18</v>
      </c>
      <c r="E610" t="s">
        <v>483</v>
      </c>
      <c r="F610" t="s">
        <v>86</v>
      </c>
      <c r="G610" s="31">
        <v>939.76655065013301</v>
      </c>
      <c r="H610" s="31">
        <v>99848</v>
      </c>
      <c r="I610" s="31">
        <v>32949.839999999997</v>
      </c>
      <c r="J610" s="32">
        <f t="shared" si="49"/>
        <v>26813.572724070327</v>
      </c>
      <c r="K610" s="31">
        <v>0</v>
      </c>
      <c r="L610" s="31">
        <v>0</v>
      </c>
      <c r="M610" s="32">
        <f t="shared" si="50"/>
        <v>0</v>
      </c>
      <c r="N610" s="33">
        <f>Result_notebook!L610</f>
        <v>0.59854391398996798</v>
      </c>
      <c r="O610" s="31">
        <f t="shared" si="51"/>
        <v>-58823.646173420188</v>
      </c>
      <c r="P610" s="31">
        <f t="shared" si="52"/>
        <v>32010.073449349864</v>
      </c>
      <c r="Q610">
        <f t="shared" si="53"/>
        <v>26813.572724070327</v>
      </c>
    </row>
    <row r="611" spans="1:17" x14ac:dyDescent="0.35">
      <c r="A611">
        <v>2031</v>
      </c>
      <c r="B611" t="s">
        <v>13</v>
      </c>
      <c r="C611" t="s">
        <v>9</v>
      </c>
      <c r="D611" t="s">
        <v>18</v>
      </c>
      <c r="E611" t="s">
        <v>490</v>
      </c>
      <c r="F611" t="s">
        <v>82</v>
      </c>
      <c r="G611" s="31">
        <v>939.76655065013301</v>
      </c>
      <c r="H611" s="31">
        <v>99848</v>
      </c>
      <c r="I611" s="31">
        <v>32949.839999999997</v>
      </c>
      <c r="J611" s="32">
        <f t="shared" si="49"/>
        <v>26813.572724070327</v>
      </c>
      <c r="K611" s="31">
        <v>0</v>
      </c>
      <c r="L611" s="31">
        <v>0</v>
      </c>
      <c r="M611" s="32">
        <f t="shared" si="50"/>
        <v>0</v>
      </c>
      <c r="N611" s="33">
        <f>Result_notebook!L611</f>
        <v>0.59854391398996798</v>
      </c>
      <c r="O611" s="31">
        <f t="shared" si="51"/>
        <v>-58823.646173420188</v>
      </c>
      <c r="P611" s="31">
        <f t="shared" si="52"/>
        <v>32010.073449349864</v>
      </c>
      <c r="Q611">
        <f t="shared" si="53"/>
        <v>26813.572724070327</v>
      </c>
    </row>
    <row r="612" spans="1:17" x14ac:dyDescent="0.35">
      <c r="A612">
        <v>2031</v>
      </c>
      <c r="B612" t="s">
        <v>13</v>
      </c>
      <c r="C612" t="s">
        <v>10</v>
      </c>
      <c r="D612" t="s">
        <v>16</v>
      </c>
      <c r="E612" t="s">
        <v>483</v>
      </c>
      <c r="F612" t="s">
        <v>80</v>
      </c>
      <c r="G612" s="31">
        <v>2047.251252746828</v>
      </c>
      <c r="H612" s="31">
        <v>0</v>
      </c>
      <c r="I612" s="31">
        <v>0</v>
      </c>
      <c r="J612" s="32">
        <f t="shared" si="49"/>
        <v>0</v>
      </c>
      <c r="K612" s="31">
        <v>2047.251252746828</v>
      </c>
      <c r="L612" s="31">
        <v>2047.251252746828</v>
      </c>
      <c r="M612" s="32">
        <f t="shared" si="50"/>
        <v>2047.251252746828</v>
      </c>
      <c r="N612" s="33">
        <f>Result_notebook!L612</f>
        <v>0.59854391398996798</v>
      </c>
      <c r="O612" s="31">
        <f t="shared" si="51"/>
        <v>0</v>
      </c>
      <c r="P612" s="31">
        <f t="shared" si="52"/>
        <v>0</v>
      </c>
      <c r="Q612">
        <f t="shared" si="53"/>
        <v>0</v>
      </c>
    </row>
    <row r="613" spans="1:17" x14ac:dyDescent="0.35">
      <c r="A613">
        <v>2031</v>
      </c>
      <c r="B613" t="s">
        <v>13</v>
      </c>
      <c r="C613" t="s">
        <v>10</v>
      </c>
      <c r="D613" t="s">
        <v>16</v>
      </c>
      <c r="E613" t="s">
        <v>483</v>
      </c>
      <c r="F613" t="s">
        <v>81</v>
      </c>
      <c r="G613" s="31">
        <v>2047.251252746828</v>
      </c>
      <c r="H613" s="31">
        <v>0</v>
      </c>
      <c r="I613" s="31">
        <v>0</v>
      </c>
      <c r="J613" s="32">
        <f t="shared" si="49"/>
        <v>0</v>
      </c>
      <c r="K613" s="31">
        <v>2047.251252746828</v>
      </c>
      <c r="L613" s="31">
        <v>2047.251252746828</v>
      </c>
      <c r="M613" s="32">
        <f t="shared" si="50"/>
        <v>2047.251252746828</v>
      </c>
      <c r="N613" s="33">
        <f>Result_notebook!L613</f>
        <v>0.59854391398996798</v>
      </c>
      <c r="O613" s="31">
        <f t="shared" si="51"/>
        <v>0</v>
      </c>
      <c r="P613" s="31">
        <f t="shared" si="52"/>
        <v>0</v>
      </c>
      <c r="Q613">
        <f t="shared" si="53"/>
        <v>0</v>
      </c>
    </row>
    <row r="614" spans="1:17" x14ac:dyDescent="0.35">
      <c r="A614">
        <v>2031</v>
      </c>
      <c r="B614" t="s">
        <v>13</v>
      </c>
      <c r="C614" t="s">
        <v>10</v>
      </c>
      <c r="D614" t="s">
        <v>18</v>
      </c>
      <c r="E614" t="s">
        <v>483</v>
      </c>
      <c r="F614" t="s">
        <v>85</v>
      </c>
      <c r="G614" s="31">
        <v>2047.251252746828</v>
      </c>
      <c r="H614" s="31">
        <v>99848</v>
      </c>
      <c r="I614" s="31">
        <v>32949.839999999997</v>
      </c>
      <c r="J614" s="32">
        <f t="shared" si="49"/>
        <v>26813.572724070327</v>
      </c>
      <c r="K614" s="31">
        <v>0</v>
      </c>
      <c r="L614" s="31">
        <v>0</v>
      </c>
      <c r="M614" s="32">
        <f t="shared" si="50"/>
        <v>0</v>
      </c>
      <c r="N614" s="33">
        <f>Result_notebook!L614</f>
        <v>0.59854391398996798</v>
      </c>
      <c r="O614" s="31">
        <f t="shared" si="51"/>
        <v>-57716.161471323496</v>
      </c>
      <c r="P614" s="31">
        <f t="shared" si="52"/>
        <v>30902.588747253169</v>
      </c>
      <c r="Q614">
        <f t="shared" si="53"/>
        <v>26813.572724070327</v>
      </c>
    </row>
    <row r="615" spans="1:17" x14ac:dyDescent="0.35">
      <c r="A615">
        <v>2031</v>
      </c>
      <c r="B615" t="s">
        <v>13</v>
      </c>
      <c r="C615" t="s">
        <v>10</v>
      </c>
      <c r="D615" t="s">
        <v>18</v>
      </c>
      <c r="E615" t="s">
        <v>483</v>
      </c>
      <c r="F615" t="s">
        <v>86</v>
      </c>
      <c r="G615" s="31">
        <v>2047.251252746828</v>
      </c>
      <c r="H615" s="31">
        <v>99848</v>
      </c>
      <c r="I615" s="31">
        <v>32949.839999999997</v>
      </c>
      <c r="J615" s="32">
        <f t="shared" si="49"/>
        <v>26813.572724070327</v>
      </c>
      <c r="K615" s="31">
        <v>0</v>
      </c>
      <c r="L615" s="31">
        <v>0</v>
      </c>
      <c r="M615" s="32">
        <f t="shared" si="50"/>
        <v>0</v>
      </c>
      <c r="N615" s="33">
        <f>Result_notebook!L615</f>
        <v>0.59854391398996798</v>
      </c>
      <c r="O615" s="31">
        <f t="shared" si="51"/>
        <v>-57716.161471323496</v>
      </c>
      <c r="P615" s="31">
        <f t="shared" si="52"/>
        <v>30902.588747253169</v>
      </c>
      <c r="Q615">
        <f t="shared" si="53"/>
        <v>26813.572724070327</v>
      </c>
    </row>
    <row r="616" spans="1:17" x14ac:dyDescent="0.35">
      <c r="A616">
        <v>2031</v>
      </c>
      <c r="B616" t="s">
        <v>13</v>
      </c>
      <c r="C616" t="s">
        <v>10</v>
      </c>
      <c r="D616" t="s">
        <v>18</v>
      </c>
      <c r="E616" t="s">
        <v>490</v>
      </c>
      <c r="F616" t="s">
        <v>82</v>
      </c>
      <c r="G616" s="31">
        <v>2047.251252746828</v>
      </c>
      <c r="H616" s="31">
        <v>99848</v>
      </c>
      <c r="I616" s="31">
        <v>32949.839999999997</v>
      </c>
      <c r="J616" s="32">
        <f t="shared" si="49"/>
        <v>26813.572724070327</v>
      </c>
      <c r="K616" s="31">
        <v>0</v>
      </c>
      <c r="L616" s="31">
        <v>0</v>
      </c>
      <c r="M616" s="32">
        <f t="shared" si="50"/>
        <v>0</v>
      </c>
      <c r="N616" s="33">
        <f>Result_notebook!L616</f>
        <v>0.59854391398996798</v>
      </c>
      <c r="O616" s="31">
        <f t="shared" si="51"/>
        <v>-57716.161471323496</v>
      </c>
      <c r="P616" s="31">
        <f t="shared" si="52"/>
        <v>30902.588747253169</v>
      </c>
      <c r="Q616">
        <f t="shared" si="53"/>
        <v>26813.572724070327</v>
      </c>
    </row>
    <row r="617" spans="1:17" x14ac:dyDescent="0.35">
      <c r="A617">
        <v>2031</v>
      </c>
      <c r="B617" t="s">
        <v>12</v>
      </c>
      <c r="C617" t="s">
        <v>4</v>
      </c>
      <c r="D617" t="s">
        <v>16</v>
      </c>
      <c r="E617" t="s">
        <v>483</v>
      </c>
      <c r="F617" t="s">
        <v>80</v>
      </c>
      <c r="G617" s="31">
        <v>36619.276210392578</v>
      </c>
      <c r="H617" s="31">
        <v>0</v>
      </c>
      <c r="I617" s="31">
        <v>0</v>
      </c>
      <c r="J617" s="32">
        <f t="shared" si="49"/>
        <v>0</v>
      </c>
      <c r="K617" s="31">
        <v>52313.251729132258</v>
      </c>
      <c r="L617" s="31">
        <v>36619.276210392578</v>
      </c>
      <c r="M617" s="32">
        <f t="shared" si="50"/>
        <v>36619.276210392578</v>
      </c>
      <c r="N617" s="33">
        <f>Result_notebook!L617</f>
        <v>0.787554996857322</v>
      </c>
      <c r="O617" s="31">
        <f t="shared" si="51"/>
        <v>0</v>
      </c>
      <c r="P617" s="31">
        <f t="shared" si="52"/>
        <v>0</v>
      </c>
      <c r="Q617">
        <f t="shared" si="53"/>
        <v>0</v>
      </c>
    </row>
    <row r="618" spans="1:17" x14ac:dyDescent="0.35">
      <c r="A618">
        <v>2031</v>
      </c>
      <c r="B618" t="s">
        <v>12</v>
      </c>
      <c r="C618" t="s">
        <v>4</v>
      </c>
      <c r="D618" t="s">
        <v>16</v>
      </c>
      <c r="E618" t="s">
        <v>483</v>
      </c>
      <c r="F618" t="s">
        <v>81</v>
      </c>
      <c r="G618" s="31">
        <v>36619.276210392578</v>
      </c>
      <c r="H618" s="31">
        <v>38166</v>
      </c>
      <c r="I618" s="31">
        <v>26684.54019296246</v>
      </c>
      <c r="J618" s="32">
        <f t="shared" si="49"/>
        <v>3373.2838170940922</v>
      </c>
      <c r="K618" s="31">
        <v>14147.25172913226</v>
      </c>
      <c r="L618" s="31">
        <v>9934.7360174301175</v>
      </c>
      <c r="M618" s="32">
        <f t="shared" si="50"/>
        <v>6561.4522003360253</v>
      </c>
      <c r="N618" s="33">
        <f>Result_notebook!L618</f>
        <v>0.787554996857322</v>
      </c>
      <c r="O618" s="31">
        <f t="shared" si="51"/>
        <v>0</v>
      </c>
      <c r="P618" s="31">
        <f t="shared" si="52"/>
        <v>0</v>
      </c>
      <c r="Q618">
        <f t="shared" si="53"/>
        <v>3373.2838170940922</v>
      </c>
    </row>
    <row r="619" spans="1:17" x14ac:dyDescent="0.35">
      <c r="A619">
        <v>2031</v>
      </c>
      <c r="B619" t="s">
        <v>12</v>
      </c>
      <c r="C619" t="s">
        <v>4</v>
      </c>
      <c r="D619" t="s">
        <v>18</v>
      </c>
      <c r="E619" t="s">
        <v>483</v>
      </c>
      <c r="F619" t="s">
        <v>85</v>
      </c>
      <c r="G619" s="31">
        <v>36619.276210392578</v>
      </c>
      <c r="H619" s="31">
        <v>144924</v>
      </c>
      <c r="I619" s="31">
        <v>101326.5813269636</v>
      </c>
      <c r="J619" s="32">
        <f t="shared" si="49"/>
        <v>12809.039037586932</v>
      </c>
      <c r="K619" s="31">
        <v>0</v>
      </c>
      <c r="L619" s="31">
        <v>0</v>
      </c>
      <c r="M619" s="32">
        <f t="shared" si="50"/>
        <v>0</v>
      </c>
      <c r="N619" s="33">
        <f>Result_notebook!L619</f>
        <v>0.787554996857322</v>
      </c>
      <c r="O619" s="31">
        <f t="shared" si="51"/>
        <v>-77516.344154157952</v>
      </c>
      <c r="P619" s="31">
        <f t="shared" si="52"/>
        <v>64707.30511657102</v>
      </c>
      <c r="Q619">
        <f t="shared" si="53"/>
        <v>12809.039037586932</v>
      </c>
    </row>
    <row r="620" spans="1:17" x14ac:dyDescent="0.35">
      <c r="A620">
        <v>2031</v>
      </c>
      <c r="B620" t="s">
        <v>12</v>
      </c>
      <c r="C620" t="s">
        <v>4</v>
      </c>
      <c r="D620" t="s">
        <v>18</v>
      </c>
      <c r="E620" t="s">
        <v>483</v>
      </c>
      <c r="F620" t="s">
        <v>86</v>
      </c>
      <c r="G620" s="31">
        <v>36619.276210392578</v>
      </c>
      <c r="H620" s="31">
        <v>144924</v>
      </c>
      <c r="I620" s="31">
        <v>101326.5813269636</v>
      </c>
      <c r="J620" s="32">
        <f t="shared" si="49"/>
        <v>12809.039037586932</v>
      </c>
      <c r="K620" s="31">
        <v>0</v>
      </c>
      <c r="L620" s="31">
        <v>0</v>
      </c>
      <c r="M620" s="32">
        <f t="shared" si="50"/>
        <v>0</v>
      </c>
      <c r="N620" s="33">
        <f>Result_notebook!L620</f>
        <v>0.787554996857322</v>
      </c>
      <c r="O620" s="31">
        <f t="shared" si="51"/>
        <v>-77516.344154157952</v>
      </c>
      <c r="P620" s="31">
        <f t="shared" si="52"/>
        <v>64707.30511657102</v>
      </c>
      <c r="Q620">
        <f t="shared" si="53"/>
        <v>12809.039037586932</v>
      </c>
    </row>
    <row r="621" spans="1:17" x14ac:dyDescent="0.35">
      <c r="A621">
        <v>2031</v>
      </c>
      <c r="B621" t="s">
        <v>12</v>
      </c>
      <c r="C621" t="s">
        <v>4</v>
      </c>
      <c r="D621" t="s">
        <v>18</v>
      </c>
      <c r="E621" t="s">
        <v>490</v>
      </c>
      <c r="F621" t="s">
        <v>82</v>
      </c>
      <c r="G621" s="31">
        <v>36619.276210392578</v>
      </c>
      <c r="H621" s="31">
        <v>144924</v>
      </c>
      <c r="I621" s="31">
        <v>101326.5813269636</v>
      </c>
      <c r="J621" s="32">
        <f t="shared" si="49"/>
        <v>12809.039037586932</v>
      </c>
      <c r="K621" s="31">
        <v>0</v>
      </c>
      <c r="L621" s="31">
        <v>0</v>
      </c>
      <c r="M621" s="32">
        <f t="shared" si="50"/>
        <v>0</v>
      </c>
      <c r="N621" s="33">
        <f>Result_notebook!L621</f>
        <v>0.787554996857322</v>
      </c>
      <c r="O621" s="31">
        <f t="shared" si="51"/>
        <v>-77516.344154157952</v>
      </c>
      <c r="P621" s="31">
        <f t="shared" si="52"/>
        <v>64707.30511657102</v>
      </c>
      <c r="Q621">
        <f t="shared" si="53"/>
        <v>12809.039037586932</v>
      </c>
    </row>
    <row r="622" spans="1:17" x14ac:dyDescent="0.35">
      <c r="A622">
        <v>2031</v>
      </c>
      <c r="B622" t="s">
        <v>12</v>
      </c>
      <c r="C622" t="s">
        <v>9</v>
      </c>
      <c r="D622" t="s">
        <v>16</v>
      </c>
      <c r="E622" t="s">
        <v>483</v>
      </c>
      <c r="F622" t="s">
        <v>80</v>
      </c>
      <c r="G622" s="31">
        <v>15933.093445224329</v>
      </c>
      <c r="H622" s="31">
        <v>0</v>
      </c>
      <c r="I622" s="31">
        <v>0</v>
      </c>
      <c r="J622" s="32">
        <f t="shared" si="49"/>
        <v>0</v>
      </c>
      <c r="K622" s="31">
        <v>22761.562064606191</v>
      </c>
      <c r="L622" s="31">
        <v>15933.093445224329</v>
      </c>
      <c r="M622" s="32">
        <f t="shared" si="50"/>
        <v>15933.093445224329</v>
      </c>
      <c r="N622" s="33">
        <f>Result_notebook!L622</f>
        <v>0.787554996857322</v>
      </c>
      <c r="O622" s="31">
        <f t="shared" si="51"/>
        <v>0</v>
      </c>
      <c r="P622" s="31">
        <f t="shared" si="52"/>
        <v>0</v>
      </c>
      <c r="Q622">
        <f t="shared" si="53"/>
        <v>0</v>
      </c>
    </row>
    <row r="623" spans="1:17" x14ac:dyDescent="0.35">
      <c r="A623">
        <v>2031</v>
      </c>
      <c r="B623" t="s">
        <v>12</v>
      </c>
      <c r="C623" t="s">
        <v>9</v>
      </c>
      <c r="D623" t="s">
        <v>16</v>
      </c>
      <c r="E623" t="s">
        <v>483</v>
      </c>
      <c r="F623" t="s">
        <v>81</v>
      </c>
      <c r="G623" s="31">
        <v>15933.093445224329</v>
      </c>
      <c r="H623" s="31">
        <v>38166</v>
      </c>
      <c r="I623" s="31">
        <v>26684.54019296246</v>
      </c>
      <c r="J623" s="32">
        <f t="shared" si="49"/>
        <v>3373.2838170940922</v>
      </c>
      <c r="K623" s="31">
        <v>0</v>
      </c>
      <c r="L623" s="31">
        <v>0</v>
      </c>
      <c r="M623" s="32">
        <f t="shared" si="50"/>
        <v>0</v>
      </c>
      <c r="N623" s="33">
        <f>Result_notebook!L623</f>
        <v>0.787554996857322</v>
      </c>
      <c r="O623" s="31">
        <f t="shared" si="51"/>
        <v>-14124.730564832224</v>
      </c>
      <c r="P623" s="31">
        <f t="shared" si="52"/>
        <v>10751.446747738131</v>
      </c>
      <c r="Q623">
        <f t="shared" si="53"/>
        <v>3373.2838170940922</v>
      </c>
    </row>
    <row r="624" spans="1:17" x14ac:dyDescent="0.35">
      <c r="A624">
        <v>2031</v>
      </c>
      <c r="B624" t="s">
        <v>12</v>
      </c>
      <c r="C624" t="s">
        <v>9</v>
      </c>
      <c r="D624" t="s">
        <v>18</v>
      </c>
      <c r="E624" t="s">
        <v>483</v>
      </c>
      <c r="F624" t="s">
        <v>85</v>
      </c>
      <c r="G624" s="31">
        <v>15933.093445224329</v>
      </c>
      <c r="H624" s="31">
        <v>144924</v>
      </c>
      <c r="I624" s="31">
        <v>101326.5813269636</v>
      </c>
      <c r="J624" s="32">
        <f t="shared" si="49"/>
        <v>12809.039037586932</v>
      </c>
      <c r="K624" s="31">
        <v>0</v>
      </c>
      <c r="L624" s="31">
        <v>0</v>
      </c>
      <c r="M624" s="32">
        <f t="shared" si="50"/>
        <v>0</v>
      </c>
      <c r="N624" s="33">
        <f>Result_notebook!L624</f>
        <v>0.787554996857322</v>
      </c>
      <c r="O624" s="31">
        <f t="shared" si="51"/>
        <v>-98202.526919326207</v>
      </c>
      <c r="P624" s="31">
        <f t="shared" si="52"/>
        <v>85393.487881739275</v>
      </c>
      <c r="Q624">
        <f t="shared" si="53"/>
        <v>12809.039037586932</v>
      </c>
    </row>
    <row r="625" spans="1:17" x14ac:dyDescent="0.35">
      <c r="A625">
        <v>2031</v>
      </c>
      <c r="B625" t="s">
        <v>12</v>
      </c>
      <c r="C625" t="s">
        <v>9</v>
      </c>
      <c r="D625" t="s">
        <v>18</v>
      </c>
      <c r="E625" t="s">
        <v>483</v>
      </c>
      <c r="F625" t="s">
        <v>86</v>
      </c>
      <c r="G625" s="31">
        <v>15933.093445224329</v>
      </c>
      <c r="H625" s="31">
        <v>144924</v>
      </c>
      <c r="I625" s="31">
        <v>101326.5813269636</v>
      </c>
      <c r="J625" s="32">
        <f t="shared" si="49"/>
        <v>12809.039037586932</v>
      </c>
      <c r="K625" s="31">
        <v>0</v>
      </c>
      <c r="L625" s="31">
        <v>0</v>
      </c>
      <c r="M625" s="32">
        <f t="shared" si="50"/>
        <v>0</v>
      </c>
      <c r="N625" s="33">
        <f>Result_notebook!L625</f>
        <v>0.787554996857322</v>
      </c>
      <c r="O625" s="31">
        <f t="shared" si="51"/>
        <v>-98202.526919326207</v>
      </c>
      <c r="P625" s="31">
        <f t="shared" si="52"/>
        <v>85393.487881739275</v>
      </c>
      <c r="Q625">
        <f t="shared" si="53"/>
        <v>12809.039037586932</v>
      </c>
    </row>
    <row r="626" spans="1:17" x14ac:dyDescent="0.35">
      <c r="A626">
        <v>2031</v>
      </c>
      <c r="B626" t="s">
        <v>12</v>
      </c>
      <c r="C626" t="s">
        <v>9</v>
      </c>
      <c r="D626" t="s">
        <v>18</v>
      </c>
      <c r="E626" t="s">
        <v>490</v>
      </c>
      <c r="F626" t="s">
        <v>82</v>
      </c>
      <c r="G626" s="31">
        <v>15933.093445224329</v>
      </c>
      <c r="H626" s="31">
        <v>144924</v>
      </c>
      <c r="I626" s="31">
        <v>101326.5813269636</v>
      </c>
      <c r="J626" s="32">
        <f t="shared" si="49"/>
        <v>12809.039037586932</v>
      </c>
      <c r="K626" s="31">
        <v>0</v>
      </c>
      <c r="L626" s="31">
        <v>0</v>
      </c>
      <c r="M626" s="32">
        <f t="shared" si="50"/>
        <v>0</v>
      </c>
      <c r="N626" s="33">
        <f>Result_notebook!L626</f>
        <v>0.787554996857322</v>
      </c>
      <c r="O626" s="31">
        <f t="shared" si="51"/>
        <v>-98202.526919326207</v>
      </c>
      <c r="P626" s="31">
        <f t="shared" si="52"/>
        <v>85393.487881739275</v>
      </c>
      <c r="Q626">
        <f t="shared" si="53"/>
        <v>12809.039037586932</v>
      </c>
    </row>
    <row r="627" spans="1:17" x14ac:dyDescent="0.35">
      <c r="A627">
        <v>2031</v>
      </c>
      <c r="B627" t="s">
        <v>12</v>
      </c>
      <c r="C627" t="s">
        <v>10</v>
      </c>
      <c r="D627" t="s">
        <v>16</v>
      </c>
      <c r="E627" t="s">
        <v>483</v>
      </c>
      <c r="F627" t="s">
        <v>80</v>
      </c>
      <c r="G627" s="31">
        <v>34709.732425890121</v>
      </c>
      <c r="H627" s="31">
        <v>0</v>
      </c>
      <c r="I627" s="31">
        <v>0</v>
      </c>
      <c r="J627" s="32">
        <f t="shared" si="49"/>
        <v>0</v>
      </c>
      <c r="K627" s="31">
        <v>49585.332036985892</v>
      </c>
      <c r="L627" s="31">
        <v>34709.732425890121</v>
      </c>
      <c r="M627" s="32">
        <f t="shared" si="50"/>
        <v>34709.732425890121</v>
      </c>
      <c r="N627" s="33">
        <f>Result_notebook!L627</f>
        <v>0.787554996857322</v>
      </c>
      <c r="O627" s="31">
        <f t="shared" si="51"/>
        <v>0</v>
      </c>
      <c r="P627" s="31">
        <f t="shared" si="52"/>
        <v>0</v>
      </c>
      <c r="Q627">
        <f t="shared" si="53"/>
        <v>0</v>
      </c>
    </row>
    <row r="628" spans="1:17" x14ac:dyDescent="0.35">
      <c r="A628">
        <v>2031</v>
      </c>
      <c r="B628" t="s">
        <v>12</v>
      </c>
      <c r="C628" t="s">
        <v>10</v>
      </c>
      <c r="D628" t="s">
        <v>16</v>
      </c>
      <c r="E628" t="s">
        <v>483</v>
      </c>
      <c r="F628" t="s">
        <v>81</v>
      </c>
      <c r="G628" s="31">
        <v>34709.732425890121</v>
      </c>
      <c r="H628" s="31">
        <v>38166</v>
      </c>
      <c r="I628" s="31">
        <v>26684.54019296246</v>
      </c>
      <c r="J628" s="32">
        <f t="shared" si="49"/>
        <v>3373.2838170940922</v>
      </c>
      <c r="K628" s="31">
        <v>11419.33203698589</v>
      </c>
      <c r="L628" s="31">
        <v>8025.1922329276604</v>
      </c>
      <c r="M628" s="32">
        <f t="shared" si="50"/>
        <v>4651.9084158335681</v>
      </c>
      <c r="N628" s="33">
        <f>Result_notebook!L628</f>
        <v>0.787554996857322</v>
      </c>
      <c r="O628" s="31">
        <f t="shared" si="51"/>
        <v>0</v>
      </c>
      <c r="P628" s="31">
        <f t="shared" si="52"/>
        <v>0</v>
      </c>
      <c r="Q628">
        <f t="shared" si="53"/>
        <v>3373.2838170940922</v>
      </c>
    </row>
    <row r="629" spans="1:17" x14ac:dyDescent="0.35">
      <c r="A629">
        <v>2031</v>
      </c>
      <c r="B629" t="s">
        <v>12</v>
      </c>
      <c r="C629" t="s">
        <v>10</v>
      </c>
      <c r="D629" t="s">
        <v>18</v>
      </c>
      <c r="E629" t="s">
        <v>483</v>
      </c>
      <c r="F629" t="s">
        <v>85</v>
      </c>
      <c r="G629" s="31">
        <v>34709.732425890121</v>
      </c>
      <c r="H629" s="31">
        <v>144924</v>
      </c>
      <c r="I629" s="31">
        <v>101326.5813269636</v>
      </c>
      <c r="J629" s="32">
        <f t="shared" si="49"/>
        <v>12809.039037586932</v>
      </c>
      <c r="K629" s="31">
        <v>0</v>
      </c>
      <c r="L629" s="31">
        <v>0</v>
      </c>
      <c r="M629" s="32">
        <f t="shared" si="50"/>
        <v>0</v>
      </c>
      <c r="N629" s="33">
        <f>Result_notebook!L629</f>
        <v>0.787554996857322</v>
      </c>
      <c r="O629" s="31">
        <f t="shared" si="51"/>
        <v>-79425.887938660409</v>
      </c>
      <c r="P629" s="31">
        <f t="shared" si="52"/>
        <v>66616.848901073477</v>
      </c>
      <c r="Q629">
        <f t="shared" si="53"/>
        <v>12809.039037586932</v>
      </c>
    </row>
    <row r="630" spans="1:17" x14ac:dyDescent="0.35">
      <c r="A630">
        <v>2031</v>
      </c>
      <c r="B630" t="s">
        <v>12</v>
      </c>
      <c r="C630" t="s">
        <v>10</v>
      </c>
      <c r="D630" t="s">
        <v>18</v>
      </c>
      <c r="E630" t="s">
        <v>483</v>
      </c>
      <c r="F630" t="s">
        <v>86</v>
      </c>
      <c r="G630" s="31">
        <v>34709.732425890121</v>
      </c>
      <c r="H630" s="31">
        <v>144924</v>
      </c>
      <c r="I630" s="31">
        <v>101326.5813269636</v>
      </c>
      <c r="J630" s="32">
        <f t="shared" si="49"/>
        <v>12809.039037586932</v>
      </c>
      <c r="K630" s="31">
        <v>0</v>
      </c>
      <c r="L630" s="31">
        <v>0</v>
      </c>
      <c r="M630" s="32">
        <f t="shared" si="50"/>
        <v>0</v>
      </c>
      <c r="N630" s="33">
        <f>Result_notebook!L630</f>
        <v>0.787554996857322</v>
      </c>
      <c r="O630" s="31">
        <f t="shared" si="51"/>
        <v>-79425.887938660409</v>
      </c>
      <c r="P630" s="31">
        <f t="shared" si="52"/>
        <v>66616.848901073477</v>
      </c>
      <c r="Q630">
        <f t="shared" si="53"/>
        <v>12809.039037586932</v>
      </c>
    </row>
    <row r="631" spans="1:17" x14ac:dyDescent="0.35">
      <c r="A631">
        <v>2031</v>
      </c>
      <c r="B631" t="s">
        <v>12</v>
      </c>
      <c r="C631" t="s">
        <v>10</v>
      </c>
      <c r="D631" t="s">
        <v>18</v>
      </c>
      <c r="E631" t="s">
        <v>490</v>
      </c>
      <c r="F631" t="s">
        <v>82</v>
      </c>
      <c r="G631" s="31">
        <v>34709.732425890121</v>
      </c>
      <c r="H631" s="31">
        <v>144924</v>
      </c>
      <c r="I631" s="31">
        <v>101326.5813269636</v>
      </c>
      <c r="J631" s="32">
        <f t="shared" si="49"/>
        <v>12809.039037586932</v>
      </c>
      <c r="K631" s="31">
        <v>0</v>
      </c>
      <c r="L631" s="31">
        <v>0</v>
      </c>
      <c r="M631" s="32">
        <f t="shared" si="50"/>
        <v>0</v>
      </c>
      <c r="N631" s="33">
        <f>Result_notebook!L631</f>
        <v>0.787554996857322</v>
      </c>
      <c r="O631" s="31">
        <f t="shared" si="51"/>
        <v>-79425.887938660409</v>
      </c>
      <c r="P631" s="31">
        <f t="shared" si="52"/>
        <v>66616.848901073477</v>
      </c>
      <c r="Q631">
        <f t="shared" si="53"/>
        <v>12809.039037586932</v>
      </c>
    </row>
    <row r="632" spans="1:17" x14ac:dyDescent="0.35">
      <c r="A632">
        <v>2032</v>
      </c>
      <c r="B632" t="s">
        <v>6</v>
      </c>
      <c r="C632" t="s">
        <v>4</v>
      </c>
      <c r="D632" t="s">
        <v>16</v>
      </c>
      <c r="E632" t="s">
        <v>483</v>
      </c>
      <c r="F632" t="s">
        <v>80</v>
      </c>
      <c r="G632" s="31">
        <v>92402.4738250386</v>
      </c>
      <c r="H632" s="31">
        <v>0</v>
      </c>
      <c r="I632" s="31">
        <v>0</v>
      </c>
      <c r="J632" s="32">
        <f t="shared" si="49"/>
        <v>0</v>
      </c>
      <c r="K632" s="31">
        <v>210005.62232963319</v>
      </c>
      <c r="L632" s="31">
        <v>92402.4738250386</v>
      </c>
      <c r="M632" s="32">
        <f t="shared" si="50"/>
        <v>92402.4738250386</v>
      </c>
      <c r="N632" s="33">
        <f>Result_notebook!L632</f>
        <v>0.439346565686978</v>
      </c>
      <c r="O632" s="31">
        <f t="shared" si="51"/>
        <v>0</v>
      </c>
      <c r="P632" s="31">
        <f t="shared" si="52"/>
        <v>0</v>
      </c>
      <c r="Q632">
        <f t="shared" si="53"/>
        <v>0</v>
      </c>
    </row>
    <row r="633" spans="1:17" x14ac:dyDescent="0.35">
      <c r="A633">
        <v>2032</v>
      </c>
      <c r="B633" t="s">
        <v>6</v>
      </c>
      <c r="C633" t="s">
        <v>4</v>
      </c>
      <c r="D633" t="s">
        <v>16</v>
      </c>
      <c r="E633" t="s">
        <v>483</v>
      </c>
      <c r="F633" t="s">
        <v>81</v>
      </c>
      <c r="G633" s="31">
        <v>92402.4738250386</v>
      </c>
      <c r="H633" s="31">
        <v>3392</v>
      </c>
      <c r="I633" s="31">
        <v>1438.824761843257</v>
      </c>
      <c r="J633" s="32">
        <f t="shared" si="49"/>
        <v>51.438788966972425</v>
      </c>
      <c r="K633" s="31">
        <v>206613.62232963319</v>
      </c>
      <c r="L633" s="31">
        <v>90963.649063195349</v>
      </c>
      <c r="M633" s="32">
        <f t="shared" si="50"/>
        <v>90912.210274228375</v>
      </c>
      <c r="N633" s="33">
        <f>Result_notebook!L633</f>
        <v>0.439346565686978</v>
      </c>
      <c r="O633" s="31">
        <f t="shared" si="51"/>
        <v>0</v>
      </c>
      <c r="P633" s="31">
        <f t="shared" si="52"/>
        <v>0</v>
      </c>
      <c r="Q633">
        <f t="shared" si="53"/>
        <v>51.438788966972425</v>
      </c>
    </row>
    <row r="634" spans="1:17" x14ac:dyDescent="0.35">
      <c r="A634">
        <v>2032</v>
      </c>
      <c r="B634" t="s">
        <v>6</v>
      </c>
      <c r="C634" t="s">
        <v>4</v>
      </c>
      <c r="D634" t="s">
        <v>18</v>
      </c>
      <c r="E634" t="s">
        <v>483</v>
      </c>
      <c r="F634" t="s">
        <v>85</v>
      </c>
      <c r="G634" s="31">
        <v>92402.4738250386</v>
      </c>
      <c r="H634" s="31">
        <v>10201.72293008911</v>
      </c>
      <c r="I634" s="31">
        <v>4327.3854850460966</v>
      </c>
      <c r="J634" s="32">
        <f t="shared" si="49"/>
        <v>154.70644837864802</v>
      </c>
      <c r="K634" s="31">
        <v>199803.89939954411</v>
      </c>
      <c r="L634" s="31">
        <v>88075.088339992508</v>
      </c>
      <c r="M634" s="32">
        <f t="shared" si="50"/>
        <v>87920.381891613855</v>
      </c>
      <c r="N634" s="33">
        <f>Result_notebook!L634</f>
        <v>0.439346565686978</v>
      </c>
      <c r="O634" s="31">
        <f t="shared" si="51"/>
        <v>0</v>
      </c>
      <c r="P634" s="31">
        <f t="shared" si="52"/>
        <v>0</v>
      </c>
      <c r="Q634">
        <f t="shared" si="53"/>
        <v>154.70644837864802</v>
      </c>
    </row>
    <row r="635" spans="1:17" x14ac:dyDescent="0.35">
      <c r="A635">
        <v>2032</v>
      </c>
      <c r="B635" t="s">
        <v>6</v>
      </c>
      <c r="C635" t="s">
        <v>4</v>
      </c>
      <c r="D635" t="s">
        <v>18</v>
      </c>
      <c r="E635" t="s">
        <v>483</v>
      </c>
      <c r="F635" t="s">
        <v>86</v>
      </c>
      <c r="G635" s="31">
        <v>92402.4738250386</v>
      </c>
      <c r="H635" s="31">
        <v>10201.72293008911</v>
      </c>
      <c r="I635" s="31">
        <v>4327.3854850460966</v>
      </c>
      <c r="J635" s="32">
        <f t="shared" si="49"/>
        <v>154.70644837864802</v>
      </c>
      <c r="K635" s="31">
        <v>199803.89939954411</v>
      </c>
      <c r="L635" s="31">
        <v>88075.088339992508</v>
      </c>
      <c r="M635" s="32">
        <f t="shared" si="50"/>
        <v>87920.381891613855</v>
      </c>
      <c r="N635" s="33">
        <f>Result_notebook!L635</f>
        <v>0.439346565686978</v>
      </c>
      <c r="O635" s="31">
        <f t="shared" si="51"/>
        <v>0</v>
      </c>
      <c r="P635" s="31">
        <f t="shared" si="52"/>
        <v>0</v>
      </c>
      <c r="Q635">
        <f t="shared" si="53"/>
        <v>154.70644837864802</v>
      </c>
    </row>
    <row r="636" spans="1:17" x14ac:dyDescent="0.35">
      <c r="A636">
        <v>2032</v>
      </c>
      <c r="B636" t="s">
        <v>6</v>
      </c>
      <c r="C636" t="s">
        <v>4</v>
      </c>
      <c r="D636" t="s">
        <v>18</v>
      </c>
      <c r="E636" t="s">
        <v>490</v>
      </c>
      <c r="F636" t="s">
        <v>82</v>
      </c>
      <c r="G636" s="31">
        <v>92402.4738250386</v>
      </c>
      <c r="H636" s="31">
        <v>10201.72293008911</v>
      </c>
      <c r="I636" s="31">
        <v>4482.0919334247501</v>
      </c>
      <c r="J636" s="32">
        <f t="shared" si="49"/>
        <v>0</v>
      </c>
      <c r="K636" s="31">
        <v>199803.89939954411</v>
      </c>
      <c r="L636" s="31">
        <v>87920.381891613855</v>
      </c>
      <c r="M636" s="32">
        <f t="shared" si="50"/>
        <v>87920.381891613855</v>
      </c>
      <c r="N636" s="33">
        <f>Result_notebook!L636</f>
        <v>0.439346565686978</v>
      </c>
      <c r="O636" s="31">
        <f t="shared" si="51"/>
        <v>0</v>
      </c>
      <c r="P636" s="31">
        <f t="shared" si="52"/>
        <v>0</v>
      </c>
      <c r="Q636">
        <f t="shared" si="53"/>
        <v>0</v>
      </c>
    </row>
    <row r="637" spans="1:17" x14ac:dyDescent="0.35">
      <c r="A637">
        <v>2032</v>
      </c>
      <c r="B637" t="s">
        <v>6</v>
      </c>
      <c r="C637" t="s">
        <v>9</v>
      </c>
      <c r="D637" t="s">
        <v>16</v>
      </c>
      <c r="E637" t="s">
        <v>483</v>
      </c>
      <c r="F637" t="s">
        <v>80</v>
      </c>
      <c r="G637" s="31">
        <v>38753.635859275622</v>
      </c>
      <c r="H637" s="31">
        <v>0</v>
      </c>
      <c r="I637" s="31">
        <v>0</v>
      </c>
      <c r="J637" s="32">
        <f t="shared" si="49"/>
        <v>0</v>
      </c>
      <c r="K637" s="31">
        <v>88076.445134717316</v>
      </c>
      <c r="L637" s="31">
        <v>38753.635859275622</v>
      </c>
      <c r="M637" s="32">
        <f t="shared" si="50"/>
        <v>38753.635859275622</v>
      </c>
      <c r="N637" s="33">
        <f>Result_notebook!L637</f>
        <v>0.439346565686978</v>
      </c>
      <c r="O637" s="31">
        <f t="shared" si="51"/>
        <v>0</v>
      </c>
      <c r="P637" s="31">
        <f t="shared" si="52"/>
        <v>0</v>
      </c>
      <c r="Q637">
        <f t="shared" si="53"/>
        <v>0</v>
      </c>
    </row>
    <row r="638" spans="1:17" x14ac:dyDescent="0.35">
      <c r="A638">
        <v>2032</v>
      </c>
      <c r="B638" t="s">
        <v>6</v>
      </c>
      <c r="C638" t="s">
        <v>9</v>
      </c>
      <c r="D638" t="s">
        <v>16</v>
      </c>
      <c r="E638" t="s">
        <v>483</v>
      </c>
      <c r="F638" t="s">
        <v>81</v>
      </c>
      <c r="G638" s="31">
        <v>38753.635859275622</v>
      </c>
      <c r="H638" s="31">
        <v>3392</v>
      </c>
      <c r="I638" s="31">
        <v>1438.824761843257</v>
      </c>
      <c r="J638" s="32">
        <f t="shared" si="49"/>
        <v>51.438788966972425</v>
      </c>
      <c r="K638" s="31">
        <v>84684.445134717316</v>
      </c>
      <c r="L638" s="31">
        <v>37314.811097432357</v>
      </c>
      <c r="M638" s="32">
        <f t="shared" si="50"/>
        <v>37263.372308465383</v>
      </c>
      <c r="N638" s="33">
        <f>Result_notebook!L638</f>
        <v>0.439346565686978</v>
      </c>
      <c r="O638" s="31">
        <f t="shared" si="51"/>
        <v>0</v>
      </c>
      <c r="P638" s="31">
        <f t="shared" si="52"/>
        <v>0</v>
      </c>
      <c r="Q638">
        <f t="shared" si="53"/>
        <v>51.438788966972425</v>
      </c>
    </row>
    <row r="639" spans="1:17" x14ac:dyDescent="0.35">
      <c r="A639">
        <v>2032</v>
      </c>
      <c r="B639" t="s">
        <v>6</v>
      </c>
      <c r="C639" t="s">
        <v>9</v>
      </c>
      <c r="D639" t="s">
        <v>18</v>
      </c>
      <c r="E639" t="s">
        <v>483</v>
      </c>
      <c r="F639" t="s">
        <v>85</v>
      </c>
      <c r="G639" s="31">
        <v>38753.635859275622</v>
      </c>
      <c r="H639" s="31">
        <v>10201.72293008911</v>
      </c>
      <c r="I639" s="31">
        <v>4327.3854850460966</v>
      </c>
      <c r="J639" s="32">
        <f t="shared" si="49"/>
        <v>154.70644837864802</v>
      </c>
      <c r="K639" s="31">
        <v>77874.722204628197</v>
      </c>
      <c r="L639" s="31">
        <v>34426.250374229523</v>
      </c>
      <c r="M639" s="32">
        <f t="shared" si="50"/>
        <v>34271.543925850878</v>
      </c>
      <c r="N639" s="33">
        <f>Result_notebook!L639</f>
        <v>0.439346565686978</v>
      </c>
      <c r="O639" s="31">
        <f t="shared" si="51"/>
        <v>0</v>
      </c>
      <c r="P639" s="31">
        <f t="shared" si="52"/>
        <v>0</v>
      </c>
      <c r="Q639">
        <f t="shared" si="53"/>
        <v>154.70644837864802</v>
      </c>
    </row>
    <row r="640" spans="1:17" x14ac:dyDescent="0.35">
      <c r="A640">
        <v>2032</v>
      </c>
      <c r="B640" t="s">
        <v>6</v>
      </c>
      <c r="C640" t="s">
        <v>9</v>
      </c>
      <c r="D640" t="s">
        <v>18</v>
      </c>
      <c r="E640" t="s">
        <v>483</v>
      </c>
      <c r="F640" t="s">
        <v>86</v>
      </c>
      <c r="G640" s="31">
        <v>38753.635859275622</v>
      </c>
      <c r="H640" s="31">
        <v>10201.72293008911</v>
      </c>
      <c r="I640" s="31">
        <v>4327.3854850460966</v>
      </c>
      <c r="J640" s="32">
        <f t="shared" si="49"/>
        <v>154.70644837864802</v>
      </c>
      <c r="K640" s="31">
        <v>77874.722204628197</v>
      </c>
      <c r="L640" s="31">
        <v>34426.250374229523</v>
      </c>
      <c r="M640" s="32">
        <f t="shared" si="50"/>
        <v>34271.543925850878</v>
      </c>
      <c r="N640" s="33">
        <f>Result_notebook!L640</f>
        <v>0.439346565686978</v>
      </c>
      <c r="O640" s="31">
        <f t="shared" si="51"/>
        <v>0</v>
      </c>
      <c r="P640" s="31">
        <f t="shared" si="52"/>
        <v>0</v>
      </c>
      <c r="Q640">
        <f t="shared" si="53"/>
        <v>154.70644837864802</v>
      </c>
    </row>
    <row r="641" spans="1:17" x14ac:dyDescent="0.35">
      <c r="A641">
        <v>2032</v>
      </c>
      <c r="B641" t="s">
        <v>6</v>
      </c>
      <c r="C641" t="s">
        <v>9</v>
      </c>
      <c r="D641" t="s">
        <v>18</v>
      </c>
      <c r="E641" t="s">
        <v>490</v>
      </c>
      <c r="F641" t="s">
        <v>82</v>
      </c>
      <c r="G641" s="31">
        <v>38753.635859275622</v>
      </c>
      <c r="H641" s="31">
        <v>10201.72293008911</v>
      </c>
      <c r="I641" s="31">
        <v>4482.0919334247501</v>
      </c>
      <c r="J641" s="32">
        <f t="shared" si="49"/>
        <v>0</v>
      </c>
      <c r="K641" s="31">
        <v>77874.722204628197</v>
      </c>
      <c r="L641" s="31">
        <v>34271.54392585087</v>
      </c>
      <c r="M641" s="32">
        <f t="shared" si="50"/>
        <v>34271.54392585087</v>
      </c>
      <c r="N641" s="33">
        <f>Result_notebook!L641</f>
        <v>0.439346565686978</v>
      </c>
      <c r="O641" s="31">
        <f t="shared" si="51"/>
        <v>0</v>
      </c>
      <c r="P641" s="31">
        <f t="shared" si="52"/>
        <v>0</v>
      </c>
      <c r="Q641">
        <f t="shared" si="53"/>
        <v>0</v>
      </c>
    </row>
    <row r="642" spans="1:17" x14ac:dyDescent="0.35">
      <c r="A642">
        <v>2032</v>
      </c>
      <c r="B642" t="s">
        <v>6</v>
      </c>
      <c r="C642" t="s">
        <v>10</v>
      </c>
      <c r="D642" t="s">
        <v>16</v>
      </c>
      <c r="E642" t="s">
        <v>483</v>
      </c>
      <c r="F642" t="s">
        <v>80</v>
      </c>
      <c r="G642" s="31">
        <v>87567.768233932453</v>
      </c>
      <c r="H642" s="31">
        <v>0</v>
      </c>
      <c r="I642" s="31">
        <v>0</v>
      </c>
      <c r="J642" s="32">
        <f t="shared" si="49"/>
        <v>0</v>
      </c>
      <c r="K642" s="31">
        <v>199017.65507711921</v>
      </c>
      <c r="L642" s="31">
        <v>87567.768233932453</v>
      </c>
      <c r="M642" s="32">
        <f t="shared" si="50"/>
        <v>87567.768233932453</v>
      </c>
      <c r="N642" s="33">
        <f>Result_notebook!L642</f>
        <v>0.439346565686978</v>
      </c>
      <c r="O642" s="31">
        <f t="shared" si="51"/>
        <v>0</v>
      </c>
      <c r="P642" s="31">
        <f t="shared" si="52"/>
        <v>0</v>
      </c>
      <c r="Q642">
        <f t="shared" si="53"/>
        <v>0</v>
      </c>
    </row>
    <row r="643" spans="1:17" x14ac:dyDescent="0.35">
      <c r="A643">
        <v>2032</v>
      </c>
      <c r="B643" t="s">
        <v>6</v>
      </c>
      <c r="C643" t="s">
        <v>10</v>
      </c>
      <c r="D643" t="s">
        <v>16</v>
      </c>
      <c r="E643" t="s">
        <v>483</v>
      </c>
      <c r="F643" t="s">
        <v>81</v>
      </c>
      <c r="G643" s="31">
        <v>87567.768233932453</v>
      </c>
      <c r="H643" s="31">
        <v>3392</v>
      </c>
      <c r="I643" s="31">
        <v>1438.824761843257</v>
      </c>
      <c r="J643" s="32">
        <f t="shared" ref="J643:J706" si="54">H643*N643-I643</f>
        <v>51.438788966972425</v>
      </c>
      <c r="K643" s="31">
        <v>195625.65507711921</v>
      </c>
      <c r="L643" s="31">
        <v>86128.943472089202</v>
      </c>
      <c r="M643" s="32">
        <f t="shared" ref="M643:M706" si="55">MAX(L643-J643,0)</f>
        <v>86077.504683122228</v>
      </c>
      <c r="N643" s="33">
        <f>Result_notebook!L643</f>
        <v>0.439346565686978</v>
      </c>
      <c r="O643" s="31">
        <f t="shared" ref="O643:O706" si="56">G643-(I643+J643+M643)</f>
        <v>0</v>
      </c>
      <c r="P643" s="31">
        <f t="shared" ref="P643:P706" si="57">MAX(I643-G643,0)</f>
        <v>0</v>
      </c>
      <c r="Q643">
        <f t="shared" ref="Q643:Q706" si="58">(H643*N643)-I643</f>
        <v>51.438788966972425</v>
      </c>
    </row>
    <row r="644" spans="1:17" x14ac:dyDescent="0.35">
      <c r="A644">
        <v>2032</v>
      </c>
      <c r="B644" t="s">
        <v>6</v>
      </c>
      <c r="C644" t="s">
        <v>10</v>
      </c>
      <c r="D644" t="s">
        <v>18</v>
      </c>
      <c r="E644" t="s">
        <v>483</v>
      </c>
      <c r="F644" t="s">
        <v>85</v>
      </c>
      <c r="G644" s="31">
        <v>87567.768233932453</v>
      </c>
      <c r="H644" s="31">
        <v>10201.72293008911</v>
      </c>
      <c r="I644" s="31">
        <v>4327.3854850460966</v>
      </c>
      <c r="J644" s="32">
        <f t="shared" si="54"/>
        <v>154.70644837864802</v>
      </c>
      <c r="K644" s="31">
        <v>188815.93214703011</v>
      </c>
      <c r="L644" s="31">
        <v>83240.382748886361</v>
      </c>
      <c r="M644" s="32">
        <f t="shared" si="55"/>
        <v>83085.676300507708</v>
      </c>
      <c r="N644" s="33">
        <f>Result_notebook!L644</f>
        <v>0.439346565686978</v>
      </c>
      <c r="O644" s="31">
        <f t="shared" si="56"/>
        <v>0</v>
      </c>
      <c r="P644" s="31">
        <f t="shared" si="57"/>
        <v>0</v>
      </c>
      <c r="Q644">
        <f t="shared" si="58"/>
        <v>154.70644837864802</v>
      </c>
    </row>
    <row r="645" spans="1:17" x14ac:dyDescent="0.35">
      <c r="A645">
        <v>2032</v>
      </c>
      <c r="B645" t="s">
        <v>6</v>
      </c>
      <c r="C645" t="s">
        <v>10</v>
      </c>
      <c r="D645" t="s">
        <v>18</v>
      </c>
      <c r="E645" t="s">
        <v>483</v>
      </c>
      <c r="F645" t="s">
        <v>86</v>
      </c>
      <c r="G645" s="31">
        <v>87567.768233932453</v>
      </c>
      <c r="H645" s="31">
        <v>10201.72293008911</v>
      </c>
      <c r="I645" s="31">
        <v>4327.3854850460966</v>
      </c>
      <c r="J645" s="32">
        <f t="shared" si="54"/>
        <v>154.70644837864802</v>
      </c>
      <c r="K645" s="31">
        <v>188815.93214703011</v>
      </c>
      <c r="L645" s="31">
        <v>83240.382748886361</v>
      </c>
      <c r="M645" s="32">
        <f t="shared" si="55"/>
        <v>83085.676300507708</v>
      </c>
      <c r="N645" s="33">
        <f>Result_notebook!L645</f>
        <v>0.439346565686978</v>
      </c>
      <c r="O645" s="31">
        <f t="shared" si="56"/>
        <v>0</v>
      </c>
      <c r="P645" s="31">
        <f t="shared" si="57"/>
        <v>0</v>
      </c>
      <c r="Q645">
        <f t="shared" si="58"/>
        <v>154.70644837864802</v>
      </c>
    </row>
    <row r="646" spans="1:17" x14ac:dyDescent="0.35">
      <c r="A646">
        <v>2032</v>
      </c>
      <c r="B646" t="s">
        <v>6</v>
      </c>
      <c r="C646" t="s">
        <v>10</v>
      </c>
      <c r="D646" t="s">
        <v>18</v>
      </c>
      <c r="E646" t="s">
        <v>490</v>
      </c>
      <c r="F646" t="s">
        <v>82</v>
      </c>
      <c r="G646" s="31">
        <v>87567.768233932453</v>
      </c>
      <c r="H646" s="31">
        <v>10201.72293008911</v>
      </c>
      <c r="I646" s="31">
        <v>4482.0919334247501</v>
      </c>
      <c r="J646" s="32">
        <f t="shared" si="54"/>
        <v>0</v>
      </c>
      <c r="K646" s="31">
        <v>188815.93214703011</v>
      </c>
      <c r="L646" s="31">
        <v>83085.676300507708</v>
      </c>
      <c r="M646" s="32">
        <f t="shared" si="55"/>
        <v>83085.676300507708</v>
      </c>
      <c r="N646" s="33">
        <f>Result_notebook!L646</f>
        <v>0.439346565686978</v>
      </c>
      <c r="O646" s="31">
        <f t="shared" si="56"/>
        <v>0</v>
      </c>
      <c r="P646" s="31">
        <f t="shared" si="57"/>
        <v>0</v>
      </c>
      <c r="Q646">
        <f t="shared" si="58"/>
        <v>0</v>
      </c>
    </row>
    <row r="647" spans="1:17" x14ac:dyDescent="0.35">
      <c r="A647">
        <v>2032</v>
      </c>
      <c r="B647" t="s">
        <v>7</v>
      </c>
      <c r="C647" t="s">
        <v>4</v>
      </c>
      <c r="D647" t="s">
        <v>16</v>
      </c>
      <c r="E647" t="s">
        <v>483</v>
      </c>
      <c r="F647" t="s">
        <v>80</v>
      </c>
      <c r="G647" s="31">
        <v>1157294.299877228</v>
      </c>
      <c r="H647" s="31">
        <v>0</v>
      </c>
      <c r="I647" s="31">
        <v>0</v>
      </c>
      <c r="J647" s="32">
        <f t="shared" si="54"/>
        <v>0</v>
      </c>
      <c r="K647" s="31">
        <v>1394330.481779793</v>
      </c>
      <c r="L647" s="31">
        <v>1157294.299877228</v>
      </c>
      <c r="M647" s="32">
        <f t="shared" si="55"/>
        <v>1157294.299877228</v>
      </c>
      <c r="N647" s="33">
        <f>Result_notebook!L647</f>
        <v>0.83474576271186396</v>
      </c>
      <c r="O647" s="31">
        <f t="shared" si="56"/>
        <v>0</v>
      </c>
      <c r="P647" s="31">
        <f t="shared" si="57"/>
        <v>0</v>
      </c>
      <c r="Q647">
        <f t="shared" si="58"/>
        <v>0</v>
      </c>
    </row>
    <row r="648" spans="1:17" x14ac:dyDescent="0.35">
      <c r="A648">
        <v>2032</v>
      </c>
      <c r="B648" t="s">
        <v>7</v>
      </c>
      <c r="C648" t="s">
        <v>4</v>
      </c>
      <c r="D648" t="s">
        <v>16</v>
      </c>
      <c r="E648" t="s">
        <v>483</v>
      </c>
      <c r="F648" t="s">
        <v>81</v>
      </c>
      <c r="G648" s="31">
        <v>1157294.299877228</v>
      </c>
      <c r="H648" s="31">
        <v>309453</v>
      </c>
      <c r="I648" s="31">
        <v>162651.1851674339</v>
      </c>
      <c r="J648" s="32">
        <f t="shared" si="54"/>
        <v>95663.395341040537</v>
      </c>
      <c r="K648" s="31">
        <v>1084877.481779793</v>
      </c>
      <c r="L648" s="31">
        <v>994643.11470979406</v>
      </c>
      <c r="M648" s="32">
        <f t="shared" si="55"/>
        <v>898979.71936875349</v>
      </c>
      <c r="N648" s="33">
        <f>Result_notebook!L648</f>
        <v>0.83474576271186396</v>
      </c>
      <c r="O648" s="31">
        <f t="shared" si="56"/>
        <v>0</v>
      </c>
      <c r="P648" s="31">
        <f t="shared" si="57"/>
        <v>0</v>
      </c>
      <c r="Q648">
        <f t="shared" si="58"/>
        <v>95663.395341040537</v>
      </c>
    </row>
    <row r="649" spans="1:17" x14ac:dyDescent="0.35">
      <c r="A649">
        <v>2032</v>
      </c>
      <c r="B649" t="s">
        <v>7</v>
      </c>
      <c r="C649" t="s">
        <v>4</v>
      </c>
      <c r="D649" t="s">
        <v>18</v>
      </c>
      <c r="E649" t="s">
        <v>483</v>
      </c>
      <c r="F649" t="s">
        <v>85</v>
      </c>
      <c r="G649" s="31">
        <v>1157294.299877228</v>
      </c>
      <c r="H649" s="31">
        <v>758265.43720270914</v>
      </c>
      <c r="I649" s="31">
        <v>398550.90121124388</v>
      </c>
      <c r="J649" s="32">
        <f t="shared" si="54"/>
        <v>234407.95950457657</v>
      </c>
      <c r="K649" s="31">
        <v>636065.04457708367</v>
      </c>
      <c r="L649" s="31">
        <v>758743.39866598404</v>
      </c>
      <c r="M649" s="32">
        <f t="shared" si="55"/>
        <v>524335.43916140753</v>
      </c>
      <c r="N649" s="33">
        <f>Result_notebook!L649</f>
        <v>0.83474576271186396</v>
      </c>
      <c r="O649" s="31">
        <f t="shared" si="56"/>
        <v>0</v>
      </c>
      <c r="P649" s="31">
        <f t="shared" si="57"/>
        <v>0</v>
      </c>
      <c r="Q649">
        <f t="shared" si="58"/>
        <v>234407.95950457657</v>
      </c>
    </row>
    <row r="650" spans="1:17" x14ac:dyDescent="0.35">
      <c r="A650">
        <v>2032</v>
      </c>
      <c r="B650" t="s">
        <v>7</v>
      </c>
      <c r="C650" t="s">
        <v>4</v>
      </c>
      <c r="D650" t="s">
        <v>18</v>
      </c>
      <c r="E650" t="s">
        <v>483</v>
      </c>
      <c r="F650" t="s">
        <v>86</v>
      </c>
      <c r="G650" s="31">
        <v>1157294.299877228</v>
      </c>
      <c r="H650" s="31">
        <v>758265.43720270914</v>
      </c>
      <c r="I650" s="31">
        <v>398550.90121124388</v>
      </c>
      <c r="J650" s="32">
        <f t="shared" si="54"/>
        <v>234407.95950457657</v>
      </c>
      <c r="K650" s="31">
        <v>636065.04457708367</v>
      </c>
      <c r="L650" s="31">
        <v>758743.39866598404</v>
      </c>
      <c r="M650" s="32">
        <f t="shared" si="55"/>
        <v>524335.43916140753</v>
      </c>
      <c r="N650" s="33">
        <f>Result_notebook!L650</f>
        <v>0.83474576271186396</v>
      </c>
      <c r="O650" s="31">
        <f t="shared" si="56"/>
        <v>0</v>
      </c>
      <c r="P650" s="31">
        <f t="shared" si="57"/>
        <v>0</v>
      </c>
      <c r="Q650">
        <f t="shared" si="58"/>
        <v>234407.95950457657</v>
      </c>
    </row>
    <row r="651" spans="1:17" x14ac:dyDescent="0.35">
      <c r="A651">
        <v>2032</v>
      </c>
      <c r="B651" t="s">
        <v>7</v>
      </c>
      <c r="C651" t="s">
        <v>4</v>
      </c>
      <c r="D651" t="s">
        <v>18</v>
      </c>
      <c r="E651" t="s">
        <v>490</v>
      </c>
      <c r="F651" t="s">
        <v>82</v>
      </c>
      <c r="G651" s="31">
        <v>1157294.299877228</v>
      </c>
      <c r="H651" s="31">
        <v>758265.43720270914</v>
      </c>
      <c r="I651" s="31">
        <v>632958.8607158208</v>
      </c>
      <c r="J651" s="32">
        <f t="shared" si="54"/>
        <v>0</v>
      </c>
      <c r="K651" s="31">
        <v>636065.04457708367</v>
      </c>
      <c r="L651" s="31">
        <v>524335.43916140718</v>
      </c>
      <c r="M651" s="32">
        <f t="shared" si="55"/>
        <v>524335.43916140718</v>
      </c>
      <c r="N651" s="33">
        <f>Result_notebook!L651</f>
        <v>0.83474576271186396</v>
      </c>
      <c r="O651" s="31">
        <f t="shared" si="56"/>
        <v>0</v>
      </c>
      <c r="P651" s="31">
        <f t="shared" si="57"/>
        <v>0</v>
      </c>
      <c r="Q651">
        <f t="shared" si="58"/>
        <v>0</v>
      </c>
    </row>
    <row r="652" spans="1:17" x14ac:dyDescent="0.35">
      <c r="A652">
        <v>2032</v>
      </c>
      <c r="B652" t="s">
        <v>7</v>
      </c>
      <c r="C652" t="s">
        <v>9</v>
      </c>
      <c r="D652" t="s">
        <v>16</v>
      </c>
      <c r="E652" t="s">
        <v>483</v>
      </c>
      <c r="F652" t="s">
        <v>80</v>
      </c>
      <c r="G652" s="31">
        <v>989816.62019349821</v>
      </c>
      <c r="H652" s="31">
        <v>0</v>
      </c>
      <c r="I652" s="31">
        <v>0</v>
      </c>
      <c r="J652" s="32">
        <f t="shared" si="54"/>
        <v>0</v>
      </c>
      <c r="K652" s="31">
        <v>1192550.144811444</v>
      </c>
      <c r="L652" s="31">
        <v>989816.62019349821</v>
      </c>
      <c r="M652" s="32">
        <f t="shared" si="55"/>
        <v>989816.62019349821</v>
      </c>
      <c r="N652" s="33">
        <f>Result_notebook!L652</f>
        <v>0.83474576271186396</v>
      </c>
      <c r="O652" s="31">
        <f t="shared" si="56"/>
        <v>0</v>
      </c>
      <c r="P652" s="31">
        <f t="shared" si="57"/>
        <v>0</v>
      </c>
      <c r="Q652">
        <f t="shared" si="58"/>
        <v>0</v>
      </c>
    </row>
    <row r="653" spans="1:17" x14ac:dyDescent="0.35">
      <c r="A653">
        <v>2032</v>
      </c>
      <c r="B653" t="s">
        <v>7</v>
      </c>
      <c r="C653" t="s">
        <v>9</v>
      </c>
      <c r="D653" t="s">
        <v>16</v>
      </c>
      <c r="E653" t="s">
        <v>483</v>
      </c>
      <c r="F653" t="s">
        <v>81</v>
      </c>
      <c r="G653" s="31">
        <v>989816.62019349821</v>
      </c>
      <c r="H653" s="31">
        <v>309453</v>
      </c>
      <c r="I653" s="31">
        <v>162651.1851674339</v>
      </c>
      <c r="J653" s="32">
        <f t="shared" si="54"/>
        <v>95663.395341040537</v>
      </c>
      <c r="K653" s="31">
        <v>883097.14481144375</v>
      </c>
      <c r="L653" s="31">
        <v>827165.43502606428</v>
      </c>
      <c r="M653" s="32">
        <f t="shared" si="55"/>
        <v>731502.03968502372</v>
      </c>
      <c r="N653" s="33">
        <f>Result_notebook!L653</f>
        <v>0.83474576271186396</v>
      </c>
      <c r="O653" s="31">
        <f t="shared" si="56"/>
        <v>0</v>
      </c>
      <c r="P653" s="31">
        <f t="shared" si="57"/>
        <v>0</v>
      </c>
      <c r="Q653">
        <f t="shared" si="58"/>
        <v>95663.395341040537</v>
      </c>
    </row>
    <row r="654" spans="1:17" x14ac:dyDescent="0.35">
      <c r="A654">
        <v>2032</v>
      </c>
      <c r="B654" t="s">
        <v>7</v>
      </c>
      <c r="C654" t="s">
        <v>9</v>
      </c>
      <c r="D654" t="s">
        <v>18</v>
      </c>
      <c r="E654" t="s">
        <v>483</v>
      </c>
      <c r="F654" t="s">
        <v>85</v>
      </c>
      <c r="G654" s="31">
        <v>989816.62019349821</v>
      </c>
      <c r="H654" s="31">
        <v>758265.43720270914</v>
      </c>
      <c r="I654" s="31">
        <v>398550.90121124388</v>
      </c>
      <c r="J654" s="32">
        <f t="shared" si="54"/>
        <v>234407.95950457657</v>
      </c>
      <c r="K654" s="31">
        <v>434284.70760873461</v>
      </c>
      <c r="L654" s="31">
        <v>591265.71898225427</v>
      </c>
      <c r="M654" s="32">
        <f t="shared" si="55"/>
        <v>356857.7594776777</v>
      </c>
      <c r="N654" s="33">
        <f>Result_notebook!L654</f>
        <v>0.83474576271186396</v>
      </c>
      <c r="O654" s="31">
        <f t="shared" si="56"/>
        <v>0</v>
      </c>
      <c r="P654" s="31">
        <f t="shared" si="57"/>
        <v>0</v>
      </c>
      <c r="Q654">
        <f t="shared" si="58"/>
        <v>234407.95950457657</v>
      </c>
    </row>
    <row r="655" spans="1:17" x14ac:dyDescent="0.35">
      <c r="A655">
        <v>2032</v>
      </c>
      <c r="B655" t="s">
        <v>7</v>
      </c>
      <c r="C655" t="s">
        <v>9</v>
      </c>
      <c r="D655" t="s">
        <v>18</v>
      </c>
      <c r="E655" t="s">
        <v>483</v>
      </c>
      <c r="F655" t="s">
        <v>86</v>
      </c>
      <c r="G655" s="31">
        <v>989816.62019349821</v>
      </c>
      <c r="H655" s="31">
        <v>758265.43720270914</v>
      </c>
      <c r="I655" s="31">
        <v>398550.90121124388</v>
      </c>
      <c r="J655" s="32">
        <f t="shared" si="54"/>
        <v>234407.95950457657</v>
      </c>
      <c r="K655" s="31">
        <v>434284.70760873461</v>
      </c>
      <c r="L655" s="31">
        <v>591265.71898225427</v>
      </c>
      <c r="M655" s="32">
        <f t="shared" si="55"/>
        <v>356857.7594776777</v>
      </c>
      <c r="N655" s="33">
        <f>Result_notebook!L655</f>
        <v>0.83474576271186396</v>
      </c>
      <c r="O655" s="31">
        <f t="shared" si="56"/>
        <v>0</v>
      </c>
      <c r="P655" s="31">
        <f t="shared" si="57"/>
        <v>0</v>
      </c>
      <c r="Q655">
        <f t="shared" si="58"/>
        <v>234407.95950457657</v>
      </c>
    </row>
    <row r="656" spans="1:17" x14ac:dyDescent="0.35">
      <c r="A656">
        <v>2032</v>
      </c>
      <c r="B656" t="s">
        <v>7</v>
      </c>
      <c r="C656" t="s">
        <v>9</v>
      </c>
      <c r="D656" t="s">
        <v>18</v>
      </c>
      <c r="E656" t="s">
        <v>490</v>
      </c>
      <c r="F656" t="s">
        <v>82</v>
      </c>
      <c r="G656" s="31">
        <v>989816.62019349821</v>
      </c>
      <c r="H656" s="31">
        <v>758265.43720270914</v>
      </c>
      <c r="I656" s="31">
        <v>632958.8607158208</v>
      </c>
      <c r="J656" s="32">
        <f t="shared" si="54"/>
        <v>0</v>
      </c>
      <c r="K656" s="31">
        <v>434284.70760873461</v>
      </c>
      <c r="L656" s="31">
        <v>356857.75947767741</v>
      </c>
      <c r="M656" s="32">
        <f t="shared" si="55"/>
        <v>356857.75947767741</v>
      </c>
      <c r="N656" s="33">
        <f>Result_notebook!L656</f>
        <v>0.83474576271186396</v>
      </c>
      <c r="O656" s="31">
        <f t="shared" si="56"/>
        <v>0</v>
      </c>
      <c r="P656" s="31">
        <f t="shared" si="57"/>
        <v>0</v>
      </c>
      <c r="Q656">
        <f t="shared" si="58"/>
        <v>0</v>
      </c>
    </row>
    <row r="657" spans="1:17" x14ac:dyDescent="0.35">
      <c r="A657">
        <v>2032</v>
      </c>
      <c r="B657" t="s">
        <v>7</v>
      </c>
      <c r="C657" t="s">
        <v>10</v>
      </c>
      <c r="D657" t="s">
        <v>16</v>
      </c>
      <c r="E657" t="s">
        <v>483</v>
      </c>
      <c r="F657" t="s">
        <v>80</v>
      </c>
      <c r="G657" s="31">
        <v>1117400.391829256</v>
      </c>
      <c r="H657" s="31">
        <v>0</v>
      </c>
      <c r="I657" s="31">
        <v>0</v>
      </c>
      <c r="J657" s="32">
        <f t="shared" si="54"/>
        <v>0</v>
      </c>
      <c r="K657" s="31">
        <v>1346265.5323244049</v>
      </c>
      <c r="L657" s="31">
        <v>1117400.391829256</v>
      </c>
      <c r="M657" s="32">
        <f t="shared" si="55"/>
        <v>1117400.391829256</v>
      </c>
      <c r="N657" s="33">
        <f>Result_notebook!L657</f>
        <v>0.83474576271186396</v>
      </c>
      <c r="O657" s="31">
        <f t="shared" si="56"/>
        <v>0</v>
      </c>
      <c r="P657" s="31">
        <f t="shared" si="57"/>
        <v>0</v>
      </c>
      <c r="Q657">
        <f t="shared" si="58"/>
        <v>0</v>
      </c>
    </row>
    <row r="658" spans="1:17" x14ac:dyDescent="0.35">
      <c r="A658">
        <v>2032</v>
      </c>
      <c r="B658" t="s">
        <v>7</v>
      </c>
      <c r="C658" t="s">
        <v>10</v>
      </c>
      <c r="D658" t="s">
        <v>16</v>
      </c>
      <c r="E658" t="s">
        <v>483</v>
      </c>
      <c r="F658" t="s">
        <v>81</v>
      </c>
      <c r="G658" s="31">
        <v>1117400.391829256</v>
      </c>
      <c r="H658" s="31">
        <v>309453</v>
      </c>
      <c r="I658" s="31">
        <v>162651.1851674339</v>
      </c>
      <c r="J658" s="32">
        <f t="shared" si="54"/>
        <v>95663.395341040537</v>
      </c>
      <c r="K658" s="31">
        <v>1036812.532324405</v>
      </c>
      <c r="L658" s="31">
        <v>954749.20666182204</v>
      </c>
      <c r="M658" s="32">
        <f t="shared" si="55"/>
        <v>859085.81132078147</v>
      </c>
      <c r="N658" s="33">
        <f>Result_notebook!L658</f>
        <v>0.83474576271186396</v>
      </c>
      <c r="O658" s="31">
        <f t="shared" si="56"/>
        <v>0</v>
      </c>
      <c r="P658" s="31">
        <f t="shared" si="57"/>
        <v>0</v>
      </c>
      <c r="Q658">
        <f t="shared" si="58"/>
        <v>95663.395341040537</v>
      </c>
    </row>
    <row r="659" spans="1:17" x14ac:dyDescent="0.35">
      <c r="A659">
        <v>2032</v>
      </c>
      <c r="B659" t="s">
        <v>7</v>
      </c>
      <c r="C659" t="s">
        <v>10</v>
      </c>
      <c r="D659" t="s">
        <v>18</v>
      </c>
      <c r="E659" t="s">
        <v>483</v>
      </c>
      <c r="F659" t="s">
        <v>85</v>
      </c>
      <c r="G659" s="31">
        <v>1117400.391829256</v>
      </c>
      <c r="H659" s="31">
        <v>758265.43720270914</v>
      </c>
      <c r="I659" s="31">
        <v>398550.90121124388</v>
      </c>
      <c r="J659" s="32">
        <f t="shared" si="54"/>
        <v>234407.95950457657</v>
      </c>
      <c r="K659" s="31">
        <v>588000.09512169578</v>
      </c>
      <c r="L659" s="31">
        <v>718849.49061801203</v>
      </c>
      <c r="M659" s="32">
        <f t="shared" si="55"/>
        <v>484441.53111343546</v>
      </c>
      <c r="N659" s="33">
        <f>Result_notebook!L659</f>
        <v>0.83474576271186396</v>
      </c>
      <c r="O659" s="31">
        <f t="shared" si="56"/>
        <v>0</v>
      </c>
      <c r="P659" s="31">
        <f t="shared" si="57"/>
        <v>0</v>
      </c>
      <c r="Q659">
        <f t="shared" si="58"/>
        <v>234407.95950457657</v>
      </c>
    </row>
    <row r="660" spans="1:17" x14ac:dyDescent="0.35">
      <c r="A660">
        <v>2032</v>
      </c>
      <c r="B660" t="s">
        <v>7</v>
      </c>
      <c r="C660" t="s">
        <v>10</v>
      </c>
      <c r="D660" t="s">
        <v>18</v>
      </c>
      <c r="E660" t="s">
        <v>483</v>
      </c>
      <c r="F660" t="s">
        <v>86</v>
      </c>
      <c r="G660" s="31">
        <v>1117400.391829256</v>
      </c>
      <c r="H660" s="31">
        <v>758265.43720270914</v>
      </c>
      <c r="I660" s="31">
        <v>398550.90121124388</v>
      </c>
      <c r="J660" s="32">
        <f t="shared" si="54"/>
        <v>234407.95950457657</v>
      </c>
      <c r="K660" s="31">
        <v>588000.09512169578</v>
      </c>
      <c r="L660" s="31">
        <v>718849.49061801203</v>
      </c>
      <c r="M660" s="32">
        <f t="shared" si="55"/>
        <v>484441.53111343546</v>
      </c>
      <c r="N660" s="33">
        <f>Result_notebook!L660</f>
        <v>0.83474576271186396</v>
      </c>
      <c r="O660" s="31">
        <f t="shared" si="56"/>
        <v>0</v>
      </c>
      <c r="P660" s="31">
        <f t="shared" si="57"/>
        <v>0</v>
      </c>
      <c r="Q660">
        <f t="shared" si="58"/>
        <v>234407.95950457657</v>
      </c>
    </row>
    <row r="661" spans="1:17" x14ac:dyDescent="0.35">
      <c r="A661">
        <v>2032</v>
      </c>
      <c r="B661" t="s">
        <v>7</v>
      </c>
      <c r="C661" t="s">
        <v>10</v>
      </c>
      <c r="D661" t="s">
        <v>18</v>
      </c>
      <c r="E661" t="s">
        <v>490</v>
      </c>
      <c r="F661" t="s">
        <v>82</v>
      </c>
      <c r="G661" s="31">
        <v>1117400.391829256</v>
      </c>
      <c r="H661" s="31">
        <v>758265.43720270914</v>
      </c>
      <c r="I661" s="31">
        <v>632958.8607158208</v>
      </c>
      <c r="J661" s="32">
        <f t="shared" si="54"/>
        <v>0</v>
      </c>
      <c r="K661" s="31">
        <v>588000.09512169578</v>
      </c>
      <c r="L661" s="31">
        <v>484441.53111343522</v>
      </c>
      <c r="M661" s="32">
        <f t="shared" si="55"/>
        <v>484441.53111343522</v>
      </c>
      <c r="N661" s="33">
        <f>Result_notebook!L661</f>
        <v>0.83474576271186396</v>
      </c>
      <c r="O661" s="31">
        <f t="shared" si="56"/>
        <v>0</v>
      </c>
      <c r="P661" s="31">
        <f t="shared" si="57"/>
        <v>0</v>
      </c>
      <c r="Q661">
        <f t="shared" si="58"/>
        <v>0</v>
      </c>
    </row>
    <row r="662" spans="1:17" x14ac:dyDescent="0.35">
      <c r="A662">
        <v>2032</v>
      </c>
      <c r="B662" t="s">
        <v>11</v>
      </c>
      <c r="C662" t="s">
        <v>4</v>
      </c>
      <c r="D662" t="s">
        <v>16</v>
      </c>
      <c r="E662" t="s">
        <v>483</v>
      </c>
      <c r="F662" t="s">
        <v>80</v>
      </c>
      <c r="G662" s="31">
        <v>3229.5787882307568</v>
      </c>
      <c r="H662" s="31">
        <v>0</v>
      </c>
      <c r="I662" s="31">
        <v>0</v>
      </c>
      <c r="J662" s="32">
        <f t="shared" si="54"/>
        <v>0</v>
      </c>
      <c r="K662" s="31">
        <v>5382.6313137179286</v>
      </c>
      <c r="L662" s="31">
        <v>3229.5787882307568</v>
      </c>
      <c r="M662" s="32">
        <f t="shared" si="55"/>
        <v>3229.5787882307568</v>
      </c>
      <c r="N662" s="33">
        <f>Result_notebook!L662</f>
        <v>1</v>
      </c>
      <c r="O662" s="31">
        <f t="shared" si="56"/>
        <v>0</v>
      </c>
      <c r="P662" s="31">
        <f t="shared" si="57"/>
        <v>0</v>
      </c>
      <c r="Q662">
        <f t="shared" si="58"/>
        <v>0</v>
      </c>
    </row>
    <row r="663" spans="1:17" x14ac:dyDescent="0.35">
      <c r="A663">
        <v>2032</v>
      </c>
      <c r="B663" t="s">
        <v>11</v>
      </c>
      <c r="C663" t="s">
        <v>4</v>
      </c>
      <c r="D663" t="s">
        <v>16</v>
      </c>
      <c r="E663" t="s">
        <v>483</v>
      </c>
      <c r="F663" t="s">
        <v>81</v>
      </c>
      <c r="G663" s="31">
        <v>3229.5787882307568</v>
      </c>
      <c r="H663" s="31">
        <v>0</v>
      </c>
      <c r="I663" s="31">
        <v>0</v>
      </c>
      <c r="J663" s="32">
        <f t="shared" si="54"/>
        <v>0</v>
      </c>
      <c r="K663" s="31">
        <v>5382.6313137179286</v>
      </c>
      <c r="L663" s="31">
        <v>3229.5787882307568</v>
      </c>
      <c r="M663" s="32">
        <f t="shared" si="55"/>
        <v>3229.5787882307568</v>
      </c>
      <c r="N663" s="33">
        <f>Result_notebook!L663</f>
        <v>1</v>
      </c>
      <c r="O663" s="31">
        <f t="shared" si="56"/>
        <v>0</v>
      </c>
      <c r="P663" s="31">
        <f t="shared" si="57"/>
        <v>0</v>
      </c>
      <c r="Q663">
        <f t="shared" si="58"/>
        <v>0</v>
      </c>
    </row>
    <row r="664" spans="1:17" x14ac:dyDescent="0.35">
      <c r="A664">
        <v>2032</v>
      </c>
      <c r="B664" t="s">
        <v>11</v>
      </c>
      <c r="C664" t="s">
        <v>4</v>
      </c>
      <c r="D664" t="s">
        <v>18</v>
      </c>
      <c r="E664" t="s">
        <v>483</v>
      </c>
      <c r="F664" t="s">
        <v>85</v>
      </c>
      <c r="G664" s="31">
        <v>3229.5787882307568</v>
      </c>
      <c r="H664" s="31">
        <v>29.109663626080231</v>
      </c>
      <c r="I664" s="31">
        <v>17.42341200168546</v>
      </c>
      <c r="J664" s="32">
        <f t="shared" si="54"/>
        <v>11.686251624394771</v>
      </c>
      <c r="K664" s="31">
        <v>5353.5216500918486</v>
      </c>
      <c r="L664" s="31">
        <v>3212.155376229071</v>
      </c>
      <c r="M664" s="32">
        <f t="shared" si="55"/>
        <v>3200.4691246046764</v>
      </c>
      <c r="N664" s="33">
        <f>Result_notebook!L664</f>
        <v>1</v>
      </c>
      <c r="O664" s="31">
        <f t="shared" si="56"/>
        <v>0</v>
      </c>
      <c r="P664" s="31">
        <f t="shared" si="57"/>
        <v>0</v>
      </c>
      <c r="Q664">
        <f t="shared" si="58"/>
        <v>11.686251624394771</v>
      </c>
    </row>
    <row r="665" spans="1:17" x14ac:dyDescent="0.35">
      <c r="A665">
        <v>2032</v>
      </c>
      <c r="B665" t="s">
        <v>11</v>
      </c>
      <c r="C665" t="s">
        <v>4</v>
      </c>
      <c r="D665" t="s">
        <v>18</v>
      </c>
      <c r="E665" t="s">
        <v>483</v>
      </c>
      <c r="F665" t="s">
        <v>86</v>
      </c>
      <c r="G665" s="31">
        <v>3229.5787882307568</v>
      </c>
      <c r="H665" s="31">
        <v>29.109663626080231</v>
      </c>
      <c r="I665" s="31">
        <v>17.42341200168546</v>
      </c>
      <c r="J665" s="32">
        <f t="shared" si="54"/>
        <v>11.686251624394771</v>
      </c>
      <c r="K665" s="31">
        <v>5353.5216500918486</v>
      </c>
      <c r="L665" s="31">
        <v>3212.155376229071</v>
      </c>
      <c r="M665" s="32">
        <f t="shared" si="55"/>
        <v>3200.4691246046764</v>
      </c>
      <c r="N665" s="33">
        <f>Result_notebook!L665</f>
        <v>1</v>
      </c>
      <c r="O665" s="31">
        <f t="shared" si="56"/>
        <v>0</v>
      </c>
      <c r="P665" s="31">
        <f t="shared" si="57"/>
        <v>0</v>
      </c>
      <c r="Q665">
        <f t="shared" si="58"/>
        <v>11.686251624394771</v>
      </c>
    </row>
    <row r="666" spans="1:17" x14ac:dyDescent="0.35">
      <c r="A666">
        <v>2032</v>
      </c>
      <c r="B666" t="s">
        <v>11</v>
      </c>
      <c r="C666" t="s">
        <v>4</v>
      </c>
      <c r="D666" t="s">
        <v>18</v>
      </c>
      <c r="E666" t="s">
        <v>490</v>
      </c>
      <c r="F666" t="s">
        <v>82</v>
      </c>
      <c r="G666" s="31">
        <v>3229.5787882307568</v>
      </c>
      <c r="H666" s="31">
        <v>29.109663626080231</v>
      </c>
      <c r="I666" s="31">
        <v>17.42341200168546</v>
      </c>
      <c r="J666" s="32">
        <f t="shared" si="54"/>
        <v>11.686251624394771</v>
      </c>
      <c r="K666" s="31">
        <v>5353.5216500918486</v>
      </c>
      <c r="L666" s="31">
        <v>3212.155376229071</v>
      </c>
      <c r="M666" s="32">
        <f t="shared" si="55"/>
        <v>3200.4691246046764</v>
      </c>
      <c r="N666" s="33">
        <f>Result_notebook!L666</f>
        <v>1</v>
      </c>
      <c r="O666" s="31">
        <f t="shared" si="56"/>
        <v>0</v>
      </c>
      <c r="P666" s="31">
        <f t="shared" si="57"/>
        <v>0</v>
      </c>
      <c r="Q666">
        <f t="shared" si="58"/>
        <v>11.686251624394771</v>
      </c>
    </row>
    <row r="667" spans="1:17" x14ac:dyDescent="0.35">
      <c r="A667">
        <v>2032</v>
      </c>
      <c r="B667" t="s">
        <v>11</v>
      </c>
      <c r="C667" t="s">
        <v>9</v>
      </c>
      <c r="D667" t="s">
        <v>16</v>
      </c>
      <c r="E667" t="s">
        <v>483</v>
      </c>
      <c r="F667" t="s">
        <v>80</v>
      </c>
      <c r="G667" s="31">
        <v>1128.9836988018969</v>
      </c>
      <c r="H667" s="31">
        <v>0</v>
      </c>
      <c r="I667" s="31">
        <v>0</v>
      </c>
      <c r="J667" s="32">
        <f t="shared" si="54"/>
        <v>0</v>
      </c>
      <c r="K667" s="31">
        <v>1881.6394980031621</v>
      </c>
      <c r="L667" s="31">
        <v>1128.9836988018969</v>
      </c>
      <c r="M667" s="32">
        <f t="shared" si="55"/>
        <v>1128.9836988018969</v>
      </c>
      <c r="N667" s="33">
        <f>Result_notebook!L667</f>
        <v>1</v>
      </c>
      <c r="O667" s="31">
        <f t="shared" si="56"/>
        <v>0</v>
      </c>
      <c r="P667" s="31">
        <f t="shared" si="57"/>
        <v>0</v>
      </c>
      <c r="Q667">
        <f t="shared" si="58"/>
        <v>0</v>
      </c>
    </row>
    <row r="668" spans="1:17" x14ac:dyDescent="0.35">
      <c r="A668">
        <v>2032</v>
      </c>
      <c r="B668" t="s">
        <v>11</v>
      </c>
      <c r="C668" t="s">
        <v>9</v>
      </c>
      <c r="D668" t="s">
        <v>16</v>
      </c>
      <c r="E668" t="s">
        <v>483</v>
      </c>
      <c r="F668" t="s">
        <v>81</v>
      </c>
      <c r="G668" s="31">
        <v>1128.9836988018969</v>
      </c>
      <c r="H668" s="31">
        <v>0</v>
      </c>
      <c r="I668" s="31">
        <v>0</v>
      </c>
      <c r="J668" s="32">
        <f t="shared" si="54"/>
        <v>0</v>
      </c>
      <c r="K668" s="31">
        <v>1881.6394980031621</v>
      </c>
      <c r="L668" s="31">
        <v>1128.9836988018969</v>
      </c>
      <c r="M668" s="32">
        <f t="shared" si="55"/>
        <v>1128.9836988018969</v>
      </c>
      <c r="N668" s="33">
        <f>Result_notebook!L668</f>
        <v>1</v>
      </c>
      <c r="O668" s="31">
        <f t="shared" si="56"/>
        <v>0</v>
      </c>
      <c r="P668" s="31">
        <f t="shared" si="57"/>
        <v>0</v>
      </c>
      <c r="Q668">
        <f t="shared" si="58"/>
        <v>0</v>
      </c>
    </row>
    <row r="669" spans="1:17" x14ac:dyDescent="0.35">
      <c r="A669">
        <v>2032</v>
      </c>
      <c r="B669" t="s">
        <v>11</v>
      </c>
      <c r="C669" t="s">
        <v>9</v>
      </c>
      <c r="D669" t="s">
        <v>18</v>
      </c>
      <c r="E669" t="s">
        <v>483</v>
      </c>
      <c r="F669" t="s">
        <v>85</v>
      </c>
      <c r="G669" s="31">
        <v>1128.9836988018969</v>
      </c>
      <c r="H669" s="31">
        <v>29.109663626080231</v>
      </c>
      <c r="I669" s="31">
        <v>17.42341200168546</v>
      </c>
      <c r="J669" s="32">
        <f t="shared" si="54"/>
        <v>11.686251624394771</v>
      </c>
      <c r="K669" s="31">
        <v>1852.529834377081</v>
      </c>
      <c r="L669" s="31">
        <v>1111.560286800212</v>
      </c>
      <c r="M669" s="32">
        <f t="shared" si="55"/>
        <v>1099.8740351758172</v>
      </c>
      <c r="N669" s="33">
        <f>Result_notebook!L669</f>
        <v>1</v>
      </c>
      <c r="O669" s="31">
        <f t="shared" si="56"/>
        <v>0</v>
      </c>
      <c r="P669" s="31">
        <f t="shared" si="57"/>
        <v>0</v>
      </c>
      <c r="Q669">
        <f t="shared" si="58"/>
        <v>11.686251624394771</v>
      </c>
    </row>
    <row r="670" spans="1:17" x14ac:dyDescent="0.35">
      <c r="A670">
        <v>2032</v>
      </c>
      <c r="B670" t="s">
        <v>11</v>
      </c>
      <c r="C670" t="s">
        <v>9</v>
      </c>
      <c r="D670" t="s">
        <v>18</v>
      </c>
      <c r="E670" t="s">
        <v>483</v>
      </c>
      <c r="F670" t="s">
        <v>86</v>
      </c>
      <c r="G670" s="31">
        <v>1128.9836988018969</v>
      </c>
      <c r="H670" s="31">
        <v>29.109663626080231</v>
      </c>
      <c r="I670" s="31">
        <v>17.42341200168546</v>
      </c>
      <c r="J670" s="32">
        <f t="shared" si="54"/>
        <v>11.686251624394771</v>
      </c>
      <c r="K670" s="31">
        <v>1852.529834377081</v>
      </c>
      <c r="L670" s="31">
        <v>1111.560286800212</v>
      </c>
      <c r="M670" s="32">
        <f t="shared" si="55"/>
        <v>1099.8740351758172</v>
      </c>
      <c r="N670" s="33">
        <f>Result_notebook!L670</f>
        <v>1</v>
      </c>
      <c r="O670" s="31">
        <f t="shared" si="56"/>
        <v>0</v>
      </c>
      <c r="P670" s="31">
        <f t="shared" si="57"/>
        <v>0</v>
      </c>
      <c r="Q670">
        <f t="shared" si="58"/>
        <v>11.686251624394771</v>
      </c>
    </row>
    <row r="671" spans="1:17" x14ac:dyDescent="0.35">
      <c r="A671">
        <v>2032</v>
      </c>
      <c r="B671" t="s">
        <v>11</v>
      </c>
      <c r="C671" t="s">
        <v>9</v>
      </c>
      <c r="D671" t="s">
        <v>18</v>
      </c>
      <c r="E671" t="s">
        <v>490</v>
      </c>
      <c r="F671" t="s">
        <v>82</v>
      </c>
      <c r="G671" s="31">
        <v>1128.9836988018969</v>
      </c>
      <c r="H671" s="31">
        <v>29.109663626080231</v>
      </c>
      <c r="I671" s="31">
        <v>17.42341200168546</v>
      </c>
      <c r="J671" s="32">
        <f t="shared" si="54"/>
        <v>11.686251624394771</v>
      </c>
      <c r="K671" s="31">
        <v>1852.529834377081</v>
      </c>
      <c r="L671" s="31">
        <v>1111.560286800212</v>
      </c>
      <c r="M671" s="32">
        <f t="shared" si="55"/>
        <v>1099.8740351758172</v>
      </c>
      <c r="N671" s="33">
        <f>Result_notebook!L671</f>
        <v>1</v>
      </c>
      <c r="O671" s="31">
        <f t="shared" si="56"/>
        <v>0</v>
      </c>
      <c r="P671" s="31">
        <f t="shared" si="57"/>
        <v>0</v>
      </c>
      <c r="Q671">
        <f t="shared" si="58"/>
        <v>11.686251624394771</v>
      </c>
    </row>
    <row r="672" spans="1:17" x14ac:dyDescent="0.35">
      <c r="A672">
        <v>2032</v>
      </c>
      <c r="B672" t="s">
        <v>11</v>
      </c>
      <c r="C672" t="s">
        <v>10</v>
      </c>
      <c r="D672" t="s">
        <v>16</v>
      </c>
      <c r="E672" t="s">
        <v>483</v>
      </c>
      <c r="F672" t="s">
        <v>80</v>
      </c>
      <c r="G672" s="31">
        <v>3088.6760232568031</v>
      </c>
      <c r="H672" s="31">
        <v>0</v>
      </c>
      <c r="I672" s="31">
        <v>0</v>
      </c>
      <c r="J672" s="32">
        <f t="shared" si="54"/>
        <v>0</v>
      </c>
      <c r="K672" s="31">
        <v>5147.7933720946721</v>
      </c>
      <c r="L672" s="31">
        <v>3088.6760232568031</v>
      </c>
      <c r="M672" s="32">
        <f t="shared" si="55"/>
        <v>3088.6760232568031</v>
      </c>
      <c r="N672" s="33">
        <f>Result_notebook!L672</f>
        <v>1</v>
      </c>
      <c r="O672" s="31">
        <f t="shared" si="56"/>
        <v>0</v>
      </c>
      <c r="P672" s="31">
        <f t="shared" si="57"/>
        <v>0</v>
      </c>
      <c r="Q672">
        <f t="shared" si="58"/>
        <v>0</v>
      </c>
    </row>
    <row r="673" spans="1:17" x14ac:dyDescent="0.35">
      <c r="A673">
        <v>2032</v>
      </c>
      <c r="B673" t="s">
        <v>11</v>
      </c>
      <c r="C673" t="s">
        <v>10</v>
      </c>
      <c r="D673" t="s">
        <v>16</v>
      </c>
      <c r="E673" t="s">
        <v>483</v>
      </c>
      <c r="F673" t="s">
        <v>81</v>
      </c>
      <c r="G673" s="31">
        <v>3088.6760232568031</v>
      </c>
      <c r="H673" s="31">
        <v>0</v>
      </c>
      <c r="I673" s="31">
        <v>0</v>
      </c>
      <c r="J673" s="32">
        <f t="shared" si="54"/>
        <v>0</v>
      </c>
      <c r="K673" s="31">
        <v>5147.7933720946721</v>
      </c>
      <c r="L673" s="31">
        <v>3088.6760232568031</v>
      </c>
      <c r="M673" s="32">
        <f t="shared" si="55"/>
        <v>3088.6760232568031</v>
      </c>
      <c r="N673" s="33">
        <f>Result_notebook!L673</f>
        <v>1</v>
      </c>
      <c r="O673" s="31">
        <f t="shared" si="56"/>
        <v>0</v>
      </c>
      <c r="P673" s="31">
        <f t="shared" si="57"/>
        <v>0</v>
      </c>
      <c r="Q673">
        <f t="shared" si="58"/>
        <v>0</v>
      </c>
    </row>
    <row r="674" spans="1:17" x14ac:dyDescent="0.35">
      <c r="A674">
        <v>2032</v>
      </c>
      <c r="B674" t="s">
        <v>11</v>
      </c>
      <c r="C674" t="s">
        <v>10</v>
      </c>
      <c r="D674" t="s">
        <v>18</v>
      </c>
      <c r="E674" t="s">
        <v>483</v>
      </c>
      <c r="F674" t="s">
        <v>85</v>
      </c>
      <c r="G674" s="31">
        <v>3088.6760232568031</v>
      </c>
      <c r="H674" s="31">
        <v>29.109663626080231</v>
      </c>
      <c r="I674" s="31">
        <v>17.42341200168546</v>
      </c>
      <c r="J674" s="32">
        <f t="shared" si="54"/>
        <v>11.686251624394771</v>
      </c>
      <c r="K674" s="31">
        <v>5118.6837084685922</v>
      </c>
      <c r="L674" s="31">
        <v>3071.2526112551182</v>
      </c>
      <c r="M674" s="32">
        <f t="shared" si="55"/>
        <v>3059.5663596307236</v>
      </c>
      <c r="N674" s="33">
        <f>Result_notebook!L674</f>
        <v>1</v>
      </c>
      <c r="O674" s="31">
        <f t="shared" si="56"/>
        <v>0</v>
      </c>
      <c r="P674" s="31">
        <f t="shared" si="57"/>
        <v>0</v>
      </c>
      <c r="Q674">
        <f t="shared" si="58"/>
        <v>11.686251624394771</v>
      </c>
    </row>
    <row r="675" spans="1:17" x14ac:dyDescent="0.35">
      <c r="A675">
        <v>2032</v>
      </c>
      <c r="B675" t="s">
        <v>11</v>
      </c>
      <c r="C675" t="s">
        <v>10</v>
      </c>
      <c r="D675" t="s">
        <v>18</v>
      </c>
      <c r="E675" t="s">
        <v>483</v>
      </c>
      <c r="F675" t="s">
        <v>86</v>
      </c>
      <c r="G675" s="31">
        <v>3088.6760232568031</v>
      </c>
      <c r="H675" s="31">
        <v>29.109663626080231</v>
      </c>
      <c r="I675" s="31">
        <v>17.42341200168546</v>
      </c>
      <c r="J675" s="32">
        <f t="shared" si="54"/>
        <v>11.686251624394771</v>
      </c>
      <c r="K675" s="31">
        <v>5118.6837084685922</v>
      </c>
      <c r="L675" s="31">
        <v>3071.2526112551182</v>
      </c>
      <c r="M675" s="32">
        <f t="shared" si="55"/>
        <v>3059.5663596307236</v>
      </c>
      <c r="N675" s="33">
        <f>Result_notebook!L675</f>
        <v>1</v>
      </c>
      <c r="O675" s="31">
        <f t="shared" si="56"/>
        <v>0</v>
      </c>
      <c r="P675" s="31">
        <f t="shared" si="57"/>
        <v>0</v>
      </c>
      <c r="Q675">
        <f t="shared" si="58"/>
        <v>11.686251624394771</v>
      </c>
    </row>
    <row r="676" spans="1:17" x14ac:dyDescent="0.35">
      <c r="A676">
        <v>2032</v>
      </c>
      <c r="B676" t="s">
        <v>11</v>
      </c>
      <c r="C676" t="s">
        <v>10</v>
      </c>
      <c r="D676" t="s">
        <v>18</v>
      </c>
      <c r="E676" t="s">
        <v>490</v>
      </c>
      <c r="F676" t="s">
        <v>82</v>
      </c>
      <c r="G676" s="31">
        <v>3088.6760232568031</v>
      </c>
      <c r="H676" s="31">
        <v>29.109663626080231</v>
      </c>
      <c r="I676" s="31">
        <v>17.42341200168546</v>
      </c>
      <c r="J676" s="32">
        <f t="shared" si="54"/>
        <v>11.686251624394771</v>
      </c>
      <c r="K676" s="31">
        <v>5118.6837084685922</v>
      </c>
      <c r="L676" s="31">
        <v>3071.2526112551182</v>
      </c>
      <c r="M676" s="32">
        <f t="shared" si="55"/>
        <v>3059.5663596307236</v>
      </c>
      <c r="N676" s="33">
        <f>Result_notebook!L676</f>
        <v>1</v>
      </c>
      <c r="O676" s="31">
        <f t="shared" si="56"/>
        <v>0</v>
      </c>
      <c r="P676" s="31">
        <f t="shared" si="57"/>
        <v>0</v>
      </c>
      <c r="Q676">
        <f t="shared" si="58"/>
        <v>11.686251624394771</v>
      </c>
    </row>
    <row r="677" spans="1:17" x14ac:dyDescent="0.35">
      <c r="A677">
        <v>2032</v>
      </c>
      <c r="B677" t="s">
        <v>8</v>
      </c>
      <c r="C677" t="s">
        <v>4</v>
      </c>
      <c r="D677" t="s">
        <v>16</v>
      </c>
      <c r="E677" t="s">
        <v>483</v>
      </c>
      <c r="F677" t="s">
        <v>80</v>
      </c>
      <c r="G677" s="31">
        <v>108954.6041363616</v>
      </c>
      <c r="H677" s="31">
        <v>0</v>
      </c>
      <c r="I677" s="31">
        <v>0</v>
      </c>
      <c r="J677" s="32">
        <f t="shared" si="54"/>
        <v>0</v>
      </c>
      <c r="K677" s="31">
        <v>137917.2204257742</v>
      </c>
      <c r="L677" s="31">
        <v>108954.6041363616</v>
      </c>
      <c r="M677" s="32">
        <f t="shared" si="55"/>
        <v>108954.6041363616</v>
      </c>
      <c r="N677" s="33">
        <f>Result_notebook!L677</f>
        <v>0.69917047091553897</v>
      </c>
      <c r="O677" s="31">
        <f t="shared" si="56"/>
        <v>0</v>
      </c>
      <c r="P677" s="31">
        <f t="shared" si="57"/>
        <v>0</v>
      </c>
      <c r="Q677">
        <f t="shared" si="58"/>
        <v>0</v>
      </c>
    </row>
    <row r="678" spans="1:17" x14ac:dyDescent="0.35">
      <c r="A678">
        <v>2032</v>
      </c>
      <c r="B678" t="s">
        <v>8</v>
      </c>
      <c r="C678" t="s">
        <v>4</v>
      </c>
      <c r="D678" t="s">
        <v>16</v>
      </c>
      <c r="E678" t="s">
        <v>483</v>
      </c>
      <c r="F678" t="s">
        <v>81</v>
      </c>
      <c r="G678" s="31">
        <v>108954.6041363616</v>
      </c>
      <c r="H678" s="31">
        <v>139278</v>
      </c>
      <c r="I678" s="31">
        <v>78118.250613288372</v>
      </c>
      <c r="J678" s="32">
        <f t="shared" si="54"/>
        <v>19260.814234886071</v>
      </c>
      <c r="K678" s="31">
        <v>0</v>
      </c>
      <c r="L678" s="31">
        <v>30836.35352307322</v>
      </c>
      <c r="M678" s="32">
        <f t="shared" si="55"/>
        <v>11575.539288187148</v>
      </c>
      <c r="N678" s="33">
        <f>Result_notebook!L678</f>
        <v>0.69917047091553897</v>
      </c>
      <c r="O678" s="31">
        <f t="shared" si="56"/>
        <v>0</v>
      </c>
      <c r="P678" s="31">
        <f t="shared" si="57"/>
        <v>0</v>
      </c>
      <c r="Q678">
        <f t="shared" si="58"/>
        <v>19260.814234886071</v>
      </c>
    </row>
    <row r="679" spans="1:17" x14ac:dyDescent="0.35">
      <c r="A679">
        <v>2032</v>
      </c>
      <c r="B679" t="s">
        <v>8</v>
      </c>
      <c r="C679" t="s">
        <v>4</v>
      </c>
      <c r="D679" t="s">
        <v>18</v>
      </c>
      <c r="E679" t="s">
        <v>483</v>
      </c>
      <c r="F679" t="s">
        <v>85</v>
      </c>
      <c r="G679" s="31">
        <v>108954.6041363616</v>
      </c>
      <c r="H679" s="31">
        <v>197582.18962964119</v>
      </c>
      <c r="I679" s="31">
        <v>110819.9069932838</v>
      </c>
      <c r="J679" s="32">
        <f t="shared" si="54"/>
        <v>27323.725574595737</v>
      </c>
      <c r="K679" s="31">
        <v>0</v>
      </c>
      <c r="L679" s="31">
        <v>0</v>
      </c>
      <c r="M679" s="32">
        <f t="shared" si="55"/>
        <v>0</v>
      </c>
      <c r="N679" s="33">
        <f>Result_notebook!L679</f>
        <v>0.69917047091553897</v>
      </c>
      <c r="O679" s="31">
        <f t="shared" si="56"/>
        <v>-29189.028431517945</v>
      </c>
      <c r="P679" s="31">
        <f t="shared" si="57"/>
        <v>1865.3028569222079</v>
      </c>
      <c r="Q679">
        <f t="shared" si="58"/>
        <v>27323.725574595737</v>
      </c>
    </row>
    <row r="680" spans="1:17" x14ac:dyDescent="0.35">
      <c r="A680">
        <v>2032</v>
      </c>
      <c r="B680" t="s">
        <v>8</v>
      </c>
      <c r="C680" t="s">
        <v>4</v>
      </c>
      <c r="D680" t="s">
        <v>18</v>
      </c>
      <c r="E680" t="s">
        <v>483</v>
      </c>
      <c r="F680" t="s">
        <v>86</v>
      </c>
      <c r="G680" s="31">
        <v>108954.6041363616</v>
      </c>
      <c r="H680" s="31">
        <v>197582.18962964119</v>
      </c>
      <c r="I680" s="31">
        <v>110819.9069932838</v>
      </c>
      <c r="J680" s="32">
        <f t="shared" si="54"/>
        <v>27323.725574595737</v>
      </c>
      <c r="K680" s="31">
        <v>0</v>
      </c>
      <c r="L680" s="31">
        <v>0</v>
      </c>
      <c r="M680" s="32">
        <f t="shared" si="55"/>
        <v>0</v>
      </c>
      <c r="N680" s="33">
        <f>Result_notebook!L680</f>
        <v>0.69917047091553897</v>
      </c>
      <c r="O680" s="31">
        <f t="shared" si="56"/>
        <v>-29189.028431517945</v>
      </c>
      <c r="P680" s="31">
        <f t="shared" si="57"/>
        <v>1865.3028569222079</v>
      </c>
      <c r="Q680">
        <f t="shared" si="58"/>
        <v>27323.725574595737</v>
      </c>
    </row>
    <row r="681" spans="1:17" x14ac:dyDescent="0.35">
      <c r="A681">
        <v>2032</v>
      </c>
      <c r="B681" t="s">
        <v>8</v>
      </c>
      <c r="C681" t="s">
        <v>4</v>
      </c>
      <c r="D681" t="s">
        <v>18</v>
      </c>
      <c r="E681" t="s">
        <v>490</v>
      </c>
      <c r="F681" t="s">
        <v>82</v>
      </c>
      <c r="G681" s="31">
        <v>108954.6041363616</v>
      </c>
      <c r="H681" s="31">
        <v>197582.18962964119</v>
      </c>
      <c r="I681" s="31">
        <v>155606.84073283491</v>
      </c>
      <c r="J681" s="32">
        <f t="shared" si="54"/>
        <v>-17463.208164955373</v>
      </c>
      <c r="K681" s="31">
        <v>0</v>
      </c>
      <c r="L681" s="31">
        <v>0</v>
      </c>
      <c r="M681" s="32">
        <f t="shared" si="55"/>
        <v>17463.208164955373</v>
      </c>
      <c r="N681" s="33">
        <f>Result_notebook!L681</f>
        <v>0.69917047091553897</v>
      </c>
      <c r="O681" s="31">
        <f t="shared" si="56"/>
        <v>-46652.236596473318</v>
      </c>
      <c r="P681" s="31">
        <f t="shared" si="57"/>
        <v>46652.236596473318</v>
      </c>
      <c r="Q681">
        <f t="shared" si="58"/>
        <v>-17463.208164955373</v>
      </c>
    </row>
    <row r="682" spans="1:17" x14ac:dyDescent="0.35">
      <c r="A682">
        <v>2032</v>
      </c>
      <c r="B682" t="s">
        <v>8</v>
      </c>
      <c r="C682" t="s">
        <v>9</v>
      </c>
      <c r="D682" t="s">
        <v>16</v>
      </c>
      <c r="E682" t="s">
        <v>483</v>
      </c>
      <c r="F682" t="s">
        <v>80</v>
      </c>
      <c r="G682" s="31">
        <v>49277.628426306859</v>
      </c>
      <c r="H682" s="31">
        <v>0</v>
      </c>
      <c r="I682" s="31">
        <v>0</v>
      </c>
      <c r="J682" s="32">
        <f t="shared" si="54"/>
        <v>0</v>
      </c>
      <c r="K682" s="31">
        <v>62376.744843426401</v>
      </c>
      <c r="L682" s="31">
        <v>49277.628426306859</v>
      </c>
      <c r="M682" s="32">
        <f t="shared" si="55"/>
        <v>49277.628426306859</v>
      </c>
      <c r="N682" s="33">
        <f>Result_notebook!L682</f>
        <v>0.69917047091553897</v>
      </c>
      <c r="O682" s="31">
        <f t="shared" si="56"/>
        <v>0</v>
      </c>
      <c r="P682" s="31">
        <f t="shared" si="57"/>
        <v>0</v>
      </c>
      <c r="Q682">
        <f t="shared" si="58"/>
        <v>0</v>
      </c>
    </row>
    <row r="683" spans="1:17" x14ac:dyDescent="0.35">
      <c r="A683">
        <v>2032</v>
      </c>
      <c r="B683" t="s">
        <v>8</v>
      </c>
      <c r="C683" t="s">
        <v>9</v>
      </c>
      <c r="D683" t="s">
        <v>16</v>
      </c>
      <c r="E683" t="s">
        <v>483</v>
      </c>
      <c r="F683" t="s">
        <v>81</v>
      </c>
      <c r="G683" s="31">
        <v>49277.628426306859</v>
      </c>
      <c r="H683" s="31">
        <v>139278</v>
      </c>
      <c r="I683" s="31">
        <v>78118.250613288372</v>
      </c>
      <c r="J683" s="32">
        <f t="shared" si="54"/>
        <v>19260.814234886071</v>
      </c>
      <c r="K683" s="31">
        <v>0</v>
      </c>
      <c r="L683" s="31">
        <v>0</v>
      </c>
      <c r="M683" s="32">
        <f t="shared" si="55"/>
        <v>0</v>
      </c>
      <c r="N683" s="33">
        <f>Result_notebook!L683</f>
        <v>0.69917047091553897</v>
      </c>
      <c r="O683" s="31">
        <f t="shared" si="56"/>
        <v>-48101.436421867584</v>
      </c>
      <c r="P683" s="31">
        <f t="shared" si="57"/>
        <v>28840.622186981513</v>
      </c>
      <c r="Q683">
        <f t="shared" si="58"/>
        <v>19260.814234886071</v>
      </c>
    </row>
    <row r="684" spans="1:17" x14ac:dyDescent="0.35">
      <c r="A684">
        <v>2032</v>
      </c>
      <c r="B684" t="s">
        <v>8</v>
      </c>
      <c r="C684" t="s">
        <v>9</v>
      </c>
      <c r="D684" t="s">
        <v>18</v>
      </c>
      <c r="E684" t="s">
        <v>483</v>
      </c>
      <c r="F684" t="s">
        <v>85</v>
      </c>
      <c r="G684" s="31">
        <v>49277.628426306859</v>
      </c>
      <c r="H684" s="31">
        <v>197582.18962964119</v>
      </c>
      <c r="I684" s="31">
        <v>110819.9069932838</v>
      </c>
      <c r="J684" s="32">
        <f t="shared" si="54"/>
        <v>27323.725574595737</v>
      </c>
      <c r="K684" s="31">
        <v>0</v>
      </c>
      <c r="L684" s="31">
        <v>0</v>
      </c>
      <c r="M684" s="32">
        <f t="shared" si="55"/>
        <v>0</v>
      </c>
      <c r="N684" s="33">
        <f>Result_notebook!L684</f>
        <v>0.69917047091553897</v>
      </c>
      <c r="O684" s="31">
        <f t="shared" si="56"/>
        <v>-88866.004141572688</v>
      </c>
      <c r="P684" s="31">
        <f t="shared" si="57"/>
        <v>61542.278566976944</v>
      </c>
      <c r="Q684">
        <f t="shared" si="58"/>
        <v>27323.725574595737</v>
      </c>
    </row>
    <row r="685" spans="1:17" x14ac:dyDescent="0.35">
      <c r="A685">
        <v>2032</v>
      </c>
      <c r="B685" t="s">
        <v>8</v>
      </c>
      <c r="C685" t="s">
        <v>9</v>
      </c>
      <c r="D685" t="s">
        <v>18</v>
      </c>
      <c r="E685" t="s">
        <v>483</v>
      </c>
      <c r="F685" t="s">
        <v>86</v>
      </c>
      <c r="G685" s="31">
        <v>49277.628426306859</v>
      </c>
      <c r="H685" s="31">
        <v>197582.18962964119</v>
      </c>
      <c r="I685" s="31">
        <v>110819.9069932838</v>
      </c>
      <c r="J685" s="32">
        <f t="shared" si="54"/>
        <v>27323.725574595737</v>
      </c>
      <c r="K685" s="31">
        <v>0</v>
      </c>
      <c r="L685" s="31">
        <v>0</v>
      </c>
      <c r="M685" s="32">
        <f t="shared" si="55"/>
        <v>0</v>
      </c>
      <c r="N685" s="33">
        <f>Result_notebook!L685</f>
        <v>0.69917047091553897</v>
      </c>
      <c r="O685" s="31">
        <f t="shared" si="56"/>
        <v>-88866.004141572688</v>
      </c>
      <c r="P685" s="31">
        <f t="shared" si="57"/>
        <v>61542.278566976944</v>
      </c>
      <c r="Q685">
        <f t="shared" si="58"/>
        <v>27323.725574595737</v>
      </c>
    </row>
    <row r="686" spans="1:17" x14ac:dyDescent="0.35">
      <c r="A686">
        <v>2032</v>
      </c>
      <c r="B686" t="s">
        <v>8</v>
      </c>
      <c r="C686" t="s">
        <v>9</v>
      </c>
      <c r="D686" t="s">
        <v>18</v>
      </c>
      <c r="E686" t="s">
        <v>490</v>
      </c>
      <c r="F686" t="s">
        <v>82</v>
      </c>
      <c r="G686" s="31">
        <v>49277.628426306859</v>
      </c>
      <c r="H686" s="31">
        <v>197582.18962964119</v>
      </c>
      <c r="I686" s="31">
        <v>155606.84073283491</v>
      </c>
      <c r="J686" s="32">
        <f t="shared" si="54"/>
        <v>-17463.208164955373</v>
      </c>
      <c r="K686" s="31">
        <v>0</v>
      </c>
      <c r="L686" s="31">
        <v>0</v>
      </c>
      <c r="M686" s="32">
        <f t="shared" si="55"/>
        <v>17463.208164955373</v>
      </c>
      <c r="N686" s="33">
        <f>Result_notebook!L686</f>
        <v>0.69917047091553897</v>
      </c>
      <c r="O686" s="31">
        <f t="shared" si="56"/>
        <v>-106329.21230652806</v>
      </c>
      <c r="P686" s="31">
        <f t="shared" si="57"/>
        <v>106329.21230652806</v>
      </c>
      <c r="Q686">
        <f t="shared" si="58"/>
        <v>-17463.208164955373</v>
      </c>
    </row>
    <row r="687" spans="1:17" x14ac:dyDescent="0.35">
      <c r="A687">
        <v>2032</v>
      </c>
      <c r="B687" t="s">
        <v>8</v>
      </c>
      <c r="C687" t="s">
        <v>10</v>
      </c>
      <c r="D687" t="s">
        <v>16</v>
      </c>
      <c r="E687" t="s">
        <v>483</v>
      </c>
      <c r="F687" t="s">
        <v>80</v>
      </c>
      <c r="G687" s="31">
        <v>103780.1262842799</v>
      </c>
      <c r="H687" s="31">
        <v>0</v>
      </c>
      <c r="I687" s="31">
        <v>0</v>
      </c>
      <c r="J687" s="32">
        <f t="shared" si="54"/>
        <v>0</v>
      </c>
      <c r="K687" s="31">
        <v>131367.24846111381</v>
      </c>
      <c r="L687" s="31">
        <v>103780.1262842799</v>
      </c>
      <c r="M687" s="32">
        <f t="shared" si="55"/>
        <v>103780.1262842799</v>
      </c>
      <c r="N687" s="33">
        <f>Result_notebook!L687</f>
        <v>0.69917047091553897</v>
      </c>
      <c r="O687" s="31">
        <f t="shared" si="56"/>
        <v>0</v>
      </c>
      <c r="P687" s="31">
        <f t="shared" si="57"/>
        <v>0</v>
      </c>
      <c r="Q687">
        <f t="shared" si="58"/>
        <v>0</v>
      </c>
    </row>
    <row r="688" spans="1:17" x14ac:dyDescent="0.35">
      <c r="A688">
        <v>2032</v>
      </c>
      <c r="B688" t="s">
        <v>8</v>
      </c>
      <c r="C688" t="s">
        <v>10</v>
      </c>
      <c r="D688" t="s">
        <v>16</v>
      </c>
      <c r="E688" t="s">
        <v>483</v>
      </c>
      <c r="F688" t="s">
        <v>81</v>
      </c>
      <c r="G688" s="31">
        <v>103780.1262842799</v>
      </c>
      <c r="H688" s="31">
        <v>139278</v>
      </c>
      <c r="I688" s="31">
        <v>78118.250613288372</v>
      </c>
      <c r="J688" s="32">
        <f t="shared" si="54"/>
        <v>19260.814234886071</v>
      </c>
      <c r="K688" s="31">
        <v>0</v>
      </c>
      <c r="L688" s="31">
        <v>25661.875670991529</v>
      </c>
      <c r="M688" s="32">
        <f t="shared" si="55"/>
        <v>6401.0614361054577</v>
      </c>
      <c r="N688" s="33">
        <f>Result_notebook!L688</f>
        <v>0.69917047091553897</v>
      </c>
      <c r="O688" s="31">
        <f t="shared" si="56"/>
        <v>0</v>
      </c>
      <c r="P688" s="31">
        <f t="shared" si="57"/>
        <v>0</v>
      </c>
      <c r="Q688">
        <f t="shared" si="58"/>
        <v>19260.814234886071</v>
      </c>
    </row>
    <row r="689" spans="1:17" x14ac:dyDescent="0.35">
      <c r="A689">
        <v>2032</v>
      </c>
      <c r="B689" t="s">
        <v>8</v>
      </c>
      <c r="C689" t="s">
        <v>10</v>
      </c>
      <c r="D689" t="s">
        <v>18</v>
      </c>
      <c r="E689" t="s">
        <v>483</v>
      </c>
      <c r="F689" t="s">
        <v>85</v>
      </c>
      <c r="G689" s="31">
        <v>103780.1262842799</v>
      </c>
      <c r="H689" s="31">
        <v>197582.18962964119</v>
      </c>
      <c r="I689" s="31">
        <v>110819.9069932838</v>
      </c>
      <c r="J689" s="32">
        <f t="shared" si="54"/>
        <v>27323.725574595737</v>
      </c>
      <c r="K689" s="31">
        <v>0</v>
      </c>
      <c r="L689" s="31">
        <v>0</v>
      </c>
      <c r="M689" s="32">
        <f t="shared" si="55"/>
        <v>0</v>
      </c>
      <c r="N689" s="33">
        <f>Result_notebook!L689</f>
        <v>0.69917047091553897</v>
      </c>
      <c r="O689" s="31">
        <f t="shared" si="56"/>
        <v>-34363.506283599636</v>
      </c>
      <c r="P689" s="31">
        <f t="shared" si="57"/>
        <v>7039.7807090038987</v>
      </c>
      <c r="Q689">
        <f t="shared" si="58"/>
        <v>27323.725574595737</v>
      </c>
    </row>
    <row r="690" spans="1:17" x14ac:dyDescent="0.35">
      <c r="A690">
        <v>2032</v>
      </c>
      <c r="B690" t="s">
        <v>8</v>
      </c>
      <c r="C690" t="s">
        <v>10</v>
      </c>
      <c r="D690" t="s">
        <v>18</v>
      </c>
      <c r="E690" t="s">
        <v>483</v>
      </c>
      <c r="F690" t="s">
        <v>86</v>
      </c>
      <c r="G690" s="31">
        <v>103780.1262842799</v>
      </c>
      <c r="H690" s="31">
        <v>197582.18962964119</v>
      </c>
      <c r="I690" s="31">
        <v>110819.9069932838</v>
      </c>
      <c r="J690" s="32">
        <f t="shared" si="54"/>
        <v>27323.725574595737</v>
      </c>
      <c r="K690" s="31">
        <v>0</v>
      </c>
      <c r="L690" s="31">
        <v>0</v>
      </c>
      <c r="M690" s="32">
        <f t="shared" si="55"/>
        <v>0</v>
      </c>
      <c r="N690" s="33">
        <f>Result_notebook!L690</f>
        <v>0.69917047091553897</v>
      </c>
      <c r="O690" s="31">
        <f t="shared" si="56"/>
        <v>-34363.506283599636</v>
      </c>
      <c r="P690" s="31">
        <f t="shared" si="57"/>
        <v>7039.7807090038987</v>
      </c>
      <c r="Q690">
        <f t="shared" si="58"/>
        <v>27323.725574595737</v>
      </c>
    </row>
    <row r="691" spans="1:17" x14ac:dyDescent="0.35">
      <c r="A691">
        <v>2032</v>
      </c>
      <c r="B691" t="s">
        <v>8</v>
      </c>
      <c r="C691" t="s">
        <v>10</v>
      </c>
      <c r="D691" t="s">
        <v>18</v>
      </c>
      <c r="E691" t="s">
        <v>490</v>
      </c>
      <c r="F691" t="s">
        <v>82</v>
      </c>
      <c r="G691" s="31">
        <v>103780.1262842799</v>
      </c>
      <c r="H691" s="31">
        <v>197582.18962964119</v>
      </c>
      <c r="I691" s="31">
        <v>155606.84073283491</v>
      </c>
      <c r="J691" s="32">
        <f t="shared" si="54"/>
        <v>-17463.208164955373</v>
      </c>
      <c r="K691" s="31">
        <v>0</v>
      </c>
      <c r="L691" s="31">
        <v>0</v>
      </c>
      <c r="M691" s="32">
        <f t="shared" si="55"/>
        <v>17463.208164955373</v>
      </c>
      <c r="N691" s="33">
        <f>Result_notebook!L691</f>
        <v>0.69917047091553897</v>
      </c>
      <c r="O691" s="31">
        <f t="shared" si="56"/>
        <v>-51826.714448555009</v>
      </c>
      <c r="P691" s="31">
        <f t="shared" si="57"/>
        <v>51826.714448555009</v>
      </c>
      <c r="Q691">
        <f t="shared" si="58"/>
        <v>-17463.208164955373</v>
      </c>
    </row>
    <row r="692" spans="1:17" x14ac:dyDescent="0.35">
      <c r="A692">
        <v>2032</v>
      </c>
      <c r="B692" t="s">
        <v>13</v>
      </c>
      <c r="C692" t="s">
        <v>4</v>
      </c>
      <c r="D692" t="s">
        <v>16</v>
      </c>
      <c r="E692" t="s">
        <v>483</v>
      </c>
      <c r="F692" t="s">
        <v>80</v>
      </c>
      <c r="G692" s="31">
        <v>2450.943187437073</v>
      </c>
      <c r="H692" s="31">
        <v>0</v>
      </c>
      <c r="I692" s="31">
        <v>0</v>
      </c>
      <c r="J692" s="32">
        <f t="shared" si="54"/>
        <v>0</v>
      </c>
      <c r="K692" s="31">
        <v>2450.943187437073</v>
      </c>
      <c r="L692" s="31">
        <v>2450.943187437073</v>
      </c>
      <c r="M692" s="32">
        <f t="shared" si="55"/>
        <v>2450.943187437073</v>
      </c>
      <c r="N692" s="33">
        <f>Result_notebook!L692</f>
        <v>0.59854391398996798</v>
      </c>
      <c r="O692" s="31">
        <f t="shared" si="56"/>
        <v>0</v>
      </c>
      <c r="P692" s="31">
        <f t="shared" si="57"/>
        <v>0</v>
      </c>
      <c r="Q692">
        <f t="shared" si="58"/>
        <v>0</v>
      </c>
    </row>
    <row r="693" spans="1:17" x14ac:dyDescent="0.35">
      <c r="A693">
        <v>2032</v>
      </c>
      <c r="B693" t="s">
        <v>13</v>
      </c>
      <c r="C693" t="s">
        <v>4</v>
      </c>
      <c r="D693" t="s">
        <v>16</v>
      </c>
      <c r="E693" t="s">
        <v>483</v>
      </c>
      <c r="F693" t="s">
        <v>81</v>
      </c>
      <c r="G693" s="31">
        <v>2450.943187437073</v>
      </c>
      <c r="H693" s="31">
        <v>0</v>
      </c>
      <c r="I693" s="31">
        <v>0</v>
      </c>
      <c r="J693" s="32">
        <f t="shared" si="54"/>
        <v>0</v>
      </c>
      <c r="K693" s="31">
        <v>2450.943187437073</v>
      </c>
      <c r="L693" s="31">
        <v>2450.943187437073</v>
      </c>
      <c r="M693" s="32">
        <f t="shared" si="55"/>
        <v>2450.943187437073</v>
      </c>
      <c r="N693" s="33">
        <f>Result_notebook!L693</f>
        <v>0.59854391398996798</v>
      </c>
      <c r="O693" s="31">
        <f t="shared" si="56"/>
        <v>0</v>
      </c>
      <c r="P693" s="31">
        <f t="shared" si="57"/>
        <v>0</v>
      </c>
      <c r="Q693">
        <f t="shared" si="58"/>
        <v>0</v>
      </c>
    </row>
    <row r="694" spans="1:17" x14ac:dyDescent="0.35">
      <c r="A694">
        <v>2032</v>
      </c>
      <c r="B694" t="s">
        <v>13</v>
      </c>
      <c r="C694" t="s">
        <v>4</v>
      </c>
      <c r="D694" t="s">
        <v>18</v>
      </c>
      <c r="E694" t="s">
        <v>483</v>
      </c>
      <c r="F694" t="s">
        <v>85</v>
      </c>
      <c r="G694" s="31">
        <v>2450.943187437073</v>
      </c>
      <c r="H694" s="31">
        <v>88936.044742334896</v>
      </c>
      <c r="I694" s="31">
        <v>29348.894764970519</v>
      </c>
      <c r="J694" s="32">
        <f t="shared" si="54"/>
        <v>23883.233549893524</v>
      </c>
      <c r="K694" s="31">
        <v>0</v>
      </c>
      <c r="L694" s="31">
        <v>0</v>
      </c>
      <c r="M694" s="32">
        <f t="shared" si="55"/>
        <v>0</v>
      </c>
      <c r="N694" s="33">
        <f>Result_notebook!L694</f>
        <v>0.59854391398996798</v>
      </c>
      <c r="O694" s="31">
        <f t="shared" si="56"/>
        <v>-50781.185127426972</v>
      </c>
      <c r="P694" s="31">
        <f t="shared" si="57"/>
        <v>26897.951577533444</v>
      </c>
      <c r="Q694">
        <f t="shared" si="58"/>
        <v>23883.233549893524</v>
      </c>
    </row>
    <row r="695" spans="1:17" x14ac:dyDescent="0.35">
      <c r="A695">
        <v>2032</v>
      </c>
      <c r="B695" t="s">
        <v>13</v>
      </c>
      <c r="C695" t="s">
        <v>4</v>
      </c>
      <c r="D695" t="s">
        <v>18</v>
      </c>
      <c r="E695" t="s">
        <v>483</v>
      </c>
      <c r="F695" t="s">
        <v>86</v>
      </c>
      <c r="G695" s="31">
        <v>2450.943187437073</v>
      </c>
      <c r="H695" s="31">
        <v>88936.044742334896</v>
      </c>
      <c r="I695" s="31">
        <v>29348.894764970519</v>
      </c>
      <c r="J695" s="32">
        <f t="shared" si="54"/>
        <v>23883.233549893524</v>
      </c>
      <c r="K695" s="31">
        <v>0</v>
      </c>
      <c r="L695" s="31">
        <v>0</v>
      </c>
      <c r="M695" s="32">
        <f t="shared" si="55"/>
        <v>0</v>
      </c>
      <c r="N695" s="33">
        <f>Result_notebook!L695</f>
        <v>0.59854391398996798</v>
      </c>
      <c r="O695" s="31">
        <f t="shared" si="56"/>
        <v>-50781.185127426972</v>
      </c>
      <c r="P695" s="31">
        <f t="shared" si="57"/>
        <v>26897.951577533444</v>
      </c>
      <c r="Q695">
        <f t="shared" si="58"/>
        <v>23883.233549893524</v>
      </c>
    </row>
    <row r="696" spans="1:17" x14ac:dyDescent="0.35">
      <c r="A696">
        <v>2032</v>
      </c>
      <c r="B696" t="s">
        <v>13</v>
      </c>
      <c r="C696" t="s">
        <v>4</v>
      </c>
      <c r="D696" t="s">
        <v>18</v>
      </c>
      <c r="E696" t="s">
        <v>490</v>
      </c>
      <c r="F696" t="s">
        <v>82</v>
      </c>
      <c r="G696" s="31">
        <v>2450.943187437073</v>
      </c>
      <c r="H696" s="31">
        <v>88936.044742334896</v>
      </c>
      <c r="I696" s="31">
        <v>29348.894764970519</v>
      </c>
      <c r="J696" s="32">
        <f t="shared" si="54"/>
        <v>23883.233549893524</v>
      </c>
      <c r="K696" s="31">
        <v>0</v>
      </c>
      <c r="L696" s="31">
        <v>0</v>
      </c>
      <c r="M696" s="32">
        <f t="shared" si="55"/>
        <v>0</v>
      </c>
      <c r="N696" s="33">
        <f>Result_notebook!L696</f>
        <v>0.59854391398996798</v>
      </c>
      <c r="O696" s="31">
        <f t="shared" si="56"/>
        <v>-50781.185127426972</v>
      </c>
      <c r="P696" s="31">
        <f t="shared" si="57"/>
        <v>26897.951577533444</v>
      </c>
      <c r="Q696">
        <f t="shared" si="58"/>
        <v>23883.233549893524</v>
      </c>
    </row>
    <row r="697" spans="1:17" x14ac:dyDescent="0.35">
      <c r="A697">
        <v>2032</v>
      </c>
      <c r="B697" t="s">
        <v>13</v>
      </c>
      <c r="C697" t="s">
        <v>9</v>
      </c>
      <c r="D697" t="s">
        <v>16</v>
      </c>
      <c r="E697" t="s">
        <v>483</v>
      </c>
      <c r="F697" t="s">
        <v>80</v>
      </c>
      <c r="G697" s="31">
        <v>1004.026198286667</v>
      </c>
      <c r="H697" s="31">
        <v>0</v>
      </c>
      <c r="I697" s="31">
        <v>0</v>
      </c>
      <c r="J697" s="32">
        <f t="shared" si="54"/>
        <v>0</v>
      </c>
      <c r="K697" s="31">
        <v>1004.026198286667</v>
      </c>
      <c r="L697" s="31">
        <v>1004.026198286667</v>
      </c>
      <c r="M697" s="32">
        <f t="shared" si="55"/>
        <v>1004.026198286667</v>
      </c>
      <c r="N697" s="33">
        <f>Result_notebook!L697</f>
        <v>0.59854391398996798</v>
      </c>
      <c r="O697" s="31">
        <f t="shared" si="56"/>
        <v>0</v>
      </c>
      <c r="P697" s="31">
        <f t="shared" si="57"/>
        <v>0</v>
      </c>
      <c r="Q697">
        <f t="shared" si="58"/>
        <v>0</v>
      </c>
    </row>
    <row r="698" spans="1:17" x14ac:dyDescent="0.35">
      <c r="A698">
        <v>2032</v>
      </c>
      <c r="B698" t="s">
        <v>13</v>
      </c>
      <c r="C698" t="s">
        <v>9</v>
      </c>
      <c r="D698" t="s">
        <v>16</v>
      </c>
      <c r="E698" t="s">
        <v>483</v>
      </c>
      <c r="F698" t="s">
        <v>81</v>
      </c>
      <c r="G698" s="31">
        <v>1004.026198286667</v>
      </c>
      <c r="H698" s="31">
        <v>0</v>
      </c>
      <c r="I698" s="31">
        <v>0</v>
      </c>
      <c r="J698" s="32">
        <f t="shared" si="54"/>
        <v>0</v>
      </c>
      <c r="K698" s="31">
        <v>1004.026198286667</v>
      </c>
      <c r="L698" s="31">
        <v>1004.026198286667</v>
      </c>
      <c r="M698" s="32">
        <f t="shared" si="55"/>
        <v>1004.026198286667</v>
      </c>
      <c r="N698" s="33">
        <f>Result_notebook!L698</f>
        <v>0.59854391398996798</v>
      </c>
      <c r="O698" s="31">
        <f t="shared" si="56"/>
        <v>0</v>
      </c>
      <c r="P698" s="31">
        <f t="shared" si="57"/>
        <v>0</v>
      </c>
      <c r="Q698">
        <f t="shared" si="58"/>
        <v>0</v>
      </c>
    </row>
    <row r="699" spans="1:17" x14ac:dyDescent="0.35">
      <c r="A699">
        <v>2032</v>
      </c>
      <c r="B699" t="s">
        <v>13</v>
      </c>
      <c r="C699" t="s">
        <v>9</v>
      </c>
      <c r="D699" t="s">
        <v>18</v>
      </c>
      <c r="E699" t="s">
        <v>483</v>
      </c>
      <c r="F699" t="s">
        <v>85</v>
      </c>
      <c r="G699" s="31">
        <v>1004.026198286667</v>
      </c>
      <c r="H699" s="31">
        <v>88936.044742334896</v>
      </c>
      <c r="I699" s="31">
        <v>29348.894764970519</v>
      </c>
      <c r="J699" s="32">
        <f t="shared" si="54"/>
        <v>23883.233549893524</v>
      </c>
      <c r="K699" s="31">
        <v>0</v>
      </c>
      <c r="L699" s="31">
        <v>0</v>
      </c>
      <c r="M699" s="32">
        <f t="shared" si="55"/>
        <v>0</v>
      </c>
      <c r="N699" s="33">
        <f>Result_notebook!L699</f>
        <v>0.59854391398996798</v>
      </c>
      <c r="O699" s="31">
        <f t="shared" si="56"/>
        <v>-52228.102116577378</v>
      </c>
      <c r="P699" s="31">
        <f t="shared" si="57"/>
        <v>28344.86856668385</v>
      </c>
      <c r="Q699">
        <f t="shared" si="58"/>
        <v>23883.233549893524</v>
      </c>
    </row>
    <row r="700" spans="1:17" x14ac:dyDescent="0.35">
      <c r="A700">
        <v>2032</v>
      </c>
      <c r="B700" t="s">
        <v>13</v>
      </c>
      <c r="C700" t="s">
        <v>9</v>
      </c>
      <c r="D700" t="s">
        <v>18</v>
      </c>
      <c r="E700" t="s">
        <v>483</v>
      </c>
      <c r="F700" t="s">
        <v>86</v>
      </c>
      <c r="G700" s="31">
        <v>1004.026198286667</v>
      </c>
      <c r="H700" s="31">
        <v>88936.044742334896</v>
      </c>
      <c r="I700" s="31">
        <v>29348.894764970519</v>
      </c>
      <c r="J700" s="32">
        <f t="shared" si="54"/>
        <v>23883.233549893524</v>
      </c>
      <c r="K700" s="31">
        <v>0</v>
      </c>
      <c r="L700" s="31">
        <v>0</v>
      </c>
      <c r="M700" s="32">
        <f t="shared" si="55"/>
        <v>0</v>
      </c>
      <c r="N700" s="33">
        <f>Result_notebook!L700</f>
        <v>0.59854391398996798</v>
      </c>
      <c r="O700" s="31">
        <f t="shared" si="56"/>
        <v>-52228.102116577378</v>
      </c>
      <c r="P700" s="31">
        <f t="shared" si="57"/>
        <v>28344.86856668385</v>
      </c>
      <c r="Q700">
        <f t="shared" si="58"/>
        <v>23883.233549893524</v>
      </c>
    </row>
    <row r="701" spans="1:17" x14ac:dyDescent="0.35">
      <c r="A701">
        <v>2032</v>
      </c>
      <c r="B701" t="s">
        <v>13</v>
      </c>
      <c r="C701" t="s">
        <v>9</v>
      </c>
      <c r="D701" t="s">
        <v>18</v>
      </c>
      <c r="E701" t="s">
        <v>490</v>
      </c>
      <c r="F701" t="s">
        <v>82</v>
      </c>
      <c r="G701" s="31">
        <v>1004.026198286667</v>
      </c>
      <c r="H701" s="31">
        <v>88936.044742334896</v>
      </c>
      <c r="I701" s="31">
        <v>29348.894764970519</v>
      </c>
      <c r="J701" s="32">
        <f t="shared" si="54"/>
        <v>23883.233549893524</v>
      </c>
      <c r="K701" s="31">
        <v>0</v>
      </c>
      <c r="L701" s="31">
        <v>0</v>
      </c>
      <c r="M701" s="32">
        <f t="shared" si="55"/>
        <v>0</v>
      </c>
      <c r="N701" s="33">
        <f>Result_notebook!L701</f>
        <v>0.59854391398996798</v>
      </c>
      <c r="O701" s="31">
        <f t="shared" si="56"/>
        <v>-52228.102116577378</v>
      </c>
      <c r="P701" s="31">
        <f t="shared" si="57"/>
        <v>28344.86856668385</v>
      </c>
      <c r="Q701">
        <f t="shared" si="58"/>
        <v>23883.233549893524</v>
      </c>
    </row>
    <row r="702" spans="1:17" x14ac:dyDescent="0.35">
      <c r="A702">
        <v>2032</v>
      </c>
      <c r="B702" t="s">
        <v>13</v>
      </c>
      <c r="C702" t="s">
        <v>10</v>
      </c>
      <c r="D702" t="s">
        <v>16</v>
      </c>
      <c r="E702" t="s">
        <v>483</v>
      </c>
      <c r="F702" t="s">
        <v>80</v>
      </c>
      <c r="G702" s="31">
        <v>2325.6357382728388</v>
      </c>
      <c r="H702" s="31">
        <v>0</v>
      </c>
      <c r="I702" s="31">
        <v>0</v>
      </c>
      <c r="J702" s="32">
        <f t="shared" si="54"/>
        <v>0</v>
      </c>
      <c r="K702" s="31">
        <v>2325.6357382728388</v>
      </c>
      <c r="L702" s="31">
        <v>2325.6357382728388</v>
      </c>
      <c r="M702" s="32">
        <f t="shared" si="55"/>
        <v>2325.6357382728388</v>
      </c>
      <c r="N702" s="33">
        <f>Result_notebook!L702</f>
        <v>0.59854391398996798</v>
      </c>
      <c r="O702" s="31">
        <f t="shared" si="56"/>
        <v>0</v>
      </c>
      <c r="P702" s="31">
        <f t="shared" si="57"/>
        <v>0</v>
      </c>
      <c r="Q702">
        <f t="shared" si="58"/>
        <v>0</v>
      </c>
    </row>
    <row r="703" spans="1:17" x14ac:dyDescent="0.35">
      <c r="A703">
        <v>2032</v>
      </c>
      <c r="B703" t="s">
        <v>13</v>
      </c>
      <c r="C703" t="s">
        <v>10</v>
      </c>
      <c r="D703" t="s">
        <v>16</v>
      </c>
      <c r="E703" t="s">
        <v>483</v>
      </c>
      <c r="F703" t="s">
        <v>81</v>
      </c>
      <c r="G703" s="31">
        <v>2325.6357382728388</v>
      </c>
      <c r="H703" s="31">
        <v>0</v>
      </c>
      <c r="I703" s="31">
        <v>0</v>
      </c>
      <c r="J703" s="32">
        <f t="shared" si="54"/>
        <v>0</v>
      </c>
      <c r="K703" s="31">
        <v>2325.6357382728388</v>
      </c>
      <c r="L703" s="31">
        <v>2325.6357382728388</v>
      </c>
      <c r="M703" s="32">
        <f t="shared" si="55"/>
        <v>2325.6357382728388</v>
      </c>
      <c r="N703" s="33">
        <f>Result_notebook!L703</f>
        <v>0.59854391398996798</v>
      </c>
      <c r="O703" s="31">
        <f t="shared" si="56"/>
        <v>0</v>
      </c>
      <c r="P703" s="31">
        <f t="shared" si="57"/>
        <v>0</v>
      </c>
      <c r="Q703">
        <f t="shared" si="58"/>
        <v>0</v>
      </c>
    </row>
    <row r="704" spans="1:17" x14ac:dyDescent="0.35">
      <c r="A704">
        <v>2032</v>
      </c>
      <c r="B704" t="s">
        <v>13</v>
      </c>
      <c r="C704" t="s">
        <v>10</v>
      </c>
      <c r="D704" t="s">
        <v>18</v>
      </c>
      <c r="E704" t="s">
        <v>483</v>
      </c>
      <c r="F704" t="s">
        <v>85</v>
      </c>
      <c r="G704" s="31">
        <v>2325.6357382728388</v>
      </c>
      <c r="H704" s="31">
        <v>88936.044742334896</v>
      </c>
      <c r="I704" s="31">
        <v>29348.894764970519</v>
      </c>
      <c r="J704" s="32">
        <f t="shared" si="54"/>
        <v>23883.233549893524</v>
      </c>
      <c r="K704" s="31">
        <v>0</v>
      </c>
      <c r="L704" s="31">
        <v>0</v>
      </c>
      <c r="M704" s="32">
        <f t="shared" si="55"/>
        <v>0</v>
      </c>
      <c r="N704" s="33">
        <f>Result_notebook!L704</f>
        <v>0.59854391398996798</v>
      </c>
      <c r="O704" s="31">
        <f t="shared" si="56"/>
        <v>-50906.492576591205</v>
      </c>
      <c r="P704" s="31">
        <f t="shared" si="57"/>
        <v>27023.25902669768</v>
      </c>
      <c r="Q704">
        <f t="shared" si="58"/>
        <v>23883.233549893524</v>
      </c>
    </row>
    <row r="705" spans="1:17" x14ac:dyDescent="0.35">
      <c r="A705">
        <v>2032</v>
      </c>
      <c r="B705" t="s">
        <v>13</v>
      </c>
      <c r="C705" t="s">
        <v>10</v>
      </c>
      <c r="D705" t="s">
        <v>18</v>
      </c>
      <c r="E705" t="s">
        <v>483</v>
      </c>
      <c r="F705" t="s">
        <v>86</v>
      </c>
      <c r="G705" s="31">
        <v>2325.6357382728388</v>
      </c>
      <c r="H705" s="31">
        <v>88936.044742334896</v>
      </c>
      <c r="I705" s="31">
        <v>29348.894764970519</v>
      </c>
      <c r="J705" s="32">
        <f t="shared" si="54"/>
        <v>23883.233549893524</v>
      </c>
      <c r="K705" s="31">
        <v>0</v>
      </c>
      <c r="L705" s="31">
        <v>0</v>
      </c>
      <c r="M705" s="32">
        <f t="shared" si="55"/>
        <v>0</v>
      </c>
      <c r="N705" s="33">
        <f>Result_notebook!L705</f>
        <v>0.59854391398996798</v>
      </c>
      <c r="O705" s="31">
        <f t="shared" si="56"/>
        <v>-50906.492576591205</v>
      </c>
      <c r="P705" s="31">
        <f t="shared" si="57"/>
        <v>27023.25902669768</v>
      </c>
      <c r="Q705">
        <f t="shared" si="58"/>
        <v>23883.233549893524</v>
      </c>
    </row>
    <row r="706" spans="1:17" x14ac:dyDescent="0.35">
      <c r="A706">
        <v>2032</v>
      </c>
      <c r="B706" t="s">
        <v>13</v>
      </c>
      <c r="C706" t="s">
        <v>10</v>
      </c>
      <c r="D706" t="s">
        <v>18</v>
      </c>
      <c r="E706" t="s">
        <v>490</v>
      </c>
      <c r="F706" t="s">
        <v>82</v>
      </c>
      <c r="G706" s="31">
        <v>2325.6357382728388</v>
      </c>
      <c r="H706" s="31">
        <v>88936.044742334896</v>
      </c>
      <c r="I706" s="31">
        <v>29348.894764970519</v>
      </c>
      <c r="J706" s="32">
        <f t="shared" si="54"/>
        <v>23883.233549893524</v>
      </c>
      <c r="K706" s="31">
        <v>0</v>
      </c>
      <c r="L706" s="31">
        <v>0</v>
      </c>
      <c r="M706" s="32">
        <f t="shared" si="55"/>
        <v>0</v>
      </c>
      <c r="N706" s="33">
        <f>Result_notebook!L706</f>
        <v>0.59854391398996798</v>
      </c>
      <c r="O706" s="31">
        <f t="shared" si="56"/>
        <v>-50906.492576591205</v>
      </c>
      <c r="P706" s="31">
        <f t="shared" si="57"/>
        <v>27023.25902669768</v>
      </c>
      <c r="Q706">
        <f t="shared" si="58"/>
        <v>23883.233549893524</v>
      </c>
    </row>
    <row r="707" spans="1:17" x14ac:dyDescent="0.35">
      <c r="A707">
        <v>2032</v>
      </c>
      <c r="B707" t="s">
        <v>12</v>
      </c>
      <c r="C707" t="s">
        <v>4</v>
      </c>
      <c r="D707" t="s">
        <v>16</v>
      </c>
      <c r="E707" t="s">
        <v>483</v>
      </c>
      <c r="F707" t="s">
        <v>80</v>
      </c>
      <c r="G707" s="31">
        <v>43216.40196908595</v>
      </c>
      <c r="H707" s="31">
        <v>0</v>
      </c>
      <c r="I707" s="31">
        <v>0</v>
      </c>
      <c r="J707" s="32">
        <f t="shared" ref="J707:J770" si="59">H707*N707-I707</f>
        <v>0</v>
      </c>
      <c r="K707" s="31">
        <v>61737.717098694207</v>
      </c>
      <c r="L707" s="31">
        <v>43216.40196908595</v>
      </c>
      <c r="M707" s="32">
        <f t="shared" ref="M707:M770" si="60">MAX(L707-J707,0)</f>
        <v>43216.40196908595</v>
      </c>
      <c r="N707" s="33">
        <f>Result_notebook!L707</f>
        <v>0.787554996857322</v>
      </c>
      <c r="O707" s="31">
        <f t="shared" ref="O707:O770" si="61">G707-(I707+J707+M707)</f>
        <v>0</v>
      </c>
      <c r="P707" s="31">
        <f t="shared" ref="P707:P770" si="62">MAX(I707-G707,0)</f>
        <v>0</v>
      </c>
      <c r="Q707">
        <f t="shared" ref="Q707:Q770" si="63">(H707*N707)-I707</f>
        <v>0</v>
      </c>
    </row>
    <row r="708" spans="1:17" x14ac:dyDescent="0.35">
      <c r="A708">
        <v>2032</v>
      </c>
      <c r="B708" t="s">
        <v>12</v>
      </c>
      <c r="C708" t="s">
        <v>4</v>
      </c>
      <c r="D708" t="s">
        <v>16</v>
      </c>
      <c r="E708" t="s">
        <v>483</v>
      </c>
      <c r="F708" t="s">
        <v>81</v>
      </c>
      <c r="G708" s="31">
        <v>43216.40196908595</v>
      </c>
      <c r="H708" s="31">
        <v>40610</v>
      </c>
      <c r="I708" s="31">
        <v>28393.312823880038</v>
      </c>
      <c r="J708" s="32">
        <f t="shared" si="59"/>
        <v>3589.2955984958098</v>
      </c>
      <c r="K708" s="31">
        <v>21127.717098694211</v>
      </c>
      <c r="L708" s="31">
        <v>14823.08914520591</v>
      </c>
      <c r="M708" s="32">
        <f t="shared" si="60"/>
        <v>11233.7935467101</v>
      </c>
      <c r="N708" s="33">
        <f>Result_notebook!L708</f>
        <v>0.787554996857322</v>
      </c>
      <c r="O708" s="31">
        <f t="shared" si="61"/>
        <v>0</v>
      </c>
      <c r="P708" s="31">
        <f t="shared" si="62"/>
        <v>0</v>
      </c>
      <c r="Q708">
        <f t="shared" si="63"/>
        <v>3589.2955984958098</v>
      </c>
    </row>
    <row r="709" spans="1:17" x14ac:dyDescent="0.35">
      <c r="A709">
        <v>2032</v>
      </c>
      <c r="B709" t="s">
        <v>12</v>
      </c>
      <c r="C709" t="s">
        <v>4</v>
      </c>
      <c r="D709" t="s">
        <v>18</v>
      </c>
      <c r="E709" t="s">
        <v>483</v>
      </c>
      <c r="F709" t="s">
        <v>85</v>
      </c>
      <c r="G709" s="31">
        <v>43216.40196908595</v>
      </c>
      <c r="H709" s="31">
        <v>147257</v>
      </c>
      <c r="I709" s="31">
        <v>102957.7460356095</v>
      </c>
      <c r="J709" s="32">
        <f t="shared" si="59"/>
        <v>13015.240136609165</v>
      </c>
      <c r="K709" s="31">
        <v>0</v>
      </c>
      <c r="L709" s="31">
        <v>0</v>
      </c>
      <c r="M709" s="32">
        <f t="shared" si="60"/>
        <v>0</v>
      </c>
      <c r="N709" s="33">
        <f>Result_notebook!L709</f>
        <v>0.787554996857322</v>
      </c>
      <c r="O709" s="31">
        <f t="shared" si="61"/>
        <v>-72756.584203132719</v>
      </c>
      <c r="P709" s="31">
        <f t="shared" si="62"/>
        <v>59741.344066523547</v>
      </c>
      <c r="Q709">
        <f t="shared" si="63"/>
        <v>13015.240136609165</v>
      </c>
    </row>
    <row r="710" spans="1:17" x14ac:dyDescent="0.35">
      <c r="A710">
        <v>2032</v>
      </c>
      <c r="B710" t="s">
        <v>12</v>
      </c>
      <c r="C710" t="s">
        <v>4</v>
      </c>
      <c r="D710" t="s">
        <v>18</v>
      </c>
      <c r="E710" t="s">
        <v>483</v>
      </c>
      <c r="F710" t="s">
        <v>86</v>
      </c>
      <c r="G710" s="31">
        <v>43216.40196908595</v>
      </c>
      <c r="H710" s="31">
        <v>147257</v>
      </c>
      <c r="I710" s="31">
        <v>102957.7460356095</v>
      </c>
      <c r="J710" s="32">
        <f t="shared" si="59"/>
        <v>13015.240136609165</v>
      </c>
      <c r="K710" s="31">
        <v>0</v>
      </c>
      <c r="L710" s="31">
        <v>0</v>
      </c>
      <c r="M710" s="32">
        <f t="shared" si="60"/>
        <v>0</v>
      </c>
      <c r="N710" s="33">
        <f>Result_notebook!L710</f>
        <v>0.787554996857322</v>
      </c>
      <c r="O710" s="31">
        <f t="shared" si="61"/>
        <v>-72756.584203132719</v>
      </c>
      <c r="P710" s="31">
        <f t="shared" si="62"/>
        <v>59741.344066523547</v>
      </c>
      <c r="Q710">
        <f t="shared" si="63"/>
        <v>13015.240136609165</v>
      </c>
    </row>
    <row r="711" spans="1:17" x14ac:dyDescent="0.35">
      <c r="A711">
        <v>2032</v>
      </c>
      <c r="B711" t="s">
        <v>12</v>
      </c>
      <c r="C711" t="s">
        <v>4</v>
      </c>
      <c r="D711" t="s">
        <v>18</v>
      </c>
      <c r="E711" t="s">
        <v>490</v>
      </c>
      <c r="F711" t="s">
        <v>82</v>
      </c>
      <c r="G711" s="31">
        <v>43216.40196908595</v>
      </c>
      <c r="H711" s="31">
        <v>147257</v>
      </c>
      <c r="I711" s="31">
        <v>102957.7460356095</v>
      </c>
      <c r="J711" s="32">
        <f t="shared" si="59"/>
        <v>13015.240136609165</v>
      </c>
      <c r="K711" s="31">
        <v>0</v>
      </c>
      <c r="L711" s="31">
        <v>0</v>
      </c>
      <c r="M711" s="32">
        <f t="shared" si="60"/>
        <v>0</v>
      </c>
      <c r="N711" s="33">
        <f>Result_notebook!L711</f>
        <v>0.787554996857322</v>
      </c>
      <c r="O711" s="31">
        <f t="shared" si="61"/>
        <v>-72756.584203132719</v>
      </c>
      <c r="P711" s="31">
        <f t="shared" si="62"/>
        <v>59741.344066523547</v>
      </c>
      <c r="Q711">
        <f t="shared" si="63"/>
        <v>13015.240136609165</v>
      </c>
    </row>
    <row r="712" spans="1:17" x14ac:dyDescent="0.35">
      <c r="A712">
        <v>2032</v>
      </c>
      <c r="B712" t="s">
        <v>12</v>
      </c>
      <c r="C712" t="s">
        <v>9</v>
      </c>
      <c r="D712" t="s">
        <v>16</v>
      </c>
      <c r="E712" t="s">
        <v>483</v>
      </c>
      <c r="F712" t="s">
        <v>80</v>
      </c>
      <c r="G712" s="31">
        <v>17703.55183876073</v>
      </c>
      <c r="H712" s="31">
        <v>0</v>
      </c>
      <c r="I712" s="31">
        <v>0</v>
      </c>
      <c r="J712" s="32">
        <f t="shared" si="59"/>
        <v>0</v>
      </c>
      <c r="K712" s="31">
        <v>25290.788341086762</v>
      </c>
      <c r="L712" s="31">
        <v>17703.55183876073</v>
      </c>
      <c r="M712" s="32">
        <f t="shared" si="60"/>
        <v>17703.55183876073</v>
      </c>
      <c r="N712" s="33">
        <f>Result_notebook!L712</f>
        <v>0.787554996857322</v>
      </c>
      <c r="O712" s="31">
        <f t="shared" si="61"/>
        <v>0</v>
      </c>
      <c r="P712" s="31">
        <f t="shared" si="62"/>
        <v>0</v>
      </c>
      <c r="Q712">
        <f t="shared" si="63"/>
        <v>0</v>
      </c>
    </row>
    <row r="713" spans="1:17" x14ac:dyDescent="0.35">
      <c r="A713">
        <v>2032</v>
      </c>
      <c r="B713" t="s">
        <v>12</v>
      </c>
      <c r="C713" t="s">
        <v>9</v>
      </c>
      <c r="D713" t="s">
        <v>16</v>
      </c>
      <c r="E713" t="s">
        <v>483</v>
      </c>
      <c r="F713" t="s">
        <v>81</v>
      </c>
      <c r="G713" s="31">
        <v>17703.55183876073</v>
      </c>
      <c r="H713" s="31">
        <v>40610</v>
      </c>
      <c r="I713" s="31">
        <v>28393.312823880038</v>
      </c>
      <c r="J713" s="32">
        <f t="shared" si="59"/>
        <v>3589.2955984958098</v>
      </c>
      <c r="K713" s="31">
        <v>0</v>
      </c>
      <c r="L713" s="31">
        <v>0</v>
      </c>
      <c r="M713" s="32">
        <f t="shared" si="60"/>
        <v>0</v>
      </c>
      <c r="N713" s="33">
        <f>Result_notebook!L713</f>
        <v>0.787554996857322</v>
      </c>
      <c r="O713" s="31">
        <f t="shared" si="61"/>
        <v>-14279.056583615118</v>
      </c>
      <c r="P713" s="31">
        <f t="shared" si="62"/>
        <v>10689.760985119308</v>
      </c>
      <c r="Q713">
        <f t="shared" si="63"/>
        <v>3589.2955984958098</v>
      </c>
    </row>
    <row r="714" spans="1:17" x14ac:dyDescent="0.35">
      <c r="A714">
        <v>2032</v>
      </c>
      <c r="B714" t="s">
        <v>12</v>
      </c>
      <c r="C714" t="s">
        <v>9</v>
      </c>
      <c r="D714" t="s">
        <v>18</v>
      </c>
      <c r="E714" t="s">
        <v>483</v>
      </c>
      <c r="F714" t="s">
        <v>85</v>
      </c>
      <c r="G714" s="31">
        <v>17703.55183876073</v>
      </c>
      <c r="H714" s="31">
        <v>147257</v>
      </c>
      <c r="I714" s="31">
        <v>102957.7460356095</v>
      </c>
      <c r="J714" s="32">
        <f t="shared" si="59"/>
        <v>13015.240136609165</v>
      </c>
      <c r="K714" s="31">
        <v>0</v>
      </c>
      <c r="L714" s="31">
        <v>0</v>
      </c>
      <c r="M714" s="32">
        <f t="shared" si="60"/>
        <v>0</v>
      </c>
      <c r="N714" s="33">
        <f>Result_notebook!L714</f>
        <v>0.787554996857322</v>
      </c>
      <c r="O714" s="31">
        <f t="shared" si="61"/>
        <v>-98269.434333457932</v>
      </c>
      <c r="P714" s="31">
        <f t="shared" si="62"/>
        <v>85254.194196848766</v>
      </c>
      <c r="Q714">
        <f t="shared" si="63"/>
        <v>13015.240136609165</v>
      </c>
    </row>
    <row r="715" spans="1:17" x14ac:dyDescent="0.35">
      <c r="A715">
        <v>2032</v>
      </c>
      <c r="B715" t="s">
        <v>12</v>
      </c>
      <c r="C715" t="s">
        <v>9</v>
      </c>
      <c r="D715" t="s">
        <v>18</v>
      </c>
      <c r="E715" t="s">
        <v>483</v>
      </c>
      <c r="F715" t="s">
        <v>86</v>
      </c>
      <c r="G715" s="31">
        <v>17703.55183876073</v>
      </c>
      <c r="H715" s="31">
        <v>147257</v>
      </c>
      <c r="I715" s="31">
        <v>102957.7460356095</v>
      </c>
      <c r="J715" s="32">
        <f t="shared" si="59"/>
        <v>13015.240136609165</v>
      </c>
      <c r="K715" s="31">
        <v>0</v>
      </c>
      <c r="L715" s="31">
        <v>0</v>
      </c>
      <c r="M715" s="32">
        <f t="shared" si="60"/>
        <v>0</v>
      </c>
      <c r="N715" s="33">
        <f>Result_notebook!L715</f>
        <v>0.787554996857322</v>
      </c>
      <c r="O715" s="31">
        <f t="shared" si="61"/>
        <v>-98269.434333457932</v>
      </c>
      <c r="P715" s="31">
        <f t="shared" si="62"/>
        <v>85254.194196848766</v>
      </c>
      <c r="Q715">
        <f t="shared" si="63"/>
        <v>13015.240136609165</v>
      </c>
    </row>
    <row r="716" spans="1:17" x14ac:dyDescent="0.35">
      <c r="A716">
        <v>2032</v>
      </c>
      <c r="B716" t="s">
        <v>12</v>
      </c>
      <c r="C716" t="s">
        <v>9</v>
      </c>
      <c r="D716" t="s">
        <v>18</v>
      </c>
      <c r="E716" t="s">
        <v>490</v>
      </c>
      <c r="F716" t="s">
        <v>82</v>
      </c>
      <c r="G716" s="31">
        <v>17703.55183876073</v>
      </c>
      <c r="H716" s="31">
        <v>147257</v>
      </c>
      <c r="I716" s="31">
        <v>102957.7460356095</v>
      </c>
      <c r="J716" s="32">
        <f t="shared" si="59"/>
        <v>13015.240136609165</v>
      </c>
      <c r="K716" s="31">
        <v>0</v>
      </c>
      <c r="L716" s="31">
        <v>0</v>
      </c>
      <c r="M716" s="32">
        <f t="shared" si="60"/>
        <v>0</v>
      </c>
      <c r="N716" s="33">
        <f>Result_notebook!L716</f>
        <v>0.787554996857322</v>
      </c>
      <c r="O716" s="31">
        <f t="shared" si="61"/>
        <v>-98269.434333457932</v>
      </c>
      <c r="P716" s="31">
        <f t="shared" si="62"/>
        <v>85254.194196848766</v>
      </c>
      <c r="Q716">
        <f t="shared" si="63"/>
        <v>13015.240136609165</v>
      </c>
    </row>
    <row r="717" spans="1:17" x14ac:dyDescent="0.35">
      <c r="A717">
        <v>2032</v>
      </c>
      <c r="B717" t="s">
        <v>12</v>
      </c>
      <c r="C717" t="s">
        <v>10</v>
      </c>
      <c r="D717" t="s">
        <v>16</v>
      </c>
      <c r="E717" t="s">
        <v>483</v>
      </c>
      <c r="F717" t="s">
        <v>80</v>
      </c>
      <c r="G717" s="31">
        <v>41006.910896196001</v>
      </c>
      <c r="H717" s="31">
        <v>0</v>
      </c>
      <c r="I717" s="31">
        <v>0</v>
      </c>
      <c r="J717" s="32">
        <f t="shared" si="59"/>
        <v>0</v>
      </c>
      <c r="K717" s="31">
        <v>58581.301280280008</v>
      </c>
      <c r="L717" s="31">
        <v>41006.910896196001</v>
      </c>
      <c r="M717" s="32">
        <f t="shared" si="60"/>
        <v>41006.910896196001</v>
      </c>
      <c r="N717" s="33">
        <f>Result_notebook!L717</f>
        <v>0.787554996857322</v>
      </c>
      <c r="O717" s="31">
        <f t="shared" si="61"/>
        <v>0</v>
      </c>
      <c r="P717" s="31">
        <f t="shared" si="62"/>
        <v>0</v>
      </c>
      <c r="Q717">
        <f t="shared" si="63"/>
        <v>0</v>
      </c>
    </row>
    <row r="718" spans="1:17" x14ac:dyDescent="0.35">
      <c r="A718">
        <v>2032</v>
      </c>
      <c r="B718" t="s">
        <v>12</v>
      </c>
      <c r="C718" t="s">
        <v>10</v>
      </c>
      <c r="D718" t="s">
        <v>16</v>
      </c>
      <c r="E718" t="s">
        <v>483</v>
      </c>
      <c r="F718" t="s">
        <v>81</v>
      </c>
      <c r="G718" s="31">
        <v>41006.910896196001</v>
      </c>
      <c r="H718" s="31">
        <v>40610</v>
      </c>
      <c r="I718" s="31">
        <v>28393.312823880038</v>
      </c>
      <c r="J718" s="32">
        <f t="shared" si="59"/>
        <v>3589.2955984958098</v>
      </c>
      <c r="K718" s="31">
        <v>17971.301280280011</v>
      </c>
      <c r="L718" s="31">
        <v>12613.598072315959</v>
      </c>
      <c r="M718" s="32">
        <f t="shared" si="60"/>
        <v>9024.3024738201493</v>
      </c>
      <c r="N718" s="33">
        <f>Result_notebook!L718</f>
        <v>0.787554996857322</v>
      </c>
      <c r="O718" s="31">
        <f t="shared" si="61"/>
        <v>0</v>
      </c>
      <c r="P718" s="31">
        <f t="shared" si="62"/>
        <v>0</v>
      </c>
      <c r="Q718">
        <f t="shared" si="63"/>
        <v>3589.2955984958098</v>
      </c>
    </row>
    <row r="719" spans="1:17" x14ac:dyDescent="0.35">
      <c r="A719">
        <v>2032</v>
      </c>
      <c r="B719" t="s">
        <v>12</v>
      </c>
      <c r="C719" t="s">
        <v>10</v>
      </c>
      <c r="D719" t="s">
        <v>18</v>
      </c>
      <c r="E719" t="s">
        <v>483</v>
      </c>
      <c r="F719" t="s">
        <v>85</v>
      </c>
      <c r="G719" s="31">
        <v>41006.910896196001</v>
      </c>
      <c r="H719" s="31">
        <v>147257</v>
      </c>
      <c r="I719" s="31">
        <v>102957.7460356095</v>
      </c>
      <c r="J719" s="32">
        <f t="shared" si="59"/>
        <v>13015.240136609165</v>
      </c>
      <c r="K719" s="31">
        <v>0</v>
      </c>
      <c r="L719" s="31">
        <v>0</v>
      </c>
      <c r="M719" s="32">
        <f t="shared" si="60"/>
        <v>0</v>
      </c>
      <c r="N719" s="33">
        <f>Result_notebook!L719</f>
        <v>0.787554996857322</v>
      </c>
      <c r="O719" s="31">
        <f t="shared" si="61"/>
        <v>-74966.075276022661</v>
      </c>
      <c r="P719" s="31">
        <f t="shared" si="62"/>
        <v>61950.835139413495</v>
      </c>
      <c r="Q719">
        <f t="shared" si="63"/>
        <v>13015.240136609165</v>
      </c>
    </row>
    <row r="720" spans="1:17" x14ac:dyDescent="0.35">
      <c r="A720">
        <v>2032</v>
      </c>
      <c r="B720" t="s">
        <v>12</v>
      </c>
      <c r="C720" t="s">
        <v>10</v>
      </c>
      <c r="D720" t="s">
        <v>18</v>
      </c>
      <c r="E720" t="s">
        <v>483</v>
      </c>
      <c r="F720" t="s">
        <v>86</v>
      </c>
      <c r="G720" s="31">
        <v>41006.910896196001</v>
      </c>
      <c r="H720" s="31">
        <v>147257</v>
      </c>
      <c r="I720" s="31">
        <v>102957.7460356095</v>
      </c>
      <c r="J720" s="32">
        <f t="shared" si="59"/>
        <v>13015.240136609165</v>
      </c>
      <c r="K720" s="31">
        <v>0</v>
      </c>
      <c r="L720" s="31">
        <v>0</v>
      </c>
      <c r="M720" s="32">
        <f t="shared" si="60"/>
        <v>0</v>
      </c>
      <c r="N720" s="33">
        <f>Result_notebook!L720</f>
        <v>0.787554996857322</v>
      </c>
      <c r="O720" s="31">
        <f t="shared" si="61"/>
        <v>-74966.075276022661</v>
      </c>
      <c r="P720" s="31">
        <f t="shared" si="62"/>
        <v>61950.835139413495</v>
      </c>
      <c r="Q720">
        <f t="shared" si="63"/>
        <v>13015.240136609165</v>
      </c>
    </row>
    <row r="721" spans="1:17" x14ac:dyDescent="0.35">
      <c r="A721">
        <v>2032</v>
      </c>
      <c r="B721" t="s">
        <v>12</v>
      </c>
      <c r="C721" t="s">
        <v>10</v>
      </c>
      <c r="D721" t="s">
        <v>18</v>
      </c>
      <c r="E721" t="s">
        <v>490</v>
      </c>
      <c r="F721" t="s">
        <v>82</v>
      </c>
      <c r="G721" s="31">
        <v>41006.910896196001</v>
      </c>
      <c r="H721" s="31">
        <v>147257</v>
      </c>
      <c r="I721" s="31">
        <v>102957.7460356095</v>
      </c>
      <c r="J721" s="32">
        <f t="shared" si="59"/>
        <v>13015.240136609165</v>
      </c>
      <c r="K721" s="31">
        <v>0</v>
      </c>
      <c r="L721" s="31">
        <v>0</v>
      </c>
      <c r="M721" s="32">
        <f t="shared" si="60"/>
        <v>0</v>
      </c>
      <c r="N721" s="33">
        <f>Result_notebook!L721</f>
        <v>0.787554996857322</v>
      </c>
      <c r="O721" s="31">
        <f t="shared" si="61"/>
        <v>-74966.075276022661</v>
      </c>
      <c r="P721" s="31">
        <f t="shared" si="62"/>
        <v>61950.835139413495</v>
      </c>
      <c r="Q721">
        <f t="shared" si="63"/>
        <v>13015.240136609165</v>
      </c>
    </row>
    <row r="722" spans="1:17" x14ac:dyDescent="0.35">
      <c r="A722">
        <v>2033</v>
      </c>
      <c r="B722" t="s">
        <v>6</v>
      </c>
      <c r="C722" t="s">
        <v>4</v>
      </c>
      <c r="D722" t="s">
        <v>16</v>
      </c>
      <c r="E722" t="s">
        <v>483</v>
      </c>
      <c r="F722" t="s">
        <v>80</v>
      </c>
      <c r="G722" s="31">
        <v>111767.924194804</v>
      </c>
      <c r="H722" s="31">
        <v>0</v>
      </c>
      <c r="I722" s="31">
        <v>0</v>
      </c>
      <c r="J722" s="32">
        <f t="shared" si="59"/>
        <v>0</v>
      </c>
      <c r="K722" s="31">
        <v>254018.00953364541</v>
      </c>
      <c r="L722" s="31">
        <v>111767.924194804</v>
      </c>
      <c r="M722" s="32">
        <f t="shared" si="60"/>
        <v>111767.924194804</v>
      </c>
      <c r="N722" s="33">
        <f>Result_notebook!L722</f>
        <v>0.439346565686978</v>
      </c>
      <c r="O722" s="31">
        <f t="shared" si="61"/>
        <v>0</v>
      </c>
      <c r="P722" s="31">
        <f t="shared" si="62"/>
        <v>0</v>
      </c>
      <c r="Q722">
        <f t="shared" si="63"/>
        <v>0</v>
      </c>
    </row>
    <row r="723" spans="1:17" x14ac:dyDescent="0.35">
      <c r="A723">
        <v>2033</v>
      </c>
      <c r="B723" t="s">
        <v>6</v>
      </c>
      <c r="C723" t="s">
        <v>4</v>
      </c>
      <c r="D723" t="s">
        <v>16</v>
      </c>
      <c r="E723" t="s">
        <v>483</v>
      </c>
      <c r="F723" t="s">
        <v>81</v>
      </c>
      <c r="G723" s="31">
        <v>111767.924194804</v>
      </c>
      <c r="H723" s="31">
        <v>3079</v>
      </c>
      <c r="I723" s="31">
        <v>1306.05584956232</v>
      </c>
      <c r="J723" s="32">
        <f t="shared" si="59"/>
        <v>46.692226187885353</v>
      </c>
      <c r="K723" s="31">
        <v>250939.00953364541</v>
      </c>
      <c r="L723" s="31">
        <v>110461.8683452417</v>
      </c>
      <c r="M723" s="32">
        <f t="shared" si="60"/>
        <v>110415.17611905382</v>
      </c>
      <c r="N723" s="33">
        <f>Result_notebook!L723</f>
        <v>0.439346565686978</v>
      </c>
      <c r="O723" s="31">
        <f t="shared" si="61"/>
        <v>0</v>
      </c>
      <c r="P723" s="31">
        <f t="shared" si="62"/>
        <v>0</v>
      </c>
      <c r="Q723">
        <f t="shared" si="63"/>
        <v>46.692226187885353</v>
      </c>
    </row>
    <row r="724" spans="1:17" x14ac:dyDescent="0.35">
      <c r="A724">
        <v>2033</v>
      </c>
      <c r="B724" t="s">
        <v>6</v>
      </c>
      <c r="C724" t="s">
        <v>4</v>
      </c>
      <c r="D724" t="s">
        <v>18</v>
      </c>
      <c r="E724" t="s">
        <v>483</v>
      </c>
      <c r="F724" t="s">
        <v>85</v>
      </c>
      <c r="G724" s="31">
        <v>111767.924194804</v>
      </c>
      <c r="H724" s="31">
        <v>11725.35368790235</v>
      </c>
      <c r="I724" s="31">
        <v>4973.6819656615726</v>
      </c>
      <c r="J724" s="32">
        <f t="shared" si="59"/>
        <v>177.8119085834669</v>
      </c>
      <c r="K724" s="31">
        <v>242292.65584574311</v>
      </c>
      <c r="L724" s="31">
        <v>106794.2422291424</v>
      </c>
      <c r="M724" s="32">
        <f t="shared" si="60"/>
        <v>106616.43032055894</v>
      </c>
      <c r="N724" s="33">
        <f>Result_notebook!L724</f>
        <v>0.439346565686978</v>
      </c>
      <c r="O724" s="31">
        <f t="shared" si="61"/>
        <v>0</v>
      </c>
      <c r="P724" s="31">
        <f t="shared" si="62"/>
        <v>0</v>
      </c>
      <c r="Q724">
        <f t="shared" si="63"/>
        <v>177.8119085834669</v>
      </c>
    </row>
    <row r="725" spans="1:17" x14ac:dyDescent="0.35">
      <c r="A725">
        <v>2033</v>
      </c>
      <c r="B725" t="s">
        <v>6</v>
      </c>
      <c r="C725" t="s">
        <v>4</v>
      </c>
      <c r="D725" t="s">
        <v>18</v>
      </c>
      <c r="E725" t="s">
        <v>483</v>
      </c>
      <c r="F725" t="s">
        <v>86</v>
      </c>
      <c r="G725" s="31">
        <v>111767.924194804</v>
      </c>
      <c r="H725" s="31">
        <v>11725.35368790235</v>
      </c>
      <c r="I725" s="31">
        <v>4973.6819656615726</v>
      </c>
      <c r="J725" s="32">
        <f t="shared" si="59"/>
        <v>177.8119085834669</v>
      </c>
      <c r="K725" s="31">
        <v>242292.65584574311</v>
      </c>
      <c r="L725" s="31">
        <v>106794.2422291424</v>
      </c>
      <c r="M725" s="32">
        <f t="shared" si="60"/>
        <v>106616.43032055894</v>
      </c>
      <c r="N725" s="33">
        <f>Result_notebook!L725</f>
        <v>0.439346565686978</v>
      </c>
      <c r="O725" s="31">
        <f t="shared" si="61"/>
        <v>0</v>
      </c>
      <c r="P725" s="31">
        <f t="shared" si="62"/>
        <v>0</v>
      </c>
      <c r="Q725">
        <f t="shared" si="63"/>
        <v>177.8119085834669</v>
      </c>
    </row>
    <row r="726" spans="1:17" x14ac:dyDescent="0.35">
      <c r="A726">
        <v>2033</v>
      </c>
      <c r="B726" t="s">
        <v>6</v>
      </c>
      <c r="C726" t="s">
        <v>4</v>
      </c>
      <c r="D726" t="s">
        <v>18</v>
      </c>
      <c r="E726" t="s">
        <v>490</v>
      </c>
      <c r="F726" t="s">
        <v>82</v>
      </c>
      <c r="G726" s="31">
        <v>111767.924194804</v>
      </c>
      <c r="H726" s="31">
        <v>11725.35368790235</v>
      </c>
      <c r="I726" s="31">
        <v>5151.4938742450449</v>
      </c>
      <c r="J726" s="32">
        <f t="shared" si="59"/>
        <v>0</v>
      </c>
      <c r="K726" s="31">
        <v>242292.65584574311</v>
      </c>
      <c r="L726" s="31">
        <v>106616.430320559</v>
      </c>
      <c r="M726" s="32">
        <f t="shared" si="60"/>
        <v>106616.430320559</v>
      </c>
      <c r="N726" s="33">
        <f>Result_notebook!L726</f>
        <v>0.439346565686978</v>
      </c>
      <c r="O726" s="31">
        <f t="shared" si="61"/>
        <v>0</v>
      </c>
      <c r="P726" s="31">
        <f t="shared" si="62"/>
        <v>0</v>
      </c>
      <c r="Q726">
        <f t="shared" si="63"/>
        <v>0</v>
      </c>
    </row>
    <row r="727" spans="1:17" x14ac:dyDescent="0.35">
      <c r="A727">
        <v>2033</v>
      </c>
      <c r="B727" t="s">
        <v>6</v>
      </c>
      <c r="C727" t="s">
        <v>9</v>
      </c>
      <c r="D727" t="s">
        <v>16</v>
      </c>
      <c r="E727" t="s">
        <v>483</v>
      </c>
      <c r="F727" t="s">
        <v>80</v>
      </c>
      <c r="G727" s="31">
        <v>44810.916790988493</v>
      </c>
      <c r="H727" s="31">
        <v>0</v>
      </c>
      <c r="I727" s="31">
        <v>0</v>
      </c>
      <c r="J727" s="32">
        <f t="shared" si="59"/>
        <v>0</v>
      </c>
      <c r="K727" s="31">
        <v>101842.99270679201</v>
      </c>
      <c r="L727" s="31">
        <v>44810.916790988493</v>
      </c>
      <c r="M727" s="32">
        <f t="shared" si="60"/>
        <v>44810.916790988493</v>
      </c>
      <c r="N727" s="33">
        <f>Result_notebook!L727</f>
        <v>0.439346565686978</v>
      </c>
      <c r="O727" s="31">
        <f t="shared" si="61"/>
        <v>0</v>
      </c>
      <c r="P727" s="31">
        <f t="shared" si="62"/>
        <v>0</v>
      </c>
      <c r="Q727">
        <f t="shared" si="63"/>
        <v>0</v>
      </c>
    </row>
    <row r="728" spans="1:17" x14ac:dyDescent="0.35">
      <c r="A728">
        <v>2033</v>
      </c>
      <c r="B728" t="s">
        <v>6</v>
      </c>
      <c r="C728" t="s">
        <v>9</v>
      </c>
      <c r="D728" t="s">
        <v>16</v>
      </c>
      <c r="E728" t="s">
        <v>483</v>
      </c>
      <c r="F728" t="s">
        <v>81</v>
      </c>
      <c r="G728" s="31">
        <v>44810.916790988493</v>
      </c>
      <c r="H728" s="31">
        <v>3079</v>
      </c>
      <c r="I728" s="31">
        <v>1306.05584956232</v>
      </c>
      <c r="J728" s="32">
        <f t="shared" si="59"/>
        <v>46.692226187885353</v>
      </c>
      <c r="K728" s="31">
        <v>98763.992706792022</v>
      </c>
      <c r="L728" s="31">
        <v>43504.860941426166</v>
      </c>
      <c r="M728" s="32">
        <f t="shared" si="60"/>
        <v>43458.16871523828</v>
      </c>
      <c r="N728" s="33">
        <f>Result_notebook!L728</f>
        <v>0.439346565686978</v>
      </c>
      <c r="O728" s="31">
        <f t="shared" si="61"/>
        <v>0</v>
      </c>
      <c r="P728" s="31">
        <f t="shared" si="62"/>
        <v>0</v>
      </c>
      <c r="Q728">
        <f t="shared" si="63"/>
        <v>46.692226187885353</v>
      </c>
    </row>
    <row r="729" spans="1:17" x14ac:dyDescent="0.35">
      <c r="A729">
        <v>2033</v>
      </c>
      <c r="B729" t="s">
        <v>6</v>
      </c>
      <c r="C729" t="s">
        <v>9</v>
      </c>
      <c r="D729" t="s">
        <v>18</v>
      </c>
      <c r="E729" t="s">
        <v>483</v>
      </c>
      <c r="F729" t="s">
        <v>85</v>
      </c>
      <c r="G729" s="31">
        <v>44810.916790988493</v>
      </c>
      <c r="H729" s="31">
        <v>11725.35368790235</v>
      </c>
      <c r="I729" s="31">
        <v>4973.6819656615726</v>
      </c>
      <c r="J729" s="32">
        <f t="shared" si="59"/>
        <v>177.8119085834669</v>
      </c>
      <c r="K729" s="31">
        <v>90117.639018889662</v>
      </c>
      <c r="L729" s="31">
        <v>39837.234825326923</v>
      </c>
      <c r="M729" s="32">
        <f t="shared" si="60"/>
        <v>39659.422916743453</v>
      </c>
      <c r="N729" s="33">
        <f>Result_notebook!L729</f>
        <v>0.439346565686978</v>
      </c>
      <c r="O729" s="31">
        <f t="shared" si="61"/>
        <v>0</v>
      </c>
      <c r="P729" s="31">
        <f t="shared" si="62"/>
        <v>0</v>
      </c>
      <c r="Q729">
        <f t="shared" si="63"/>
        <v>177.8119085834669</v>
      </c>
    </row>
    <row r="730" spans="1:17" x14ac:dyDescent="0.35">
      <c r="A730">
        <v>2033</v>
      </c>
      <c r="B730" t="s">
        <v>6</v>
      </c>
      <c r="C730" t="s">
        <v>9</v>
      </c>
      <c r="D730" t="s">
        <v>18</v>
      </c>
      <c r="E730" t="s">
        <v>483</v>
      </c>
      <c r="F730" t="s">
        <v>86</v>
      </c>
      <c r="G730" s="31">
        <v>44810.916790988493</v>
      </c>
      <c r="H730" s="31">
        <v>11725.35368790235</v>
      </c>
      <c r="I730" s="31">
        <v>4973.6819656615726</v>
      </c>
      <c r="J730" s="32">
        <f t="shared" si="59"/>
        <v>177.8119085834669</v>
      </c>
      <c r="K730" s="31">
        <v>90117.639018889662</v>
      </c>
      <c r="L730" s="31">
        <v>39837.234825326923</v>
      </c>
      <c r="M730" s="32">
        <f t="shared" si="60"/>
        <v>39659.422916743453</v>
      </c>
      <c r="N730" s="33">
        <f>Result_notebook!L730</f>
        <v>0.439346565686978</v>
      </c>
      <c r="O730" s="31">
        <f t="shared" si="61"/>
        <v>0</v>
      </c>
      <c r="P730" s="31">
        <f t="shared" si="62"/>
        <v>0</v>
      </c>
      <c r="Q730">
        <f t="shared" si="63"/>
        <v>177.8119085834669</v>
      </c>
    </row>
    <row r="731" spans="1:17" x14ac:dyDescent="0.35">
      <c r="A731">
        <v>2033</v>
      </c>
      <c r="B731" t="s">
        <v>6</v>
      </c>
      <c r="C731" t="s">
        <v>9</v>
      </c>
      <c r="D731" t="s">
        <v>18</v>
      </c>
      <c r="E731" t="s">
        <v>490</v>
      </c>
      <c r="F731" t="s">
        <v>82</v>
      </c>
      <c r="G731" s="31">
        <v>44810.916790988493</v>
      </c>
      <c r="H731" s="31">
        <v>11725.35368790235</v>
      </c>
      <c r="I731" s="31">
        <v>5151.4938742450449</v>
      </c>
      <c r="J731" s="32">
        <f t="shared" si="59"/>
        <v>0</v>
      </c>
      <c r="K731" s="31">
        <v>90117.639018889662</v>
      </c>
      <c r="L731" s="31">
        <v>39659.422916743453</v>
      </c>
      <c r="M731" s="32">
        <f t="shared" si="60"/>
        <v>39659.422916743453</v>
      </c>
      <c r="N731" s="33">
        <f>Result_notebook!L731</f>
        <v>0.439346565686978</v>
      </c>
      <c r="O731" s="31">
        <f t="shared" si="61"/>
        <v>0</v>
      </c>
      <c r="P731" s="31">
        <f t="shared" si="62"/>
        <v>0</v>
      </c>
      <c r="Q731">
        <f t="shared" si="63"/>
        <v>0</v>
      </c>
    </row>
    <row r="732" spans="1:17" x14ac:dyDescent="0.35">
      <c r="A732">
        <v>2033</v>
      </c>
      <c r="B732" t="s">
        <v>6</v>
      </c>
      <c r="C732" t="s">
        <v>10</v>
      </c>
      <c r="D732" t="s">
        <v>16</v>
      </c>
      <c r="E732" t="s">
        <v>483</v>
      </c>
      <c r="F732" t="s">
        <v>80</v>
      </c>
      <c r="G732" s="31">
        <v>106145.67716186729</v>
      </c>
      <c r="H732" s="31">
        <v>0</v>
      </c>
      <c r="I732" s="31">
        <v>0</v>
      </c>
      <c r="J732" s="32">
        <f t="shared" si="59"/>
        <v>0</v>
      </c>
      <c r="K732" s="31">
        <v>241240.17536788021</v>
      </c>
      <c r="L732" s="31">
        <v>106145.67716186729</v>
      </c>
      <c r="M732" s="32">
        <f t="shared" si="60"/>
        <v>106145.67716186729</v>
      </c>
      <c r="N732" s="33">
        <f>Result_notebook!L732</f>
        <v>0.439346565686978</v>
      </c>
      <c r="O732" s="31">
        <f t="shared" si="61"/>
        <v>0</v>
      </c>
      <c r="P732" s="31">
        <f t="shared" si="62"/>
        <v>0</v>
      </c>
      <c r="Q732">
        <f t="shared" si="63"/>
        <v>0</v>
      </c>
    </row>
    <row r="733" spans="1:17" x14ac:dyDescent="0.35">
      <c r="A733">
        <v>2033</v>
      </c>
      <c r="B733" t="s">
        <v>6</v>
      </c>
      <c r="C733" t="s">
        <v>10</v>
      </c>
      <c r="D733" t="s">
        <v>16</v>
      </c>
      <c r="E733" t="s">
        <v>483</v>
      </c>
      <c r="F733" t="s">
        <v>81</v>
      </c>
      <c r="G733" s="31">
        <v>106145.67716186729</v>
      </c>
      <c r="H733" s="31">
        <v>3079</v>
      </c>
      <c r="I733" s="31">
        <v>1306.05584956232</v>
      </c>
      <c r="J733" s="32">
        <f t="shared" si="59"/>
        <v>46.692226187885353</v>
      </c>
      <c r="K733" s="31">
        <v>238161.17536788021</v>
      </c>
      <c r="L733" s="31">
        <v>104839.621312305</v>
      </c>
      <c r="M733" s="32">
        <f t="shared" si="60"/>
        <v>104792.92908611712</v>
      </c>
      <c r="N733" s="33">
        <f>Result_notebook!L733</f>
        <v>0.439346565686978</v>
      </c>
      <c r="O733" s="31">
        <f t="shared" si="61"/>
        <v>0</v>
      </c>
      <c r="P733" s="31">
        <f t="shared" si="62"/>
        <v>0</v>
      </c>
      <c r="Q733">
        <f t="shared" si="63"/>
        <v>46.692226187885353</v>
      </c>
    </row>
    <row r="734" spans="1:17" x14ac:dyDescent="0.35">
      <c r="A734">
        <v>2033</v>
      </c>
      <c r="B734" t="s">
        <v>6</v>
      </c>
      <c r="C734" t="s">
        <v>10</v>
      </c>
      <c r="D734" t="s">
        <v>18</v>
      </c>
      <c r="E734" t="s">
        <v>483</v>
      </c>
      <c r="F734" t="s">
        <v>85</v>
      </c>
      <c r="G734" s="31">
        <v>106145.67716186729</v>
      </c>
      <c r="H734" s="31">
        <v>11725.35368790235</v>
      </c>
      <c r="I734" s="31">
        <v>4973.6819656615726</v>
      </c>
      <c r="J734" s="32">
        <f t="shared" si="59"/>
        <v>177.8119085834669</v>
      </c>
      <c r="K734" s="31">
        <v>229514.82167997779</v>
      </c>
      <c r="L734" s="31">
        <v>101171.99519620569</v>
      </c>
      <c r="M734" s="32">
        <f t="shared" si="60"/>
        <v>100994.18328762223</v>
      </c>
      <c r="N734" s="33">
        <f>Result_notebook!L734</f>
        <v>0.439346565686978</v>
      </c>
      <c r="O734" s="31">
        <f t="shared" si="61"/>
        <v>0</v>
      </c>
      <c r="P734" s="31">
        <f t="shared" si="62"/>
        <v>0</v>
      </c>
      <c r="Q734">
        <f t="shared" si="63"/>
        <v>177.8119085834669</v>
      </c>
    </row>
    <row r="735" spans="1:17" x14ac:dyDescent="0.35">
      <c r="A735">
        <v>2033</v>
      </c>
      <c r="B735" t="s">
        <v>6</v>
      </c>
      <c r="C735" t="s">
        <v>10</v>
      </c>
      <c r="D735" t="s">
        <v>18</v>
      </c>
      <c r="E735" t="s">
        <v>483</v>
      </c>
      <c r="F735" t="s">
        <v>86</v>
      </c>
      <c r="G735" s="31">
        <v>106145.67716186729</v>
      </c>
      <c r="H735" s="31">
        <v>11725.35368790235</v>
      </c>
      <c r="I735" s="31">
        <v>4973.6819656615726</v>
      </c>
      <c r="J735" s="32">
        <f t="shared" si="59"/>
        <v>177.8119085834669</v>
      </c>
      <c r="K735" s="31">
        <v>229514.82167997779</v>
      </c>
      <c r="L735" s="31">
        <v>101171.99519620569</v>
      </c>
      <c r="M735" s="32">
        <f t="shared" si="60"/>
        <v>100994.18328762223</v>
      </c>
      <c r="N735" s="33">
        <f>Result_notebook!L735</f>
        <v>0.439346565686978</v>
      </c>
      <c r="O735" s="31">
        <f t="shared" si="61"/>
        <v>0</v>
      </c>
      <c r="P735" s="31">
        <f t="shared" si="62"/>
        <v>0</v>
      </c>
      <c r="Q735">
        <f t="shared" si="63"/>
        <v>177.8119085834669</v>
      </c>
    </row>
    <row r="736" spans="1:17" x14ac:dyDescent="0.35">
      <c r="A736">
        <v>2033</v>
      </c>
      <c r="B736" t="s">
        <v>6</v>
      </c>
      <c r="C736" t="s">
        <v>10</v>
      </c>
      <c r="D736" t="s">
        <v>18</v>
      </c>
      <c r="E736" t="s">
        <v>490</v>
      </c>
      <c r="F736" t="s">
        <v>82</v>
      </c>
      <c r="G736" s="31">
        <v>106145.67716186729</v>
      </c>
      <c r="H736" s="31">
        <v>11725.35368790235</v>
      </c>
      <c r="I736" s="31">
        <v>5151.4938742450449</v>
      </c>
      <c r="J736" s="32">
        <f t="shared" si="59"/>
        <v>0</v>
      </c>
      <c r="K736" s="31">
        <v>229514.82167997779</v>
      </c>
      <c r="L736" s="31">
        <v>100994.1832876222</v>
      </c>
      <c r="M736" s="32">
        <f t="shared" si="60"/>
        <v>100994.1832876222</v>
      </c>
      <c r="N736" s="33">
        <f>Result_notebook!L736</f>
        <v>0.439346565686978</v>
      </c>
      <c r="O736" s="31">
        <f t="shared" si="61"/>
        <v>0</v>
      </c>
      <c r="P736" s="31">
        <f t="shared" si="62"/>
        <v>0</v>
      </c>
      <c r="Q736">
        <f t="shared" si="63"/>
        <v>0</v>
      </c>
    </row>
    <row r="737" spans="1:17" x14ac:dyDescent="0.35">
      <c r="A737">
        <v>2033</v>
      </c>
      <c r="B737" t="s">
        <v>7</v>
      </c>
      <c r="C737" t="s">
        <v>4</v>
      </c>
      <c r="D737" t="s">
        <v>16</v>
      </c>
      <c r="E737" t="s">
        <v>483</v>
      </c>
      <c r="F737" t="s">
        <v>80</v>
      </c>
      <c r="G737" s="31">
        <v>1239302.9775620999</v>
      </c>
      <c r="H737" s="31">
        <v>0</v>
      </c>
      <c r="I737" s="31">
        <v>0</v>
      </c>
      <c r="J737" s="32">
        <f t="shared" si="59"/>
        <v>0</v>
      </c>
      <c r="K737" s="31">
        <v>1493136.117544699</v>
      </c>
      <c r="L737" s="31">
        <v>1239302.9775620999</v>
      </c>
      <c r="M737" s="32">
        <f t="shared" si="60"/>
        <v>1239302.9775620999</v>
      </c>
      <c r="N737" s="33">
        <f>Result_notebook!L737</f>
        <v>0.83474576271186396</v>
      </c>
      <c r="O737" s="31">
        <f t="shared" si="61"/>
        <v>0</v>
      </c>
      <c r="P737" s="31">
        <f t="shared" si="62"/>
        <v>0</v>
      </c>
      <c r="Q737">
        <f t="shared" si="63"/>
        <v>0</v>
      </c>
    </row>
    <row r="738" spans="1:17" x14ac:dyDescent="0.35">
      <c r="A738">
        <v>2033</v>
      </c>
      <c r="B738" t="s">
        <v>7</v>
      </c>
      <c r="C738" t="s">
        <v>4</v>
      </c>
      <c r="D738" t="s">
        <v>16</v>
      </c>
      <c r="E738" t="s">
        <v>483</v>
      </c>
      <c r="F738" t="s">
        <v>81</v>
      </c>
      <c r="G738" s="31">
        <v>1239302.9775620999</v>
      </c>
      <c r="H738" s="31">
        <v>276878</v>
      </c>
      <c r="I738" s="31">
        <v>145529.48217270081</v>
      </c>
      <c r="J738" s="32">
        <f t="shared" si="59"/>
        <v>85593.255115434673</v>
      </c>
      <c r="K738" s="31">
        <v>1216258.117544699</v>
      </c>
      <c r="L738" s="31">
        <v>1093773.4953893989</v>
      </c>
      <c r="M738" s="32">
        <f t="shared" si="60"/>
        <v>1008180.2402739642</v>
      </c>
      <c r="N738" s="33">
        <f>Result_notebook!L738</f>
        <v>0.83474576271186396</v>
      </c>
      <c r="O738" s="31">
        <f t="shared" si="61"/>
        <v>0</v>
      </c>
      <c r="P738" s="31">
        <f t="shared" si="62"/>
        <v>0</v>
      </c>
      <c r="Q738">
        <f t="shared" si="63"/>
        <v>85593.255115434673</v>
      </c>
    </row>
    <row r="739" spans="1:17" x14ac:dyDescent="0.35">
      <c r="A739">
        <v>2033</v>
      </c>
      <c r="B739" t="s">
        <v>7</v>
      </c>
      <c r="C739" t="s">
        <v>4</v>
      </c>
      <c r="D739" t="s">
        <v>18</v>
      </c>
      <c r="E739" t="s">
        <v>483</v>
      </c>
      <c r="F739" t="s">
        <v>85</v>
      </c>
      <c r="G739" s="31">
        <v>1239302.9775620999</v>
      </c>
      <c r="H739" s="31">
        <v>797055.2750032586</v>
      </c>
      <c r="I739" s="31">
        <v>418939.17694523872</v>
      </c>
      <c r="J739" s="32">
        <f t="shared" si="59"/>
        <v>246399.33651087084</v>
      </c>
      <c r="K739" s="31">
        <v>696080.84254144016</v>
      </c>
      <c r="L739" s="31">
        <v>820363.8006168612</v>
      </c>
      <c r="M739" s="32">
        <f t="shared" si="60"/>
        <v>573964.46410599037</v>
      </c>
      <c r="N739" s="33">
        <f>Result_notebook!L739</f>
        <v>0.83474576271186396</v>
      </c>
      <c r="O739" s="31">
        <f t="shared" si="61"/>
        <v>0</v>
      </c>
      <c r="P739" s="31">
        <f t="shared" si="62"/>
        <v>0</v>
      </c>
      <c r="Q739">
        <f t="shared" si="63"/>
        <v>246399.33651087084</v>
      </c>
    </row>
    <row r="740" spans="1:17" x14ac:dyDescent="0.35">
      <c r="A740">
        <v>2033</v>
      </c>
      <c r="B740" t="s">
        <v>7</v>
      </c>
      <c r="C740" t="s">
        <v>4</v>
      </c>
      <c r="D740" t="s">
        <v>18</v>
      </c>
      <c r="E740" t="s">
        <v>483</v>
      </c>
      <c r="F740" t="s">
        <v>86</v>
      </c>
      <c r="G740" s="31">
        <v>1239302.9775620999</v>
      </c>
      <c r="H740" s="31">
        <v>797055.2750032586</v>
      </c>
      <c r="I740" s="31">
        <v>418939.17694523872</v>
      </c>
      <c r="J740" s="32">
        <f t="shared" si="59"/>
        <v>246399.33651087084</v>
      </c>
      <c r="K740" s="31">
        <v>696080.84254144016</v>
      </c>
      <c r="L740" s="31">
        <v>820363.8006168612</v>
      </c>
      <c r="M740" s="32">
        <f t="shared" si="60"/>
        <v>573964.46410599037</v>
      </c>
      <c r="N740" s="33">
        <f>Result_notebook!L740</f>
        <v>0.83474576271186396</v>
      </c>
      <c r="O740" s="31">
        <f t="shared" si="61"/>
        <v>0</v>
      </c>
      <c r="P740" s="31">
        <f t="shared" si="62"/>
        <v>0</v>
      </c>
      <c r="Q740">
        <f t="shared" si="63"/>
        <v>246399.33651087084</v>
      </c>
    </row>
    <row r="741" spans="1:17" x14ac:dyDescent="0.35">
      <c r="A741">
        <v>2033</v>
      </c>
      <c r="B741" t="s">
        <v>7</v>
      </c>
      <c r="C741" t="s">
        <v>4</v>
      </c>
      <c r="D741" t="s">
        <v>18</v>
      </c>
      <c r="E741" t="s">
        <v>490</v>
      </c>
      <c r="F741" t="s">
        <v>82</v>
      </c>
      <c r="G741" s="31">
        <v>1239302.9775620999</v>
      </c>
      <c r="H741" s="31">
        <v>797055.2750032586</v>
      </c>
      <c r="I741" s="31">
        <v>665338.51345610991</v>
      </c>
      <c r="J741" s="32">
        <f t="shared" si="59"/>
        <v>0</v>
      </c>
      <c r="K741" s="31">
        <v>696080.84254144016</v>
      </c>
      <c r="L741" s="31">
        <v>573964.46410599002</v>
      </c>
      <c r="M741" s="32">
        <f t="shared" si="60"/>
        <v>573964.46410599002</v>
      </c>
      <c r="N741" s="33">
        <f>Result_notebook!L741</f>
        <v>0.83474576271186396</v>
      </c>
      <c r="O741" s="31">
        <f t="shared" si="61"/>
        <v>0</v>
      </c>
      <c r="P741" s="31">
        <f t="shared" si="62"/>
        <v>0</v>
      </c>
      <c r="Q741">
        <f t="shared" si="63"/>
        <v>0</v>
      </c>
    </row>
    <row r="742" spans="1:17" x14ac:dyDescent="0.35">
      <c r="A742">
        <v>2033</v>
      </c>
      <c r="B742" t="s">
        <v>7</v>
      </c>
      <c r="C742" t="s">
        <v>9</v>
      </c>
      <c r="D742" t="s">
        <v>16</v>
      </c>
      <c r="E742" t="s">
        <v>483</v>
      </c>
      <c r="F742" t="s">
        <v>80</v>
      </c>
      <c r="G742" s="31">
        <v>1017419.138443246</v>
      </c>
      <c r="H742" s="31">
        <v>0</v>
      </c>
      <c r="I742" s="31">
        <v>0</v>
      </c>
      <c r="J742" s="32">
        <f t="shared" si="59"/>
        <v>0</v>
      </c>
      <c r="K742" s="31">
        <v>1225806.1908954771</v>
      </c>
      <c r="L742" s="31">
        <v>1017419.138443246</v>
      </c>
      <c r="M742" s="32">
        <f t="shared" si="60"/>
        <v>1017419.138443246</v>
      </c>
      <c r="N742" s="33">
        <f>Result_notebook!L742</f>
        <v>0.83474576271186396</v>
      </c>
      <c r="O742" s="31">
        <f t="shared" si="61"/>
        <v>0</v>
      </c>
      <c r="P742" s="31">
        <f t="shared" si="62"/>
        <v>0</v>
      </c>
      <c r="Q742">
        <f t="shared" si="63"/>
        <v>0</v>
      </c>
    </row>
    <row r="743" spans="1:17" x14ac:dyDescent="0.35">
      <c r="A743">
        <v>2033</v>
      </c>
      <c r="B743" t="s">
        <v>7</v>
      </c>
      <c r="C743" t="s">
        <v>9</v>
      </c>
      <c r="D743" t="s">
        <v>16</v>
      </c>
      <c r="E743" t="s">
        <v>483</v>
      </c>
      <c r="F743" t="s">
        <v>81</v>
      </c>
      <c r="G743" s="31">
        <v>1017419.138443246</v>
      </c>
      <c r="H743" s="31">
        <v>276878</v>
      </c>
      <c r="I743" s="31">
        <v>145529.48217270081</v>
      </c>
      <c r="J743" s="32">
        <f t="shared" si="59"/>
        <v>85593.255115434673</v>
      </c>
      <c r="K743" s="31">
        <v>948928.19089547708</v>
      </c>
      <c r="L743" s="31">
        <v>871889.65627054521</v>
      </c>
      <c r="M743" s="32">
        <f t="shared" si="60"/>
        <v>786296.40115511057</v>
      </c>
      <c r="N743" s="33">
        <f>Result_notebook!L743</f>
        <v>0.83474576271186396</v>
      </c>
      <c r="O743" s="31">
        <f t="shared" si="61"/>
        <v>0</v>
      </c>
      <c r="P743" s="31">
        <f t="shared" si="62"/>
        <v>0</v>
      </c>
      <c r="Q743">
        <f t="shared" si="63"/>
        <v>85593.255115434673</v>
      </c>
    </row>
    <row r="744" spans="1:17" x14ac:dyDescent="0.35">
      <c r="A744">
        <v>2033</v>
      </c>
      <c r="B744" t="s">
        <v>7</v>
      </c>
      <c r="C744" t="s">
        <v>9</v>
      </c>
      <c r="D744" t="s">
        <v>18</v>
      </c>
      <c r="E744" t="s">
        <v>483</v>
      </c>
      <c r="F744" t="s">
        <v>85</v>
      </c>
      <c r="G744" s="31">
        <v>1017419.138443246</v>
      </c>
      <c r="H744" s="31">
        <v>797055.2750032586</v>
      </c>
      <c r="I744" s="31">
        <v>418939.17694523872</v>
      </c>
      <c r="J744" s="32">
        <f t="shared" si="59"/>
        <v>246399.33651087084</v>
      </c>
      <c r="K744" s="31">
        <v>428750.91589221847</v>
      </c>
      <c r="L744" s="31">
        <v>598479.96149800729</v>
      </c>
      <c r="M744" s="32">
        <f t="shared" si="60"/>
        <v>352080.62498713646</v>
      </c>
      <c r="N744" s="33">
        <f>Result_notebook!L744</f>
        <v>0.83474576271186396</v>
      </c>
      <c r="O744" s="31">
        <f t="shared" si="61"/>
        <v>0</v>
      </c>
      <c r="P744" s="31">
        <f t="shared" si="62"/>
        <v>0</v>
      </c>
      <c r="Q744">
        <f t="shared" si="63"/>
        <v>246399.33651087084</v>
      </c>
    </row>
    <row r="745" spans="1:17" x14ac:dyDescent="0.35">
      <c r="A745">
        <v>2033</v>
      </c>
      <c r="B745" t="s">
        <v>7</v>
      </c>
      <c r="C745" t="s">
        <v>9</v>
      </c>
      <c r="D745" t="s">
        <v>18</v>
      </c>
      <c r="E745" t="s">
        <v>483</v>
      </c>
      <c r="F745" t="s">
        <v>86</v>
      </c>
      <c r="G745" s="31">
        <v>1017419.138443246</v>
      </c>
      <c r="H745" s="31">
        <v>797055.2750032586</v>
      </c>
      <c r="I745" s="31">
        <v>418939.17694523872</v>
      </c>
      <c r="J745" s="32">
        <f t="shared" si="59"/>
        <v>246399.33651087084</v>
      </c>
      <c r="K745" s="31">
        <v>428750.91589221847</v>
      </c>
      <c r="L745" s="31">
        <v>598479.96149800729</v>
      </c>
      <c r="M745" s="32">
        <f t="shared" si="60"/>
        <v>352080.62498713646</v>
      </c>
      <c r="N745" s="33">
        <f>Result_notebook!L745</f>
        <v>0.83474576271186396</v>
      </c>
      <c r="O745" s="31">
        <f t="shared" si="61"/>
        <v>0</v>
      </c>
      <c r="P745" s="31">
        <f t="shared" si="62"/>
        <v>0</v>
      </c>
      <c r="Q745">
        <f t="shared" si="63"/>
        <v>246399.33651087084</v>
      </c>
    </row>
    <row r="746" spans="1:17" x14ac:dyDescent="0.35">
      <c r="A746">
        <v>2033</v>
      </c>
      <c r="B746" t="s">
        <v>7</v>
      </c>
      <c r="C746" t="s">
        <v>9</v>
      </c>
      <c r="D746" t="s">
        <v>18</v>
      </c>
      <c r="E746" t="s">
        <v>490</v>
      </c>
      <c r="F746" t="s">
        <v>82</v>
      </c>
      <c r="G746" s="31">
        <v>1017419.138443246</v>
      </c>
      <c r="H746" s="31">
        <v>797055.2750032586</v>
      </c>
      <c r="I746" s="31">
        <v>665338.51345610991</v>
      </c>
      <c r="J746" s="32">
        <f t="shared" si="59"/>
        <v>0</v>
      </c>
      <c r="K746" s="31">
        <v>428750.91589221847</v>
      </c>
      <c r="L746" s="31">
        <v>352080.62498713611</v>
      </c>
      <c r="M746" s="32">
        <f t="shared" si="60"/>
        <v>352080.62498713611</v>
      </c>
      <c r="N746" s="33">
        <f>Result_notebook!L746</f>
        <v>0.83474576271186396</v>
      </c>
      <c r="O746" s="31">
        <f t="shared" si="61"/>
        <v>0</v>
      </c>
      <c r="P746" s="31">
        <f t="shared" si="62"/>
        <v>0</v>
      </c>
      <c r="Q746">
        <f t="shared" si="63"/>
        <v>0</v>
      </c>
    </row>
    <row r="747" spans="1:17" x14ac:dyDescent="0.35">
      <c r="A747">
        <v>2033</v>
      </c>
      <c r="B747" t="s">
        <v>7</v>
      </c>
      <c r="C747" t="s">
        <v>10</v>
      </c>
      <c r="D747" t="s">
        <v>16</v>
      </c>
      <c r="E747" t="s">
        <v>483</v>
      </c>
      <c r="F747" t="s">
        <v>80</v>
      </c>
      <c r="G747" s="31">
        <v>1193828.75003416</v>
      </c>
      <c r="H747" s="31">
        <v>0</v>
      </c>
      <c r="I747" s="31">
        <v>0</v>
      </c>
      <c r="J747" s="32">
        <f t="shared" si="59"/>
        <v>0</v>
      </c>
      <c r="K747" s="31">
        <v>1438347.8916074219</v>
      </c>
      <c r="L747" s="31">
        <v>1193828.75003416</v>
      </c>
      <c r="M747" s="32">
        <f t="shared" si="60"/>
        <v>1193828.75003416</v>
      </c>
      <c r="N747" s="33">
        <f>Result_notebook!L747</f>
        <v>0.83474576271186396</v>
      </c>
      <c r="O747" s="31">
        <f t="shared" si="61"/>
        <v>0</v>
      </c>
      <c r="P747" s="31">
        <f t="shared" si="62"/>
        <v>0</v>
      </c>
      <c r="Q747">
        <f t="shared" si="63"/>
        <v>0</v>
      </c>
    </row>
    <row r="748" spans="1:17" x14ac:dyDescent="0.35">
      <c r="A748">
        <v>2033</v>
      </c>
      <c r="B748" t="s">
        <v>7</v>
      </c>
      <c r="C748" t="s">
        <v>10</v>
      </c>
      <c r="D748" t="s">
        <v>16</v>
      </c>
      <c r="E748" t="s">
        <v>483</v>
      </c>
      <c r="F748" t="s">
        <v>81</v>
      </c>
      <c r="G748" s="31">
        <v>1193828.75003416</v>
      </c>
      <c r="H748" s="31">
        <v>276878</v>
      </c>
      <c r="I748" s="31">
        <v>145529.48217270081</v>
      </c>
      <c r="J748" s="32">
        <f t="shared" si="59"/>
        <v>85593.255115434673</v>
      </c>
      <c r="K748" s="31">
        <v>1161469.8916074219</v>
      </c>
      <c r="L748" s="31">
        <v>1048299.2678614591</v>
      </c>
      <c r="M748" s="32">
        <f t="shared" si="60"/>
        <v>962706.01274602441</v>
      </c>
      <c r="N748" s="33">
        <f>Result_notebook!L748</f>
        <v>0.83474576271186396</v>
      </c>
      <c r="O748" s="31">
        <f t="shared" si="61"/>
        <v>0</v>
      </c>
      <c r="P748" s="31">
        <f t="shared" si="62"/>
        <v>0</v>
      </c>
      <c r="Q748">
        <f t="shared" si="63"/>
        <v>85593.255115434673</v>
      </c>
    </row>
    <row r="749" spans="1:17" x14ac:dyDescent="0.35">
      <c r="A749">
        <v>2033</v>
      </c>
      <c r="B749" t="s">
        <v>7</v>
      </c>
      <c r="C749" t="s">
        <v>10</v>
      </c>
      <c r="D749" t="s">
        <v>18</v>
      </c>
      <c r="E749" t="s">
        <v>483</v>
      </c>
      <c r="F749" t="s">
        <v>85</v>
      </c>
      <c r="G749" s="31">
        <v>1193828.75003416</v>
      </c>
      <c r="H749" s="31">
        <v>797055.2750032586</v>
      </c>
      <c r="I749" s="31">
        <v>418939.17694523872</v>
      </c>
      <c r="J749" s="32">
        <f t="shared" si="59"/>
        <v>246399.33651087084</v>
      </c>
      <c r="K749" s="31">
        <v>641292.61660416308</v>
      </c>
      <c r="L749" s="31">
        <v>774889.57308892126</v>
      </c>
      <c r="M749" s="32">
        <f t="shared" si="60"/>
        <v>528490.23657805042</v>
      </c>
      <c r="N749" s="33">
        <f>Result_notebook!L749</f>
        <v>0.83474576271186396</v>
      </c>
      <c r="O749" s="31">
        <f t="shared" si="61"/>
        <v>0</v>
      </c>
      <c r="P749" s="31">
        <f t="shared" si="62"/>
        <v>0</v>
      </c>
      <c r="Q749">
        <f t="shared" si="63"/>
        <v>246399.33651087084</v>
      </c>
    </row>
    <row r="750" spans="1:17" x14ac:dyDescent="0.35">
      <c r="A750">
        <v>2033</v>
      </c>
      <c r="B750" t="s">
        <v>7</v>
      </c>
      <c r="C750" t="s">
        <v>10</v>
      </c>
      <c r="D750" t="s">
        <v>18</v>
      </c>
      <c r="E750" t="s">
        <v>483</v>
      </c>
      <c r="F750" t="s">
        <v>86</v>
      </c>
      <c r="G750" s="31">
        <v>1193828.75003416</v>
      </c>
      <c r="H750" s="31">
        <v>797055.2750032586</v>
      </c>
      <c r="I750" s="31">
        <v>418939.17694523872</v>
      </c>
      <c r="J750" s="32">
        <f t="shared" si="59"/>
        <v>246399.33651087084</v>
      </c>
      <c r="K750" s="31">
        <v>641292.61660416308</v>
      </c>
      <c r="L750" s="31">
        <v>774889.57308892126</v>
      </c>
      <c r="M750" s="32">
        <f t="shared" si="60"/>
        <v>528490.23657805042</v>
      </c>
      <c r="N750" s="33">
        <f>Result_notebook!L750</f>
        <v>0.83474576271186396</v>
      </c>
      <c r="O750" s="31">
        <f t="shared" si="61"/>
        <v>0</v>
      </c>
      <c r="P750" s="31">
        <f t="shared" si="62"/>
        <v>0</v>
      </c>
      <c r="Q750">
        <f t="shared" si="63"/>
        <v>246399.33651087084</v>
      </c>
    </row>
    <row r="751" spans="1:17" x14ac:dyDescent="0.35">
      <c r="A751">
        <v>2033</v>
      </c>
      <c r="B751" t="s">
        <v>7</v>
      </c>
      <c r="C751" t="s">
        <v>10</v>
      </c>
      <c r="D751" t="s">
        <v>18</v>
      </c>
      <c r="E751" t="s">
        <v>490</v>
      </c>
      <c r="F751" t="s">
        <v>82</v>
      </c>
      <c r="G751" s="31">
        <v>1193828.75003416</v>
      </c>
      <c r="H751" s="31">
        <v>797055.2750032586</v>
      </c>
      <c r="I751" s="31">
        <v>665338.51345610991</v>
      </c>
      <c r="J751" s="32">
        <f t="shared" si="59"/>
        <v>0</v>
      </c>
      <c r="K751" s="31">
        <v>641292.61660416308</v>
      </c>
      <c r="L751" s="31">
        <v>528490.23657805007</v>
      </c>
      <c r="M751" s="32">
        <f t="shared" si="60"/>
        <v>528490.23657805007</v>
      </c>
      <c r="N751" s="33">
        <f>Result_notebook!L751</f>
        <v>0.83474576271186396</v>
      </c>
      <c r="O751" s="31">
        <f t="shared" si="61"/>
        <v>0</v>
      </c>
      <c r="P751" s="31">
        <f t="shared" si="62"/>
        <v>0</v>
      </c>
      <c r="Q751">
        <f t="shared" si="63"/>
        <v>0</v>
      </c>
    </row>
    <row r="752" spans="1:17" x14ac:dyDescent="0.35">
      <c r="A752">
        <v>2033</v>
      </c>
      <c r="B752" t="s">
        <v>11</v>
      </c>
      <c r="C752" t="s">
        <v>4</v>
      </c>
      <c r="D752" t="s">
        <v>16</v>
      </c>
      <c r="E752" t="s">
        <v>483</v>
      </c>
      <c r="F752" t="s">
        <v>80</v>
      </c>
      <c r="G752" s="31">
        <v>3811.6436184189829</v>
      </c>
      <c r="H752" s="31">
        <v>0</v>
      </c>
      <c r="I752" s="31">
        <v>0</v>
      </c>
      <c r="J752" s="32">
        <f t="shared" si="59"/>
        <v>0</v>
      </c>
      <c r="K752" s="31">
        <v>6352.7393640316386</v>
      </c>
      <c r="L752" s="31">
        <v>3811.6436184189829</v>
      </c>
      <c r="M752" s="32">
        <f t="shared" si="60"/>
        <v>3811.6436184189829</v>
      </c>
      <c r="N752" s="33">
        <f>Result_notebook!L752</f>
        <v>1</v>
      </c>
      <c r="O752" s="31">
        <f t="shared" si="61"/>
        <v>0</v>
      </c>
      <c r="P752" s="31">
        <f t="shared" si="62"/>
        <v>0</v>
      </c>
      <c r="Q752">
        <f t="shared" si="63"/>
        <v>0</v>
      </c>
    </row>
    <row r="753" spans="1:17" x14ac:dyDescent="0.35">
      <c r="A753">
        <v>2033</v>
      </c>
      <c r="B753" t="s">
        <v>11</v>
      </c>
      <c r="C753" t="s">
        <v>4</v>
      </c>
      <c r="D753" t="s">
        <v>16</v>
      </c>
      <c r="E753" t="s">
        <v>483</v>
      </c>
      <c r="F753" t="s">
        <v>81</v>
      </c>
      <c r="G753" s="31">
        <v>3811.6436184189829</v>
      </c>
      <c r="H753" s="31">
        <v>0</v>
      </c>
      <c r="I753" s="31">
        <v>0</v>
      </c>
      <c r="J753" s="32">
        <f t="shared" si="59"/>
        <v>0</v>
      </c>
      <c r="K753" s="31">
        <v>6352.7393640316386</v>
      </c>
      <c r="L753" s="31">
        <v>3811.6436184189829</v>
      </c>
      <c r="M753" s="32">
        <f t="shared" si="60"/>
        <v>3811.6436184189829</v>
      </c>
      <c r="N753" s="33">
        <f>Result_notebook!L753</f>
        <v>1</v>
      </c>
      <c r="O753" s="31">
        <f t="shared" si="61"/>
        <v>0</v>
      </c>
      <c r="P753" s="31">
        <f t="shared" si="62"/>
        <v>0</v>
      </c>
      <c r="Q753">
        <f t="shared" si="63"/>
        <v>0</v>
      </c>
    </row>
    <row r="754" spans="1:17" x14ac:dyDescent="0.35">
      <c r="A754">
        <v>2033</v>
      </c>
      <c r="B754" t="s">
        <v>11</v>
      </c>
      <c r="C754" t="s">
        <v>4</v>
      </c>
      <c r="D754" t="s">
        <v>18</v>
      </c>
      <c r="E754" t="s">
        <v>483</v>
      </c>
      <c r="F754" t="s">
        <v>85</v>
      </c>
      <c r="G754" s="31">
        <v>3811.6436184189829</v>
      </c>
      <c r="H754" s="31">
        <v>40.779406961821003</v>
      </c>
      <c r="I754" s="31">
        <v>24.408265853118081</v>
      </c>
      <c r="J754" s="32">
        <f t="shared" si="59"/>
        <v>16.371141108702922</v>
      </c>
      <c r="K754" s="31">
        <v>6311.9599570698174</v>
      </c>
      <c r="L754" s="31">
        <v>3787.235352565865</v>
      </c>
      <c r="M754" s="32">
        <f t="shared" si="60"/>
        <v>3770.8642114571621</v>
      </c>
      <c r="N754" s="33">
        <f>Result_notebook!L754</f>
        <v>1</v>
      </c>
      <c r="O754" s="31">
        <f t="shared" si="61"/>
        <v>0</v>
      </c>
      <c r="P754" s="31">
        <f t="shared" si="62"/>
        <v>0</v>
      </c>
      <c r="Q754">
        <f t="shared" si="63"/>
        <v>16.371141108702922</v>
      </c>
    </row>
    <row r="755" spans="1:17" x14ac:dyDescent="0.35">
      <c r="A755">
        <v>2033</v>
      </c>
      <c r="B755" t="s">
        <v>11</v>
      </c>
      <c r="C755" t="s">
        <v>4</v>
      </c>
      <c r="D755" t="s">
        <v>18</v>
      </c>
      <c r="E755" t="s">
        <v>483</v>
      </c>
      <c r="F755" t="s">
        <v>86</v>
      </c>
      <c r="G755" s="31">
        <v>3811.6436184189829</v>
      </c>
      <c r="H755" s="31">
        <v>40.779406961821003</v>
      </c>
      <c r="I755" s="31">
        <v>24.408265853118081</v>
      </c>
      <c r="J755" s="32">
        <f t="shared" si="59"/>
        <v>16.371141108702922</v>
      </c>
      <c r="K755" s="31">
        <v>6311.9599570698174</v>
      </c>
      <c r="L755" s="31">
        <v>3787.235352565865</v>
      </c>
      <c r="M755" s="32">
        <f t="shared" si="60"/>
        <v>3770.8642114571621</v>
      </c>
      <c r="N755" s="33">
        <f>Result_notebook!L755</f>
        <v>1</v>
      </c>
      <c r="O755" s="31">
        <f t="shared" si="61"/>
        <v>0</v>
      </c>
      <c r="P755" s="31">
        <f t="shared" si="62"/>
        <v>0</v>
      </c>
      <c r="Q755">
        <f t="shared" si="63"/>
        <v>16.371141108702922</v>
      </c>
    </row>
    <row r="756" spans="1:17" x14ac:dyDescent="0.35">
      <c r="A756">
        <v>2033</v>
      </c>
      <c r="B756" t="s">
        <v>11</v>
      </c>
      <c r="C756" t="s">
        <v>4</v>
      </c>
      <c r="D756" t="s">
        <v>18</v>
      </c>
      <c r="E756" t="s">
        <v>490</v>
      </c>
      <c r="F756" t="s">
        <v>82</v>
      </c>
      <c r="G756" s="31">
        <v>3811.6436184189829</v>
      </c>
      <c r="H756" s="31">
        <v>40.779406961821003</v>
      </c>
      <c r="I756" s="31">
        <v>24.408265853118081</v>
      </c>
      <c r="J756" s="32">
        <f t="shared" si="59"/>
        <v>16.371141108702922</v>
      </c>
      <c r="K756" s="31">
        <v>6311.9599570698174</v>
      </c>
      <c r="L756" s="31">
        <v>3787.235352565865</v>
      </c>
      <c r="M756" s="32">
        <f t="shared" si="60"/>
        <v>3770.8642114571621</v>
      </c>
      <c r="N756" s="33">
        <f>Result_notebook!L756</f>
        <v>1</v>
      </c>
      <c r="O756" s="31">
        <f t="shared" si="61"/>
        <v>0</v>
      </c>
      <c r="P756" s="31">
        <f t="shared" si="62"/>
        <v>0</v>
      </c>
      <c r="Q756">
        <f t="shared" si="63"/>
        <v>16.371141108702922</v>
      </c>
    </row>
    <row r="757" spans="1:17" x14ac:dyDescent="0.35">
      <c r="A757">
        <v>2033</v>
      </c>
      <c r="B757" t="s">
        <v>11</v>
      </c>
      <c r="C757" t="s">
        <v>9</v>
      </c>
      <c r="D757" t="s">
        <v>16</v>
      </c>
      <c r="E757" t="s">
        <v>483</v>
      </c>
      <c r="F757" t="s">
        <v>80</v>
      </c>
      <c r="G757" s="31">
        <v>1273.1494864569349</v>
      </c>
      <c r="H757" s="31">
        <v>0</v>
      </c>
      <c r="I757" s="31">
        <v>0</v>
      </c>
      <c r="J757" s="32">
        <f t="shared" si="59"/>
        <v>0</v>
      </c>
      <c r="K757" s="31">
        <v>2121.915810761559</v>
      </c>
      <c r="L757" s="31">
        <v>1273.1494864569349</v>
      </c>
      <c r="M757" s="32">
        <f t="shared" si="60"/>
        <v>1273.1494864569349</v>
      </c>
      <c r="N757" s="33">
        <f>Result_notebook!L757</f>
        <v>1</v>
      </c>
      <c r="O757" s="31">
        <f t="shared" si="61"/>
        <v>0</v>
      </c>
      <c r="P757" s="31">
        <f t="shared" si="62"/>
        <v>0</v>
      </c>
      <c r="Q757">
        <f t="shared" si="63"/>
        <v>0</v>
      </c>
    </row>
    <row r="758" spans="1:17" x14ac:dyDescent="0.35">
      <c r="A758">
        <v>2033</v>
      </c>
      <c r="B758" t="s">
        <v>11</v>
      </c>
      <c r="C758" t="s">
        <v>9</v>
      </c>
      <c r="D758" t="s">
        <v>16</v>
      </c>
      <c r="E758" t="s">
        <v>483</v>
      </c>
      <c r="F758" t="s">
        <v>81</v>
      </c>
      <c r="G758" s="31">
        <v>1273.1494864569349</v>
      </c>
      <c r="H758" s="31">
        <v>0</v>
      </c>
      <c r="I758" s="31">
        <v>0</v>
      </c>
      <c r="J758" s="32">
        <f t="shared" si="59"/>
        <v>0</v>
      </c>
      <c r="K758" s="31">
        <v>2121.915810761559</v>
      </c>
      <c r="L758" s="31">
        <v>1273.1494864569349</v>
      </c>
      <c r="M758" s="32">
        <f t="shared" si="60"/>
        <v>1273.1494864569349</v>
      </c>
      <c r="N758" s="33">
        <f>Result_notebook!L758</f>
        <v>1</v>
      </c>
      <c r="O758" s="31">
        <f t="shared" si="61"/>
        <v>0</v>
      </c>
      <c r="P758" s="31">
        <f t="shared" si="62"/>
        <v>0</v>
      </c>
      <c r="Q758">
        <f t="shared" si="63"/>
        <v>0</v>
      </c>
    </row>
    <row r="759" spans="1:17" x14ac:dyDescent="0.35">
      <c r="A759">
        <v>2033</v>
      </c>
      <c r="B759" t="s">
        <v>11</v>
      </c>
      <c r="C759" t="s">
        <v>9</v>
      </c>
      <c r="D759" t="s">
        <v>18</v>
      </c>
      <c r="E759" t="s">
        <v>483</v>
      </c>
      <c r="F759" t="s">
        <v>85</v>
      </c>
      <c r="G759" s="31">
        <v>1273.1494864569349</v>
      </c>
      <c r="H759" s="31">
        <v>40.779406961821003</v>
      </c>
      <c r="I759" s="31">
        <v>24.408265853118081</v>
      </c>
      <c r="J759" s="32">
        <f t="shared" si="59"/>
        <v>16.371141108702922</v>
      </c>
      <c r="K759" s="31">
        <v>2081.1364037997369</v>
      </c>
      <c r="L759" s="31">
        <v>1248.7412206038171</v>
      </c>
      <c r="M759" s="32">
        <f t="shared" si="60"/>
        <v>1232.3700794951142</v>
      </c>
      <c r="N759" s="33">
        <f>Result_notebook!L759</f>
        <v>1</v>
      </c>
      <c r="O759" s="31">
        <f t="shared" si="61"/>
        <v>0</v>
      </c>
      <c r="P759" s="31">
        <f t="shared" si="62"/>
        <v>0</v>
      </c>
      <c r="Q759">
        <f t="shared" si="63"/>
        <v>16.371141108702922</v>
      </c>
    </row>
    <row r="760" spans="1:17" x14ac:dyDescent="0.35">
      <c r="A760">
        <v>2033</v>
      </c>
      <c r="B760" t="s">
        <v>11</v>
      </c>
      <c r="C760" t="s">
        <v>9</v>
      </c>
      <c r="D760" t="s">
        <v>18</v>
      </c>
      <c r="E760" t="s">
        <v>483</v>
      </c>
      <c r="F760" t="s">
        <v>86</v>
      </c>
      <c r="G760" s="31">
        <v>1273.1494864569349</v>
      </c>
      <c r="H760" s="31">
        <v>40.779406961821003</v>
      </c>
      <c r="I760" s="31">
        <v>24.408265853118081</v>
      </c>
      <c r="J760" s="32">
        <f t="shared" si="59"/>
        <v>16.371141108702922</v>
      </c>
      <c r="K760" s="31">
        <v>2081.1364037997369</v>
      </c>
      <c r="L760" s="31">
        <v>1248.7412206038171</v>
      </c>
      <c r="M760" s="32">
        <f t="shared" si="60"/>
        <v>1232.3700794951142</v>
      </c>
      <c r="N760" s="33">
        <f>Result_notebook!L760</f>
        <v>1</v>
      </c>
      <c r="O760" s="31">
        <f t="shared" si="61"/>
        <v>0</v>
      </c>
      <c r="P760" s="31">
        <f t="shared" si="62"/>
        <v>0</v>
      </c>
      <c r="Q760">
        <f t="shared" si="63"/>
        <v>16.371141108702922</v>
      </c>
    </row>
    <row r="761" spans="1:17" x14ac:dyDescent="0.35">
      <c r="A761">
        <v>2033</v>
      </c>
      <c r="B761" t="s">
        <v>11</v>
      </c>
      <c r="C761" t="s">
        <v>9</v>
      </c>
      <c r="D761" t="s">
        <v>18</v>
      </c>
      <c r="E761" t="s">
        <v>490</v>
      </c>
      <c r="F761" t="s">
        <v>82</v>
      </c>
      <c r="G761" s="31">
        <v>1273.1494864569349</v>
      </c>
      <c r="H761" s="31">
        <v>40.779406961821003</v>
      </c>
      <c r="I761" s="31">
        <v>24.408265853118081</v>
      </c>
      <c r="J761" s="32">
        <f t="shared" si="59"/>
        <v>16.371141108702922</v>
      </c>
      <c r="K761" s="31">
        <v>2081.1364037997369</v>
      </c>
      <c r="L761" s="31">
        <v>1248.7412206038171</v>
      </c>
      <c r="M761" s="32">
        <f t="shared" si="60"/>
        <v>1232.3700794951142</v>
      </c>
      <c r="N761" s="33">
        <f>Result_notebook!L761</f>
        <v>1</v>
      </c>
      <c r="O761" s="31">
        <f t="shared" si="61"/>
        <v>0</v>
      </c>
      <c r="P761" s="31">
        <f t="shared" si="62"/>
        <v>0</v>
      </c>
      <c r="Q761">
        <f t="shared" si="63"/>
        <v>16.371141108702922</v>
      </c>
    </row>
    <row r="762" spans="1:17" x14ac:dyDescent="0.35">
      <c r="A762">
        <v>2033</v>
      </c>
      <c r="B762" t="s">
        <v>11</v>
      </c>
      <c r="C762" t="s">
        <v>10</v>
      </c>
      <c r="D762" t="s">
        <v>16</v>
      </c>
      <c r="E762" t="s">
        <v>483</v>
      </c>
      <c r="F762" t="s">
        <v>80</v>
      </c>
      <c r="G762" s="31">
        <v>3651.300473373256</v>
      </c>
      <c r="H762" s="31">
        <v>0</v>
      </c>
      <c r="I762" s="31">
        <v>0</v>
      </c>
      <c r="J762" s="32">
        <f t="shared" si="59"/>
        <v>0</v>
      </c>
      <c r="K762" s="31">
        <v>6085.5007889554272</v>
      </c>
      <c r="L762" s="31">
        <v>3651.300473373256</v>
      </c>
      <c r="M762" s="32">
        <f t="shared" si="60"/>
        <v>3651.300473373256</v>
      </c>
      <c r="N762" s="33">
        <f>Result_notebook!L762</f>
        <v>1</v>
      </c>
      <c r="O762" s="31">
        <f t="shared" si="61"/>
        <v>0</v>
      </c>
      <c r="P762" s="31">
        <f t="shared" si="62"/>
        <v>0</v>
      </c>
      <c r="Q762">
        <f t="shared" si="63"/>
        <v>0</v>
      </c>
    </row>
    <row r="763" spans="1:17" x14ac:dyDescent="0.35">
      <c r="A763">
        <v>2033</v>
      </c>
      <c r="B763" t="s">
        <v>11</v>
      </c>
      <c r="C763" t="s">
        <v>10</v>
      </c>
      <c r="D763" t="s">
        <v>16</v>
      </c>
      <c r="E763" t="s">
        <v>483</v>
      </c>
      <c r="F763" t="s">
        <v>81</v>
      </c>
      <c r="G763" s="31">
        <v>3651.300473373256</v>
      </c>
      <c r="H763" s="31">
        <v>0</v>
      </c>
      <c r="I763" s="31">
        <v>0</v>
      </c>
      <c r="J763" s="32">
        <f t="shared" si="59"/>
        <v>0</v>
      </c>
      <c r="K763" s="31">
        <v>6085.5007889554272</v>
      </c>
      <c r="L763" s="31">
        <v>3651.300473373256</v>
      </c>
      <c r="M763" s="32">
        <f t="shared" si="60"/>
        <v>3651.300473373256</v>
      </c>
      <c r="N763" s="33">
        <f>Result_notebook!L763</f>
        <v>1</v>
      </c>
      <c r="O763" s="31">
        <f t="shared" si="61"/>
        <v>0</v>
      </c>
      <c r="P763" s="31">
        <f t="shared" si="62"/>
        <v>0</v>
      </c>
      <c r="Q763">
        <f t="shared" si="63"/>
        <v>0</v>
      </c>
    </row>
    <row r="764" spans="1:17" x14ac:dyDescent="0.35">
      <c r="A764">
        <v>2033</v>
      </c>
      <c r="B764" t="s">
        <v>11</v>
      </c>
      <c r="C764" t="s">
        <v>10</v>
      </c>
      <c r="D764" t="s">
        <v>18</v>
      </c>
      <c r="E764" t="s">
        <v>483</v>
      </c>
      <c r="F764" t="s">
        <v>85</v>
      </c>
      <c r="G764" s="31">
        <v>3651.300473373256</v>
      </c>
      <c r="H764" s="31">
        <v>40.779406961821003</v>
      </c>
      <c r="I764" s="31">
        <v>24.408265853118081</v>
      </c>
      <c r="J764" s="32">
        <f t="shared" si="59"/>
        <v>16.371141108702922</v>
      </c>
      <c r="K764" s="31">
        <v>6044.721381993606</v>
      </c>
      <c r="L764" s="31">
        <v>3626.8922075201381</v>
      </c>
      <c r="M764" s="32">
        <f t="shared" si="60"/>
        <v>3610.5210664114352</v>
      </c>
      <c r="N764" s="33">
        <f>Result_notebook!L764</f>
        <v>1</v>
      </c>
      <c r="O764" s="31">
        <f t="shared" si="61"/>
        <v>0</v>
      </c>
      <c r="P764" s="31">
        <f t="shared" si="62"/>
        <v>0</v>
      </c>
      <c r="Q764">
        <f t="shared" si="63"/>
        <v>16.371141108702922</v>
      </c>
    </row>
    <row r="765" spans="1:17" x14ac:dyDescent="0.35">
      <c r="A765">
        <v>2033</v>
      </c>
      <c r="B765" t="s">
        <v>11</v>
      </c>
      <c r="C765" t="s">
        <v>10</v>
      </c>
      <c r="D765" t="s">
        <v>18</v>
      </c>
      <c r="E765" t="s">
        <v>483</v>
      </c>
      <c r="F765" t="s">
        <v>86</v>
      </c>
      <c r="G765" s="31">
        <v>3651.300473373256</v>
      </c>
      <c r="H765" s="31">
        <v>40.779406961821003</v>
      </c>
      <c r="I765" s="31">
        <v>24.408265853118081</v>
      </c>
      <c r="J765" s="32">
        <f t="shared" si="59"/>
        <v>16.371141108702922</v>
      </c>
      <c r="K765" s="31">
        <v>6044.721381993606</v>
      </c>
      <c r="L765" s="31">
        <v>3626.8922075201381</v>
      </c>
      <c r="M765" s="32">
        <f t="shared" si="60"/>
        <v>3610.5210664114352</v>
      </c>
      <c r="N765" s="33">
        <f>Result_notebook!L765</f>
        <v>1</v>
      </c>
      <c r="O765" s="31">
        <f t="shared" si="61"/>
        <v>0</v>
      </c>
      <c r="P765" s="31">
        <f t="shared" si="62"/>
        <v>0</v>
      </c>
      <c r="Q765">
        <f t="shared" si="63"/>
        <v>16.371141108702922</v>
      </c>
    </row>
    <row r="766" spans="1:17" x14ac:dyDescent="0.35">
      <c r="A766">
        <v>2033</v>
      </c>
      <c r="B766" t="s">
        <v>11</v>
      </c>
      <c r="C766" t="s">
        <v>10</v>
      </c>
      <c r="D766" t="s">
        <v>18</v>
      </c>
      <c r="E766" t="s">
        <v>490</v>
      </c>
      <c r="F766" t="s">
        <v>82</v>
      </c>
      <c r="G766" s="31">
        <v>3651.300473373256</v>
      </c>
      <c r="H766" s="31">
        <v>40.779406961821003</v>
      </c>
      <c r="I766" s="31">
        <v>24.408265853118081</v>
      </c>
      <c r="J766" s="32">
        <f t="shared" si="59"/>
        <v>16.371141108702922</v>
      </c>
      <c r="K766" s="31">
        <v>6044.721381993606</v>
      </c>
      <c r="L766" s="31">
        <v>3626.8922075201381</v>
      </c>
      <c r="M766" s="32">
        <f t="shared" si="60"/>
        <v>3610.5210664114352</v>
      </c>
      <c r="N766" s="33">
        <f>Result_notebook!L766</f>
        <v>1</v>
      </c>
      <c r="O766" s="31">
        <f t="shared" si="61"/>
        <v>0</v>
      </c>
      <c r="P766" s="31">
        <f t="shared" si="62"/>
        <v>0</v>
      </c>
      <c r="Q766">
        <f t="shared" si="63"/>
        <v>16.371141108702922</v>
      </c>
    </row>
    <row r="767" spans="1:17" x14ac:dyDescent="0.35">
      <c r="A767">
        <v>2033</v>
      </c>
      <c r="B767" t="s">
        <v>8</v>
      </c>
      <c r="C767" t="s">
        <v>4</v>
      </c>
      <c r="D767" t="s">
        <v>16</v>
      </c>
      <c r="E767" t="s">
        <v>483</v>
      </c>
      <c r="F767" t="s">
        <v>80</v>
      </c>
      <c r="G767" s="31">
        <v>124090.4972141906</v>
      </c>
      <c r="H767" s="31">
        <v>0</v>
      </c>
      <c r="I767" s="31">
        <v>0</v>
      </c>
      <c r="J767" s="32">
        <f t="shared" si="59"/>
        <v>0</v>
      </c>
      <c r="K767" s="31">
        <v>157076.57875213999</v>
      </c>
      <c r="L767" s="31">
        <v>124090.4972141906</v>
      </c>
      <c r="M767" s="32">
        <f t="shared" si="60"/>
        <v>124090.4972141906</v>
      </c>
      <c r="N767" s="33">
        <f>Result_notebook!L767</f>
        <v>0.69917047091553897</v>
      </c>
      <c r="O767" s="31">
        <f t="shared" si="61"/>
        <v>0</v>
      </c>
      <c r="P767" s="31">
        <f t="shared" si="62"/>
        <v>0</v>
      </c>
      <c r="Q767">
        <f t="shared" si="63"/>
        <v>0</v>
      </c>
    </row>
    <row r="768" spans="1:17" x14ac:dyDescent="0.35">
      <c r="A768">
        <v>2033</v>
      </c>
      <c r="B768" t="s">
        <v>8</v>
      </c>
      <c r="C768" t="s">
        <v>4</v>
      </c>
      <c r="D768" t="s">
        <v>16</v>
      </c>
      <c r="E768" t="s">
        <v>483</v>
      </c>
      <c r="F768" t="s">
        <v>81</v>
      </c>
      <c r="G768" s="31">
        <v>124090.4972141906</v>
      </c>
      <c r="H768" s="31">
        <v>120288</v>
      </c>
      <c r="I768" s="31">
        <v>67467.138598854319</v>
      </c>
      <c r="J768" s="32">
        <f t="shared" si="59"/>
        <v>16634.679006634033</v>
      </c>
      <c r="K768" s="31">
        <v>36788.578752139991</v>
      </c>
      <c r="L768" s="31">
        <v>56623.358615336278</v>
      </c>
      <c r="M768" s="32">
        <f t="shared" si="60"/>
        <v>39988.679608702245</v>
      </c>
      <c r="N768" s="33">
        <f>Result_notebook!L768</f>
        <v>0.69917047091553897</v>
      </c>
      <c r="O768" s="31">
        <f t="shared" si="61"/>
        <v>0</v>
      </c>
      <c r="P768" s="31">
        <f t="shared" si="62"/>
        <v>0</v>
      </c>
      <c r="Q768">
        <f t="shared" si="63"/>
        <v>16634.679006634033</v>
      </c>
    </row>
    <row r="769" spans="1:17" x14ac:dyDescent="0.35">
      <c r="A769">
        <v>2033</v>
      </c>
      <c r="B769" t="s">
        <v>8</v>
      </c>
      <c r="C769" t="s">
        <v>4</v>
      </c>
      <c r="D769" t="s">
        <v>18</v>
      </c>
      <c r="E769" t="s">
        <v>483</v>
      </c>
      <c r="F769" t="s">
        <v>85</v>
      </c>
      <c r="G769" s="31">
        <v>124090.4972141906</v>
      </c>
      <c r="H769" s="31">
        <v>206578.6229524189</v>
      </c>
      <c r="I769" s="31">
        <v>115865.8269011981</v>
      </c>
      <c r="J769" s="32">
        <f t="shared" si="59"/>
        <v>28567.84618952818</v>
      </c>
      <c r="K769" s="31">
        <v>0</v>
      </c>
      <c r="L769" s="31">
        <v>8224.6703129925299</v>
      </c>
      <c r="M769" s="32">
        <f t="shared" si="60"/>
        <v>0</v>
      </c>
      <c r="N769" s="33">
        <f>Result_notebook!L769</f>
        <v>0.69917047091553897</v>
      </c>
      <c r="O769" s="31">
        <f t="shared" si="61"/>
        <v>-20343.175876535679</v>
      </c>
      <c r="P769" s="31">
        <f t="shared" si="62"/>
        <v>0</v>
      </c>
      <c r="Q769">
        <f t="shared" si="63"/>
        <v>28567.84618952818</v>
      </c>
    </row>
    <row r="770" spans="1:17" x14ac:dyDescent="0.35">
      <c r="A770">
        <v>2033</v>
      </c>
      <c r="B770" t="s">
        <v>8</v>
      </c>
      <c r="C770" t="s">
        <v>4</v>
      </c>
      <c r="D770" t="s">
        <v>18</v>
      </c>
      <c r="E770" t="s">
        <v>483</v>
      </c>
      <c r="F770" t="s">
        <v>86</v>
      </c>
      <c r="G770" s="31">
        <v>124090.4972141906</v>
      </c>
      <c r="H770" s="31">
        <v>206578.6229524189</v>
      </c>
      <c r="I770" s="31">
        <v>115865.8269011981</v>
      </c>
      <c r="J770" s="32">
        <f t="shared" si="59"/>
        <v>28567.84618952818</v>
      </c>
      <c r="K770" s="31">
        <v>0</v>
      </c>
      <c r="L770" s="31">
        <v>8224.6703129925299</v>
      </c>
      <c r="M770" s="32">
        <f t="shared" si="60"/>
        <v>0</v>
      </c>
      <c r="N770" s="33">
        <f>Result_notebook!L770</f>
        <v>0.69917047091553897</v>
      </c>
      <c r="O770" s="31">
        <f t="shared" si="61"/>
        <v>-20343.175876535679</v>
      </c>
      <c r="P770" s="31">
        <f t="shared" si="62"/>
        <v>0</v>
      </c>
      <c r="Q770">
        <f t="shared" si="63"/>
        <v>28567.84618952818</v>
      </c>
    </row>
    <row r="771" spans="1:17" x14ac:dyDescent="0.35">
      <c r="A771">
        <v>2033</v>
      </c>
      <c r="B771" t="s">
        <v>8</v>
      </c>
      <c r="C771" t="s">
        <v>4</v>
      </c>
      <c r="D771" t="s">
        <v>18</v>
      </c>
      <c r="E771" t="s">
        <v>490</v>
      </c>
      <c r="F771" t="s">
        <v>82</v>
      </c>
      <c r="G771" s="31">
        <v>124090.4972141906</v>
      </c>
      <c r="H771" s="31">
        <v>206578.6229524189</v>
      </c>
      <c r="I771" s="31">
        <v>162692.0267500823</v>
      </c>
      <c r="J771" s="32">
        <f t="shared" ref="J771:J834" si="64">H771*N771-I771</f>
        <v>-18258.353659356013</v>
      </c>
      <c r="K771" s="31">
        <v>0</v>
      </c>
      <c r="L771" s="31">
        <v>0</v>
      </c>
      <c r="M771" s="32">
        <f t="shared" ref="M771:M834" si="65">MAX(L771-J771,0)</f>
        <v>18258.353659356013</v>
      </c>
      <c r="N771" s="33">
        <f>Result_notebook!L771</f>
        <v>0.69917047091553897</v>
      </c>
      <c r="O771" s="31">
        <f t="shared" ref="O771:O834" si="66">G771-(I771+J771+M771)</f>
        <v>-38601.529535891692</v>
      </c>
      <c r="P771" s="31">
        <f t="shared" ref="P771" si="67">MAX(I771-G771,0)</f>
        <v>38601.529535891692</v>
      </c>
      <c r="Q771">
        <f t="shared" ref="Q771:Q834" si="68">(H771*N771)-I771</f>
        <v>-18258.353659356013</v>
      </c>
    </row>
    <row r="772" spans="1:17" x14ac:dyDescent="0.35">
      <c r="A772">
        <v>2033</v>
      </c>
      <c r="B772" t="s">
        <v>8</v>
      </c>
      <c r="C772" t="s">
        <v>9</v>
      </c>
      <c r="D772" t="s">
        <v>16</v>
      </c>
      <c r="E772" t="s">
        <v>483</v>
      </c>
      <c r="F772" t="s">
        <v>80</v>
      </c>
      <c r="G772" s="31">
        <v>53307.585959490927</v>
      </c>
      <c r="H772" s="31">
        <v>0</v>
      </c>
      <c r="I772" s="31">
        <v>0</v>
      </c>
      <c r="J772" s="32">
        <f t="shared" si="64"/>
        <v>0</v>
      </c>
      <c r="K772" s="31">
        <v>67477.956910748006</v>
      </c>
      <c r="L772" s="31">
        <v>53307.585959490927</v>
      </c>
      <c r="M772" s="32">
        <f t="shared" si="65"/>
        <v>53307.585959490927</v>
      </c>
      <c r="N772" s="33">
        <f>Result_notebook!L772</f>
        <v>0.69917047091553897</v>
      </c>
      <c r="O772" s="31">
        <f t="shared" si="66"/>
        <v>0</v>
      </c>
      <c r="P772" s="31">
        <f t="shared" ref="P772:P834" si="69">MAX(I772-G772,0)</f>
        <v>0</v>
      </c>
      <c r="Q772">
        <f t="shared" si="68"/>
        <v>0</v>
      </c>
    </row>
    <row r="773" spans="1:17" x14ac:dyDescent="0.35">
      <c r="A773">
        <v>2033</v>
      </c>
      <c r="B773" t="s">
        <v>8</v>
      </c>
      <c r="C773" t="s">
        <v>9</v>
      </c>
      <c r="D773" t="s">
        <v>16</v>
      </c>
      <c r="E773" t="s">
        <v>483</v>
      </c>
      <c r="F773" t="s">
        <v>81</v>
      </c>
      <c r="G773" s="31">
        <v>53307.585959490927</v>
      </c>
      <c r="H773" s="31">
        <v>120288</v>
      </c>
      <c r="I773" s="31">
        <v>67467.138598854319</v>
      </c>
      <c r="J773" s="32">
        <f t="shared" si="64"/>
        <v>16634.679006634033</v>
      </c>
      <c r="K773" s="31">
        <v>0</v>
      </c>
      <c r="L773" s="31">
        <v>0</v>
      </c>
      <c r="M773" s="32">
        <f t="shared" si="65"/>
        <v>0</v>
      </c>
      <c r="N773" s="33">
        <f>Result_notebook!L773</f>
        <v>0.69917047091553897</v>
      </c>
      <c r="O773" s="31">
        <f t="shared" si="66"/>
        <v>-30794.231645997424</v>
      </c>
      <c r="P773" s="31">
        <f t="shared" si="69"/>
        <v>14159.552639363392</v>
      </c>
      <c r="Q773">
        <f t="shared" si="68"/>
        <v>16634.679006634033</v>
      </c>
    </row>
    <row r="774" spans="1:17" x14ac:dyDescent="0.35">
      <c r="A774">
        <v>2033</v>
      </c>
      <c r="B774" t="s">
        <v>8</v>
      </c>
      <c r="C774" t="s">
        <v>9</v>
      </c>
      <c r="D774" t="s">
        <v>18</v>
      </c>
      <c r="E774" t="s">
        <v>483</v>
      </c>
      <c r="F774" t="s">
        <v>85</v>
      </c>
      <c r="G774" s="31">
        <v>53307.585959490927</v>
      </c>
      <c r="H774" s="31">
        <v>206578.6229524189</v>
      </c>
      <c r="I774" s="31">
        <v>115865.8269011981</v>
      </c>
      <c r="J774" s="32">
        <f t="shared" si="64"/>
        <v>28567.84618952818</v>
      </c>
      <c r="K774" s="31">
        <v>0</v>
      </c>
      <c r="L774" s="31">
        <v>0</v>
      </c>
      <c r="M774" s="32">
        <f t="shared" si="65"/>
        <v>0</v>
      </c>
      <c r="N774" s="33">
        <f>Result_notebook!L774</f>
        <v>0.69917047091553897</v>
      </c>
      <c r="O774" s="31">
        <f t="shared" si="66"/>
        <v>-91126.087131235356</v>
      </c>
      <c r="P774" s="31">
        <f t="shared" si="69"/>
        <v>62558.240941707176</v>
      </c>
      <c r="Q774">
        <f t="shared" si="68"/>
        <v>28567.84618952818</v>
      </c>
    </row>
    <row r="775" spans="1:17" x14ac:dyDescent="0.35">
      <c r="A775">
        <v>2033</v>
      </c>
      <c r="B775" t="s">
        <v>8</v>
      </c>
      <c r="C775" t="s">
        <v>9</v>
      </c>
      <c r="D775" t="s">
        <v>18</v>
      </c>
      <c r="E775" t="s">
        <v>483</v>
      </c>
      <c r="F775" t="s">
        <v>86</v>
      </c>
      <c r="G775" s="31">
        <v>53307.585959490927</v>
      </c>
      <c r="H775" s="31">
        <v>206578.6229524189</v>
      </c>
      <c r="I775" s="31">
        <v>115865.8269011981</v>
      </c>
      <c r="J775" s="32">
        <f t="shared" si="64"/>
        <v>28567.84618952818</v>
      </c>
      <c r="K775" s="31">
        <v>0</v>
      </c>
      <c r="L775" s="31">
        <v>0</v>
      </c>
      <c r="M775" s="32">
        <f t="shared" si="65"/>
        <v>0</v>
      </c>
      <c r="N775" s="33">
        <f>Result_notebook!L775</f>
        <v>0.69917047091553897</v>
      </c>
      <c r="O775" s="31">
        <f t="shared" si="66"/>
        <v>-91126.087131235356</v>
      </c>
      <c r="P775" s="31">
        <f t="shared" si="69"/>
        <v>62558.240941707176</v>
      </c>
      <c r="Q775">
        <f t="shared" si="68"/>
        <v>28567.84618952818</v>
      </c>
    </row>
    <row r="776" spans="1:17" x14ac:dyDescent="0.35">
      <c r="A776">
        <v>2033</v>
      </c>
      <c r="B776" t="s">
        <v>8</v>
      </c>
      <c r="C776" t="s">
        <v>9</v>
      </c>
      <c r="D776" t="s">
        <v>18</v>
      </c>
      <c r="E776" t="s">
        <v>490</v>
      </c>
      <c r="F776" t="s">
        <v>82</v>
      </c>
      <c r="G776" s="31">
        <v>53307.585959490927</v>
      </c>
      <c r="H776" s="31">
        <v>206578.6229524189</v>
      </c>
      <c r="I776" s="31">
        <v>162692.0267500823</v>
      </c>
      <c r="J776" s="32">
        <f t="shared" si="64"/>
        <v>-18258.353659356013</v>
      </c>
      <c r="K776" s="31">
        <v>0</v>
      </c>
      <c r="L776" s="31">
        <v>0</v>
      </c>
      <c r="M776" s="32">
        <f t="shared" si="65"/>
        <v>18258.353659356013</v>
      </c>
      <c r="N776" s="33">
        <f>Result_notebook!L776</f>
        <v>0.69917047091553897</v>
      </c>
      <c r="O776" s="31">
        <f t="shared" si="66"/>
        <v>-109384.44079059137</v>
      </c>
      <c r="P776" s="31">
        <f t="shared" si="69"/>
        <v>109384.44079059137</v>
      </c>
      <c r="Q776">
        <f t="shared" si="68"/>
        <v>-18258.353659356013</v>
      </c>
    </row>
    <row r="777" spans="1:17" x14ac:dyDescent="0.35">
      <c r="A777">
        <v>2033</v>
      </c>
      <c r="B777" t="s">
        <v>8</v>
      </c>
      <c r="C777" t="s">
        <v>10</v>
      </c>
      <c r="D777" t="s">
        <v>16</v>
      </c>
      <c r="E777" t="s">
        <v>483</v>
      </c>
      <c r="F777" t="s">
        <v>80</v>
      </c>
      <c r="G777" s="31">
        <v>118786.33724341739</v>
      </c>
      <c r="H777" s="31">
        <v>0</v>
      </c>
      <c r="I777" s="31">
        <v>0</v>
      </c>
      <c r="J777" s="32">
        <f t="shared" si="64"/>
        <v>0</v>
      </c>
      <c r="K777" s="31">
        <v>150362.45220685739</v>
      </c>
      <c r="L777" s="31">
        <v>118786.33724341739</v>
      </c>
      <c r="M777" s="32">
        <f t="shared" si="65"/>
        <v>118786.33724341739</v>
      </c>
      <c r="N777" s="33">
        <f>Result_notebook!L777</f>
        <v>0.69917047091553897</v>
      </c>
      <c r="O777" s="31">
        <f t="shared" si="66"/>
        <v>0</v>
      </c>
      <c r="P777" s="31">
        <f t="shared" si="69"/>
        <v>0</v>
      </c>
      <c r="Q777">
        <f t="shared" si="68"/>
        <v>0</v>
      </c>
    </row>
    <row r="778" spans="1:17" x14ac:dyDescent="0.35">
      <c r="A778">
        <v>2033</v>
      </c>
      <c r="B778" t="s">
        <v>8</v>
      </c>
      <c r="C778" t="s">
        <v>10</v>
      </c>
      <c r="D778" t="s">
        <v>16</v>
      </c>
      <c r="E778" t="s">
        <v>483</v>
      </c>
      <c r="F778" t="s">
        <v>81</v>
      </c>
      <c r="G778" s="31">
        <v>118786.33724341739</v>
      </c>
      <c r="H778" s="31">
        <v>120288</v>
      </c>
      <c r="I778" s="31">
        <v>67467.138598854319</v>
      </c>
      <c r="J778" s="32">
        <f t="shared" si="64"/>
        <v>16634.679006634033</v>
      </c>
      <c r="K778" s="31">
        <v>30074.452206857441</v>
      </c>
      <c r="L778" s="31">
        <v>51319.198644563083</v>
      </c>
      <c r="M778" s="32">
        <f t="shared" si="65"/>
        <v>34684.51963792905</v>
      </c>
      <c r="N778" s="33">
        <f>Result_notebook!L778</f>
        <v>0.69917047091553897</v>
      </c>
      <c r="O778" s="31">
        <f t="shared" si="66"/>
        <v>0</v>
      </c>
      <c r="P778" s="31">
        <f t="shared" si="69"/>
        <v>0</v>
      </c>
      <c r="Q778">
        <f t="shared" si="68"/>
        <v>16634.679006634033</v>
      </c>
    </row>
    <row r="779" spans="1:17" x14ac:dyDescent="0.35">
      <c r="A779">
        <v>2033</v>
      </c>
      <c r="B779" t="s">
        <v>8</v>
      </c>
      <c r="C779" t="s">
        <v>10</v>
      </c>
      <c r="D779" t="s">
        <v>18</v>
      </c>
      <c r="E779" t="s">
        <v>483</v>
      </c>
      <c r="F779" t="s">
        <v>85</v>
      </c>
      <c r="G779" s="31">
        <v>118786.33724341739</v>
      </c>
      <c r="H779" s="31">
        <v>206578.6229524189</v>
      </c>
      <c r="I779" s="31">
        <v>115865.8269011981</v>
      </c>
      <c r="J779" s="32">
        <f t="shared" si="64"/>
        <v>28567.84618952818</v>
      </c>
      <c r="K779" s="31">
        <v>0</v>
      </c>
      <c r="L779" s="31">
        <v>2920.510342219321</v>
      </c>
      <c r="M779" s="32">
        <f t="shared" si="65"/>
        <v>0</v>
      </c>
      <c r="N779" s="33">
        <f>Result_notebook!L779</f>
        <v>0.69917047091553897</v>
      </c>
      <c r="O779" s="31">
        <f t="shared" si="66"/>
        <v>-25647.335847308888</v>
      </c>
      <c r="P779" s="31">
        <f t="shared" si="69"/>
        <v>0</v>
      </c>
      <c r="Q779">
        <f t="shared" si="68"/>
        <v>28567.84618952818</v>
      </c>
    </row>
    <row r="780" spans="1:17" x14ac:dyDescent="0.35">
      <c r="A780">
        <v>2033</v>
      </c>
      <c r="B780" t="s">
        <v>8</v>
      </c>
      <c r="C780" t="s">
        <v>10</v>
      </c>
      <c r="D780" t="s">
        <v>18</v>
      </c>
      <c r="E780" t="s">
        <v>483</v>
      </c>
      <c r="F780" t="s">
        <v>86</v>
      </c>
      <c r="G780" s="31">
        <v>118786.33724341739</v>
      </c>
      <c r="H780" s="31">
        <v>206578.6229524189</v>
      </c>
      <c r="I780" s="31">
        <v>115865.8269011981</v>
      </c>
      <c r="J780" s="32">
        <f t="shared" si="64"/>
        <v>28567.84618952818</v>
      </c>
      <c r="K780" s="31">
        <v>0</v>
      </c>
      <c r="L780" s="31">
        <v>2920.510342219321</v>
      </c>
      <c r="M780" s="32">
        <f t="shared" si="65"/>
        <v>0</v>
      </c>
      <c r="N780" s="33">
        <f>Result_notebook!L780</f>
        <v>0.69917047091553897</v>
      </c>
      <c r="O780" s="31">
        <f t="shared" si="66"/>
        <v>-25647.335847308888</v>
      </c>
      <c r="P780" s="31">
        <f t="shared" si="69"/>
        <v>0</v>
      </c>
      <c r="Q780">
        <f t="shared" si="68"/>
        <v>28567.84618952818</v>
      </c>
    </row>
    <row r="781" spans="1:17" x14ac:dyDescent="0.35">
      <c r="A781">
        <v>2033</v>
      </c>
      <c r="B781" t="s">
        <v>8</v>
      </c>
      <c r="C781" t="s">
        <v>10</v>
      </c>
      <c r="D781" t="s">
        <v>18</v>
      </c>
      <c r="E781" t="s">
        <v>490</v>
      </c>
      <c r="F781" t="s">
        <v>82</v>
      </c>
      <c r="G781" s="31">
        <v>118786.33724341739</v>
      </c>
      <c r="H781" s="31">
        <v>206578.6229524189</v>
      </c>
      <c r="I781" s="31">
        <v>162692.0267500823</v>
      </c>
      <c r="J781" s="32">
        <f t="shared" si="64"/>
        <v>-18258.353659356013</v>
      </c>
      <c r="K781" s="31">
        <v>0</v>
      </c>
      <c r="L781" s="31">
        <v>0</v>
      </c>
      <c r="M781" s="32">
        <f t="shared" si="65"/>
        <v>18258.353659356013</v>
      </c>
      <c r="N781" s="33">
        <f>Result_notebook!L781</f>
        <v>0.69917047091553897</v>
      </c>
      <c r="O781" s="31">
        <f t="shared" si="66"/>
        <v>-43905.689506664901</v>
      </c>
      <c r="P781" s="31">
        <f t="shared" si="69"/>
        <v>43905.689506664901</v>
      </c>
      <c r="Q781">
        <f t="shared" si="68"/>
        <v>-18258.353659356013</v>
      </c>
    </row>
    <row r="782" spans="1:17" x14ac:dyDescent="0.35">
      <c r="A782">
        <v>2033</v>
      </c>
      <c r="B782" t="s">
        <v>13</v>
      </c>
      <c r="C782" t="s">
        <v>4</v>
      </c>
      <c r="D782" t="s">
        <v>16</v>
      </c>
      <c r="E782" t="s">
        <v>483</v>
      </c>
      <c r="F782" t="s">
        <v>80</v>
      </c>
      <c r="G782" s="31">
        <v>2712.6977060483359</v>
      </c>
      <c r="H782" s="31">
        <v>0</v>
      </c>
      <c r="I782" s="31">
        <v>0</v>
      </c>
      <c r="J782" s="32">
        <f t="shared" si="64"/>
        <v>0</v>
      </c>
      <c r="K782" s="31">
        <v>2712.6977060483359</v>
      </c>
      <c r="L782" s="31">
        <v>2712.6977060483359</v>
      </c>
      <c r="M782" s="32">
        <f t="shared" si="65"/>
        <v>2712.6977060483359</v>
      </c>
      <c r="N782" s="33">
        <f>Result_notebook!L782</f>
        <v>0.59854391398996798</v>
      </c>
      <c r="O782" s="31">
        <f t="shared" si="66"/>
        <v>0</v>
      </c>
      <c r="P782" s="31">
        <f t="shared" si="69"/>
        <v>0</v>
      </c>
      <c r="Q782">
        <f t="shared" si="68"/>
        <v>0</v>
      </c>
    </row>
    <row r="783" spans="1:17" x14ac:dyDescent="0.35">
      <c r="A783">
        <v>2033</v>
      </c>
      <c r="B783" t="s">
        <v>13</v>
      </c>
      <c r="C783" t="s">
        <v>4</v>
      </c>
      <c r="D783" t="s">
        <v>16</v>
      </c>
      <c r="E783" t="s">
        <v>483</v>
      </c>
      <c r="F783" t="s">
        <v>81</v>
      </c>
      <c r="G783" s="31">
        <v>2712.6977060483359</v>
      </c>
      <c r="H783" s="31">
        <v>0</v>
      </c>
      <c r="I783" s="31">
        <v>0</v>
      </c>
      <c r="J783" s="32">
        <f t="shared" si="64"/>
        <v>0</v>
      </c>
      <c r="K783" s="31">
        <v>2712.6977060483359</v>
      </c>
      <c r="L783" s="31">
        <v>2712.6977060483359</v>
      </c>
      <c r="M783" s="32">
        <f t="shared" si="65"/>
        <v>2712.6977060483359</v>
      </c>
      <c r="N783" s="33">
        <f>Result_notebook!L783</f>
        <v>0.59854391398996798</v>
      </c>
      <c r="O783" s="31">
        <f t="shared" si="66"/>
        <v>0</v>
      </c>
      <c r="P783" s="31">
        <f t="shared" si="69"/>
        <v>0</v>
      </c>
      <c r="Q783">
        <f t="shared" si="68"/>
        <v>0</v>
      </c>
    </row>
    <row r="784" spans="1:17" x14ac:dyDescent="0.35">
      <c r="A784">
        <v>2033</v>
      </c>
      <c r="B784" t="s">
        <v>13</v>
      </c>
      <c r="C784" t="s">
        <v>4</v>
      </c>
      <c r="D784" t="s">
        <v>18</v>
      </c>
      <c r="E784" t="s">
        <v>483</v>
      </c>
      <c r="F784" t="s">
        <v>85</v>
      </c>
      <c r="G784" s="31">
        <v>2712.6977060483359</v>
      </c>
      <c r="H784" s="31">
        <v>107337.13919856019</v>
      </c>
      <c r="I784" s="31">
        <v>35421.255935524867</v>
      </c>
      <c r="J784" s="32">
        <f t="shared" si="64"/>
        <v>28824.735476867369</v>
      </c>
      <c r="K784" s="31">
        <v>0</v>
      </c>
      <c r="L784" s="31">
        <v>0</v>
      </c>
      <c r="M784" s="32">
        <f t="shared" si="65"/>
        <v>0</v>
      </c>
      <c r="N784" s="33">
        <f>Result_notebook!L784</f>
        <v>0.59854391398996798</v>
      </c>
      <c r="O784" s="31">
        <f t="shared" si="66"/>
        <v>-61533.293706343902</v>
      </c>
      <c r="P784" s="31">
        <f t="shared" si="69"/>
        <v>32708.55822947653</v>
      </c>
      <c r="Q784">
        <f t="shared" si="68"/>
        <v>28824.735476867369</v>
      </c>
    </row>
    <row r="785" spans="1:17" x14ac:dyDescent="0.35">
      <c r="A785">
        <v>2033</v>
      </c>
      <c r="B785" t="s">
        <v>13</v>
      </c>
      <c r="C785" t="s">
        <v>4</v>
      </c>
      <c r="D785" t="s">
        <v>18</v>
      </c>
      <c r="E785" t="s">
        <v>483</v>
      </c>
      <c r="F785" t="s">
        <v>86</v>
      </c>
      <c r="G785" s="31">
        <v>2712.6977060483359</v>
      </c>
      <c r="H785" s="31">
        <v>107337.13919856019</v>
      </c>
      <c r="I785" s="31">
        <v>35421.255935524867</v>
      </c>
      <c r="J785" s="32">
        <f t="shared" si="64"/>
        <v>28824.735476867369</v>
      </c>
      <c r="K785" s="31">
        <v>0</v>
      </c>
      <c r="L785" s="31">
        <v>0</v>
      </c>
      <c r="M785" s="32">
        <f t="shared" si="65"/>
        <v>0</v>
      </c>
      <c r="N785" s="33">
        <f>Result_notebook!L785</f>
        <v>0.59854391398996798</v>
      </c>
      <c r="O785" s="31">
        <f t="shared" si="66"/>
        <v>-61533.293706343902</v>
      </c>
      <c r="P785" s="31">
        <f t="shared" si="69"/>
        <v>32708.55822947653</v>
      </c>
      <c r="Q785">
        <f t="shared" si="68"/>
        <v>28824.735476867369</v>
      </c>
    </row>
    <row r="786" spans="1:17" x14ac:dyDescent="0.35">
      <c r="A786">
        <v>2033</v>
      </c>
      <c r="B786" t="s">
        <v>13</v>
      </c>
      <c r="C786" t="s">
        <v>4</v>
      </c>
      <c r="D786" t="s">
        <v>18</v>
      </c>
      <c r="E786" t="s">
        <v>490</v>
      </c>
      <c r="F786" t="s">
        <v>82</v>
      </c>
      <c r="G786" s="31">
        <v>2712.6977060483359</v>
      </c>
      <c r="H786" s="31">
        <v>107337.13919856019</v>
      </c>
      <c r="I786" s="31">
        <v>35421.255935524867</v>
      </c>
      <c r="J786" s="32">
        <f t="shared" si="64"/>
        <v>28824.735476867369</v>
      </c>
      <c r="K786" s="31">
        <v>0</v>
      </c>
      <c r="L786" s="31">
        <v>0</v>
      </c>
      <c r="M786" s="32">
        <f t="shared" si="65"/>
        <v>0</v>
      </c>
      <c r="N786" s="33">
        <f>Result_notebook!L786</f>
        <v>0.59854391398996798</v>
      </c>
      <c r="O786" s="31">
        <f t="shared" si="66"/>
        <v>-61533.293706343902</v>
      </c>
      <c r="P786" s="31">
        <f t="shared" si="69"/>
        <v>32708.55822947653</v>
      </c>
      <c r="Q786">
        <f t="shared" si="68"/>
        <v>28824.735476867369</v>
      </c>
    </row>
    <row r="787" spans="1:17" x14ac:dyDescent="0.35">
      <c r="A787">
        <v>2033</v>
      </c>
      <c r="B787" t="s">
        <v>13</v>
      </c>
      <c r="C787" t="s">
        <v>9</v>
      </c>
      <c r="D787" t="s">
        <v>16</v>
      </c>
      <c r="E787" t="s">
        <v>483</v>
      </c>
      <c r="F787" t="s">
        <v>80</v>
      </c>
      <c r="G787" s="31">
        <v>1062.914972515613</v>
      </c>
      <c r="H787" s="31">
        <v>0</v>
      </c>
      <c r="I787" s="31">
        <v>0</v>
      </c>
      <c r="J787" s="32">
        <f t="shared" si="64"/>
        <v>0</v>
      </c>
      <c r="K787" s="31">
        <v>1062.914972515613</v>
      </c>
      <c r="L787" s="31">
        <v>1062.914972515613</v>
      </c>
      <c r="M787" s="32">
        <f t="shared" si="65"/>
        <v>1062.914972515613</v>
      </c>
      <c r="N787" s="33">
        <f>Result_notebook!L787</f>
        <v>0.59854391398996798</v>
      </c>
      <c r="O787" s="31">
        <f t="shared" si="66"/>
        <v>0</v>
      </c>
      <c r="P787" s="31">
        <f t="shared" si="69"/>
        <v>0</v>
      </c>
      <c r="Q787">
        <f t="shared" si="68"/>
        <v>0</v>
      </c>
    </row>
    <row r="788" spans="1:17" x14ac:dyDescent="0.35">
      <c r="A788">
        <v>2033</v>
      </c>
      <c r="B788" t="s">
        <v>13</v>
      </c>
      <c r="C788" t="s">
        <v>9</v>
      </c>
      <c r="D788" t="s">
        <v>16</v>
      </c>
      <c r="E788" t="s">
        <v>483</v>
      </c>
      <c r="F788" t="s">
        <v>81</v>
      </c>
      <c r="G788" s="31">
        <v>1062.914972515613</v>
      </c>
      <c r="H788" s="31">
        <v>0</v>
      </c>
      <c r="I788" s="31">
        <v>0</v>
      </c>
      <c r="J788" s="32">
        <f t="shared" si="64"/>
        <v>0</v>
      </c>
      <c r="K788" s="31">
        <v>1062.914972515613</v>
      </c>
      <c r="L788" s="31">
        <v>1062.914972515613</v>
      </c>
      <c r="M788" s="32">
        <f t="shared" si="65"/>
        <v>1062.914972515613</v>
      </c>
      <c r="N788" s="33">
        <f>Result_notebook!L788</f>
        <v>0.59854391398996798</v>
      </c>
      <c r="O788" s="31">
        <f t="shared" si="66"/>
        <v>0</v>
      </c>
      <c r="P788" s="31">
        <f t="shared" si="69"/>
        <v>0</v>
      </c>
      <c r="Q788">
        <f t="shared" si="68"/>
        <v>0</v>
      </c>
    </row>
    <row r="789" spans="1:17" x14ac:dyDescent="0.35">
      <c r="A789">
        <v>2033</v>
      </c>
      <c r="B789" t="s">
        <v>13</v>
      </c>
      <c r="C789" t="s">
        <v>9</v>
      </c>
      <c r="D789" t="s">
        <v>18</v>
      </c>
      <c r="E789" t="s">
        <v>483</v>
      </c>
      <c r="F789" t="s">
        <v>85</v>
      </c>
      <c r="G789" s="31">
        <v>1062.914972515613</v>
      </c>
      <c r="H789" s="31">
        <v>107337.13919856019</v>
      </c>
      <c r="I789" s="31">
        <v>35421.255935524867</v>
      </c>
      <c r="J789" s="32">
        <f t="shared" si="64"/>
        <v>28824.735476867369</v>
      </c>
      <c r="K789" s="31">
        <v>0</v>
      </c>
      <c r="L789" s="31">
        <v>0</v>
      </c>
      <c r="M789" s="32">
        <f t="shared" si="65"/>
        <v>0</v>
      </c>
      <c r="N789" s="33">
        <f>Result_notebook!L789</f>
        <v>0.59854391398996798</v>
      </c>
      <c r="O789" s="31">
        <f t="shared" si="66"/>
        <v>-63183.076439876619</v>
      </c>
      <c r="P789" s="31">
        <f t="shared" si="69"/>
        <v>34358.34096300925</v>
      </c>
      <c r="Q789">
        <f t="shared" si="68"/>
        <v>28824.735476867369</v>
      </c>
    </row>
    <row r="790" spans="1:17" x14ac:dyDescent="0.35">
      <c r="A790">
        <v>2033</v>
      </c>
      <c r="B790" t="s">
        <v>13</v>
      </c>
      <c r="C790" t="s">
        <v>9</v>
      </c>
      <c r="D790" t="s">
        <v>18</v>
      </c>
      <c r="E790" t="s">
        <v>483</v>
      </c>
      <c r="F790" t="s">
        <v>86</v>
      </c>
      <c r="G790" s="31">
        <v>1062.914972515613</v>
      </c>
      <c r="H790" s="31">
        <v>107337.13919856019</v>
      </c>
      <c r="I790" s="31">
        <v>35421.255935524867</v>
      </c>
      <c r="J790" s="32">
        <f t="shared" si="64"/>
        <v>28824.735476867369</v>
      </c>
      <c r="K790" s="31">
        <v>0</v>
      </c>
      <c r="L790" s="31">
        <v>0</v>
      </c>
      <c r="M790" s="32">
        <f t="shared" si="65"/>
        <v>0</v>
      </c>
      <c r="N790" s="33">
        <f>Result_notebook!L790</f>
        <v>0.59854391398996798</v>
      </c>
      <c r="O790" s="31">
        <f t="shared" si="66"/>
        <v>-63183.076439876619</v>
      </c>
      <c r="P790" s="31">
        <f t="shared" si="69"/>
        <v>34358.34096300925</v>
      </c>
      <c r="Q790">
        <f t="shared" si="68"/>
        <v>28824.735476867369</v>
      </c>
    </row>
    <row r="791" spans="1:17" x14ac:dyDescent="0.35">
      <c r="A791">
        <v>2033</v>
      </c>
      <c r="B791" t="s">
        <v>13</v>
      </c>
      <c r="C791" t="s">
        <v>9</v>
      </c>
      <c r="D791" t="s">
        <v>18</v>
      </c>
      <c r="E791" t="s">
        <v>490</v>
      </c>
      <c r="F791" t="s">
        <v>82</v>
      </c>
      <c r="G791" s="31">
        <v>1062.914972515613</v>
      </c>
      <c r="H791" s="31">
        <v>107337.13919856019</v>
      </c>
      <c r="I791" s="31">
        <v>35421.255935524867</v>
      </c>
      <c r="J791" s="32">
        <f t="shared" si="64"/>
        <v>28824.735476867369</v>
      </c>
      <c r="K791" s="31">
        <v>0</v>
      </c>
      <c r="L791" s="31">
        <v>0</v>
      </c>
      <c r="M791" s="32">
        <f t="shared" si="65"/>
        <v>0</v>
      </c>
      <c r="N791" s="33">
        <f>Result_notebook!L791</f>
        <v>0.59854391398996798</v>
      </c>
      <c r="O791" s="31">
        <f t="shared" si="66"/>
        <v>-63183.076439876619</v>
      </c>
      <c r="P791" s="31">
        <f t="shared" si="69"/>
        <v>34358.34096300925</v>
      </c>
      <c r="Q791">
        <f t="shared" si="68"/>
        <v>28824.735476867369</v>
      </c>
    </row>
    <row r="792" spans="1:17" x14ac:dyDescent="0.35">
      <c r="A792">
        <v>2033</v>
      </c>
      <c r="B792" t="s">
        <v>13</v>
      </c>
      <c r="C792" t="s">
        <v>10</v>
      </c>
      <c r="D792" t="s">
        <v>16</v>
      </c>
      <c r="E792" t="s">
        <v>483</v>
      </c>
      <c r="F792" t="s">
        <v>80</v>
      </c>
      <c r="G792" s="31">
        <v>2578.831941326835</v>
      </c>
      <c r="H792" s="31">
        <v>0</v>
      </c>
      <c r="I792" s="31">
        <v>0</v>
      </c>
      <c r="J792" s="32">
        <f t="shared" si="64"/>
        <v>0</v>
      </c>
      <c r="K792" s="31">
        <v>2578.831941326835</v>
      </c>
      <c r="L792" s="31">
        <v>2578.831941326835</v>
      </c>
      <c r="M792" s="32">
        <f t="shared" si="65"/>
        <v>2578.831941326835</v>
      </c>
      <c r="N792" s="33">
        <f>Result_notebook!L792</f>
        <v>0.59854391398996798</v>
      </c>
      <c r="O792" s="31">
        <f t="shared" si="66"/>
        <v>0</v>
      </c>
      <c r="P792" s="31">
        <f t="shared" si="69"/>
        <v>0</v>
      </c>
      <c r="Q792">
        <f t="shared" si="68"/>
        <v>0</v>
      </c>
    </row>
    <row r="793" spans="1:17" x14ac:dyDescent="0.35">
      <c r="A793">
        <v>2033</v>
      </c>
      <c r="B793" t="s">
        <v>13</v>
      </c>
      <c r="C793" t="s">
        <v>10</v>
      </c>
      <c r="D793" t="s">
        <v>16</v>
      </c>
      <c r="E793" t="s">
        <v>483</v>
      </c>
      <c r="F793" t="s">
        <v>81</v>
      </c>
      <c r="G793" s="31">
        <v>2578.831941326835</v>
      </c>
      <c r="H793" s="31">
        <v>0</v>
      </c>
      <c r="I793" s="31">
        <v>0</v>
      </c>
      <c r="J793" s="32">
        <f t="shared" si="64"/>
        <v>0</v>
      </c>
      <c r="K793" s="31">
        <v>2578.831941326835</v>
      </c>
      <c r="L793" s="31">
        <v>2578.831941326835</v>
      </c>
      <c r="M793" s="32">
        <f t="shared" si="65"/>
        <v>2578.831941326835</v>
      </c>
      <c r="N793" s="33">
        <f>Result_notebook!L793</f>
        <v>0.59854391398996798</v>
      </c>
      <c r="O793" s="31">
        <f t="shared" si="66"/>
        <v>0</v>
      </c>
      <c r="P793" s="31">
        <f t="shared" si="69"/>
        <v>0</v>
      </c>
      <c r="Q793">
        <f t="shared" si="68"/>
        <v>0</v>
      </c>
    </row>
    <row r="794" spans="1:17" x14ac:dyDescent="0.35">
      <c r="A794">
        <v>2033</v>
      </c>
      <c r="B794" t="s">
        <v>13</v>
      </c>
      <c r="C794" t="s">
        <v>10</v>
      </c>
      <c r="D794" t="s">
        <v>18</v>
      </c>
      <c r="E794" t="s">
        <v>483</v>
      </c>
      <c r="F794" t="s">
        <v>85</v>
      </c>
      <c r="G794" s="31">
        <v>2578.831941326835</v>
      </c>
      <c r="H794" s="31">
        <v>107337.13919856019</v>
      </c>
      <c r="I794" s="31">
        <v>35421.255935524867</v>
      </c>
      <c r="J794" s="32">
        <f t="shared" si="64"/>
        <v>28824.735476867369</v>
      </c>
      <c r="K794" s="31">
        <v>0</v>
      </c>
      <c r="L794" s="31">
        <v>0</v>
      </c>
      <c r="M794" s="32">
        <f t="shared" si="65"/>
        <v>0</v>
      </c>
      <c r="N794" s="33">
        <f>Result_notebook!L794</f>
        <v>0.59854391398996798</v>
      </c>
      <c r="O794" s="31">
        <f t="shared" si="66"/>
        <v>-61667.159471065403</v>
      </c>
      <c r="P794" s="31">
        <f t="shared" si="69"/>
        <v>32842.423994198034</v>
      </c>
      <c r="Q794">
        <f t="shared" si="68"/>
        <v>28824.735476867369</v>
      </c>
    </row>
    <row r="795" spans="1:17" x14ac:dyDescent="0.35">
      <c r="A795">
        <v>2033</v>
      </c>
      <c r="B795" t="s">
        <v>13</v>
      </c>
      <c r="C795" t="s">
        <v>10</v>
      </c>
      <c r="D795" t="s">
        <v>18</v>
      </c>
      <c r="E795" t="s">
        <v>483</v>
      </c>
      <c r="F795" t="s">
        <v>86</v>
      </c>
      <c r="G795" s="31">
        <v>2578.831941326835</v>
      </c>
      <c r="H795" s="31">
        <v>107337.13919856019</v>
      </c>
      <c r="I795" s="31">
        <v>35421.255935524867</v>
      </c>
      <c r="J795" s="32">
        <f t="shared" si="64"/>
        <v>28824.735476867369</v>
      </c>
      <c r="K795" s="31">
        <v>0</v>
      </c>
      <c r="L795" s="31">
        <v>0</v>
      </c>
      <c r="M795" s="32">
        <f t="shared" si="65"/>
        <v>0</v>
      </c>
      <c r="N795" s="33">
        <f>Result_notebook!L795</f>
        <v>0.59854391398996798</v>
      </c>
      <c r="O795" s="31">
        <f t="shared" si="66"/>
        <v>-61667.159471065403</v>
      </c>
      <c r="P795" s="31">
        <f t="shared" si="69"/>
        <v>32842.423994198034</v>
      </c>
      <c r="Q795">
        <f t="shared" si="68"/>
        <v>28824.735476867369</v>
      </c>
    </row>
    <row r="796" spans="1:17" x14ac:dyDescent="0.35">
      <c r="A796">
        <v>2033</v>
      </c>
      <c r="B796" t="s">
        <v>13</v>
      </c>
      <c r="C796" t="s">
        <v>10</v>
      </c>
      <c r="D796" t="s">
        <v>18</v>
      </c>
      <c r="E796" t="s">
        <v>490</v>
      </c>
      <c r="F796" t="s">
        <v>82</v>
      </c>
      <c r="G796" s="31">
        <v>2578.831941326835</v>
      </c>
      <c r="H796" s="31">
        <v>107337.13919856019</v>
      </c>
      <c r="I796" s="31">
        <v>35421.255935524867</v>
      </c>
      <c r="J796" s="32">
        <f t="shared" si="64"/>
        <v>28824.735476867369</v>
      </c>
      <c r="K796" s="31">
        <v>0</v>
      </c>
      <c r="L796" s="31">
        <v>0</v>
      </c>
      <c r="M796" s="32">
        <f t="shared" si="65"/>
        <v>0</v>
      </c>
      <c r="N796" s="33">
        <f>Result_notebook!L796</f>
        <v>0.59854391398996798</v>
      </c>
      <c r="O796" s="31">
        <f t="shared" si="66"/>
        <v>-61667.159471065403</v>
      </c>
      <c r="P796" s="31">
        <f t="shared" si="69"/>
        <v>32842.423994198034</v>
      </c>
      <c r="Q796">
        <f t="shared" si="68"/>
        <v>28824.735476867369</v>
      </c>
    </row>
    <row r="797" spans="1:17" x14ac:dyDescent="0.35">
      <c r="A797">
        <v>2033</v>
      </c>
      <c r="B797" t="s">
        <v>12</v>
      </c>
      <c r="C797" t="s">
        <v>4</v>
      </c>
      <c r="D797" t="s">
        <v>16</v>
      </c>
      <c r="E797" t="s">
        <v>483</v>
      </c>
      <c r="F797" t="s">
        <v>80</v>
      </c>
      <c r="G797" s="31">
        <v>49911.675533361398</v>
      </c>
      <c r="H797" s="31">
        <v>0</v>
      </c>
      <c r="I797" s="31">
        <v>0</v>
      </c>
      <c r="J797" s="32">
        <f t="shared" si="64"/>
        <v>0</v>
      </c>
      <c r="K797" s="31">
        <v>71302.393619087714</v>
      </c>
      <c r="L797" s="31">
        <v>49911.675533361398</v>
      </c>
      <c r="M797" s="32">
        <f t="shared" si="65"/>
        <v>49911.675533361398</v>
      </c>
      <c r="N797" s="33">
        <f>Result_notebook!L797</f>
        <v>0.787554996857322</v>
      </c>
      <c r="O797" s="31">
        <f t="shared" si="66"/>
        <v>0</v>
      </c>
      <c r="P797" s="31">
        <f t="shared" si="69"/>
        <v>0</v>
      </c>
      <c r="Q797">
        <f t="shared" si="68"/>
        <v>0</v>
      </c>
    </row>
    <row r="798" spans="1:17" x14ac:dyDescent="0.35">
      <c r="A798">
        <v>2033</v>
      </c>
      <c r="B798" t="s">
        <v>12</v>
      </c>
      <c r="C798" t="s">
        <v>4</v>
      </c>
      <c r="D798" t="s">
        <v>16</v>
      </c>
      <c r="E798" t="s">
        <v>483</v>
      </c>
      <c r="F798" t="s">
        <v>81</v>
      </c>
      <c r="G798" s="31">
        <v>49911.675533361398</v>
      </c>
      <c r="H798" s="31">
        <v>37831</v>
      </c>
      <c r="I798" s="31">
        <v>26450.318085205759</v>
      </c>
      <c r="J798" s="32">
        <f t="shared" si="64"/>
        <v>3343.6750009035895</v>
      </c>
      <c r="K798" s="31">
        <v>33471.393619087707</v>
      </c>
      <c r="L798" s="31">
        <v>23461.357448155639</v>
      </c>
      <c r="M798" s="32">
        <f t="shared" si="65"/>
        <v>20117.682447252049</v>
      </c>
      <c r="N798" s="33">
        <f>Result_notebook!L798</f>
        <v>0.787554996857322</v>
      </c>
      <c r="O798" s="31">
        <f t="shared" si="66"/>
        <v>0</v>
      </c>
      <c r="P798" s="31">
        <f t="shared" si="69"/>
        <v>0</v>
      </c>
      <c r="Q798">
        <f t="shared" si="68"/>
        <v>3343.6750009035895</v>
      </c>
    </row>
    <row r="799" spans="1:17" x14ac:dyDescent="0.35">
      <c r="A799">
        <v>2033</v>
      </c>
      <c r="B799" t="s">
        <v>12</v>
      </c>
      <c r="C799" t="s">
        <v>4</v>
      </c>
      <c r="D799" t="s">
        <v>18</v>
      </c>
      <c r="E799" t="s">
        <v>483</v>
      </c>
      <c r="F799" t="s">
        <v>85</v>
      </c>
      <c r="G799" s="31">
        <v>49911.675533361398</v>
      </c>
      <c r="H799" s="31">
        <v>137096</v>
      </c>
      <c r="I799" s="31">
        <v>95853.474880636728</v>
      </c>
      <c r="J799" s="32">
        <f t="shared" si="64"/>
        <v>12117.164968514684</v>
      </c>
      <c r="K799" s="31">
        <v>0</v>
      </c>
      <c r="L799" s="31">
        <v>0</v>
      </c>
      <c r="M799" s="32">
        <f t="shared" si="65"/>
        <v>0</v>
      </c>
      <c r="N799" s="33">
        <f>Result_notebook!L799</f>
        <v>0.787554996857322</v>
      </c>
      <c r="O799" s="31">
        <f t="shared" si="66"/>
        <v>-58058.964315790014</v>
      </c>
      <c r="P799" s="31">
        <f t="shared" si="69"/>
        <v>45941.79934727533</v>
      </c>
      <c r="Q799">
        <f t="shared" si="68"/>
        <v>12117.164968514684</v>
      </c>
    </row>
    <row r="800" spans="1:17" x14ac:dyDescent="0.35">
      <c r="A800">
        <v>2033</v>
      </c>
      <c r="B800" t="s">
        <v>12</v>
      </c>
      <c r="C800" t="s">
        <v>4</v>
      </c>
      <c r="D800" t="s">
        <v>18</v>
      </c>
      <c r="E800" t="s">
        <v>483</v>
      </c>
      <c r="F800" t="s">
        <v>86</v>
      </c>
      <c r="G800" s="31">
        <v>49911.675533361398</v>
      </c>
      <c r="H800" s="31">
        <v>137096</v>
      </c>
      <c r="I800" s="31">
        <v>95853.474880636728</v>
      </c>
      <c r="J800" s="32">
        <f t="shared" si="64"/>
        <v>12117.164968514684</v>
      </c>
      <c r="K800" s="31">
        <v>0</v>
      </c>
      <c r="L800" s="31">
        <v>0</v>
      </c>
      <c r="M800" s="32">
        <f t="shared" si="65"/>
        <v>0</v>
      </c>
      <c r="N800" s="33">
        <f>Result_notebook!L800</f>
        <v>0.787554996857322</v>
      </c>
      <c r="O800" s="31">
        <f t="shared" si="66"/>
        <v>-58058.964315790014</v>
      </c>
      <c r="P800" s="31">
        <f t="shared" si="69"/>
        <v>45941.79934727533</v>
      </c>
      <c r="Q800">
        <f t="shared" si="68"/>
        <v>12117.164968514684</v>
      </c>
    </row>
    <row r="801" spans="1:17" x14ac:dyDescent="0.35">
      <c r="A801">
        <v>2033</v>
      </c>
      <c r="B801" t="s">
        <v>12</v>
      </c>
      <c r="C801" t="s">
        <v>4</v>
      </c>
      <c r="D801" t="s">
        <v>18</v>
      </c>
      <c r="E801" t="s">
        <v>490</v>
      </c>
      <c r="F801" t="s">
        <v>82</v>
      </c>
      <c r="G801" s="31">
        <v>49911.675533361398</v>
      </c>
      <c r="H801" s="31">
        <v>137096</v>
      </c>
      <c r="I801" s="31">
        <v>95853.474880636728</v>
      </c>
      <c r="J801" s="32">
        <f t="shared" si="64"/>
        <v>12117.164968514684</v>
      </c>
      <c r="K801" s="31">
        <v>0</v>
      </c>
      <c r="L801" s="31">
        <v>0</v>
      </c>
      <c r="M801" s="32">
        <f t="shared" si="65"/>
        <v>0</v>
      </c>
      <c r="N801" s="33">
        <f>Result_notebook!L801</f>
        <v>0.787554996857322</v>
      </c>
      <c r="O801" s="31">
        <f t="shared" si="66"/>
        <v>-58058.964315790014</v>
      </c>
      <c r="P801" s="31">
        <f t="shared" si="69"/>
        <v>45941.79934727533</v>
      </c>
      <c r="Q801">
        <f t="shared" si="68"/>
        <v>12117.164968514684</v>
      </c>
    </row>
    <row r="802" spans="1:17" x14ac:dyDescent="0.35">
      <c r="A802">
        <v>2033</v>
      </c>
      <c r="B802" t="s">
        <v>12</v>
      </c>
      <c r="C802" t="s">
        <v>9</v>
      </c>
      <c r="D802" t="s">
        <v>16</v>
      </c>
      <c r="E802" t="s">
        <v>483</v>
      </c>
      <c r="F802" t="s">
        <v>80</v>
      </c>
      <c r="G802" s="31">
        <v>19556.866623754038</v>
      </c>
      <c r="H802" s="31">
        <v>0</v>
      </c>
      <c r="I802" s="31">
        <v>0</v>
      </c>
      <c r="J802" s="32">
        <f t="shared" si="64"/>
        <v>0</v>
      </c>
      <c r="K802" s="31">
        <v>27938.380891077199</v>
      </c>
      <c r="L802" s="31">
        <v>19556.866623754038</v>
      </c>
      <c r="M802" s="32">
        <f t="shared" si="65"/>
        <v>19556.866623754038</v>
      </c>
      <c r="N802" s="33">
        <f>Result_notebook!L802</f>
        <v>0.787554996857322</v>
      </c>
      <c r="O802" s="31">
        <f t="shared" si="66"/>
        <v>0</v>
      </c>
      <c r="P802" s="31">
        <f t="shared" si="69"/>
        <v>0</v>
      </c>
      <c r="Q802">
        <f t="shared" si="68"/>
        <v>0</v>
      </c>
    </row>
    <row r="803" spans="1:17" x14ac:dyDescent="0.35">
      <c r="A803">
        <v>2033</v>
      </c>
      <c r="B803" t="s">
        <v>12</v>
      </c>
      <c r="C803" t="s">
        <v>9</v>
      </c>
      <c r="D803" t="s">
        <v>16</v>
      </c>
      <c r="E803" t="s">
        <v>483</v>
      </c>
      <c r="F803" t="s">
        <v>81</v>
      </c>
      <c r="G803" s="31">
        <v>19556.866623754038</v>
      </c>
      <c r="H803" s="31">
        <v>37831</v>
      </c>
      <c r="I803" s="31">
        <v>26450.318085205759</v>
      </c>
      <c r="J803" s="32">
        <f t="shared" si="64"/>
        <v>3343.6750009035895</v>
      </c>
      <c r="K803" s="31">
        <v>0</v>
      </c>
      <c r="L803" s="31">
        <v>0</v>
      </c>
      <c r="M803" s="32">
        <f t="shared" si="65"/>
        <v>0</v>
      </c>
      <c r="N803" s="33">
        <f>Result_notebook!L803</f>
        <v>0.787554996857322</v>
      </c>
      <c r="O803" s="31">
        <f t="shared" si="66"/>
        <v>-10237.126462355311</v>
      </c>
      <c r="P803" s="31">
        <f t="shared" si="69"/>
        <v>6893.4514614517211</v>
      </c>
      <c r="Q803">
        <f t="shared" si="68"/>
        <v>3343.6750009035895</v>
      </c>
    </row>
    <row r="804" spans="1:17" x14ac:dyDescent="0.35">
      <c r="A804">
        <v>2033</v>
      </c>
      <c r="B804" t="s">
        <v>12</v>
      </c>
      <c r="C804" t="s">
        <v>9</v>
      </c>
      <c r="D804" t="s">
        <v>18</v>
      </c>
      <c r="E804" t="s">
        <v>483</v>
      </c>
      <c r="F804" t="s">
        <v>85</v>
      </c>
      <c r="G804" s="31">
        <v>19556.866623754038</v>
      </c>
      <c r="H804" s="31">
        <v>137096</v>
      </c>
      <c r="I804" s="31">
        <v>95853.474880636728</v>
      </c>
      <c r="J804" s="32">
        <f t="shared" si="64"/>
        <v>12117.164968514684</v>
      </c>
      <c r="K804" s="31">
        <v>0</v>
      </c>
      <c r="L804" s="31">
        <v>0</v>
      </c>
      <c r="M804" s="32">
        <f t="shared" si="65"/>
        <v>0</v>
      </c>
      <c r="N804" s="33">
        <f>Result_notebook!L804</f>
        <v>0.787554996857322</v>
      </c>
      <c r="O804" s="31">
        <f t="shared" si="66"/>
        <v>-88413.773225397366</v>
      </c>
      <c r="P804" s="31">
        <f t="shared" si="69"/>
        <v>76296.608256882697</v>
      </c>
      <c r="Q804">
        <f t="shared" si="68"/>
        <v>12117.164968514684</v>
      </c>
    </row>
    <row r="805" spans="1:17" x14ac:dyDescent="0.35">
      <c r="A805">
        <v>2033</v>
      </c>
      <c r="B805" t="s">
        <v>12</v>
      </c>
      <c r="C805" t="s">
        <v>9</v>
      </c>
      <c r="D805" t="s">
        <v>18</v>
      </c>
      <c r="E805" t="s">
        <v>483</v>
      </c>
      <c r="F805" t="s">
        <v>86</v>
      </c>
      <c r="G805" s="31">
        <v>19556.866623754038</v>
      </c>
      <c r="H805" s="31">
        <v>137096</v>
      </c>
      <c r="I805" s="31">
        <v>95853.474880636728</v>
      </c>
      <c r="J805" s="32">
        <f t="shared" si="64"/>
        <v>12117.164968514684</v>
      </c>
      <c r="K805" s="31">
        <v>0</v>
      </c>
      <c r="L805" s="31">
        <v>0</v>
      </c>
      <c r="M805" s="32">
        <f t="shared" si="65"/>
        <v>0</v>
      </c>
      <c r="N805" s="33">
        <f>Result_notebook!L805</f>
        <v>0.787554996857322</v>
      </c>
      <c r="O805" s="31">
        <f t="shared" si="66"/>
        <v>-88413.773225397366</v>
      </c>
      <c r="P805" s="31">
        <f t="shared" si="69"/>
        <v>76296.608256882697</v>
      </c>
      <c r="Q805">
        <f t="shared" si="68"/>
        <v>12117.164968514684</v>
      </c>
    </row>
    <row r="806" spans="1:17" x14ac:dyDescent="0.35">
      <c r="A806">
        <v>2033</v>
      </c>
      <c r="B806" t="s">
        <v>12</v>
      </c>
      <c r="C806" t="s">
        <v>9</v>
      </c>
      <c r="D806" t="s">
        <v>18</v>
      </c>
      <c r="E806" t="s">
        <v>490</v>
      </c>
      <c r="F806" t="s">
        <v>82</v>
      </c>
      <c r="G806" s="31">
        <v>19556.866623754038</v>
      </c>
      <c r="H806" s="31">
        <v>137096</v>
      </c>
      <c r="I806" s="31">
        <v>95853.474880636728</v>
      </c>
      <c r="J806" s="32">
        <f t="shared" si="64"/>
        <v>12117.164968514684</v>
      </c>
      <c r="K806" s="31">
        <v>0</v>
      </c>
      <c r="L806" s="31">
        <v>0</v>
      </c>
      <c r="M806" s="32">
        <f t="shared" si="65"/>
        <v>0</v>
      </c>
      <c r="N806" s="33">
        <f>Result_notebook!L806</f>
        <v>0.787554996857322</v>
      </c>
      <c r="O806" s="31">
        <f t="shared" si="66"/>
        <v>-88413.773225397366</v>
      </c>
      <c r="P806" s="31">
        <f t="shared" si="69"/>
        <v>76296.608256882697</v>
      </c>
      <c r="Q806">
        <f t="shared" si="68"/>
        <v>12117.164968514684</v>
      </c>
    </row>
    <row r="807" spans="1:17" x14ac:dyDescent="0.35">
      <c r="A807">
        <v>2033</v>
      </c>
      <c r="B807" t="s">
        <v>12</v>
      </c>
      <c r="C807" t="s">
        <v>10</v>
      </c>
      <c r="D807" t="s">
        <v>16</v>
      </c>
      <c r="E807" t="s">
        <v>483</v>
      </c>
      <c r="F807" t="s">
        <v>80</v>
      </c>
      <c r="G807" s="31">
        <v>47448.642295670557</v>
      </c>
      <c r="H807" s="31">
        <v>0</v>
      </c>
      <c r="I807" s="31">
        <v>0</v>
      </c>
      <c r="J807" s="32">
        <f t="shared" si="64"/>
        <v>0</v>
      </c>
      <c r="K807" s="31">
        <v>67783.774708100798</v>
      </c>
      <c r="L807" s="31">
        <v>47448.642295670557</v>
      </c>
      <c r="M807" s="32">
        <f t="shared" si="65"/>
        <v>47448.642295670557</v>
      </c>
      <c r="N807" s="33">
        <f>Result_notebook!L807</f>
        <v>0.787554996857322</v>
      </c>
      <c r="O807" s="31">
        <f t="shared" si="66"/>
        <v>0</v>
      </c>
      <c r="P807" s="31">
        <f t="shared" si="69"/>
        <v>0</v>
      </c>
      <c r="Q807">
        <f t="shared" si="68"/>
        <v>0</v>
      </c>
    </row>
    <row r="808" spans="1:17" x14ac:dyDescent="0.35">
      <c r="A808">
        <v>2033</v>
      </c>
      <c r="B808" t="s">
        <v>12</v>
      </c>
      <c r="C808" t="s">
        <v>10</v>
      </c>
      <c r="D808" t="s">
        <v>16</v>
      </c>
      <c r="E808" t="s">
        <v>483</v>
      </c>
      <c r="F808" t="s">
        <v>81</v>
      </c>
      <c r="G808" s="31">
        <v>47448.642295670557</v>
      </c>
      <c r="H808" s="31">
        <v>37831</v>
      </c>
      <c r="I808" s="31">
        <v>26450.318085205759</v>
      </c>
      <c r="J808" s="32">
        <f t="shared" si="64"/>
        <v>3343.6750009035895</v>
      </c>
      <c r="K808" s="31">
        <v>29952.774708100798</v>
      </c>
      <c r="L808" s="31">
        <v>20998.324210464802</v>
      </c>
      <c r="M808" s="32">
        <f t="shared" si="65"/>
        <v>17654.649209561212</v>
      </c>
      <c r="N808" s="33">
        <f>Result_notebook!L808</f>
        <v>0.787554996857322</v>
      </c>
      <c r="O808" s="31">
        <f t="shared" si="66"/>
        <v>0</v>
      </c>
      <c r="P808" s="31">
        <f t="shared" si="69"/>
        <v>0</v>
      </c>
      <c r="Q808">
        <f t="shared" si="68"/>
        <v>3343.6750009035895</v>
      </c>
    </row>
    <row r="809" spans="1:17" x14ac:dyDescent="0.35">
      <c r="A809">
        <v>2033</v>
      </c>
      <c r="B809" t="s">
        <v>12</v>
      </c>
      <c r="C809" t="s">
        <v>10</v>
      </c>
      <c r="D809" t="s">
        <v>18</v>
      </c>
      <c r="E809" t="s">
        <v>483</v>
      </c>
      <c r="F809" t="s">
        <v>85</v>
      </c>
      <c r="G809" s="31">
        <v>47448.642295670557</v>
      </c>
      <c r="H809" s="31">
        <v>137096</v>
      </c>
      <c r="I809" s="31">
        <v>95853.474880636728</v>
      </c>
      <c r="J809" s="32">
        <f t="shared" si="64"/>
        <v>12117.164968514684</v>
      </c>
      <c r="K809" s="31">
        <v>0</v>
      </c>
      <c r="L809" s="31">
        <v>0</v>
      </c>
      <c r="M809" s="32">
        <f t="shared" si="65"/>
        <v>0</v>
      </c>
      <c r="N809" s="33">
        <f>Result_notebook!L809</f>
        <v>0.787554996857322</v>
      </c>
      <c r="O809" s="31">
        <f t="shared" si="66"/>
        <v>-60521.997553480855</v>
      </c>
      <c r="P809" s="31">
        <f t="shared" si="69"/>
        <v>48404.832584966171</v>
      </c>
      <c r="Q809">
        <f t="shared" si="68"/>
        <v>12117.164968514684</v>
      </c>
    </row>
    <row r="810" spans="1:17" x14ac:dyDescent="0.35">
      <c r="A810">
        <v>2033</v>
      </c>
      <c r="B810" t="s">
        <v>12</v>
      </c>
      <c r="C810" t="s">
        <v>10</v>
      </c>
      <c r="D810" t="s">
        <v>18</v>
      </c>
      <c r="E810" t="s">
        <v>483</v>
      </c>
      <c r="F810" t="s">
        <v>86</v>
      </c>
      <c r="G810" s="31">
        <v>47448.642295670557</v>
      </c>
      <c r="H810" s="31">
        <v>137096</v>
      </c>
      <c r="I810" s="31">
        <v>95853.474880636728</v>
      </c>
      <c r="J810" s="32">
        <f t="shared" si="64"/>
        <v>12117.164968514684</v>
      </c>
      <c r="K810" s="31">
        <v>0</v>
      </c>
      <c r="L810" s="31">
        <v>0</v>
      </c>
      <c r="M810" s="32">
        <f t="shared" si="65"/>
        <v>0</v>
      </c>
      <c r="N810" s="33">
        <f>Result_notebook!L810</f>
        <v>0.787554996857322</v>
      </c>
      <c r="O810" s="31">
        <f t="shared" si="66"/>
        <v>-60521.997553480855</v>
      </c>
      <c r="P810" s="31">
        <f t="shared" si="69"/>
        <v>48404.832584966171</v>
      </c>
      <c r="Q810">
        <f t="shared" si="68"/>
        <v>12117.164968514684</v>
      </c>
    </row>
    <row r="811" spans="1:17" x14ac:dyDescent="0.35">
      <c r="A811">
        <v>2033</v>
      </c>
      <c r="B811" t="s">
        <v>12</v>
      </c>
      <c r="C811" t="s">
        <v>10</v>
      </c>
      <c r="D811" t="s">
        <v>18</v>
      </c>
      <c r="E811" t="s">
        <v>490</v>
      </c>
      <c r="F811" t="s">
        <v>82</v>
      </c>
      <c r="G811" s="31">
        <v>47448.642295670557</v>
      </c>
      <c r="H811" s="31">
        <v>137096</v>
      </c>
      <c r="I811" s="31">
        <v>95853.474880636728</v>
      </c>
      <c r="J811" s="32">
        <f t="shared" si="64"/>
        <v>12117.164968514684</v>
      </c>
      <c r="K811" s="31">
        <v>0</v>
      </c>
      <c r="L811" s="31">
        <v>0</v>
      </c>
      <c r="M811" s="32">
        <f t="shared" si="65"/>
        <v>0</v>
      </c>
      <c r="N811" s="33">
        <f>Result_notebook!L811</f>
        <v>0.787554996857322</v>
      </c>
      <c r="O811" s="31">
        <f t="shared" si="66"/>
        <v>-60521.997553480855</v>
      </c>
      <c r="P811" s="31">
        <f t="shared" si="69"/>
        <v>48404.832584966171</v>
      </c>
      <c r="Q811">
        <f t="shared" si="68"/>
        <v>12117.164968514684</v>
      </c>
    </row>
    <row r="812" spans="1:17" x14ac:dyDescent="0.35">
      <c r="A812">
        <v>2034</v>
      </c>
      <c r="B812" t="s">
        <v>6</v>
      </c>
      <c r="C812" t="s">
        <v>4</v>
      </c>
      <c r="D812" t="s">
        <v>16</v>
      </c>
      <c r="E812" t="s">
        <v>483</v>
      </c>
      <c r="F812" t="s">
        <v>80</v>
      </c>
      <c r="G812" s="31">
        <v>132521.50263586891</v>
      </c>
      <c r="H812" s="31">
        <v>0</v>
      </c>
      <c r="I812" s="31">
        <v>0</v>
      </c>
      <c r="J812" s="32">
        <f t="shared" si="64"/>
        <v>0</v>
      </c>
      <c r="K812" s="31">
        <v>301185.23326333851</v>
      </c>
      <c r="L812" s="31">
        <v>132521.50263586891</v>
      </c>
      <c r="M812" s="32">
        <f t="shared" si="65"/>
        <v>132521.50263586891</v>
      </c>
      <c r="N812" s="33">
        <f>Result_notebook!L812</f>
        <v>0.439346565686978</v>
      </c>
      <c r="O812" s="31">
        <f t="shared" si="66"/>
        <v>0</v>
      </c>
      <c r="P812" s="31">
        <f t="shared" si="69"/>
        <v>0</v>
      </c>
      <c r="Q812">
        <f t="shared" si="68"/>
        <v>0</v>
      </c>
    </row>
    <row r="813" spans="1:17" x14ac:dyDescent="0.35">
      <c r="A813">
        <v>2034</v>
      </c>
      <c r="B813" t="s">
        <v>6</v>
      </c>
      <c r="C813" t="s">
        <v>4</v>
      </c>
      <c r="D813" t="s">
        <v>16</v>
      </c>
      <c r="E813" t="s">
        <v>483</v>
      </c>
      <c r="F813" t="s">
        <v>81</v>
      </c>
      <c r="G813" s="31">
        <v>132521.50263586891</v>
      </c>
      <c r="H813" s="31">
        <v>3079</v>
      </c>
      <c r="I813" s="31">
        <v>1306.05584956232</v>
      </c>
      <c r="J813" s="32">
        <f t="shared" si="64"/>
        <v>46.692226187885353</v>
      </c>
      <c r="K813" s="31">
        <v>298106.23326333851</v>
      </c>
      <c r="L813" s="31">
        <v>131215.44678630659</v>
      </c>
      <c r="M813" s="32">
        <f t="shared" si="65"/>
        <v>131168.75456011872</v>
      </c>
      <c r="N813" s="33">
        <f>Result_notebook!L813</f>
        <v>0.439346565686978</v>
      </c>
      <c r="O813" s="31">
        <f t="shared" si="66"/>
        <v>0</v>
      </c>
      <c r="P813" s="31">
        <f t="shared" si="69"/>
        <v>0</v>
      </c>
      <c r="Q813">
        <f t="shared" si="68"/>
        <v>46.692226187885353</v>
      </c>
    </row>
    <row r="814" spans="1:17" x14ac:dyDescent="0.35">
      <c r="A814">
        <v>2034</v>
      </c>
      <c r="B814" t="s">
        <v>6</v>
      </c>
      <c r="C814" t="s">
        <v>4</v>
      </c>
      <c r="D814" t="s">
        <v>18</v>
      </c>
      <c r="E814" t="s">
        <v>483</v>
      </c>
      <c r="F814" t="s">
        <v>85</v>
      </c>
      <c r="G814" s="31">
        <v>132521.50263586891</v>
      </c>
      <c r="H814" s="31">
        <v>13476.53921289199</v>
      </c>
      <c r="I814" s="31">
        <v>5716.5030434730606</v>
      </c>
      <c r="J814" s="32">
        <f t="shared" si="64"/>
        <v>204.36817705692465</v>
      </c>
      <c r="K814" s="31">
        <v>287708.69405044639</v>
      </c>
      <c r="L814" s="31">
        <v>126804.9995923958</v>
      </c>
      <c r="M814" s="32">
        <f t="shared" si="65"/>
        <v>126600.63141533888</v>
      </c>
      <c r="N814" s="33">
        <f>Result_notebook!L814</f>
        <v>0.439346565686978</v>
      </c>
      <c r="O814" s="31">
        <f t="shared" si="66"/>
        <v>0</v>
      </c>
      <c r="P814" s="31">
        <f t="shared" si="69"/>
        <v>0</v>
      </c>
      <c r="Q814">
        <f t="shared" si="68"/>
        <v>204.36817705692465</v>
      </c>
    </row>
    <row r="815" spans="1:17" x14ac:dyDescent="0.35">
      <c r="A815">
        <v>2034</v>
      </c>
      <c r="B815" t="s">
        <v>6</v>
      </c>
      <c r="C815" t="s">
        <v>4</v>
      </c>
      <c r="D815" t="s">
        <v>18</v>
      </c>
      <c r="E815" t="s">
        <v>483</v>
      </c>
      <c r="F815" t="s">
        <v>86</v>
      </c>
      <c r="G815" s="31">
        <v>132521.50263586891</v>
      </c>
      <c r="H815" s="31">
        <v>13476.53921289199</v>
      </c>
      <c r="I815" s="31">
        <v>5716.5030434730606</v>
      </c>
      <c r="J815" s="32">
        <f t="shared" si="64"/>
        <v>204.36817705692465</v>
      </c>
      <c r="K815" s="31">
        <v>287708.69405044639</v>
      </c>
      <c r="L815" s="31">
        <v>126804.9995923958</v>
      </c>
      <c r="M815" s="32">
        <f t="shared" si="65"/>
        <v>126600.63141533888</v>
      </c>
      <c r="N815" s="33">
        <f>Result_notebook!L815</f>
        <v>0.439346565686978</v>
      </c>
      <c r="O815" s="31">
        <f t="shared" si="66"/>
        <v>0</v>
      </c>
      <c r="P815" s="31">
        <f t="shared" si="69"/>
        <v>0</v>
      </c>
      <c r="Q815">
        <f t="shared" si="68"/>
        <v>204.36817705692465</v>
      </c>
    </row>
    <row r="816" spans="1:17" x14ac:dyDescent="0.35">
      <c r="A816">
        <v>2034</v>
      </c>
      <c r="B816" t="s">
        <v>6</v>
      </c>
      <c r="C816" t="s">
        <v>4</v>
      </c>
      <c r="D816" t="s">
        <v>18</v>
      </c>
      <c r="E816" t="s">
        <v>490</v>
      </c>
      <c r="F816" t="s">
        <v>82</v>
      </c>
      <c r="G816" s="31">
        <v>132521.50263586891</v>
      </c>
      <c r="H816" s="31">
        <v>13476.53921289199</v>
      </c>
      <c r="I816" s="31">
        <v>5920.8712205299889</v>
      </c>
      <c r="J816" s="32">
        <f t="shared" si="64"/>
        <v>0</v>
      </c>
      <c r="K816" s="31">
        <v>287708.69405044639</v>
      </c>
      <c r="L816" s="31">
        <v>126600.6314153389</v>
      </c>
      <c r="M816" s="32">
        <f t="shared" si="65"/>
        <v>126600.6314153389</v>
      </c>
      <c r="N816" s="33">
        <f>Result_notebook!L816</f>
        <v>0.439346565686978</v>
      </c>
      <c r="O816" s="31">
        <f t="shared" si="66"/>
        <v>0</v>
      </c>
      <c r="P816" s="31">
        <f t="shared" si="69"/>
        <v>0</v>
      </c>
      <c r="Q816">
        <f t="shared" si="68"/>
        <v>0</v>
      </c>
    </row>
    <row r="817" spans="1:17" x14ac:dyDescent="0.35">
      <c r="A817">
        <v>2034</v>
      </c>
      <c r="B817" t="s">
        <v>6</v>
      </c>
      <c r="C817" t="s">
        <v>9</v>
      </c>
      <c r="D817" t="s">
        <v>16</v>
      </c>
      <c r="E817" t="s">
        <v>483</v>
      </c>
      <c r="F817" t="s">
        <v>80</v>
      </c>
      <c r="G817" s="31">
        <v>51454.423936662723</v>
      </c>
      <c r="H817" s="31">
        <v>0</v>
      </c>
      <c r="I817" s="31">
        <v>0</v>
      </c>
      <c r="J817" s="32">
        <f t="shared" si="64"/>
        <v>0</v>
      </c>
      <c r="K817" s="31">
        <v>116941.8725833244</v>
      </c>
      <c r="L817" s="31">
        <v>51454.423936662723</v>
      </c>
      <c r="M817" s="32">
        <f t="shared" si="65"/>
        <v>51454.423936662723</v>
      </c>
      <c r="N817" s="33">
        <f>Result_notebook!L817</f>
        <v>0.439346565686978</v>
      </c>
      <c r="O817" s="31">
        <f t="shared" si="66"/>
        <v>0</v>
      </c>
      <c r="P817" s="31">
        <f t="shared" si="69"/>
        <v>0</v>
      </c>
      <c r="Q817">
        <f t="shared" si="68"/>
        <v>0</v>
      </c>
    </row>
    <row r="818" spans="1:17" x14ac:dyDescent="0.35">
      <c r="A818">
        <v>2034</v>
      </c>
      <c r="B818" t="s">
        <v>6</v>
      </c>
      <c r="C818" t="s">
        <v>9</v>
      </c>
      <c r="D818" t="s">
        <v>16</v>
      </c>
      <c r="E818" t="s">
        <v>483</v>
      </c>
      <c r="F818" t="s">
        <v>81</v>
      </c>
      <c r="G818" s="31">
        <v>51454.423936662723</v>
      </c>
      <c r="H818" s="31">
        <v>3079</v>
      </c>
      <c r="I818" s="31">
        <v>1306.05584956232</v>
      </c>
      <c r="J818" s="32">
        <f t="shared" si="64"/>
        <v>46.692226187885353</v>
      </c>
      <c r="K818" s="31">
        <v>113862.8725833244</v>
      </c>
      <c r="L818" s="31">
        <v>50148.368087100403</v>
      </c>
      <c r="M818" s="32">
        <f t="shared" si="65"/>
        <v>50101.675860912517</v>
      </c>
      <c r="N818" s="33">
        <f>Result_notebook!L818</f>
        <v>0.439346565686978</v>
      </c>
      <c r="O818" s="31">
        <f t="shared" si="66"/>
        <v>0</v>
      </c>
      <c r="P818" s="31">
        <f t="shared" si="69"/>
        <v>0</v>
      </c>
      <c r="Q818">
        <f t="shared" si="68"/>
        <v>46.692226187885353</v>
      </c>
    </row>
    <row r="819" spans="1:17" x14ac:dyDescent="0.35">
      <c r="A819">
        <v>2034</v>
      </c>
      <c r="B819" t="s">
        <v>6</v>
      </c>
      <c r="C819" t="s">
        <v>9</v>
      </c>
      <c r="D819" t="s">
        <v>18</v>
      </c>
      <c r="E819" t="s">
        <v>483</v>
      </c>
      <c r="F819" t="s">
        <v>85</v>
      </c>
      <c r="G819" s="31">
        <v>51454.423936662723</v>
      </c>
      <c r="H819" s="31">
        <v>13476.53921289199</v>
      </c>
      <c r="I819" s="31">
        <v>5716.5030434730606</v>
      </c>
      <c r="J819" s="32">
        <f t="shared" si="64"/>
        <v>204.36817705692465</v>
      </c>
      <c r="K819" s="31">
        <v>103465.3333704324</v>
      </c>
      <c r="L819" s="31">
        <v>45737.920893189657</v>
      </c>
      <c r="M819" s="32">
        <f t="shared" si="65"/>
        <v>45533.552716132734</v>
      </c>
      <c r="N819" s="33">
        <f>Result_notebook!L819</f>
        <v>0.439346565686978</v>
      </c>
      <c r="O819" s="31">
        <f t="shared" si="66"/>
        <v>0</v>
      </c>
      <c r="P819" s="31">
        <f t="shared" si="69"/>
        <v>0</v>
      </c>
      <c r="Q819">
        <f t="shared" si="68"/>
        <v>204.36817705692465</v>
      </c>
    </row>
    <row r="820" spans="1:17" x14ac:dyDescent="0.35">
      <c r="A820">
        <v>2034</v>
      </c>
      <c r="B820" t="s">
        <v>6</v>
      </c>
      <c r="C820" t="s">
        <v>9</v>
      </c>
      <c r="D820" t="s">
        <v>18</v>
      </c>
      <c r="E820" t="s">
        <v>483</v>
      </c>
      <c r="F820" t="s">
        <v>86</v>
      </c>
      <c r="G820" s="31">
        <v>51454.423936662723</v>
      </c>
      <c r="H820" s="31">
        <v>13476.53921289199</v>
      </c>
      <c r="I820" s="31">
        <v>5716.5030434730606</v>
      </c>
      <c r="J820" s="32">
        <f t="shared" si="64"/>
        <v>204.36817705692465</v>
      </c>
      <c r="K820" s="31">
        <v>103465.3333704324</v>
      </c>
      <c r="L820" s="31">
        <v>45737.920893189657</v>
      </c>
      <c r="M820" s="32">
        <f t="shared" si="65"/>
        <v>45533.552716132734</v>
      </c>
      <c r="N820" s="33">
        <f>Result_notebook!L820</f>
        <v>0.439346565686978</v>
      </c>
      <c r="O820" s="31">
        <f t="shared" si="66"/>
        <v>0</v>
      </c>
      <c r="P820" s="31">
        <f t="shared" si="69"/>
        <v>0</v>
      </c>
      <c r="Q820">
        <f t="shared" si="68"/>
        <v>204.36817705692465</v>
      </c>
    </row>
    <row r="821" spans="1:17" x14ac:dyDescent="0.35">
      <c r="A821">
        <v>2034</v>
      </c>
      <c r="B821" t="s">
        <v>6</v>
      </c>
      <c r="C821" t="s">
        <v>9</v>
      </c>
      <c r="D821" t="s">
        <v>18</v>
      </c>
      <c r="E821" t="s">
        <v>490</v>
      </c>
      <c r="F821" t="s">
        <v>82</v>
      </c>
      <c r="G821" s="31">
        <v>51454.423936662723</v>
      </c>
      <c r="H821" s="31">
        <v>13476.53921289199</v>
      </c>
      <c r="I821" s="31">
        <v>5920.8712205299889</v>
      </c>
      <c r="J821" s="32">
        <f t="shared" si="64"/>
        <v>0</v>
      </c>
      <c r="K821" s="31">
        <v>103465.3333704324</v>
      </c>
      <c r="L821" s="31">
        <v>45533.552716132734</v>
      </c>
      <c r="M821" s="32">
        <f t="shared" si="65"/>
        <v>45533.552716132734</v>
      </c>
      <c r="N821" s="33">
        <f>Result_notebook!L821</f>
        <v>0.439346565686978</v>
      </c>
      <c r="O821" s="31">
        <f t="shared" si="66"/>
        <v>0</v>
      </c>
      <c r="P821" s="31">
        <f t="shared" si="69"/>
        <v>0</v>
      </c>
      <c r="Q821">
        <f t="shared" si="68"/>
        <v>0</v>
      </c>
    </row>
    <row r="822" spans="1:17" x14ac:dyDescent="0.35">
      <c r="A822">
        <v>2034</v>
      </c>
      <c r="B822" t="s">
        <v>6</v>
      </c>
      <c r="C822" t="s">
        <v>10</v>
      </c>
      <c r="D822" t="s">
        <v>16</v>
      </c>
      <c r="E822" t="s">
        <v>483</v>
      </c>
      <c r="F822" t="s">
        <v>80</v>
      </c>
      <c r="G822" s="31">
        <v>125925.583305996</v>
      </c>
      <c r="H822" s="31">
        <v>0</v>
      </c>
      <c r="I822" s="31">
        <v>0</v>
      </c>
      <c r="J822" s="32">
        <f t="shared" si="64"/>
        <v>0</v>
      </c>
      <c r="K822" s="31">
        <v>286194.50751362729</v>
      </c>
      <c r="L822" s="31">
        <v>125925.583305996</v>
      </c>
      <c r="M822" s="32">
        <f t="shared" si="65"/>
        <v>125925.583305996</v>
      </c>
      <c r="N822" s="33">
        <f>Result_notebook!L822</f>
        <v>0.439346565686978</v>
      </c>
      <c r="O822" s="31">
        <f t="shared" si="66"/>
        <v>0</v>
      </c>
      <c r="P822" s="31">
        <f t="shared" si="69"/>
        <v>0</v>
      </c>
      <c r="Q822">
        <f t="shared" si="68"/>
        <v>0</v>
      </c>
    </row>
    <row r="823" spans="1:17" x14ac:dyDescent="0.35">
      <c r="A823">
        <v>2034</v>
      </c>
      <c r="B823" t="s">
        <v>6</v>
      </c>
      <c r="C823" t="s">
        <v>10</v>
      </c>
      <c r="D823" t="s">
        <v>16</v>
      </c>
      <c r="E823" t="s">
        <v>483</v>
      </c>
      <c r="F823" t="s">
        <v>81</v>
      </c>
      <c r="G823" s="31">
        <v>125925.583305996</v>
      </c>
      <c r="H823" s="31">
        <v>3079</v>
      </c>
      <c r="I823" s="31">
        <v>1306.05584956232</v>
      </c>
      <c r="J823" s="32">
        <f t="shared" si="64"/>
        <v>46.692226187885353</v>
      </c>
      <c r="K823" s="31">
        <v>283115.50751362729</v>
      </c>
      <c r="L823" s="31">
        <v>124619.5274564337</v>
      </c>
      <c r="M823" s="32">
        <f t="shared" si="65"/>
        <v>124572.83523024582</v>
      </c>
      <c r="N823" s="33">
        <f>Result_notebook!L823</f>
        <v>0.439346565686978</v>
      </c>
      <c r="O823" s="31">
        <f t="shared" si="66"/>
        <v>0</v>
      </c>
      <c r="P823" s="31">
        <f t="shared" si="69"/>
        <v>0</v>
      </c>
      <c r="Q823">
        <f t="shared" si="68"/>
        <v>46.692226187885353</v>
      </c>
    </row>
    <row r="824" spans="1:17" x14ac:dyDescent="0.35">
      <c r="A824">
        <v>2034</v>
      </c>
      <c r="B824" t="s">
        <v>6</v>
      </c>
      <c r="C824" t="s">
        <v>10</v>
      </c>
      <c r="D824" t="s">
        <v>18</v>
      </c>
      <c r="E824" t="s">
        <v>483</v>
      </c>
      <c r="F824" t="s">
        <v>85</v>
      </c>
      <c r="G824" s="31">
        <v>125925.583305996</v>
      </c>
      <c r="H824" s="31">
        <v>13476.53921289199</v>
      </c>
      <c r="I824" s="31">
        <v>5716.5030434730606</v>
      </c>
      <c r="J824" s="32">
        <f t="shared" si="64"/>
        <v>204.36817705692465</v>
      </c>
      <c r="K824" s="31">
        <v>272717.96830073529</v>
      </c>
      <c r="L824" s="31">
        <v>120209.0802625229</v>
      </c>
      <c r="M824" s="32">
        <f t="shared" si="65"/>
        <v>120004.71208546597</v>
      </c>
      <c r="N824" s="33">
        <f>Result_notebook!L824</f>
        <v>0.439346565686978</v>
      </c>
      <c r="O824" s="31">
        <f t="shared" si="66"/>
        <v>0</v>
      </c>
      <c r="P824" s="31">
        <f t="shared" si="69"/>
        <v>0</v>
      </c>
      <c r="Q824">
        <f t="shared" si="68"/>
        <v>204.36817705692465</v>
      </c>
    </row>
    <row r="825" spans="1:17" x14ac:dyDescent="0.35">
      <c r="A825">
        <v>2034</v>
      </c>
      <c r="B825" t="s">
        <v>6</v>
      </c>
      <c r="C825" t="s">
        <v>10</v>
      </c>
      <c r="D825" t="s">
        <v>18</v>
      </c>
      <c r="E825" t="s">
        <v>483</v>
      </c>
      <c r="F825" t="s">
        <v>86</v>
      </c>
      <c r="G825" s="31">
        <v>125925.583305996</v>
      </c>
      <c r="H825" s="31">
        <v>13476.53921289199</v>
      </c>
      <c r="I825" s="31">
        <v>5716.5030434730606</v>
      </c>
      <c r="J825" s="32">
        <f t="shared" si="64"/>
        <v>204.36817705692465</v>
      </c>
      <c r="K825" s="31">
        <v>272717.96830073529</v>
      </c>
      <c r="L825" s="31">
        <v>120209.0802625229</v>
      </c>
      <c r="M825" s="32">
        <f t="shared" si="65"/>
        <v>120004.71208546597</v>
      </c>
      <c r="N825" s="33">
        <f>Result_notebook!L825</f>
        <v>0.439346565686978</v>
      </c>
      <c r="O825" s="31">
        <f t="shared" si="66"/>
        <v>0</v>
      </c>
      <c r="P825" s="31">
        <f t="shared" si="69"/>
        <v>0</v>
      </c>
      <c r="Q825">
        <f t="shared" si="68"/>
        <v>204.36817705692465</v>
      </c>
    </row>
    <row r="826" spans="1:17" x14ac:dyDescent="0.35">
      <c r="A826">
        <v>2034</v>
      </c>
      <c r="B826" t="s">
        <v>6</v>
      </c>
      <c r="C826" t="s">
        <v>10</v>
      </c>
      <c r="D826" t="s">
        <v>18</v>
      </c>
      <c r="E826" t="s">
        <v>490</v>
      </c>
      <c r="F826" t="s">
        <v>82</v>
      </c>
      <c r="G826" s="31">
        <v>125925.583305996</v>
      </c>
      <c r="H826" s="31">
        <v>13476.53921289199</v>
      </c>
      <c r="I826" s="31">
        <v>5920.8712205299889</v>
      </c>
      <c r="J826" s="32">
        <f t="shared" si="64"/>
        <v>0</v>
      </c>
      <c r="K826" s="31">
        <v>272717.96830073529</v>
      </c>
      <c r="L826" s="31">
        <v>120004.712085466</v>
      </c>
      <c r="M826" s="32">
        <f t="shared" si="65"/>
        <v>120004.712085466</v>
      </c>
      <c r="N826" s="33">
        <f>Result_notebook!L826</f>
        <v>0.439346565686978</v>
      </c>
      <c r="O826" s="31">
        <f t="shared" si="66"/>
        <v>0</v>
      </c>
      <c r="P826" s="31">
        <f t="shared" si="69"/>
        <v>0</v>
      </c>
      <c r="Q826">
        <f t="shared" si="68"/>
        <v>0</v>
      </c>
    </row>
    <row r="827" spans="1:17" x14ac:dyDescent="0.35">
      <c r="A827">
        <v>2034</v>
      </c>
      <c r="B827" t="s">
        <v>7</v>
      </c>
      <c r="C827" t="s">
        <v>4</v>
      </c>
      <c r="D827" t="s">
        <v>16</v>
      </c>
      <c r="E827" t="s">
        <v>483</v>
      </c>
      <c r="F827" t="s">
        <v>80</v>
      </c>
      <c r="G827" s="31">
        <v>1323318.734939687</v>
      </c>
      <c r="H827" s="31">
        <v>0</v>
      </c>
      <c r="I827" s="31">
        <v>0</v>
      </c>
      <c r="J827" s="32">
        <f t="shared" si="64"/>
        <v>0</v>
      </c>
      <c r="K827" s="31">
        <v>1594359.9216140809</v>
      </c>
      <c r="L827" s="31">
        <v>1323318.734939687</v>
      </c>
      <c r="M827" s="32">
        <f t="shared" si="65"/>
        <v>1323318.734939687</v>
      </c>
      <c r="N827" s="33">
        <f>Result_notebook!L827</f>
        <v>0.83474576271186396</v>
      </c>
      <c r="O827" s="31">
        <f t="shared" si="66"/>
        <v>0</v>
      </c>
      <c r="P827" s="31">
        <f t="shared" si="69"/>
        <v>0</v>
      </c>
      <c r="Q827">
        <f t="shared" si="68"/>
        <v>0</v>
      </c>
    </row>
    <row r="828" spans="1:17" x14ac:dyDescent="0.35">
      <c r="A828">
        <v>2034</v>
      </c>
      <c r="B828" t="s">
        <v>7</v>
      </c>
      <c r="C828" t="s">
        <v>4</v>
      </c>
      <c r="D828" t="s">
        <v>16</v>
      </c>
      <c r="E828" t="s">
        <v>483</v>
      </c>
      <c r="F828" t="s">
        <v>81</v>
      </c>
      <c r="G828" s="31">
        <v>1323318.734939687</v>
      </c>
      <c r="H828" s="31">
        <v>265778</v>
      </c>
      <c r="I828" s="31">
        <v>139695.22574164809</v>
      </c>
      <c r="J828" s="32">
        <f t="shared" si="64"/>
        <v>82161.83358038569</v>
      </c>
      <c r="K828" s="31">
        <v>1328581.9216140809</v>
      </c>
      <c r="L828" s="31">
        <v>1183623.5091980391</v>
      </c>
      <c r="M828" s="32">
        <f t="shared" si="65"/>
        <v>1101461.6756176534</v>
      </c>
      <c r="N828" s="33">
        <f>Result_notebook!L828</f>
        <v>0.83474576271186396</v>
      </c>
      <c r="O828" s="31">
        <f t="shared" si="66"/>
        <v>0</v>
      </c>
      <c r="P828" s="31">
        <f t="shared" si="69"/>
        <v>0</v>
      </c>
      <c r="Q828">
        <f t="shared" si="68"/>
        <v>82161.83358038569</v>
      </c>
    </row>
    <row r="829" spans="1:17" x14ac:dyDescent="0.35">
      <c r="A829">
        <v>2034</v>
      </c>
      <c r="B829" t="s">
        <v>7</v>
      </c>
      <c r="C829" t="s">
        <v>4</v>
      </c>
      <c r="D829" t="s">
        <v>18</v>
      </c>
      <c r="E829" t="s">
        <v>483</v>
      </c>
      <c r="F829" t="s">
        <v>85</v>
      </c>
      <c r="G829" s="31">
        <v>1323318.734939687</v>
      </c>
      <c r="H829" s="31">
        <v>837829.44631390914</v>
      </c>
      <c r="I829" s="31">
        <v>440370.43561100482</v>
      </c>
      <c r="J829" s="32">
        <f t="shared" si="64"/>
        <v>259004.1445747579</v>
      </c>
      <c r="K829" s="31">
        <v>756530.47530017153</v>
      </c>
      <c r="L829" s="31">
        <v>882948.29932868225</v>
      </c>
      <c r="M829" s="32">
        <f t="shared" si="65"/>
        <v>623944.15475392435</v>
      </c>
      <c r="N829" s="33">
        <f>Result_notebook!L829</f>
        <v>0.83474576271186396</v>
      </c>
      <c r="O829" s="31">
        <f t="shared" si="66"/>
        <v>0</v>
      </c>
      <c r="P829" s="31">
        <f t="shared" si="69"/>
        <v>0</v>
      </c>
      <c r="Q829">
        <f t="shared" si="68"/>
        <v>259004.1445747579</v>
      </c>
    </row>
    <row r="830" spans="1:17" x14ac:dyDescent="0.35">
      <c r="A830">
        <v>2034</v>
      </c>
      <c r="B830" t="s">
        <v>7</v>
      </c>
      <c r="C830" t="s">
        <v>4</v>
      </c>
      <c r="D830" t="s">
        <v>18</v>
      </c>
      <c r="E830" t="s">
        <v>483</v>
      </c>
      <c r="F830" t="s">
        <v>86</v>
      </c>
      <c r="G830" s="31">
        <v>1323318.734939687</v>
      </c>
      <c r="H830" s="31">
        <v>837829.44631390914</v>
      </c>
      <c r="I830" s="31">
        <v>440370.43561100482</v>
      </c>
      <c r="J830" s="32">
        <f t="shared" si="64"/>
        <v>259004.1445747579</v>
      </c>
      <c r="K830" s="31">
        <v>756530.47530017153</v>
      </c>
      <c r="L830" s="31">
        <v>882948.29932868225</v>
      </c>
      <c r="M830" s="32">
        <f t="shared" si="65"/>
        <v>623944.15475392435</v>
      </c>
      <c r="N830" s="33">
        <f>Result_notebook!L830</f>
        <v>0.83474576271186396</v>
      </c>
      <c r="O830" s="31">
        <f t="shared" si="66"/>
        <v>0</v>
      </c>
      <c r="P830" s="31">
        <f t="shared" si="69"/>
        <v>0</v>
      </c>
      <c r="Q830">
        <f t="shared" si="68"/>
        <v>259004.1445747579</v>
      </c>
    </row>
    <row r="831" spans="1:17" x14ac:dyDescent="0.35">
      <c r="A831">
        <v>2034</v>
      </c>
      <c r="B831" t="s">
        <v>7</v>
      </c>
      <c r="C831" t="s">
        <v>4</v>
      </c>
      <c r="D831" t="s">
        <v>18</v>
      </c>
      <c r="E831" t="s">
        <v>490</v>
      </c>
      <c r="F831" t="s">
        <v>82</v>
      </c>
      <c r="G831" s="31">
        <v>1323318.734939687</v>
      </c>
      <c r="H831" s="31">
        <v>837829.44631390914</v>
      </c>
      <c r="I831" s="31">
        <v>699374.58018576319</v>
      </c>
      <c r="J831" s="32">
        <f t="shared" si="64"/>
        <v>0</v>
      </c>
      <c r="K831" s="31">
        <v>756530.47530017153</v>
      </c>
      <c r="L831" s="31">
        <v>623944.15475392377</v>
      </c>
      <c r="M831" s="32">
        <f t="shared" si="65"/>
        <v>623944.15475392377</v>
      </c>
      <c r="N831" s="33">
        <f>Result_notebook!L831</f>
        <v>0.83474576271186396</v>
      </c>
      <c r="O831" s="31">
        <f t="shared" si="66"/>
        <v>0</v>
      </c>
      <c r="P831" s="31">
        <f t="shared" si="69"/>
        <v>0</v>
      </c>
      <c r="Q831">
        <f t="shared" si="68"/>
        <v>0</v>
      </c>
    </row>
    <row r="832" spans="1:17" x14ac:dyDescent="0.35">
      <c r="A832">
        <v>2034</v>
      </c>
      <c r="B832" t="s">
        <v>7</v>
      </c>
      <c r="C832" t="s">
        <v>9</v>
      </c>
      <c r="D832" t="s">
        <v>16</v>
      </c>
      <c r="E832" t="s">
        <v>483</v>
      </c>
      <c r="F832" t="s">
        <v>80</v>
      </c>
      <c r="G832" s="31">
        <v>1047087.032620052</v>
      </c>
      <c r="H832" s="31">
        <v>0</v>
      </c>
      <c r="I832" s="31">
        <v>0</v>
      </c>
      <c r="J832" s="32">
        <f t="shared" si="64"/>
        <v>0</v>
      </c>
      <c r="K832" s="31">
        <v>1261550.6417109061</v>
      </c>
      <c r="L832" s="31">
        <v>1047087.032620052</v>
      </c>
      <c r="M832" s="32">
        <f t="shared" si="65"/>
        <v>1047087.032620052</v>
      </c>
      <c r="N832" s="33">
        <f>Result_notebook!L832</f>
        <v>0.83474576271186396</v>
      </c>
      <c r="O832" s="31">
        <f t="shared" si="66"/>
        <v>0</v>
      </c>
      <c r="P832" s="31">
        <f t="shared" si="69"/>
        <v>0</v>
      </c>
      <c r="Q832">
        <f t="shared" si="68"/>
        <v>0</v>
      </c>
    </row>
    <row r="833" spans="1:17" x14ac:dyDescent="0.35">
      <c r="A833">
        <v>2034</v>
      </c>
      <c r="B833" t="s">
        <v>7</v>
      </c>
      <c r="C833" t="s">
        <v>9</v>
      </c>
      <c r="D833" t="s">
        <v>16</v>
      </c>
      <c r="E833" t="s">
        <v>483</v>
      </c>
      <c r="F833" t="s">
        <v>81</v>
      </c>
      <c r="G833" s="31">
        <v>1047087.032620052</v>
      </c>
      <c r="H833" s="31">
        <v>265778</v>
      </c>
      <c r="I833" s="31">
        <v>139695.22574164809</v>
      </c>
      <c r="J833" s="32">
        <f t="shared" si="64"/>
        <v>82161.83358038569</v>
      </c>
      <c r="K833" s="31">
        <v>995772.64171090606</v>
      </c>
      <c r="L833" s="31">
        <v>907391.80687840388</v>
      </c>
      <c r="M833" s="32">
        <f t="shared" si="65"/>
        <v>825229.97329801822</v>
      </c>
      <c r="N833" s="33">
        <f>Result_notebook!L833</f>
        <v>0.83474576271186396</v>
      </c>
      <c r="O833" s="31">
        <f t="shared" si="66"/>
        <v>0</v>
      </c>
      <c r="P833" s="31">
        <f t="shared" si="69"/>
        <v>0</v>
      </c>
      <c r="Q833">
        <f t="shared" si="68"/>
        <v>82161.83358038569</v>
      </c>
    </row>
    <row r="834" spans="1:17" x14ac:dyDescent="0.35">
      <c r="A834">
        <v>2034</v>
      </c>
      <c r="B834" t="s">
        <v>7</v>
      </c>
      <c r="C834" t="s">
        <v>9</v>
      </c>
      <c r="D834" t="s">
        <v>18</v>
      </c>
      <c r="E834" t="s">
        <v>483</v>
      </c>
      <c r="F834" t="s">
        <v>85</v>
      </c>
      <c r="G834" s="31">
        <v>1047087.032620052</v>
      </c>
      <c r="H834" s="31">
        <v>837829.44631390914</v>
      </c>
      <c r="I834" s="31">
        <v>440370.43561100482</v>
      </c>
      <c r="J834" s="32">
        <f t="shared" si="64"/>
        <v>259004.1445747579</v>
      </c>
      <c r="K834" s="31">
        <v>423721.19539699692</v>
      </c>
      <c r="L834" s="31">
        <v>606716.59700904717</v>
      </c>
      <c r="M834" s="32">
        <f t="shared" si="65"/>
        <v>347712.45243428927</v>
      </c>
      <c r="N834" s="33">
        <f>Result_notebook!L834</f>
        <v>0.83474576271186396</v>
      </c>
      <c r="O834" s="31">
        <f t="shared" si="66"/>
        <v>0</v>
      </c>
      <c r="P834" s="31">
        <f t="shared" si="69"/>
        <v>0</v>
      </c>
      <c r="Q834">
        <f t="shared" si="68"/>
        <v>259004.1445747579</v>
      </c>
    </row>
    <row r="835" spans="1:17" x14ac:dyDescent="0.35">
      <c r="A835">
        <v>2034</v>
      </c>
      <c r="B835" t="s">
        <v>7</v>
      </c>
      <c r="C835" t="s">
        <v>9</v>
      </c>
      <c r="D835" t="s">
        <v>18</v>
      </c>
      <c r="E835" t="s">
        <v>483</v>
      </c>
      <c r="F835" t="s">
        <v>86</v>
      </c>
      <c r="G835" s="31">
        <v>1047087.032620052</v>
      </c>
      <c r="H835" s="31">
        <v>837829.44631390914</v>
      </c>
      <c r="I835" s="31">
        <v>440370.43561100482</v>
      </c>
      <c r="J835" s="32">
        <f t="shared" ref="J835:J898" si="70">H835*N835-I835</f>
        <v>259004.1445747579</v>
      </c>
      <c r="K835" s="31">
        <v>423721.19539699692</v>
      </c>
      <c r="L835" s="31">
        <v>606716.59700904717</v>
      </c>
      <c r="M835" s="32">
        <f t="shared" ref="M835:M898" si="71">MAX(L835-J835,0)</f>
        <v>347712.45243428927</v>
      </c>
      <c r="N835" s="33">
        <f>Result_notebook!L835</f>
        <v>0.83474576271186396</v>
      </c>
      <c r="O835" s="31">
        <f t="shared" ref="O835:O898" si="72">G835-(I835+J835+M835)</f>
        <v>0</v>
      </c>
      <c r="P835" s="31">
        <f t="shared" ref="P835:P898" si="73">MAX(I835-G835,0)</f>
        <v>0</v>
      </c>
      <c r="Q835">
        <f t="shared" ref="Q835:Q898" si="74">(H835*N835)-I835</f>
        <v>259004.1445747579</v>
      </c>
    </row>
    <row r="836" spans="1:17" x14ac:dyDescent="0.35">
      <c r="A836">
        <v>2034</v>
      </c>
      <c r="B836" t="s">
        <v>7</v>
      </c>
      <c r="C836" t="s">
        <v>9</v>
      </c>
      <c r="D836" t="s">
        <v>18</v>
      </c>
      <c r="E836" t="s">
        <v>490</v>
      </c>
      <c r="F836" t="s">
        <v>82</v>
      </c>
      <c r="G836" s="31">
        <v>1047087.032620052</v>
      </c>
      <c r="H836" s="31">
        <v>837829.44631390914</v>
      </c>
      <c r="I836" s="31">
        <v>699374.58018576319</v>
      </c>
      <c r="J836" s="32">
        <f t="shared" si="70"/>
        <v>0</v>
      </c>
      <c r="K836" s="31">
        <v>423721.19539699692</v>
      </c>
      <c r="L836" s="31">
        <v>347712.4524342888</v>
      </c>
      <c r="M836" s="32">
        <f t="shared" si="71"/>
        <v>347712.4524342888</v>
      </c>
      <c r="N836" s="33">
        <f>Result_notebook!L836</f>
        <v>0.83474576271186396</v>
      </c>
      <c r="O836" s="31">
        <f t="shared" si="72"/>
        <v>0</v>
      </c>
      <c r="P836" s="31">
        <f t="shared" si="73"/>
        <v>0</v>
      </c>
      <c r="Q836">
        <f t="shared" si="74"/>
        <v>0</v>
      </c>
    </row>
    <row r="837" spans="1:17" x14ac:dyDescent="0.35">
      <c r="A837">
        <v>2034</v>
      </c>
      <c r="B837" t="s">
        <v>7</v>
      </c>
      <c r="C837" t="s">
        <v>10</v>
      </c>
      <c r="D837" t="s">
        <v>16</v>
      </c>
      <c r="E837" t="s">
        <v>483</v>
      </c>
      <c r="F837" t="s">
        <v>80</v>
      </c>
      <c r="G837" s="31">
        <v>1272164.6516711509</v>
      </c>
      <c r="H837" s="31">
        <v>0</v>
      </c>
      <c r="I837" s="31">
        <v>0</v>
      </c>
      <c r="J837" s="32">
        <f t="shared" si="70"/>
        <v>0</v>
      </c>
      <c r="K837" s="31">
        <v>1532728.495989338</v>
      </c>
      <c r="L837" s="31">
        <v>1272164.6516711509</v>
      </c>
      <c r="M837" s="32">
        <f t="shared" si="71"/>
        <v>1272164.6516711509</v>
      </c>
      <c r="N837" s="33">
        <f>Result_notebook!L837</f>
        <v>0.83474576271186396</v>
      </c>
      <c r="O837" s="31">
        <f t="shared" si="72"/>
        <v>0</v>
      </c>
      <c r="P837" s="31">
        <f t="shared" si="73"/>
        <v>0</v>
      </c>
      <c r="Q837">
        <f t="shared" si="74"/>
        <v>0</v>
      </c>
    </row>
    <row r="838" spans="1:17" x14ac:dyDescent="0.35">
      <c r="A838">
        <v>2034</v>
      </c>
      <c r="B838" t="s">
        <v>7</v>
      </c>
      <c r="C838" t="s">
        <v>10</v>
      </c>
      <c r="D838" t="s">
        <v>16</v>
      </c>
      <c r="E838" t="s">
        <v>483</v>
      </c>
      <c r="F838" t="s">
        <v>81</v>
      </c>
      <c r="G838" s="31">
        <v>1272164.6516711509</v>
      </c>
      <c r="H838" s="31">
        <v>265778</v>
      </c>
      <c r="I838" s="31">
        <v>139695.22574164809</v>
      </c>
      <c r="J838" s="32">
        <f t="shared" si="70"/>
        <v>82161.83358038569</v>
      </c>
      <c r="K838" s="31">
        <v>1266950.495989338</v>
      </c>
      <c r="L838" s="31">
        <v>1132469.425929503</v>
      </c>
      <c r="M838" s="32">
        <f t="shared" si="71"/>
        <v>1050307.5923491174</v>
      </c>
      <c r="N838" s="33">
        <f>Result_notebook!L838</f>
        <v>0.83474576271186396</v>
      </c>
      <c r="O838" s="31">
        <f t="shared" si="72"/>
        <v>0</v>
      </c>
      <c r="P838" s="31">
        <f t="shared" si="73"/>
        <v>0</v>
      </c>
      <c r="Q838">
        <f t="shared" si="74"/>
        <v>82161.83358038569</v>
      </c>
    </row>
    <row r="839" spans="1:17" x14ac:dyDescent="0.35">
      <c r="A839">
        <v>2034</v>
      </c>
      <c r="B839" t="s">
        <v>7</v>
      </c>
      <c r="C839" t="s">
        <v>10</v>
      </c>
      <c r="D839" t="s">
        <v>18</v>
      </c>
      <c r="E839" t="s">
        <v>483</v>
      </c>
      <c r="F839" t="s">
        <v>85</v>
      </c>
      <c r="G839" s="31">
        <v>1272164.6516711509</v>
      </c>
      <c r="H839" s="31">
        <v>837829.44631390914</v>
      </c>
      <c r="I839" s="31">
        <v>440370.43561100482</v>
      </c>
      <c r="J839" s="32">
        <f t="shared" si="70"/>
        <v>259004.1445747579</v>
      </c>
      <c r="K839" s="31">
        <v>694899.04967542936</v>
      </c>
      <c r="L839" s="31">
        <v>831794.21606014622</v>
      </c>
      <c r="M839" s="32">
        <f t="shared" si="71"/>
        <v>572790.07148538833</v>
      </c>
      <c r="N839" s="33">
        <f>Result_notebook!L839</f>
        <v>0.83474576271186396</v>
      </c>
      <c r="O839" s="31">
        <f t="shared" si="72"/>
        <v>0</v>
      </c>
      <c r="P839" s="31">
        <f t="shared" si="73"/>
        <v>0</v>
      </c>
      <c r="Q839">
        <f t="shared" si="74"/>
        <v>259004.1445747579</v>
      </c>
    </row>
    <row r="840" spans="1:17" x14ac:dyDescent="0.35">
      <c r="A840">
        <v>2034</v>
      </c>
      <c r="B840" t="s">
        <v>7</v>
      </c>
      <c r="C840" t="s">
        <v>10</v>
      </c>
      <c r="D840" t="s">
        <v>18</v>
      </c>
      <c r="E840" t="s">
        <v>483</v>
      </c>
      <c r="F840" t="s">
        <v>86</v>
      </c>
      <c r="G840" s="31">
        <v>1272164.6516711509</v>
      </c>
      <c r="H840" s="31">
        <v>837829.44631390914</v>
      </c>
      <c r="I840" s="31">
        <v>440370.43561100482</v>
      </c>
      <c r="J840" s="32">
        <f t="shared" si="70"/>
        <v>259004.1445747579</v>
      </c>
      <c r="K840" s="31">
        <v>694899.04967542936</v>
      </c>
      <c r="L840" s="31">
        <v>831794.21606014622</v>
      </c>
      <c r="M840" s="32">
        <f t="shared" si="71"/>
        <v>572790.07148538833</v>
      </c>
      <c r="N840" s="33">
        <f>Result_notebook!L840</f>
        <v>0.83474576271186396</v>
      </c>
      <c r="O840" s="31">
        <f t="shared" si="72"/>
        <v>0</v>
      </c>
      <c r="P840" s="31">
        <f t="shared" si="73"/>
        <v>0</v>
      </c>
      <c r="Q840">
        <f t="shared" si="74"/>
        <v>259004.1445747579</v>
      </c>
    </row>
    <row r="841" spans="1:17" x14ac:dyDescent="0.35">
      <c r="A841">
        <v>2034</v>
      </c>
      <c r="B841" t="s">
        <v>7</v>
      </c>
      <c r="C841" t="s">
        <v>10</v>
      </c>
      <c r="D841" t="s">
        <v>18</v>
      </c>
      <c r="E841" t="s">
        <v>490</v>
      </c>
      <c r="F841" t="s">
        <v>82</v>
      </c>
      <c r="G841" s="31">
        <v>1272164.6516711509</v>
      </c>
      <c r="H841" s="31">
        <v>837829.44631390914</v>
      </c>
      <c r="I841" s="31">
        <v>699374.58018576319</v>
      </c>
      <c r="J841" s="32">
        <f t="shared" si="70"/>
        <v>0</v>
      </c>
      <c r="K841" s="31">
        <v>694899.04967542936</v>
      </c>
      <c r="L841" s="31">
        <v>572790.07148538774</v>
      </c>
      <c r="M841" s="32">
        <f t="shared" si="71"/>
        <v>572790.07148538774</v>
      </c>
      <c r="N841" s="33">
        <f>Result_notebook!L841</f>
        <v>0.83474576271186396</v>
      </c>
      <c r="O841" s="31">
        <f t="shared" si="72"/>
        <v>0</v>
      </c>
      <c r="P841" s="31">
        <f t="shared" si="73"/>
        <v>0</v>
      </c>
      <c r="Q841">
        <f t="shared" si="74"/>
        <v>0</v>
      </c>
    </row>
    <row r="842" spans="1:17" x14ac:dyDescent="0.35">
      <c r="A842">
        <v>2034</v>
      </c>
      <c r="B842" t="s">
        <v>11</v>
      </c>
      <c r="C842" t="s">
        <v>4</v>
      </c>
      <c r="D842" t="s">
        <v>16</v>
      </c>
      <c r="E842" t="s">
        <v>483</v>
      </c>
      <c r="F842" t="s">
        <v>80</v>
      </c>
      <c r="G842" s="31">
        <v>4411.7741331532143</v>
      </c>
      <c r="H842" s="31">
        <v>0</v>
      </c>
      <c r="I842" s="31">
        <v>0</v>
      </c>
      <c r="J842" s="32">
        <f t="shared" si="70"/>
        <v>0</v>
      </c>
      <c r="K842" s="31">
        <v>7352.9568885886911</v>
      </c>
      <c r="L842" s="31">
        <v>4411.7741331532143</v>
      </c>
      <c r="M842" s="32">
        <f t="shared" si="71"/>
        <v>4411.7741331532143</v>
      </c>
      <c r="N842" s="33">
        <f>Result_notebook!L842</f>
        <v>1</v>
      </c>
      <c r="O842" s="31">
        <f t="shared" si="72"/>
        <v>0</v>
      </c>
      <c r="P842" s="31">
        <f t="shared" si="73"/>
        <v>0</v>
      </c>
      <c r="Q842">
        <f t="shared" si="74"/>
        <v>0</v>
      </c>
    </row>
    <row r="843" spans="1:17" x14ac:dyDescent="0.35">
      <c r="A843">
        <v>2034</v>
      </c>
      <c r="B843" t="s">
        <v>11</v>
      </c>
      <c r="C843" t="s">
        <v>4</v>
      </c>
      <c r="D843" t="s">
        <v>16</v>
      </c>
      <c r="E843" t="s">
        <v>483</v>
      </c>
      <c r="F843" t="s">
        <v>81</v>
      </c>
      <c r="G843" s="31">
        <v>4411.7741331532143</v>
      </c>
      <c r="H843" s="31">
        <v>0</v>
      </c>
      <c r="I843" s="31">
        <v>0</v>
      </c>
      <c r="J843" s="32">
        <f t="shared" si="70"/>
        <v>0</v>
      </c>
      <c r="K843" s="31">
        <v>7352.9568885886911</v>
      </c>
      <c r="L843" s="31">
        <v>4411.7741331532143</v>
      </c>
      <c r="M843" s="32">
        <f t="shared" si="71"/>
        <v>4411.7741331532143</v>
      </c>
      <c r="N843" s="33">
        <f>Result_notebook!L843</f>
        <v>1</v>
      </c>
      <c r="O843" s="31">
        <f t="shared" si="72"/>
        <v>0</v>
      </c>
      <c r="P843" s="31">
        <f t="shared" si="73"/>
        <v>0</v>
      </c>
      <c r="Q843">
        <f t="shared" si="74"/>
        <v>0</v>
      </c>
    </row>
    <row r="844" spans="1:17" x14ac:dyDescent="0.35">
      <c r="A844">
        <v>2034</v>
      </c>
      <c r="B844" t="s">
        <v>11</v>
      </c>
      <c r="C844" t="s">
        <v>4</v>
      </c>
      <c r="D844" t="s">
        <v>18</v>
      </c>
      <c r="E844" t="s">
        <v>483</v>
      </c>
      <c r="F844" t="s">
        <v>85</v>
      </c>
      <c r="G844" s="31">
        <v>4411.7741331532143</v>
      </c>
      <c r="H844" s="31">
        <v>57.127421790883162</v>
      </c>
      <c r="I844" s="31">
        <v>34.193270634870977</v>
      </c>
      <c r="J844" s="32">
        <f t="shared" si="70"/>
        <v>22.934151156012184</v>
      </c>
      <c r="K844" s="31">
        <v>7295.829466797808</v>
      </c>
      <c r="L844" s="31">
        <v>4377.5808625183436</v>
      </c>
      <c r="M844" s="32">
        <f t="shared" si="71"/>
        <v>4354.6467113623312</v>
      </c>
      <c r="N844" s="33">
        <f>Result_notebook!L844</f>
        <v>1</v>
      </c>
      <c r="O844" s="31">
        <f t="shared" si="72"/>
        <v>0</v>
      </c>
      <c r="P844" s="31">
        <f t="shared" si="73"/>
        <v>0</v>
      </c>
      <c r="Q844">
        <f t="shared" si="74"/>
        <v>22.934151156012184</v>
      </c>
    </row>
    <row r="845" spans="1:17" x14ac:dyDescent="0.35">
      <c r="A845">
        <v>2034</v>
      </c>
      <c r="B845" t="s">
        <v>11</v>
      </c>
      <c r="C845" t="s">
        <v>4</v>
      </c>
      <c r="D845" t="s">
        <v>18</v>
      </c>
      <c r="E845" t="s">
        <v>483</v>
      </c>
      <c r="F845" t="s">
        <v>86</v>
      </c>
      <c r="G845" s="31">
        <v>4411.7741331532143</v>
      </c>
      <c r="H845" s="31">
        <v>57.127421790883162</v>
      </c>
      <c r="I845" s="31">
        <v>34.193270634870977</v>
      </c>
      <c r="J845" s="32">
        <f t="shared" si="70"/>
        <v>22.934151156012184</v>
      </c>
      <c r="K845" s="31">
        <v>7295.829466797808</v>
      </c>
      <c r="L845" s="31">
        <v>4377.5808625183436</v>
      </c>
      <c r="M845" s="32">
        <f t="shared" si="71"/>
        <v>4354.6467113623312</v>
      </c>
      <c r="N845" s="33">
        <f>Result_notebook!L845</f>
        <v>1</v>
      </c>
      <c r="O845" s="31">
        <f t="shared" si="72"/>
        <v>0</v>
      </c>
      <c r="P845" s="31">
        <f t="shared" si="73"/>
        <v>0</v>
      </c>
      <c r="Q845">
        <f t="shared" si="74"/>
        <v>22.934151156012184</v>
      </c>
    </row>
    <row r="846" spans="1:17" x14ac:dyDescent="0.35">
      <c r="A846">
        <v>2034</v>
      </c>
      <c r="B846" t="s">
        <v>11</v>
      </c>
      <c r="C846" t="s">
        <v>4</v>
      </c>
      <c r="D846" t="s">
        <v>18</v>
      </c>
      <c r="E846" t="s">
        <v>490</v>
      </c>
      <c r="F846" t="s">
        <v>82</v>
      </c>
      <c r="G846" s="31">
        <v>4411.7741331532143</v>
      </c>
      <c r="H846" s="31">
        <v>57.127421790883162</v>
      </c>
      <c r="I846" s="31">
        <v>34.193270634870977</v>
      </c>
      <c r="J846" s="32">
        <f t="shared" si="70"/>
        <v>22.934151156012184</v>
      </c>
      <c r="K846" s="31">
        <v>7295.829466797808</v>
      </c>
      <c r="L846" s="31">
        <v>4377.5808625183436</v>
      </c>
      <c r="M846" s="32">
        <f t="shared" si="71"/>
        <v>4354.6467113623312</v>
      </c>
      <c r="N846" s="33">
        <f>Result_notebook!L846</f>
        <v>1</v>
      </c>
      <c r="O846" s="31">
        <f t="shared" si="72"/>
        <v>0</v>
      </c>
      <c r="P846" s="31">
        <f t="shared" si="73"/>
        <v>0</v>
      </c>
      <c r="Q846">
        <f t="shared" si="74"/>
        <v>22.934151156012184</v>
      </c>
    </row>
    <row r="847" spans="1:17" x14ac:dyDescent="0.35">
      <c r="A847">
        <v>2034</v>
      </c>
      <c r="B847" t="s">
        <v>11</v>
      </c>
      <c r="C847" t="s">
        <v>9</v>
      </c>
      <c r="D847" t="s">
        <v>16</v>
      </c>
      <c r="E847" t="s">
        <v>483</v>
      </c>
      <c r="F847" t="s">
        <v>80</v>
      </c>
      <c r="G847" s="31">
        <v>1428.0497040707919</v>
      </c>
      <c r="H847" s="31">
        <v>0</v>
      </c>
      <c r="I847" s="31">
        <v>0</v>
      </c>
      <c r="J847" s="32">
        <f t="shared" si="70"/>
        <v>0</v>
      </c>
      <c r="K847" s="31">
        <v>2380.082840117987</v>
      </c>
      <c r="L847" s="31">
        <v>1428.0497040707919</v>
      </c>
      <c r="M847" s="32">
        <f t="shared" si="71"/>
        <v>1428.0497040707919</v>
      </c>
      <c r="N847" s="33">
        <f>Result_notebook!L847</f>
        <v>1</v>
      </c>
      <c r="O847" s="31">
        <f t="shared" si="72"/>
        <v>0</v>
      </c>
      <c r="P847" s="31">
        <f t="shared" si="73"/>
        <v>0</v>
      </c>
      <c r="Q847">
        <f t="shared" si="74"/>
        <v>0</v>
      </c>
    </row>
    <row r="848" spans="1:17" x14ac:dyDescent="0.35">
      <c r="A848">
        <v>2034</v>
      </c>
      <c r="B848" t="s">
        <v>11</v>
      </c>
      <c r="C848" t="s">
        <v>9</v>
      </c>
      <c r="D848" t="s">
        <v>16</v>
      </c>
      <c r="E848" t="s">
        <v>483</v>
      </c>
      <c r="F848" t="s">
        <v>81</v>
      </c>
      <c r="G848" s="31">
        <v>1428.0497040707919</v>
      </c>
      <c r="H848" s="31">
        <v>0</v>
      </c>
      <c r="I848" s="31">
        <v>0</v>
      </c>
      <c r="J848" s="32">
        <f t="shared" si="70"/>
        <v>0</v>
      </c>
      <c r="K848" s="31">
        <v>2380.082840117987</v>
      </c>
      <c r="L848" s="31">
        <v>1428.0497040707919</v>
      </c>
      <c r="M848" s="32">
        <f t="shared" si="71"/>
        <v>1428.0497040707919</v>
      </c>
      <c r="N848" s="33">
        <f>Result_notebook!L848</f>
        <v>1</v>
      </c>
      <c r="O848" s="31">
        <f t="shared" si="72"/>
        <v>0</v>
      </c>
      <c r="P848" s="31">
        <f t="shared" si="73"/>
        <v>0</v>
      </c>
      <c r="Q848">
        <f t="shared" si="74"/>
        <v>0</v>
      </c>
    </row>
    <row r="849" spans="1:17" x14ac:dyDescent="0.35">
      <c r="A849">
        <v>2034</v>
      </c>
      <c r="B849" t="s">
        <v>11</v>
      </c>
      <c r="C849" t="s">
        <v>9</v>
      </c>
      <c r="D849" t="s">
        <v>18</v>
      </c>
      <c r="E849" t="s">
        <v>483</v>
      </c>
      <c r="F849" t="s">
        <v>85</v>
      </c>
      <c r="G849" s="31">
        <v>1428.0497040707919</v>
      </c>
      <c r="H849" s="31">
        <v>57.127421790883162</v>
      </c>
      <c r="I849" s="31">
        <v>34.193270634870977</v>
      </c>
      <c r="J849" s="32">
        <f t="shared" si="70"/>
        <v>22.934151156012184</v>
      </c>
      <c r="K849" s="31">
        <v>2322.955418327103</v>
      </c>
      <c r="L849" s="31">
        <v>1393.856433435921</v>
      </c>
      <c r="M849" s="32">
        <f t="shared" si="71"/>
        <v>1370.9222822799088</v>
      </c>
      <c r="N849" s="33">
        <f>Result_notebook!L849</f>
        <v>1</v>
      </c>
      <c r="O849" s="31">
        <f t="shared" si="72"/>
        <v>0</v>
      </c>
      <c r="P849" s="31">
        <f t="shared" si="73"/>
        <v>0</v>
      </c>
      <c r="Q849">
        <f t="shared" si="74"/>
        <v>22.934151156012184</v>
      </c>
    </row>
    <row r="850" spans="1:17" x14ac:dyDescent="0.35">
      <c r="A850">
        <v>2034</v>
      </c>
      <c r="B850" t="s">
        <v>11</v>
      </c>
      <c r="C850" t="s">
        <v>9</v>
      </c>
      <c r="D850" t="s">
        <v>18</v>
      </c>
      <c r="E850" t="s">
        <v>483</v>
      </c>
      <c r="F850" t="s">
        <v>86</v>
      </c>
      <c r="G850" s="31">
        <v>1428.0497040707919</v>
      </c>
      <c r="H850" s="31">
        <v>57.127421790883162</v>
      </c>
      <c r="I850" s="31">
        <v>34.193270634870977</v>
      </c>
      <c r="J850" s="32">
        <f t="shared" si="70"/>
        <v>22.934151156012184</v>
      </c>
      <c r="K850" s="31">
        <v>2322.955418327103</v>
      </c>
      <c r="L850" s="31">
        <v>1393.856433435921</v>
      </c>
      <c r="M850" s="32">
        <f t="shared" si="71"/>
        <v>1370.9222822799088</v>
      </c>
      <c r="N850" s="33">
        <f>Result_notebook!L850</f>
        <v>1</v>
      </c>
      <c r="O850" s="31">
        <f t="shared" si="72"/>
        <v>0</v>
      </c>
      <c r="P850" s="31">
        <f t="shared" si="73"/>
        <v>0</v>
      </c>
      <c r="Q850">
        <f t="shared" si="74"/>
        <v>22.934151156012184</v>
      </c>
    </row>
    <row r="851" spans="1:17" x14ac:dyDescent="0.35">
      <c r="A851">
        <v>2034</v>
      </c>
      <c r="B851" t="s">
        <v>11</v>
      </c>
      <c r="C851" t="s">
        <v>9</v>
      </c>
      <c r="D851" t="s">
        <v>18</v>
      </c>
      <c r="E851" t="s">
        <v>490</v>
      </c>
      <c r="F851" t="s">
        <v>82</v>
      </c>
      <c r="G851" s="31">
        <v>1428.0497040707919</v>
      </c>
      <c r="H851" s="31">
        <v>57.127421790883162</v>
      </c>
      <c r="I851" s="31">
        <v>34.193270634870977</v>
      </c>
      <c r="J851" s="32">
        <f t="shared" si="70"/>
        <v>22.934151156012184</v>
      </c>
      <c r="K851" s="31">
        <v>2322.955418327103</v>
      </c>
      <c r="L851" s="31">
        <v>1393.856433435921</v>
      </c>
      <c r="M851" s="32">
        <f t="shared" si="71"/>
        <v>1370.9222822799088</v>
      </c>
      <c r="N851" s="33">
        <f>Result_notebook!L851</f>
        <v>1</v>
      </c>
      <c r="O851" s="31">
        <f t="shared" si="72"/>
        <v>0</v>
      </c>
      <c r="P851" s="31">
        <f t="shared" si="73"/>
        <v>0</v>
      </c>
      <c r="Q851">
        <f t="shared" si="74"/>
        <v>22.934151156012184</v>
      </c>
    </row>
    <row r="852" spans="1:17" x14ac:dyDescent="0.35">
      <c r="A852">
        <v>2034</v>
      </c>
      <c r="B852" t="s">
        <v>11</v>
      </c>
      <c r="C852" t="s">
        <v>10</v>
      </c>
      <c r="D852" t="s">
        <v>16</v>
      </c>
      <c r="E852" t="s">
        <v>483</v>
      </c>
      <c r="F852" t="s">
        <v>80</v>
      </c>
      <c r="G852" s="31">
        <v>4227.3945281288607</v>
      </c>
      <c r="H852" s="31">
        <v>0</v>
      </c>
      <c r="I852" s="31">
        <v>0</v>
      </c>
      <c r="J852" s="32">
        <f t="shared" si="70"/>
        <v>0</v>
      </c>
      <c r="K852" s="31">
        <v>7045.6575468814344</v>
      </c>
      <c r="L852" s="31">
        <v>4227.3945281288607</v>
      </c>
      <c r="M852" s="32">
        <f t="shared" si="71"/>
        <v>4227.3945281288607</v>
      </c>
      <c r="N852" s="33">
        <f>Result_notebook!L852</f>
        <v>1</v>
      </c>
      <c r="O852" s="31">
        <f t="shared" si="72"/>
        <v>0</v>
      </c>
      <c r="P852" s="31">
        <f t="shared" si="73"/>
        <v>0</v>
      </c>
      <c r="Q852">
        <f t="shared" si="74"/>
        <v>0</v>
      </c>
    </row>
    <row r="853" spans="1:17" x14ac:dyDescent="0.35">
      <c r="A853">
        <v>2034</v>
      </c>
      <c r="B853" t="s">
        <v>11</v>
      </c>
      <c r="C853" t="s">
        <v>10</v>
      </c>
      <c r="D853" t="s">
        <v>16</v>
      </c>
      <c r="E853" t="s">
        <v>483</v>
      </c>
      <c r="F853" t="s">
        <v>81</v>
      </c>
      <c r="G853" s="31">
        <v>4227.3945281288607</v>
      </c>
      <c r="H853" s="31">
        <v>0</v>
      </c>
      <c r="I853" s="31">
        <v>0</v>
      </c>
      <c r="J853" s="32">
        <f t="shared" si="70"/>
        <v>0</v>
      </c>
      <c r="K853" s="31">
        <v>7045.6575468814344</v>
      </c>
      <c r="L853" s="31">
        <v>4227.3945281288607</v>
      </c>
      <c r="M853" s="32">
        <f t="shared" si="71"/>
        <v>4227.3945281288607</v>
      </c>
      <c r="N853" s="33">
        <f>Result_notebook!L853</f>
        <v>1</v>
      </c>
      <c r="O853" s="31">
        <f t="shared" si="72"/>
        <v>0</v>
      </c>
      <c r="P853" s="31">
        <f t="shared" si="73"/>
        <v>0</v>
      </c>
      <c r="Q853">
        <f t="shared" si="74"/>
        <v>0</v>
      </c>
    </row>
    <row r="854" spans="1:17" x14ac:dyDescent="0.35">
      <c r="A854">
        <v>2034</v>
      </c>
      <c r="B854" t="s">
        <v>11</v>
      </c>
      <c r="C854" t="s">
        <v>10</v>
      </c>
      <c r="D854" t="s">
        <v>18</v>
      </c>
      <c r="E854" t="s">
        <v>483</v>
      </c>
      <c r="F854" t="s">
        <v>85</v>
      </c>
      <c r="G854" s="31">
        <v>4227.3945281288607</v>
      </c>
      <c r="H854" s="31">
        <v>57.127421790883162</v>
      </c>
      <c r="I854" s="31">
        <v>34.193270634870977</v>
      </c>
      <c r="J854" s="32">
        <f t="shared" si="70"/>
        <v>22.934151156012184</v>
      </c>
      <c r="K854" s="31">
        <v>6988.5301250905513</v>
      </c>
      <c r="L854" s="31">
        <v>4193.2012574939899</v>
      </c>
      <c r="M854" s="32">
        <f t="shared" si="71"/>
        <v>4170.2671063379776</v>
      </c>
      <c r="N854" s="33">
        <f>Result_notebook!L854</f>
        <v>1</v>
      </c>
      <c r="O854" s="31">
        <f t="shared" si="72"/>
        <v>0</v>
      </c>
      <c r="P854" s="31">
        <f t="shared" si="73"/>
        <v>0</v>
      </c>
      <c r="Q854">
        <f t="shared" si="74"/>
        <v>22.934151156012184</v>
      </c>
    </row>
    <row r="855" spans="1:17" x14ac:dyDescent="0.35">
      <c r="A855">
        <v>2034</v>
      </c>
      <c r="B855" t="s">
        <v>11</v>
      </c>
      <c r="C855" t="s">
        <v>10</v>
      </c>
      <c r="D855" t="s">
        <v>18</v>
      </c>
      <c r="E855" t="s">
        <v>483</v>
      </c>
      <c r="F855" t="s">
        <v>86</v>
      </c>
      <c r="G855" s="31">
        <v>4227.3945281288607</v>
      </c>
      <c r="H855" s="31">
        <v>57.127421790883162</v>
      </c>
      <c r="I855" s="31">
        <v>34.193270634870977</v>
      </c>
      <c r="J855" s="32">
        <f t="shared" si="70"/>
        <v>22.934151156012184</v>
      </c>
      <c r="K855" s="31">
        <v>6988.5301250905513</v>
      </c>
      <c r="L855" s="31">
        <v>4193.2012574939899</v>
      </c>
      <c r="M855" s="32">
        <f t="shared" si="71"/>
        <v>4170.2671063379776</v>
      </c>
      <c r="N855" s="33">
        <f>Result_notebook!L855</f>
        <v>1</v>
      </c>
      <c r="O855" s="31">
        <f t="shared" si="72"/>
        <v>0</v>
      </c>
      <c r="P855" s="31">
        <f t="shared" si="73"/>
        <v>0</v>
      </c>
      <c r="Q855">
        <f t="shared" si="74"/>
        <v>22.934151156012184</v>
      </c>
    </row>
    <row r="856" spans="1:17" x14ac:dyDescent="0.35">
      <c r="A856">
        <v>2034</v>
      </c>
      <c r="B856" t="s">
        <v>11</v>
      </c>
      <c r="C856" t="s">
        <v>10</v>
      </c>
      <c r="D856" t="s">
        <v>18</v>
      </c>
      <c r="E856" t="s">
        <v>490</v>
      </c>
      <c r="F856" t="s">
        <v>82</v>
      </c>
      <c r="G856" s="31">
        <v>4227.3945281288607</v>
      </c>
      <c r="H856" s="31">
        <v>57.127421790883162</v>
      </c>
      <c r="I856" s="31">
        <v>34.193270634870977</v>
      </c>
      <c r="J856" s="32">
        <f t="shared" si="70"/>
        <v>22.934151156012184</v>
      </c>
      <c r="K856" s="31">
        <v>6988.5301250905513</v>
      </c>
      <c r="L856" s="31">
        <v>4193.2012574939899</v>
      </c>
      <c r="M856" s="32">
        <f t="shared" si="71"/>
        <v>4170.2671063379776</v>
      </c>
      <c r="N856" s="33">
        <f>Result_notebook!L856</f>
        <v>1</v>
      </c>
      <c r="O856" s="31">
        <f t="shared" si="72"/>
        <v>0</v>
      </c>
      <c r="P856" s="31">
        <f t="shared" si="73"/>
        <v>0</v>
      </c>
      <c r="Q856">
        <f t="shared" si="74"/>
        <v>22.934151156012184</v>
      </c>
    </row>
    <row r="857" spans="1:17" x14ac:dyDescent="0.35">
      <c r="A857">
        <v>2034</v>
      </c>
      <c r="B857" t="s">
        <v>8</v>
      </c>
      <c r="C857" t="s">
        <v>4</v>
      </c>
      <c r="D857" t="s">
        <v>16</v>
      </c>
      <c r="E857" t="s">
        <v>483</v>
      </c>
      <c r="F857" t="s">
        <v>80</v>
      </c>
      <c r="G857" s="31">
        <v>138718.89695700069</v>
      </c>
      <c r="H857" s="31">
        <v>0</v>
      </c>
      <c r="I857" s="31">
        <v>0</v>
      </c>
      <c r="J857" s="32">
        <f t="shared" si="70"/>
        <v>0</v>
      </c>
      <c r="K857" s="31">
        <v>175593.54045189961</v>
      </c>
      <c r="L857" s="31">
        <v>138718.89695700069</v>
      </c>
      <c r="M857" s="32">
        <f t="shared" si="71"/>
        <v>138718.89695700069</v>
      </c>
      <c r="N857" s="33">
        <f>Result_notebook!L857</f>
        <v>0.69917047091553897</v>
      </c>
      <c r="O857" s="31">
        <f t="shared" si="72"/>
        <v>0</v>
      </c>
      <c r="P857" s="31">
        <f t="shared" si="73"/>
        <v>0</v>
      </c>
      <c r="Q857">
        <f t="shared" si="74"/>
        <v>0</v>
      </c>
    </row>
    <row r="858" spans="1:17" x14ac:dyDescent="0.35">
      <c r="A858">
        <v>2034</v>
      </c>
      <c r="B858" t="s">
        <v>8</v>
      </c>
      <c r="C858" t="s">
        <v>4</v>
      </c>
      <c r="D858" t="s">
        <v>16</v>
      </c>
      <c r="E858" t="s">
        <v>483</v>
      </c>
      <c r="F858" t="s">
        <v>81</v>
      </c>
      <c r="G858" s="31">
        <v>138718.89695700069</v>
      </c>
      <c r="H858" s="31">
        <v>118000</v>
      </c>
      <c r="I858" s="31">
        <v>66183.845060727675</v>
      </c>
      <c r="J858" s="32">
        <f t="shared" si="70"/>
        <v>16318.270507305919</v>
      </c>
      <c r="K858" s="31">
        <v>57593.540451899607</v>
      </c>
      <c r="L858" s="31">
        <v>72535.051896273013</v>
      </c>
      <c r="M858" s="32">
        <f t="shared" si="71"/>
        <v>56216.781388967094</v>
      </c>
      <c r="N858" s="33">
        <f>Result_notebook!L858</f>
        <v>0.69917047091553897</v>
      </c>
      <c r="O858" s="31">
        <f t="shared" si="72"/>
        <v>0</v>
      </c>
      <c r="P858" s="31">
        <f t="shared" si="73"/>
        <v>0</v>
      </c>
      <c r="Q858">
        <f t="shared" si="74"/>
        <v>16318.270507305919</v>
      </c>
    </row>
    <row r="859" spans="1:17" x14ac:dyDescent="0.35">
      <c r="A859">
        <v>2034</v>
      </c>
      <c r="B859" t="s">
        <v>8</v>
      </c>
      <c r="C859" t="s">
        <v>4</v>
      </c>
      <c r="D859" t="s">
        <v>18</v>
      </c>
      <c r="E859" t="s">
        <v>483</v>
      </c>
      <c r="F859" t="s">
        <v>85</v>
      </c>
      <c r="G859" s="31">
        <v>138718.89695700069</v>
      </c>
      <c r="H859" s="31">
        <v>215984.6873896351</v>
      </c>
      <c r="I859" s="31">
        <v>121141.5007261467</v>
      </c>
      <c r="J859" s="32">
        <f t="shared" si="70"/>
        <v>29868.614866609962</v>
      </c>
      <c r="K859" s="31">
        <v>0</v>
      </c>
      <c r="L859" s="31">
        <v>17577.396230853959</v>
      </c>
      <c r="M859" s="32">
        <f t="shared" si="71"/>
        <v>0</v>
      </c>
      <c r="N859" s="33">
        <f>Result_notebook!L859</f>
        <v>0.69917047091553897</v>
      </c>
      <c r="O859" s="31">
        <f t="shared" si="72"/>
        <v>-12291.218635755969</v>
      </c>
      <c r="P859" s="31">
        <f t="shared" si="73"/>
        <v>0</v>
      </c>
      <c r="Q859">
        <f t="shared" si="74"/>
        <v>29868.614866609962</v>
      </c>
    </row>
    <row r="860" spans="1:17" x14ac:dyDescent="0.35">
      <c r="A860">
        <v>2034</v>
      </c>
      <c r="B860" t="s">
        <v>8</v>
      </c>
      <c r="C860" t="s">
        <v>4</v>
      </c>
      <c r="D860" t="s">
        <v>18</v>
      </c>
      <c r="E860" t="s">
        <v>483</v>
      </c>
      <c r="F860" t="s">
        <v>86</v>
      </c>
      <c r="G860" s="31">
        <v>138718.89695700069</v>
      </c>
      <c r="H860" s="31">
        <v>215984.6873896351</v>
      </c>
      <c r="I860" s="31">
        <v>121141.5007261467</v>
      </c>
      <c r="J860" s="32">
        <f t="shared" si="70"/>
        <v>29868.614866609962</v>
      </c>
      <c r="K860" s="31">
        <v>0</v>
      </c>
      <c r="L860" s="31">
        <v>17577.396230853959</v>
      </c>
      <c r="M860" s="32">
        <f t="shared" si="71"/>
        <v>0</v>
      </c>
      <c r="N860" s="33">
        <f>Result_notebook!L860</f>
        <v>0.69917047091553897</v>
      </c>
      <c r="O860" s="31">
        <f t="shared" si="72"/>
        <v>-12291.218635755969</v>
      </c>
      <c r="P860" s="31">
        <f t="shared" si="73"/>
        <v>0</v>
      </c>
      <c r="Q860">
        <f t="shared" si="74"/>
        <v>29868.614866609962</v>
      </c>
    </row>
    <row r="861" spans="1:17" x14ac:dyDescent="0.35">
      <c r="A861">
        <v>2034</v>
      </c>
      <c r="B861" t="s">
        <v>8</v>
      </c>
      <c r="C861" t="s">
        <v>4</v>
      </c>
      <c r="D861" t="s">
        <v>18</v>
      </c>
      <c r="E861" t="s">
        <v>490</v>
      </c>
      <c r="F861" t="s">
        <v>82</v>
      </c>
      <c r="G861" s="31">
        <v>138718.89695700069</v>
      </c>
      <c r="H861" s="31">
        <v>215984.6873896351</v>
      </c>
      <c r="I861" s="31">
        <v>170099.81979837391</v>
      </c>
      <c r="J861" s="32">
        <f t="shared" si="70"/>
        <v>-19089.70420561725</v>
      </c>
      <c r="K861" s="31">
        <v>0</v>
      </c>
      <c r="L861" s="31">
        <v>0</v>
      </c>
      <c r="M861" s="32">
        <f t="shared" si="71"/>
        <v>19089.70420561725</v>
      </c>
      <c r="N861" s="33">
        <f>Result_notebook!L861</f>
        <v>0.69917047091553897</v>
      </c>
      <c r="O861" s="31">
        <f t="shared" si="72"/>
        <v>-31380.92284137322</v>
      </c>
      <c r="P861" s="31">
        <f t="shared" si="73"/>
        <v>31380.92284137322</v>
      </c>
      <c r="Q861">
        <f t="shared" si="74"/>
        <v>-19089.70420561725</v>
      </c>
    </row>
    <row r="862" spans="1:17" x14ac:dyDescent="0.35">
      <c r="A862">
        <v>2034</v>
      </c>
      <c r="B862" t="s">
        <v>8</v>
      </c>
      <c r="C862" t="s">
        <v>9</v>
      </c>
      <c r="D862" t="s">
        <v>16</v>
      </c>
      <c r="E862" t="s">
        <v>483</v>
      </c>
      <c r="F862" t="s">
        <v>80</v>
      </c>
      <c r="G862" s="31">
        <v>57371.149375960449</v>
      </c>
      <c r="H862" s="31">
        <v>0</v>
      </c>
      <c r="I862" s="31">
        <v>0</v>
      </c>
      <c r="J862" s="32">
        <f t="shared" si="70"/>
        <v>0</v>
      </c>
      <c r="K862" s="31">
        <v>72621.708070836015</v>
      </c>
      <c r="L862" s="31">
        <v>57371.149375960449</v>
      </c>
      <c r="M862" s="32">
        <f t="shared" si="71"/>
        <v>57371.149375960449</v>
      </c>
      <c r="N862" s="33">
        <f>Result_notebook!L862</f>
        <v>0.69917047091553897</v>
      </c>
      <c r="O862" s="31">
        <f t="shared" si="72"/>
        <v>0</v>
      </c>
      <c r="P862" s="31">
        <f t="shared" si="73"/>
        <v>0</v>
      </c>
      <c r="Q862">
        <f t="shared" si="74"/>
        <v>0</v>
      </c>
    </row>
    <row r="863" spans="1:17" x14ac:dyDescent="0.35">
      <c r="A863">
        <v>2034</v>
      </c>
      <c r="B863" t="s">
        <v>8</v>
      </c>
      <c r="C863" t="s">
        <v>9</v>
      </c>
      <c r="D863" t="s">
        <v>16</v>
      </c>
      <c r="E863" t="s">
        <v>483</v>
      </c>
      <c r="F863" t="s">
        <v>81</v>
      </c>
      <c r="G863" s="31">
        <v>57371.149375960449</v>
      </c>
      <c r="H863" s="31">
        <v>118000</v>
      </c>
      <c r="I863" s="31">
        <v>66183.845060727675</v>
      </c>
      <c r="J863" s="32">
        <f t="shared" si="70"/>
        <v>16318.270507305919</v>
      </c>
      <c r="K863" s="31">
        <v>0</v>
      </c>
      <c r="L863" s="31">
        <v>0</v>
      </c>
      <c r="M863" s="32">
        <f t="shared" si="71"/>
        <v>0</v>
      </c>
      <c r="N863" s="33">
        <f>Result_notebook!L863</f>
        <v>0.69917047091553897</v>
      </c>
      <c r="O863" s="31">
        <f t="shared" si="72"/>
        <v>-25130.966192073145</v>
      </c>
      <c r="P863" s="31">
        <f t="shared" si="73"/>
        <v>8812.6956847672263</v>
      </c>
      <c r="Q863">
        <f t="shared" si="74"/>
        <v>16318.270507305919</v>
      </c>
    </row>
    <row r="864" spans="1:17" x14ac:dyDescent="0.35">
      <c r="A864">
        <v>2034</v>
      </c>
      <c r="B864" t="s">
        <v>8</v>
      </c>
      <c r="C864" t="s">
        <v>9</v>
      </c>
      <c r="D864" t="s">
        <v>18</v>
      </c>
      <c r="E864" t="s">
        <v>483</v>
      </c>
      <c r="F864" t="s">
        <v>85</v>
      </c>
      <c r="G864" s="31">
        <v>57371.149375960449</v>
      </c>
      <c r="H864" s="31">
        <v>215984.6873896351</v>
      </c>
      <c r="I864" s="31">
        <v>121141.5007261467</v>
      </c>
      <c r="J864" s="32">
        <f t="shared" si="70"/>
        <v>29868.614866609962</v>
      </c>
      <c r="K864" s="31">
        <v>0</v>
      </c>
      <c r="L864" s="31">
        <v>0</v>
      </c>
      <c r="M864" s="32">
        <f t="shared" si="71"/>
        <v>0</v>
      </c>
      <c r="N864" s="33">
        <f>Result_notebook!L864</f>
        <v>0.69917047091553897</v>
      </c>
      <c r="O864" s="31">
        <f t="shared" si="72"/>
        <v>-93638.966216796209</v>
      </c>
      <c r="P864" s="31">
        <f t="shared" si="73"/>
        <v>63770.351350186247</v>
      </c>
      <c r="Q864">
        <f t="shared" si="74"/>
        <v>29868.614866609962</v>
      </c>
    </row>
    <row r="865" spans="1:17" x14ac:dyDescent="0.35">
      <c r="A865">
        <v>2034</v>
      </c>
      <c r="B865" t="s">
        <v>8</v>
      </c>
      <c r="C865" t="s">
        <v>9</v>
      </c>
      <c r="D865" t="s">
        <v>18</v>
      </c>
      <c r="E865" t="s">
        <v>483</v>
      </c>
      <c r="F865" t="s">
        <v>86</v>
      </c>
      <c r="G865" s="31">
        <v>57371.149375960449</v>
      </c>
      <c r="H865" s="31">
        <v>215984.6873896351</v>
      </c>
      <c r="I865" s="31">
        <v>121141.5007261467</v>
      </c>
      <c r="J865" s="32">
        <f t="shared" si="70"/>
        <v>29868.614866609962</v>
      </c>
      <c r="K865" s="31">
        <v>0</v>
      </c>
      <c r="L865" s="31">
        <v>0</v>
      </c>
      <c r="M865" s="32">
        <f t="shared" si="71"/>
        <v>0</v>
      </c>
      <c r="N865" s="33">
        <f>Result_notebook!L865</f>
        <v>0.69917047091553897</v>
      </c>
      <c r="O865" s="31">
        <f t="shared" si="72"/>
        <v>-93638.966216796209</v>
      </c>
      <c r="P865" s="31">
        <f t="shared" si="73"/>
        <v>63770.351350186247</v>
      </c>
      <c r="Q865">
        <f t="shared" si="74"/>
        <v>29868.614866609962</v>
      </c>
    </row>
    <row r="866" spans="1:17" x14ac:dyDescent="0.35">
      <c r="A866">
        <v>2034</v>
      </c>
      <c r="B866" t="s">
        <v>8</v>
      </c>
      <c r="C866" t="s">
        <v>9</v>
      </c>
      <c r="D866" t="s">
        <v>18</v>
      </c>
      <c r="E866" t="s">
        <v>490</v>
      </c>
      <c r="F866" t="s">
        <v>82</v>
      </c>
      <c r="G866" s="31">
        <v>57371.149375960449</v>
      </c>
      <c r="H866" s="31">
        <v>215984.6873896351</v>
      </c>
      <c r="I866" s="31">
        <v>170099.81979837391</v>
      </c>
      <c r="J866" s="32">
        <f t="shared" si="70"/>
        <v>-19089.70420561725</v>
      </c>
      <c r="K866" s="31">
        <v>0</v>
      </c>
      <c r="L866" s="31">
        <v>0</v>
      </c>
      <c r="M866" s="32">
        <f t="shared" si="71"/>
        <v>19089.70420561725</v>
      </c>
      <c r="N866" s="33">
        <f>Result_notebook!L866</f>
        <v>0.69917047091553897</v>
      </c>
      <c r="O866" s="31">
        <f t="shared" si="72"/>
        <v>-112728.67042241346</v>
      </c>
      <c r="P866" s="31">
        <f t="shared" si="73"/>
        <v>112728.67042241346</v>
      </c>
      <c r="Q866">
        <f t="shared" si="74"/>
        <v>-19089.70420561725</v>
      </c>
    </row>
    <row r="867" spans="1:17" x14ac:dyDescent="0.35">
      <c r="A867">
        <v>2034</v>
      </c>
      <c r="B867" t="s">
        <v>8</v>
      </c>
      <c r="C867" t="s">
        <v>10</v>
      </c>
      <c r="D867" t="s">
        <v>16</v>
      </c>
      <c r="E867" t="s">
        <v>483</v>
      </c>
      <c r="F867" t="s">
        <v>80</v>
      </c>
      <c r="G867" s="31">
        <v>133155.21418504749</v>
      </c>
      <c r="H867" s="31">
        <v>0</v>
      </c>
      <c r="I867" s="31">
        <v>0</v>
      </c>
      <c r="J867" s="32">
        <f t="shared" si="70"/>
        <v>0</v>
      </c>
      <c r="K867" s="31">
        <v>168550.90403170569</v>
      </c>
      <c r="L867" s="31">
        <v>133155.21418504749</v>
      </c>
      <c r="M867" s="32">
        <f t="shared" si="71"/>
        <v>133155.21418504749</v>
      </c>
      <c r="N867" s="33">
        <f>Result_notebook!L867</f>
        <v>0.69917047091553897</v>
      </c>
      <c r="O867" s="31">
        <f t="shared" si="72"/>
        <v>0</v>
      </c>
      <c r="P867" s="31">
        <f t="shared" si="73"/>
        <v>0</v>
      </c>
      <c r="Q867">
        <f t="shared" si="74"/>
        <v>0</v>
      </c>
    </row>
    <row r="868" spans="1:17" x14ac:dyDescent="0.35">
      <c r="A868">
        <v>2034</v>
      </c>
      <c r="B868" t="s">
        <v>8</v>
      </c>
      <c r="C868" t="s">
        <v>10</v>
      </c>
      <c r="D868" t="s">
        <v>16</v>
      </c>
      <c r="E868" t="s">
        <v>483</v>
      </c>
      <c r="F868" t="s">
        <v>81</v>
      </c>
      <c r="G868" s="31">
        <v>133155.21418504749</v>
      </c>
      <c r="H868" s="31">
        <v>118000</v>
      </c>
      <c r="I868" s="31">
        <v>66183.845060727675</v>
      </c>
      <c r="J868" s="32">
        <f t="shared" si="70"/>
        <v>16318.270507305919</v>
      </c>
      <c r="K868" s="31">
        <v>50550.904031705657</v>
      </c>
      <c r="L868" s="31">
        <v>66971.369124319812</v>
      </c>
      <c r="M868" s="32">
        <f t="shared" si="71"/>
        <v>50653.098617013893</v>
      </c>
      <c r="N868" s="33">
        <f>Result_notebook!L868</f>
        <v>0.69917047091553897</v>
      </c>
      <c r="O868" s="31">
        <f t="shared" si="72"/>
        <v>0</v>
      </c>
      <c r="P868" s="31">
        <f t="shared" si="73"/>
        <v>0</v>
      </c>
      <c r="Q868">
        <f t="shared" si="74"/>
        <v>16318.270507305919</v>
      </c>
    </row>
    <row r="869" spans="1:17" x14ac:dyDescent="0.35">
      <c r="A869">
        <v>2034</v>
      </c>
      <c r="B869" t="s">
        <v>8</v>
      </c>
      <c r="C869" t="s">
        <v>10</v>
      </c>
      <c r="D869" t="s">
        <v>18</v>
      </c>
      <c r="E869" t="s">
        <v>483</v>
      </c>
      <c r="F869" t="s">
        <v>85</v>
      </c>
      <c r="G869" s="31">
        <v>133155.21418504749</v>
      </c>
      <c r="H869" s="31">
        <v>215984.6873896351</v>
      </c>
      <c r="I869" s="31">
        <v>121141.5007261467</v>
      </c>
      <c r="J869" s="32">
        <f t="shared" si="70"/>
        <v>29868.614866609962</v>
      </c>
      <c r="K869" s="31">
        <v>0</v>
      </c>
      <c r="L869" s="31">
        <v>12013.71345890076</v>
      </c>
      <c r="M869" s="32">
        <f t="shared" si="71"/>
        <v>0</v>
      </c>
      <c r="N869" s="33">
        <f>Result_notebook!L869</f>
        <v>0.69917047091553897</v>
      </c>
      <c r="O869" s="31">
        <f t="shared" si="72"/>
        <v>-17854.901407709171</v>
      </c>
      <c r="P869" s="31">
        <f t="shared" si="73"/>
        <v>0</v>
      </c>
      <c r="Q869">
        <f t="shared" si="74"/>
        <v>29868.614866609962</v>
      </c>
    </row>
    <row r="870" spans="1:17" x14ac:dyDescent="0.35">
      <c r="A870">
        <v>2034</v>
      </c>
      <c r="B870" t="s">
        <v>8</v>
      </c>
      <c r="C870" t="s">
        <v>10</v>
      </c>
      <c r="D870" t="s">
        <v>18</v>
      </c>
      <c r="E870" t="s">
        <v>483</v>
      </c>
      <c r="F870" t="s">
        <v>86</v>
      </c>
      <c r="G870" s="31">
        <v>133155.21418504749</v>
      </c>
      <c r="H870" s="31">
        <v>215984.6873896351</v>
      </c>
      <c r="I870" s="31">
        <v>121141.5007261467</v>
      </c>
      <c r="J870" s="32">
        <f t="shared" si="70"/>
        <v>29868.614866609962</v>
      </c>
      <c r="K870" s="31">
        <v>0</v>
      </c>
      <c r="L870" s="31">
        <v>12013.71345890076</v>
      </c>
      <c r="M870" s="32">
        <f t="shared" si="71"/>
        <v>0</v>
      </c>
      <c r="N870" s="33">
        <f>Result_notebook!L870</f>
        <v>0.69917047091553897</v>
      </c>
      <c r="O870" s="31">
        <f t="shared" si="72"/>
        <v>-17854.901407709171</v>
      </c>
      <c r="P870" s="31">
        <f t="shared" si="73"/>
        <v>0</v>
      </c>
      <c r="Q870">
        <f t="shared" si="74"/>
        <v>29868.614866609962</v>
      </c>
    </row>
    <row r="871" spans="1:17" x14ac:dyDescent="0.35">
      <c r="A871">
        <v>2034</v>
      </c>
      <c r="B871" t="s">
        <v>8</v>
      </c>
      <c r="C871" t="s">
        <v>10</v>
      </c>
      <c r="D871" t="s">
        <v>18</v>
      </c>
      <c r="E871" t="s">
        <v>490</v>
      </c>
      <c r="F871" t="s">
        <v>82</v>
      </c>
      <c r="G871" s="31">
        <v>133155.21418504749</v>
      </c>
      <c r="H871" s="31">
        <v>215984.6873896351</v>
      </c>
      <c r="I871" s="31">
        <v>170099.81979837391</v>
      </c>
      <c r="J871" s="32">
        <f t="shared" si="70"/>
        <v>-19089.70420561725</v>
      </c>
      <c r="K871" s="31">
        <v>0</v>
      </c>
      <c r="L871" s="31">
        <v>0</v>
      </c>
      <c r="M871" s="32">
        <f t="shared" si="71"/>
        <v>19089.70420561725</v>
      </c>
      <c r="N871" s="33">
        <f>Result_notebook!L871</f>
        <v>0.69917047091553897</v>
      </c>
      <c r="O871" s="31">
        <f t="shared" si="72"/>
        <v>-36944.605613326421</v>
      </c>
      <c r="P871" s="31">
        <f t="shared" si="73"/>
        <v>36944.605613326421</v>
      </c>
      <c r="Q871">
        <f t="shared" si="74"/>
        <v>-19089.70420561725</v>
      </c>
    </row>
    <row r="872" spans="1:17" x14ac:dyDescent="0.35">
      <c r="A872">
        <v>2034</v>
      </c>
      <c r="B872" t="s">
        <v>13</v>
      </c>
      <c r="C872" t="s">
        <v>4</v>
      </c>
      <c r="D872" t="s">
        <v>16</v>
      </c>
      <c r="E872" t="s">
        <v>483</v>
      </c>
      <c r="F872" t="s">
        <v>80</v>
      </c>
      <c r="G872" s="31">
        <v>2934.8364470711022</v>
      </c>
      <c r="H872" s="31">
        <v>0</v>
      </c>
      <c r="I872" s="31">
        <v>0</v>
      </c>
      <c r="J872" s="32">
        <f t="shared" si="70"/>
        <v>0</v>
      </c>
      <c r="K872" s="31">
        <v>2934.8364470711022</v>
      </c>
      <c r="L872" s="31">
        <v>2934.8364470711022</v>
      </c>
      <c r="M872" s="32">
        <f t="shared" si="71"/>
        <v>2934.8364470711022</v>
      </c>
      <c r="N872" s="33">
        <f>Result_notebook!L872</f>
        <v>0.59854391398996798</v>
      </c>
      <c r="O872" s="31">
        <f t="shared" si="72"/>
        <v>0</v>
      </c>
      <c r="P872" s="31">
        <f t="shared" si="73"/>
        <v>0</v>
      </c>
      <c r="Q872">
        <f t="shared" si="74"/>
        <v>0</v>
      </c>
    </row>
    <row r="873" spans="1:17" x14ac:dyDescent="0.35">
      <c r="A873">
        <v>2034</v>
      </c>
      <c r="B873" t="s">
        <v>13</v>
      </c>
      <c r="C873" t="s">
        <v>4</v>
      </c>
      <c r="D873" t="s">
        <v>16</v>
      </c>
      <c r="E873" t="s">
        <v>483</v>
      </c>
      <c r="F873" t="s">
        <v>81</v>
      </c>
      <c r="G873" s="31">
        <v>2934.8364470711022</v>
      </c>
      <c r="H873" s="31">
        <v>0</v>
      </c>
      <c r="I873" s="31">
        <v>0</v>
      </c>
      <c r="J873" s="32">
        <f t="shared" si="70"/>
        <v>0</v>
      </c>
      <c r="K873" s="31">
        <v>2934.8364470711022</v>
      </c>
      <c r="L873" s="31">
        <v>2934.8364470711022</v>
      </c>
      <c r="M873" s="32">
        <f t="shared" si="71"/>
        <v>2934.8364470711022</v>
      </c>
      <c r="N873" s="33">
        <f>Result_notebook!L873</f>
        <v>0.59854391398996798</v>
      </c>
      <c r="O873" s="31">
        <f t="shared" si="72"/>
        <v>0</v>
      </c>
      <c r="P873" s="31">
        <f t="shared" si="73"/>
        <v>0</v>
      </c>
      <c r="Q873">
        <f t="shared" si="74"/>
        <v>0</v>
      </c>
    </row>
    <row r="874" spans="1:17" x14ac:dyDescent="0.35">
      <c r="A874">
        <v>2034</v>
      </c>
      <c r="B874" t="s">
        <v>13</v>
      </c>
      <c r="C874" t="s">
        <v>4</v>
      </c>
      <c r="D874" t="s">
        <v>18</v>
      </c>
      <c r="E874" t="s">
        <v>483</v>
      </c>
      <c r="F874" t="s">
        <v>85</v>
      </c>
      <c r="G874" s="31">
        <v>2934.8364470711022</v>
      </c>
      <c r="H874" s="31">
        <v>129545.46702307749</v>
      </c>
      <c r="I874" s="31">
        <v>42750.004117615557</v>
      </c>
      <c r="J874" s="32">
        <f t="shared" si="70"/>
        <v>34788.646754035573</v>
      </c>
      <c r="K874" s="31">
        <v>0</v>
      </c>
      <c r="L874" s="31">
        <v>0</v>
      </c>
      <c r="M874" s="32">
        <f t="shared" si="71"/>
        <v>0</v>
      </c>
      <c r="N874" s="33">
        <f>Result_notebook!L874</f>
        <v>0.59854391398996798</v>
      </c>
      <c r="O874" s="31">
        <f t="shared" si="72"/>
        <v>-74603.814424580021</v>
      </c>
      <c r="P874" s="31">
        <f t="shared" si="73"/>
        <v>39815.167670544455</v>
      </c>
      <c r="Q874">
        <f t="shared" si="74"/>
        <v>34788.646754035573</v>
      </c>
    </row>
    <row r="875" spans="1:17" x14ac:dyDescent="0.35">
      <c r="A875">
        <v>2034</v>
      </c>
      <c r="B875" t="s">
        <v>13</v>
      </c>
      <c r="C875" t="s">
        <v>4</v>
      </c>
      <c r="D875" t="s">
        <v>18</v>
      </c>
      <c r="E875" t="s">
        <v>483</v>
      </c>
      <c r="F875" t="s">
        <v>86</v>
      </c>
      <c r="G875" s="31">
        <v>2934.8364470711022</v>
      </c>
      <c r="H875" s="31">
        <v>129545.46702307749</v>
      </c>
      <c r="I875" s="31">
        <v>42750.004117615557</v>
      </c>
      <c r="J875" s="32">
        <f t="shared" si="70"/>
        <v>34788.646754035573</v>
      </c>
      <c r="K875" s="31">
        <v>0</v>
      </c>
      <c r="L875" s="31">
        <v>0</v>
      </c>
      <c r="M875" s="32">
        <f t="shared" si="71"/>
        <v>0</v>
      </c>
      <c r="N875" s="33">
        <f>Result_notebook!L875</f>
        <v>0.59854391398996798</v>
      </c>
      <c r="O875" s="31">
        <f t="shared" si="72"/>
        <v>-74603.814424580021</v>
      </c>
      <c r="P875" s="31">
        <f t="shared" si="73"/>
        <v>39815.167670544455</v>
      </c>
      <c r="Q875">
        <f t="shared" si="74"/>
        <v>34788.646754035573</v>
      </c>
    </row>
    <row r="876" spans="1:17" x14ac:dyDescent="0.35">
      <c r="A876">
        <v>2034</v>
      </c>
      <c r="B876" t="s">
        <v>13</v>
      </c>
      <c r="C876" t="s">
        <v>4</v>
      </c>
      <c r="D876" t="s">
        <v>18</v>
      </c>
      <c r="E876" t="s">
        <v>490</v>
      </c>
      <c r="F876" t="s">
        <v>82</v>
      </c>
      <c r="G876" s="31">
        <v>2934.8364470711022</v>
      </c>
      <c r="H876" s="31">
        <v>129545.46702307749</v>
      </c>
      <c r="I876" s="31">
        <v>42750.004117615557</v>
      </c>
      <c r="J876" s="32">
        <f t="shared" si="70"/>
        <v>34788.646754035573</v>
      </c>
      <c r="K876" s="31">
        <v>0</v>
      </c>
      <c r="L876" s="31">
        <v>0</v>
      </c>
      <c r="M876" s="32">
        <f t="shared" si="71"/>
        <v>0</v>
      </c>
      <c r="N876" s="33">
        <f>Result_notebook!L876</f>
        <v>0.59854391398996798</v>
      </c>
      <c r="O876" s="31">
        <f t="shared" si="72"/>
        <v>-74603.814424580021</v>
      </c>
      <c r="P876" s="31">
        <f t="shared" si="73"/>
        <v>39815.167670544455</v>
      </c>
      <c r="Q876">
        <f t="shared" si="74"/>
        <v>34788.646754035573</v>
      </c>
    </row>
    <row r="877" spans="1:17" x14ac:dyDescent="0.35">
      <c r="A877">
        <v>2034</v>
      </c>
      <c r="B877" t="s">
        <v>13</v>
      </c>
      <c r="C877" t="s">
        <v>9</v>
      </c>
      <c r="D877" t="s">
        <v>16</v>
      </c>
      <c r="E877" t="s">
        <v>483</v>
      </c>
      <c r="F877" t="s">
        <v>80</v>
      </c>
      <c r="G877" s="31">
        <v>1114.482036875012</v>
      </c>
      <c r="H877" s="31">
        <v>0</v>
      </c>
      <c r="I877" s="31">
        <v>0</v>
      </c>
      <c r="J877" s="32">
        <f t="shared" si="70"/>
        <v>0</v>
      </c>
      <c r="K877" s="31">
        <v>1114.482036875012</v>
      </c>
      <c r="L877" s="31">
        <v>1114.482036875012</v>
      </c>
      <c r="M877" s="32">
        <f t="shared" si="71"/>
        <v>1114.482036875012</v>
      </c>
      <c r="N877" s="33">
        <f>Result_notebook!L877</f>
        <v>0.59854391398996798</v>
      </c>
      <c r="O877" s="31">
        <f t="shared" si="72"/>
        <v>0</v>
      </c>
      <c r="P877" s="31">
        <f t="shared" si="73"/>
        <v>0</v>
      </c>
      <c r="Q877">
        <f t="shared" si="74"/>
        <v>0</v>
      </c>
    </row>
    <row r="878" spans="1:17" x14ac:dyDescent="0.35">
      <c r="A878">
        <v>2034</v>
      </c>
      <c r="B878" t="s">
        <v>13</v>
      </c>
      <c r="C878" t="s">
        <v>9</v>
      </c>
      <c r="D878" t="s">
        <v>16</v>
      </c>
      <c r="E878" t="s">
        <v>483</v>
      </c>
      <c r="F878" t="s">
        <v>81</v>
      </c>
      <c r="G878" s="31">
        <v>1114.482036875012</v>
      </c>
      <c r="H878" s="31">
        <v>0</v>
      </c>
      <c r="I878" s="31">
        <v>0</v>
      </c>
      <c r="J878" s="32">
        <f t="shared" si="70"/>
        <v>0</v>
      </c>
      <c r="K878" s="31">
        <v>1114.482036875012</v>
      </c>
      <c r="L878" s="31">
        <v>1114.482036875012</v>
      </c>
      <c r="M878" s="32">
        <f t="shared" si="71"/>
        <v>1114.482036875012</v>
      </c>
      <c r="N878" s="33">
        <f>Result_notebook!L878</f>
        <v>0.59854391398996798</v>
      </c>
      <c r="O878" s="31">
        <f t="shared" si="72"/>
        <v>0</v>
      </c>
      <c r="P878" s="31">
        <f t="shared" si="73"/>
        <v>0</v>
      </c>
      <c r="Q878">
        <f t="shared" si="74"/>
        <v>0</v>
      </c>
    </row>
    <row r="879" spans="1:17" x14ac:dyDescent="0.35">
      <c r="A879">
        <v>2034</v>
      </c>
      <c r="B879" t="s">
        <v>13</v>
      </c>
      <c r="C879" t="s">
        <v>9</v>
      </c>
      <c r="D879" t="s">
        <v>18</v>
      </c>
      <c r="E879" t="s">
        <v>483</v>
      </c>
      <c r="F879" t="s">
        <v>85</v>
      </c>
      <c r="G879" s="31">
        <v>1114.482036875012</v>
      </c>
      <c r="H879" s="31">
        <v>129545.46702307749</v>
      </c>
      <c r="I879" s="31">
        <v>42750.004117615557</v>
      </c>
      <c r="J879" s="32">
        <f t="shared" si="70"/>
        <v>34788.646754035573</v>
      </c>
      <c r="K879" s="31">
        <v>0</v>
      </c>
      <c r="L879" s="31">
        <v>0</v>
      </c>
      <c r="M879" s="32">
        <f t="shared" si="71"/>
        <v>0</v>
      </c>
      <c r="N879" s="33">
        <f>Result_notebook!L879</f>
        <v>0.59854391398996798</v>
      </c>
      <c r="O879" s="31">
        <f t="shared" si="72"/>
        <v>-76424.168834776123</v>
      </c>
      <c r="P879" s="31">
        <f t="shared" si="73"/>
        <v>41635.522080740542</v>
      </c>
      <c r="Q879">
        <f t="shared" si="74"/>
        <v>34788.646754035573</v>
      </c>
    </row>
    <row r="880" spans="1:17" x14ac:dyDescent="0.35">
      <c r="A880">
        <v>2034</v>
      </c>
      <c r="B880" t="s">
        <v>13</v>
      </c>
      <c r="C880" t="s">
        <v>9</v>
      </c>
      <c r="D880" t="s">
        <v>18</v>
      </c>
      <c r="E880" t="s">
        <v>483</v>
      </c>
      <c r="F880" t="s">
        <v>86</v>
      </c>
      <c r="G880" s="31">
        <v>1114.482036875012</v>
      </c>
      <c r="H880" s="31">
        <v>129545.46702307749</v>
      </c>
      <c r="I880" s="31">
        <v>42750.004117615557</v>
      </c>
      <c r="J880" s="32">
        <f t="shared" si="70"/>
        <v>34788.646754035573</v>
      </c>
      <c r="K880" s="31">
        <v>0</v>
      </c>
      <c r="L880" s="31">
        <v>0</v>
      </c>
      <c r="M880" s="32">
        <f t="shared" si="71"/>
        <v>0</v>
      </c>
      <c r="N880" s="33">
        <f>Result_notebook!L880</f>
        <v>0.59854391398996798</v>
      </c>
      <c r="O880" s="31">
        <f t="shared" si="72"/>
        <v>-76424.168834776123</v>
      </c>
      <c r="P880" s="31">
        <f t="shared" si="73"/>
        <v>41635.522080740542</v>
      </c>
      <c r="Q880">
        <f t="shared" si="74"/>
        <v>34788.646754035573</v>
      </c>
    </row>
    <row r="881" spans="1:17" x14ac:dyDescent="0.35">
      <c r="A881">
        <v>2034</v>
      </c>
      <c r="B881" t="s">
        <v>13</v>
      </c>
      <c r="C881" t="s">
        <v>9</v>
      </c>
      <c r="D881" t="s">
        <v>18</v>
      </c>
      <c r="E881" t="s">
        <v>490</v>
      </c>
      <c r="F881" t="s">
        <v>82</v>
      </c>
      <c r="G881" s="31">
        <v>1114.482036875012</v>
      </c>
      <c r="H881" s="31">
        <v>129545.46702307749</v>
      </c>
      <c r="I881" s="31">
        <v>42750.004117615557</v>
      </c>
      <c r="J881" s="32">
        <f t="shared" si="70"/>
        <v>34788.646754035573</v>
      </c>
      <c r="K881" s="31">
        <v>0</v>
      </c>
      <c r="L881" s="31">
        <v>0</v>
      </c>
      <c r="M881" s="32">
        <f t="shared" si="71"/>
        <v>0</v>
      </c>
      <c r="N881" s="33">
        <f>Result_notebook!L881</f>
        <v>0.59854391398996798</v>
      </c>
      <c r="O881" s="31">
        <f t="shared" si="72"/>
        <v>-76424.168834776123</v>
      </c>
      <c r="P881" s="31">
        <f t="shared" si="73"/>
        <v>41635.522080740542</v>
      </c>
      <c r="Q881">
        <f t="shared" si="74"/>
        <v>34788.646754035573</v>
      </c>
    </row>
    <row r="882" spans="1:17" x14ac:dyDescent="0.35">
      <c r="A882">
        <v>2034</v>
      </c>
      <c r="B882" t="s">
        <v>13</v>
      </c>
      <c r="C882" t="s">
        <v>10</v>
      </c>
      <c r="D882" t="s">
        <v>16</v>
      </c>
      <c r="E882" t="s">
        <v>483</v>
      </c>
      <c r="F882" t="s">
        <v>80</v>
      </c>
      <c r="G882" s="31">
        <v>2790.9424655241191</v>
      </c>
      <c r="H882" s="31">
        <v>0</v>
      </c>
      <c r="I882" s="31">
        <v>0</v>
      </c>
      <c r="J882" s="32">
        <f t="shared" si="70"/>
        <v>0</v>
      </c>
      <c r="K882" s="31">
        <v>2790.9424655241191</v>
      </c>
      <c r="L882" s="31">
        <v>2790.9424655241191</v>
      </c>
      <c r="M882" s="32">
        <f t="shared" si="71"/>
        <v>2790.9424655241191</v>
      </c>
      <c r="N882" s="33">
        <f>Result_notebook!L882</f>
        <v>0.59854391398996798</v>
      </c>
      <c r="O882" s="31">
        <f t="shared" si="72"/>
        <v>0</v>
      </c>
      <c r="P882" s="31">
        <f t="shared" si="73"/>
        <v>0</v>
      </c>
      <c r="Q882">
        <f t="shared" si="74"/>
        <v>0</v>
      </c>
    </row>
    <row r="883" spans="1:17" x14ac:dyDescent="0.35">
      <c r="A883">
        <v>2034</v>
      </c>
      <c r="B883" t="s">
        <v>13</v>
      </c>
      <c r="C883" t="s">
        <v>10</v>
      </c>
      <c r="D883" t="s">
        <v>16</v>
      </c>
      <c r="E883" t="s">
        <v>483</v>
      </c>
      <c r="F883" t="s">
        <v>81</v>
      </c>
      <c r="G883" s="31">
        <v>2790.9424655241191</v>
      </c>
      <c r="H883" s="31">
        <v>0</v>
      </c>
      <c r="I883" s="31">
        <v>0</v>
      </c>
      <c r="J883" s="32">
        <f t="shared" si="70"/>
        <v>0</v>
      </c>
      <c r="K883" s="31">
        <v>2790.9424655241191</v>
      </c>
      <c r="L883" s="31">
        <v>2790.9424655241191</v>
      </c>
      <c r="M883" s="32">
        <f t="shared" si="71"/>
        <v>2790.9424655241191</v>
      </c>
      <c r="N883" s="33">
        <f>Result_notebook!L883</f>
        <v>0.59854391398996798</v>
      </c>
      <c r="O883" s="31">
        <f t="shared" si="72"/>
        <v>0</v>
      </c>
      <c r="P883" s="31">
        <f t="shared" si="73"/>
        <v>0</v>
      </c>
      <c r="Q883">
        <f t="shared" si="74"/>
        <v>0</v>
      </c>
    </row>
    <row r="884" spans="1:17" x14ac:dyDescent="0.35">
      <c r="A884">
        <v>2034</v>
      </c>
      <c r="B884" t="s">
        <v>13</v>
      </c>
      <c r="C884" t="s">
        <v>10</v>
      </c>
      <c r="D884" t="s">
        <v>18</v>
      </c>
      <c r="E884" t="s">
        <v>483</v>
      </c>
      <c r="F884" t="s">
        <v>85</v>
      </c>
      <c r="G884" s="31">
        <v>2790.9424655241191</v>
      </c>
      <c r="H884" s="31">
        <v>129545.46702307749</v>
      </c>
      <c r="I884" s="31">
        <v>42750.004117615557</v>
      </c>
      <c r="J884" s="32">
        <f t="shared" si="70"/>
        <v>34788.646754035573</v>
      </c>
      <c r="K884" s="31">
        <v>0</v>
      </c>
      <c r="L884" s="31">
        <v>0</v>
      </c>
      <c r="M884" s="32">
        <f t="shared" si="71"/>
        <v>0</v>
      </c>
      <c r="N884" s="33">
        <f>Result_notebook!L884</f>
        <v>0.59854391398996798</v>
      </c>
      <c r="O884" s="31">
        <f t="shared" si="72"/>
        <v>-74747.708406127014</v>
      </c>
      <c r="P884" s="31">
        <f t="shared" si="73"/>
        <v>39959.061652091441</v>
      </c>
      <c r="Q884">
        <f t="shared" si="74"/>
        <v>34788.646754035573</v>
      </c>
    </row>
    <row r="885" spans="1:17" x14ac:dyDescent="0.35">
      <c r="A885">
        <v>2034</v>
      </c>
      <c r="B885" t="s">
        <v>13</v>
      </c>
      <c r="C885" t="s">
        <v>10</v>
      </c>
      <c r="D885" t="s">
        <v>18</v>
      </c>
      <c r="E885" t="s">
        <v>483</v>
      </c>
      <c r="F885" t="s">
        <v>86</v>
      </c>
      <c r="G885" s="31">
        <v>2790.9424655241191</v>
      </c>
      <c r="H885" s="31">
        <v>129545.46702307749</v>
      </c>
      <c r="I885" s="31">
        <v>42750.004117615557</v>
      </c>
      <c r="J885" s="32">
        <f t="shared" si="70"/>
        <v>34788.646754035573</v>
      </c>
      <c r="K885" s="31">
        <v>0</v>
      </c>
      <c r="L885" s="31">
        <v>0</v>
      </c>
      <c r="M885" s="32">
        <f t="shared" si="71"/>
        <v>0</v>
      </c>
      <c r="N885" s="33">
        <f>Result_notebook!L885</f>
        <v>0.59854391398996798</v>
      </c>
      <c r="O885" s="31">
        <f t="shared" si="72"/>
        <v>-74747.708406127014</v>
      </c>
      <c r="P885" s="31">
        <f t="shared" si="73"/>
        <v>39959.061652091441</v>
      </c>
      <c r="Q885">
        <f t="shared" si="74"/>
        <v>34788.646754035573</v>
      </c>
    </row>
    <row r="886" spans="1:17" x14ac:dyDescent="0.35">
      <c r="A886">
        <v>2034</v>
      </c>
      <c r="B886" t="s">
        <v>13</v>
      </c>
      <c r="C886" t="s">
        <v>10</v>
      </c>
      <c r="D886" t="s">
        <v>18</v>
      </c>
      <c r="E886" t="s">
        <v>490</v>
      </c>
      <c r="F886" t="s">
        <v>82</v>
      </c>
      <c r="G886" s="31">
        <v>2790.9424655241191</v>
      </c>
      <c r="H886" s="31">
        <v>129545.46702307749</v>
      </c>
      <c r="I886" s="31">
        <v>42750.004117615557</v>
      </c>
      <c r="J886" s="32">
        <f t="shared" si="70"/>
        <v>34788.646754035573</v>
      </c>
      <c r="K886" s="31">
        <v>0</v>
      </c>
      <c r="L886" s="31">
        <v>0</v>
      </c>
      <c r="M886" s="32">
        <f t="shared" si="71"/>
        <v>0</v>
      </c>
      <c r="N886" s="33">
        <f>Result_notebook!L886</f>
        <v>0.59854391398996798</v>
      </c>
      <c r="O886" s="31">
        <f t="shared" si="72"/>
        <v>-74747.708406127014</v>
      </c>
      <c r="P886" s="31">
        <f t="shared" si="73"/>
        <v>39959.061652091441</v>
      </c>
      <c r="Q886">
        <f t="shared" si="74"/>
        <v>34788.646754035573</v>
      </c>
    </row>
    <row r="887" spans="1:17" x14ac:dyDescent="0.35">
      <c r="A887">
        <v>2034</v>
      </c>
      <c r="B887" t="s">
        <v>12</v>
      </c>
      <c r="C887" t="s">
        <v>4</v>
      </c>
      <c r="D887" t="s">
        <v>16</v>
      </c>
      <c r="E887" t="s">
        <v>483</v>
      </c>
      <c r="F887" t="s">
        <v>80</v>
      </c>
      <c r="G887" s="31">
        <v>56563.036479032307</v>
      </c>
      <c r="H887" s="31">
        <v>0</v>
      </c>
      <c r="I887" s="31">
        <v>0</v>
      </c>
      <c r="J887" s="32">
        <f t="shared" si="70"/>
        <v>0</v>
      </c>
      <c r="K887" s="31">
        <v>80804.337827189011</v>
      </c>
      <c r="L887" s="31">
        <v>56563.036479032307</v>
      </c>
      <c r="M887" s="32">
        <f t="shared" si="71"/>
        <v>56563.036479032307</v>
      </c>
      <c r="N887" s="33">
        <f>Result_notebook!L887</f>
        <v>0.787554996857322</v>
      </c>
      <c r="O887" s="31">
        <f t="shared" si="72"/>
        <v>0</v>
      </c>
      <c r="P887" s="31">
        <f t="shared" si="73"/>
        <v>0</v>
      </c>
      <c r="Q887">
        <f t="shared" si="74"/>
        <v>0</v>
      </c>
    </row>
    <row r="888" spans="1:17" x14ac:dyDescent="0.35">
      <c r="A888">
        <v>2034</v>
      </c>
      <c r="B888" t="s">
        <v>12</v>
      </c>
      <c r="C888" t="s">
        <v>4</v>
      </c>
      <c r="D888" t="s">
        <v>16</v>
      </c>
      <c r="E888" t="s">
        <v>483</v>
      </c>
      <c r="F888" t="s">
        <v>81</v>
      </c>
      <c r="G888" s="31">
        <v>56563.036479032307</v>
      </c>
      <c r="H888" s="31">
        <v>39773</v>
      </c>
      <c r="I888" s="31">
        <v>27808.107139723728</v>
      </c>
      <c r="J888" s="32">
        <f t="shared" si="70"/>
        <v>3515.3177502825383</v>
      </c>
      <c r="K888" s="31">
        <v>41031.337827189011</v>
      </c>
      <c r="L888" s="31">
        <v>28754.929339308579</v>
      </c>
      <c r="M888" s="32">
        <f t="shared" si="71"/>
        <v>25239.611589026041</v>
      </c>
      <c r="N888" s="33">
        <f>Result_notebook!L888</f>
        <v>0.787554996857322</v>
      </c>
      <c r="O888" s="31">
        <f t="shared" si="72"/>
        <v>0</v>
      </c>
      <c r="P888" s="31">
        <f t="shared" si="73"/>
        <v>0</v>
      </c>
      <c r="Q888">
        <f t="shared" si="74"/>
        <v>3515.3177502825383</v>
      </c>
    </row>
    <row r="889" spans="1:17" x14ac:dyDescent="0.35">
      <c r="A889">
        <v>2034</v>
      </c>
      <c r="B889" t="s">
        <v>12</v>
      </c>
      <c r="C889" t="s">
        <v>4</v>
      </c>
      <c r="D889" t="s">
        <v>18</v>
      </c>
      <c r="E889" t="s">
        <v>483</v>
      </c>
      <c r="F889" t="s">
        <v>85</v>
      </c>
      <c r="G889" s="31">
        <v>56563.036479032307</v>
      </c>
      <c r="H889" s="31">
        <v>142859</v>
      </c>
      <c r="I889" s="31">
        <v>99882.794304522977</v>
      </c>
      <c r="J889" s="32">
        <f t="shared" si="70"/>
        <v>12626.524991517188</v>
      </c>
      <c r="K889" s="31">
        <v>0</v>
      </c>
      <c r="L889" s="31">
        <v>0</v>
      </c>
      <c r="M889" s="32">
        <f t="shared" si="71"/>
        <v>0</v>
      </c>
      <c r="N889" s="33">
        <f>Result_notebook!L889</f>
        <v>0.787554996857322</v>
      </c>
      <c r="O889" s="31">
        <f t="shared" si="72"/>
        <v>-55946.282817007857</v>
      </c>
      <c r="P889" s="31">
        <f t="shared" si="73"/>
        <v>43319.757825490669</v>
      </c>
      <c r="Q889">
        <f t="shared" si="74"/>
        <v>12626.524991517188</v>
      </c>
    </row>
    <row r="890" spans="1:17" x14ac:dyDescent="0.35">
      <c r="A890">
        <v>2034</v>
      </c>
      <c r="B890" t="s">
        <v>12</v>
      </c>
      <c r="C890" t="s">
        <v>4</v>
      </c>
      <c r="D890" t="s">
        <v>18</v>
      </c>
      <c r="E890" t="s">
        <v>483</v>
      </c>
      <c r="F890" t="s">
        <v>86</v>
      </c>
      <c r="G890" s="31">
        <v>56563.036479032307</v>
      </c>
      <c r="H890" s="31">
        <v>142859</v>
      </c>
      <c r="I890" s="31">
        <v>99882.794304522977</v>
      </c>
      <c r="J890" s="32">
        <f t="shared" si="70"/>
        <v>12626.524991517188</v>
      </c>
      <c r="K890" s="31">
        <v>0</v>
      </c>
      <c r="L890" s="31">
        <v>0</v>
      </c>
      <c r="M890" s="32">
        <f t="shared" si="71"/>
        <v>0</v>
      </c>
      <c r="N890" s="33">
        <f>Result_notebook!L890</f>
        <v>0.787554996857322</v>
      </c>
      <c r="O890" s="31">
        <f t="shared" si="72"/>
        <v>-55946.282817007857</v>
      </c>
      <c r="P890" s="31">
        <f t="shared" si="73"/>
        <v>43319.757825490669</v>
      </c>
      <c r="Q890">
        <f t="shared" si="74"/>
        <v>12626.524991517188</v>
      </c>
    </row>
    <row r="891" spans="1:17" x14ac:dyDescent="0.35">
      <c r="A891">
        <v>2034</v>
      </c>
      <c r="B891" t="s">
        <v>12</v>
      </c>
      <c r="C891" t="s">
        <v>4</v>
      </c>
      <c r="D891" t="s">
        <v>18</v>
      </c>
      <c r="E891" t="s">
        <v>490</v>
      </c>
      <c r="F891" t="s">
        <v>82</v>
      </c>
      <c r="G891" s="31">
        <v>56563.036479032307</v>
      </c>
      <c r="H891" s="31">
        <v>142859</v>
      </c>
      <c r="I891" s="31">
        <v>99882.794304522977</v>
      </c>
      <c r="J891" s="32">
        <f t="shared" si="70"/>
        <v>12626.524991517188</v>
      </c>
      <c r="K891" s="31">
        <v>0</v>
      </c>
      <c r="L891" s="31">
        <v>0</v>
      </c>
      <c r="M891" s="32">
        <f t="shared" si="71"/>
        <v>0</v>
      </c>
      <c r="N891" s="33">
        <f>Result_notebook!L891</f>
        <v>0.787554996857322</v>
      </c>
      <c r="O891" s="31">
        <f t="shared" si="72"/>
        <v>-55946.282817007857</v>
      </c>
      <c r="P891" s="31">
        <f t="shared" si="73"/>
        <v>43319.757825490669</v>
      </c>
      <c r="Q891">
        <f t="shared" si="74"/>
        <v>12626.524991517188</v>
      </c>
    </row>
    <row r="892" spans="1:17" x14ac:dyDescent="0.35">
      <c r="A892">
        <v>2034</v>
      </c>
      <c r="B892" t="s">
        <v>12</v>
      </c>
      <c r="C892" t="s">
        <v>9</v>
      </c>
      <c r="D892" t="s">
        <v>16</v>
      </c>
      <c r="E892" t="s">
        <v>483</v>
      </c>
      <c r="F892" t="s">
        <v>80</v>
      </c>
      <c r="G892" s="31">
        <v>21479.387094942951</v>
      </c>
      <c r="H892" s="31">
        <v>0</v>
      </c>
      <c r="I892" s="31">
        <v>0</v>
      </c>
      <c r="J892" s="32">
        <f t="shared" si="70"/>
        <v>0</v>
      </c>
      <c r="K892" s="31">
        <v>30684.838707061361</v>
      </c>
      <c r="L892" s="31">
        <v>21479.387094942951</v>
      </c>
      <c r="M892" s="32">
        <f t="shared" si="71"/>
        <v>21479.387094942951</v>
      </c>
      <c r="N892" s="33">
        <f>Result_notebook!L892</f>
        <v>0.787554996857322</v>
      </c>
      <c r="O892" s="31">
        <f t="shared" si="72"/>
        <v>0</v>
      </c>
      <c r="P892" s="31">
        <f t="shared" si="73"/>
        <v>0</v>
      </c>
      <c r="Q892">
        <f t="shared" si="74"/>
        <v>0</v>
      </c>
    </row>
    <row r="893" spans="1:17" x14ac:dyDescent="0.35">
      <c r="A893">
        <v>2034</v>
      </c>
      <c r="B893" t="s">
        <v>12</v>
      </c>
      <c r="C893" t="s">
        <v>9</v>
      </c>
      <c r="D893" t="s">
        <v>16</v>
      </c>
      <c r="E893" t="s">
        <v>483</v>
      </c>
      <c r="F893" t="s">
        <v>81</v>
      </c>
      <c r="G893" s="31">
        <v>21479.387094942951</v>
      </c>
      <c r="H893" s="31">
        <v>39773</v>
      </c>
      <c r="I893" s="31">
        <v>27808.107139723728</v>
      </c>
      <c r="J893" s="32">
        <f t="shared" si="70"/>
        <v>3515.3177502825383</v>
      </c>
      <c r="K893" s="31">
        <v>0</v>
      </c>
      <c r="L893" s="31">
        <v>0</v>
      </c>
      <c r="M893" s="32">
        <f t="shared" si="71"/>
        <v>0</v>
      </c>
      <c r="N893" s="33">
        <f>Result_notebook!L893</f>
        <v>0.787554996857322</v>
      </c>
      <c r="O893" s="31">
        <f t="shared" si="72"/>
        <v>-9844.0377950633156</v>
      </c>
      <c r="P893" s="31">
        <f t="shared" si="73"/>
        <v>6328.7200447807772</v>
      </c>
      <c r="Q893">
        <f t="shared" si="74"/>
        <v>3515.3177502825383</v>
      </c>
    </row>
    <row r="894" spans="1:17" x14ac:dyDescent="0.35">
      <c r="A894">
        <v>2034</v>
      </c>
      <c r="B894" t="s">
        <v>12</v>
      </c>
      <c r="C894" t="s">
        <v>9</v>
      </c>
      <c r="D894" t="s">
        <v>18</v>
      </c>
      <c r="E894" t="s">
        <v>483</v>
      </c>
      <c r="F894" t="s">
        <v>85</v>
      </c>
      <c r="G894" s="31">
        <v>21479.387094942951</v>
      </c>
      <c r="H894" s="31">
        <v>142859</v>
      </c>
      <c r="I894" s="31">
        <v>99882.794304522977</v>
      </c>
      <c r="J894" s="32">
        <f t="shared" si="70"/>
        <v>12626.524991517188</v>
      </c>
      <c r="K894" s="31">
        <v>0</v>
      </c>
      <c r="L894" s="31">
        <v>0</v>
      </c>
      <c r="M894" s="32">
        <f t="shared" si="71"/>
        <v>0</v>
      </c>
      <c r="N894" s="33">
        <f>Result_notebook!L894</f>
        <v>0.787554996857322</v>
      </c>
      <c r="O894" s="31">
        <f t="shared" si="72"/>
        <v>-91029.93220109721</v>
      </c>
      <c r="P894" s="31">
        <f t="shared" si="73"/>
        <v>78403.407209580022</v>
      </c>
      <c r="Q894">
        <f t="shared" si="74"/>
        <v>12626.524991517188</v>
      </c>
    </row>
    <row r="895" spans="1:17" x14ac:dyDescent="0.35">
      <c r="A895">
        <v>2034</v>
      </c>
      <c r="B895" t="s">
        <v>12</v>
      </c>
      <c r="C895" t="s">
        <v>9</v>
      </c>
      <c r="D895" t="s">
        <v>18</v>
      </c>
      <c r="E895" t="s">
        <v>483</v>
      </c>
      <c r="F895" t="s">
        <v>86</v>
      </c>
      <c r="G895" s="31">
        <v>21479.387094942951</v>
      </c>
      <c r="H895" s="31">
        <v>142859</v>
      </c>
      <c r="I895" s="31">
        <v>99882.794304522977</v>
      </c>
      <c r="J895" s="32">
        <f t="shared" si="70"/>
        <v>12626.524991517188</v>
      </c>
      <c r="K895" s="31">
        <v>0</v>
      </c>
      <c r="L895" s="31">
        <v>0</v>
      </c>
      <c r="M895" s="32">
        <f t="shared" si="71"/>
        <v>0</v>
      </c>
      <c r="N895" s="33">
        <f>Result_notebook!L895</f>
        <v>0.787554996857322</v>
      </c>
      <c r="O895" s="31">
        <f t="shared" si="72"/>
        <v>-91029.93220109721</v>
      </c>
      <c r="P895" s="31">
        <f t="shared" si="73"/>
        <v>78403.407209580022</v>
      </c>
      <c r="Q895">
        <f t="shared" si="74"/>
        <v>12626.524991517188</v>
      </c>
    </row>
    <row r="896" spans="1:17" x14ac:dyDescent="0.35">
      <c r="A896">
        <v>2034</v>
      </c>
      <c r="B896" t="s">
        <v>12</v>
      </c>
      <c r="C896" t="s">
        <v>9</v>
      </c>
      <c r="D896" t="s">
        <v>18</v>
      </c>
      <c r="E896" t="s">
        <v>490</v>
      </c>
      <c r="F896" t="s">
        <v>82</v>
      </c>
      <c r="G896" s="31">
        <v>21479.387094942951</v>
      </c>
      <c r="H896" s="31">
        <v>142859</v>
      </c>
      <c r="I896" s="31">
        <v>99882.794304522977</v>
      </c>
      <c r="J896" s="32">
        <f t="shared" si="70"/>
        <v>12626.524991517188</v>
      </c>
      <c r="K896" s="31">
        <v>0</v>
      </c>
      <c r="L896" s="31">
        <v>0</v>
      </c>
      <c r="M896" s="32">
        <f t="shared" si="71"/>
        <v>0</v>
      </c>
      <c r="N896" s="33">
        <f>Result_notebook!L896</f>
        <v>0.787554996857322</v>
      </c>
      <c r="O896" s="31">
        <f t="shared" si="72"/>
        <v>-91029.93220109721</v>
      </c>
      <c r="P896" s="31">
        <f t="shared" si="73"/>
        <v>78403.407209580022</v>
      </c>
      <c r="Q896">
        <f t="shared" si="74"/>
        <v>12626.524991517188</v>
      </c>
    </row>
    <row r="897" spans="1:17" x14ac:dyDescent="0.35">
      <c r="A897">
        <v>2034</v>
      </c>
      <c r="B897" t="s">
        <v>12</v>
      </c>
      <c r="C897" t="s">
        <v>10</v>
      </c>
      <c r="D897" t="s">
        <v>16</v>
      </c>
      <c r="E897" t="s">
        <v>483</v>
      </c>
      <c r="F897" t="s">
        <v>80</v>
      </c>
      <c r="G897" s="31">
        <v>53789.771026547613</v>
      </c>
      <c r="H897" s="31">
        <v>0</v>
      </c>
      <c r="I897" s="31">
        <v>0</v>
      </c>
      <c r="J897" s="32">
        <f t="shared" si="70"/>
        <v>0</v>
      </c>
      <c r="K897" s="31">
        <v>76842.530037925171</v>
      </c>
      <c r="L897" s="31">
        <v>53789.771026547613</v>
      </c>
      <c r="M897" s="32">
        <f t="shared" si="71"/>
        <v>53789.771026547613</v>
      </c>
      <c r="N897" s="33">
        <f>Result_notebook!L897</f>
        <v>0.787554996857322</v>
      </c>
      <c r="O897" s="31">
        <f t="shared" si="72"/>
        <v>0</v>
      </c>
      <c r="P897" s="31">
        <f t="shared" si="73"/>
        <v>0</v>
      </c>
      <c r="Q897">
        <f t="shared" si="74"/>
        <v>0</v>
      </c>
    </row>
    <row r="898" spans="1:17" x14ac:dyDescent="0.35">
      <c r="A898">
        <v>2034</v>
      </c>
      <c r="B898" t="s">
        <v>12</v>
      </c>
      <c r="C898" t="s">
        <v>10</v>
      </c>
      <c r="D898" t="s">
        <v>16</v>
      </c>
      <c r="E898" t="s">
        <v>483</v>
      </c>
      <c r="F898" t="s">
        <v>81</v>
      </c>
      <c r="G898" s="31">
        <v>53789.771026547613</v>
      </c>
      <c r="H898" s="31">
        <v>39773</v>
      </c>
      <c r="I898" s="31">
        <v>27808.107139723728</v>
      </c>
      <c r="J898" s="32">
        <f t="shared" si="70"/>
        <v>3515.3177502825383</v>
      </c>
      <c r="K898" s="31">
        <v>37069.530037925171</v>
      </c>
      <c r="L898" s="31">
        <v>25981.663886823881</v>
      </c>
      <c r="M898" s="32">
        <f t="shared" si="71"/>
        <v>22466.346136541342</v>
      </c>
      <c r="N898" s="33">
        <f>Result_notebook!L898</f>
        <v>0.787554996857322</v>
      </c>
      <c r="O898" s="31">
        <f t="shared" si="72"/>
        <v>0</v>
      </c>
      <c r="P898" s="31">
        <f t="shared" si="73"/>
        <v>0</v>
      </c>
      <c r="Q898">
        <f t="shared" si="74"/>
        <v>3515.3177502825383</v>
      </c>
    </row>
    <row r="899" spans="1:17" x14ac:dyDescent="0.35">
      <c r="A899">
        <v>2034</v>
      </c>
      <c r="B899" t="s">
        <v>12</v>
      </c>
      <c r="C899" t="s">
        <v>10</v>
      </c>
      <c r="D899" t="s">
        <v>18</v>
      </c>
      <c r="E899" t="s">
        <v>483</v>
      </c>
      <c r="F899" t="s">
        <v>85</v>
      </c>
      <c r="G899" s="31">
        <v>53789.771026547613</v>
      </c>
      <c r="H899" s="31">
        <v>142859</v>
      </c>
      <c r="I899" s="31">
        <v>99882.794304522977</v>
      </c>
      <c r="J899" s="32">
        <f t="shared" ref="J899:J962" si="75">H899*N899-I899</f>
        <v>12626.524991517188</v>
      </c>
      <c r="K899" s="31">
        <v>0</v>
      </c>
      <c r="L899" s="31">
        <v>0</v>
      </c>
      <c r="M899" s="32">
        <f t="shared" ref="M899:M962" si="76">MAX(L899-J899,0)</f>
        <v>0</v>
      </c>
      <c r="N899" s="33">
        <f>Result_notebook!L899</f>
        <v>0.787554996857322</v>
      </c>
      <c r="O899" s="31">
        <f t="shared" ref="O899:O962" si="77">G899-(I899+J899+M899)</f>
        <v>-58719.548269492552</v>
      </c>
      <c r="P899" s="31">
        <f t="shared" ref="P899:P901" si="78">MAX(I899-G899,0)</f>
        <v>46093.023277975364</v>
      </c>
      <c r="Q899">
        <f t="shared" ref="Q899:Q962" si="79">(H899*N899)-I899</f>
        <v>12626.524991517188</v>
      </c>
    </row>
    <row r="900" spans="1:17" x14ac:dyDescent="0.35">
      <c r="A900">
        <v>2034</v>
      </c>
      <c r="B900" t="s">
        <v>12</v>
      </c>
      <c r="C900" t="s">
        <v>10</v>
      </c>
      <c r="D900" t="s">
        <v>18</v>
      </c>
      <c r="E900" t="s">
        <v>483</v>
      </c>
      <c r="F900" t="s">
        <v>86</v>
      </c>
      <c r="G900" s="31">
        <v>53789.771026547613</v>
      </c>
      <c r="H900" s="31">
        <v>142859</v>
      </c>
      <c r="I900" s="31">
        <v>99882.794304522977</v>
      </c>
      <c r="J900" s="32">
        <f t="shared" si="75"/>
        <v>12626.524991517188</v>
      </c>
      <c r="K900" s="31">
        <v>0</v>
      </c>
      <c r="L900" s="31">
        <v>0</v>
      </c>
      <c r="M900" s="32">
        <f t="shared" si="76"/>
        <v>0</v>
      </c>
      <c r="N900" s="33">
        <f>Result_notebook!L900</f>
        <v>0.787554996857322</v>
      </c>
      <c r="O900" s="31">
        <f t="shared" si="77"/>
        <v>-58719.548269492552</v>
      </c>
      <c r="P900" s="31">
        <f t="shared" si="78"/>
        <v>46093.023277975364</v>
      </c>
      <c r="Q900">
        <f t="shared" si="79"/>
        <v>12626.524991517188</v>
      </c>
    </row>
    <row r="901" spans="1:17" x14ac:dyDescent="0.35">
      <c r="A901">
        <v>2034</v>
      </c>
      <c r="B901" t="s">
        <v>12</v>
      </c>
      <c r="C901" t="s">
        <v>10</v>
      </c>
      <c r="D901" t="s">
        <v>18</v>
      </c>
      <c r="E901" t="s">
        <v>490</v>
      </c>
      <c r="F901" t="s">
        <v>82</v>
      </c>
      <c r="G901" s="31">
        <v>53789.771026547613</v>
      </c>
      <c r="H901" s="31">
        <v>142859</v>
      </c>
      <c r="I901" s="31">
        <v>99882.794304522977</v>
      </c>
      <c r="J901" s="32">
        <f t="shared" si="75"/>
        <v>12626.524991517188</v>
      </c>
      <c r="K901" s="31">
        <v>0</v>
      </c>
      <c r="L901" s="31">
        <v>0</v>
      </c>
      <c r="M901" s="32">
        <f t="shared" si="76"/>
        <v>0</v>
      </c>
      <c r="N901" s="33">
        <f>Result_notebook!L901</f>
        <v>0.787554996857322</v>
      </c>
      <c r="O901" s="31">
        <f t="shared" si="77"/>
        <v>-58719.548269492552</v>
      </c>
      <c r="P901" s="31">
        <f t="shared" si="78"/>
        <v>46093.023277975364</v>
      </c>
      <c r="Q901">
        <f t="shared" si="79"/>
        <v>12626.524991517188</v>
      </c>
    </row>
    <row r="902" spans="1:17" x14ac:dyDescent="0.35">
      <c r="A902">
        <v>2035</v>
      </c>
      <c r="B902" t="s">
        <v>6</v>
      </c>
      <c r="C902" t="s">
        <v>4</v>
      </c>
      <c r="D902" t="s">
        <v>16</v>
      </c>
      <c r="E902" t="s">
        <v>483</v>
      </c>
      <c r="F902" t="s">
        <v>80</v>
      </c>
      <c r="G902" s="31">
        <v>152437.6873521794</v>
      </c>
      <c r="H902" s="31">
        <v>0</v>
      </c>
      <c r="I902" s="31">
        <v>0</v>
      </c>
      <c r="J902" s="32">
        <f t="shared" si="75"/>
        <v>0</v>
      </c>
      <c r="K902" s="31">
        <v>346449.28943677142</v>
      </c>
      <c r="L902" s="31">
        <v>152437.6873521794</v>
      </c>
      <c r="M902" s="32">
        <f t="shared" si="76"/>
        <v>152437.6873521794</v>
      </c>
      <c r="N902" s="33">
        <f>Result_notebook!L902</f>
        <v>0.439346565686978</v>
      </c>
      <c r="O902" s="31">
        <f t="shared" si="77"/>
        <v>0</v>
      </c>
      <c r="P902" s="31">
        <f t="shared" ref="P902:P962" si="80">MAX(I902-G902,0)</f>
        <v>0</v>
      </c>
      <c r="Q902">
        <f t="shared" si="79"/>
        <v>0</v>
      </c>
    </row>
    <row r="903" spans="1:17" x14ac:dyDescent="0.35">
      <c r="A903">
        <v>2035</v>
      </c>
      <c r="B903" t="s">
        <v>6</v>
      </c>
      <c r="C903" t="s">
        <v>4</v>
      </c>
      <c r="D903" t="s">
        <v>16</v>
      </c>
      <c r="E903" t="s">
        <v>483</v>
      </c>
      <c r="F903" t="s">
        <v>81</v>
      </c>
      <c r="G903" s="31">
        <v>152437.6873521794</v>
      </c>
      <c r="H903" s="31">
        <v>3079</v>
      </c>
      <c r="I903" s="31">
        <v>1306.05584956232</v>
      </c>
      <c r="J903" s="32">
        <f t="shared" si="75"/>
        <v>46.692226187885353</v>
      </c>
      <c r="K903" s="31">
        <v>343370.28943677142</v>
      </c>
      <c r="L903" s="31">
        <v>151131.63150261709</v>
      </c>
      <c r="M903" s="32">
        <f t="shared" si="76"/>
        <v>151084.93927642921</v>
      </c>
      <c r="N903" s="33">
        <f>Result_notebook!L903</f>
        <v>0.439346565686978</v>
      </c>
      <c r="O903" s="31">
        <f t="shared" si="77"/>
        <v>0</v>
      </c>
      <c r="P903" s="31">
        <f t="shared" si="80"/>
        <v>0</v>
      </c>
      <c r="Q903">
        <f t="shared" si="79"/>
        <v>46.692226187885353</v>
      </c>
    </row>
    <row r="904" spans="1:17" x14ac:dyDescent="0.35">
      <c r="A904">
        <v>2035</v>
      </c>
      <c r="B904" t="s">
        <v>6</v>
      </c>
      <c r="C904" t="s">
        <v>4</v>
      </c>
      <c r="D904" t="s">
        <v>18</v>
      </c>
      <c r="E904" t="s">
        <v>483</v>
      </c>
      <c r="F904" t="s">
        <v>85</v>
      </c>
      <c r="G904" s="31">
        <v>152437.6873521794</v>
      </c>
      <c r="H904" s="31">
        <v>15489.26488622676</v>
      </c>
      <c r="I904" s="31">
        <v>6570.2646996026942</v>
      </c>
      <c r="J904" s="32">
        <f t="shared" si="75"/>
        <v>234.89063317693217</v>
      </c>
      <c r="K904" s="31">
        <v>330960.02455054462</v>
      </c>
      <c r="L904" s="31">
        <v>145867.4226525767</v>
      </c>
      <c r="M904" s="32">
        <f t="shared" si="76"/>
        <v>145632.53201939978</v>
      </c>
      <c r="N904" s="33">
        <f>Result_notebook!L904</f>
        <v>0.439346565686978</v>
      </c>
      <c r="O904" s="31">
        <f t="shared" si="77"/>
        <v>0</v>
      </c>
      <c r="P904" s="31">
        <f t="shared" si="80"/>
        <v>0</v>
      </c>
      <c r="Q904">
        <f t="shared" si="79"/>
        <v>234.89063317693217</v>
      </c>
    </row>
    <row r="905" spans="1:17" x14ac:dyDescent="0.35">
      <c r="A905">
        <v>2035</v>
      </c>
      <c r="B905" t="s">
        <v>6</v>
      </c>
      <c r="C905" t="s">
        <v>4</v>
      </c>
      <c r="D905" t="s">
        <v>18</v>
      </c>
      <c r="E905" t="s">
        <v>483</v>
      </c>
      <c r="F905" t="s">
        <v>86</v>
      </c>
      <c r="G905" s="31">
        <v>152437.6873521794</v>
      </c>
      <c r="H905" s="31">
        <v>15489.26488622676</v>
      </c>
      <c r="I905" s="31">
        <v>6570.2646996026942</v>
      </c>
      <c r="J905" s="32">
        <f t="shared" si="75"/>
        <v>234.89063317693217</v>
      </c>
      <c r="K905" s="31">
        <v>330960.02455054462</v>
      </c>
      <c r="L905" s="31">
        <v>145867.4226525767</v>
      </c>
      <c r="M905" s="32">
        <f t="shared" si="76"/>
        <v>145632.53201939978</v>
      </c>
      <c r="N905" s="33">
        <f>Result_notebook!L905</f>
        <v>0.439346565686978</v>
      </c>
      <c r="O905" s="31">
        <f t="shared" si="77"/>
        <v>0</v>
      </c>
      <c r="P905" s="31">
        <f t="shared" si="80"/>
        <v>0</v>
      </c>
      <c r="Q905">
        <f t="shared" si="79"/>
        <v>234.89063317693217</v>
      </c>
    </row>
    <row r="906" spans="1:17" x14ac:dyDescent="0.35">
      <c r="A906">
        <v>2035</v>
      </c>
      <c r="B906" t="s">
        <v>6</v>
      </c>
      <c r="C906" t="s">
        <v>4</v>
      </c>
      <c r="D906" t="s">
        <v>18</v>
      </c>
      <c r="E906" t="s">
        <v>490</v>
      </c>
      <c r="F906" t="s">
        <v>82</v>
      </c>
      <c r="G906" s="31">
        <v>152437.6873521794</v>
      </c>
      <c r="H906" s="31">
        <v>15489.26488622676</v>
      </c>
      <c r="I906" s="31">
        <v>6805.1553327796337</v>
      </c>
      <c r="J906" s="32">
        <f t="shared" si="75"/>
        <v>-7.2759576141834259E-12</v>
      </c>
      <c r="K906" s="31">
        <v>330960.02455054462</v>
      </c>
      <c r="L906" s="31">
        <v>145632.5320193998</v>
      </c>
      <c r="M906" s="32">
        <f t="shared" si="76"/>
        <v>145632.5320193998</v>
      </c>
      <c r="N906" s="33">
        <f>Result_notebook!L906</f>
        <v>0.439346565686978</v>
      </c>
      <c r="O906" s="31">
        <f t="shared" si="77"/>
        <v>0</v>
      </c>
      <c r="P906" s="31">
        <f t="shared" si="80"/>
        <v>0</v>
      </c>
      <c r="Q906">
        <f t="shared" si="79"/>
        <v>-7.2759576141834259E-12</v>
      </c>
    </row>
    <row r="907" spans="1:17" x14ac:dyDescent="0.35">
      <c r="A907">
        <v>2035</v>
      </c>
      <c r="B907" t="s">
        <v>6</v>
      </c>
      <c r="C907" t="s">
        <v>9</v>
      </c>
      <c r="D907" t="s">
        <v>16</v>
      </c>
      <c r="E907" t="s">
        <v>483</v>
      </c>
      <c r="F907" t="s">
        <v>80</v>
      </c>
      <c r="G907" s="31">
        <v>58674.162846282037</v>
      </c>
      <c r="H907" s="31">
        <v>0</v>
      </c>
      <c r="I907" s="31">
        <v>0</v>
      </c>
      <c r="J907" s="32">
        <f t="shared" si="75"/>
        <v>0</v>
      </c>
      <c r="K907" s="31">
        <v>133350.37010518639</v>
      </c>
      <c r="L907" s="31">
        <v>58674.162846282037</v>
      </c>
      <c r="M907" s="32">
        <f t="shared" si="76"/>
        <v>58674.162846282037</v>
      </c>
      <c r="N907" s="33">
        <f>Result_notebook!L907</f>
        <v>0.439346565686978</v>
      </c>
      <c r="O907" s="31">
        <f t="shared" si="77"/>
        <v>0</v>
      </c>
      <c r="P907" s="31">
        <f t="shared" si="80"/>
        <v>0</v>
      </c>
      <c r="Q907">
        <f t="shared" si="79"/>
        <v>0</v>
      </c>
    </row>
    <row r="908" spans="1:17" x14ac:dyDescent="0.35">
      <c r="A908">
        <v>2035</v>
      </c>
      <c r="B908" t="s">
        <v>6</v>
      </c>
      <c r="C908" t="s">
        <v>9</v>
      </c>
      <c r="D908" t="s">
        <v>16</v>
      </c>
      <c r="E908" t="s">
        <v>483</v>
      </c>
      <c r="F908" t="s">
        <v>81</v>
      </c>
      <c r="G908" s="31">
        <v>58674.162846282037</v>
      </c>
      <c r="H908" s="31">
        <v>3079</v>
      </c>
      <c r="I908" s="31">
        <v>1306.05584956232</v>
      </c>
      <c r="J908" s="32">
        <f t="shared" si="75"/>
        <v>46.692226187885353</v>
      </c>
      <c r="K908" s="31">
        <v>130271.3701051864</v>
      </c>
      <c r="L908" s="31">
        <v>57368.106996719718</v>
      </c>
      <c r="M908" s="32">
        <f t="shared" si="76"/>
        <v>57321.414770531832</v>
      </c>
      <c r="N908" s="33">
        <f>Result_notebook!L908</f>
        <v>0.439346565686978</v>
      </c>
      <c r="O908" s="31">
        <f t="shared" si="77"/>
        <v>0</v>
      </c>
      <c r="P908" s="31">
        <f t="shared" si="80"/>
        <v>0</v>
      </c>
      <c r="Q908">
        <f t="shared" si="79"/>
        <v>46.692226187885353</v>
      </c>
    </row>
    <row r="909" spans="1:17" x14ac:dyDescent="0.35">
      <c r="A909">
        <v>2035</v>
      </c>
      <c r="B909" t="s">
        <v>6</v>
      </c>
      <c r="C909" t="s">
        <v>9</v>
      </c>
      <c r="D909" t="s">
        <v>18</v>
      </c>
      <c r="E909" t="s">
        <v>483</v>
      </c>
      <c r="F909" t="s">
        <v>85</v>
      </c>
      <c r="G909" s="31">
        <v>58674.162846282037</v>
      </c>
      <c r="H909" s="31">
        <v>15489.26488622676</v>
      </c>
      <c r="I909" s="31">
        <v>6570.2646996026942</v>
      </c>
      <c r="J909" s="32">
        <f t="shared" si="75"/>
        <v>234.89063317693217</v>
      </c>
      <c r="K909" s="31">
        <v>117861.1052189597</v>
      </c>
      <c r="L909" s="31">
        <v>52103.898146679341</v>
      </c>
      <c r="M909" s="32">
        <f t="shared" si="76"/>
        <v>51869.007513502409</v>
      </c>
      <c r="N909" s="33">
        <f>Result_notebook!L909</f>
        <v>0.439346565686978</v>
      </c>
      <c r="O909" s="31">
        <f t="shared" si="77"/>
        <v>0</v>
      </c>
      <c r="P909" s="31">
        <f t="shared" si="80"/>
        <v>0</v>
      </c>
      <c r="Q909">
        <f t="shared" si="79"/>
        <v>234.89063317693217</v>
      </c>
    </row>
    <row r="910" spans="1:17" x14ac:dyDescent="0.35">
      <c r="A910">
        <v>2035</v>
      </c>
      <c r="B910" t="s">
        <v>6</v>
      </c>
      <c r="C910" t="s">
        <v>9</v>
      </c>
      <c r="D910" t="s">
        <v>18</v>
      </c>
      <c r="E910" t="s">
        <v>483</v>
      </c>
      <c r="F910" t="s">
        <v>86</v>
      </c>
      <c r="G910" s="31">
        <v>58674.162846282037</v>
      </c>
      <c r="H910" s="31">
        <v>15489.26488622676</v>
      </c>
      <c r="I910" s="31">
        <v>6570.2646996026942</v>
      </c>
      <c r="J910" s="32">
        <f t="shared" si="75"/>
        <v>234.89063317693217</v>
      </c>
      <c r="K910" s="31">
        <v>117861.1052189597</v>
      </c>
      <c r="L910" s="31">
        <v>52103.898146679341</v>
      </c>
      <c r="M910" s="32">
        <f t="shared" si="76"/>
        <v>51869.007513502409</v>
      </c>
      <c r="N910" s="33">
        <f>Result_notebook!L910</f>
        <v>0.439346565686978</v>
      </c>
      <c r="O910" s="31">
        <f t="shared" si="77"/>
        <v>0</v>
      </c>
      <c r="P910" s="31">
        <f t="shared" si="80"/>
        <v>0</v>
      </c>
      <c r="Q910">
        <f t="shared" si="79"/>
        <v>234.89063317693217</v>
      </c>
    </row>
    <row r="911" spans="1:17" x14ac:dyDescent="0.35">
      <c r="A911">
        <v>2035</v>
      </c>
      <c r="B911" t="s">
        <v>6</v>
      </c>
      <c r="C911" t="s">
        <v>9</v>
      </c>
      <c r="D911" t="s">
        <v>18</v>
      </c>
      <c r="E911" t="s">
        <v>490</v>
      </c>
      <c r="F911" t="s">
        <v>82</v>
      </c>
      <c r="G911" s="31">
        <v>58674.162846282037</v>
      </c>
      <c r="H911" s="31">
        <v>15489.26488622676</v>
      </c>
      <c r="I911" s="31">
        <v>6805.1553327796337</v>
      </c>
      <c r="J911" s="32">
        <f t="shared" si="75"/>
        <v>-7.2759576141834259E-12</v>
      </c>
      <c r="K911" s="31">
        <v>117861.1052189597</v>
      </c>
      <c r="L911" s="31">
        <v>51869.007513502402</v>
      </c>
      <c r="M911" s="32">
        <f t="shared" si="76"/>
        <v>51869.007513502409</v>
      </c>
      <c r="N911" s="33">
        <f>Result_notebook!L911</f>
        <v>0.439346565686978</v>
      </c>
      <c r="O911" s="31">
        <f t="shared" si="77"/>
        <v>0</v>
      </c>
      <c r="P911" s="31">
        <f t="shared" si="80"/>
        <v>0</v>
      </c>
      <c r="Q911">
        <f t="shared" si="79"/>
        <v>-7.2759576141834259E-12</v>
      </c>
    </row>
    <row r="912" spans="1:17" x14ac:dyDescent="0.35">
      <c r="A912">
        <v>2035</v>
      </c>
      <c r="B912" t="s">
        <v>6</v>
      </c>
      <c r="C912" t="s">
        <v>10</v>
      </c>
      <c r="D912" t="s">
        <v>16</v>
      </c>
      <c r="E912" t="s">
        <v>483</v>
      </c>
      <c r="F912" t="s">
        <v>80</v>
      </c>
      <c r="G912" s="31">
        <v>144963.80013112261</v>
      </c>
      <c r="H912" s="31">
        <v>0</v>
      </c>
      <c r="I912" s="31">
        <v>0</v>
      </c>
      <c r="J912" s="32">
        <f t="shared" si="75"/>
        <v>0</v>
      </c>
      <c r="K912" s="31">
        <v>329463.18211618782</v>
      </c>
      <c r="L912" s="31">
        <v>144963.80013112261</v>
      </c>
      <c r="M912" s="32">
        <f t="shared" si="76"/>
        <v>144963.80013112261</v>
      </c>
      <c r="N912" s="33">
        <f>Result_notebook!L912</f>
        <v>0.439346565686978</v>
      </c>
      <c r="O912" s="31">
        <f t="shared" si="77"/>
        <v>0</v>
      </c>
      <c r="P912" s="31">
        <f t="shared" si="80"/>
        <v>0</v>
      </c>
      <c r="Q912">
        <f t="shared" si="79"/>
        <v>0</v>
      </c>
    </row>
    <row r="913" spans="1:17" x14ac:dyDescent="0.35">
      <c r="A913">
        <v>2035</v>
      </c>
      <c r="B913" t="s">
        <v>6</v>
      </c>
      <c r="C913" t="s">
        <v>10</v>
      </c>
      <c r="D913" t="s">
        <v>16</v>
      </c>
      <c r="E913" t="s">
        <v>483</v>
      </c>
      <c r="F913" t="s">
        <v>81</v>
      </c>
      <c r="G913" s="31">
        <v>144963.80013112261</v>
      </c>
      <c r="H913" s="31">
        <v>3079</v>
      </c>
      <c r="I913" s="31">
        <v>1306.05584956232</v>
      </c>
      <c r="J913" s="32">
        <f t="shared" si="75"/>
        <v>46.692226187885353</v>
      </c>
      <c r="K913" s="31">
        <v>326384.18211618782</v>
      </c>
      <c r="L913" s="31">
        <v>143657.7442815603</v>
      </c>
      <c r="M913" s="32">
        <f t="shared" si="76"/>
        <v>143611.05205537242</v>
      </c>
      <c r="N913" s="33">
        <f>Result_notebook!L913</f>
        <v>0.439346565686978</v>
      </c>
      <c r="O913" s="31">
        <f t="shared" si="77"/>
        <v>0</v>
      </c>
      <c r="P913" s="31">
        <f t="shared" si="80"/>
        <v>0</v>
      </c>
      <c r="Q913">
        <f t="shared" si="79"/>
        <v>46.692226187885353</v>
      </c>
    </row>
    <row r="914" spans="1:17" x14ac:dyDescent="0.35">
      <c r="A914">
        <v>2035</v>
      </c>
      <c r="B914" t="s">
        <v>6</v>
      </c>
      <c r="C914" t="s">
        <v>10</v>
      </c>
      <c r="D914" t="s">
        <v>18</v>
      </c>
      <c r="E914" t="s">
        <v>483</v>
      </c>
      <c r="F914" t="s">
        <v>85</v>
      </c>
      <c r="G914" s="31">
        <v>144963.80013112261</v>
      </c>
      <c r="H914" s="31">
        <v>15489.26488622676</v>
      </c>
      <c r="I914" s="31">
        <v>6570.2646996026942</v>
      </c>
      <c r="J914" s="32">
        <f t="shared" si="75"/>
        <v>234.89063317693217</v>
      </c>
      <c r="K914" s="31">
        <v>313973.91722996102</v>
      </c>
      <c r="L914" s="31">
        <v>138393.53543151991</v>
      </c>
      <c r="M914" s="32">
        <f t="shared" si="76"/>
        <v>138158.64479834298</v>
      </c>
      <c r="N914" s="33">
        <f>Result_notebook!L914</f>
        <v>0.439346565686978</v>
      </c>
      <c r="O914" s="31">
        <f t="shared" si="77"/>
        <v>0</v>
      </c>
      <c r="P914" s="31">
        <f t="shared" si="80"/>
        <v>0</v>
      </c>
      <c r="Q914">
        <f t="shared" si="79"/>
        <v>234.89063317693217</v>
      </c>
    </row>
    <row r="915" spans="1:17" x14ac:dyDescent="0.35">
      <c r="A915">
        <v>2035</v>
      </c>
      <c r="B915" t="s">
        <v>6</v>
      </c>
      <c r="C915" t="s">
        <v>10</v>
      </c>
      <c r="D915" t="s">
        <v>18</v>
      </c>
      <c r="E915" t="s">
        <v>483</v>
      </c>
      <c r="F915" t="s">
        <v>86</v>
      </c>
      <c r="G915" s="31">
        <v>144963.80013112261</v>
      </c>
      <c r="H915" s="31">
        <v>15489.26488622676</v>
      </c>
      <c r="I915" s="31">
        <v>6570.2646996026942</v>
      </c>
      <c r="J915" s="32">
        <f t="shared" si="75"/>
        <v>234.89063317693217</v>
      </c>
      <c r="K915" s="31">
        <v>313973.91722996102</v>
      </c>
      <c r="L915" s="31">
        <v>138393.53543151991</v>
      </c>
      <c r="M915" s="32">
        <f t="shared" si="76"/>
        <v>138158.64479834298</v>
      </c>
      <c r="N915" s="33">
        <f>Result_notebook!L915</f>
        <v>0.439346565686978</v>
      </c>
      <c r="O915" s="31">
        <f t="shared" si="77"/>
        <v>0</v>
      </c>
      <c r="P915" s="31">
        <f t="shared" si="80"/>
        <v>0</v>
      </c>
      <c r="Q915">
        <f t="shared" si="79"/>
        <v>234.89063317693217</v>
      </c>
    </row>
    <row r="916" spans="1:17" x14ac:dyDescent="0.35">
      <c r="A916">
        <v>2035</v>
      </c>
      <c r="B916" t="s">
        <v>6</v>
      </c>
      <c r="C916" t="s">
        <v>10</v>
      </c>
      <c r="D916" t="s">
        <v>18</v>
      </c>
      <c r="E916" t="s">
        <v>490</v>
      </c>
      <c r="F916" t="s">
        <v>82</v>
      </c>
      <c r="G916" s="31">
        <v>144963.80013112261</v>
      </c>
      <c r="H916" s="31">
        <v>15489.26488622676</v>
      </c>
      <c r="I916" s="31">
        <v>6805.1553327796337</v>
      </c>
      <c r="J916" s="32">
        <f t="shared" si="75"/>
        <v>-7.2759576141834259E-12</v>
      </c>
      <c r="K916" s="31">
        <v>313973.91722996102</v>
      </c>
      <c r="L916" s="31">
        <v>138158.64479834301</v>
      </c>
      <c r="M916" s="32">
        <f t="shared" si="76"/>
        <v>138158.64479834301</v>
      </c>
      <c r="N916" s="33">
        <f>Result_notebook!L916</f>
        <v>0.439346565686978</v>
      </c>
      <c r="O916" s="31">
        <f t="shared" si="77"/>
        <v>0</v>
      </c>
      <c r="P916" s="31">
        <f t="shared" si="80"/>
        <v>0</v>
      </c>
      <c r="Q916">
        <f t="shared" si="79"/>
        <v>-7.2759576141834259E-12</v>
      </c>
    </row>
    <row r="917" spans="1:17" x14ac:dyDescent="0.35">
      <c r="A917">
        <v>2035</v>
      </c>
      <c r="B917" t="s">
        <v>7</v>
      </c>
      <c r="C917" t="s">
        <v>4</v>
      </c>
      <c r="D917" t="s">
        <v>16</v>
      </c>
      <c r="E917" t="s">
        <v>483</v>
      </c>
      <c r="F917" t="s">
        <v>80</v>
      </c>
      <c r="G917" s="31">
        <v>1380748.71092915</v>
      </c>
      <c r="H917" s="31">
        <v>0</v>
      </c>
      <c r="I917" s="31">
        <v>0</v>
      </c>
      <c r="J917" s="32">
        <f t="shared" si="75"/>
        <v>0</v>
      </c>
      <c r="K917" s="31">
        <v>1663552.6637700601</v>
      </c>
      <c r="L917" s="31">
        <v>1380748.71092915</v>
      </c>
      <c r="M917" s="32">
        <f t="shared" si="76"/>
        <v>1380748.71092915</v>
      </c>
      <c r="N917" s="33">
        <f>Result_notebook!L917</f>
        <v>0.83474576271186396</v>
      </c>
      <c r="O917" s="31">
        <f t="shared" si="77"/>
        <v>0</v>
      </c>
      <c r="P917" s="31">
        <f t="shared" si="80"/>
        <v>0</v>
      </c>
      <c r="Q917">
        <f t="shared" si="79"/>
        <v>0</v>
      </c>
    </row>
    <row r="918" spans="1:17" x14ac:dyDescent="0.35">
      <c r="A918">
        <v>2035</v>
      </c>
      <c r="B918" t="s">
        <v>7</v>
      </c>
      <c r="C918" t="s">
        <v>4</v>
      </c>
      <c r="D918" t="s">
        <v>16</v>
      </c>
      <c r="E918" t="s">
        <v>483</v>
      </c>
      <c r="F918" t="s">
        <v>81</v>
      </c>
      <c r="G918" s="31">
        <v>1380748.71092915</v>
      </c>
      <c r="H918" s="31">
        <v>268899</v>
      </c>
      <c r="I918" s="31">
        <v>141335.65045528009</v>
      </c>
      <c r="J918" s="32">
        <f t="shared" si="75"/>
        <v>83126.650392177427</v>
      </c>
      <c r="K918" s="31">
        <v>1394653.6637700601</v>
      </c>
      <c r="L918" s="31">
        <v>1239413.06047387</v>
      </c>
      <c r="M918" s="32">
        <f t="shared" si="76"/>
        <v>1156286.4100816925</v>
      </c>
      <c r="N918" s="33">
        <f>Result_notebook!L918</f>
        <v>0.83474576271186396</v>
      </c>
      <c r="O918" s="31">
        <f t="shared" si="77"/>
        <v>0</v>
      </c>
      <c r="P918" s="31">
        <f t="shared" si="80"/>
        <v>0</v>
      </c>
      <c r="Q918">
        <f t="shared" si="79"/>
        <v>83126.650392177427</v>
      </c>
    </row>
    <row r="919" spans="1:17" x14ac:dyDescent="0.35">
      <c r="A919">
        <v>2035</v>
      </c>
      <c r="B919" t="s">
        <v>7</v>
      </c>
      <c r="C919" t="s">
        <v>4</v>
      </c>
      <c r="D919" t="s">
        <v>18</v>
      </c>
      <c r="E919" t="s">
        <v>483</v>
      </c>
      <c r="F919" t="s">
        <v>85</v>
      </c>
      <c r="G919" s="31">
        <v>1380748.71092915</v>
      </c>
      <c r="H919" s="31">
        <v>880689.46172873862</v>
      </c>
      <c r="I919" s="31">
        <v>462898.03205866081</v>
      </c>
      <c r="J919" s="32">
        <f t="shared" si="75"/>
        <v>272253.76438439608</v>
      </c>
      <c r="K919" s="31">
        <v>782863.20204132167</v>
      </c>
      <c r="L919" s="31">
        <v>917850.67887048912</v>
      </c>
      <c r="M919" s="32">
        <f t="shared" si="76"/>
        <v>645596.91448609298</v>
      </c>
      <c r="N919" s="33">
        <f>Result_notebook!L919</f>
        <v>0.83474576271186396</v>
      </c>
      <c r="O919" s="31">
        <f t="shared" si="77"/>
        <v>0</v>
      </c>
      <c r="P919" s="31">
        <f t="shared" si="80"/>
        <v>0</v>
      </c>
      <c r="Q919">
        <f t="shared" si="79"/>
        <v>272253.76438439608</v>
      </c>
    </row>
    <row r="920" spans="1:17" x14ac:dyDescent="0.35">
      <c r="A920">
        <v>2035</v>
      </c>
      <c r="B920" t="s">
        <v>7</v>
      </c>
      <c r="C920" t="s">
        <v>4</v>
      </c>
      <c r="D920" t="s">
        <v>18</v>
      </c>
      <c r="E920" t="s">
        <v>483</v>
      </c>
      <c r="F920" t="s">
        <v>86</v>
      </c>
      <c r="G920" s="31">
        <v>1380748.71092915</v>
      </c>
      <c r="H920" s="31">
        <v>880689.46172873862</v>
      </c>
      <c r="I920" s="31">
        <v>462898.03205866081</v>
      </c>
      <c r="J920" s="32">
        <f t="shared" si="75"/>
        <v>272253.76438439608</v>
      </c>
      <c r="K920" s="31">
        <v>782863.20204132167</v>
      </c>
      <c r="L920" s="31">
        <v>917850.67887048912</v>
      </c>
      <c r="M920" s="32">
        <f t="shared" si="76"/>
        <v>645596.91448609298</v>
      </c>
      <c r="N920" s="33">
        <f>Result_notebook!L920</f>
        <v>0.83474576271186396</v>
      </c>
      <c r="O920" s="31">
        <f t="shared" si="77"/>
        <v>0</v>
      </c>
      <c r="P920" s="31">
        <f t="shared" si="80"/>
        <v>0</v>
      </c>
      <c r="Q920">
        <f t="shared" si="79"/>
        <v>272253.76438439608</v>
      </c>
    </row>
    <row r="921" spans="1:17" x14ac:dyDescent="0.35">
      <c r="A921">
        <v>2035</v>
      </c>
      <c r="B921" t="s">
        <v>7</v>
      </c>
      <c r="C921" t="s">
        <v>4</v>
      </c>
      <c r="D921" t="s">
        <v>18</v>
      </c>
      <c r="E921" t="s">
        <v>490</v>
      </c>
      <c r="F921" t="s">
        <v>82</v>
      </c>
      <c r="G921" s="31">
        <v>1380748.71092915</v>
      </c>
      <c r="H921" s="31">
        <v>880689.46172873862</v>
      </c>
      <c r="I921" s="31">
        <v>735151.79644305725</v>
      </c>
      <c r="J921" s="32">
        <f t="shared" si="75"/>
        <v>0</v>
      </c>
      <c r="K921" s="31">
        <v>782863.20204132167</v>
      </c>
      <c r="L921" s="31">
        <v>645596.91448609275</v>
      </c>
      <c r="M921" s="32">
        <f t="shared" si="76"/>
        <v>645596.91448609275</v>
      </c>
      <c r="N921" s="33">
        <f>Result_notebook!L921</f>
        <v>0.83474576271186396</v>
      </c>
      <c r="O921" s="31">
        <f t="shared" si="77"/>
        <v>0</v>
      </c>
      <c r="P921" s="31">
        <f t="shared" si="80"/>
        <v>0</v>
      </c>
      <c r="Q921">
        <f t="shared" si="79"/>
        <v>0</v>
      </c>
    </row>
    <row r="922" spans="1:17" x14ac:dyDescent="0.35">
      <c r="A922">
        <v>2035</v>
      </c>
      <c r="B922" t="s">
        <v>7</v>
      </c>
      <c r="C922" t="s">
        <v>9</v>
      </c>
      <c r="D922" t="s">
        <v>16</v>
      </c>
      <c r="E922" t="s">
        <v>483</v>
      </c>
      <c r="F922" t="s">
        <v>80</v>
      </c>
      <c r="G922" s="31">
        <v>1076342.608390369</v>
      </c>
      <c r="H922" s="31">
        <v>0</v>
      </c>
      <c r="I922" s="31">
        <v>0</v>
      </c>
      <c r="J922" s="32">
        <f t="shared" si="75"/>
        <v>0</v>
      </c>
      <c r="K922" s="31">
        <v>1296798.3233618899</v>
      </c>
      <c r="L922" s="31">
        <v>1076342.608390369</v>
      </c>
      <c r="M922" s="32">
        <f t="shared" si="76"/>
        <v>1076342.608390369</v>
      </c>
      <c r="N922" s="33">
        <f>Result_notebook!L922</f>
        <v>0.83474576271186396</v>
      </c>
      <c r="O922" s="31">
        <f t="shared" si="77"/>
        <v>0</v>
      </c>
      <c r="P922" s="31">
        <f t="shared" si="80"/>
        <v>0</v>
      </c>
      <c r="Q922">
        <f t="shared" si="79"/>
        <v>0</v>
      </c>
    </row>
    <row r="923" spans="1:17" x14ac:dyDescent="0.35">
      <c r="A923">
        <v>2035</v>
      </c>
      <c r="B923" t="s">
        <v>7</v>
      </c>
      <c r="C923" t="s">
        <v>9</v>
      </c>
      <c r="D923" t="s">
        <v>16</v>
      </c>
      <c r="E923" t="s">
        <v>483</v>
      </c>
      <c r="F923" t="s">
        <v>81</v>
      </c>
      <c r="G923" s="31">
        <v>1076342.608390369</v>
      </c>
      <c r="H923" s="31">
        <v>268899</v>
      </c>
      <c r="I923" s="31">
        <v>141335.65045528009</v>
      </c>
      <c r="J923" s="32">
        <f t="shared" si="75"/>
        <v>83126.650392177427</v>
      </c>
      <c r="K923" s="31">
        <v>1027899.32336189</v>
      </c>
      <c r="L923" s="31">
        <v>935006.95793508878</v>
      </c>
      <c r="M923" s="32">
        <f t="shared" si="76"/>
        <v>851880.30754291138</v>
      </c>
      <c r="N923" s="33">
        <f>Result_notebook!L923</f>
        <v>0.83474576271186396</v>
      </c>
      <c r="O923" s="31">
        <f t="shared" si="77"/>
        <v>0</v>
      </c>
      <c r="P923" s="31">
        <f t="shared" si="80"/>
        <v>0</v>
      </c>
      <c r="Q923">
        <f t="shared" si="79"/>
        <v>83126.650392177427</v>
      </c>
    </row>
    <row r="924" spans="1:17" x14ac:dyDescent="0.35">
      <c r="A924">
        <v>2035</v>
      </c>
      <c r="B924" t="s">
        <v>7</v>
      </c>
      <c r="C924" t="s">
        <v>9</v>
      </c>
      <c r="D924" t="s">
        <v>18</v>
      </c>
      <c r="E924" t="s">
        <v>483</v>
      </c>
      <c r="F924" t="s">
        <v>85</v>
      </c>
      <c r="G924" s="31">
        <v>1076342.608390369</v>
      </c>
      <c r="H924" s="31">
        <v>880689.46172873862</v>
      </c>
      <c r="I924" s="31">
        <v>462898.03205866081</v>
      </c>
      <c r="J924" s="32">
        <f t="shared" si="75"/>
        <v>272253.76438439608</v>
      </c>
      <c r="K924" s="31">
        <v>416108.86163315183</v>
      </c>
      <c r="L924" s="31">
        <v>613444.57633170811</v>
      </c>
      <c r="M924" s="32">
        <f t="shared" si="76"/>
        <v>341190.81194731203</v>
      </c>
      <c r="N924" s="33">
        <f>Result_notebook!L924</f>
        <v>0.83474576271186396</v>
      </c>
      <c r="O924" s="31">
        <f t="shared" si="77"/>
        <v>0</v>
      </c>
      <c r="P924" s="31">
        <f t="shared" si="80"/>
        <v>0</v>
      </c>
      <c r="Q924">
        <f t="shared" si="79"/>
        <v>272253.76438439608</v>
      </c>
    </row>
    <row r="925" spans="1:17" x14ac:dyDescent="0.35">
      <c r="A925">
        <v>2035</v>
      </c>
      <c r="B925" t="s">
        <v>7</v>
      </c>
      <c r="C925" t="s">
        <v>9</v>
      </c>
      <c r="D925" t="s">
        <v>18</v>
      </c>
      <c r="E925" t="s">
        <v>483</v>
      </c>
      <c r="F925" t="s">
        <v>86</v>
      </c>
      <c r="G925" s="31">
        <v>1076342.608390369</v>
      </c>
      <c r="H925" s="31">
        <v>880689.46172873862</v>
      </c>
      <c r="I925" s="31">
        <v>462898.03205866081</v>
      </c>
      <c r="J925" s="32">
        <f t="shared" si="75"/>
        <v>272253.76438439608</v>
      </c>
      <c r="K925" s="31">
        <v>416108.86163315183</v>
      </c>
      <c r="L925" s="31">
        <v>613444.57633170811</v>
      </c>
      <c r="M925" s="32">
        <f t="shared" si="76"/>
        <v>341190.81194731203</v>
      </c>
      <c r="N925" s="33">
        <f>Result_notebook!L925</f>
        <v>0.83474576271186396</v>
      </c>
      <c r="O925" s="31">
        <f t="shared" si="77"/>
        <v>0</v>
      </c>
      <c r="P925" s="31">
        <f t="shared" si="80"/>
        <v>0</v>
      </c>
      <c r="Q925">
        <f t="shared" si="79"/>
        <v>272253.76438439608</v>
      </c>
    </row>
    <row r="926" spans="1:17" x14ac:dyDescent="0.35">
      <c r="A926">
        <v>2035</v>
      </c>
      <c r="B926" t="s">
        <v>7</v>
      </c>
      <c r="C926" t="s">
        <v>9</v>
      </c>
      <c r="D926" t="s">
        <v>18</v>
      </c>
      <c r="E926" t="s">
        <v>490</v>
      </c>
      <c r="F926" t="s">
        <v>82</v>
      </c>
      <c r="G926" s="31">
        <v>1076342.608390369</v>
      </c>
      <c r="H926" s="31">
        <v>880689.46172873862</v>
      </c>
      <c r="I926" s="31">
        <v>735151.79644305725</v>
      </c>
      <c r="J926" s="32">
        <f t="shared" si="75"/>
        <v>0</v>
      </c>
      <c r="K926" s="31">
        <v>416108.86163315183</v>
      </c>
      <c r="L926" s="31">
        <v>341190.81194731168</v>
      </c>
      <c r="M926" s="32">
        <f t="shared" si="76"/>
        <v>341190.81194731168</v>
      </c>
      <c r="N926" s="33">
        <f>Result_notebook!L926</f>
        <v>0.83474576271186396</v>
      </c>
      <c r="O926" s="31">
        <f t="shared" si="77"/>
        <v>0</v>
      </c>
      <c r="P926" s="31">
        <f t="shared" si="80"/>
        <v>0</v>
      </c>
      <c r="Q926">
        <f t="shared" si="79"/>
        <v>0</v>
      </c>
    </row>
    <row r="927" spans="1:17" x14ac:dyDescent="0.35">
      <c r="A927">
        <v>2035</v>
      </c>
      <c r="B927" t="s">
        <v>7</v>
      </c>
      <c r="C927" t="s">
        <v>10</v>
      </c>
      <c r="D927" t="s">
        <v>16</v>
      </c>
      <c r="E927" t="s">
        <v>483</v>
      </c>
      <c r="F927" t="s">
        <v>80</v>
      </c>
      <c r="G927" s="31">
        <v>1323110.8219487551</v>
      </c>
      <c r="H927" s="31">
        <v>0</v>
      </c>
      <c r="I927" s="31">
        <v>0</v>
      </c>
      <c r="J927" s="32">
        <f t="shared" si="75"/>
        <v>0</v>
      </c>
      <c r="K927" s="31">
        <v>1594109.4240346451</v>
      </c>
      <c r="L927" s="31">
        <v>1323110.8219487551</v>
      </c>
      <c r="M927" s="32">
        <f t="shared" si="76"/>
        <v>1323110.8219487551</v>
      </c>
      <c r="N927" s="33">
        <f>Result_notebook!L927</f>
        <v>0.83474576271186396</v>
      </c>
      <c r="O927" s="31">
        <f t="shared" si="77"/>
        <v>0</v>
      </c>
      <c r="P927" s="31">
        <f t="shared" si="80"/>
        <v>0</v>
      </c>
      <c r="Q927">
        <f t="shared" si="79"/>
        <v>0</v>
      </c>
    </row>
    <row r="928" spans="1:17" x14ac:dyDescent="0.35">
      <c r="A928">
        <v>2035</v>
      </c>
      <c r="B928" t="s">
        <v>7</v>
      </c>
      <c r="C928" t="s">
        <v>10</v>
      </c>
      <c r="D928" t="s">
        <v>16</v>
      </c>
      <c r="E928" t="s">
        <v>483</v>
      </c>
      <c r="F928" t="s">
        <v>81</v>
      </c>
      <c r="G928" s="31">
        <v>1323110.8219487551</v>
      </c>
      <c r="H928" s="31">
        <v>268899</v>
      </c>
      <c r="I928" s="31">
        <v>141335.65045528009</v>
      </c>
      <c r="J928" s="32">
        <f t="shared" si="75"/>
        <v>83126.650392177427</v>
      </c>
      <c r="K928" s="31">
        <v>1325210.4240346451</v>
      </c>
      <c r="L928" s="31">
        <v>1181775.1714934751</v>
      </c>
      <c r="M928" s="32">
        <f t="shared" si="76"/>
        <v>1098648.5211012976</v>
      </c>
      <c r="N928" s="33">
        <f>Result_notebook!L928</f>
        <v>0.83474576271186396</v>
      </c>
      <c r="O928" s="31">
        <f t="shared" si="77"/>
        <v>0</v>
      </c>
      <c r="P928" s="31">
        <f t="shared" si="80"/>
        <v>0</v>
      </c>
      <c r="Q928">
        <f t="shared" si="79"/>
        <v>83126.650392177427</v>
      </c>
    </row>
    <row r="929" spans="1:17" x14ac:dyDescent="0.35">
      <c r="A929">
        <v>2035</v>
      </c>
      <c r="B929" t="s">
        <v>7</v>
      </c>
      <c r="C929" t="s">
        <v>10</v>
      </c>
      <c r="D929" t="s">
        <v>18</v>
      </c>
      <c r="E929" t="s">
        <v>483</v>
      </c>
      <c r="F929" t="s">
        <v>85</v>
      </c>
      <c r="G929" s="31">
        <v>1323110.8219487551</v>
      </c>
      <c r="H929" s="31">
        <v>880689.46172873862</v>
      </c>
      <c r="I929" s="31">
        <v>462898.03205866081</v>
      </c>
      <c r="J929" s="32">
        <f t="shared" si="75"/>
        <v>272253.76438439608</v>
      </c>
      <c r="K929" s="31">
        <v>713419.96230590623</v>
      </c>
      <c r="L929" s="31">
        <v>860212.78989009419</v>
      </c>
      <c r="M929" s="32">
        <f t="shared" si="76"/>
        <v>587959.02550569805</v>
      </c>
      <c r="N929" s="33">
        <f>Result_notebook!L929</f>
        <v>0.83474576271186396</v>
      </c>
      <c r="O929" s="31">
        <f t="shared" si="77"/>
        <v>0</v>
      </c>
      <c r="P929" s="31">
        <f t="shared" si="80"/>
        <v>0</v>
      </c>
      <c r="Q929">
        <f t="shared" si="79"/>
        <v>272253.76438439608</v>
      </c>
    </row>
    <row r="930" spans="1:17" x14ac:dyDescent="0.35">
      <c r="A930">
        <v>2035</v>
      </c>
      <c r="B930" t="s">
        <v>7</v>
      </c>
      <c r="C930" t="s">
        <v>10</v>
      </c>
      <c r="D930" t="s">
        <v>18</v>
      </c>
      <c r="E930" t="s">
        <v>483</v>
      </c>
      <c r="F930" t="s">
        <v>86</v>
      </c>
      <c r="G930" s="31">
        <v>1323110.8219487551</v>
      </c>
      <c r="H930" s="31">
        <v>880689.46172873862</v>
      </c>
      <c r="I930" s="31">
        <v>462898.03205866081</v>
      </c>
      <c r="J930" s="32">
        <f t="shared" si="75"/>
        <v>272253.76438439608</v>
      </c>
      <c r="K930" s="31">
        <v>713419.96230590623</v>
      </c>
      <c r="L930" s="31">
        <v>860212.78989009419</v>
      </c>
      <c r="M930" s="32">
        <f t="shared" si="76"/>
        <v>587959.02550569805</v>
      </c>
      <c r="N930" s="33">
        <f>Result_notebook!L930</f>
        <v>0.83474576271186396</v>
      </c>
      <c r="O930" s="31">
        <f t="shared" si="77"/>
        <v>0</v>
      </c>
      <c r="P930" s="31">
        <f t="shared" si="80"/>
        <v>0</v>
      </c>
      <c r="Q930">
        <f t="shared" si="79"/>
        <v>272253.76438439608</v>
      </c>
    </row>
    <row r="931" spans="1:17" x14ac:dyDescent="0.35">
      <c r="A931">
        <v>2035</v>
      </c>
      <c r="B931" t="s">
        <v>7</v>
      </c>
      <c r="C931" t="s">
        <v>10</v>
      </c>
      <c r="D931" t="s">
        <v>18</v>
      </c>
      <c r="E931" t="s">
        <v>490</v>
      </c>
      <c r="F931" t="s">
        <v>82</v>
      </c>
      <c r="G931" s="31">
        <v>1323110.8219487551</v>
      </c>
      <c r="H931" s="31">
        <v>880689.46172873862</v>
      </c>
      <c r="I931" s="31">
        <v>735151.79644305725</v>
      </c>
      <c r="J931" s="32">
        <f t="shared" si="75"/>
        <v>0</v>
      </c>
      <c r="K931" s="31">
        <v>713419.96230590623</v>
      </c>
      <c r="L931" s="31">
        <v>587959.02550569782</v>
      </c>
      <c r="M931" s="32">
        <f t="shared" si="76"/>
        <v>587959.02550569782</v>
      </c>
      <c r="N931" s="33">
        <f>Result_notebook!L931</f>
        <v>0.83474576271186396</v>
      </c>
      <c r="O931" s="31">
        <f t="shared" si="77"/>
        <v>0</v>
      </c>
      <c r="P931" s="31">
        <f t="shared" si="80"/>
        <v>0</v>
      </c>
      <c r="Q931">
        <f t="shared" si="79"/>
        <v>0</v>
      </c>
    </row>
    <row r="932" spans="1:17" x14ac:dyDescent="0.35">
      <c r="A932">
        <v>2035</v>
      </c>
      <c r="B932" t="s">
        <v>11</v>
      </c>
      <c r="C932" t="s">
        <v>4</v>
      </c>
      <c r="D932" t="s">
        <v>16</v>
      </c>
      <c r="E932" t="s">
        <v>483</v>
      </c>
      <c r="F932" t="s">
        <v>80</v>
      </c>
      <c r="G932" s="31">
        <v>4963.692314413418</v>
      </c>
      <c r="H932" s="31">
        <v>0</v>
      </c>
      <c r="I932" s="31">
        <v>0</v>
      </c>
      <c r="J932" s="32">
        <f t="shared" si="75"/>
        <v>0</v>
      </c>
      <c r="K932" s="31">
        <v>8272.8205240223633</v>
      </c>
      <c r="L932" s="31">
        <v>4963.692314413418</v>
      </c>
      <c r="M932" s="32">
        <f t="shared" si="76"/>
        <v>4963.692314413418</v>
      </c>
      <c r="N932" s="33">
        <f>Result_notebook!L932</f>
        <v>1</v>
      </c>
      <c r="O932" s="31">
        <f t="shared" si="77"/>
        <v>0</v>
      </c>
      <c r="P932" s="31">
        <f t="shared" si="80"/>
        <v>0</v>
      </c>
      <c r="Q932">
        <f t="shared" si="79"/>
        <v>0</v>
      </c>
    </row>
    <row r="933" spans="1:17" x14ac:dyDescent="0.35">
      <c r="A933">
        <v>2035</v>
      </c>
      <c r="B933" t="s">
        <v>11</v>
      </c>
      <c r="C933" t="s">
        <v>4</v>
      </c>
      <c r="D933" t="s">
        <v>16</v>
      </c>
      <c r="E933" t="s">
        <v>483</v>
      </c>
      <c r="F933" t="s">
        <v>81</v>
      </c>
      <c r="G933" s="31">
        <v>4963.692314413418</v>
      </c>
      <c r="H933" s="31">
        <v>0</v>
      </c>
      <c r="I933" s="31">
        <v>0</v>
      </c>
      <c r="J933" s="32">
        <f t="shared" si="75"/>
        <v>0</v>
      </c>
      <c r="K933" s="31">
        <v>8272.8205240223633</v>
      </c>
      <c r="L933" s="31">
        <v>4963.692314413418</v>
      </c>
      <c r="M933" s="32">
        <f t="shared" si="76"/>
        <v>4963.692314413418</v>
      </c>
      <c r="N933" s="33">
        <f>Result_notebook!L933</f>
        <v>1</v>
      </c>
      <c r="O933" s="31">
        <f t="shared" si="77"/>
        <v>0</v>
      </c>
      <c r="P933" s="31">
        <f t="shared" si="80"/>
        <v>0</v>
      </c>
      <c r="Q933">
        <f t="shared" si="79"/>
        <v>0</v>
      </c>
    </row>
    <row r="934" spans="1:17" x14ac:dyDescent="0.35">
      <c r="A934">
        <v>2035</v>
      </c>
      <c r="B934" t="s">
        <v>11</v>
      </c>
      <c r="C934" t="s">
        <v>4</v>
      </c>
      <c r="D934" t="s">
        <v>18</v>
      </c>
      <c r="E934" t="s">
        <v>483</v>
      </c>
      <c r="F934" t="s">
        <v>85</v>
      </c>
      <c r="G934" s="31">
        <v>4963.692314413418</v>
      </c>
      <c r="H934" s="31">
        <v>80.029175596616852</v>
      </c>
      <c r="I934" s="31">
        <v>47.900975994989473</v>
      </c>
      <c r="J934" s="32">
        <f t="shared" si="75"/>
        <v>32.128199601627379</v>
      </c>
      <c r="K934" s="31">
        <v>8192.791348425746</v>
      </c>
      <c r="L934" s="31">
        <v>4915.7913384184276</v>
      </c>
      <c r="M934" s="32">
        <f t="shared" si="76"/>
        <v>4883.6631388167998</v>
      </c>
      <c r="N934" s="33">
        <f>Result_notebook!L934</f>
        <v>1</v>
      </c>
      <c r="O934" s="31">
        <f t="shared" si="77"/>
        <v>0</v>
      </c>
      <c r="P934" s="31">
        <f t="shared" si="80"/>
        <v>0</v>
      </c>
      <c r="Q934">
        <f t="shared" si="79"/>
        <v>32.128199601627379</v>
      </c>
    </row>
    <row r="935" spans="1:17" x14ac:dyDescent="0.35">
      <c r="A935">
        <v>2035</v>
      </c>
      <c r="B935" t="s">
        <v>11</v>
      </c>
      <c r="C935" t="s">
        <v>4</v>
      </c>
      <c r="D935" t="s">
        <v>18</v>
      </c>
      <c r="E935" t="s">
        <v>483</v>
      </c>
      <c r="F935" t="s">
        <v>86</v>
      </c>
      <c r="G935" s="31">
        <v>4963.692314413418</v>
      </c>
      <c r="H935" s="31">
        <v>80.029175596616852</v>
      </c>
      <c r="I935" s="31">
        <v>47.900975994989473</v>
      </c>
      <c r="J935" s="32">
        <f t="shared" si="75"/>
        <v>32.128199601627379</v>
      </c>
      <c r="K935" s="31">
        <v>8192.791348425746</v>
      </c>
      <c r="L935" s="31">
        <v>4915.7913384184276</v>
      </c>
      <c r="M935" s="32">
        <f t="shared" si="76"/>
        <v>4883.6631388167998</v>
      </c>
      <c r="N935" s="33">
        <f>Result_notebook!L935</f>
        <v>1</v>
      </c>
      <c r="O935" s="31">
        <f t="shared" si="77"/>
        <v>0</v>
      </c>
      <c r="P935" s="31">
        <f t="shared" si="80"/>
        <v>0</v>
      </c>
      <c r="Q935">
        <f t="shared" si="79"/>
        <v>32.128199601627379</v>
      </c>
    </row>
    <row r="936" spans="1:17" x14ac:dyDescent="0.35">
      <c r="A936">
        <v>2035</v>
      </c>
      <c r="B936" t="s">
        <v>11</v>
      </c>
      <c r="C936" t="s">
        <v>4</v>
      </c>
      <c r="D936" t="s">
        <v>18</v>
      </c>
      <c r="E936" t="s">
        <v>490</v>
      </c>
      <c r="F936" t="s">
        <v>82</v>
      </c>
      <c r="G936" s="31">
        <v>4963.692314413418</v>
      </c>
      <c r="H936" s="31">
        <v>80.029175596616852</v>
      </c>
      <c r="I936" s="31">
        <v>47.900975994989473</v>
      </c>
      <c r="J936" s="32">
        <f t="shared" si="75"/>
        <v>32.128199601627379</v>
      </c>
      <c r="K936" s="31">
        <v>8192.791348425746</v>
      </c>
      <c r="L936" s="31">
        <v>4915.7913384184276</v>
      </c>
      <c r="M936" s="32">
        <f t="shared" si="76"/>
        <v>4883.6631388167998</v>
      </c>
      <c r="N936" s="33">
        <f>Result_notebook!L936</f>
        <v>1</v>
      </c>
      <c r="O936" s="31">
        <f t="shared" si="77"/>
        <v>0</v>
      </c>
      <c r="P936" s="31">
        <f t="shared" si="80"/>
        <v>0</v>
      </c>
      <c r="Q936">
        <f t="shared" si="79"/>
        <v>32.128199601627379</v>
      </c>
    </row>
    <row r="937" spans="1:17" x14ac:dyDescent="0.35">
      <c r="A937">
        <v>2035</v>
      </c>
      <c r="B937" t="s">
        <v>11</v>
      </c>
      <c r="C937" t="s">
        <v>9</v>
      </c>
      <c r="D937" t="s">
        <v>16</v>
      </c>
      <c r="E937" t="s">
        <v>483</v>
      </c>
      <c r="F937" t="s">
        <v>80</v>
      </c>
      <c r="G937" s="31">
        <v>1591.879620066579</v>
      </c>
      <c r="H937" s="31">
        <v>0</v>
      </c>
      <c r="I937" s="31">
        <v>0</v>
      </c>
      <c r="J937" s="32">
        <f t="shared" si="75"/>
        <v>0</v>
      </c>
      <c r="K937" s="31">
        <v>2653.1327001109648</v>
      </c>
      <c r="L937" s="31">
        <v>1591.879620066579</v>
      </c>
      <c r="M937" s="32">
        <f t="shared" si="76"/>
        <v>1591.879620066579</v>
      </c>
      <c r="N937" s="33">
        <f>Result_notebook!L937</f>
        <v>1</v>
      </c>
      <c r="O937" s="31">
        <f t="shared" si="77"/>
        <v>0</v>
      </c>
      <c r="P937" s="31">
        <f t="shared" si="80"/>
        <v>0</v>
      </c>
      <c r="Q937">
        <f t="shared" si="79"/>
        <v>0</v>
      </c>
    </row>
    <row r="938" spans="1:17" x14ac:dyDescent="0.35">
      <c r="A938">
        <v>2035</v>
      </c>
      <c r="B938" t="s">
        <v>11</v>
      </c>
      <c r="C938" t="s">
        <v>9</v>
      </c>
      <c r="D938" t="s">
        <v>16</v>
      </c>
      <c r="E938" t="s">
        <v>483</v>
      </c>
      <c r="F938" t="s">
        <v>81</v>
      </c>
      <c r="G938" s="31">
        <v>1591.879620066579</v>
      </c>
      <c r="H938" s="31">
        <v>0</v>
      </c>
      <c r="I938" s="31">
        <v>0</v>
      </c>
      <c r="J938" s="32">
        <f t="shared" si="75"/>
        <v>0</v>
      </c>
      <c r="K938" s="31">
        <v>2653.1327001109648</v>
      </c>
      <c r="L938" s="31">
        <v>1591.879620066579</v>
      </c>
      <c r="M938" s="32">
        <f t="shared" si="76"/>
        <v>1591.879620066579</v>
      </c>
      <c r="N938" s="33">
        <f>Result_notebook!L938</f>
        <v>1</v>
      </c>
      <c r="O938" s="31">
        <f t="shared" si="77"/>
        <v>0</v>
      </c>
      <c r="P938" s="31">
        <f t="shared" si="80"/>
        <v>0</v>
      </c>
      <c r="Q938">
        <f t="shared" si="79"/>
        <v>0</v>
      </c>
    </row>
    <row r="939" spans="1:17" x14ac:dyDescent="0.35">
      <c r="A939">
        <v>2035</v>
      </c>
      <c r="B939" t="s">
        <v>11</v>
      </c>
      <c r="C939" t="s">
        <v>9</v>
      </c>
      <c r="D939" t="s">
        <v>18</v>
      </c>
      <c r="E939" t="s">
        <v>483</v>
      </c>
      <c r="F939" t="s">
        <v>85</v>
      </c>
      <c r="G939" s="31">
        <v>1591.879620066579</v>
      </c>
      <c r="H939" s="31">
        <v>80.029175596616852</v>
      </c>
      <c r="I939" s="31">
        <v>47.900975994989473</v>
      </c>
      <c r="J939" s="32">
        <f t="shared" si="75"/>
        <v>32.128199601627379</v>
      </c>
      <c r="K939" s="31">
        <v>2573.103524514348</v>
      </c>
      <c r="L939" s="31">
        <v>1543.97864407159</v>
      </c>
      <c r="M939" s="32">
        <f t="shared" si="76"/>
        <v>1511.8504444699627</v>
      </c>
      <c r="N939" s="33">
        <f>Result_notebook!L939</f>
        <v>1</v>
      </c>
      <c r="O939" s="31">
        <f t="shared" si="77"/>
        <v>0</v>
      </c>
      <c r="P939" s="31">
        <f t="shared" si="80"/>
        <v>0</v>
      </c>
      <c r="Q939">
        <f t="shared" si="79"/>
        <v>32.128199601627379</v>
      </c>
    </row>
    <row r="940" spans="1:17" x14ac:dyDescent="0.35">
      <c r="A940">
        <v>2035</v>
      </c>
      <c r="B940" t="s">
        <v>11</v>
      </c>
      <c r="C940" t="s">
        <v>9</v>
      </c>
      <c r="D940" t="s">
        <v>18</v>
      </c>
      <c r="E940" t="s">
        <v>483</v>
      </c>
      <c r="F940" t="s">
        <v>86</v>
      </c>
      <c r="G940" s="31">
        <v>1591.879620066579</v>
      </c>
      <c r="H940" s="31">
        <v>80.029175596616852</v>
      </c>
      <c r="I940" s="31">
        <v>47.900975994989473</v>
      </c>
      <c r="J940" s="32">
        <f t="shared" si="75"/>
        <v>32.128199601627379</v>
      </c>
      <c r="K940" s="31">
        <v>2573.103524514348</v>
      </c>
      <c r="L940" s="31">
        <v>1543.97864407159</v>
      </c>
      <c r="M940" s="32">
        <f t="shared" si="76"/>
        <v>1511.8504444699627</v>
      </c>
      <c r="N940" s="33">
        <f>Result_notebook!L940</f>
        <v>1</v>
      </c>
      <c r="O940" s="31">
        <f t="shared" si="77"/>
        <v>0</v>
      </c>
      <c r="P940" s="31">
        <f t="shared" si="80"/>
        <v>0</v>
      </c>
      <c r="Q940">
        <f t="shared" si="79"/>
        <v>32.128199601627379</v>
      </c>
    </row>
    <row r="941" spans="1:17" x14ac:dyDescent="0.35">
      <c r="A941">
        <v>2035</v>
      </c>
      <c r="B941" t="s">
        <v>11</v>
      </c>
      <c r="C941" t="s">
        <v>9</v>
      </c>
      <c r="D941" t="s">
        <v>18</v>
      </c>
      <c r="E941" t="s">
        <v>490</v>
      </c>
      <c r="F941" t="s">
        <v>82</v>
      </c>
      <c r="G941" s="31">
        <v>1591.879620066579</v>
      </c>
      <c r="H941" s="31">
        <v>80.029175596616852</v>
      </c>
      <c r="I941" s="31">
        <v>47.900975994989473</v>
      </c>
      <c r="J941" s="32">
        <f t="shared" si="75"/>
        <v>32.128199601627379</v>
      </c>
      <c r="K941" s="31">
        <v>2573.103524514348</v>
      </c>
      <c r="L941" s="31">
        <v>1543.97864407159</v>
      </c>
      <c r="M941" s="32">
        <f t="shared" si="76"/>
        <v>1511.8504444699627</v>
      </c>
      <c r="N941" s="33">
        <f>Result_notebook!L941</f>
        <v>1</v>
      </c>
      <c r="O941" s="31">
        <f t="shared" si="77"/>
        <v>0</v>
      </c>
      <c r="P941" s="31">
        <f t="shared" si="80"/>
        <v>0</v>
      </c>
      <c r="Q941">
        <f t="shared" si="79"/>
        <v>32.128199601627379</v>
      </c>
    </row>
    <row r="942" spans="1:17" x14ac:dyDescent="0.35">
      <c r="A942">
        <v>2035</v>
      </c>
      <c r="B942" t="s">
        <v>11</v>
      </c>
      <c r="C942" t="s">
        <v>10</v>
      </c>
      <c r="D942" t="s">
        <v>16</v>
      </c>
      <c r="E942" t="s">
        <v>483</v>
      </c>
      <c r="F942" t="s">
        <v>80</v>
      </c>
      <c r="G942" s="31">
        <v>4759.1210340430353</v>
      </c>
      <c r="H942" s="31">
        <v>0</v>
      </c>
      <c r="I942" s="31">
        <v>0</v>
      </c>
      <c r="J942" s="32">
        <f t="shared" si="75"/>
        <v>0</v>
      </c>
      <c r="K942" s="31">
        <v>7931.868390071726</v>
      </c>
      <c r="L942" s="31">
        <v>4759.1210340430353</v>
      </c>
      <c r="M942" s="32">
        <f t="shared" si="76"/>
        <v>4759.1210340430353</v>
      </c>
      <c r="N942" s="33">
        <f>Result_notebook!L942</f>
        <v>1</v>
      </c>
      <c r="O942" s="31">
        <f t="shared" si="77"/>
        <v>0</v>
      </c>
      <c r="P942" s="31">
        <f t="shared" si="80"/>
        <v>0</v>
      </c>
      <c r="Q942">
        <f t="shared" si="79"/>
        <v>0</v>
      </c>
    </row>
    <row r="943" spans="1:17" x14ac:dyDescent="0.35">
      <c r="A943">
        <v>2035</v>
      </c>
      <c r="B943" t="s">
        <v>11</v>
      </c>
      <c r="C943" t="s">
        <v>10</v>
      </c>
      <c r="D943" t="s">
        <v>16</v>
      </c>
      <c r="E943" t="s">
        <v>483</v>
      </c>
      <c r="F943" t="s">
        <v>81</v>
      </c>
      <c r="G943" s="31">
        <v>4759.1210340430353</v>
      </c>
      <c r="H943" s="31">
        <v>0</v>
      </c>
      <c r="I943" s="31">
        <v>0</v>
      </c>
      <c r="J943" s="32">
        <f t="shared" si="75"/>
        <v>0</v>
      </c>
      <c r="K943" s="31">
        <v>7931.868390071726</v>
      </c>
      <c r="L943" s="31">
        <v>4759.1210340430353</v>
      </c>
      <c r="M943" s="32">
        <f t="shared" si="76"/>
        <v>4759.1210340430353</v>
      </c>
      <c r="N943" s="33">
        <f>Result_notebook!L943</f>
        <v>1</v>
      </c>
      <c r="O943" s="31">
        <f t="shared" si="77"/>
        <v>0</v>
      </c>
      <c r="P943" s="31">
        <f t="shared" si="80"/>
        <v>0</v>
      </c>
      <c r="Q943">
        <f t="shared" si="79"/>
        <v>0</v>
      </c>
    </row>
    <row r="944" spans="1:17" x14ac:dyDescent="0.35">
      <c r="A944">
        <v>2035</v>
      </c>
      <c r="B944" t="s">
        <v>11</v>
      </c>
      <c r="C944" t="s">
        <v>10</v>
      </c>
      <c r="D944" t="s">
        <v>18</v>
      </c>
      <c r="E944" t="s">
        <v>483</v>
      </c>
      <c r="F944" t="s">
        <v>85</v>
      </c>
      <c r="G944" s="31">
        <v>4759.1210340430353</v>
      </c>
      <c r="H944" s="31">
        <v>80.029175596616852</v>
      </c>
      <c r="I944" s="31">
        <v>47.900975994989473</v>
      </c>
      <c r="J944" s="32">
        <f t="shared" si="75"/>
        <v>32.128199601627379</v>
      </c>
      <c r="K944" s="31">
        <v>7851.8392144751087</v>
      </c>
      <c r="L944" s="31">
        <v>4711.2200580480458</v>
      </c>
      <c r="M944" s="32">
        <f t="shared" si="76"/>
        <v>4679.091858446418</v>
      </c>
      <c r="N944" s="33">
        <f>Result_notebook!L944</f>
        <v>1</v>
      </c>
      <c r="O944" s="31">
        <f t="shared" si="77"/>
        <v>0</v>
      </c>
      <c r="P944" s="31">
        <f t="shared" si="80"/>
        <v>0</v>
      </c>
      <c r="Q944">
        <f t="shared" si="79"/>
        <v>32.128199601627379</v>
      </c>
    </row>
    <row r="945" spans="1:17" x14ac:dyDescent="0.35">
      <c r="A945">
        <v>2035</v>
      </c>
      <c r="B945" t="s">
        <v>11</v>
      </c>
      <c r="C945" t="s">
        <v>10</v>
      </c>
      <c r="D945" t="s">
        <v>18</v>
      </c>
      <c r="E945" t="s">
        <v>483</v>
      </c>
      <c r="F945" t="s">
        <v>86</v>
      </c>
      <c r="G945" s="31">
        <v>4759.1210340430353</v>
      </c>
      <c r="H945" s="31">
        <v>80.029175596616852</v>
      </c>
      <c r="I945" s="31">
        <v>47.900975994989473</v>
      </c>
      <c r="J945" s="32">
        <f t="shared" si="75"/>
        <v>32.128199601627379</v>
      </c>
      <c r="K945" s="31">
        <v>7851.8392144751087</v>
      </c>
      <c r="L945" s="31">
        <v>4711.2200580480458</v>
      </c>
      <c r="M945" s="32">
        <f t="shared" si="76"/>
        <v>4679.091858446418</v>
      </c>
      <c r="N945" s="33">
        <f>Result_notebook!L945</f>
        <v>1</v>
      </c>
      <c r="O945" s="31">
        <f t="shared" si="77"/>
        <v>0</v>
      </c>
      <c r="P945" s="31">
        <f t="shared" si="80"/>
        <v>0</v>
      </c>
      <c r="Q945">
        <f t="shared" si="79"/>
        <v>32.128199601627379</v>
      </c>
    </row>
    <row r="946" spans="1:17" x14ac:dyDescent="0.35">
      <c r="A946">
        <v>2035</v>
      </c>
      <c r="B946" t="s">
        <v>11</v>
      </c>
      <c r="C946" t="s">
        <v>10</v>
      </c>
      <c r="D946" t="s">
        <v>18</v>
      </c>
      <c r="E946" t="s">
        <v>490</v>
      </c>
      <c r="F946" t="s">
        <v>82</v>
      </c>
      <c r="G946" s="31">
        <v>4759.1210340430353</v>
      </c>
      <c r="H946" s="31">
        <v>80.029175596616852</v>
      </c>
      <c r="I946" s="31">
        <v>47.900975994989473</v>
      </c>
      <c r="J946" s="32">
        <f t="shared" si="75"/>
        <v>32.128199601627379</v>
      </c>
      <c r="K946" s="31">
        <v>7851.8392144751087</v>
      </c>
      <c r="L946" s="31">
        <v>4711.2200580480458</v>
      </c>
      <c r="M946" s="32">
        <f t="shared" si="76"/>
        <v>4679.091858446418</v>
      </c>
      <c r="N946" s="33">
        <f>Result_notebook!L946</f>
        <v>1</v>
      </c>
      <c r="O946" s="31">
        <f t="shared" si="77"/>
        <v>0</v>
      </c>
      <c r="P946" s="31">
        <f t="shared" si="80"/>
        <v>0</v>
      </c>
      <c r="Q946">
        <f t="shared" si="79"/>
        <v>32.128199601627379</v>
      </c>
    </row>
    <row r="947" spans="1:17" x14ac:dyDescent="0.35">
      <c r="A947">
        <v>2035</v>
      </c>
      <c r="B947" t="s">
        <v>8</v>
      </c>
      <c r="C947" t="s">
        <v>4</v>
      </c>
      <c r="D947" t="s">
        <v>16</v>
      </c>
      <c r="E947" t="s">
        <v>483</v>
      </c>
      <c r="F947" t="s">
        <v>80</v>
      </c>
      <c r="G947" s="31">
        <v>152962.0504872179</v>
      </c>
      <c r="H947" s="31">
        <v>0</v>
      </c>
      <c r="I947" s="31">
        <v>0</v>
      </c>
      <c r="J947" s="32">
        <f t="shared" si="75"/>
        <v>0</v>
      </c>
      <c r="K947" s="31">
        <v>193622.84871799729</v>
      </c>
      <c r="L947" s="31">
        <v>152962.0504872179</v>
      </c>
      <c r="M947" s="32">
        <f t="shared" si="76"/>
        <v>152962.0504872179</v>
      </c>
      <c r="N947" s="33">
        <f>Result_notebook!L947</f>
        <v>0.69917047091553897</v>
      </c>
      <c r="O947" s="31">
        <f t="shared" si="77"/>
        <v>0</v>
      </c>
      <c r="P947" s="31">
        <f t="shared" si="80"/>
        <v>0</v>
      </c>
      <c r="Q947">
        <f t="shared" si="79"/>
        <v>0</v>
      </c>
    </row>
    <row r="948" spans="1:17" x14ac:dyDescent="0.35">
      <c r="A948">
        <v>2035</v>
      </c>
      <c r="B948" t="s">
        <v>8</v>
      </c>
      <c r="C948" t="s">
        <v>4</v>
      </c>
      <c r="D948" t="s">
        <v>16</v>
      </c>
      <c r="E948" t="s">
        <v>483</v>
      </c>
      <c r="F948" t="s">
        <v>81</v>
      </c>
      <c r="G948" s="31">
        <v>152962.0504872179</v>
      </c>
      <c r="H948" s="31">
        <v>118000</v>
      </c>
      <c r="I948" s="31">
        <v>66183.845060727675</v>
      </c>
      <c r="J948" s="32">
        <f t="shared" si="75"/>
        <v>16318.270507305919</v>
      </c>
      <c r="K948" s="31">
        <v>75622.848717997345</v>
      </c>
      <c r="L948" s="31">
        <v>86778.205426490225</v>
      </c>
      <c r="M948" s="32">
        <f t="shared" si="76"/>
        <v>70459.934919184307</v>
      </c>
      <c r="N948" s="33">
        <f>Result_notebook!L948</f>
        <v>0.69917047091553897</v>
      </c>
      <c r="O948" s="31">
        <f t="shared" si="77"/>
        <v>0</v>
      </c>
      <c r="P948" s="31">
        <f t="shared" si="80"/>
        <v>0</v>
      </c>
      <c r="Q948">
        <f t="shared" si="79"/>
        <v>16318.270507305919</v>
      </c>
    </row>
    <row r="949" spans="1:17" x14ac:dyDescent="0.35">
      <c r="A949">
        <v>2035</v>
      </c>
      <c r="B949" t="s">
        <v>8</v>
      </c>
      <c r="C949" t="s">
        <v>4</v>
      </c>
      <c r="D949" t="s">
        <v>18</v>
      </c>
      <c r="E949" t="s">
        <v>483</v>
      </c>
      <c r="F949" t="s">
        <v>85</v>
      </c>
      <c r="G949" s="31">
        <v>152962.0504872179</v>
      </c>
      <c r="H949" s="31">
        <v>225819.03451618581</v>
      </c>
      <c r="I949" s="31">
        <v>126657.3897642572</v>
      </c>
      <c r="J949" s="32">
        <f t="shared" si="75"/>
        <v>31228.610940116792</v>
      </c>
      <c r="K949" s="31">
        <v>0</v>
      </c>
      <c r="L949" s="31">
        <v>26304.66072296066</v>
      </c>
      <c r="M949" s="32">
        <f t="shared" si="76"/>
        <v>0</v>
      </c>
      <c r="N949" s="33">
        <f>Result_notebook!L949</f>
        <v>0.69917047091553897</v>
      </c>
      <c r="O949" s="31">
        <f t="shared" si="77"/>
        <v>-4923.9502171560889</v>
      </c>
      <c r="P949" s="31">
        <f t="shared" si="80"/>
        <v>0</v>
      </c>
      <c r="Q949">
        <f t="shared" si="79"/>
        <v>31228.610940116792</v>
      </c>
    </row>
    <row r="950" spans="1:17" x14ac:dyDescent="0.35">
      <c r="A950">
        <v>2035</v>
      </c>
      <c r="B950" t="s">
        <v>8</v>
      </c>
      <c r="C950" t="s">
        <v>4</v>
      </c>
      <c r="D950" t="s">
        <v>18</v>
      </c>
      <c r="E950" t="s">
        <v>483</v>
      </c>
      <c r="F950" t="s">
        <v>86</v>
      </c>
      <c r="G950" s="31">
        <v>152962.0504872179</v>
      </c>
      <c r="H950" s="31">
        <v>225819.03451618581</v>
      </c>
      <c r="I950" s="31">
        <v>126657.3897642572</v>
      </c>
      <c r="J950" s="32">
        <f t="shared" si="75"/>
        <v>31228.610940116792</v>
      </c>
      <c r="K950" s="31">
        <v>0</v>
      </c>
      <c r="L950" s="31">
        <v>26304.66072296066</v>
      </c>
      <c r="M950" s="32">
        <f t="shared" si="76"/>
        <v>0</v>
      </c>
      <c r="N950" s="33">
        <f>Result_notebook!L950</f>
        <v>0.69917047091553897</v>
      </c>
      <c r="O950" s="31">
        <f t="shared" si="77"/>
        <v>-4923.9502171560889</v>
      </c>
      <c r="P950" s="31">
        <f t="shared" si="80"/>
        <v>0</v>
      </c>
      <c r="Q950">
        <f t="shared" si="79"/>
        <v>31228.610940116792</v>
      </c>
    </row>
    <row r="951" spans="1:17" x14ac:dyDescent="0.35">
      <c r="A951">
        <v>2035</v>
      </c>
      <c r="B951" t="s">
        <v>8</v>
      </c>
      <c r="C951" t="s">
        <v>4</v>
      </c>
      <c r="D951" t="s">
        <v>18</v>
      </c>
      <c r="E951" t="s">
        <v>490</v>
      </c>
      <c r="F951" t="s">
        <v>82</v>
      </c>
      <c r="G951" s="31">
        <v>152962.0504872179</v>
      </c>
      <c r="H951" s="31">
        <v>225819.03451618581</v>
      </c>
      <c r="I951" s="31">
        <v>177844.90901871829</v>
      </c>
      <c r="J951" s="32">
        <f t="shared" si="75"/>
        <v>-19958.908314344299</v>
      </c>
      <c r="K951" s="31">
        <v>0</v>
      </c>
      <c r="L951" s="31">
        <v>0</v>
      </c>
      <c r="M951" s="32">
        <f t="shared" si="76"/>
        <v>19958.908314344299</v>
      </c>
      <c r="N951" s="33">
        <f>Result_notebook!L951</f>
        <v>0.69917047091553897</v>
      </c>
      <c r="O951" s="31">
        <f t="shared" si="77"/>
        <v>-24882.858531500387</v>
      </c>
      <c r="P951" s="31">
        <f t="shared" si="80"/>
        <v>24882.858531500387</v>
      </c>
      <c r="Q951">
        <f t="shared" si="79"/>
        <v>-19958.908314344299</v>
      </c>
    </row>
    <row r="952" spans="1:17" x14ac:dyDescent="0.35">
      <c r="A952">
        <v>2035</v>
      </c>
      <c r="B952" t="s">
        <v>8</v>
      </c>
      <c r="C952" t="s">
        <v>9</v>
      </c>
      <c r="D952" t="s">
        <v>16</v>
      </c>
      <c r="E952" t="s">
        <v>483</v>
      </c>
      <c r="F952" t="s">
        <v>80</v>
      </c>
      <c r="G952" s="31">
        <v>61354.521533229788</v>
      </c>
      <c r="H952" s="31">
        <v>0</v>
      </c>
      <c r="I952" s="31">
        <v>0</v>
      </c>
      <c r="J952" s="32">
        <f t="shared" si="75"/>
        <v>0</v>
      </c>
      <c r="K952" s="31">
        <v>77663.9513078858</v>
      </c>
      <c r="L952" s="31">
        <v>61354.521533229788</v>
      </c>
      <c r="M952" s="32">
        <f t="shared" si="76"/>
        <v>61354.521533229788</v>
      </c>
      <c r="N952" s="33">
        <f>Result_notebook!L952</f>
        <v>0.69917047091553897</v>
      </c>
      <c r="O952" s="31">
        <f t="shared" si="77"/>
        <v>0</v>
      </c>
      <c r="P952" s="31">
        <f t="shared" si="80"/>
        <v>0</v>
      </c>
      <c r="Q952">
        <f t="shared" si="79"/>
        <v>0</v>
      </c>
    </row>
    <row r="953" spans="1:17" x14ac:dyDescent="0.35">
      <c r="A953">
        <v>2035</v>
      </c>
      <c r="B953" t="s">
        <v>8</v>
      </c>
      <c r="C953" t="s">
        <v>9</v>
      </c>
      <c r="D953" t="s">
        <v>16</v>
      </c>
      <c r="E953" t="s">
        <v>483</v>
      </c>
      <c r="F953" t="s">
        <v>81</v>
      </c>
      <c r="G953" s="31">
        <v>61354.521533229788</v>
      </c>
      <c r="H953" s="31">
        <v>118000</v>
      </c>
      <c r="I953" s="31">
        <v>66183.845060727675</v>
      </c>
      <c r="J953" s="32">
        <f t="shared" si="75"/>
        <v>16318.270507305919</v>
      </c>
      <c r="K953" s="31">
        <v>0</v>
      </c>
      <c r="L953" s="31">
        <v>0</v>
      </c>
      <c r="M953" s="32">
        <f t="shared" si="76"/>
        <v>0</v>
      </c>
      <c r="N953" s="33">
        <f>Result_notebook!L953</f>
        <v>0.69917047091553897</v>
      </c>
      <c r="O953" s="31">
        <f t="shared" si="77"/>
        <v>-21147.594034803806</v>
      </c>
      <c r="P953" s="31">
        <f t="shared" si="80"/>
        <v>4829.323527497887</v>
      </c>
      <c r="Q953">
        <f t="shared" si="79"/>
        <v>16318.270507305919</v>
      </c>
    </row>
    <row r="954" spans="1:17" x14ac:dyDescent="0.35">
      <c r="A954">
        <v>2035</v>
      </c>
      <c r="B954" t="s">
        <v>8</v>
      </c>
      <c r="C954" t="s">
        <v>9</v>
      </c>
      <c r="D954" t="s">
        <v>18</v>
      </c>
      <c r="E954" t="s">
        <v>483</v>
      </c>
      <c r="F954" t="s">
        <v>85</v>
      </c>
      <c r="G954" s="31">
        <v>61354.521533229788</v>
      </c>
      <c r="H954" s="31">
        <v>225819.03451618581</v>
      </c>
      <c r="I954" s="31">
        <v>126657.3897642572</v>
      </c>
      <c r="J954" s="32">
        <f t="shared" si="75"/>
        <v>31228.610940116792</v>
      </c>
      <c r="K954" s="31">
        <v>0</v>
      </c>
      <c r="L954" s="31">
        <v>0</v>
      </c>
      <c r="M954" s="32">
        <f t="shared" si="76"/>
        <v>0</v>
      </c>
      <c r="N954" s="33">
        <f>Result_notebook!L954</f>
        <v>0.69917047091553897</v>
      </c>
      <c r="O954" s="31">
        <f t="shared" si="77"/>
        <v>-96531.479171144194</v>
      </c>
      <c r="P954" s="31">
        <f t="shared" si="80"/>
        <v>65302.868231027409</v>
      </c>
      <c r="Q954">
        <f t="shared" si="79"/>
        <v>31228.610940116792</v>
      </c>
    </row>
    <row r="955" spans="1:17" x14ac:dyDescent="0.35">
      <c r="A955">
        <v>2035</v>
      </c>
      <c r="B955" t="s">
        <v>8</v>
      </c>
      <c r="C955" t="s">
        <v>9</v>
      </c>
      <c r="D955" t="s">
        <v>18</v>
      </c>
      <c r="E955" t="s">
        <v>483</v>
      </c>
      <c r="F955" t="s">
        <v>86</v>
      </c>
      <c r="G955" s="31">
        <v>61354.521533229788</v>
      </c>
      <c r="H955" s="31">
        <v>225819.03451618581</v>
      </c>
      <c r="I955" s="31">
        <v>126657.3897642572</v>
      </c>
      <c r="J955" s="32">
        <f t="shared" si="75"/>
        <v>31228.610940116792</v>
      </c>
      <c r="K955" s="31">
        <v>0</v>
      </c>
      <c r="L955" s="31">
        <v>0</v>
      </c>
      <c r="M955" s="32">
        <f t="shared" si="76"/>
        <v>0</v>
      </c>
      <c r="N955" s="33">
        <f>Result_notebook!L955</f>
        <v>0.69917047091553897</v>
      </c>
      <c r="O955" s="31">
        <f t="shared" si="77"/>
        <v>-96531.479171144194</v>
      </c>
      <c r="P955" s="31">
        <f t="shared" si="80"/>
        <v>65302.868231027409</v>
      </c>
      <c r="Q955">
        <f t="shared" si="79"/>
        <v>31228.610940116792</v>
      </c>
    </row>
    <row r="956" spans="1:17" x14ac:dyDescent="0.35">
      <c r="A956">
        <v>2035</v>
      </c>
      <c r="B956" t="s">
        <v>8</v>
      </c>
      <c r="C956" t="s">
        <v>9</v>
      </c>
      <c r="D956" t="s">
        <v>18</v>
      </c>
      <c r="E956" t="s">
        <v>490</v>
      </c>
      <c r="F956" t="s">
        <v>82</v>
      </c>
      <c r="G956" s="31">
        <v>61354.521533229788</v>
      </c>
      <c r="H956" s="31">
        <v>225819.03451618581</v>
      </c>
      <c r="I956" s="31">
        <v>177844.90901871829</v>
      </c>
      <c r="J956" s="32">
        <f t="shared" si="75"/>
        <v>-19958.908314344299</v>
      </c>
      <c r="K956" s="31">
        <v>0</v>
      </c>
      <c r="L956" s="31">
        <v>0</v>
      </c>
      <c r="M956" s="32">
        <f t="shared" si="76"/>
        <v>19958.908314344299</v>
      </c>
      <c r="N956" s="33">
        <f>Result_notebook!L956</f>
        <v>0.69917047091553897</v>
      </c>
      <c r="O956" s="31">
        <f t="shared" si="77"/>
        <v>-116490.38748548849</v>
      </c>
      <c r="P956" s="31">
        <f t="shared" si="80"/>
        <v>116490.38748548849</v>
      </c>
      <c r="Q956">
        <f t="shared" si="79"/>
        <v>-19958.908314344299</v>
      </c>
    </row>
    <row r="957" spans="1:17" x14ac:dyDescent="0.35">
      <c r="A957">
        <v>2035</v>
      </c>
      <c r="B957" t="s">
        <v>8</v>
      </c>
      <c r="C957" t="s">
        <v>10</v>
      </c>
      <c r="D957" t="s">
        <v>16</v>
      </c>
      <c r="E957" t="s">
        <v>483</v>
      </c>
      <c r="F957" t="s">
        <v>80</v>
      </c>
      <c r="G957" s="31">
        <v>147281.28047052419</v>
      </c>
      <c r="H957" s="31">
        <v>0</v>
      </c>
      <c r="I957" s="31">
        <v>0</v>
      </c>
      <c r="J957" s="32">
        <f t="shared" si="75"/>
        <v>0</v>
      </c>
      <c r="K957" s="31">
        <v>186432.0005956002</v>
      </c>
      <c r="L957" s="31">
        <v>147281.28047052419</v>
      </c>
      <c r="M957" s="32">
        <f t="shared" si="76"/>
        <v>147281.28047052419</v>
      </c>
      <c r="N957" s="33">
        <f>Result_notebook!L957</f>
        <v>0.69917047091553897</v>
      </c>
      <c r="O957" s="31">
        <f t="shared" si="77"/>
        <v>0</v>
      </c>
      <c r="P957" s="31">
        <f t="shared" si="80"/>
        <v>0</v>
      </c>
      <c r="Q957">
        <f t="shared" si="79"/>
        <v>0</v>
      </c>
    </row>
    <row r="958" spans="1:17" x14ac:dyDescent="0.35">
      <c r="A958">
        <v>2035</v>
      </c>
      <c r="B958" t="s">
        <v>8</v>
      </c>
      <c r="C958" t="s">
        <v>10</v>
      </c>
      <c r="D958" t="s">
        <v>16</v>
      </c>
      <c r="E958" t="s">
        <v>483</v>
      </c>
      <c r="F958" t="s">
        <v>81</v>
      </c>
      <c r="G958" s="31">
        <v>147281.28047052419</v>
      </c>
      <c r="H958" s="31">
        <v>118000</v>
      </c>
      <c r="I958" s="31">
        <v>66183.845060727675</v>
      </c>
      <c r="J958" s="32">
        <f t="shared" si="75"/>
        <v>16318.270507305919</v>
      </c>
      <c r="K958" s="31">
        <v>68432.000595600228</v>
      </c>
      <c r="L958" s="31">
        <v>81097.435409796512</v>
      </c>
      <c r="M958" s="32">
        <f t="shared" si="76"/>
        <v>64779.164902490593</v>
      </c>
      <c r="N958" s="33">
        <f>Result_notebook!L958</f>
        <v>0.69917047091553897</v>
      </c>
      <c r="O958" s="31">
        <f t="shared" si="77"/>
        <v>0</v>
      </c>
      <c r="P958" s="31">
        <f t="shared" si="80"/>
        <v>0</v>
      </c>
      <c r="Q958">
        <f t="shared" si="79"/>
        <v>16318.270507305919</v>
      </c>
    </row>
    <row r="959" spans="1:17" x14ac:dyDescent="0.35">
      <c r="A959">
        <v>2035</v>
      </c>
      <c r="B959" t="s">
        <v>8</v>
      </c>
      <c r="C959" t="s">
        <v>10</v>
      </c>
      <c r="D959" t="s">
        <v>18</v>
      </c>
      <c r="E959" t="s">
        <v>483</v>
      </c>
      <c r="F959" t="s">
        <v>85</v>
      </c>
      <c r="G959" s="31">
        <v>147281.28047052419</v>
      </c>
      <c r="H959" s="31">
        <v>225819.03451618581</v>
      </c>
      <c r="I959" s="31">
        <v>126657.3897642572</v>
      </c>
      <c r="J959" s="32">
        <f t="shared" si="75"/>
        <v>31228.610940116792</v>
      </c>
      <c r="K959" s="31">
        <v>0</v>
      </c>
      <c r="L959" s="31">
        <v>20623.89070626695</v>
      </c>
      <c r="M959" s="32">
        <f t="shared" si="76"/>
        <v>0</v>
      </c>
      <c r="N959" s="33">
        <f>Result_notebook!L959</f>
        <v>0.69917047091553897</v>
      </c>
      <c r="O959" s="31">
        <f t="shared" si="77"/>
        <v>-10604.720233849803</v>
      </c>
      <c r="P959" s="31">
        <f t="shared" si="80"/>
        <v>0</v>
      </c>
      <c r="Q959">
        <f t="shared" si="79"/>
        <v>31228.610940116792</v>
      </c>
    </row>
    <row r="960" spans="1:17" x14ac:dyDescent="0.35">
      <c r="A960">
        <v>2035</v>
      </c>
      <c r="B960" t="s">
        <v>8</v>
      </c>
      <c r="C960" t="s">
        <v>10</v>
      </c>
      <c r="D960" t="s">
        <v>18</v>
      </c>
      <c r="E960" t="s">
        <v>483</v>
      </c>
      <c r="F960" t="s">
        <v>86</v>
      </c>
      <c r="G960" s="31">
        <v>147281.28047052419</v>
      </c>
      <c r="H960" s="31">
        <v>225819.03451618581</v>
      </c>
      <c r="I960" s="31">
        <v>126657.3897642572</v>
      </c>
      <c r="J960" s="32">
        <f t="shared" si="75"/>
        <v>31228.610940116792</v>
      </c>
      <c r="K960" s="31">
        <v>0</v>
      </c>
      <c r="L960" s="31">
        <v>20623.89070626695</v>
      </c>
      <c r="M960" s="32">
        <f t="shared" si="76"/>
        <v>0</v>
      </c>
      <c r="N960" s="33">
        <f>Result_notebook!L960</f>
        <v>0.69917047091553897</v>
      </c>
      <c r="O960" s="31">
        <f t="shared" si="77"/>
        <v>-10604.720233849803</v>
      </c>
      <c r="P960" s="31">
        <f t="shared" si="80"/>
        <v>0</v>
      </c>
      <c r="Q960">
        <f t="shared" si="79"/>
        <v>31228.610940116792</v>
      </c>
    </row>
    <row r="961" spans="1:17" x14ac:dyDescent="0.35">
      <c r="A961">
        <v>2035</v>
      </c>
      <c r="B961" t="s">
        <v>8</v>
      </c>
      <c r="C961" t="s">
        <v>10</v>
      </c>
      <c r="D961" t="s">
        <v>18</v>
      </c>
      <c r="E961" t="s">
        <v>490</v>
      </c>
      <c r="F961" t="s">
        <v>82</v>
      </c>
      <c r="G961" s="31">
        <v>147281.28047052419</v>
      </c>
      <c r="H961" s="31">
        <v>225819.03451618581</v>
      </c>
      <c r="I961" s="31">
        <v>177844.90901871829</v>
      </c>
      <c r="J961" s="32">
        <f t="shared" si="75"/>
        <v>-19958.908314344299</v>
      </c>
      <c r="K961" s="31">
        <v>0</v>
      </c>
      <c r="L961" s="31">
        <v>0</v>
      </c>
      <c r="M961" s="32">
        <f t="shared" si="76"/>
        <v>19958.908314344299</v>
      </c>
      <c r="N961" s="33">
        <f>Result_notebook!L961</f>
        <v>0.69917047091553897</v>
      </c>
      <c r="O961" s="31">
        <f t="shared" si="77"/>
        <v>-30563.628548194101</v>
      </c>
      <c r="P961" s="31">
        <f t="shared" si="80"/>
        <v>30563.628548194101</v>
      </c>
      <c r="Q961">
        <f t="shared" si="79"/>
        <v>-19958.908314344299</v>
      </c>
    </row>
    <row r="962" spans="1:17" x14ac:dyDescent="0.35">
      <c r="A962">
        <v>2035</v>
      </c>
      <c r="B962" t="s">
        <v>13</v>
      </c>
      <c r="C962" t="s">
        <v>4</v>
      </c>
      <c r="D962" t="s">
        <v>16</v>
      </c>
      <c r="E962" t="s">
        <v>483</v>
      </c>
      <c r="F962" t="s">
        <v>80</v>
      </c>
      <c r="G962" s="31">
        <v>3066.2923431360991</v>
      </c>
      <c r="H962" s="31">
        <v>0</v>
      </c>
      <c r="I962" s="31">
        <v>0</v>
      </c>
      <c r="J962" s="32">
        <f t="shared" si="75"/>
        <v>0</v>
      </c>
      <c r="K962" s="31">
        <v>3066.2923431360991</v>
      </c>
      <c r="L962" s="31">
        <v>3066.2923431360991</v>
      </c>
      <c r="M962" s="32">
        <f t="shared" si="76"/>
        <v>3066.2923431360991</v>
      </c>
      <c r="N962" s="33">
        <f>Result_notebook!L962</f>
        <v>0.59854391398996798</v>
      </c>
      <c r="O962" s="31">
        <f t="shared" si="77"/>
        <v>0</v>
      </c>
      <c r="P962" s="31">
        <f t="shared" si="80"/>
        <v>0</v>
      </c>
      <c r="Q962">
        <f t="shared" si="79"/>
        <v>0</v>
      </c>
    </row>
    <row r="963" spans="1:17" x14ac:dyDescent="0.35">
      <c r="A963">
        <v>2035</v>
      </c>
      <c r="B963" t="s">
        <v>13</v>
      </c>
      <c r="C963" t="s">
        <v>4</v>
      </c>
      <c r="D963" t="s">
        <v>16</v>
      </c>
      <c r="E963" t="s">
        <v>483</v>
      </c>
      <c r="F963" t="s">
        <v>81</v>
      </c>
      <c r="G963" s="31">
        <v>3066.2923431360991</v>
      </c>
      <c r="H963" s="31">
        <v>0</v>
      </c>
      <c r="I963" s="31">
        <v>0</v>
      </c>
      <c r="J963" s="32">
        <f t="shared" ref="J963:J1026" si="81">H963*N963-I963</f>
        <v>0</v>
      </c>
      <c r="K963" s="31">
        <v>3066.2923431360991</v>
      </c>
      <c r="L963" s="31">
        <v>3066.2923431360991</v>
      </c>
      <c r="M963" s="32">
        <f t="shared" ref="M963:M1026" si="82">MAX(L963-J963,0)</f>
        <v>3066.2923431360991</v>
      </c>
      <c r="N963" s="33">
        <f>Result_notebook!L963</f>
        <v>0.59854391398996798</v>
      </c>
      <c r="O963" s="31">
        <f t="shared" ref="O963:O1026" si="83">G963-(I963+J963+M963)</f>
        <v>0</v>
      </c>
      <c r="P963" s="31">
        <f t="shared" ref="P963:P1026" si="84">MAX(I963-G963,0)</f>
        <v>0</v>
      </c>
      <c r="Q963">
        <f t="shared" ref="Q963:Q1026" si="85">(H963*N963)-I963</f>
        <v>0</v>
      </c>
    </row>
    <row r="964" spans="1:17" x14ac:dyDescent="0.35">
      <c r="A964">
        <v>2035</v>
      </c>
      <c r="B964" t="s">
        <v>13</v>
      </c>
      <c r="C964" t="s">
        <v>4</v>
      </c>
      <c r="D964" t="s">
        <v>18</v>
      </c>
      <c r="E964" t="s">
        <v>483</v>
      </c>
      <c r="F964" t="s">
        <v>85</v>
      </c>
      <c r="G964" s="31">
        <v>3066.2923431360991</v>
      </c>
      <c r="H964" s="31">
        <v>156348.75450875031</v>
      </c>
      <c r="I964" s="31">
        <v>51595.088987887611</v>
      </c>
      <c r="J964" s="32">
        <f t="shared" si="81"/>
        <v>41986.506483236451</v>
      </c>
      <c r="K964" s="31">
        <v>0</v>
      </c>
      <c r="L964" s="31">
        <v>0</v>
      </c>
      <c r="M964" s="32">
        <f t="shared" si="82"/>
        <v>0</v>
      </c>
      <c r="N964" s="33">
        <f>Result_notebook!L964</f>
        <v>0.59854391398996798</v>
      </c>
      <c r="O964" s="31">
        <f t="shared" si="83"/>
        <v>-90515.303127987965</v>
      </c>
      <c r="P964" s="31">
        <f t="shared" si="84"/>
        <v>48528.796644751514</v>
      </c>
      <c r="Q964">
        <f t="shared" si="85"/>
        <v>41986.506483236451</v>
      </c>
    </row>
    <row r="965" spans="1:17" x14ac:dyDescent="0.35">
      <c r="A965">
        <v>2035</v>
      </c>
      <c r="B965" t="s">
        <v>13</v>
      </c>
      <c r="C965" t="s">
        <v>4</v>
      </c>
      <c r="D965" t="s">
        <v>18</v>
      </c>
      <c r="E965" t="s">
        <v>483</v>
      </c>
      <c r="F965" t="s">
        <v>86</v>
      </c>
      <c r="G965" s="31">
        <v>3066.2923431360991</v>
      </c>
      <c r="H965" s="31">
        <v>156348.75450875031</v>
      </c>
      <c r="I965" s="31">
        <v>51595.088987887611</v>
      </c>
      <c r="J965" s="32">
        <f t="shared" si="81"/>
        <v>41986.506483236451</v>
      </c>
      <c r="K965" s="31">
        <v>0</v>
      </c>
      <c r="L965" s="31">
        <v>0</v>
      </c>
      <c r="M965" s="32">
        <f t="shared" si="82"/>
        <v>0</v>
      </c>
      <c r="N965" s="33">
        <f>Result_notebook!L965</f>
        <v>0.59854391398996798</v>
      </c>
      <c r="O965" s="31">
        <f t="shared" si="83"/>
        <v>-90515.303127987965</v>
      </c>
      <c r="P965" s="31">
        <f t="shared" si="84"/>
        <v>48528.796644751514</v>
      </c>
      <c r="Q965">
        <f t="shared" si="85"/>
        <v>41986.506483236451</v>
      </c>
    </row>
    <row r="966" spans="1:17" x14ac:dyDescent="0.35">
      <c r="A966">
        <v>2035</v>
      </c>
      <c r="B966" t="s">
        <v>13</v>
      </c>
      <c r="C966" t="s">
        <v>4</v>
      </c>
      <c r="D966" t="s">
        <v>18</v>
      </c>
      <c r="E966" t="s">
        <v>490</v>
      </c>
      <c r="F966" t="s">
        <v>82</v>
      </c>
      <c r="G966" s="31">
        <v>3066.2923431360991</v>
      </c>
      <c r="H966" s="31">
        <v>156348.75450875031</v>
      </c>
      <c r="I966" s="31">
        <v>51595.088987887611</v>
      </c>
      <c r="J966" s="32">
        <f t="shared" si="81"/>
        <v>41986.506483236451</v>
      </c>
      <c r="K966" s="31">
        <v>0</v>
      </c>
      <c r="L966" s="31">
        <v>0</v>
      </c>
      <c r="M966" s="32">
        <f t="shared" si="82"/>
        <v>0</v>
      </c>
      <c r="N966" s="33">
        <f>Result_notebook!L966</f>
        <v>0.59854391398996798</v>
      </c>
      <c r="O966" s="31">
        <f t="shared" si="83"/>
        <v>-90515.303127987965</v>
      </c>
      <c r="P966" s="31">
        <f t="shared" si="84"/>
        <v>48528.796644751514</v>
      </c>
      <c r="Q966">
        <f t="shared" si="85"/>
        <v>41986.506483236451</v>
      </c>
    </row>
    <row r="967" spans="1:17" x14ac:dyDescent="0.35">
      <c r="A967">
        <v>2035</v>
      </c>
      <c r="B967" t="s">
        <v>13</v>
      </c>
      <c r="C967" t="s">
        <v>9</v>
      </c>
      <c r="D967" t="s">
        <v>16</v>
      </c>
      <c r="E967" t="s">
        <v>483</v>
      </c>
      <c r="F967" t="s">
        <v>80</v>
      </c>
      <c r="G967" s="31">
        <v>1155.663795288184</v>
      </c>
      <c r="H967" s="31">
        <v>0</v>
      </c>
      <c r="I967" s="31">
        <v>0</v>
      </c>
      <c r="J967" s="32">
        <f t="shared" si="81"/>
        <v>0</v>
      </c>
      <c r="K967" s="31">
        <v>1155.663795288184</v>
      </c>
      <c r="L967" s="31">
        <v>1155.663795288184</v>
      </c>
      <c r="M967" s="32">
        <f t="shared" si="82"/>
        <v>1155.663795288184</v>
      </c>
      <c r="N967" s="33">
        <f>Result_notebook!L967</f>
        <v>0.59854391398996798</v>
      </c>
      <c r="O967" s="31">
        <f t="shared" si="83"/>
        <v>0</v>
      </c>
      <c r="P967" s="31">
        <f t="shared" si="84"/>
        <v>0</v>
      </c>
      <c r="Q967">
        <f t="shared" si="85"/>
        <v>0</v>
      </c>
    </row>
    <row r="968" spans="1:17" x14ac:dyDescent="0.35">
      <c r="A968">
        <v>2035</v>
      </c>
      <c r="B968" t="s">
        <v>13</v>
      </c>
      <c r="C968" t="s">
        <v>9</v>
      </c>
      <c r="D968" t="s">
        <v>16</v>
      </c>
      <c r="E968" t="s">
        <v>483</v>
      </c>
      <c r="F968" t="s">
        <v>81</v>
      </c>
      <c r="G968" s="31">
        <v>1155.663795288184</v>
      </c>
      <c r="H968" s="31">
        <v>0</v>
      </c>
      <c r="I968" s="31">
        <v>0</v>
      </c>
      <c r="J968" s="32">
        <f t="shared" si="81"/>
        <v>0</v>
      </c>
      <c r="K968" s="31">
        <v>1155.663795288184</v>
      </c>
      <c r="L968" s="31">
        <v>1155.663795288184</v>
      </c>
      <c r="M968" s="32">
        <f t="shared" si="82"/>
        <v>1155.663795288184</v>
      </c>
      <c r="N968" s="33">
        <f>Result_notebook!L968</f>
        <v>0.59854391398996798</v>
      </c>
      <c r="O968" s="31">
        <f t="shared" si="83"/>
        <v>0</v>
      </c>
      <c r="P968" s="31">
        <f t="shared" si="84"/>
        <v>0</v>
      </c>
      <c r="Q968">
        <f t="shared" si="85"/>
        <v>0</v>
      </c>
    </row>
    <row r="969" spans="1:17" x14ac:dyDescent="0.35">
      <c r="A969">
        <v>2035</v>
      </c>
      <c r="B969" t="s">
        <v>13</v>
      </c>
      <c r="C969" t="s">
        <v>9</v>
      </c>
      <c r="D969" t="s">
        <v>18</v>
      </c>
      <c r="E969" t="s">
        <v>483</v>
      </c>
      <c r="F969" t="s">
        <v>85</v>
      </c>
      <c r="G969" s="31">
        <v>1155.663795288184</v>
      </c>
      <c r="H969" s="31">
        <v>156348.75450875031</v>
      </c>
      <c r="I969" s="31">
        <v>51595.088987887611</v>
      </c>
      <c r="J969" s="32">
        <f t="shared" si="81"/>
        <v>41986.506483236451</v>
      </c>
      <c r="K969" s="31">
        <v>0</v>
      </c>
      <c r="L969" s="31">
        <v>0</v>
      </c>
      <c r="M969" s="32">
        <f t="shared" si="82"/>
        <v>0</v>
      </c>
      <c r="N969" s="33">
        <f>Result_notebook!L969</f>
        <v>0.59854391398996798</v>
      </c>
      <c r="O969" s="31">
        <f t="shared" si="83"/>
        <v>-92425.931675835876</v>
      </c>
      <c r="P969" s="31">
        <f t="shared" si="84"/>
        <v>50439.425192599425</v>
      </c>
      <c r="Q969">
        <f t="shared" si="85"/>
        <v>41986.506483236451</v>
      </c>
    </row>
    <row r="970" spans="1:17" x14ac:dyDescent="0.35">
      <c r="A970">
        <v>2035</v>
      </c>
      <c r="B970" t="s">
        <v>13</v>
      </c>
      <c r="C970" t="s">
        <v>9</v>
      </c>
      <c r="D970" t="s">
        <v>18</v>
      </c>
      <c r="E970" t="s">
        <v>483</v>
      </c>
      <c r="F970" t="s">
        <v>86</v>
      </c>
      <c r="G970" s="31">
        <v>1155.663795288184</v>
      </c>
      <c r="H970" s="31">
        <v>156348.75450875031</v>
      </c>
      <c r="I970" s="31">
        <v>51595.088987887611</v>
      </c>
      <c r="J970" s="32">
        <f t="shared" si="81"/>
        <v>41986.506483236451</v>
      </c>
      <c r="K970" s="31">
        <v>0</v>
      </c>
      <c r="L970" s="31">
        <v>0</v>
      </c>
      <c r="M970" s="32">
        <f t="shared" si="82"/>
        <v>0</v>
      </c>
      <c r="N970" s="33">
        <f>Result_notebook!L970</f>
        <v>0.59854391398996798</v>
      </c>
      <c r="O970" s="31">
        <f t="shared" si="83"/>
        <v>-92425.931675835876</v>
      </c>
      <c r="P970" s="31">
        <f t="shared" si="84"/>
        <v>50439.425192599425</v>
      </c>
      <c r="Q970">
        <f t="shared" si="85"/>
        <v>41986.506483236451</v>
      </c>
    </row>
    <row r="971" spans="1:17" x14ac:dyDescent="0.35">
      <c r="A971">
        <v>2035</v>
      </c>
      <c r="B971" t="s">
        <v>13</v>
      </c>
      <c r="C971" t="s">
        <v>9</v>
      </c>
      <c r="D971" t="s">
        <v>18</v>
      </c>
      <c r="E971" t="s">
        <v>490</v>
      </c>
      <c r="F971" t="s">
        <v>82</v>
      </c>
      <c r="G971" s="31">
        <v>1155.663795288184</v>
      </c>
      <c r="H971" s="31">
        <v>156348.75450875031</v>
      </c>
      <c r="I971" s="31">
        <v>51595.088987887611</v>
      </c>
      <c r="J971" s="32">
        <f t="shared" si="81"/>
        <v>41986.506483236451</v>
      </c>
      <c r="K971" s="31">
        <v>0</v>
      </c>
      <c r="L971" s="31">
        <v>0</v>
      </c>
      <c r="M971" s="32">
        <f t="shared" si="82"/>
        <v>0</v>
      </c>
      <c r="N971" s="33">
        <f>Result_notebook!L971</f>
        <v>0.59854391398996798</v>
      </c>
      <c r="O971" s="31">
        <f t="shared" si="83"/>
        <v>-92425.931675835876</v>
      </c>
      <c r="P971" s="31">
        <f t="shared" si="84"/>
        <v>50439.425192599425</v>
      </c>
      <c r="Q971">
        <f t="shared" si="85"/>
        <v>41986.506483236451</v>
      </c>
    </row>
    <row r="972" spans="1:17" x14ac:dyDescent="0.35">
      <c r="A972">
        <v>2035</v>
      </c>
      <c r="B972" t="s">
        <v>13</v>
      </c>
      <c r="C972" t="s">
        <v>10</v>
      </c>
      <c r="D972" t="s">
        <v>16</v>
      </c>
      <c r="E972" t="s">
        <v>483</v>
      </c>
      <c r="F972" t="s">
        <v>80</v>
      </c>
      <c r="G972" s="31">
        <v>2917.7788379064118</v>
      </c>
      <c r="H972" s="31">
        <v>0</v>
      </c>
      <c r="I972" s="31">
        <v>0</v>
      </c>
      <c r="J972" s="32">
        <f t="shared" si="81"/>
        <v>0</v>
      </c>
      <c r="K972" s="31">
        <v>2917.7788379064118</v>
      </c>
      <c r="L972" s="31">
        <v>2917.7788379064118</v>
      </c>
      <c r="M972" s="32">
        <f t="shared" si="82"/>
        <v>2917.7788379064118</v>
      </c>
      <c r="N972" s="33">
        <f>Result_notebook!L972</f>
        <v>0.59854391398996798</v>
      </c>
      <c r="O972" s="31">
        <f t="shared" si="83"/>
        <v>0</v>
      </c>
      <c r="P972" s="31">
        <f t="shared" si="84"/>
        <v>0</v>
      </c>
      <c r="Q972">
        <f t="shared" si="85"/>
        <v>0</v>
      </c>
    </row>
    <row r="973" spans="1:17" x14ac:dyDescent="0.35">
      <c r="A973">
        <v>2035</v>
      </c>
      <c r="B973" t="s">
        <v>13</v>
      </c>
      <c r="C973" t="s">
        <v>10</v>
      </c>
      <c r="D973" t="s">
        <v>16</v>
      </c>
      <c r="E973" t="s">
        <v>483</v>
      </c>
      <c r="F973" t="s">
        <v>81</v>
      </c>
      <c r="G973" s="31">
        <v>2917.7788379064118</v>
      </c>
      <c r="H973" s="31">
        <v>0</v>
      </c>
      <c r="I973" s="31">
        <v>0</v>
      </c>
      <c r="J973" s="32">
        <f t="shared" si="81"/>
        <v>0</v>
      </c>
      <c r="K973" s="31">
        <v>2917.7788379064118</v>
      </c>
      <c r="L973" s="31">
        <v>2917.7788379064118</v>
      </c>
      <c r="M973" s="32">
        <f t="shared" si="82"/>
        <v>2917.7788379064118</v>
      </c>
      <c r="N973" s="33">
        <f>Result_notebook!L973</f>
        <v>0.59854391398996798</v>
      </c>
      <c r="O973" s="31">
        <f t="shared" si="83"/>
        <v>0</v>
      </c>
      <c r="P973" s="31">
        <f t="shared" si="84"/>
        <v>0</v>
      </c>
      <c r="Q973">
        <f t="shared" si="85"/>
        <v>0</v>
      </c>
    </row>
    <row r="974" spans="1:17" x14ac:dyDescent="0.35">
      <c r="A974">
        <v>2035</v>
      </c>
      <c r="B974" t="s">
        <v>13</v>
      </c>
      <c r="C974" t="s">
        <v>10</v>
      </c>
      <c r="D974" t="s">
        <v>18</v>
      </c>
      <c r="E974" t="s">
        <v>483</v>
      </c>
      <c r="F974" t="s">
        <v>85</v>
      </c>
      <c r="G974" s="31">
        <v>2917.7788379064118</v>
      </c>
      <c r="H974" s="31">
        <v>156348.75450875031</v>
      </c>
      <c r="I974" s="31">
        <v>51595.088987887611</v>
      </c>
      <c r="J974" s="32">
        <f t="shared" si="81"/>
        <v>41986.506483236451</v>
      </c>
      <c r="K974" s="31">
        <v>0</v>
      </c>
      <c r="L974" s="31">
        <v>0</v>
      </c>
      <c r="M974" s="32">
        <f t="shared" si="82"/>
        <v>0</v>
      </c>
      <c r="N974" s="33">
        <f>Result_notebook!L974</f>
        <v>0.59854391398996798</v>
      </c>
      <c r="O974" s="31">
        <f t="shared" si="83"/>
        <v>-90663.816633217648</v>
      </c>
      <c r="P974" s="31">
        <f t="shared" si="84"/>
        <v>48677.310149981196</v>
      </c>
      <c r="Q974">
        <f t="shared" si="85"/>
        <v>41986.506483236451</v>
      </c>
    </row>
    <row r="975" spans="1:17" x14ac:dyDescent="0.35">
      <c r="A975">
        <v>2035</v>
      </c>
      <c r="B975" t="s">
        <v>13</v>
      </c>
      <c r="C975" t="s">
        <v>10</v>
      </c>
      <c r="D975" t="s">
        <v>18</v>
      </c>
      <c r="E975" t="s">
        <v>483</v>
      </c>
      <c r="F975" t="s">
        <v>86</v>
      </c>
      <c r="G975" s="31">
        <v>2917.7788379064118</v>
      </c>
      <c r="H975" s="31">
        <v>156348.75450875031</v>
      </c>
      <c r="I975" s="31">
        <v>51595.088987887611</v>
      </c>
      <c r="J975" s="32">
        <f t="shared" si="81"/>
        <v>41986.506483236451</v>
      </c>
      <c r="K975" s="31">
        <v>0</v>
      </c>
      <c r="L975" s="31">
        <v>0</v>
      </c>
      <c r="M975" s="32">
        <f t="shared" si="82"/>
        <v>0</v>
      </c>
      <c r="N975" s="33">
        <f>Result_notebook!L975</f>
        <v>0.59854391398996798</v>
      </c>
      <c r="O975" s="31">
        <f t="shared" si="83"/>
        <v>-90663.816633217648</v>
      </c>
      <c r="P975" s="31">
        <f t="shared" si="84"/>
        <v>48677.310149981196</v>
      </c>
      <c r="Q975">
        <f t="shared" si="85"/>
        <v>41986.506483236451</v>
      </c>
    </row>
    <row r="976" spans="1:17" x14ac:dyDescent="0.35">
      <c r="A976">
        <v>2035</v>
      </c>
      <c r="B976" t="s">
        <v>13</v>
      </c>
      <c r="C976" t="s">
        <v>10</v>
      </c>
      <c r="D976" t="s">
        <v>18</v>
      </c>
      <c r="E976" t="s">
        <v>490</v>
      </c>
      <c r="F976" t="s">
        <v>82</v>
      </c>
      <c r="G976" s="31">
        <v>2917.7788379064118</v>
      </c>
      <c r="H976" s="31">
        <v>156348.75450875031</v>
      </c>
      <c r="I976" s="31">
        <v>51595.088987887611</v>
      </c>
      <c r="J976" s="32">
        <f t="shared" si="81"/>
        <v>41986.506483236451</v>
      </c>
      <c r="K976" s="31">
        <v>0</v>
      </c>
      <c r="L976" s="31">
        <v>0</v>
      </c>
      <c r="M976" s="32">
        <f t="shared" si="82"/>
        <v>0</v>
      </c>
      <c r="N976" s="33">
        <f>Result_notebook!L976</f>
        <v>0.59854391398996798</v>
      </c>
      <c r="O976" s="31">
        <f t="shared" si="83"/>
        <v>-90663.816633217648</v>
      </c>
      <c r="P976" s="31">
        <f t="shared" si="84"/>
        <v>48677.310149981196</v>
      </c>
      <c r="Q976">
        <f t="shared" si="85"/>
        <v>41986.506483236451</v>
      </c>
    </row>
    <row r="977" spans="1:17" x14ac:dyDescent="0.35">
      <c r="A977">
        <v>2035</v>
      </c>
      <c r="B977" t="s">
        <v>12</v>
      </c>
      <c r="C977" t="s">
        <v>4</v>
      </c>
      <c r="D977" t="s">
        <v>16</v>
      </c>
      <c r="E977" t="s">
        <v>483</v>
      </c>
      <c r="F977" t="s">
        <v>80</v>
      </c>
      <c r="G977" s="31">
        <v>62177.458189905767</v>
      </c>
      <c r="H977" s="31">
        <v>0</v>
      </c>
      <c r="I977" s="31">
        <v>0</v>
      </c>
      <c r="J977" s="32">
        <f t="shared" si="81"/>
        <v>0</v>
      </c>
      <c r="K977" s="31">
        <v>88824.940271293963</v>
      </c>
      <c r="L977" s="31">
        <v>62177.458189905767</v>
      </c>
      <c r="M977" s="32">
        <f t="shared" si="82"/>
        <v>62177.458189905767</v>
      </c>
      <c r="N977" s="33">
        <f>Result_notebook!L977</f>
        <v>0.787554996857322</v>
      </c>
      <c r="O977" s="31">
        <f t="shared" si="83"/>
        <v>0</v>
      </c>
      <c r="P977" s="31">
        <f t="shared" si="84"/>
        <v>0</v>
      </c>
      <c r="Q977">
        <f t="shared" si="85"/>
        <v>0</v>
      </c>
    </row>
    <row r="978" spans="1:17" x14ac:dyDescent="0.35">
      <c r="A978">
        <v>2035</v>
      </c>
      <c r="B978" t="s">
        <v>12</v>
      </c>
      <c r="C978" t="s">
        <v>4</v>
      </c>
      <c r="D978" t="s">
        <v>16</v>
      </c>
      <c r="E978" t="s">
        <v>483</v>
      </c>
      <c r="F978" t="s">
        <v>81</v>
      </c>
      <c r="G978" s="31">
        <v>62177.458189905767</v>
      </c>
      <c r="H978" s="31">
        <v>40453</v>
      </c>
      <c r="I978" s="31">
        <v>28283.5430599463</v>
      </c>
      <c r="J978" s="32">
        <f t="shared" si="81"/>
        <v>3575.4192279229464</v>
      </c>
      <c r="K978" s="31">
        <v>48371.940271293963</v>
      </c>
      <c r="L978" s="31">
        <v>33893.915129959467</v>
      </c>
      <c r="M978" s="32">
        <f t="shared" si="82"/>
        <v>30318.49590203652</v>
      </c>
      <c r="N978" s="33">
        <f>Result_notebook!L978</f>
        <v>0.787554996857322</v>
      </c>
      <c r="O978" s="31">
        <f t="shared" si="83"/>
        <v>0</v>
      </c>
      <c r="P978" s="31">
        <f t="shared" si="84"/>
        <v>0</v>
      </c>
      <c r="Q978">
        <f t="shared" si="85"/>
        <v>3575.4192279229464</v>
      </c>
    </row>
    <row r="979" spans="1:17" x14ac:dyDescent="0.35">
      <c r="A979">
        <v>2035</v>
      </c>
      <c r="B979" t="s">
        <v>12</v>
      </c>
      <c r="C979" t="s">
        <v>4</v>
      </c>
      <c r="D979" t="s">
        <v>18</v>
      </c>
      <c r="E979" t="s">
        <v>483</v>
      </c>
      <c r="F979" t="s">
        <v>85</v>
      </c>
      <c r="G979" s="31">
        <v>62177.458189905767</v>
      </c>
      <c r="H979" s="31">
        <v>146121.35070949371</v>
      </c>
      <c r="I979" s="31">
        <v>102163.73358637129</v>
      </c>
      <c r="J979" s="32">
        <f t="shared" si="81"/>
        <v>12914.866312431666</v>
      </c>
      <c r="K979" s="31">
        <v>0</v>
      </c>
      <c r="L979" s="31">
        <v>0</v>
      </c>
      <c r="M979" s="32">
        <f t="shared" si="82"/>
        <v>0</v>
      </c>
      <c r="N979" s="33">
        <f>Result_notebook!L979</f>
        <v>0.787554996857322</v>
      </c>
      <c r="O979" s="31">
        <f t="shared" si="83"/>
        <v>-52901.141708897194</v>
      </c>
      <c r="P979" s="31">
        <f t="shared" si="84"/>
        <v>39986.275396465528</v>
      </c>
      <c r="Q979">
        <f t="shared" si="85"/>
        <v>12914.866312431666</v>
      </c>
    </row>
    <row r="980" spans="1:17" x14ac:dyDescent="0.35">
      <c r="A980">
        <v>2035</v>
      </c>
      <c r="B980" t="s">
        <v>12</v>
      </c>
      <c r="C980" t="s">
        <v>4</v>
      </c>
      <c r="D980" t="s">
        <v>18</v>
      </c>
      <c r="E980" t="s">
        <v>483</v>
      </c>
      <c r="F980" t="s">
        <v>86</v>
      </c>
      <c r="G980" s="31">
        <v>62177.458189905767</v>
      </c>
      <c r="H980" s="31">
        <v>146121.35070949371</v>
      </c>
      <c r="I980" s="31">
        <v>102163.73358637129</v>
      </c>
      <c r="J980" s="32">
        <f t="shared" si="81"/>
        <v>12914.866312431666</v>
      </c>
      <c r="K980" s="31">
        <v>0</v>
      </c>
      <c r="L980" s="31">
        <v>0</v>
      </c>
      <c r="M980" s="32">
        <f t="shared" si="82"/>
        <v>0</v>
      </c>
      <c r="N980" s="33">
        <f>Result_notebook!L980</f>
        <v>0.787554996857322</v>
      </c>
      <c r="O980" s="31">
        <f t="shared" si="83"/>
        <v>-52901.141708897194</v>
      </c>
      <c r="P980" s="31">
        <f t="shared" si="84"/>
        <v>39986.275396465528</v>
      </c>
      <c r="Q980">
        <f t="shared" si="85"/>
        <v>12914.866312431666</v>
      </c>
    </row>
    <row r="981" spans="1:17" x14ac:dyDescent="0.35">
      <c r="A981">
        <v>2035</v>
      </c>
      <c r="B981" t="s">
        <v>12</v>
      </c>
      <c r="C981" t="s">
        <v>4</v>
      </c>
      <c r="D981" t="s">
        <v>18</v>
      </c>
      <c r="E981" t="s">
        <v>490</v>
      </c>
      <c r="F981" t="s">
        <v>82</v>
      </c>
      <c r="G981" s="31">
        <v>62177.458189905767</v>
      </c>
      <c r="H981" s="31">
        <v>146121.35070949371</v>
      </c>
      <c r="I981" s="31">
        <v>102163.73358637129</v>
      </c>
      <c r="J981" s="32">
        <f t="shared" si="81"/>
        <v>12914.866312431666</v>
      </c>
      <c r="K981" s="31">
        <v>0</v>
      </c>
      <c r="L981" s="31">
        <v>0</v>
      </c>
      <c r="M981" s="32">
        <f t="shared" si="82"/>
        <v>0</v>
      </c>
      <c r="N981" s="33">
        <f>Result_notebook!L981</f>
        <v>0.787554996857322</v>
      </c>
      <c r="O981" s="31">
        <f t="shared" si="83"/>
        <v>-52901.141708897194</v>
      </c>
      <c r="P981" s="31">
        <f t="shared" si="84"/>
        <v>39986.275396465528</v>
      </c>
      <c r="Q981">
        <f t="shared" si="85"/>
        <v>12914.866312431666</v>
      </c>
    </row>
    <row r="982" spans="1:17" x14ac:dyDescent="0.35">
      <c r="A982">
        <v>2035</v>
      </c>
      <c r="B982" t="s">
        <v>12</v>
      </c>
      <c r="C982" t="s">
        <v>9</v>
      </c>
      <c r="D982" t="s">
        <v>16</v>
      </c>
      <c r="E982" t="s">
        <v>483</v>
      </c>
      <c r="F982" t="s">
        <v>80</v>
      </c>
      <c r="G982" s="31">
        <v>23434.242163494011</v>
      </c>
      <c r="H982" s="31">
        <v>0</v>
      </c>
      <c r="I982" s="31">
        <v>0</v>
      </c>
      <c r="J982" s="32">
        <f t="shared" si="81"/>
        <v>0</v>
      </c>
      <c r="K982" s="31">
        <v>33477.488804991437</v>
      </c>
      <c r="L982" s="31">
        <v>23434.242163494011</v>
      </c>
      <c r="M982" s="32">
        <f t="shared" si="82"/>
        <v>23434.242163494011</v>
      </c>
      <c r="N982" s="33">
        <f>Result_notebook!L982</f>
        <v>0.787554996857322</v>
      </c>
      <c r="O982" s="31">
        <f t="shared" si="83"/>
        <v>0</v>
      </c>
      <c r="P982" s="31">
        <f t="shared" si="84"/>
        <v>0</v>
      </c>
      <c r="Q982">
        <f t="shared" si="85"/>
        <v>0</v>
      </c>
    </row>
    <row r="983" spans="1:17" x14ac:dyDescent="0.35">
      <c r="A983">
        <v>2035</v>
      </c>
      <c r="B983" t="s">
        <v>12</v>
      </c>
      <c r="C983" t="s">
        <v>9</v>
      </c>
      <c r="D983" t="s">
        <v>16</v>
      </c>
      <c r="E983" t="s">
        <v>483</v>
      </c>
      <c r="F983" t="s">
        <v>81</v>
      </c>
      <c r="G983" s="31">
        <v>23434.242163494011</v>
      </c>
      <c r="H983" s="31">
        <v>40453</v>
      </c>
      <c r="I983" s="31">
        <v>28283.5430599463</v>
      </c>
      <c r="J983" s="32">
        <f t="shared" si="81"/>
        <v>3575.4192279229464</v>
      </c>
      <c r="K983" s="31">
        <v>0</v>
      </c>
      <c r="L983" s="31">
        <v>0</v>
      </c>
      <c r="M983" s="32">
        <f t="shared" si="82"/>
        <v>0</v>
      </c>
      <c r="N983" s="33">
        <f>Result_notebook!L983</f>
        <v>0.787554996857322</v>
      </c>
      <c r="O983" s="31">
        <f t="shared" si="83"/>
        <v>-8424.7201243752352</v>
      </c>
      <c r="P983" s="31">
        <f t="shared" si="84"/>
        <v>4849.3008964522887</v>
      </c>
      <c r="Q983">
        <f t="shared" si="85"/>
        <v>3575.4192279229464</v>
      </c>
    </row>
    <row r="984" spans="1:17" x14ac:dyDescent="0.35">
      <c r="A984">
        <v>2035</v>
      </c>
      <c r="B984" t="s">
        <v>12</v>
      </c>
      <c r="C984" t="s">
        <v>9</v>
      </c>
      <c r="D984" t="s">
        <v>18</v>
      </c>
      <c r="E984" t="s">
        <v>483</v>
      </c>
      <c r="F984" t="s">
        <v>85</v>
      </c>
      <c r="G984" s="31">
        <v>23434.242163494011</v>
      </c>
      <c r="H984" s="31">
        <v>146121.35070949371</v>
      </c>
      <c r="I984" s="31">
        <v>102163.73358637129</v>
      </c>
      <c r="J984" s="32">
        <f t="shared" si="81"/>
        <v>12914.866312431666</v>
      </c>
      <c r="K984" s="31">
        <v>0</v>
      </c>
      <c r="L984" s="31">
        <v>0</v>
      </c>
      <c r="M984" s="32">
        <f t="shared" si="82"/>
        <v>0</v>
      </c>
      <c r="N984" s="33">
        <f>Result_notebook!L984</f>
        <v>0.787554996857322</v>
      </c>
      <c r="O984" s="31">
        <f t="shared" si="83"/>
        <v>-91644.357735308949</v>
      </c>
      <c r="P984" s="31">
        <f t="shared" si="84"/>
        <v>78729.491422877283</v>
      </c>
      <c r="Q984">
        <f t="shared" si="85"/>
        <v>12914.866312431666</v>
      </c>
    </row>
    <row r="985" spans="1:17" x14ac:dyDescent="0.35">
      <c r="A985">
        <v>2035</v>
      </c>
      <c r="B985" t="s">
        <v>12</v>
      </c>
      <c r="C985" t="s">
        <v>9</v>
      </c>
      <c r="D985" t="s">
        <v>18</v>
      </c>
      <c r="E985" t="s">
        <v>483</v>
      </c>
      <c r="F985" t="s">
        <v>86</v>
      </c>
      <c r="G985" s="31">
        <v>23434.242163494011</v>
      </c>
      <c r="H985" s="31">
        <v>146121.35070949371</v>
      </c>
      <c r="I985" s="31">
        <v>102163.73358637129</v>
      </c>
      <c r="J985" s="32">
        <f t="shared" si="81"/>
        <v>12914.866312431666</v>
      </c>
      <c r="K985" s="31">
        <v>0</v>
      </c>
      <c r="L985" s="31">
        <v>0</v>
      </c>
      <c r="M985" s="32">
        <f t="shared" si="82"/>
        <v>0</v>
      </c>
      <c r="N985" s="33">
        <f>Result_notebook!L985</f>
        <v>0.787554996857322</v>
      </c>
      <c r="O985" s="31">
        <f t="shared" si="83"/>
        <v>-91644.357735308949</v>
      </c>
      <c r="P985" s="31">
        <f t="shared" si="84"/>
        <v>78729.491422877283</v>
      </c>
      <c r="Q985">
        <f t="shared" si="85"/>
        <v>12914.866312431666</v>
      </c>
    </row>
    <row r="986" spans="1:17" x14ac:dyDescent="0.35">
      <c r="A986">
        <v>2035</v>
      </c>
      <c r="B986" t="s">
        <v>12</v>
      </c>
      <c r="C986" t="s">
        <v>9</v>
      </c>
      <c r="D986" t="s">
        <v>18</v>
      </c>
      <c r="E986" t="s">
        <v>490</v>
      </c>
      <c r="F986" t="s">
        <v>82</v>
      </c>
      <c r="G986" s="31">
        <v>23434.242163494011</v>
      </c>
      <c r="H986" s="31">
        <v>146121.35070949371</v>
      </c>
      <c r="I986" s="31">
        <v>102163.73358637129</v>
      </c>
      <c r="J986" s="32">
        <f t="shared" si="81"/>
        <v>12914.866312431666</v>
      </c>
      <c r="K986" s="31">
        <v>0</v>
      </c>
      <c r="L986" s="31">
        <v>0</v>
      </c>
      <c r="M986" s="32">
        <f t="shared" si="82"/>
        <v>0</v>
      </c>
      <c r="N986" s="33">
        <f>Result_notebook!L986</f>
        <v>0.787554996857322</v>
      </c>
      <c r="O986" s="31">
        <f t="shared" si="83"/>
        <v>-91644.357735308949</v>
      </c>
      <c r="P986" s="31">
        <f t="shared" si="84"/>
        <v>78729.491422877283</v>
      </c>
      <c r="Q986">
        <f t="shared" si="85"/>
        <v>12914.866312431666</v>
      </c>
    </row>
    <row r="987" spans="1:17" x14ac:dyDescent="0.35">
      <c r="A987">
        <v>2035</v>
      </c>
      <c r="B987" t="s">
        <v>12</v>
      </c>
      <c r="C987" t="s">
        <v>10</v>
      </c>
      <c r="D987" t="s">
        <v>16</v>
      </c>
      <c r="E987" t="s">
        <v>483</v>
      </c>
      <c r="F987" t="s">
        <v>80</v>
      </c>
      <c r="G987" s="31">
        <v>59165.940947355157</v>
      </c>
      <c r="H987" s="31">
        <v>0</v>
      </c>
      <c r="I987" s="31">
        <v>0</v>
      </c>
      <c r="J987" s="32">
        <f t="shared" si="81"/>
        <v>0</v>
      </c>
      <c r="K987" s="31">
        <v>84522.772781935942</v>
      </c>
      <c r="L987" s="31">
        <v>59165.940947355157</v>
      </c>
      <c r="M987" s="32">
        <f t="shared" si="82"/>
        <v>59165.940947355157</v>
      </c>
      <c r="N987" s="33">
        <f>Result_notebook!L987</f>
        <v>0.787554996857322</v>
      </c>
      <c r="O987" s="31">
        <f t="shared" si="83"/>
        <v>0</v>
      </c>
      <c r="P987" s="31">
        <f t="shared" si="84"/>
        <v>0</v>
      </c>
      <c r="Q987">
        <f t="shared" si="85"/>
        <v>0</v>
      </c>
    </row>
    <row r="988" spans="1:17" x14ac:dyDescent="0.35">
      <c r="A988">
        <v>2035</v>
      </c>
      <c r="B988" t="s">
        <v>12</v>
      </c>
      <c r="C988" t="s">
        <v>10</v>
      </c>
      <c r="D988" t="s">
        <v>16</v>
      </c>
      <c r="E988" t="s">
        <v>483</v>
      </c>
      <c r="F988" t="s">
        <v>81</v>
      </c>
      <c r="G988" s="31">
        <v>59165.940947355157</v>
      </c>
      <c r="H988" s="31">
        <v>40453</v>
      </c>
      <c r="I988" s="31">
        <v>28283.5430599463</v>
      </c>
      <c r="J988" s="32">
        <f t="shared" si="81"/>
        <v>3575.4192279229464</v>
      </c>
      <c r="K988" s="31">
        <v>44069.772781935942</v>
      </c>
      <c r="L988" s="31">
        <v>30882.397887408861</v>
      </c>
      <c r="M988" s="32">
        <f t="shared" si="82"/>
        <v>27306.978659485914</v>
      </c>
      <c r="N988" s="33">
        <f>Result_notebook!L988</f>
        <v>0.787554996857322</v>
      </c>
      <c r="O988" s="31">
        <f t="shared" si="83"/>
        <v>0</v>
      </c>
      <c r="P988" s="31">
        <f t="shared" si="84"/>
        <v>0</v>
      </c>
      <c r="Q988">
        <f t="shared" si="85"/>
        <v>3575.4192279229464</v>
      </c>
    </row>
    <row r="989" spans="1:17" x14ac:dyDescent="0.35">
      <c r="A989">
        <v>2035</v>
      </c>
      <c r="B989" t="s">
        <v>12</v>
      </c>
      <c r="C989" t="s">
        <v>10</v>
      </c>
      <c r="D989" t="s">
        <v>18</v>
      </c>
      <c r="E989" t="s">
        <v>483</v>
      </c>
      <c r="F989" t="s">
        <v>85</v>
      </c>
      <c r="G989" s="31">
        <v>59165.940947355157</v>
      </c>
      <c r="H989" s="31">
        <v>146121.35070949371</v>
      </c>
      <c r="I989" s="31">
        <v>102163.73358637129</v>
      </c>
      <c r="J989" s="32">
        <f t="shared" si="81"/>
        <v>12914.866312431666</v>
      </c>
      <c r="K989" s="31">
        <v>0</v>
      </c>
      <c r="L989" s="31">
        <v>0</v>
      </c>
      <c r="M989" s="32">
        <f t="shared" si="82"/>
        <v>0</v>
      </c>
      <c r="N989" s="33">
        <f>Result_notebook!L989</f>
        <v>0.787554996857322</v>
      </c>
      <c r="O989" s="31">
        <f t="shared" si="83"/>
        <v>-55912.658951447804</v>
      </c>
      <c r="P989" s="31">
        <f t="shared" si="84"/>
        <v>42997.792639016137</v>
      </c>
      <c r="Q989">
        <f t="shared" si="85"/>
        <v>12914.866312431666</v>
      </c>
    </row>
    <row r="990" spans="1:17" x14ac:dyDescent="0.35">
      <c r="A990">
        <v>2035</v>
      </c>
      <c r="B990" t="s">
        <v>12</v>
      </c>
      <c r="C990" t="s">
        <v>10</v>
      </c>
      <c r="D990" t="s">
        <v>18</v>
      </c>
      <c r="E990" t="s">
        <v>483</v>
      </c>
      <c r="F990" t="s">
        <v>86</v>
      </c>
      <c r="G990" s="31">
        <v>59165.940947355157</v>
      </c>
      <c r="H990" s="31">
        <v>146121.35070949371</v>
      </c>
      <c r="I990" s="31">
        <v>102163.73358637129</v>
      </c>
      <c r="J990" s="32">
        <f t="shared" si="81"/>
        <v>12914.866312431666</v>
      </c>
      <c r="K990" s="31">
        <v>0</v>
      </c>
      <c r="L990" s="31">
        <v>0</v>
      </c>
      <c r="M990" s="32">
        <f t="shared" si="82"/>
        <v>0</v>
      </c>
      <c r="N990" s="33">
        <f>Result_notebook!L990</f>
        <v>0.787554996857322</v>
      </c>
      <c r="O990" s="31">
        <f t="shared" si="83"/>
        <v>-55912.658951447804</v>
      </c>
      <c r="P990" s="31">
        <f t="shared" si="84"/>
        <v>42997.792639016137</v>
      </c>
      <c r="Q990">
        <f t="shared" si="85"/>
        <v>12914.866312431666</v>
      </c>
    </row>
    <row r="991" spans="1:17" x14ac:dyDescent="0.35">
      <c r="A991">
        <v>2035</v>
      </c>
      <c r="B991" t="s">
        <v>12</v>
      </c>
      <c r="C991" t="s">
        <v>10</v>
      </c>
      <c r="D991" t="s">
        <v>18</v>
      </c>
      <c r="E991" t="s">
        <v>490</v>
      </c>
      <c r="F991" t="s">
        <v>82</v>
      </c>
      <c r="G991" s="31">
        <v>59165.940947355157</v>
      </c>
      <c r="H991" s="31">
        <v>146121.35070949371</v>
      </c>
      <c r="I991" s="31">
        <v>102163.73358637129</v>
      </c>
      <c r="J991" s="32">
        <f t="shared" si="81"/>
        <v>12914.866312431666</v>
      </c>
      <c r="K991" s="31">
        <v>0</v>
      </c>
      <c r="L991" s="31">
        <v>0</v>
      </c>
      <c r="M991" s="32">
        <f t="shared" si="82"/>
        <v>0</v>
      </c>
      <c r="N991" s="33">
        <f>Result_notebook!L991</f>
        <v>0.787554996857322</v>
      </c>
      <c r="O991" s="31">
        <f t="shared" si="83"/>
        <v>-55912.658951447804</v>
      </c>
      <c r="P991" s="31">
        <f t="shared" si="84"/>
        <v>42997.792639016137</v>
      </c>
      <c r="Q991">
        <f t="shared" si="85"/>
        <v>12914.866312431666</v>
      </c>
    </row>
    <row r="992" spans="1:17" x14ac:dyDescent="0.35">
      <c r="A992">
        <v>2036</v>
      </c>
      <c r="B992" t="s">
        <v>6</v>
      </c>
      <c r="C992" t="s">
        <v>4</v>
      </c>
      <c r="D992" t="s">
        <v>16</v>
      </c>
      <c r="E992" t="s">
        <v>483</v>
      </c>
      <c r="F992" t="s">
        <v>80</v>
      </c>
      <c r="G992" s="31">
        <v>173899.7327411345</v>
      </c>
      <c r="H992" s="31">
        <v>0</v>
      </c>
      <c r="I992" s="31">
        <v>0</v>
      </c>
      <c r="J992" s="32">
        <f t="shared" si="81"/>
        <v>0</v>
      </c>
      <c r="K992" s="31">
        <v>395226.66532076022</v>
      </c>
      <c r="L992" s="31">
        <v>173899.7327411345</v>
      </c>
      <c r="M992" s="32">
        <f t="shared" si="82"/>
        <v>173899.7327411345</v>
      </c>
      <c r="N992" s="33">
        <f>Result_notebook!L992</f>
        <v>0.439346565686978</v>
      </c>
      <c r="O992" s="31">
        <f t="shared" si="83"/>
        <v>0</v>
      </c>
      <c r="P992" s="31">
        <f t="shared" si="84"/>
        <v>0</v>
      </c>
      <c r="Q992">
        <f t="shared" si="85"/>
        <v>0</v>
      </c>
    </row>
    <row r="993" spans="1:17" x14ac:dyDescent="0.35">
      <c r="A993">
        <v>2036</v>
      </c>
      <c r="B993" t="s">
        <v>6</v>
      </c>
      <c r="C993" t="s">
        <v>4</v>
      </c>
      <c r="D993" t="s">
        <v>16</v>
      </c>
      <c r="E993" t="s">
        <v>483</v>
      </c>
      <c r="F993" t="s">
        <v>81</v>
      </c>
      <c r="G993" s="31">
        <v>173899.7327411345</v>
      </c>
      <c r="H993" s="31">
        <v>2837</v>
      </c>
      <c r="I993" s="31">
        <v>1203.4038470959081</v>
      </c>
      <c r="J993" s="32">
        <f t="shared" si="81"/>
        <v>43.022359758048424</v>
      </c>
      <c r="K993" s="31">
        <v>392389.66532076022</v>
      </c>
      <c r="L993" s="31">
        <v>172696.3288940386</v>
      </c>
      <c r="M993" s="32">
        <f t="shared" si="82"/>
        <v>172653.30653428053</v>
      </c>
      <c r="N993" s="33">
        <f>Result_notebook!L993</f>
        <v>0.439346565686978</v>
      </c>
      <c r="O993" s="31">
        <f t="shared" si="83"/>
        <v>0</v>
      </c>
      <c r="P993" s="31">
        <f t="shared" si="84"/>
        <v>0</v>
      </c>
      <c r="Q993">
        <f t="shared" si="85"/>
        <v>43.022359758048424</v>
      </c>
    </row>
    <row r="994" spans="1:17" x14ac:dyDescent="0.35">
      <c r="A994">
        <v>2036</v>
      </c>
      <c r="B994" t="s">
        <v>6</v>
      </c>
      <c r="C994" t="s">
        <v>4</v>
      </c>
      <c r="D994" t="s">
        <v>18</v>
      </c>
      <c r="E994" t="s">
        <v>483</v>
      </c>
      <c r="F994" t="s">
        <v>85</v>
      </c>
      <c r="G994" s="31">
        <v>173899.7327411345</v>
      </c>
      <c r="H994" s="31">
        <v>17802.59181720679</v>
      </c>
      <c r="I994" s="31">
        <v>7551.5359468116967</v>
      </c>
      <c r="J994" s="32">
        <f t="shared" si="81"/>
        <v>269.97162840520377</v>
      </c>
      <c r="K994" s="31">
        <v>377424.0735035534</v>
      </c>
      <c r="L994" s="31">
        <v>166348.19679432281</v>
      </c>
      <c r="M994" s="32">
        <f t="shared" si="82"/>
        <v>166078.2251659176</v>
      </c>
      <c r="N994" s="33">
        <f>Result_notebook!L994</f>
        <v>0.439346565686978</v>
      </c>
      <c r="O994" s="31">
        <f t="shared" si="83"/>
        <v>0</v>
      </c>
      <c r="P994" s="31">
        <f t="shared" si="84"/>
        <v>0</v>
      </c>
      <c r="Q994">
        <f t="shared" si="85"/>
        <v>269.97162840520377</v>
      </c>
    </row>
    <row r="995" spans="1:17" x14ac:dyDescent="0.35">
      <c r="A995">
        <v>2036</v>
      </c>
      <c r="B995" t="s">
        <v>6</v>
      </c>
      <c r="C995" t="s">
        <v>4</v>
      </c>
      <c r="D995" t="s">
        <v>18</v>
      </c>
      <c r="E995" t="s">
        <v>483</v>
      </c>
      <c r="F995" t="s">
        <v>86</v>
      </c>
      <c r="G995" s="31">
        <v>173899.7327411345</v>
      </c>
      <c r="H995" s="31">
        <v>17802.59181720679</v>
      </c>
      <c r="I995" s="31">
        <v>7551.5359468116967</v>
      </c>
      <c r="J995" s="32">
        <f t="shared" si="81"/>
        <v>269.97162840520377</v>
      </c>
      <c r="K995" s="31">
        <v>377424.0735035534</v>
      </c>
      <c r="L995" s="31">
        <v>166348.19679432281</v>
      </c>
      <c r="M995" s="32">
        <f t="shared" si="82"/>
        <v>166078.2251659176</v>
      </c>
      <c r="N995" s="33">
        <f>Result_notebook!L995</f>
        <v>0.439346565686978</v>
      </c>
      <c r="O995" s="31">
        <f t="shared" si="83"/>
        <v>0</v>
      </c>
      <c r="P995" s="31">
        <f t="shared" si="84"/>
        <v>0</v>
      </c>
      <c r="Q995">
        <f t="shared" si="85"/>
        <v>269.97162840520377</v>
      </c>
    </row>
    <row r="996" spans="1:17" x14ac:dyDescent="0.35">
      <c r="A996">
        <v>2036</v>
      </c>
      <c r="B996" t="s">
        <v>6</v>
      </c>
      <c r="C996" t="s">
        <v>4</v>
      </c>
      <c r="D996" t="s">
        <v>18</v>
      </c>
      <c r="E996" t="s">
        <v>490</v>
      </c>
      <c r="F996" t="s">
        <v>82</v>
      </c>
      <c r="G996" s="31">
        <v>173899.7327411345</v>
      </c>
      <c r="H996" s="31">
        <v>17802.59181720679</v>
      </c>
      <c r="I996" s="31">
        <v>7821.5075752169087</v>
      </c>
      <c r="J996" s="32">
        <f t="shared" si="81"/>
        <v>-8.1854523159563541E-12</v>
      </c>
      <c r="K996" s="31">
        <v>377424.0735035534</v>
      </c>
      <c r="L996" s="31">
        <v>166078.2251659176</v>
      </c>
      <c r="M996" s="32">
        <f t="shared" si="82"/>
        <v>166078.2251659176</v>
      </c>
      <c r="N996" s="33">
        <f>Result_notebook!L996</f>
        <v>0.439346565686978</v>
      </c>
      <c r="O996" s="31">
        <f t="shared" si="83"/>
        <v>0</v>
      </c>
      <c r="P996" s="31">
        <f t="shared" si="84"/>
        <v>0</v>
      </c>
      <c r="Q996">
        <f t="shared" si="85"/>
        <v>-8.1854523159563541E-12</v>
      </c>
    </row>
    <row r="997" spans="1:17" x14ac:dyDescent="0.35">
      <c r="A997">
        <v>2036</v>
      </c>
      <c r="B997" t="s">
        <v>6</v>
      </c>
      <c r="C997" t="s">
        <v>9</v>
      </c>
      <c r="D997" t="s">
        <v>16</v>
      </c>
      <c r="E997" t="s">
        <v>483</v>
      </c>
      <c r="F997" t="s">
        <v>80</v>
      </c>
      <c r="G997" s="31">
        <v>65955.730277636801</v>
      </c>
      <c r="H997" s="31">
        <v>0</v>
      </c>
      <c r="I997" s="31">
        <v>0</v>
      </c>
      <c r="J997" s="32">
        <f t="shared" si="81"/>
        <v>0</v>
      </c>
      <c r="K997" s="31">
        <v>149899.38699462911</v>
      </c>
      <c r="L997" s="31">
        <v>65955.730277636801</v>
      </c>
      <c r="M997" s="32">
        <f t="shared" si="82"/>
        <v>65955.730277636801</v>
      </c>
      <c r="N997" s="33">
        <f>Result_notebook!L997</f>
        <v>0.439346565686978</v>
      </c>
      <c r="O997" s="31">
        <f t="shared" si="83"/>
        <v>0</v>
      </c>
      <c r="P997" s="31">
        <f t="shared" si="84"/>
        <v>0</v>
      </c>
      <c r="Q997">
        <f t="shared" si="85"/>
        <v>0</v>
      </c>
    </row>
    <row r="998" spans="1:17" x14ac:dyDescent="0.35">
      <c r="A998">
        <v>2036</v>
      </c>
      <c r="B998" t="s">
        <v>6</v>
      </c>
      <c r="C998" t="s">
        <v>9</v>
      </c>
      <c r="D998" t="s">
        <v>16</v>
      </c>
      <c r="E998" t="s">
        <v>483</v>
      </c>
      <c r="F998" t="s">
        <v>81</v>
      </c>
      <c r="G998" s="31">
        <v>65955.730277636801</v>
      </c>
      <c r="H998" s="31">
        <v>2837</v>
      </c>
      <c r="I998" s="31">
        <v>1203.4038470959081</v>
      </c>
      <c r="J998" s="32">
        <f t="shared" si="81"/>
        <v>43.022359758048424</v>
      </c>
      <c r="K998" s="31">
        <v>147062.38699462911</v>
      </c>
      <c r="L998" s="31">
        <v>64752.326430540903</v>
      </c>
      <c r="M998" s="32">
        <f t="shared" si="82"/>
        <v>64709.304070782855</v>
      </c>
      <c r="N998" s="33">
        <f>Result_notebook!L998</f>
        <v>0.439346565686978</v>
      </c>
      <c r="O998" s="31">
        <f t="shared" si="83"/>
        <v>0</v>
      </c>
      <c r="P998" s="31">
        <f t="shared" si="84"/>
        <v>0</v>
      </c>
      <c r="Q998">
        <f t="shared" si="85"/>
        <v>43.022359758048424</v>
      </c>
    </row>
    <row r="999" spans="1:17" x14ac:dyDescent="0.35">
      <c r="A999">
        <v>2036</v>
      </c>
      <c r="B999" t="s">
        <v>6</v>
      </c>
      <c r="C999" t="s">
        <v>9</v>
      </c>
      <c r="D999" t="s">
        <v>18</v>
      </c>
      <c r="E999" t="s">
        <v>483</v>
      </c>
      <c r="F999" t="s">
        <v>85</v>
      </c>
      <c r="G999" s="31">
        <v>65955.730277636801</v>
      </c>
      <c r="H999" s="31">
        <v>17802.59181720679</v>
      </c>
      <c r="I999" s="31">
        <v>7551.5359468116967</v>
      </c>
      <c r="J999" s="32">
        <f t="shared" si="81"/>
        <v>269.97162840520377</v>
      </c>
      <c r="K999" s="31">
        <v>132096.79517742229</v>
      </c>
      <c r="L999" s="31">
        <v>58404.194330825107</v>
      </c>
      <c r="M999" s="32">
        <f t="shared" si="82"/>
        <v>58134.222702419902</v>
      </c>
      <c r="N999" s="33">
        <f>Result_notebook!L999</f>
        <v>0.439346565686978</v>
      </c>
      <c r="O999" s="31">
        <f t="shared" si="83"/>
        <v>0</v>
      </c>
      <c r="P999" s="31">
        <f t="shared" si="84"/>
        <v>0</v>
      </c>
      <c r="Q999">
        <f t="shared" si="85"/>
        <v>269.97162840520377</v>
      </c>
    </row>
    <row r="1000" spans="1:17" x14ac:dyDescent="0.35">
      <c r="A1000">
        <v>2036</v>
      </c>
      <c r="B1000" t="s">
        <v>6</v>
      </c>
      <c r="C1000" t="s">
        <v>9</v>
      </c>
      <c r="D1000" t="s">
        <v>18</v>
      </c>
      <c r="E1000" t="s">
        <v>483</v>
      </c>
      <c r="F1000" t="s">
        <v>86</v>
      </c>
      <c r="G1000" s="31">
        <v>65955.730277636801</v>
      </c>
      <c r="H1000" s="31">
        <v>17802.59181720679</v>
      </c>
      <c r="I1000" s="31">
        <v>7551.5359468116967</v>
      </c>
      <c r="J1000" s="32">
        <f t="shared" si="81"/>
        <v>269.97162840520377</v>
      </c>
      <c r="K1000" s="31">
        <v>132096.79517742229</v>
      </c>
      <c r="L1000" s="31">
        <v>58404.194330825107</v>
      </c>
      <c r="M1000" s="32">
        <f t="shared" si="82"/>
        <v>58134.222702419902</v>
      </c>
      <c r="N1000" s="33">
        <f>Result_notebook!L1000</f>
        <v>0.439346565686978</v>
      </c>
      <c r="O1000" s="31">
        <f t="shared" si="83"/>
        <v>0</v>
      </c>
      <c r="P1000" s="31">
        <f t="shared" si="84"/>
        <v>0</v>
      </c>
      <c r="Q1000">
        <f t="shared" si="85"/>
        <v>269.97162840520377</v>
      </c>
    </row>
    <row r="1001" spans="1:17" x14ac:dyDescent="0.35">
      <c r="A1001">
        <v>2036</v>
      </c>
      <c r="B1001" t="s">
        <v>6</v>
      </c>
      <c r="C1001" t="s">
        <v>9</v>
      </c>
      <c r="D1001" t="s">
        <v>18</v>
      </c>
      <c r="E1001" t="s">
        <v>490</v>
      </c>
      <c r="F1001" t="s">
        <v>82</v>
      </c>
      <c r="G1001" s="31">
        <v>65955.730277636801</v>
      </c>
      <c r="H1001" s="31">
        <v>17802.59181720679</v>
      </c>
      <c r="I1001" s="31">
        <v>7821.5075752169087</v>
      </c>
      <c r="J1001" s="32">
        <f t="shared" si="81"/>
        <v>-8.1854523159563541E-12</v>
      </c>
      <c r="K1001" s="31">
        <v>132096.79517742229</v>
      </c>
      <c r="L1001" s="31">
        <v>58134.222702419887</v>
      </c>
      <c r="M1001" s="32">
        <f t="shared" si="82"/>
        <v>58134.222702419895</v>
      </c>
      <c r="N1001" s="33">
        <f>Result_notebook!L1001</f>
        <v>0.439346565686978</v>
      </c>
      <c r="O1001" s="31">
        <f t="shared" si="83"/>
        <v>0</v>
      </c>
      <c r="P1001" s="31">
        <f t="shared" si="84"/>
        <v>0</v>
      </c>
      <c r="Q1001">
        <f t="shared" si="85"/>
        <v>-8.1854523159563541E-12</v>
      </c>
    </row>
    <row r="1002" spans="1:17" x14ac:dyDescent="0.35">
      <c r="A1002">
        <v>2036</v>
      </c>
      <c r="B1002" t="s">
        <v>6</v>
      </c>
      <c r="C1002" t="s">
        <v>10</v>
      </c>
      <c r="D1002" t="s">
        <v>16</v>
      </c>
      <c r="E1002" t="s">
        <v>483</v>
      </c>
      <c r="F1002" t="s">
        <v>80</v>
      </c>
      <c r="G1002" s="31">
        <v>165496.51829818229</v>
      </c>
      <c r="H1002" s="31">
        <v>0</v>
      </c>
      <c r="I1002" s="31">
        <v>0</v>
      </c>
      <c r="J1002" s="32">
        <f t="shared" si="81"/>
        <v>0</v>
      </c>
      <c r="K1002" s="31">
        <v>376128.45067768701</v>
      </c>
      <c r="L1002" s="31">
        <v>165496.51829818229</v>
      </c>
      <c r="M1002" s="32">
        <f t="shared" si="82"/>
        <v>165496.51829818229</v>
      </c>
      <c r="N1002" s="33">
        <f>Result_notebook!L1002</f>
        <v>0.439346565686978</v>
      </c>
      <c r="O1002" s="31">
        <f t="shared" si="83"/>
        <v>0</v>
      </c>
      <c r="P1002" s="31">
        <f t="shared" si="84"/>
        <v>0</v>
      </c>
      <c r="Q1002">
        <f t="shared" si="85"/>
        <v>0</v>
      </c>
    </row>
    <row r="1003" spans="1:17" x14ac:dyDescent="0.35">
      <c r="A1003">
        <v>2036</v>
      </c>
      <c r="B1003" t="s">
        <v>6</v>
      </c>
      <c r="C1003" t="s">
        <v>10</v>
      </c>
      <c r="D1003" t="s">
        <v>16</v>
      </c>
      <c r="E1003" t="s">
        <v>483</v>
      </c>
      <c r="F1003" t="s">
        <v>81</v>
      </c>
      <c r="G1003" s="31">
        <v>165496.51829818229</v>
      </c>
      <c r="H1003" s="31">
        <v>2837</v>
      </c>
      <c r="I1003" s="31">
        <v>1203.4038470959081</v>
      </c>
      <c r="J1003" s="32">
        <f t="shared" si="81"/>
        <v>43.022359758048424</v>
      </c>
      <c r="K1003" s="31">
        <v>373291.45067768701</v>
      </c>
      <c r="L1003" s="31">
        <v>164293.11445108641</v>
      </c>
      <c r="M1003" s="32">
        <f t="shared" si="82"/>
        <v>164250.09209132835</v>
      </c>
      <c r="N1003" s="33">
        <f>Result_notebook!L1003</f>
        <v>0.439346565686978</v>
      </c>
      <c r="O1003" s="31">
        <f t="shared" si="83"/>
        <v>0</v>
      </c>
      <c r="P1003" s="31">
        <f t="shared" si="84"/>
        <v>0</v>
      </c>
      <c r="Q1003">
        <f t="shared" si="85"/>
        <v>43.022359758048424</v>
      </c>
    </row>
    <row r="1004" spans="1:17" x14ac:dyDescent="0.35">
      <c r="A1004">
        <v>2036</v>
      </c>
      <c r="B1004" t="s">
        <v>6</v>
      </c>
      <c r="C1004" t="s">
        <v>10</v>
      </c>
      <c r="D1004" t="s">
        <v>18</v>
      </c>
      <c r="E1004" t="s">
        <v>483</v>
      </c>
      <c r="F1004" t="s">
        <v>85</v>
      </c>
      <c r="G1004" s="31">
        <v>165496.51829818229</v>
      </c>
      <c r="H1004" s="31">
        <v>17802.59181720679</v>
      </c>
      <c r="I1004" s="31">
        <v>7551.5359468116967</v>
      </c>
      <c r="J1004" s="32">
        <f t="shared" si="81"/>
        <v>269.97162840520377</v>
      </c>
      <c r="K1004" s="31">
        <v>358325.85886048019</v>
      </c>
      <c r="L1004" s="31">
        <v>157944.98235137059</v>
      </c>
      <c r="M1004" s="32">
        <f t="shared" si="82"/>
        <v>157675.01072296538</v>
      </c>
      <c r="N1004" s="33">
        <f>Result_notebook!L1004</f>
        <v>0.439346565686978</v>
      </c>
      <c r="O1004" s="31">
        <f t="shared" si="83"/>
        <v>0</v>
      </c>
      <c r="P1004" s="31">
        <f t="shared" si="84"/>
        <v>0</v>
      </c>
      <c r="Q1004">
        <f t="shared" si="85"/>
        <v>269.97162840520377</v>
      </c>
    </row>
    <row r="1005" spans="1:17" x14ac:dyDescent="0.35">
      <c r="A1005">
        <v>2036</v>
      </c>
      <c r="B1005" t="s">
        <v>6</v>
      </c>
      <c r="C1005" t="s">
        <v>10</v>
      </c>
      <c r="D1005" t="s">
        <v>18</v>
      </c>
      <c r="E1005" t="s">
        <v>483</v>
      </c>
      <c r="F1005" t="s">
        <v>86</v>
      </c>
      <c r="G1005" s="31">
        <v>165496.51829818229</v>
      </c>
      <c r="H1005" s="31">
        <v>17802.59181720679</v>
      </c>
      <c r="I1005" s="31">
        <v>7551.5359468116967</v>
      </c>
      <c r="J1005" s="32">
        <f t="shared" si="81"/>
        <v>269.97162840520377</v>
      </c>
      <c r="K1005" s="31">
        <v>358325.85886048019</v>
      </c>
      <c r="L1005" s="31">
        <v>157944.98235137059</v>
      </c>
      <c r="M1005" s="32">
        <f t="shared" si="82"/>
        <v>157675.01072296538</v>
      </c>
      <c r="N1005" s="33">
        <f>Result_notebook!L1005</f>
        <v>0.439346565686978</v>
      </c>
      <c r="O1005" s="31">
        <f t="shared" si="83"/>
        <v>0</v>
      </c>
      <c r="P1005" s="31">
        <f t="shared" si="84"/>
        <v>0</v>
      </c>
      <c r="Q1005">
        <f t="shared" si="85"/>
        <v>269.97162840520377</v>
      </c>
    </row>
    <row r="1006" spans="1:17" x14ac:dyDescent="0.35">
      <c r="A1006">
        <v>2036</v>
      </c>
      <c r="B1006" t="s">
        <v>6</v>
      </c>
      <c r="C1006" t="s">
        <v>10</v>
      </c>
      <c r="D1006" t="s">
        <v>18</v>
      </c>
      <c r="E1006" t="s">
        <v>490</v>
      </c>
      <c r="F1006" t="s">
        <v>82</v>
      </c>
      <c r="G1006" s="31">
        <v>165496.51829818229</v>
      </c>
      <c r="H1006" s="31">
        <v>17802.59181720679</v>
      </c>
      <c r="I1006" s="31">
        <v>7821.5075752169087</v>
      </c>
      <c r="J1006" s="32">
        <f t="shared" si="81"/>
        <v>-8.1854523159563541E-12</v>
      </c>
      <c r="K1006" s="31">
        <v>358325.85886048019</v>
      </c>
      <c r="L1006" s="31">
        <v>157675.01072296541</v>
      </c>
      <c r="M1006" s="32">
        <f t="shared" si="82"/>
        <v>157675.01072296541</v>
      </c>
      <c r="N1006" s="33">
        <f>Result_notebook!L1006</f>
        <v>0.439346565686978</v>
      </c>
      <c r="O1006" s="31">
        <f t="shared" si="83"/>
        <v>0</v>
      </c>
      <c r="P1006" s="31">
        <f t="shared" si="84"/>
        <v>0</v>
      </c>
      <c r="Q1006">
        <f t="shared" si="85"/>
        <v>-8.1854523159563541E-12</v>
      </c>
    </row>
    <row r="1007" spans="1:17" x14ac:dyDescent="0.35">
      <c r="A1007">
        <v>2036</v>
      </c>
      <c r="B1007" t="s">
        <v>7</v>
      </c>
      <c r="C1007" t="s">
        <v>4</v>
      </c>
      <c r="D1007" t="s">
        <v>16</v>
      </c>
      <c r="E1007" t="s">
        <v>483</v>
      </c>
      <c r="F1007" t="s">
        <v>80</v>
      </c>
      <c r="G1007" s="31">
        <v>1427841.619496794</v>
      </c>
      <c r="H1007" s="31">
        <v>0</v>
      </c>
      <c r="I1007" s="31">
        <v>0</v>
      </c>
      <c r="J1007" s="32">
        <f t="shared" si="81"/>
        <v>0</v>
      </c>
      <c r="K1007" s="31">
        <v>1720291.107827463</v>
      </c>
      <c r="L1007" s="31">
        <v>1427841.619496794</v>
      </c>
      <c r="M1007" s="32">
        <f t="shared" si="82"/>
        <v>1427841.619496794</v>
      </c>
      <c r="N1007" s="33">
        <f>Result_notebook!L1007</f>
        <v>0.83474576271186396</v>
      </c>
      <c r="O1007" s="31">
        <f t="shared" si="83"/>
        <v>0</v>
      </c>
      <c r="P1007" s="31">
        <f t="shared" si="84"/>
        <v>0</v>
      </c>
      <c r="Q1007">
        <f t="shared" si="85"/>
        <v>0</v>
      </c>
    </row>
    <row r="1008" spans="1:17" x14ac:dyDescent="0.35">
      <c r="A1008">
        <v>2036</v>
      </c>
      <c r="B1008" t="s">
        <v>7</v>
      </c>
      <c r="C1008" t="s">
        <v>4</v>
      </c>
      <c r="D1008" t="s">
        <v>16</v>
      </c>
      <c r="E1008" t="s">
        <v>483</v>
      </c>
      <c r="F1008" t="s">
        <v>81</v>
      </c>
      <c r="G1008" s="31">
        <v>1427841.619496794</v>
      </c>
      <c r="H1008" s="31">
        <v>260859</v>
      </c>
      <c r="I1008" s="31">
        <v>137109.7566079231</v>
      </c>
      <c r="J1008" s="32">
        <f t="shared" si="81"/>
        <v>80641.188307331031</v>
      </c>
      <c r="K1008" s="31">
        <v>1459432.107827463</v>
      </c>
      <c r="L1008" s="31">
        <v>1290731.862888871</v>
      </c>
      <c r="M1008" s="32">
        <f t="shared" si="82"/>
        <v>1210090.67458154</v>
      </c>
      <c r="N1008" s="33">
        <f>Result_notebook!L1008</f>
        <v>0.83474576271186396</v>
      </c>
      <c r="O1008" s="31">
        <f t="shared" si="83"/>
        <v>0</v>
      </c>
      <c r="P1008" s="31">
        <f t="shared" si="84"/>
        <v>0</v>
      </c>
      <c r="Q1008">
        <f t="shared" si="85"/>
        <v>80641.188307331031</v>
      </c>
    </row>
    <row r="1009" spans="1:17" x14ac:dyDescent="0.35">
      <c r="A1009">
        <v>2036</v>
      </c>
      <c r="B1009" t="s">
        <v>7</v>
      </c>
      <c r="C1009" t="s">
        <v>4</v>
      </c>
      <c r="D1009" t="s">
        <v>18</v>
      </c>
      <c r="E1009" t="s">
        <v>483</v>
      </c>
      <c r="F1009" t="s">
        <v>85</v>
      </c>
      <c r="G1009" s="31">
        <v>1427841.619496794</v>
      </c>
      <c r="H1009" s="31">
        <v>925742.0247192611</v>
      </c>
      <c r="I1009" s="31">
        <v>486578.05055981921</v>
      </c>
      <c r="J1009" s="32">
        <f t="shared" si="81"/>
        <v>286181.18193888559</v>
      </c>
      <c r="K1009" s="31">
        <v>794549.08310820162</v>
      </c>
      <c r="L1009" s="31">
        <v>941263.56893697474</v>
      </c>
      <c r="M1009" s="32">
        <f t="shared" si="82"/>
        <v>655082.38699808915</v>
      </c>
      <c r="N1009" s="33">
        <f>Result_notebook!L1009</f>
        <v>0.83474576271186396</v>
      </c>
      <c r="O1009" s="31">
        <f t="shared" si="83"/>
        <v>0</v>
      </c>
      <c r="P1009" s="31">
        <f t="shared" si="84"/>
        <v>0</v>
      </c>
      <c r="Q1009">
        <f t="shared" si="85"/>
        <v>286181.18193888559</v>
      </c>
    </row>
    <row r="1010" spans="1:17" x14ac:dyDescent="0.35">
      <c r="A1010">
        <v>2036</v>
      </c>
      <c r="B1010" t="s">
        <v>7</v>
      </c>
      <c r="C1010" t="s">
        <v>4</v>
      </c>
      <c r="D1010" t="s">
        <v>18</v>
      </c>
      <c r="E1010" t="s">
        <v>483</v>
      </c>
      <c r="F1010" t="s">
        <v>86</v>
      </c>
      <c r="G1010" s="31">
        <v>1427841.619496794</v>
      </c>
      <c r="H1010" s="31">
        <v>925742.0247192611</v>
      </c>
      <c r="I1010" s="31">
        <v>486578.05055981921</v>
      </c>
      <c r="J1010" s="32">
        <f t="shared" si="81"/>
        <v>286181.18193888559</v>
      </c>
      <c r="K1010" s="31">
        <v>794549.08310820162</v>
      </c>
      <c r="L1010" s="31">
        <v>941263.56893697474</v>
      </c>
      <c r="M1010" s="32">
        <f t="shared" si="82"/>
        <v>655082.38699808915</v>
      </c>
      <c r="N1010" s="33">
        <f>Result_notebook!L1010</f>
        <v>0.83474576271186396</v>
      </c>
      <c r="O1010" s="31">
        <f t="shared" si="83"/>
        <v>0</v>
      </c>
      <c r="P1010" s="31">
        <f t="shared" si="84"/>
        <v>0</v>
      </c>
      <c r="Q1010">
        <f t="shared" si="85"/>
        <v>286181.18193888559</v>
      </c>
    </row>
    <row r="1011" spans="1:17" x14ac:dyDescent="0.35">
      <c r="A1011">
        <v>2036</v>
      </c>
      <c r="B1011" t="s">
        <v>7</v>
      </c>
      <c r="C1011" t="s">
        <v>4</v>
      </c>
      <c r="D1011" t="s">
        <v>18</v>
      </c>
      <c r="E1011" t="s">
        <v>490</v>
      </c>
      <c r="F1011" t="s">
        <v>82</v>
      </c>
      <c r="G1011" s="31">
        <v>1427841.619496794</v>
      </c>
      <c r="H1011" s="31">
        <v>925742.0247192611</v>
      </c>
      <c r="I1011" s="31">
        <v>772759.23249870527</v>
      </c>
      <c r="J1011" s="32">
        <f t="shared" si="81"/>
        <v>0</v>
      </c>
      <c r="K1011" s="31">
        <v>794549.08310820162</v>
      </c>
      <c r="L1011" s="31">
        <v>655082.38699808868</v>
      </c>
      <c r="M1011" s="32">
        <f t="shared" si="82"/>
        <v>655082.38699808868</v>
      </c>
      <c r="N1011" s="33">
        <f>Result_notebook!L1011</f>
        <v>0.83474576271186396</v>
      </c>
      <c r="O1011" s="31">
        <f t="shared" si="83"/>
        <v>0</v>
      </c>
      <c r="P1011" s="31">
        <f t="shared" si="84"/>
        <v>0</v>
      </c>
      <c r="Q1011">
        <f t="shared" si="85"/>
        <v>0</v>
      </c>
    </row>
    <row r="1012" spans="1:17" x14ac:dyDescent="0.35">
      <c r="A1012">
        <v>2036</v>
      </c>
      <c r="B1012" t="s">
        <v>7</v>
      </c>
      <c r="C1012" t="s">
        <v>9</v>
      </c>
      <c r="D1012" t="s">
        <v>16</v>
      </c>
      <c r="E1012" t="s">
        <v>483</v>
      </c>
      <c r="F1012" t="s">
        <v>80</v>
      </c>
      <c r="G1012" s="31">
        <v>1101195.4808659849</v>
      </c>
      <c r="H1012" s="31">
        <v>0</v>
      </c>
      <c r="I1012" s="31">
        <v>0</v>
      </c>
      <c r="J1012" s="32">
        <f t="shared" si="81"/>
        <v>0</v>
      </c>
      <c r="K1012" s="31">
        <v>1326741.5432120301</v>
      </c>
      <c r="L1012" s="31">
        <v>1101195.4808659849</v>
      </c>
      <c r="M1012" s="32">
        <f t="shared" si="82"/>
        <v>1101195.4808659849</v>
      </c>
      <c r="N1012" s="33">
        <f>Result_notebook!L1012</f>
        <v>0.83474576271186396</v>
      </c>
      <c r="O1012" s="31">
        <f t="shared" si="83"/>
        <v>0</v>
      </c>
      <c r="P1012" s="31">
        <f t="shared" si="84"/>
        <v>0</v>
      </c>
      <c r="Q1012">
        <f t="shared" si="85"/>
        <v>0</v>
      </c>
    </row>
    <row r="1013" spans="1:17" x14ac:dyDescent="0.35">
      <c r="A1013">
        <v>2036</v>
      </c>
      <c r="B1013" t="s">
        <v>7</v>
      </c>
      <c r="C1013" t="s">
        <v>9</v>
      </c>
      <c r="D1013" t="s">
        <v>16</v>
      </c>
      <c r="E1013" t="s">
        <v>483</v>
      </c>
      <c r="F1013" t="s">
        <v>81</v>
      </c>
      <c r="G1013" s="31">
        <v>1101195.4808659849</v>
      </c>
      <c r="H1013" s="31">
        <v>260859</v>
      </c>
      <c r="I1013" s="31">
        <v>137109.7566079231</v>
      </c>
      <c r="J1013" s="32">
        <f t="shared" si="81"/>
        <v>80641.188307331031</v>
      </c>
      <c r="K1013" s="31">
        <v>1065882.5432120301</v>
      </c>
      <c r="L1013" s="31">
        <v>964085.72425806173</v>
      </c>
      <c r="M1013" s="32">
        <f t="shared" si="82"/>
        <v>883444.53595073067</v>
      </c>
      <c r="N1013" s="33">
        <f>Result_notebook!L1013</f>
        <v>0.83474576271186396</v>
      </c>
      <c r="O1013" s="31">
        <f t="shared" si="83"/>
        <v>0</v>
      </c>
      <c r="P1013" s="31">
        <f t="shared" si="84"/>
        <v>0</v>
      </c>
      <c r="Q1013">
        <f t="shared" si="85"/>
        <v>80641.188307331031</v>
      </c>
    </row>
    <row r="1014" spans="1:17" x14ac:dyDescent="0.35">
      <c r="A1014">
        <v>2036</v>
      </c>
      <c r="B1014" t="s">
        <v>7</v>
      </c>
      <c r="C1014" t="s">
        <v>9</v>
      </c>
      <c r="D1014" t="s">
        <v>18</v>
      </c>
      <c r="E1014" t="s">
        <v>483</v>
      </c>
      <c r="F1014" t="s">
        <v>85</v>
      </c>
      <c r="G1014" s="31">
        <v>1101195.4808659849</v>
      </c>
      <c r="H1014" s="31">
        <v>925742.0247192611</v>
      </c>
      <c r="I1014" s="31">
        <v>486578.05055981921</v>
      </c>
      <c r="J1014" s="32">
        <f t="shared" si="81"/>
        <v>286181.18193888559</v>
      </c>
      <c r="K1014" s="31">
        <v>400999.51849276898</v>
      </c>
      <c r="L1014" s="31">
        <v>614617.43030616571</v>
      </c>
      <c r="M1014" s="32">
        <f t="shared" si="82"/>
        <v>328436.24836728012</v>
      </c>
      <c r="N1014" s="33">
        <f>Result_notebook!L1014</f>
        <v>0.83474576271186396</v>
      </c>
      <c r="O1014" s="31">
        <f t="shared" si="83"/>
        <v>0</v>
      </c>
      <c r="P1014" s="31">
        <f t="shared" si="84"/>
        <v>0</v>
      </c>
      <c r="Q1014">
        <f t="shared" si="85"/>
        <v>286181.18193888559</v>
      </c>
    </row>
    <row r="1015" spans="1:17" x14ac:dyDescent="0.35">
      <c r="A1015">
        <v>2036</v>
      </c>
      <c r="B1015" t="s">
        <v>7</v>
      </c>
      <c r="C1015" t="s">
        <v>9</v>
      </c>
      <c r="D1015" t="s">
        <v>18</v>
      </c>
      <c r="E1015" t="s">
        <v>483</v>
      </c>
      <c r="F1015" t="s">
        <v>86</v>
      </c>
      <c r="G1015" s="31">
        <v>1101195.4808659849</v>
      </c>
      <c r="H1015" s="31">
        <v>925742.0247192611</v>
      </c>
      <c r="I1015" s="31">
        <v>486578.05055981921</v>
      </c>
      <c r="J1015" s="32">
        <f t="shared" si="81"/>
        <v>286181.18193888559</v>
      </c>
      <c r="K1015" s="31">
        <v>400999.51849276898</v>
      </c>
      <c r="L1015" s="31">
        <v>614617.43030616571</v>
      </c>
      <c r="M1015" s="32">
        <f t="shared" si="82"/>
        <v>328436.24836728012</v>
      </c>
      <c r="N1015" s="33">
        <f>Result_notebook!L1015</f>
        <v>0.83474576271186396</v>
      </c>
      <c r="O1015" s="31">
        <f t="shared" si="83"/>
        <v>0</v>
      </c>
      <c r="P1015" s="31">
        <f t="shared" si="84"/>
        <v>0</v>
      </c>
      <c r="Q1015">
        <f t="shared" si="85"/>
        <v>286181.18193888559</v>
      </c>
    </row>
    <row r="1016" spans="1:17" x14ac:dyDescent="0.35">
      <c r="A1016">
        <v>2036</v>
      </c>
      <c r="B1016" t="s">
        <v>7</v>
      </c>
      <c r="C1016" t="s">
        <v>9</v>
      </c>
      <c r="D1016" t="s">
        <v>18</v>
      </c>
      <c r="E1016" t="s">
        <v>490</v>
      </c>
      <c r="F1016" t="s">
        <v>82</v>
      </c>
      <c r="G1016" s="31">
        <v>1101195.4808659849</v>
      </c>
      <c r="H1016" s="31">
        <v>925742.0247192611</v>
      </c>
      <c r="I1016" s="31">
        <v>772759.23249870527</v>
      </c>
      <c r="J1016" s="32">
        <f t="shared" si="81"/>
        <v>0</v>
      </c>
      <c r="K1016" s="31">
        <v>400999.51849276898</v>
      </c>
      <c r="L1016" s="31">
        <v>328436.24836727971</v>
      </c>
      <c r="M1016" s="32">
        <f t="shared" si="82"/>
        <v>328436.24836727971</v>
      </c>
      <c r="N1016" s="33">
        <f>Result_notebook!L1016</f>
        <v>0.83474576271186396</v>
      </c>
      <c r="O1016" s="31">
        <f t="shared" si="83"/>
        <v>0</v>
      </c>
      <c r="P1016" s="31">
        <f t="shared" si="84"/>
        <v>0</v>
      </c>
      <c r="Q1016">
        <f t="shared" si="85"/>
        <v>0</v>
      </c>
    </row>
    <row r="1017" spans="1:17" x14ac:dyDescent="0.35">
      <c r="A1017">
        <v>2036</v>
      </c>
      <c r="B1017" t="s">
        <v>7</v>
      </c>
      <c r="C1017" t="s">
        <v>10</v>
      </c>
      <c r="D1017" t="s">
        <v>16</v>
      </c>
      <c r="E1017" t="s">
        <v>483</v>
      </c>
      <c r="F1017" t="s">
        <v>80</v>
      </c>
      <c r="G1017" s="31">
        <v>1361946.7246063449</v>
      </c>
      <c r="H1017" s="31">
        <v>0</v>
      </c>
      <c r="I1017" s="31">
        <v>0</v>
      </c>
      <c r="J1017" s="32">
        <f t="shared" si="81"/>
        <v>0</v>
      </c>
      <c r="K1017" s="31">
        <v>1640899.668200416</v>
      </c>
      <c r="L1017" s="31">
        <v>1361946.7246063449</v>
      </c>
      <c r="M1017" s="32">
        <f t="shared" si="82"/>
        <v>1361946.7246063449</v>
      </c>
      <c r="N1017" s="33">
        <f>Result_notebook!L1017</f>
        <v>0.83474576271186396</v>
      </c>
      <c r="O1017" s="31">
        <f t="shared" si="83"/>
        <v>0</v>
      </c>
      <c r="P1017" s="31">
        <f t="shared" si="84"/>
        <v>0</v>
      </c>
      <c r="Q1017">
        <f t="shared" si="85"/>
        <v>0</v>
      </c>
    </row>
    <row r="1018" spans="1:17" x14ac:dyDescent="0.35">
      <c r="A1018">
        <v>2036</v>
      </c>
      <c r="B1018" t="s">
        <v>7</v>
      </c>
      <c r="C1018" t="s">
        <v>10</v>
      </c>
      <c r="D1018" t="s">
        <v>16</v>
      </c>
      <c r="E1018" t="s">
        <v>483</v>
      </c>
      <c r="F1018" t="s">
        <v>81</v>
      </c>
      <c r="G1018" s="31">
        <v>1361946.7246063449</v>
      </c>
      <c r="H1018" s="31">
        <v>260859</v>
      </c>
      <c r="I1018" s="31">
        <v>137109.7566079231</v>
      </c>
      <c r="J1018" s="32">
        <f t="shared" si="81"/>
        <v>80641.188307331031</v>
      </c>
      <c r="K1018" s="31">
        <v>1380040.668200416</v>
      </c>
      <c r="L1018" s="31">
        <v>1224836.967998422</v>
      </c>
      <c r="M1018" s="32">
        <f t="shared" si="82"/>
        <v>1144195.779691091</v>
      </c>
      <c r="N1018" s="33">
        <f>Result_notebook!L1018</f>
        <v>0.83474576271186396</v>
      </c>
      <c r="O1018" s="31">
        <f t="shared" si="83"/>
        <v>0</v>
      </c>
      <c r="P1018" s="31">
        <f t="shared" si="84"/>
        <v>0</v>
      </c>
      <c r="Q1018">
        <f t="shared" si="85"/>
        <v>80641.188307331031</v>
      </c>
    </row>
    <row r="1019" spans="1:17" x14ac:dyDescent="0.35">
      <c r="A1019">
        <v>2036</v>
      </c>
      <c r="B1019" t="s">
        <v>7</v>
      </c>
      <c r="C1019" t="s">
        <v>10</v>
      </c>
      <c r="D1019" t="s">
        <v>18</v>
      </c>
      <c r="E1019" t="s">
        <v>483</v>
      </c>
      <c r="F1019" t="s">
        <v>85</v>
      </c>
      <c r="G1019" s="31">
        <v>1361946.7246063449</v>
      </c>
      <c r="H1019" s="31">
        <v>925742.0247192611</v>
      </c>
      <c r="I1019" s="31">
        <v>486578.05055981921</v>
      </c>
      <c r="J1019" s="32">
        <f t="shared" si="81"/>
        <v>286181.18193888559</v>
      </c>
      <c r="K1019" s="31">
        <v>715157.64348115446</v>
      </c>
      <c r="L1019" s="31">
        <v>875368.67404652573</v>
      </c>
      <c r="M1019" s="32">
        <f t="shared" si="82"/>
        <v>589187.49210764014</v>
      </c>
      <c r="N1019" s="33">
        <f>Result_notebook!L1019</f>
        <v>0.83474576271186396</v>
      </c>
      <c r="O1019" s="31">
        <f t="shared" si="83"/>
        <v>0</v>
      </c>
      <c r="P1019" s="31">
        <f t="shared" si="84"/>
        <v>0</v>
      </c>
      <c r="Q1019">
        <f t="shared" si="85"/>
        <v>286181.18193888559</v>
      </c>
    </row>
    <row r="1020" spans="1:17" x14ac:dyDescent="0.35">
      <c r="A1020">
        <v>2036</v>
      </c>
      <c r="B1020" t="s">
        <v>7</v>
      </c>
      <c r="C1020" t="s">
        <v>10</v>
      </c>
      <c r="D1020" t="s">
        <v>18</v>
      </c>
      <c r="E1020" t="s">
        <v>483</v>
      </c>
      <c r="F1020" t="s">
        <v>86</v>
      </c>
      <c r="G1020" s="31">
        <v>1361946.7246063449</v>
      </c>
      <c r="H1020" s="31">
        <v>925742.0247192611</v>
      </c>
      <c r="I1020" s="31">
        <v>486578.05055981921</v>
      </c>
      <c r="J1020" s="32">
        <f t="shared" si="81"/>
        <v>286181.18193888559</v>
      </c>
      <c r="K1020" s="31">
        <v>715157.64348115446</v>
      </c>
      <c r="L1020" s="31">
        <v>875368.67404652573</v>
      </c>
      <c r="M1020" s="32">
        <f t="shared" si="82"/>
        <v>589187.49210764014</v>
      </c>
      <c r="N1020" s="33">
        <f>Result_notebook!L1020</f>
        <v>0.83474576271186396</v>
      </c>
      <c r="O1020" s="31">
        <f t="shared" si="83"/>
        <v>0</v>
      </c>
      <c r="P1020" s="31">
        <f t="shared" si="84"/>
        <v>0</v>
      </c>
      <c r="Q1020">
        <f t="shared" si="85"/>
        <v>286181.18193888559</v>
      </c>
    </row>
    <row r="1021" spans="1:17" x14ac:dyDescent="0.35">
      <c r="A1021">
        <v>2036</v>
      </c>
      <c r="B1021" t="s">
        <v>7</v>
      </c>
      <c r="C1021" t="s">
        <v>10</v>
      </c>
      <c r="D1021" t="s">
        <v>18</v>
      </c>
      <c r="E1021" t="s">
        <v>490</v>
      </c>
      <c r="F1021" t="s">
        <v>82</v>
      </c>
      <c r="G1021" s="31">
        <v>1361946.7246063449</v>
      </c>
      <c r="H1021" s="31">
        <v>925742.0247192611</v>
      </c>
      <c r="I1021" s="31">
        <v>772759.23249870527</v>
      </c>
      <c r="J1021" s="32">
        <f t="shared" si="81"/>
        <v>0</v>
      </c>
      <c r="K1021" s="31">
        <v>715157.64348115446</v>
      </c>
      <c r="L1021" s="31">
        <v>589187.49210763967</v>
      </c>
      <c r="M1021" s="32">
        <f t="shared" si="82"/>
        <v>589187.49210763967</v>
      </c>
      <c r="N1021" s="33">
        <f>Result_notebook!L1021</f>
        <v>0.83474576271186396</v>
      </c>
      <c r="O1021" s="31">
        <f t="shared" si="83"/>
        <v>0</v>
      </c>
      <c r="P1021" s="31">
        <f t="shared" si="84"/>
        <v>0</v>
      </c>
      <c r="Q1021">
        <f t="shared" si="85"/>
        <v>0</v>
      </c>
    </row>
    <row r="1022" spans="1:17" x14ac:dyDescent="0.35">
      <c r="A1022">
        <v>2036</v>
      </c>
      <c r="B1022" t="s">
        <v>11</v>
      </c>
      <c r="C1022" t="s">
        <v>4</v>
      </c>
      <c r="D1022" t="s">
        <v>16</v>
      </c>
      <c r="E1022" t="s">
        <v>483</v>
      </c>
      <c r="F1022" t="s">
        <v>80</v>
      </c>
      <c r="G1022" s="31">
        <v>5473.9657750696551</v>
      </c>
      <c r="H1022" s="31">
        <v>0</v>
      </c>
      <c r="I1022" s="31">
        <v>0</v>
      </c>
      <c r="J1022" s="32">
        <f t="shared" si="81"/>
        <v>0</v>
      </c>
      <c r="K1022" s="31">
        <v>9123.2762917827586</v>
      </c>
      <c r="L1022" s="31">
        <v>5473.9657750696551</v>
      </c>
      <c r="M1022" s="32">
        <f t="shared" si="82"/>
        <v>5473.9657750696551</v>
      </c>
      <c r="N1022" s="33">
        <f>Result_notebook!L1022</f>
        <v>1</v>
      </c>
      <c r="O1022" s="31">
        <f t="shared" si="83"/>
        <v>0</v>
      </c>
      <c r="P1022" s="31">
        <f t="shared" si="84"/>
        <v>0</v>
      </c>
      <c r="Q1022">
        <f t="shared" si="85"/>
        <v>0</v>
      </c>
    </row>
    <row r="1023" spans="1:17" x14ac:dyDescent="0.35">
      <c r="A1023">
        <v>2036</v>
      </c>
      <c r="B1023" t="s">
        <v>11</v>
      </c>
      <c r="C1023" t="s">
        <v>4</v>
      </c>
      <c r="D1023" t="s">
        <v>16</v>
      </c>
      <c r="E1023" t="s">
        <v>483</v>
      </c>
      <c r="F1023" t="s">
        <v>81</v>
      </c>
      <c r="G1023" s="31">
        <v>5473.9657750696551</v>
      </c>
      <c r="H1023" s="31">
        <v>0</v>
      </c>
      <c r="I1023" s="31">
        <v>0</v>
      </c>
      <c r="J1023" s="32">
        <f t="shared" si="81"/>
        <v>0</v>
      </c>
      <c r="K1023" s="31">
        <v>9123.2762917827586</v>
      </c>
      <c r="L1023" s="31">
        <v>5473.9657750696551</v>
      </c>
      <c r="M1023" s="32">
        <f t="shared" si="82"/>
        <v>5473.9657750696551</v>
      </c>
      <c r="N1023" s="33">
        <f>Result_notebook!L1023</f>
        <v>1</v>
      </c>
      <c r="O1023" s="31">
        <f t="shared" si="83"/>
        <v>0</v>
      </c>
      <c r="P1023" s="31">
        <f t="shared" si="84"/>
        <v>0</v>
      </c>
      <c r="Q1023">
        <f t="shared" si="85"/>
        <v>0</v>
      </c>
    </row>
    <row r="1024" spans="1:17" x14ac:dyDescent="0.35">
      <c r="A1024">
        <v>2036</v>
      </c>
      <c r="B1024" t="s">
        <v>11</v>
      </c>
      <c r="C1024" t="s">
        <v>4</v>
      </c>
      <c r="D1024" t="s">
        <v>18</v>
      </c>
      <c r="E1024" t="s">
        <v>483</v>
      </c>
      <c r="F1024" t="s">
        <v>85</v>
      </c>
      <c r="G1024" s="31">
        <v>5473.9657750696551</v>
      </c>
      <c r="H1024" s="31">
        <v>112.111990107284</v>
      </c>
      <c r="I1024" s="31">
        <v>67.10394936401832</v>
      </c>
      <c r="J1024" s="32">
        <f t="shared" si="81"/>
        <v>45.008040743265681</v>
      </c>
      <c r="K1024" s="31">
        <v>9011.1643016754751</v>
      </c>
      <c r="L1024" s="31">
        <v>5406.8618257056369</v>
      </c>
      <c r="M1024" s="32">
        <f t="shared" si="82"/>
        <v>5361.8537849623708</v>
      </c>
      <c r="N1024" s="33">
        <f>Result_notebook!L1024</f>
        <v>1</v>
      </c>
      <c r="O1024" s="31">
        <f t="shared" si="83"/>
        <v>0</v>
      </c>
      <c r="P1024" s="31">
        <f t="shared" si="84"/>
        <v>0</v>
      </c>
      <c r="Q1024">
        <f t="shared" si="85"/>
        <v>45.008040743265681</v>
      </c>
    </row>
    <row r="1025" spans="1:17" x14ac:dyDescent="0.35">
      <c r="A1025">
        <v>2036</v>
      </c>
      <c r="B1025" t="s">
        <v>11</v>
      </c>
      <c r="C1025" t="s">
        <v>4</v>
      </c>
      <c r="D1025" t="s">
        <v>18</v>
      </c>
      <c r="E1025" t="s">
        <v>483</v>
      </c>
      <c r="F1025" t="s">
        <v>86</v>
      </c>
      <c r="G1025" s="31">
        <v>5473.9657750696551</v>
      </c>
      <c r="H1025" s="31">
        <v>112.111990107284</v>
      </c>
      <c r="I1025" s="31">
        <v>67.10394936401832</v>
      </c>
      <c r="J1025" s="32">
        <f t="shared" si="81"/>
        <v>45.008040743265681</v>
      </c>
      <c r="K1025" s="31">
        <v>9011.1643016754751</v>
      </c>
      <c r="L1025" s="31">
        <v>5406.8618257056369</v>
      </c>
      <c r="M1025" s="32">
        <f t="shared" si="82"/>
        <v>5361.8537849623708</v>
      </c>
      <c r="N1025" s="33">
        <f>Result_notebook!L1025</f>
        <v>1</v>
      </c>
      <c r="O1025" s="31">
        <f t="shared" si="83"/>
        <v>0</v>
      </c>
      <c r="P1025" s="31">
        <f t="shared" si="84"/>
        <v>0</v>
      </c>
      <c r="Q1025">
        <f t="shared" si="85"/>
        <v>45.008040743265681</v>
      </c>
    </row>
    <row r="1026" spans="1:17" x14ac:dyDescent="0.35">
      <c r="A1026">
        <v>2036</v>
      </c>
      <c r="B1026" t="s">
        <v>11</v>
      </c>
      <c r="C1026" t="s">
        <v>4</v>
      </c>
      <c r="D1026" t="s">
        <v>18</v>
      </c>
      <c r="E1026" t="s">
        <v>490</v>
      </c>
      <c r="F1026" t="s">
        <v>82</v>
      </c>
      <c r="G1026" s="31">
        <v>5473.9657750696551</v>
      </c>
      <c r="H1026" s="31">
        <v>112.111990107284</v>
      </c>
      <c r="I1026" s="31">
        <v>67.10394936401832</v>
      </c>
      <c r="J1026" s="32">
        <f t="shared" si="81"/>
        <v>45.008040743265681</v>
      </c>
      <c r="K1026" s="31">
        <v>9011.1643016754751</v>
      </c>
      <c r="L1026" s="31">
        <v>5406.8618257056369</v>
      </c>
      <c r="M1026" s="32">
        <f t="shared" si="82"/>
        <v>5361.8537849623708</v>
      </c>
      <c r="N1026" s="33">
        <f>Result_notebook!L1026</f>
        <v>1</v>
      </c>
      <c r="O1026" s="31">
        <f t="shared" si="83"/>
        <v>0</v>
      </c>
      <c r="P1026" s="31">
        <f t="shared" si="84"/>
        <v>0</v>
      </c>
      <c r="Q1026">
        <f t="shared" si="85"/>
        <v>45.008040743265681</v>
      </c>
    </row>
    <row r="1027" spans="1:17" x14ac:dyDescent="0.35">
      <c r="A1027">
        <v>2036</v>
      </c>
      <c r="B1027" t="s">
        <v>11</v>
      </c>
      <c r="C1027" t="s">
        <v>9</v>
      </c>
      <c r="D1027" t="s">
        <v>16</v>
      </c>
      <c r="E1027" t="s">
        <v>483</v>
      </c>
      <c r="F1027" t="s">
        <v>80</v>
      </c>
      <c r="G1027" s="31">
        <v>1758.8013355418279</v>
      </c>
      <c r="H1027" s="31">
        <v>0</v>
      </c>
      <c r="I1027" s="31">
        <v>0</v>
      </c>
      <c r="J1027" s="32">
        <f t="shared" ref="J1027:J1090" si="86">H1027*N1027-I1027</f>
        <v>0</v>
      </c>
      <c r="K1027" s="31">
        <v>2931.33555923638</v>
      </c>
      <c r="L1027" s="31">
        <v>1758.8013355418279</v>
      </c>
      <c r="M1027" s="32">
        <f t="shared" ref="M1027:M1090" si="87">MAX(L1027-J1027,0)</f>
        <v>1758.8013355418279</v>
      </c>
      <c r="N1027" s="33">
        <f>Result_notebook!L1027</f>
        <v>1</v>
      </c>
      <c r="O1027" s="31">
        <f t="shared" ref="O1027:O1090" si="88">G1027-(I1027+J1027+M1027)</f>
        <v>0</v>
      </c>
      <c r="P1027" s="31">
        <f t="shared" ref="P1027:P1090" si="89">MAX(I1027-G1027,0)</f>
        <v>0</v>
      </c>
      <c r="Q1027">
        <f t="shared" ref="Q1027:Q1090" si="90">(H1027*N1027)-I1027</f>
        <v>0</v>
      </c>
    </row>
    <row r="1028" spans="1:17" x14ac:dyDescent="0.35">
      <c r="A1028">
        <v>2036</v>
      </c>
      <c r="B1028" t="s">
        <v>11</v>
      </c>
      <c r="C1028" t="s">
        <v>9</v>
      </c>
      <c r="D1028" t="s">
        <v>16</v>
      </c>
      <c r="E1028" t="s">
        <v>483</v>
      </c>
      <c r="F1028" t="s">
        <v>81</v>
      </c>
      <c r="G1028" s="31">
        <v>1758.8013355418279</v>
      </c>
      <c r="H1028" s="31">
        <v>0</v>
      </c>
      <c r="I1028" s="31">
        <v>0</v>
      </c>
      <c r="J1028" s="32">
        <f t="shared" si="86"/>
        <v>0</v>
      </c>
      <c r="K1028" s="31">
        <v>2931.33555923638</v>
      </c>
      <c r="L1028" s="31">
        <v>1758.8013355418279</v>
      </c>
      <c r="M1028" s="32">
        <f t="shared" si="87"/>
        <v>1758.8013355418279</v>
      </c>
      <c r="N1028" s="33">
        <f>Result_notebook!L1028</f>
        <v>1</v>
      </c>
      <c r="O1028" s="31">
        <f t="shared" si="88"/>
        <v>0</v>
      </c>
      <c r="P1028" s="31">
        <f t="shared" si="89"/>
        <v>0</v>
      </c>
      <c r="Q1028">
        <f t="shared" si="90"/>
        <v>0</v>
      </c>
    </row>
    <row r="1029" spans="1:17" x14ac:dyDescent="0.35">
      <c r="A1029">
        <v>2036</v>
      </c>
      <c r="B1029" t="s">
        <v>11</v>
      </c>
      <c r="C1029" t="s">
        <v>9</v>
      </c>
      <c r="D1029" t="s">
        <v>18</v>
      </c>
      <c r="E1029" t="s">
        <v>483</v>
      </c>
      <c r="F1029" t="s">
        <v>85</v>
      </c>
      <c r="G1029" s="31">
        <v>1758.8013355418279</v>
      </c>
      <c r="H1029" s="31">
        <v>112.111990107284</v>
      </c>
      <c r="I1029" s="31">
        <v>67.10394936401832</v>
      </c>
      <c r="J1029" s="32">
        <f t="shared" si="86"/>
        <v>45.008040743265681</v>
      </c>
      <c r="K1029" s="31">
        <v>2819.2235691290962</v>
      </c>
      <c r="L1029" s="31">
        <v>1691.6973861778099</v>
      </c>
      <c r="M1029" s="32">
        <f t="shared" si="87"/>
        <v>1646.6893454345443</v>
      </c>
      <c r="N1029" s="33">
        <f>Result_notebook!L1029</f>
        <v>1</v>
      </c>
      <c r="O1029" s="31">
        <f t="shared" si="88"/>
        <v>0</v>
      </c>
      <c r="P1029" s="31">
        <f t="shared" si="89"/>
        <v>0</v>
      </c>
      <c r="Q1029">
        <f t="shared" si="90"/>
        <v>45.008040743265681</v>
      </c>
    </row>
    <row r="1030" spans="1:17" x14ac:dyDescent="0.35">
      <c r="A1030">
        <v>2036</v>
      </c>
      <c r="B1030" t="s">
        <v>11</v>
      </c>
      <c r="C1030" t="s">
        <v>9</v>
      </c>
      <c r="D1030" t="s">
        <v>18</v>
      </c>
      <c r="E1030" t="s">
        <v>483</v>
      </c>
      <c r="F1030" t="s">
        <v>86</v>
      </c>
      <c r="G1030" s="31">
        <v>1758.8013355418279</v>
      </c>
      <c r="H1030" s="31">
        <v>112.111990107284</v>
      </c>
      <c r="I1030" s="31">
        <v>67.10394936401832</v>
      </c>
      <c r="J1030" s="32">
        <f t="shared" si="86"/>
        <v>45.008040743265681</v>
      </c>
      <c r="K1030" s="31">
        <v>2819.2235691290962</v>
      </c>
      <c r="L1030" s="31">
        <v>1691.6973861778099</v>
      </c>
      <c r="M1030" s="32">
        <f t="shared" si="87"/>
        <v>1646.6893454345443</v>
      </c>
      <c r="N1030" s="33">
        <f>Result_notebook!L1030</f>
        <v>1</v>
      </c>
      <c r="O1030" s="31">
        <f t="shared" si="88"/>
        <v>0</v>
      </c>
      <c r="P1030" s="31">
        <f t="shared" si="89"/>
        <v>0</v>
      </c>
      <c r="Q1030">
        <f t="shared" si="90"/>
        <v>45.008040743265681</v>
      </c>
    </row>
    <row r="1031" spans="1:17" x14ac:dyDescent="0.35">
      <c r="A1031">
        <v>2036</v>
      </c>
      <c r="B1031" t="s">
        <v>11</v>
      </c>
      <c r="C1031" t="s">
        <v>9</v>
      </c>
      <c r="D1031" t="s">
        <v>18</v>
      </c>
      <c r="E1031" t="s">
        <v>490</v>
      </c>
      <c r="F1031" t="s">
        <v>82</v>
      </c>
      <c r="G1031" s="31">
        <v>1758.8013355418279</v>
      </c>
      <c r="H1031" s="31">
        <v>112.111990107284</v>
      </c>
      <c r="I1031" s="31">
        <v>67.10394936401832</v>
      </c>
      <c r="J1031" s="32">
        <f t="shared" si="86"/>
        <v>45.008040743265681</v>
      </c>
      <c r="K1031" s="31">
        <v>2819.2235691290962</v>
      </c>
      <c r="L1031" s="31">
        <v>1691.6973861778099</v>
      </c>
      <c r="M1031" s="32">
        <f t="shared" si="87"/>
        <v>1646.6893454345443</v>
      </c>
      <c r="N1031" s="33">
        <f>Result_notebook!L1031</f>
        <v>1</v>
      </c>
      <c r="O1031" s="31">
        <f t="shared" si="88"/>
        <v>0</v>
      </c>
      <c r="P1031" s="31">
        <f t="shared" si="89"/>
        <v>0</v>
      </c>
      <c r="Q1031">
        <f t="shared" si="90"/>
        <v>45.008040743265681</v>
      </c>
    </row>
    <row r="1032" spans="1:17" x14ac:dyDescent="0.35">
      <c r="A1032">
        <v>2036</v>
      </c>
      <c r="B1032" t="s">
        <v>11</v>
      </c>
      <c r="C1032" t="s">
        <v>10</v>
      </c>
      <c r="D1032" t="s">
        <v>16</v>
      </c>
      <c r="E1032" t="s">
        <v>483</v>
      </c>
      <c r="F1032" t="s">
        <v>80</v>
      </c>
      <c r="G1032" s="31">
        <v>5249.778261831415</v>
      </c>
      <c r="H1032" s="31">
        <v>0</v>
      </c>
      <c r="I1032" s="31">
        <v>0</v>
      </c>
      <c r="J1032" s="32">
        <f t="shared" si="86"/>
        <v>0</v>
      </c>
      <c r="K1032" s="31">
        <v>8749.6304363856925</v>
      </c>
      <c r="L1032" s="31">
        <v>5249.778261831415</v>
      </c>
      <c r="M1032" s="32">
        <f t="shared" si="87"/>
        <v>5249.778261831415</v>
      </c>
      <c r="N1032" s="33">
        <f>Result_notebook!L1032</f>
        <v>1</v>
      </c>
      <c r="O1032" s="31">
        <f t="shared" si="88"/>
        <v>0</v>
      </c>
      <c r="P1032" s="31">
        <f t="shared" si="89"/>
        <v>0</v>
      </c>
      <c r="Q1032">
        <f t="shared" si="90"/>
        <v>0</v>
      </c>
    </row>
    <row r="1033" spans="1:17" x14ac:dyDescent="0.35">
      <c r="A1033">
        <v>2036</v>
      </c>
      <c r="B1033" t="s">
        <v>11</v>
      </c>
      <c r="C1033" t="s">
        <v>10</v>
      </c>
      <c r="D1033" t="s">
        <v>16</v>
      </c>
      <c r="E1033" t="s">
        <v>483</v>
      </c>
      <c r="F1033" t="s">
        <v>81</v>
      </c>
      <c r="G1033" s="31">
        <v>5249.778261831415</v>
      </c>
      <c r="H1033" s="31">
        <v>0</v>
      </c>
      <c r="I1033" s="31">
        <v>0</v>
      </c>
      <c r="J1033" s="32">
        <f t="shared" si="86"/>
        <v>0</v>
      </c>
      <c r="K1033" s="31">
        <v>8749.6304363856925</v>
      </c>
      <c r="L1033" s="31">
        <v>5249.778261831415</v>
      </c>
      <c r="M1033" s="32">
        <f t="shared" si="87"/>
        <v>5249.778261831415</v>
      </c>
      <c r="N1033" s="33">
        <f>Result_notebook!L1033</f>
        <v>1</v>
      </c>
      <c r="O1033" s="31">
        <f t="shared" si="88"/>
        <v>0</v>
      </c>
      <c r="P1033" s="31">
        <f t="shared" si="89"/>
        <v>0</v>
      </c>
      <c r="Q1033">
        <f t="shared" si="90"/>
        <v>0</v>
      </c>
    </row>
    <row r="1034" spans="1:17" x14ac:dyDescent="0.35">
      <c r="A1034">
        <v>2036</v>
      </c>
      <c r="B1034" t="s">
        <v>11</v>
      </c>
      <c r="C1034" t="s">
        <v>10</v>
      </c>
      <c r="D1034" t="s">
        <v>18</v>
      </c>
      <c r="E1034" t="s">
        <v>483</v>
      </c>
      <c r="F1034" t="s">
        <v>85</v>
      </c>
      <c r="G1034" s="31">
        <v>5249.778261831415</v>
      </c>
      <c r="H1034" s="31">
        <v>112.111990107284</v>
      </c>
      <c r="I1034" s="31">
        <v>67.10394936401832</v>
      </c>
      <c r="J1034" s="32">
        <f t="shared" si="86"/>
        <v>45.008040743265681</v>
      </c>
      <c r="K1034" s="31">
        <v>8637.5184462784091</v>
      </c>
      <c r="L1034" s="31">
        <v>5182.6743124673967</v>
      </c>
      <c r="M1034" s="32">
        <f t="shared" si="87"/>
        <v>5137.6662717241306</v>
      </c>
      <c r="N1034" s="33">
        <f>Result_notebook!L1034</f>
        <v>1</v>
      </c>
      <c r="O1034" s="31">
        <f t="shared" si="88"/>
        <v>0</v>
      </c>
      <c r="P1034" s="31">
        <f t="shared" si="89"/>
        <v>0</v>
      </c>
      <c r="Q1034">
        <f t="shared" si="90"/>
        <v>45.008040743265681</v>
      </c>
    </row>
    <row r="1035" spans="1:17" x14ac:dyDescent="0.35">
      <c r="A1035">
        <v>2036</v>
      </c>
      <c r="B1035" t="s">
        <v>11</v>
      </c>
      <c r="C1035" t="s">
        <v>10</v>
      </c>
      <c r="D1035" t="s">
        <v>18</v>
      </c>
      <c r="E1035" t="s">
        <v>483</v>
      </c>
      <c r="F1035" t="s">
        <v>86</v>
      </c>
      <c r="G1035" s="31">
        <v>5249.778261831415</v>
      </c>
      <c r="H1035" s="31">
        <v>112.111990107284</v>
      </c>
      <c r="I1035" s="31">
        <v>67.10394936401832</v>
      </c>
      <c r="J1035" s="32">
        <f t="shared" si="86"/>
        <v>45.008040743265681</v>
      </c>
      <c r="K1035" s="31">
        <v>8637.5184462784091</v>
      </c>
      <c r="L1035" s="31">
        <v>5182.6743124673967</v>
      </c>
      <c r="M1035" s="32">
        <f t="shared" si="87"/>
        <v>5137.6662717241306</v>
      </c>
      <c r="N1035" s="33">
        <f>Result_notebook!L1035</f>
        <v>1</v>
      </c>
      <c r="O1035" s="31">
        <f t="shared" si="88"/>
        <v>0</v>
      </c>
      <c r="P1035" s="31">
        <f t="shared" si="89"/>
        <v>0</v>
      </c>
      <c r="Q1035">
        <f t="shared" si="90"/>
        <v>45.008040743265681</v>
      </c>
    </row>
    <row r="1036" spans="1:17" x14ac:dyDescent="0.35">
      <c r="A1036">
        <v>2036</v>
      </c>
      <c r="B1036" t="s">
        <v>11</v>
      </c>
      <c r="C1036" t="s">
        <v>10</v>
      </c>
      <c r="D1036" t="s">
        <v>18</v>
      </c>
      <c r="E1036" t="s">
        <v>490</v>
      </c>
      <c r="F1036" t="s">
        <v>82</v>
      </c>
      <c r="G1036" s="31">
        <v>5249.778261831415</v>
      </c>
      <c r="H1036" s="31">
        <v>112.111990107284</v>
      </c>
      <c r="I1036" s="31">
        <v>67.10394936401832</v>
      </c>
      <c r="J1036" s="32">
        <f t="shared" si="86"/>
        <v>45.008040743265681</v>
      </c>
      <c r="K1036" s="31">
        <v>8637.5184462784091</v>
      </c>
      <c r="L1036" s="31">
        <v>5182.6743124673967</v>
      </c>
      <c r="M1036" s="32">
        <f t="shared" si="87"/>
        <v>5137.6662717241306</v>
      </c>
      <c r="N1036" s="33">
        <f>Result_notebook!L1036</f>
        <v>1</v>
      </c>
      <c r="O1036" s="31">
        <f t="shared" si="88"/>
        <v>0</v>
      </c>
      <c r="P1036" s="31">
        <f t="shared" si="89"/>
        <v>0</v>
      </c>
      <c r="Q1036">
        <f t="shared" si="90"/>
        <v>45.008040743265681</v>
      </c>
    </row>
    <row r="1037" spans="1:17" x14ac:dyDescent="0.35">
      <c r="A1037">
        <v>2036</v>
      </c>
      <c r="B1037" t="s">
        <v>8</v>
      </c>
      <c r="C1037" t="s">
        <v>4</v>
      </c>
      <c r="D1037" t="s">
        <v>16</v>
      </c>
      <c r="E1037" t="s">
        <v>483</v>
      </c>
      <c r="F1037" t="s">
        <v>80</v>
      </c>
      <c r="G1037" s="31">
        <v>165843.46419653171</v>
      </c>
      <c r="H1037" s="31">
        <v>0</v>
      </c>
      <c r="I1037" s="31">
        <v>0</v>
      </c>
      <c r="J1037" s="32">
        <f t="shared" si="86"/>
        <v>0</v>
      </c>
      <c r="K1037" s="31">
        <v>209928.43569181231</v>
      </c>
      <c r="L1037" s="31">
        <v>165843.46419653171</v>
      </c>
      <c r="M1037" s="32">
        <f t="shared" si="87"/>
        <v>165843.46419653171</v>
      </c>
      <c r="N1037" s="33">
        <f>Result_notebook!L1037</f>
        <v>0.69917047091553897</v>
      </c>
      <c r="O1037" s="31">
        <f t="shared" si="88"/>
        <v>0</v>
      </c>
      <c r="P1037" s="31">
        <f t="shared" si="89"/>
        <v>0</v>
      </c>
      <c r="Q1037">
        <f t="shared" si="90"/>
        <v>0</v>
      </c>
    </row>
    <row r="1038" spans="1:17" x14ac:dyDescent="0.35">
      <c r="A1038">
        <v>2036</v>
      </c>
      <c r="B1038" t="s">
        <v>8</v>
      </c>
      <c r="C1038" t="s">
        <v>4</v>
      </c>
      <c r="D1038" t="s">
        <v>16</v>
      </c>
      <c r="E1038" t="s">
        <v>483</v>
      </c>
      <c r="F1038" t="s">
        <v>81</v>
      </c>
      <c r="G1038" s="31">
        <v>165843.46419653171</v>
      </c>
      <c r="H1038" s="31">
        <v>116680</v>
      </c>
      <c r="I1038" s="31">
        <v>65443.483404116138</v>
      </c>
      <c r="J1038" s="32">
        <f t="shared" si="86"/>
        <v>16135.727142308955</v>
      </c>
      <c r="K1038" s="31">
        <v>93248.435691812279</v>
      </c>
      <c r="L1038" s="31">
        <v>100399.9807924156</v>
      </c>
      <c r="M1038" s="32">
        <f t="shared" si="87"/>
        <v>84264.25365010665</v>
      </c>
      <c r="N1038" s="33">
        <f>Result_notebook!L1038</f>
        <v>0.69917047091553897</v>
      </c>
      <c r="O1038" s="31">
        <f t="shared" si="88"/>
        <v>0</v>
      </c>
      <c r="P1038" s="31">
        <f t="shared" si="89"/>
        <v>0</v>
      </c>
      <c r="Q1038">
        <f t="shared" si="90"/>
        <v>16135.727142308955</v>
      </c>
    </row>
    <row r="1039" spans="1:17" x14ac:dyDescent="0.35">
      <c r="A1039">
        <v>2036</v>
      </c>
      <c r="B1039" t="s">
        <v>8</v>
      </c>
      <c r="C1039" t="s">
        <v>4</v>
      </c>
      <c r="D1039" t="s">
        <v>18</v>
      </c>
      <c r="E1039" t="s">
        <v>483</v>
      </c>
      <c r="F1039" t="s">
        <v>85</v>
      </c>
      <c r="G1039" s="31">
        <v>165843.46419653171</v>
      </c>
      <c r="H1039" s="31">
        <v>236101.16516190339</v>
      </c>
      <c r="I1039" s="31">
        <v>132424.43164180251</v>
      </c>
      <c r="J1039" s="32">
        <f t="shared" si="86"/>
        <v>32650.531188152934</v>
      </c>
      <c r="K1039" s="31">
        <v>0</v>
      </c>
      <c r="L1039" s="31">
        <v>33419.03255472926</v>
      </c>
      <c r="M1039" s="32">
        <f t="shared" si="87"/>
        <v>768.50136657632538</v>
      </c>
      <c r="N1039" s="33">
        <f>Result_notebook!L1039</f>
        <v>0.69917047091553897</v>
      </c>
      <c r="O1039" s="31">
        <f t="shared" si="88"/>
        <v>0</v>
      </c>
      <c r="P1039" s="31">
        <f t="shared" si="89"/>
        <v>0</v>
      </c>
      <c r="Q1039">
        <f t="shared" si="90"/>
        <v>32650.531188152934</v>
      </c>
    </row>
    <row r="1040" spans="1:17" x14ac:dyDescent="0.35">
      <c r="A1040">
        <v>2036</v>
      </c>
      <c r="B1040" t="s">
        <v>8</v>
      </c>
      <c r="C1040" t="s">
        <v>4</v>
      </c>
      <c r="D1040" t="s">
        <v>18</v>
      </c>
      <c r="E1040" t="s">
        <v>483</v>
      </c>
      <c r="F1040" t="s">
        <v>86</v>
      </c>
      <c r="G1040" s="31">
        <v>165843.46419653171</v>
      </c>
      <c r="H1040" s="31">
        <v>236101.16516190339</v>
      </c>
      <c r="I1040" s="31">
        <v>132424.43164180251</v>
      </c>
      <c r="J1040" s="32">
        <f t="shared" si="86"/>
        <v>32650.531188152934</v>
      </c>
      <c r="K1040" s="31">
        <v>0</v>
      </c>
      <c r="L1040" s="31">
        <v>33419.03255472926</v>
      </c>
      <c r="M1040" s="32">
        <f t="shared" si="87"/>
        <v>768.50136657632538</v>
      </c>
      <c r="N1040" s="33">
        <f>Result_notebook!L1040</f>
        <v>0.69917047091553897</v>
      </c>
      <c r="O1040" s="31">
        <f t="shared" si="88"/>
        <v>0</v>
      </c>
      <c r="P1040" s="31">
        <f t="shared" si="89"/>
        <v>0</v>
      </c>
      <c r="Q1040">
        <f t="shared" si="90"/>
        <v>32650.531188152934</v>
      </c>
    </row>
    <row r="1041" spans="1:17" x14ac:dyDescent="0.35">
      <c r="A1041">
        <v>2036</v>
      </c>
      <c r="B1041" t="s">
        <v>8</v>
      </c>
      <c r="C1041" t="s">
        <v>4</v>
      </c>
      <c r="D1041" t="s">
        <v>18</v>
      </c>
      <c r="E1041" t="s">
        <v>490</v>
      </c>
      <c r="F1041" t="s">
        <v>82</v>
      </c>
      <c r="G1041" s="31">
        <v>165843.46419653171</v>
      </c>
      <c r="H1041" s="31">
        <v>236101.16516190339</v>
      </c>
      <c r="I1041" s="31">
        <v>185942.652387093</v>
      </c>
      <c r="J1041" s="32">
        <f t="shared" si="86"/>
        <v>-20867.68955713755</v>
      </c>
      <c r="K1041" s="31">
        <v>0</v>
      </c>
      <c r="L1041" s="31">
        <v>0</v>
      </c>
      <c r="M1041" s="32">
        <f t="shared" si="87"/>
        <v>20867.68955713755</v>
      </c>
      <c r="N1041" s="33">
        <f>Result_notebook!L1041</f>
        <v>0.69917047091553897</v>
      </c>
      <c r="O1041" s="31">
        <f t="shared" si="88"/>
        <v>-20099.188190561283</v>
      </c>
      <c r="P1041" s="31">
        <f t="shared" si="89"/>
        <v>20099.188190561283</v>
      </c>
      <c r="Q1041">
        <f t="shared" si="90"/>
        <v>-20867.68955713755</v>
      </c>
    </row>
    <row r="1042" spans="1:17" x14ac:dyDescent="0.35">
      <c r="A1042">
        <v>2036</v>
      </c>
      <c r="B1042" t="s">
        <v>8</v>
      </c>
      <c r="C1042" t="s">
        <v>9</v>
      </c>
      <c r="D1042" t="s">
        <v>16</v>
      </c>
      <c r="E1042" t="s">
        <v>483</v>
      </c>
      <c r="F1042" t="s">
        <v>80</v>
      </c>
      <c r="G1042" s="31">
        <v>65540.179703389193</v>
      </c>
      <c r="H1042" s="31">
        <v>0</v>
      </c>
      <c r="I1042" s="31">
        <v>0</v>
      </c>
      <c r="J1042" s="32">
        <f t="shared" si="86"/>
        <v>0</v>
      </c>
      <c r="K1042" s="31">
        <v>82962.252789100239</v>
      </c>
      <c r="L1042" s="31">
        <v>65540.179703389193</v>
      </c>
      <c r="M1042" s="32">
        <f t="shared" si="87"/>
        <v>65540.179703389193</v>
      </c>
      <c r="N1042" s="33">
        <f>Result_notebook!L1042</f>
        <v>0.69917047091553897</v>
      </c>
      <c r="O1042" s="31">
        <f t="shared" si="88"/>
        <v>0</v>
      </c>
      <c r="P1042" s="31">
        <f t="shared" si="89"/>
        <v>0</v>
      </c>
      <c r="Q1042">
        <f t="shared" si="90"/>
        <v>0</v>
      </c>
    </row>
    <row r="1043" spans="1:17" x14ac:dyDescent="0.35">
      <c r="A1043">
        <v>2036</v>
      </c>
      <c r="B1043" t="s">
        <v>8</v>
      </c>
      <c r="C1043" t="s">
        <v>9</v>
      </c>
      <c r="D1043" t="s">
        <v>16</v>
      </c>
      <c r="E1043" t="s">
        <v>483</v>
      </c>
      <c r="F1043" t="s">
        <v>81</v>
      </c>
      <c r="G1043" s="31">
        <v>65540.179703389193</v>
      </c>
      <c r="H1043" s="31">
        <v>116680</v>
      </c>
      <c r="I1043" s="31">
        <v>65443.483404116138</v>
      </c>
      <c r="J1043" s="32">
        <f t="shared" si="86"/>
        <v>16135.727142308955</v>
      </c>
      <c r="K1043" s="31">
        <v>0</v>
      </c>
      <c r="L1043" s="31">
        <v>96.696299273055047</v>
      </c>
      <c r="M1043" s="32">
        <f t="shared" si="87"/>
        <v>0</v>
      </c>
      <c r="N1043" s="33">
        <f>Result_notebook!L1043</f>
        <v>0.69917047091553897</v>
      </c>
      <c r="O1043" s="31">
        <f t="shared" si="88"/>
        <v>-16039.0308430359</v>
      </c>
      <c r="P1043" s="31">
        <f t="shared" si="89"/>
        <v>0</v>
      </c>
      <c r="Q1043">
        <f t="shared" si="90"/>
        <v>16135.727142308955</v>
      </c>
    </row>
    <row r="1044" spans="1:17" x14ac:dyDescent="0.35">
      <c r="A1044">
        <v>2036</v>
      </c>
      <c r="B1044" t="s">
        <v>8</v>
      </c>
      <c r="C1044" t="s">
        <v>9</v>
      </c>
      <c r="D1044" t="s">
        <v>18</v>
      </c>
      <c r="E1044" t="s">
        <v>483</v>
      </c>
      <c r="F1044" t="s">
        <v>85</v>
      </c>
      <c r="G1044" s="31">
        <v>65540.179703389193</v>
      </c>
      <c r="H1044" s="31">
        <v>236101.16516190339</v>
      </c>
      <c r="I1044" s="31">
        <v>132424.43164180251</v>
      </c>
      <c r="J1044" s="32">
        <f t="shared" si="86"/>
        <v>32650.531188152934</v>
      </c>
      <c r="K1044" s="31">
        <v>0</v>
      </c>
      <c r="L1044" s="31">
        <v>0</v>
      </c>
      <c r="M1044" s="32">
        <f t="shared" si="87"/>
        <v>0</v>
      </c>
      <c r="N1044" s="33">
        <f>Result_notebook!L1044</f>
        <v>0.69917047091553897</v>
      </c>
      <c r="O1044" s="31">
        <f t="shared" si="88"/>
        <v>-99534.783126566253</v>
      </c>
      <c r="P1044" s="31">
        <f t="shared" si="89"/>
        <v>66884.251938413319</v>
      </c>
      <c r="Q1044">
        <f t="shared" si="90"/>
        <v>32650.531188152934</v>
      </c>
    </row>
    <row r="1045" spans="1:17" x14ac:dyDescent="0.35">
      <c r="A1045">
        <v>2036</v>
      </c>
      <c r="B1045" t="s">
        <v>8</v>
      </c>
      <c r="C1045" t="s">
        <v>9</v>
      </c>
      <c r="D1045" t="s">
        <v>18</v>
      </c>
      <c r="E1045" t="s">
        <v>483</v>
      </c>
      <c r="F1045" t="s">
        <v>86</v>
      </c>
      <c r="G1045" s="31">
        <v>65540.179703389193</v>
      </c>
      <c r="H1045" s="31">
        <v>236101.16516190339</v>
      </c>
      <c r="I1045" s="31">
        <v>132424.43164180251</v>
      </c>
      <c r="J1045" s="32">
        <f t="shared" si="86"/>
        <v>32650.531188152934</v>
      </c>
      <c r="K1045" s="31">
        <v>0</v>
      </c>
      <c r="L1045" s="31">
        <v>0</v>
      </c>
      <c r="M1045" s="32">
        <f t="shared" si="87"/>
        <v>0</v>
      </c>
      <c r="N1045" s="33">
        <f>Result_notebook!L1045</f>
        <v>0.69917047091553897</v>
      </c>
      <c r="O1045" s="31">
        <f t="shared" si="88"/>
        <v>-99534.783126566253</v>
      </c>
      <c r="P1045" s="31">
        <f t="shared" si="89"/>
        <v>66884.251938413319</v>
      </c>
      <c r="Q1045">
        <f t="shared" si="90"/>
        <v>32650.531188152934</v>
      </c>
    </row>
    <row r="1046" spans="1:17" x14ac:dyDescent="0.35">
      <c r="A1046">
        <v>2036</v>
      </c>
      <c r="B1046" t="s">
        <v>8</v>
      </c>
      <c r="C1046" t="s">
        <v>9</v>
      </c>
      <c r="D1046" t="s">
        <v>18</v>
      </c>
      <c r="E1046" t="s">
        <v>490</v>
      </c>
      <c r="F1046" t="s">
        <v>82</v>
      </c>
      <c r="G1046" s="31">
        <v>65540.179703389193</v>
      </c>
      <c r="H1046" s="31">
        <v>236101.16516190339</v>
      </c>
      <c r="I1046" s="31">
        <v>185942.652387093</v>
      </c>
      <c r="J1046" s="32">
        <f t="shared" si="86"/>
        <v>-20867.68955713755</v>
      </c>
      <c r="K1046" s="31">
        <v>0</v>
      </c>
      <c r="L1046" s="31">
        <v>0</v>
      </c>
      <c r="M1046" s="32">
        <f t="shared" si="87"/>
        <v>20867.68955713755</v>
      </c>
      <c r="N1046" s="33">
        <f>Result_notebook!L1046</f>
        <v>0.69917047091553897</v>
      </c>
      <c r="O1046" s="31">
        <f t="shared" si="88"/>
        <v>-120402.4726837038</v>
      </c>
      <c r="P1046" s="31">
        <f t="shared" si="89"/>
        <v>120402.4726837038</v>
      </c>
      <c r="Q1046">
        <f t="shared" si="90"/>
        <v>-20867.68955713755</v>
      </c>
    </row>
    <row r="1047" spans="1:17" x14ac:dyDescent="0.35">
      <c r="A1047">
        <v>2036</v>
      </c>
      <c r="B1047" t="s">
        <v>8</v>
      </c>
      <c r="C1047" t="s">
        <v>10</v>
      </c>
      <c r="D1047" t="s">
        <v>16</v>
      </c>
      <c r="E1047" t="s">
        <v>483</v>
      </c>
      <c r="F1047" t="s">
        <v>80</v>
      </c>
      <c r="G1047" s="31">
        <v>159552.34537882611</v>
      </c>
      <c r="H1047" s="31">
        <v>0</v>
      </c>
      <c r="I1047" s="31">
        <v>0</v>
      </c>
      <c r="J1047" s="32">
        <f t="shared" si="86"/>
        <v>0</v>
      </c>
      <c r="K1047" s="31">
        <v>201964.99415041279</v>
      </c>
      <c r="L1047" s="31">
        <v>159552.34537882611</v>
      </c>
      <c r="M1047" s="32">
        <f t="shared" si="87"/>
        <v>159552.34537882611</v>
      </c>
      <c r="N1047" s="33">
        <f>Result_notebook!L1047</f>
        <v>0.69917047091553897</v>
      </c>
      <c r="O1047" s="31">
        <f t="shared" si="88"/>
        <v>0</v>
      </c>
      <c r="P1047" s="31">
        <f t="shared" si="89"/>
        <v>0</v>
      </c>
      <c r="Q1047">
        <f t="shared" si="90"/>
        <v>0</v>
      </c>
    </row>
    <row r="1048" spans="1:17" x14ac:dyDescent="0.35">
      <c r="A1048">
        <v>2036</v>
      </c>
      <c r="B1048" t="s">
        <v>8</v>
      </c>
      <c r="C1048" t="s">
        <v>10</v>
      </c>
      <c r="D1048" t="s">
        <v>16</v>
      </c>
      <c r="E1048" t="s">
        <v>483</v>
      </c>
      <c r="F1048" t="s">
        <v>81</v>
      </c>
      <c r="G1048" s="31">
        <v>159552.34537882611</v>
      </c>
      <c r="H1048" s="31">
        <v>116680</v>
      </c>
      <c r="I1048" s="31">
        <v>65443.483404116138</v>
      </c>
      <c r="J1048" s="32">
        <f t="shared" si="86"/>
        <v>16135.727142308955</v>
      </c>
      <c r="K1048" s="31">
        <v>85284.994150412793</v>
      </c>
      <c r="L1048" s="31">
        <v>94108.861974709973</v>
      </c>
      <c r="M1048" s="32">
        <f t="shared" si="87"/>
        <v>77973.134832401018</v>
      </c>
      <c r="N1048" s="33">
        <f>Result_notebook!L1048</f>
        <v>0.69917047091553897</v>
      </c>
      <c r="O1048" s="31">
        <f t="shared" si="88"/>
        <v>0</v>
      </c>
      <c r="P1048" s="31">
        <f t="shared" si="89"/>
        <v>0</v>
      </c>
      <c r="Q1048">
        <f t="shared" si="90"/>
        <v>16135.727142308955</v>
      </c>
    </row>
    <row r="1049" spans="1:17" x14ac:dyDescent="0.35">
      <c r="A1049">
        <v>2036</v>
      </c>
      <c r="B1049" t="s">
        <v>8</v>
      </c>
      <c r="C1049" t="s">
        <v>10</v>
      </c>
      <c r="D1049" t="s">
        <v>18</v>
      </c>
      <c r="E1049" t="s">
        <v>483</v>
      </c>
      <c r="F1049" t="s">
        <v>85</v>
      </c>
      <c r="G1049" s="31">
        <v>159552.34537882611</v>
      </c>
      <c r="H1049" s="31">
        <v>236101.16516190339</v>
      </c>
      <c r="I1049" s="31">
        <v>132424.43164180251</v>
      </c>
      <c r="J1049" s="32">
        <f t="shared" si="86"/>
        <v>32650.531188152934</v>
      </c>
      <c r="K1049" s="31">
        <v>0</v>
      </c>
      <c r="L1049" s="31">
        <v>27127.91373702366</v>
      </c>
      <c r="M1049" s="32">
        <f t="shared" si="87"/>
        <v>0</v>
      </c>
      <c r="N1049" s="33">
        <f>Result_notebook!L1049</f>
        <v>0.69917047091553897</v>
      </c>
      <c r="O1049" s="31">
        <f t="shared" si="88"/>
        <v>-5522.6174511293357</v>
      </c>
      <c r="P1049" s="31">
        <f t="shared" si="89"/>
        <v>0</v>
      </c>
      <c r="Q1049">
        <f t="shared" si="90"/>
        <v>32650.531188152934</v>
      </c>
    </row>
    <row r="1050" spans="1:17" x14ac:dyDescent="0.35">
      <c r="A1050">
        <v>2036</v>
      </c>
      <c r="B1050" t="s">
        <v>8</v>
      </c>
      <c r="C1050" t="s">
        <v>10</v>
      </c>
      <c r="D1050" t="s">
        <v>18</v>
      </c>
      <c r="E1050" t="s">
        <v>483</v>
      </c>
      <c r="F1050" t="s">
        <v>86</v>
      </c>
      <c r="G1050" s="31">
        <v>159552.34537882611</v>
      </c>
      <c r="H1050" s="31">
        <v>236101.16516190339</v>
      </c>
      <c r="I1050" s="31">
        <v>132424.43164180251</v>
      </c>
      <c r="J1050" s="32">
        <f t="shared" si="86"/>
        <v>32650.531188152934</v>
      </c>
      <c r="K1050" s="31">
        <v>0</v>
      </c>
      <c r="L1050" s="31">
        <v>27127.91373702366</v>
      </c>
      <c r="M1050" s="32">
        <f t="shared" si="87"/>
        <v>0</v>
      </c>
      <c r="N1050" s="33">
        <f>Result_notebook!L1050</f>
        <v>0.69917047091553897</v>
      </c>
      <c r="O1050" s="31">
        <f t="shared" si="88"/>
        <v>-5522.6174511293357</v>
      </c>
      <c r="P1050" s="31">
        <f t="shared" si="89"/>
        <v>0</v>
      </c>
      <c r="Q1050">
        <f t="shared" si="90"/>
        <v>32650.531188152934</v>
      </c>
    </row>
    <row r="1051" spans="1:17" x14ac:dyDescent="0.35">
      <c r="A1051">
        <v>2036</v>
      </c>
      <c r="B1051" t="s">
        <v>8</v>
      </c>
      <c r="C1051" t="s">
        <v>10</v>
      </c>
      <c r="D1051" t="s">
        <v>18</v>
      </c>
      <c r="E1051" t="s">
        <v>490</v>
      </c>
      <c r="F1051" t="s">
        <v>82</v>
      </c>
      <c r="G1051" s="31">
        <v>159552.34537882611</v>
      </c>
      <c r="H1051" s="31">
        <v>236101.16516190339</v>
      </c>
      <c r="I1051" s="31">
        <v>185942.652387093</v>
      </c>
      <c r="J1051" s="32">
        <f t="shared" si="86"/>
        <v>-20867.68955713755</v>
      </c>
      <c r="K1051" s="31">
        <v>0</v>
      </c>
      <c r="L1051" s="31">
        <v>0</v>
      </c>
      <c r="M1051" s="32">
        <f t="shared" si="87"/>
        <v>20867.68955713755</v>
      </c>
      <c r="N1051" s="33">
        <f>Result_notebook!L1051</f>
        <v>0.69917047091553897</v>
      </c>
      <c r="O1051" s="31">
        <f t="shared" si="88"/>
        <v>-26390.307008266886</v>
      </c>
      <c r="P1051" s="31">
        <f t="shared" si="89"/>
        <v>26390.307008266886</v>
      </c>
      <c r="Q1051">
        <f t="shared" si="90"/>
        <v>-20867.68955713755</v>
      </c>
    </row>
    <row r="1052" spans="1:17" x14ac:dyDescent="0.35">
      <c r="A1052">
        <v>2036</v>
      </c>
      <c r="B1052" t="s">
        <v>13</v>
      </c>
      <c r="C1052" t="s">
        <v>4</v>
      </c>
      <c r="D1052" t="s">
        <v>16</v>
      </c>
      <c r="E1052" t="s">
        <v>483</v>
      </c>
      <c r="F1052" t="s">
        <v>80</v>
      </c>
      <c r="G1052" s="31">
        <v>3178.982459798764</v>
      </c>
      <c r="H1052" s="31">
        <v>0</v>
      </c>
      <c r="I1052" s="31">
        <v>0</v>
      </c>
      <c r="J1052" s="32">
        <f t="shared" si="86"/>
        <v>0</v>
      </c>
      <c r="K1052" s="31">
        <v>3178.982459798764</v>
      </c>
      <c r="L1052" s="31">
        <v>3178.982459798764</v>
      </c>
      <c r="M1052" s="32">
        <f t="shared" si="87"/>
        <v>3178.982459798764</v>
      </c>
      <c r="N1052" s="33">
        <f>Result_notebook!L1052</f>
        <v>0.59854391398996798</v>
      </c>
      <c r="O1052" s="31">
        <f t="shared" si="88"/>
        <v>0</v>
      </c>
      <c r="P1052" s="31">
        <f t="shared" si="89"/>
        <v>0</v>
      </c>
      <c r="Q1052">
        <f t="shared" si="90"/>
        <v>0</v>
      </c>
    </row>
    <row r="1053" spans="1:17" x14ac:dyDescent="0.35">
      <c r="A1053">
        <v>2036</v>
      </c>
      <c r="B1053" t="s">
        <v>13</v>
      </c>
      <c r="C1053" t="s">
        <v>4</v>
      </c>
      <c r="D1053" t="s">
        <v>16</v>
      </c>
      <c r="E1053" t="s">
        <v>483</v>
      </c>
      <c r="F1053" t="s">
        <v>81</v>
      </c>
      <c r="G1053" s="31">
        <v>3178.982459798764</v>
      </c>
      <c r="H1053" s="31">
        <v>0</v>
      </c>
      <c r="I1053" s="31">
        <v>0</v>
      </c>
      <c r="J1053" s="32">
        <f t="shared" si="86"/>
        <v>0</v>
      </c>
      <c r="K1053" s="31">
        <v>3178.982459798764</v>
      </c>
      <c r="L1053" s="31">
        <v>3178.982459798764</v>
      </c>
      <c r="M1053" s="32">
        <f t="shared" si="87"/>
        <v>3178.982459798764</v>
      </c>
      <c r="N1053" s="33">
        <f>Result_notebook!L1053</f>
        <v>0.59854391398996798</v>
      </c>
      <c r="O1053" s="31">
        <f t="shared" si="88"/>
        <v>0</v>
      </c>
      <c r="P1053" s="31">
        <f t="shared" si="89"/>
        <v>0</v>
      </c>
      <c r="Q1053">
        <f t="shared" si="90"/>
        <v>0</v>
      </c>
    </row>
    <row r="1054" spans="1:17" x14ac:dyDescent="0.35">
      <c r="A1054">
        <v>2036</v>
      </c>
      <c r="B1054" t="s">
        <v>13</v>
      </c>
      <c r="C1054" t="s">
        <v>4</v>
      </c>
      <c r="D1054" t="s">
        <v>18</v>
      </c>
      <c r="E1054" t="s">
        <v>483</v>
      </c>
      <c r="F1054" t="s">
        <v>85</v>
      </c>
      <c r="G1054" s="31">
        <v>3178.982459798764</v>
      </c>
      <c r="H1054" s="31">
        <v>188697.71052724539</v>
      </c>
      <c r="I1054" s="31">
        <v>62270.24447399097</v>
      </c>
      <c r="J1054" s="32">
        <f t="shared" si="86"/>
        <v>50673.621745932469</v>
      </c>
      <c r="K1054" s="31">
        <v>0</v>
      </c>
      <c r="L1054" s="31">
        <v>0</v>
      </c>
      <c r="M1054" s="32">
        <f t="shared" si="87"/>
        <v>0</v>
      </c>
      <c r="N1054" s="33">
        <f>Result_notebook!L1054</f>
        <v>0.59854391398996798</v>
      </c>
      <c r="O1054" s="31">
        <f t="shared" si="88"/>
        <v>-109764.88376012468</v>
      </c>
      <c r="P1054" s="31">
        <f t="shared" si="89"/>
        <v>59091.262014192209</v>
      </c>
      <c r="Q1054">
        <f t="shared" si="90"/>
        <v>50673.621745932469</v>
      </c>
    </row>
    <row r="1055" spans="1:17" x14ac:dyDescent="0.35">
      <c r="A1055">
        <v>2036</v>
      </c>
      <c r="B1055" t="s">
        <v>13</v>
      </c>
      <c r="C1055" t="s">
        <v>4</v>
      </c>
      <c r="D1055" t="s">
        <v>18</v>
      </c>
      <c r="E1055" t="s">
        <v>483</v>
      </c>
      <c r="F1055" t="s">
        <v>86</v>
      </c>
      <c r="G1055" s="31">
        <v>3178.982459798764</v>
      </c>
      <c r="H1055" s="31">
        <v>188697.71052724539</v>
      </c>
      <c r="I1055" s="31">
        <v>62270.24447399097</v>
      </c>
      <c r="J1055" s="32">
        <f t="shared" si="86"/>
        <v>50673.621745932469</v>
      </c>
      <c r="K1055" s="31">
        <v>0</v>
      </c>
      <c r="L1055" s="31">
        <v>0</v>
      </c>
      <c r="M1055" s="32">
        <f t="shared" si="87"/>
        <v>0</v>
      </c>
      <c r="N1055" s="33">
        <f>Result_notebook!L1055</f>
        <v>0.59854391398996798</v>
      </c>
      <c r="O1055" s="31">
        <f t="shared" si="88"/>
        <v>-109764.88376012468</v>
      </c>
      <c r="P1055" s="31">
        <f t="shared" si="89"/>
        <v>59091.262014192209</v>
      </c>
      <c r="Q1055">
        <f t="shared" si="90"/>
        <v>50673.621745932469</v>
      </c>
    </row>
    <row r="1056" spans="1:17" x14ac:dyDescent="0.35">
      <c r="A1056">
        <v>2036</v>
      </c>
      <c r="B1056" t="s">
        <v>13</v>
      </c>
      <c r="C1056" t="s">
        <v>4</v>
      </c>
      <c r="D1056" t="s">
        <v>18</v>
      </c>
      <c r="E1056" t="s">
        <v>490</v>
      </c>
      <c r="F1056" t="s">
        <v>82</v>
      </c>
      <c r="G1056" s="31">
        <v>3178.982459798764</v>
      </c>
      <c r="H1056" s="31">
        <v>188697.71052724539</v>
      </c>
      <c r="I1056" s="31">
        <v>62270.24447399097</v>
      </c>
      <c r="J1056" s="32">
        <f t="shared" si="86"/>
        <v>50673.621745932469</v>
      </c>
      <c r="K1056" s="31">
        <v>0</v>
      </c>
      <c r="L1056" s="31">
        <v>0</v>
      </c>
      <c r="M1056" s="32">
        <f t="shared" si="87"/>
        <v>0</v>
      </c>
      <c r="N1056" s="33">
        <f>Result_notebook!L1056</f>
        <v>0.59854391398996798</v>
      </c>
      <c r="O1056" s="31">
        <f t="shared" si="88"/>
        <v>-109764.88376012468</v>
      </c>
      <c r="P1056" s="31">
        <f t="shared" si="89"/>
        <v>59091.262014192209</v>
      </c>
      <c r="Q1056">
        <f t="shared" si="90"/>
        <v>50673.621745932469</v>
      </c>
    </row>
    <row r="1057" spans="1:17" x14ac:dyDescent="0.35">
      <c r="A1057">
        <v>2036</v>
      </c>
      <c r="B1057" t="s">
        <v>13</v>
      </c>
      <c r="C1057" t="s">
        <v>9</v>
      </c>
      <c r="D1057" t="s">
        <v>16</v>
      </c>
      <c r="E1057" t="s">
        <v>483</v>
      </c>
      <c r="F1057" t="s">
        <v>80</v>
      </c>
      <c r="G1057" s="31">
        <v>1181.081330457198</v>
      </c>
      <c r="H1057" s="31">
        <v>0</v>
      </c>
      <c r="I1057" s="31">
        <v>0</v>
      </c>
      <c r="J1057" s="32">
        <f t="shared" si="86"/>
        <v>0</v>
      </c>
      <c r="K1057" s="31">
        <v>1181.081330457198</v>
      </c>
      <c r="L1057" s="31">
        <v>1181.081330457198</v>
      </c>
      <c r="M1057" s="32">
        <f t="shared" si="87"/>
        <v>1181.081330457198</v>
      </c>
      <c r="N1057" s="33">
        <f>Result_notebook!L1057</f>
        <v>0.59854391398996798</v>
      </c>
      <c r="O1057" s="31">
        <f t="shared" si="88"/>
        <v>0</v>
      </c>
      <c r="P1057" s="31">
        <f t="shared" si="89"/>
        <v>0</v>
      </c>
      <c r="Q1057">
        <f t="shared" si="90"/>
        <v>0</v>
      </c>
    </row>
    <row r="1058" spans="1:17" x14ac:dyDescent="0.35">
      <c r="A1058">
        <v>2036</v>
      </c>
      <c r="B1058" t="s">
        <v>13</v>
      </c>
      <c r="C1058" t="s">
        <v>9</v>
      </c>
      <c r="D1058" t="s">
        <v>16</v>
      </c>
      <c r="E1058" t="s">
        <v>483</v>
      </c>
      <c r="F1058" t="s">
        <v>81</v>
      </c>
      <c r="G1058" s="31">
        <v>1181.081330457198</v>
      </c>
      <c r="H1058" s="31">
        <v>0</v>
      </c>
      <c r="I1058" s="31">
        <v>0</v>
      </c>
      <c r="J1058" s="32">
        <f t="shared" si="86"/>
        <v>0</v>
      </c>
      <c r="K1058" s="31">
        <v>1181.081330457198</v>
      </c>
      <c r="L1058" s="31">
        <v>1181.081330457198</v>
      </c>
      <c r="M1058" s="32">
        <f t="shared" si="87"/>
        <v>1181.081330457198</v>
      </c>
      <c r="N1058" s="33">
        <f>Result_notebook!L1058</f>
        <v>0.59854391398996798</v>
      </c>
      <c r="O1058" s="31">
        <f t="shared" si="88"/>
        <v>0</v>
      </c>
      <c r="P1058" s="31">
        <f t="shared" si="89"/>
        <v>0</v>
      </c>
      <c r="Q1058">
        <f t="shared" si="90"/>
        <v>0</v>
      </c>
    </row>
    <row r="1059" spans="1:17" x14ac:dyDescent="0.35">
      <c r="A1059">
        <v>2036</v>
      </c>
      <c r="B1059" t="s">
        <v>13</v>
      </c>
      <c r="C1059" t="s">
        <v>9</v>
      </c>
      <c r="D1059" t="s">
        <v>18</v>
      </c>
      <c r="E1059" t="s">
        <v>483</v>
      </c>
      <c r="F1059" t="s">
        <v>85</v>
      </c>
      <c r="G1059" s="31">
        <v>1181.081330457198</v>
      </c>
      <c r="H1059" s="31">
        <v>188697.71052724539</v>
      </c>
      <c r="I1059" s="31">
        <v>62270.24447399097</v>
      </c>
      <c r="J1059" s="32">
        <f t="shared" si="86"/>
        <v>50673.621745932469</v>
      </c>
      <c r="K1059" s="31">
        <v>0</v>
      </c>
      <c r="L1059" s="31">
        <v>0</v>
      </c>
      <c r="M1059" s="32">
        <f t="shared" si="87"/>
        <v>0</v>
      </c>
      <c r="N1059" s="33">
        <f>Result_notebook!L1059</f>
        <v>0.59854391398996798</v>
      </c>
      <c r="O1059" s="31">
        <f t="shared" si="88"/>
        <v>-111762.78488946625</v>
      </c>
      <c r="P1059" s="31">
        <f t="shared" si="89"/>
        <v>61089.163143533769</v>
      </c>
      <c r="Q1059">
        <f t="shared" si="90"/>
        <v>50673.621745932469</v>
      </c>
    </row>
    <row r="1060" spans="1:17" x14ac:dyDescent="0.35">
      <c r="A1060">
        <v>2036</v>
      </c>
      <c r="B1060" t="s">
        <v>13</v>
      </c>
      <c r="C1060" t="s">
        <v>9</v>
      </c>
      <c r="D1060" t="s">
        <v>18</v>
      </c>
      <c r="E1060" t="s">
        <v>483</v>
      </c>
      <c r="F1060" t="s">
        <v>86</v>
      </c>
      <c r="G1060" s="31">
        <v>1181.081330457198</v>
      </c>
      <c r="H1060" s="31">
        <v>188697.71052724539</v>
      </c>
      <c r="I1060" s="31">
        <v>62270.24447399097</v>
      </c>
      <c r="J1060" s="32">
        <f t="shared" si="86"/>
        <v>50673.621745932469</v>
      </c>
      <c r="K1060" s="31">
        <v>0</v>
      </c>
      <c r="L1060" s="31">
        <v>0</v>
      </c>
      <c r="M1060" s="32">
        <f t="shared" si="87"/>
        <v>0</v>
      </c>
      <c r="N1060" s="33">
        <f>Result_notebook!L1060</f>
        <v>0.59854391398996798</v>
      </c>
      <c r="O1060" s="31">
        <f t="shared" si="88"/>
        <v>-111762.78488946625</v>
      </c>
      <c r="P1060" s="31">
        <f t="shared" si="89"/>
        <v>61089.163143533769</v>
      </c>
      <c r="Q1060">
        <f t="shared" si="90"/>
        <v>50673.621745932469</v>
      </c>
    </row>
    <row r="1061" spans="1:17" x14ac:dyDescent="0.35">
      <c r="A1061">
        <v>2036</v>
      </c>
      <c r="B1061" t="s">
        <v>13</v>
      </c>
      <c r="C1061" t="s">
        <v>9</v>
      </c>
      <c r="D1061" t="s">
        <v>18</v>
      </c>
      <c r="E1061" t="s">
        <v>490</v>
      </c>
      <c r="F1061" t="s">
        <v>82</v>
      </c>
      <c r="G1061" s="31">
        <v>1181.081330457198</v>
      </c>
      <c r="H1061" s="31">
        <v>188697.71052724539</v>
      </c>
      <c r="I1061" s="31">
        <v>62270.24447399097</v>
      </c>
      <c r="J1061" s="32">
        <f t="shared" si="86"/>
        <v>50673.621745932469</v>
      </c>
      <c r="K1061" s="31">
        <v>0</v>
      </c>
      <c r="L1061" s="31">
        <v>0</v>
      </c>
      <c r="M1061" s="32">
        <f t="shared" si="87"/>
        <v>0</v>
      </c>
      <c r="N1061" s="33">
        <f>Result_notebook!L1061</f>
        <v>0.59854391398996798</v>
      </c>
      <c r="O1061" s="31">
        <f t="shared" si="88"/>
        <v>-111762.78488946625</v>
      </c>
      <c r="P1061" s="31">
        <f t="shared" si="89"/>
        <v>61089.163143533769</v>
      </c>
      <c r="Q1061">
        <f t="shared" si="90"/>
        <v>50673.621745932469</v>
      </c>
    </row>
    <row r="1062" spans="1:17" x14ac:dyDescent="0.35">
      <c r="A1062">
        <v>2036</v>
      </c>
      <c r="B1062" t="s">
        <v>13</v>
      </c>
      <c r="C1062" t="s">
        <v>10</v>
      </c>
      <c r="D1062" t="s">
        <v>16</v>
      </c>
      <c r="E1062" t="s">
        <v>483</v>
      </c>
      <c r="F1062" t="s">
        <v>80</v>
      </c>
      <c r="G1062" s="31">
        <v>3028.4346514382819</v>
      </c>
      <c r="H1062" s="31">
        <v>0</v>
      </c>
      <c r="I1062" s="31">
        <v>0</v>
      </c>
      <c r="J1062" s="32">
        <f t="shared" si="86"/>
        <v>0</v>
      </c>
      <c r="K1062" s="31">
        <v>3028.4346514382819</v>
      </c>
      <c r="L1062" s="31">
        <v>3028.4346514382819</v>
      </c>
      <c r="M1062" s="32">
        <f t="shared" si="87"/>
        <v>3028.4346514382819</v>
      </c>
      <c r="N1062" s="33">
        <f>Result_notebook!L1062</f>
        <v>0.59854391398996798</v>
      </c>
      <c r="O1062" s="31">
        <f t="shared" si="88"/>
        <v>0</v>
      </c>
      <c r="P1062" s="31">
        <f t="shared" si="89"/>
        <v>0</v>
      </c>
      <c r="Q1062">
        <f t="shared" si="90"/>
        <v>0</v>
      </c>
    </row>
    <row r="1063" spans="1:17" x14ac:dyDescent="0.35">
      <c r="A1063">
        <v>2036</v>
      </c>
      <c r="B1063" t="s">
        <v>13</v>
      </c>
      <c r="C1063" t="s">
        <v>10</v>
      </c>
      <c r="D1063" t="s">
        <v>16</v>
      </c>
      <c r="E1063" t="s">
        <v>483</v>
      </c>
      <c r="F1063" t="s">
        <v>81</v>
      </c>
      <c r="G1063" s="31">
        <v>3028.4346514382819</v>
      </c>
      <c r="H1063" s="31">
        <v>0</v>
      </c>
      <c r="I1063" s="31">
        <v>0</v>
      </c>
      <c r="J1063" s="32">
        <f t="shared" si="86"/>
        <v>0</v>
      </c>
      <c r="K1063" s="31">
        <v>3028.4346514382819</v>
      </c>
      <c r="L1063" s="31">
        <v>3028.4346514382819</v>
      </c>
      <c r="M1063" s="32">
        <f t="shared" si="87"/>
        <v>3028.4346514382819</v>
      </c>
      <c r="N1063" s="33">
        <f>Result_notebook!L1063</f>
        <v>0.59854391398996798</v>
      </c>
      <c r="O1063" s="31">
        <f t="shared" si="88"/>
        <v>0</v>
      </c>
      <c r="P1063" s="31">
        <f t="shared" si="89"/>
        <v>0</v>
      </c>
      <c r="Q1063">
        <f t="shared" si="90"/>
        <v>0</v>
      </c>
    </row>
    <row r="1064" spans="1:17" x14ac:dyDescent="0.35">
      <c r="A1064">
        <v>2036</v>
      </c>
      <c r="B1064" t="s">
        <v>13</v>
      </c>
      <c r="C1064" t="s">
        <v>10</v>
      </c>
      <c r="D1064" t="s">
        <v>18</v>
      </c>
      <c r="E1064" t="s">
        <v>483</v>
      </c>
      <c r="F1064" t="s">
        <v>85</v>
      </c>
      <c r="G1064" s="31">
        <v>3028.4346514382819</v>
      </c>
      <c r="H1064" s="31">
        <v>188697.71052724539</v>
      </c>
      <c r="I1064" s="31">
        <v>62270.24447399097</v>
      </c>
      <c r="J1064" s="32">
        <f t="shared" si="86"/>
        <v>50673.621745932469</v>
      </c>
      <c r="K1064" s="31">
        <v>0</v>
      </c>
      <c r="L1064" s="31">
        <v>0</v>
      </c>
      <c r="M1064" s="32">
        <f t="shared" si="87"/>
        <v>0</v>
      </c>
      <c r="N1064" s="33">
        <f>Result_notebook!L1064</f>
        <v>0.59854391398996798</v>
      </c>
      <c r="O1064" s="31">
        <f t="shared" si="88"/>
        <v>-109915.43156848516</v>
      </c>
      <c r="P1064" s="31">
        <f t="shared" si="89"/>
        <v>59241.809822552685</v>
      </c>
      <c r="Q1064">
        <f t="shared" si="90"/>
        <v>50673.621745932469</v>
      </c>
    </row>
    <row r="1065" spans="1:17" x14ac:dyDescent="0.35">
      <c r="A1065">
        <v>2036</v>
      </c>
      <c r="B1065" t="s">
        <v>13</v>
      </c>
      <c r="C1065" t="s">
        <v>10</v>
      </c>
      <c r="D1065" t="s">
        <v>18</v>
      </c>
      <c r="E1065" t="s">
        <v>483</v>
      </c>
      <c r="F1065" t="s">
        <v>86</v>
      </c>
      <c r="G1065" s="31">
        <v>3028.4346514382819</v>
      </c>
      <c r="H1065" s="31">
        <v>188697.71052724539</v>
      </c>
      <c r="I1065" s="31">
        <v>62270.24447399097</v>
      </c>
      <c r="J1065" s="32">
        <f t="shared" si="86"/>
        <v>50673.621745932469</v>
      </c>
      <c r="K1065" s="31">
        <v>0</v>
      </c>
      <c r="L1065" s="31">
        <v>0</v>
      </c>
      <c r="M1065" s="32">
        <f t="shared" si="87"/>
        <v>0</v>
      </c>
      <c r="N1065" s="33">
        <f>Result_notebook!L1065</f>
        <v>0.59854391398996798</v>
      </c>
      <c r="O1065" s="31">
        <f t="shared" si="88"/>
        <v>-109915.43156848516</v>
      </c>
      <c r="P1065" s="31">
        <f t="shared" si="89"/>
        <v>59241.809822552685</v>
      </c>
      <c r="Q1065">
        <f t="shared" si="90"/>
        <v>50673.621745932469</v>
      </c>
    </row>
    <row r="1066" spans="1:17" x14ac:dyDescent="0.35">
      <c r="A1066">
        <v>2036</v>
      </c>
      <c r="B1066" t="s">
        <v>13</v>
      </c>
      <c r="C1066" t="s">
        <v>10</v>
      </c>
      <c r="D1066" t="s">
        <v>18</v>
      </c>
      <c r="E1066" t="s">
        <v>490</v>
      </c>
      <c r="F1066" t="s">
        <v>82</v>
      </c>
      <c r="G1066" s="31">
        <v>3028.4346514382819</v>
      </c>
      <c r="H1066" s="31">
        <v>188697.71052724539</v>
      </c>
      <c r="I1066" s="31">
        <v>62270.24447399097</v>
      </c>
      <c r="J1066" s="32">
        <f t="shared" si="86"/>
        <v>50673.621745932469</v>
      </c>
      <c r="K1066" s="31">
        <v>0</v>
      </c>
      <c r="L1066" s="31">
        <v>0</v>
      </c>
      <c r="M1066" s="32">
        <f t="shared" si="87"/>
        <v>0</v>
      </c>
      <c r="N1066" s="33">
        <f>Result_notebook!L1066</f>
        <v>0.59854391398996798</v>
      </c>
      <c r="O1066" s="31">
        <f t="shared" si="88"/>
        <v>-109915.43156848516</v>
      </c>
      <c r="P1066" s="31">
        <f t="shared" si="89"/>
        <v>59241.809822552685</v>
      </c>
      <c r="Q1066">
        <f t="shared" si="90"/>
        <v>50673.621745932469</v>
      </c>
    </row>
    <row r="1067" spans="1:17" x14ac:dyDescent="0.35">
      <c r="A1067">
        <v>2036</v>
      </c>
      <c r="B1067" t="s">
        <v>12</v>
      </c>
      <c r="C1067" t="s">
        <v>4</v>
      </c>
      <c r="D1067" t="s">
        <v>16</v>
      </c>
      <c r="E1067" t="s">
        <v>483</v>
      </c>
      <c r="F1067" t="s">
        <v>80</v>
      </c>
      <c r="G1067" s="31">
        <v>68174.621934206763</v>
      </c>
      <c r="H1067" s="31">
        <v>0</v>
      </c>
      <c r="I1067" s="31">
        <v>0</v>
      </c>
      <c r="J1067" s="32">
        <f t="shared" si="86"/>
        <v>0</v>
      </c>
      <c r="K1067" s="31">
        <v>97392.317048866811</v>
      </c>
      <c r="L1067" s="31">
        <v>68174.621934206763</v>
      </c>
      <c r="M1067" s="32">
        <f t="shared" si="87"/>
        <v>68174.621934206763</v>
      </c>
      <c r="N1067" s="33">
        <f>Result_notebook!L1067</f>
        <v>0.787554996857322</v>
      </c>
      <c r="O1067" s="31">
        <f t="shared" si="88"/>
        <v>0</v>
      </c>
      <c r="P1067" s="31">
        <f t="shared" si="89"/>
        <v>0</v>
      </c>
      <c r="Q1067">
        <f t="shared" si="90"/>
        <v>0</v>
      </c>
    </row>
    <row r="1068" spans="1:17" x14ac:dyDescent="0.35">
      <c r="A1068">
        <v>2036</v>
      </c>
      <c r="B1068" t="s">
        <v>12</v>
      </c>
      <c r="C1068" t="s">
        <v>4</v>
      </c>
      <c r="D1068" t="s">
        <v>16</v>
      </c>
      <c r="E1068" t="s">
        <v>483</v>
      </c>
      <c r="F1068" t="s">
        <v>81</v>
      </c>
      <c r="G1068" s="31">
        <v>68174.621934206763</v>
      </c>
      <c r="H1068" s="31">
        <v>37189</v>
      </c>
      <c r="I1068" s="31">
        <v>26001.450642877979</v>
      </c>
      <c r="J1068" s="32">
        <f t="shared" si="86"/>
        <v>3286.9321352489678</v>
      </c>
      <c r="K1068" s="31">
        <v>60203.317048866811</v>
      </c>
      <c r="L1068" s="31">
        <v>42173.171291328777</v>
      </c>
      <c r="M1068" s="32">
        <f t="shared" si="87"/>
        <v>38886.239156079813</v>
      </c>
      <c r="N1068" s="33">
        <f>Result_notebook!L1068</f>
        <v>0.787554996857322</v>
      </c>
      <c r="O1068" s="31">
        <f t="shared" si="88"/>
        <v>0</v>
      </c>
      <c r="P1068" s="31">
        <f t="shared" si="89"/>
        <v>0</v>
      </c>
      <c r="Q1068">
        <f t="shared" si="90"/>
        <v>3286.9321352489678</v>
      </c>
    </row>
    <row r="1069" spans="1:17" x14ac:dyDescent="0.35">
      <c r="A1069">
        <v>2036</v>
      </c>
      <c r="B1069" t="s">
        <v>12</v>
      </c>
      <c r="C1069" t="s">
        <v>4</v>
      </c>
      <c r="D1069" t="s">
        <v>18</v>
      </c>
      <c r="E1069" t="s">
        <v>483</v>
      </c>
      <c r="F1069" t="s">
        <v>85</v>
      </c>
      <c r="G1069" s="31">
        <v>68174.621934206763</v>
      </c>
      <c r="H1069" s="31">
        <v>194813.12210065019</v>
      </c>
      <c r="I1069" s="31">
        <v>136207.58231963799</v>
      </c>
      <c r="J1069" s="32">
        <f t="shared" si="86"/>
        <v>17218.465444104659</v>
      </c>
      <c r="K1069" s="31">
        <v>0</v>
      </c>
      <c r="L1069" s="31">
        <v>0</v>
      </c>
      <c r="M1069" s="32">
        <f t="shared" si="87"/>
        <v>0</v>
      </c>
      <c r="N1069" s="33">
        <f>Result_notebook!L1069</f>
        <v>0.787554996857322</v>
      </c>
      <c r="O1069" s="31">
        <f t="shared" si="88"/>
        <v>-85251.425829535889</v>
      </c>
      <c r="P1069" s="31">
        <f t="shared" si="89"/>
        <v>68032.96038543123</v>
      </c>
      <c r="Q1069">
        <f t="shared" si="90"/>
        <v>17218.465444104659</v>
      </c>
    </row>
    <row r="1070" spans="1:17" x14ac:dyDescent="0.35">
      <c r="A1070">
        <v>2036</v>
      </c>
      <c r="B1070" t="s">
        <v>12</v>
      </c>
      <c r="C1070" t="s">
        <v>4</v>
      </c>
      <c r="D1070" t="s">
        <v>18</v>
      </c>
      <c r="E1070" t="s">
        <v>483</v>
      </c>
      <c r="F1070" t="s">
        <v>86</v>
      </c>
      <c r="G1070" s="31">
        <v>68174.621934206763</v>
      </c>
      <c r="H1070" s="31">
        <v>194813.12210065019</v>
      </c>
      <c r="I1070" s="31">
        <v>136207.58231963799</v>
      </c>
      <c r="J1070" s="32">
        <f t="shared" si="86"/>
        <v>17218.465444104659</v>
      </c>
      <c r="K1070" s="31">
        <v>0</v>
      </c>
      <c r="L1070" s="31">
        <v>0</v>
      </c>
      <c r="M1070" s="32">
        <f t="shared" si="87"/>
        <v>0</v>
      </c>
      <c r="N1070" s="33">
        <f>Result_notebook!L1070</f>
        <v>0.787554996857322</v>
      </c>
      <c r="O1070" s="31">
        <f t="shared" si="88"/>
        <v>-85251.425829535889</v>
      </c>
      <c r="P1070" s="31">
        <f t="shared" si="89"/>
        <v>68032.96038543123</v>
      </c>
      <c r="Q1070">
        <f t="shared" si="90"/>
        <v>17218.465444104659</v>
      </c>
    </row>
    <row r="1071" spans="1:17" x14ac:dyDescent="0.35">
      <c r="A1071">
        <v>2036</v>
      </c>
      <c r="B1071" t="s">
        <v>12</v>
      </c>
      <c r="C1071" t="s">
        <v>4</v>
      </c>
      <c r="D1071" t="s">
        <v>18</v>
      </c>
      <c r="E1071" t="s">
        <v>490</v>
      </c>
      <c r="F1071" t="s">
        <v>82</v>
      </c>
      <c r="G1071" s="31">
        <v>68174.621934206763</v>
      </c>
      <c r="H1071" s="31">
        <v>194813.12210065019</v>
      </c>
      <c r="I1071" s="31">
        <v>136207.58231963799</v>
      </c>
      <c r="J1071" s="32">
        <f t="shared" si="86"/>
        <v>17218.465444104659</v>
      </c>
      <c r="K1071" s="31">
        <v>0</v>
      </c>
      <c r="L1071" s="31">
        <v>0</v>
      </c>
      <c r="M1071" s="32">
        <f t="shared" si="87"/>
        <v>0</v>
      </c>
      <c r="N1071" s="33">
        <f>Result_notebook!L1071</f>
        <v>0.787554996857322</v>
      </c>
      <c r="O1071" s="31">
        <f t="shared" si="88"/>
        <v>-85251.425829535889</v>
      </c>
      <c r="P1071" s="31">
        <f t="shared" si="89"/>
        <v>68032.96038543123</v>
      </c>
      <c r="Q1071">
        <f t="shared" si="90"/>
        <v>17218.465444104659</v>
      </c>
    </row>
    <row r="1072" spans="1:17" x14ac:dyDescent="0.35">
      <c r="A1072">
        <v>2036</v>
      </c>
      <c r="B1072" t="s">
        <v>12</v>
      </c>
      <c r="C1072" t="s">
        <v>9</v>
      </c>
      <c r="D1072" t="s">
        <v>16</v>
      </c>
      <c r="E1072" t="s">
        <v>483</v>
      </c>
      <c r="F1072" t="s">
        <v>80</v>
      </c>
      <c r="G1072" s="31">
        <v>25328.788125042582</v>
      </c>
      <c r="H1072" s="31">
        <v>0</v>
      </c>
      <c r="I1072" s="31">
        <v>0</v>
      </c>
      <c r="J1072" s="32">
        <f t="shared" si="86"/>
        <v>0</v>
      </c>
      <c r="K1072" s="31">
        <v>36183.98303577512</v>
      </c>
      <c r="L1072" s="31">
        <v>25328.788125042582</v>
      </c>
      <c r="M1072" s="32">
        <f t="shared" si="87"/>
        <v>25328.788125042582</v>
      </c>
      <c r="N1072" s="33">
        <f>Result_notebook!L1072</f>
        <v>0.787554996857322</v>
      </c>
      <c r="O1072" s="31">
        <f t="shared" si="88"/>
        <v>0</v>
      </c>
      <c r="P1072" s="31">
        <f t="shared" si="89"/>
        <v>0</v>
      </c>
      <c r="Q1072">
        <f t="shared" si="90"/>
        <v>0</v>
      </c>
    </row>
    <row r="1073" spans="1:17" x14ac:dyDescent="0.35">
      <c r="A1073">
        <v>2036</v>
      </c>
      <c r="B1073" t="s">
        <v>12</v>
      </c>
      <c r="C1073" t="s">
        <v>9</v>
      </c>
      <c r="D1073" t="s">
        <v>16</v>
      </c>
      <c r="E1073" t="s">
        <v>483</v>
      </c>
      <c r="F1073" t="s">
        <v>81</v>
      </c>
      <c r="G1073" s="31">
        <v>25328.788125042582</v>
      </c>
      <c r="H1073" s="31">
        <v>37189</v>
      </c>
      <c r="I1073" s="31">
        <v>26001.450642877979</v>
      </c>
      <c r="J1073" s="32">
        <f t="shared" si="86"/>
        <v>3286.9321352489678</v>
      </c>
      <c r="K1073" s="31">
        <v>0</v>
      </c>
      <c r="L1073" s="31">
        <v>0</v>
      </c>
      <c r="M1073" s="32">
        <f t="shared" si="87"/>
        <v>0</v>
      </c>
      <c r="N1073" s="33">
        <f>Result_notebook!L1073</f>
        <v>0.787554996857322</v>
      </c>
      <c r="O1073" s="31">
        <f t="shared" si="88"/>
        <v>-3959.5946530843648</v>
      </c>
      <c r="P1073" s="31">
        <f t="shared" si="89"/>
        <v>672.66251783539701</v>
      </c>
      <c r="Q1073">
        <f t="shared" si="90"/>
        <v>3286.9321352489678</v>
      </c>
    </row>
    <row r="1074" spans="1:17" x14ac:dyDescent="0.35">
      <c r="A1074">
        <v>2036</v>
      </c>
      <c r="B1074" t="s">
        <v>12</v>
      </c>
      <c r="C1074" t="s">
        <v>9</v>
      </c>
      <c r="D1074" t="s">
        <v>18</v>
      </c>
      <c r="E1074" t="s">
        <v>483</v>
      </c>
      <c r="F1074" t="s">
        <v>85</v>
      </c>
      <c r="G1074" s="31">
        <v>25328.788125042582</v>
      </c>
      <c r="H1074" s="31">
        <v>194813.12210065019</v>
      </c>
      <c r="I1074" s="31">
        <v>136207.58231963799</v>
      </c>
      <c r="J1074" s="32">
        <f t="shared" si="86"/>
        <v>17218.465444104659</v>
      </c>
      <c r="K1074" s="31">
        <v>0</v>
      </c>
      <c r="L1074" s="31">
        <v>0</v>
      </c>
      <c r="M1074" s="32">
        <f t="shared" si="87"/>
        <v>0</v>
      </c>
      <c r="N1074" s="33">
        <f>Result_notebook!L1074</f>
        <v>0.787554996857322</v>
      </c>
      <c r="O1074" s="31">
        <f t="shared" si="88"/>
        <v>-128097.25963870007</v>
      </c>
      <c r="P1074" s="31">
        <f t="shared" si="89"/>
        <v>110878.79419459541</v>
      </c>
      <c r="Q1074">
        <f t="shared" si="90"/>
        <v>17218.465444104659</v>
      </c>
    </row>
    <row r="1075" spans="1:17" x14ac:dyDescent="0.35">
      <c r="A1075">
        <v>2036</v>
      </c>
      <c r="B1075" t="s">
        <v>12</v>
      </c>
      <c r="C1075" t="s">
        <v>9</v>
      </c>
      <c r="D1075" t="s">
        <v>18</v>
      </c>
      <c r="E1075" t="s">
        <v>483</v>
      </c>
      <c r="F1075" t="s">
        <v>86</v>
      </c>
      <c r="G1075" s="31">
        <v>25328.788125042582</v>
      </c>
      <c r="H1075" s="31">
        <v>194813.12210065019</v>
      </c>
      <c r="I1075" s="31">
        <v>136207.58231963799</v>
      </c>
      <c r="J1075" s="32">
        <f t="shared" si="86"/>
        <v>17218.465444104659</v>
      </c>
      <c r="K1075" s="31">
        <v>0</v>
      </c>
      <c r="L1075" s="31">
        <v>0</v>
      </c>
      <c r="M1075" s="32">
        <f t="shared" si="87"/>
        <v>0</v>
      </c>
      <c r="N1075" s="33">
        <f>Result_notebook!L1075</f>
        <v>0.787554996857322</v>
      </c>
      <c r="O1075" s="31">
        <f t="shared" si="88"/>
        <v>-128097.25963870007</v>
      </c>
      <c r="P1075" s="31">
        <f t="shared" si="89"/>
        <v>110878.79419459541</v>
      </c>
      <c r="Q1075">
        <f t="shared" si="90"/>
        <v>17218.465444104659</v>
      </c>
    </row>
    <row r="1076" spans="1:17" x14ac:dyDescent="0.35">
      <c r="A1076">
        <v>2036</v>
      </c>
      <c r="B1076" t="s">
        <v>12</v>
      </c>
      <c r="C1076" t="s">
        <v>9</v>
      </c>
      <c r="D1076" t="s">
        <v>18</v>
      </c>
      <c r="E1076" t="s">
        <v>490</v>
      </c>
      <c r="F1076" t="s">
        <v>82</v>
      </c>
      <c r="G1076" s="31">
        <v>25328.788125042582</v>
      </c>
      <c r="H1076" s="31">
        <v>194813.12210065019</v>
      </c>
      <c r="I1076" s="31">
        <v>136207.58231963799</v>
      </c>
      <c r="J1076" s="32">
        <f t="shared" si="86"/>
        <v>17218.465444104659</v>
      </c>
      <c r="K1076" s="31">
        <v>0</v>
      </c>
      <c r="L1076" s="31">
        <v>0</v>
      </c>
      <c r="M1076" s="32">
        <f t="shared" si="87"/>
        <v>0</v>
      </c>
      <c r="N1076" s="33">
        <f>Result_notebook!L1076</f>
        <v>0.787554996857322</v>
      </c>
      <c r="O1076" s="31">
        <f t="shared" si="88"/>
        <v>-128097.25963870007</v>
      </c>
      <c r="P1076" s="31">
        <f t="shared" si="89"/>
        <v>110878.79419459541</v>
      </c>
      <c r="Q1076">
        <f t="shared" si="90"/>
        <v>17218.465444104659</v>
      </c>
    </row>
    <row r="1077" spans="1:17" x14ac:dyDescent="0.35">
      <c r="A1077">
        <v>2036</v>
      </c>
      <c r="B1077" t="s">
        <v>12</v>
      </c>
      <c r="C1077" t="s">
        <v>10</v>
      </c>
      <c r="D1077" t="s">
        <v>16</v>
      </c>
      <c r="E1077" t="s">
        <v>483</v>
      </c>
      <c r="F1077" t="s">
        <v>80</v>
      </c>
      <c r="G1077" s="31">
        <v>64946.06057918453</v>
      </c>
      <c r="H1077" s="31">
        <v>0</v>
      </c>
      <c r="I1077" s="31">
        <v>0</v>
      </c>
      <c r="J1077" s="32">
        <f t="shared" si="86"/>
        <v>0</v>
      </c>
      <c r="K1077" s="31">
        <v>92780.086541692188</v>
      </c>
      <c r="L1077" s="31">
        <v>64946.06057918453</v>
      </c>
      <c r="M1077" s="32">
        <f t="shared" si="87"/>
        <v>64946.06057918453</v>
      </c>
      <c r="N1077" s="33">
        <f>Result_notebook!L1077</f>
        <v>0.787554996857322</v>
      </c>
      <c r="O1077" s="31">
        <f t="shared" si="88"/>
        <v>0</v>
      </c>
      <c r="P1077" s="31">
        <f t="shared" si="89"/>
        <v>0</v>
      </c>
      <c r="Q1077">
        <f t="shared" si="90"/>
        <v>0</v>
      </c>
    </row>
    <row r="1078" spans="1:17" x14ac:dyDescent="0.35">
      <c r="A1078">
        <v>2036</v>
      </c>
      <c r="B1078" t="s">
        <v>12</v>
      </c>
      <c r="C1078" t="s">
        <v>10</v>
      </c>
      <c r="D1078" t="s">
        <v>16</v>
      </c>
      <c r="E1078" t="s">
        <v>483</v>
      </c>
      <c r="F1078" t="s">
        <v>81</v>
      </c>
      <c r="G1078" s="31">
        <v>64946.06057918453</v>
      </c>
      <c r="H1078" s="31">
        <v>37189</v>
      </c>
      <c r="I1078" s="31">
        <v>26001.450642877979</v>
      </c>
      <c r="J1078" s="32">
        <f t="shared" si="86"/>
        <v>3286.9321352489678</v>
      </c>
      <c r="K1078" s="31">
        <v>55591.086541692188</v>
      </c>
      <c r="L1078" s="31">
        <v>38944.609936306551</v>
      </c>
      <c r="M1078" s="32">
        <f t="shared" si="87"/>
        <v>35657.67780105758</v>
      </c>
      <c r="N1078" s="33">
        <f>Result_notebook!L1078</f>
        <v>0.787554996857322</v>
      </c>
      <c r="O1078" s="31">
        <f t="shared" si="88"/>
        <v>0</v>
      </c>
      <c r="P1078" s="31">
        <f t="shared" si="89"/>
        <v>0</v>
      </c>
      <c r="Q1078">
        <f t="shared" si="90"/>
        <v>3286.9321352489678</v>
      </c>
    </row>
    <row r="1079" spans="1:17" x14ac:dyDescent="0.35">
      <c r="A1079">
        <v>2036</v>
      </c>
      <c r="B1079" t="s">
        <v>12</v>
      </c>
      <c r="C1079" t="s">
        <v>10</v>
      </c>
      <c r="D1079" t="s">
        <v>18</v>
      </c>
      <c r="E1079" t="s">
        <v>483</v>
      </c>
      <c r="F1079" t="s">
        <v>85</v>
      </c>
      <c r="G1079" s="31">
        <v>64946.06057918453</v>
      </c>
      <c r="H1079" s="31">
        <v>194813.12210065019</v>
      </c>
      <c r="I1079" s="31">
        <v>136207.58231963799</v>
      </c>
      <c r="J1079" s="32">
        <f t="shared" si="86"/>
        <v>17218.465444104659</v>
      </c>
      <c r="K1079" s="31">
        <v>0</v>
      </c>
      <c r="L1079" s="31">
        <v>0</v>
      </c>
      <c r="M1079" s="32">
        <f t="shared" si="87"/>
        <v>0</v>
      </c>
      <c r="N1079" s="33">
        <f>Result_notebook!L1079</f>
        <v>0.787554996857322</v>
      </c>
      <c r="O1079" s="31">
        <f t="shared" si="88"/>
        <v>-88479.987184558122</v>
      </c>
      <c r="P1079" s="31">
        <f t="shared" si="89"/>
        <v>71261.521740453463</v>
      </c>
      <c r="Q1079">
        <f t="shared" si="90"/>
        <v>17218.465444104659</v>
      </c>
    </row>
    <row r="1080" spans="1:17" x14ac:dyDescent="0.35">
      <c r="A1080">
        <v>2036</v>
      </c>
      <c r="B1080" t="s">
        <v>12</v>
      </c>
      <c r="C1080" t="s">
        <v>10</v>
      </c>
      <c r="D1080" t="s">
        <v>18</v>
      </c>
      <c r="E1080" t="s">
        <v>483</v>
      </c>
      <c r="F1080" t="s">
        <v>86</v>
      </c>
      <c r="G1080" s="31">
        <v>64946.06057918453</v>
      </c>
      <c r="H1080" s="31">
        <v>194813.12210065019</v>
      </c>
      <c r="I1080" s="31">
        <v>136207.58231963799</v>
      </c>
      <c r="J1080" s="32">
        <f t="shared" si="86"/>
        <v>17218.465444104659</v>
      </c>
      <c r="K1080" s="31">
        <v>0</v>
      </c>
      <c r="L1080" s="31">
        <v>0</v>
      </c>
      <c r="M1080" s="32">
        <f t="shared" si="87"/>
        <v>0</v>
      </c>
      <c r="N1080" s="33">
        <f>Result_notebook!L1080</f>
        <v>0.787554996857322</v>
      </c>
      <c r="O1080" s="31">
        <f t="shared" si="88"/>
        <v>-88479.987184558122</v>
      </c>
      <c r="P1080" s="31">
        <f t="shared" si="89"/>
        <v>71261.521740453463</v>
      </c>
      <c r="Q1080">
        <f t="shared" si="90"/>
        <v>17218.465444104659</v>
      </c>
    </row>
    <row r="1081" spans="1:17" x14ac:dyDescent="0.35">
      <c r="A1081">
        <v>2036</v>
      </c>
      <c r="B1081" t="s">
        <v>12</v>
      </c>
      <c r="C1081" t="s">
        <v>10</v>
      </c>
      <c r="D1081" t="s">
        <v>18</v>
      </c>
      <c r="E1081" t="s">
        <v>490</v>
      </c>
      <c r="F1081" t="s">
        <v>82</v>
      </c>
      <c r="G1081" s="31">
        <v>64946.06057918453</v>
      </c>
      <c r="H1081" s="31">
        <v>194813.12210065019</v>
      </c>
      <c r="I1081" s="31">
        <v>136207.58231963799</v>
      </c>
      <c r="J1081" s="32">
        <f t="shared" si="86"/>
        <v>17218.465444104659</v>
      </c>
      <c r="K1081" s="31">
        <v>0</v>
      </c>
      <c r="L1081" s="31">
        <v>0</v>
      </c>
      <c r="M1081" s="32">
        <f t="shared" si="87"/>
        <v>0</v>
      </c>
      <c r="N1081" s="33">
        <f>Result_notebook!L1081</f>
        <v>0.787554996857322</v>
      </c>
      <c r="O1081" s="31">
        <f t="shared" si="88"/>
        <v>-88479.987184558122</v>
      </c>
      <c r="P1081" s="31">
        <f t="shared" si="89"/>
        <v>71261.521740453463</v>
      </c>
      <c r="Q1081">
        <f t="shared" si="90"/>
        <v>17218.465444104659</v>
      </c>
    </row>
    <row r="1082" spans="1:17" x14ac:dyDescent="0.35">
      <c r="A1082">
        <v>2037</v>
      </c>
      <c r="B1082" t="s">
        <v>6</v>
      </c>
      <c r="C1082" t="s">
        <v>4</v>
      </c>
      <c r="D1082" t="s">
        <v>16</v>
      </c>
      <c r="E1082" t="s">
        <v>483</v>
      </c>
      <c r="F1082" t="s">
        <v>80</v>
      </c>
      <c r="G1082" s="31">
        <v>195842.1780346538</v>
      </c>
      <c r="H1082" s="31">
        <v>0</v>
      </c>
      <c r="I1082" s="31">
        <v>0</v>
      </c>
      <c r="J1082" s="32">
        <f t="shared" si="86"/>
        <v>0</v>
      </c>
      <c r="K1082" s="31">
        <v>445095.8591696677</v>
      </c>
      <c r="L1082" s="31">
        <v>195842.1780346538</v>
      </c>
      <c r="M1082" s="32">
        <f t="shared" si="87"/>
        <v>195842.1780346538</v>
      </c>
      <c r="N1082" s="33">
        <f>Result_notebook!L1082</f>
        <v>0.439346565686978</v>
      </c>
      <c r="O1082" s="31">
        <f t="shared" si="88"/>
        <v>0</v>
      </c>
      <c r="P1082" s="31">
        <f t="shared" si="89"/>
        <v>0</v>
      </c>
      <c r="Q1082">
        <f t="shared" si="90"/>
        <v>0</v>
      </c>
    </row>
    <row r="1083" spans="1:17" x14ac:dyDescent="0.35">
      <c r="A1083">
        <v>2037</v>
      </c>
      <c r="B1083" t="s">
        <v>6</v>
      </c>
      <c r="C1083" t="s">
        <v>4</v>
      </c>
      <c r="D1083" t="s">
        <v>16</v>
      </c>
      <c r="E1083" t="s">
        <v>483</v>
      </c>
      <c r="F1083" t="s">
        <v>81</v>
      </c>
      <c r="G1083" s="31">
        <v>195842.1780346538</v>
      </c>
      <c r="H1083" s="31">
        <v>947</v>
      </c>
      <c r="I1083" s="31">
        <v>401.70019146980081</v>
      </c>
      <c r="J1083" s="32">
        <f t="shared" si="86"/>
        <v>14.361006235767377</v>
      </c>
      <c r="K1083" s="31">
        <v>444148.8591696677</v>
      </c>
      <c r="L1083" s="31">
        <v>195440.47784318399</v>
      </c>
      <c r="M1083" s="32">
        <f t="shared" si="87"/>
        <v>195426.11683694823</v>
      </c>
      <c r="N1083" s="33">
        <f>Result_notebook!L1083</f>
        <v>0.439346565686978</v>
      </c>
      <c r="O1083" s="31">
        <f t="shared" si="88"/>
        <v>0</v>
      </c>
      <c r="P1083" s="31">
        <f t="shared" si="89"/>
        <v>0</v>
      </c>
      <c r="Q1083">
        <f t="shared" si="90"/>
        <v>14.361006235767377</v>
      </c>
    </row>
    <row r="1084" spans="1:17" x14ac:dyDescent="0.35">
      <c r="A1084">
        <v>2037</v>
      </c>
      <c r="B1084" t="s">
        <v>6</v>
      </c>
      <c r="C1084" t="s">
        <v>4</v>
      </c>
      <c r="D1084" t="s">
        <v>18</v>
      </c>
      <c r="E1084" t="s">
        <v>483</v>
      </c>
      <c r="F1084" t="s">
        <v>85</v>
      </c>
      <c r="G1084" s="31">
        <v>195842.1780346538</v>
      </c>
      <c r="H1084" s="31">
        <v>20461.41490497061</v>
      </c>
      <c r="I1084" s="31">
        <v>8679.3603855012989</v>
      </c>
      <c r="J1084" s="32">
        <f t="shared" si="86"/>
        <v>310.29198209388232</v>
      </c>
      <c r="K1084" s="31">
        <v>424634.44426469709</v>
      </c>
      <c r="L1084" s="31">
        <v>187162.81764915251</v>
      </c>
      <c r="M1084" s="32">
        <f t="shared" si="87"/>
        <v>186852.52566705862</v>
      </c>
      <c r="N1084" s="33">
        <f>Result_notebook!L1084</f>
        <v>0.439346565686978</v>
      </c>
      <c r="O1084" s="31">
        <f t="shared" si="88"/>
        <v>0</v>
      </c>
      <c r="P1084" s="31">
        <f t="shared" si="89"/>
        <v>0</v>
      </c>
      <c r="Q1084">
        <f t="shared" si="90"/>
        <v>310.29198209388232</v>
      </c>
    </row>
    <row r="1085" spans="1:17" x14ac:dyDescent="0.35">
      <c r="A1085">
        <v>2037</v>
      </c>
      <c r="B1085" t="s">
        <v>6</v>
      </c>
      <c r="C1085" t="s">
        <v>4</v>
      </c>
      <c r="D1085" t="s">
        <v>18</v>
      </c>
      <c r="E1085" t="s">
        <v>483</v>
      </c>
      <c r="F1085" t="s">
        <v>86</v>
      </c>
      <c r="G1085" s="31">
        <v>195842.1780346538</v>
      </c>
      <c r="H1085" s="31">
        <v>20461.41490497061</v>
      </c>
      <c r="I1085" s="31">
        <v>8679.3603855012989</v>
      </c>
      <c r="J1085" s="32">
        <f t="shared" si="86"/>
        <v>310.29198209388232</v>
      </c>
      <c r="K1085" s="31">
        <v>424634.44426469709</v>
      </c>
      <c r="L1085" s="31">
        <v>187162.81764915251</v>
      </c>
      <c r="M1085" s="32">
        <f t="shared" si="87"/>
        <v>186852.52566705862</v>
      </c>
      <c r="N1085" s="33">
        <f>Result_notebook!L1085</f>
        <v>0.439346565686978</v>
      </c>
      <c r="O1085" s="31">
        <f t="shared" si="88"/>
        <v>0</v>
      </c>
      <c r="P1085" s="31">
        <f t="shared" si="89"/>
        <v>0</v>
      </c>
      <c r="Q1085">
        <f t="shared" si="90"/>
        <v>310.29198209388232</v>
      </c>
    </row>
    <row r="1086" spans="1:17" x14ac:dyDescent="0.35">
      <c r="A1086">
        <v>2037</v>
      </c>
      <c r="B1086" t="s">
        <v>6</v>
      </c>
      <c r="C1086" t="s">
        <v>4</v>
      </c>
      <c r="D1086" t="s">
        <v>18</v>
      </c>
      <c r="E1086" t="s">
        <v>490</v>
      </c>
      <c r="F1086" t="s">
        <v>82</v>
      </c>
      <c r="G1086" s="31">
        <v>195842.1780346538</v>
      </c>
      <c r="H1086" s="31">
        <v>20461.41490497061</v>
      </c>
      <c r="I1086" s="31">
        <v>8989.6523675951903</v>
      </c>
      <c r="J1086" s="32">
        <f t="shared" si="86"/>
        <v>0</v>
      </c>
      <c r="K1086" s="31">
        <v>424634.44426469709</v>
      </c>
      <c r="L1086" s="31">
        <v>186852.52566705859</v>
      </c>
      <c r="M1086" s="32">
        <f t="shared" si="87"/>
        <v>186852.52566705859</v>
      </c>
      <c r="N1086" s="33">
        <f>Result_notebook!L1086</f>
        <v>0.439346565686978</v>
      </c>
      <c r="O1086" s="31">
        <f t="shared" si="88"/>
        <v>0</v>
      </c>
      <c r="P1086" s="31">
        <f t="shared" si="89"/>
        <v>0</v>
      </c>
      <c r="Q1086">
        <f t="shared" si="90"/>
        <v>0</v>
      </c>
    </row>
    <row r="1087" spans="1:17" x14ac:dyDescent="0.35">
      <c r="A1087">
        <v>2037</v>
      </c>
      <c r="B1087" t="s">
        <v>6</v>
      </c>
      <c r="C1087" t="s">
        <v>9</v>
      </c>
      <c r="D1087" t="s">
        <v>16</v>
      </c>
      <c r="E1087" t="s">
        <v>483</v>
      </c>
      <c r="F1087" t="s">
        <v>80</v>
      </c>
      <c r="G1087" s="31">
        <v>73598.891657163113</v>
      </c>
      <c r="H1087" s="31">
        <v>0</v>
      </c>
      <c r="I1087" s="31">
        <v>0</v>
      </c>
      <c r="J1087" s="32">
        <f t="shared" si="86"/>
        <v>0</v>
      </c>
      <c r="K1087" s="31">
        <v>167270.20831173431</v>
      </c>
      <c r="L1087" s="31">
        <v>73598.891657163113</v>
      </c>
      <c r="M1087" s="32">
        <f t="shared" si="87"/>
        <v>73598.891657163113</v>
      </c>
      <c r="N1087" s="33">
        <f>Result_notebook!L1087</f>
        <v>0.439346565686978</v>
      </c>
      <c r="O1087" s="31">
        <f t="shared" si="88"/>
        <v>0</v>
      </c>
      <c r="P1087" s="31">
        <f t="shared" si="89"/>
        <v>0</v>
      </c>
      <c r="Q1087">
        <f t="shared" si="90"/>
        <v>0</v>
      </c>
    </row>
    <row r="1088" spans="1:17" x14ac:dyDescent="0.35">
      <c r="A1088">
        <v>2037</v>
      </c>
      <c r="B1088" t="s">
        <v>6</v>
      </c>
      <c r="C1088" t="s">
        <v>9</v>
      </c>
      <c r="D1088" t="s">
        <v>16</v>
      </c>
      <c r="E1088" t="s">
        <v>483</v>
      </c>
      <c r="F1088" t="s">
        <v>81</v>
      </c>
      <c r="G1088" s="31">
        <v>73598.891657163113</v>
      </c>
      <c r="H1088" s="31">
        <v>947</v>
      </c>
      <c r="I1088" s="31">
        <v>401.70019146980081</v>
      </c>
      <c r="J1088" s="32">
        <f t="shared" si="86"/>
        <v>14.361006235767377</v>
      </c>
      <c r="K1088" s="31">
        <v>166323.20831173431</v>
      </c>
      <c r="L1088" s="31">
        <v>73197.191465693308</v>
      </c>
      <c r="M1088" s="32">
        <f t="shared" si="87"/>
        <v>73182.830459457546</v>
      </c>
      <c r="N1088" s="33">
        <f>Result_notebook!L1088</f>
        <v>0.439346565686978</v>
      </c>
      <c r="O1088" s="31">
        <f t="shared" si="88"/>
        <v>0</v>
      </c>
      <c r="P1088" s="31">
        <f t="shared" si="89"/>
        <v>0</v>
      </c>
      <c r="Q1088">
        <f t="shared" si="90"/>
        <v>14.361006235767377</v>
      </c>
    </row>
    <row r="1089" spans="1:17" x14ac:dyDescent="0.35">
      <c r="A1089">
        <v>2037</v>
      </c>
      <c r="B1089" t="s">
        <v>6</v>
      </c>
      <c r="C1089" t="s">
        <v>9</v>
      </c>
      <c r="D1089" t="s">
        <v>18</v>
      </c>
      <c r="E1089" t="s">
        <v>483</v>
      </c>
      <c r="F1089" t="s">
        <v>85</v>
      </c>
      <c r="G1089" s="31">
        <v>73598.891657163113</v>
      </c>
      <c r="H1089" s="31">
        <v>20461.41490497061</v>
      </c>
      <c r="I1089" s="31">
        <v>8679.3603855012989</v>
      </c>
      <c r="J1089" s="32">
        <f t="shared" si="86"/>
        <v>310.29198209388232</v>
      </c>
      <c r="K1089" s="31">
        <v>146808.7934067637</v>
      </c>
      <c r="L1089" s="31">
        <v>64919.531271661806</v>
      </c>
      <c r="M1089" s="32">
        <f t="shared" si="87"/>
        <v>64609.239289567922</v>
      </c>
      <c r="N1089" s="33">
        <f>Result_notebook!L1089</f>
        <v>0.439346565686978</v>
      </c>
      <c r="O1089" s="31">
        <f t="shared" si="88"/>
        <v>0</v>
      </c>
      <c r="P1089" s="31">
        <f t="shared" si="89"/>
        <v>0</v>
      </c>
      <c r="Q1089">
        <f t="shared" si="90"/>
        <v>310.29198209388232</v>
      </c>
    </row>
    <row r="1090" spans="1:17" x14ac:dyDescent="0.35">
      <c r="A1090">
        <v>2037</v>
      </c>
      <c r="B1090" t="s">
        <v>6</v>
      </c>
      <c r="C1090" t="s">
        <v>9</v>
      </c>
      <c r="D1090" t="s">
        <v>18</v>
      </c>
      <c r="E1090" t="s">
        <v>483</v>
      </c>
      <c r="F1090" t="s">
        <v>86</v>
      </c>
      <c r="G1090" s="31">
        <v>73598.891657163113</v>
      </c>
      <c r="H1090" s="31">
        <v>20461.41490497061</v>
      </c>
      <c r="I1090" s="31">
        <v>8679.3603855012989</v>
      </c>
      <c r="J1090" s="32">
        <f t="shared" si="86"/>
        <v>310.29198209388232</v>
      </c>
      <c r="K1090" s="31">
        <v>146808.7934067637</v>
      </c>
      <c r="L1090" s="31">
        <v>64919.531271661806</v>
      </c>
      <c r="M1090" s="32">
        <f t="shared" si="87"/>
        <v>64609.239289567922</v>
      </c>
      <c r="N1090" s="33">
        <f>Result_notebook!L1090</f>
        <v>0.439346565686978</v>
      </c>
      <c r="O1090" s="31">
        <f t="shared" si="88"/>
        <v>0</v>
      </c>
      <c r="P1090" s="31">
        <f t="shared" si="89"/>
        <v>0</v>
      </c>
      <c r="Q1090">
        <f t="shared" si="90"/>
        <v>310.29198209388232</v>
      </c>
    </row>
    <row r="1091" spans="1:17" x14ac:dyDescent="0.35">
      <c r="A1091">
        <v>2037</v>
      </c>
      <c r="B1091" t="s">
        <v>6</v>
      </c>
      <c r="C1091" t="s">
        <v>9</v>
      </c>
      <c r="D1091" t="s">
        <v>18</v>
      </c>
      <c r="E1091" t="s">
        <v>490</v>
      </c>
      <c r="F1091" t="s">
        <v>82</v>
      </c>
      <c r="G1091" s="31">
        <v>73598.891657163113</v>
      </c>
      <c r="H1091" s="31">
        <v>20461.41490497061</v>
      </c>
      <c r="I1091" s="31">
        <v>8989.6523675951903</v>
      </c>
      <c r="J1091" s="32">
        <f t="shared" ref="J1091:J1154" si="91">H1091*N1091-I1091</f>
        <v>0</v>
      </c>
      <c r="K1091" s="31">
        <v>146808.7934067637</v>
      </c>
      <c r="L1091" s="31">
        <v>64609.239289567922</v>
      </c>
      <c r="M1091" s="32">
        <f t="shared" ref="M1091:M1154" si="92">MAX(L1091-J1091,0)</f>
        <v>64609.239289567922</v>
      </c>
      <c r="N1091" s="33">
        <f>Result_notebook!L1091</f>
        <v>0.439346565686978</v>
      </c>
      <c r="O1091" s="31">
        <f t="shared" ref="O1091:O1154" si="93">G1091-(I1091+J1091+M1091)</f>
        <v>0</v>
      </c>
      <c r="P1091" s="31">
        <f t="shared" ref="P1091:P1154" si="94">MAX(I1091-G1091,0)</f>
        <v>0</v>
      </c>
      <c r="Q1091">
        <f t="shared" ref="Q1091:Q1154" si="95">(H1091*N1091)-I1091</f>
        <v>0</v>
      </c>
    </row>
    <row r="1092" spans="1:17" x14ac:dyDescent="0.35">
      <c r="A1092">
        <v>2037</v>
      </c>
      <c r="B1092" t="s">
        <v>6</v>
      </c>
      <c r="C1092" t="s">
        <v>10</v>
      </c>
      <c r="D1092" t="s">
        <v>16</v>
      </c>
      <c r="E1092" t="s">
        <v>483</v>
      </c>
      <c r="F1092" t="s">
        <v>80</v>
      </c>
      <c r="G1092" s="31">
        <v>186507.43822649619</v>
      </c>
      <c r="H1092" s="31">
        <v>0</v>
      </c>
      <c r="I1092" s="31">
        <v>0</v>
      </c>
      <c r="J1092" s="32">
        <f t="shared" si="91"/>
        <v>0</v>
      </c>
      <c r="K1092" s="31">
        <v>423880.541423855</v>
      </c>
      <c r="L1092" s="31">
        <v>186507.43822649619</v>
      </c>
      <c r="M1092" s="32">
        <f t="shared" si="92"/>
        <v>186507.43822649619</v>
      </c>
      <c r="N1092" s="33">
        <f>Result_notebook!L1092</f>
        <v>0.439346565686978</v>
      </c>
      <c r="O1092" s="31">
        <f t="shared" si="93"/>
        <v>0</v>
      </c>
      <c r="P1092" s="31">
        <f t="shared" si="94"/>
        <v>0</v>
      </c>
      <c r="Q1092">
        <f t="shared" si="95"/>
        <v>0</v>
      </c>
    </row>
    <row r="1093" spans="1:17" x14ac:dyDescent="0.35">
      <c r="A1093">
        <v>2037</v>
      </c>
      <c r="B1093" t="s">
        <v>6</v>
      </c>
      <c r="C1093" t="s">
        <v>10</v>
      </c>
      <c r="D1093" t="s">
        <v>16</v>
      </c>
      <c r="E1093" t="s">
        <v>483</v>
      </c>
      <c r="F1093" t="s">
        <v>81</v>
      </c>
      <c r="G1093" s="31">
        <v>186507.43822649619</v>
      </c>
      <c r="H1093" s="31">
        <v>947</v>
      </c>
      <c r="I1093" s="31">
        <v>401.70019146980081</v>
      </c>
      <c r="J1093" s="32">
        <f t="shared" si="91"/>
        <v>14.361006235767377</v>
      </c>
      <c r="K1093" s="31">
        <v>422933.541423855</v>
      </c>
      <c r="L1093" s="31">
        <v>186105.73803502641</v>
      </c>
      <c r="M1093" s="32">
        <f t="shared" si="92"/>
        <v>186091.37702879065</v>
      </c>
      <c r="N1093" s="33">
        <f>Result_notebook!L1093</f>
        <v>0.439346565686978</v>
      </c>
      <c r="O1093" s="31">
        <f t="shared" si="93"/>
        <v>0</v>
      </c>
      <c r="P1093" s="31">
        <f t="shared" si="94"/>
        <v>0</v>
      </c>
      <c r="Q1093">
        <f t="shared" si="95"/>
        <v>14.361006235767377</v>
      </c>
    </row>
    <row r="1094" spans="1:17" x14ac:dyDescent="0.35">
      <c r="A1094">
        <v>2037</v>
      </c>
      <c r="B1094" t="s">
        <v>6</v>
      </c>
      <c r="C1094" t="s">
        <v>10</v>
      </c>
      <c r="D1094" t="s">
        <v>18</v>
      </c>
      <c r="E1094" t="s">
        <v>483</v>
      </c>
      <c r="F1094" t="s">
        <v>85</v>
      </c>
      <c r="G1094" s="31">
        <v>186507.43822649619</v>
      </c>
      <c r="H1094" s="31">
        <v>20461.41490497061</v>
      </c>
      <c r="I1094" s="31">
        <v>8679.3603855012989</v>
      </c>
      <c r="J1094" s="32">
        <f t="shared" si="91"/>
        <v>310.29198209388232</v>
      </c>
      <c r="K1094" s="31">
        <v>403419.12651888438</v>
      </c>
      <c r="L1094" s="31">
        <v>177828.0778409949</v>
      </c>
      <c r="M1094" s="32">
        <f t="shared" si="92"/>
        <v>177517.78585890101</v>
      </c>
      <c r="N1094" s="33">
        <f>Result_notebook!L1094</f>
        <v>0.439346565686978</v>
      </c>
      <c r="O1094" s="31">
        <f t="shared" si="93"/>
        <v>0</v>
      </c>
      <c r="P1094" s="31">
        <f t="shared" si="94"/>
        <v>0</v>
      </c>
      <c r="Q1094">
        <f t="shared" si="95"/>
        <v>310.29198209388232</v>
      </c>
    </row>
    <row r="1095" spans="1:17" x14ac:dyDescent="0.35">
      <c r="A1095">
        <v>2037</v>
      </c>
      <c r="B1095" t="s">
        <v>6</v>
      </c>
      <c r="C1095" t="s">
        <v>10</v>
      </c>
      <c r="D1095" t="s">
        <v>18</v>
      </c>
      <c r="E1095" t="s">
        <v>483</v>
      </c>
      <c r="F1095" t="s">
        <v>86</v>
      </c>
      <c r="G1095" s="31">
        <v>186507.43822649619</v>
      </c>
      <c r="H1095" s="31">
        <v>20461.41490497061</v>
      </c>
      <c r="I1095" s="31">
        <v>8679.3603855012989</v>
      </c>
      <c r="J1095" s="32">
        <f t="shared" si="91"/>
        <v>310.29198209388232</v>
      </c>
      <c r="K1095" s="31">
        <v>403419.12651888438</v>
      </c>
      <c r="L1095" s="31">
        <v>177828.0778409949</v>
      </c>
      <c r="M1095" s="32">
        <f t="shared" si="92"/>
        <v>177517.78585890101</v>
      </c>
      <c r="N1095" s="33">
        <f>Result_notebook!L1095</f>
        <v>0.439346565686978</v>
      </c>
      <c r="O1095" s="31">
        <f t="shared" si="93"/>
        <v>0</v>
      </c>
      <c r="P1095" s="31">
        <f t="shared" si="94"/>
        <v>0</v>
      </c>
      <c r="Q1095">
        <f t="shared" si="95"/>
        <v>310.29198209388232</v>
      </c>
    </row>
    <row r="1096" spans="1:17" x14ac:dyDescent="0.35">
      <c r="A1096">
        <v>2037</v>
      </c>
      <c r="B1096" t="s">
        <v>6</v>
      </c>
      <c r="C1096" t="s">
        <v>10</v>
      </c>
      <c r="D1096" t="s">
        <v>18</v>
      </c>
      <c r="E1096" t="s">
        <v>490</v>
      </c>
      <c r="F1096" t="s">
        <v>82</v>
      </c>
      <c r="G1096" s="31">
        <v>186507.43822649619</v>
      </c>
      <c r="H1096" s="31">
        <v>20461.41490497061</v>
      </c>
      <c r="I1096" s="31">
        <v>8989.6523675951903</v>
      </c>
      <c r="J1096" s="32">
        <f t="shared" si="91"/>
        <v>0</v>
      </c>
      <c r="K1096" s="31">
        <v>403419.12651888438</v>
      </c>
      <c r="L1096" s="31">
        <v>177517.78585890101</v>
      </c>
      <c r="M1096" s="32">
        <f t="shared" si="92"/>
        <v>177517.78585890101</v>
      </c>
      <c r="N1096" s="33">
        <f>Result_notebook!L1096</f>
        <v>0.439346565686978</v>
      </c>
      <c r="O1096" s="31">
        <f t="shared" si="93"/>
        <v>0</v>
      </c>
      <c r="P1096" s="31">
        <f t="shared" si="94"/>
        <v>0</v>
      </c>
      <c r="Q1096">
        <f t="shared" si="95"/>
        <v>0</v>
      </c>
    </row>
    <row r="1097" spans="1:17" x14ac:dyDescent="0.35">
      <c r="A1097">
        <v>2037</v>
      </c>
      <c r="B1097" t="s">
        <v>7</v>
      </c>
      <c r="C1097" t="s">
        <v>4</v>
      </c>
      <c r="D1097" t="s">
        <v>16</v>
      </c>
      <c r="E1097" t="s">
        <v>483</v>
      </c>
      <c r="F1097" t="s">
        <v>80</v>
      </c>
      <c r="G1097" s="31">
        <v>1478036.3950053221</v>
      </c>
      <c r="H1097" s="31">
        <v>0</v>
      </c>
      <c r="I1097" s="31">
        <v>0</v>
      </c>
      <c r="J1097" s="32">
        <f t="shared" si="91"/>
        <v>0</v>
      </c>
      <c r="K1097" s="31">
        <v>1780766.7409702679</v>
      </c>
      <c r="L1097" s="31">
        <v>1478036.3950053221</v>
      </c>
      <c r="M1097" s="32">
        <f t="shared" si="92"/>
        <v>1478036.3950053221</v>
      </c>
      <c r="N1097" s="33">
        <f>Result_notebook!L1097</f>
        <v>0.83474576271186396</v>
      </c>
      <c r="O1097" s="31">
        <f t="shared" si="93"/>
        <v>0</v>
      </c>
      <c r="P1097" s="31">
        <f t="shared" si="94"/>
        <v>0</v>
      </c>
      <c r="Q1097">
        <f t="shared" si="95"/>
        <v>0</v>
      </c>
    </row>
    <row r="1098" spans="1:17" x14ac:dyDescent="0.35">
      <c r="A1098">
        <v>2037</v>
      </c>
      <c r="B1098" t="s">
        <v>7</v>
      </c>
      <c r="C1098" t="s">
        <v>4</v>
      </c>
      <c r="D1098" t="s">
        <v>16</v>
      </c>
      <c r="E1098" t="s">
        <v>483</v>
      </c>
      <c r="F1098" t="s">
        <v>81</v>
      </c>
      <c r="G1098" s="31">
        <v>1478036.3950053221</v>
      </c>
      <c r="H1098" s="31">
        <v>216675</v>
      </c>
      <c r="I1098" s="31">
        <v>113886.262360209</v>
      </c>
      <c r="J1098" s="32">
        <f t="shared" si="91"/>
        <v>66982.275775384114</v>
      </c>
      <c r="K1098" s="31">
        <v>1564091.7409702679</v>
      </c>
      <c r="L1098" s="31">
        <v>1364150.1326451129</v>
      </c>
      <c r="M1098" s="32">
        <f t="shared" si="92"/>
        <v>1297167.8568697288</v>
      </c>
      <c r="N1098" s="33">
        <f>Result_notebook!L1098</f>
        <v>0.83474576271186396</v>
      </c>
      <c r="O1098" s="31">
        <f t="shared" si="93"/>
        <v>0</v>
      </c>
      <c r="P1098" s="31">
        <f t="shared" si="94"/>
        <v>0</v>
      </c>
      <c r="Q1098">
        <f t="shared" si="95"/>
        <v>66982.275775384114</v>
      </c>
    </row>
    <row r="1099" spans="1:17" x14ac:dyDescent="0.35">
      <c r="A1099">
        <v>2037</v>
      </c>
      <c r="B1099" t="s">
        <v>7</v>
      </c>
      <c r="C1099" t="s">
        <v>4</v>
      </c>
      <c r="D1099" t="s">
        <v>18</v>
      </c>
      <c r="E1099" t="s">
        <v>483</v>
      </c>
      <c r="F1099" t="s">
        <v>85</v>
      </c>
      <c r="G1099" s="31">
        <v>1478036.3950053221</v>
      </c>
      <c r="H1099" s="31">
        <v>973099.29728133942</v>
      </c>
      <c r="I1099" s="31">
        <v>511469.4444339106</v>
      </c>
      <c r="J1099" s="32">
        <f t="shared" si="91"/>
        <v>300821.07066957996</v>
      </c>
      <c r="K1099" s="31">
        <v>807667.44368892827</v>
      </c>
      <c r="L1099" s="31">
        <v>966566.95057141152</v>
      </c>
      <c r="M1099" s="32">
        <f t="shared" si="92"/>
        <v>665745.8799018315</v>
      </c>
      <c r="N1099" s="33">
        <f>Result_notebook!L1099</f>
        <v>0.83474576271186396</v>
      </c>
      <c r="O1099" s="31">
        <f t="shared" si="93"/>
        <v>0</v>
      </c>
      <c r="P1099" s="31">
        <f t="shared" si="94"/>
        <v>0</v>
      </c>
      <c r="Q1099">
        <f t="shared" si="95"/>
        <v>300821.07066957996</v>
      </c>
    </row>
    <row r="1100" spans="1:17" x14ac:dyDescent="0.35">
      <c r="A1100">
        <v>2037</v>
      </c>
      <c r="B1100" t="s">
        <v>7</v>
      </c>
      <c r="C1100" t="s">
        <v>4</v>
      </c>
      <c r="D1100" t="s">
        <v>18</v>
      </c>
      <c r="E1100" t="s">
        <v>483</v>
      </c>
      <c r="F1100" t="s">
        <v>86</v>
      </c>
      <c r="G1100" s="31">
        <v>1478036.3950053221</v>
      </c>
      <c r="H1100" s="31">
        <v>973099.29728133942</v>
      </c>
      <c r="I1100" s="31">
        <v>511469.4444339106</v>
      </c>
      <c r="J1100" s="32">
        <f t="shared" si="91"/>
        <v>300821.07066957996</v>
      </c>
      <c r="K1100" s="31">
        <v>807667.44368892827</v>
      </c>
      <c r="L1100" s="31">
        <v>966566.95057141152</v>
      </c>
      <c r="M1100" s="32">
        <f t="shared" si="92"/>
        <v>665745.8799018315</v>
      </c>
      <c r="N1100" s="33">
        <f>Result_notebook!L1100</f>
        <v>0.83474576271186396</v>
      </c>
      <c r="O1100" s="31">
        <f t="shared" si="93"/>
        <v>0</v>
      </c>
      <c r="P1100" s="31">
        <f t="shared" si="94"/>
        <v>0</v>
      </c>
      <c r="Q1100">
        <f t="shared" si="95"/>
        <v>300821.07066957996</v>
      </c>
    </row>
    <row r="1101" spans="1:17" x14ac:dyDescent="0.35">
      <c r="A1101">
        <v>2037</v>
      </c>
      <c r="B1101" t="s">
        <v>7</v>
      </c>
      <c r="C1101" t="s">
        <v>4</v>
      </c>
      <c r="D1101" t="s">
        <v>18</v>
      </c>
      <c r="E1101" t="s">
        <v>490</v>
      </c>
      <c r="F1101" t="s">
        <v>82</v>
      </c>
      <c r="G1101" s="31">
        <v>1478036.3950053221</v>
      </c>
      <c r="H1101" s="31">
        <v>973099.29728133942</v>
      </c>
      <c r="I1101" s="31">
        <v>812290.51510349091</v>
      </c>
      <c r="J1101" s="32">
        <f t="shared" si="91"/>
        <v>0</v>
      </c>
      <c r="K1101" s="31">
        <v>807667.44368892827</v>
      </c>
      <c r="L1101" s="31">
        <v>665745.87990183115</v>
      </c>
      <c r="M1101" s="32">
        <f t="shared" si="92"/>
        <v>665745.87990183115</v>
      </c>
      <c r="N1101" s="33">
        <f>Result_notebook!L1101</f>
        <v>0.83474576271186396</v>
      </c>
      <c r="O1101" s="31">
        <f t="shared" si="93"/>
        <v>0</v>
      </c>
      <c r="P1101" s="31">
        <f t="shared" si="94"/>
        <v>0</v>
      </c>
      <c r="Q1101">
        <f t="shared" si="95"/>
        <v>0</v>
      </c>
    </row>
    <row r="1102" spans="1:17" x14ac:dyDescent="0.35">
      <c r="A1102">
        <v>2037</v>
      </c>
      <c r="B1102" t="s">
        <v>7</v>
      </c>
      <c r="C1102" t="s">
        <v>9</v>
      </c>
      <c r="D1102" t="s">
        <v>16</v>
      </c>
      <c r="E1102" t="s">
        <v>483</v>
      </c>
      <c r="F1102" t="s">
        <v>80</v>
      </c>
      <c r="G1102" s="31">
        <v>1130192.3701368021</v>
      </c>
      <c r="H1102" s="31">
        <v>0</v>
      </c>
      <c r="I1102" s="31">
        <v>0</v>
      </c>
      <c r="J1102" s="32">
        <f t="shared" si="91"/>
        <v>0</v>
      </c>
      <c r="K1102" s="31">
        <v>1361677.5543816891</v>
      </c>
      <c r="L1102" s="31">
        <v>1130192.3701368021</v>
      </c>
      <c r="M1102" s="32">
        <f t="shared" si="92"/>
        <v>1130192.3701368021</v>
      </c>
      <c r="N1102" s="33">
        <f>Result_notebook!L1102</f>
        <v>0.83474576271186396</v>
      </c>
      <c r="O1102" s="31">
        <f t="shared" si="93"/>
        <v>0</v>
      </c>
      <c r="P1102" s="31">
        <f t="shared" si="94"/>
        <v>0</v>
      </c>
      <c r="Q1102">
        <f t="shared" si="95"/>
        <v>0</v>
      </c>
    </row>
    <row r="1103" spans="1:17" x14ac:dyDescent="0.35">
      <c r="A1103">
        <v>2037</v>
      </c>
      <c r="B1103" t="s">
        <v>7</v>
      </c>
      <c r="C1103" t="s">
        <v>9</v>
      </c>
      <c r="D1103" t="s">
        <v>16</v>
      </c>
      <c r="E1103" t="s">
        <v>483</v>
      </c>
      <c r="F1103" t="s">
        <v>81</v>
      </c>
      <c r="G1103" s="31">
        <v>1130192.3701368021</v>
      </c>
      <c r="H1103" s="31">
        <v>216675</v>
      </c>
      <c r="I1103" s="31">
        <v>113886.262360209</v>
      </c>
      <c r="J1103" s="32">
        <f t="shared" si="91"/>
        <v>66982.275775384114</v>
      </c>
      <c r="K1103" s="31">
        <v>1145002.5543816891</v>
      </c>
      <c r="L1103" s="31">
        <v>1016306.107776593</v>
      </c>
      <c r="M1103" s="32">
        <f t="shared" si="92"/>
        <v>949323.83200120879</v>
      </c>
      <c r="N1103" s="33">
        <f>Result_notebook!L1103</f>
        <v>0.83474576271186396</v>
      </c>
      <c r="O1103" s="31">
        <f t="shared" si="93"/>
        <v>0</v>
      </c>
      <c r="P1103" s="31">
        <f t="shared" si="94"/>
        <v>0</v>
      </c>
      <c r="Q1103">
        <f t="shared" si="95"/>
        <v>66982.275775384114</v>
      </c>
    </row>
    <row r="1104" spans="1:17" x14ac:dyDescent="0.35">
      <c r="A1104">
        <v>2037</v>
      </c>
      <c r="B1104" t="s">
        <v>7</v>
      </c>
      <c r="C1104" t="s">
        <v>9</v>
      </c>
      <c r="D1104" t="s">
        <v>18</v>
      </c>
      <c r="E1104" t="s">
        <v>483</v>
      </c>
      <c r="F1104" t="s">
        <v>85</v>
      </c>
      <c r="G1104" s="31">
        <v>1130192.3701368021</v>
      </c>
      <c r="H1104" s="31">
        <v>973099.29728133942</v>
      </c>
      <c r="I1104" s="31">
        <v>511469.4444339106</v>
      </c>
      <c r="J1104" s="32">
        <f t="shared" si="91"/>
        <v>300821.07066957996</v>
      </c>
      <c r="K1104" s="31">
        <v>388578.25710034987</v>
      </c>
      <c r="L1104" s="31">
        <v>618722.92570289155</v>
      </c>
      <c r="M1104" s="32">
        <f t="shared" si="92"/>
        <v>317901.85503331159</v>
      </c>
      <c r="N1104" s="33">
        <f>Result_notebook!L1104</f>
        <v>0.83474576271186396</v>
      </c>
      <c r="O1104" s="31">
        <f t="shared" si="93"/>
        <v>0</v>
      </c>
      <c r="P1104" s="31">
        <f t="shared" si="94"/>
        <v>0</v>
      </c>
      <c r="Q1104">
        <f t="shared" si="95"/>
        <v>300821.07066957996</v>
      </c>
    </row>
    <row r="1105" spans="1:17" x14ac:dyDescent="0.35">
      <c r="A1105">
        <v>2037</v>
      </c>
      <c r="B1105" t="s">
        <v>7</v>
      </c>
      <c r="C1105" t="s">
        <v>9</v>
      </c>
      <c r="D1105" t="s">
        <v>18</v>
      </c>
      <c r="E1105" t="s">
        <v>483</v>
      </c>
      <c r="F1105" t="s">
        <v>86</v>
      </c>
      <c r="G1105" s="31">
        <v>1130192.3701368021</v>
      </c>
      <c r="H1105" s="31">
        <v>973099.29728133942</v>
      </c>
      <c r="I1105" s="31">
        <v>511469.4444339106</v>
      </c>
      <c r="J1105" s="32">
        <f t="shared" si="91"/>
        <v>300821.07066957996</v>
      </c>
      <c r="K1105" s="31">
        <v>388578.25710034987</v>
      </c>
      <c r="L1105" s="31">
        <v>618722.92570289155</v>
      </c>
      <c r="M1105" s="32">
        <f t="shared" si="92"/>
        <v>317901.85503331159</v>
      </c>
      <c r="N1105" s="33">
        <f>Result_notebook!L1105</f>
        <v>0.83474576271186396</v>
      </c>
      <c r="O1105" s="31">
        <f t="shared" si="93"/>
        <v>0</v>
      </c>
      <c r="P1105" s="31">
        <f t="shared" si="94"/>
        <v>0</v>
      </c>
      <c r="Q1105">
        <f t="shared" si="95"/>
        <v>300821.07066957996</v>
      </c>
    </row>
    <row r="1106" spans="1:17" x14ac:dyDescent="0.35">
      <c r="A1106">
        <v>2037</v>
      </c>
      <c r="B1106" t="s">
        <v>7</v>
      </c>
      <c r="C1106" t="s">
        <v>9</v>
      </c>
      <c r="D1106" t="s">
        <v>18</v>
      </c>
      <c r="E1106" t="s">
        <v>490</v>
      </c>
      <c r="F1106" t="s">
        <v>82</v>
      </c>
      <c r="G1106" s="31">
        <v>1130192.3701368021</v>
      </c>
      <c r="H1106" s="31">
        <v>973099.29728133942</v>
      </c>
      <c r="I1106" s="31">
        <v>812290.51510349091</v>
      </c>
      <c r="J1106" s="32">
        <f t="shared" si="91"/>
        <v>0</v>
      </c>
      <c r="K1106" s="31">
        <v>388578.25710034987</v>
      </c>
      <c r="L1106" s="31">
        <v>317901.85503331118</v>
      </c>
      <c r="M1106" s="32">
        <f t="shared" si="92"/>
        <v>317901.85503331118</v>
      </c>
      <c r="N1106" s="33">
        <f>Result_notebook!L1106</f>
        <v>0.83474576271186396</v>
      </c>
      <c r="O1106" s="31">
        <f t="shared" si="93"/>
        <v>0</v>
      </c>
      <c r="P1106" s="31">
        <f t="shared" si="94"/>
        <v>0</v>
      </c>
      <c r="Q1106">
        <f t="shared" si="95"/>
        <v>0</v>
      </c>
    </row>
    <row r="1107" spans="1:17" x14ac:dyDescent="0.35">
      <c r="A1107">
        <v>2037</v>
      </c>
      <c r="B1107" t="s">
        <v>7</v>
      </c>
      <c r="C1107" t="s">
        <v>10</v>
      </c>
      <c r="D1107" t="s">
        <v>16</v>
      </c>
      <c r="E1107" t="s">
        <v>483</v>
      </c>
      <c r="F1107" t="s">
        <v>80</v>
      </c>
      <c r="G1107" s="31">
        <v>1402619.85449987</v>
      </c>
      <c r="H1107" s="31">
        <v>0</v>
      </c>
      <c r="I1107" s="31">
        <v>0</v>
      </c>
      <c r="J1107" s="32">
        <f t="shared" si="91"/>
        <v>0</v>
      </c>
      <c r="K1107" s="31">
        <v>1689903.4391564699</v>
      </c>
      <c r="L1107" s="31">
        <v>1402619.85449987</v>
      </c>
      <c r="M1107" s="32">
        <f t="shared" si="92"/>
        <v>1402619.85449987</v>
      </c>
      <c r="N1107" s="33">
        <f>Result_notebook!L1107</f>
        <v>0.83474576271186396</v>
      </c>
      <c r="O1107" s="31">
        <f t="shared" si="93"/>
        <v>0</v>
      </c>
      <c r="P1107" s="31">
        <f t="shared" si="94"/>
        <v>0</v>
      </c>
      <c r="Q1107">
        <f t="shared" si="95"/>
        <v>0</v>
      </c>
    </row>
    <row r="1108" spans="1:17" x14ac:dyDescent="0.35">
      <c r="A1108">
        <v>2037</v>
      </c>
      <c r="B1108" t="s">
        <v>7</v>
      </c>
      <c r="C1108" t="s">
        <v>10</v>
      </c>
      <c r="D1108" t="s">
        <v>16</v>
      </c>
      <c r="E1108" t="s">
        <v>483</v>
      </c>
      <c r="F1108" t="s">
        <v>81</v>
      </c>
      <c r="G1108" s="31">
        <v>1402619.85449987</v>
      </c>
      <c r="H1108" s="31">
        <v>216675</v>
      </c>
      <c r="I1108" s="31">
        <v>113886.262360209</v>
      </c>
      <c r="J1108" s="32">
        <f t="shared" si="91"/>
        <v>66982.275775384114</v>
      </c>
      <c r="K1108" s="31">
        <v>1473228.4391564699</v>
      </c>
      <c r="L1108" s="31">
        <v>1288733.5921396611</v>
      </c>
      <c r="M1108" s="32">
        <f t="shared" si="92"/>
        <v>1221751.3163642769</v>
      </c>
      <c r="N1108" s="33">
        <f>Result_notebook!L1108</f>
        <v>0.83474576271186396</v>
      </c>
      <c r="O1108" s="31">
        <f t="shared" si="93"/>
        <v>0</v>
      </c>
      <c r="P1108" s="31">
        <f t="shared" si="94"/>
        <v>0</v>
      </c>
      <c r="Q1108">
        <f t="shared" si="95"/>
        <v>66982.275775384114</v>
      </c>
    </row>
    <row r="1109" spans="1:17" x14ac:dyDescent="0.35">
      <c r="A1109">
        <v>2037</v>
      </c>
      <c r="B1109" t="s">
        <v>7</v>
      </c>
      <c r="C1109" t="s">
        <v>10</v>
      </c>
      <c r="D1109" t="s">
        <v>18</v>
      </c>
      <c r="E1109" t="s">
        <v>483</v>
      </c>
      <c r="F1109" t="s">
        <v>85</v>
      </c>
      <c r="G1109" s="31">
        <v>1402619.85449987</v>
      </c>
      <c r="H1109" s="31">
        <v>973099.29728133942</v>
      </c>
      <c r="I1109" s="31">
        <v>511469.4444339106</v>
      </c>
      <c r="J1109" s="32">
        <f t="shared" si="91"/>
        <v>300821.07066957996</v>
      </c>
      <c r="K1109" s="31">
        <v>716804.14187513047</v>
      </c>
      <c r="L1109" s="31">
        <v>891150.41006595944</v>
      </c>
      <c r="M1109" s="32">
        <f t="shared" si="92"/>
        <v>590329.33939637942</v>
      </c>
      <c r="N1109" s="33">
        <f>Result_notebook!L1109</f>
        <v>0.83474576271186396</v>
      </c>
      <c r="O1109" s="31">
        <f t="shared" si="93"/>
        <v>0</v>
      </c>
      <c r="P1109" s="31">
        <f t="shared" si="94"/>
        <v>0</v>
      </c>
      <c r="Q1109">
        <f t="shared" si="95"/>
        <v>300821.07066957996</v>
      </c>
    </row>
    <row r="1110" spans="1:17" x14ac:dyDescent="0.35">
      <c r="A1110">
        <v>2037</v>
      </c>
      <c r="B1110" t="s">
        <v>7</v>
      </c>
      <c r="C1110" t="s">
        <v>10</v>
      </c>
      <c r="D1110" t="s">
        <v>18</v>
      </c>
      <c r="E1110" t="s">
        <v>483</v>
      </c>
      <c r="F1110" t="s">
        <v>86</v>
      </c>
      <c r="G1110" s="31">
        <v>1402619.85449987</v>
      </c>
      <c r="H1110" s="31">
        <v>973099.29728133942</v>
      </c>
      <c r="I1110" s="31">
        <v>511469.4444339106</v>
      </c>
      <c r="J1110" s="32">
        <f t="shared" si="91"/>
        <v>300821.07066957996</v>
      </c>
      <c r="K1110" s="31">
        <v>716804.14187513047</v>
      </c>
      <c r="L1110" s="31">
        <v>891150.41006595944</v>
      </c>
      <c r="M1110" s="32">
        <f t="shared" si="92"/>
        <v>590329.33939637942</v>
      </c>
      <c r="N1110" s="33">
        <f>Result_notebook!L1110</f>
        <v>0.83474576271186396</v>
      </c>
      <c r="O1110" s="31">
        <f t="shared" si="93"/>
        <v>0</v>
      </c>
      <c r="P1110" s="31">
        <f t="shared" si="94"/>
        <v>0</v>
      </c>
      <c r="Q1110">
        <f t="shared" si="95"/>
        <v>300821.07066957996</v>
      </c>
    </row>
    <row r="1111" spans="1:17" x14ac:dyDescent="0.35">
      <c r="A1111">
        <v>2037</v>
      </c>
      <c r="B1111" t="s">
        <v>7</v>
      </c>
      <c r="C1111" t="s">
        <v>10</v>
      </c>
      <c r="D1111" t="s">
        <v>18</v>
      </c>
      <c r="E1111" t="s">
        <v>490</v>
      </c>
      <c r="F1111" t="s">
        <v>82</v>
      </c>
      <c r="G1111" s="31">
        <v>1402619.85449987</v>
      </c>
      <c r="H1111" s="31">
        <v>973099.29728133942</v>
      </c>
      <c r="I1111" s="31">
        <v>812290.51510349091</v>
      </c>
      <c r="J1111" s="32">
        <f t="shared" si="91"/>
        <v>0</v>
      </c>
      <c r="K1111" s="31">
        <v>716804.14187513047</v>
      </c>
      <c r="L1111" s="31">
        <v>590329.33939637907</v>
      </c>
      <c r="M1111" s="32">
        <f t="shared" si="92"/>
        <v>590329.33939637907</v>
      </c>
      <c r="N1111" s="33">
        <f>Result_notebook!L1111</f>
        <v>0.83474576271186396</v>
      </c>
      <c r="O1111" s="31">
        <f t="shared" si="93"/>
        <v>0</v>
      </c>
      <c r="P1111" s="31">
        <f t="shared" si="94"/>
        <v>0</v>
      </c>
      <c r="Q1111">
        <f t="shared" si="95"/>
        <v>0</v>
      </c>
    </row>
    <row r="1112" spans="1:17" x14ac:dyDescent="0.35">
      <c r="A1112">
        <v>2037</v>
      </c>
      <c r="B1112" t="s">
        <v>11</v>
      </c>
      <c r="C1112" t="s">
        <v>4</v>
      </c>
      <c r="D1112" t="s">
        <v>16</v>
      </c>
      <c r="E1112" t="s">
        <v>483</v>
      </c>
      <c r="F1112" t="s">
        <v>80</v>
      </c>
      <c r="G1112" s="31">
        <v>5975.1221443033437</v>
      </c>
      <c r="H1112" s="31">
        <v>0</v>
      </c>
      <c r="I1112" s="31">
        <v>0</v>
      </c>
      <c r="J1112" s="32">
        <f t="shared" si="91"/>
        <v>0</v>
      </c>
      <c r="K1112" s="31">
        <v>9958.5369071722398</v>
      </c>
      <c r="L1112" s="31">
        <v>5975.1221443033437</v>
      </c>
      <c r="M1112" s="32">
        <f t="shared" si="92"/>
        <v>5975.1221443033437</v>
      </c>
      <c r="N1112" s="33">
        <f>Result_notebook!L1112</f>
        <v>1</v>
      </c>
      <c r="O1112" s="31">
        <f t="shared" si="93"/>
        <v>0</v>
      </c>
      <c r="P1112" s="31">
        <f t="shared" si="94"/>
        <v>0</v>
      </c>
      <c r="Q1112">
        <f t="shared" si="95"/>
        <v>0</v>
      </c>
    </row>
    <row r="1113" spans="1:17" x14ac:dyDescent="0.35">
      <c r="A1113">
        <v>2037</v>
      </c>
      <c r="B1113" t="s">
        <v>11</v>
      </c>
      <c r="C1113" t="s">
        <v>4</v>
      </c>
      <c r="D1113" t="s">
        <v>16</v>
      </c>
      <c r="E1113" t="s">
        <v>483</v>
      </c>
      <c r="F1113" t="s">
        <v>81</v>
      </c>
      <c r="G1113" s="31">
        <v>5975.1221443033437</v>
      </c>
      <c r="H1113" s="31">
        <v>0</v>
      </c>
      <c r="I1113" s="31">
        <v>0</v>
      </c>
      <c r="J1113" s="32">
        <f t="shared" si="91"/>
        <v>0</v>
      </c>
      <c r="K1113" s="31">
        <v>9958.5369071722398</v>
      </c>
      <c r="L1113" s="31">
        <v>5975.1221443033437</v>
      </c>
      <c r="M1113" s="32">
        <f t="shared" si="92"/>
        <v>5975.1221443033437</v>
      </c>
      <c r="N1113" s="33">
        <f>Result_notebook!L1113</f>
        <v>1</v>
      </c>
      <c r="O1113" s="31">
        <f t="shared" si="93"/>
        <v>0</v>
      </c>
      <c r="P1113" s="31">
        <f t="shared" si="94"/>
        <v>0</v>
      </c>
      <c r="Q1113">
        <f t="shared" si="95"/>
        <v>0</v>
      </c>
    </row>
    <row r="1114" spans="1:17" x14ac:dyDescent="0.35">
      <c r="A1114">
        <v>2037</v>
      </c>
      <c r="B1114" t="s">
        <v>11</v>
      </c>
      <c r="C1114" t="s">
        <v>4</v>
      </c>
      <c r="D1114" t="s">
        <v>18</v>
      </c>
      <c r="E1114" t="s">
        <v>483</v>
      </c>
      <c r="F1114" t="s">
        <v>85</v>
      </c>
      <c r="G1114" s="31">
        <v>5975.1221443033437</v>
      </c>
      <c r="H1114" s="31">
        <v>157.05645137680381</v>
      </c>
      <c r="I1114" s="31">
        <v>94.005183124447228</v>
      </c>
      <c r="J1114" s="32">
        <f t="shared" si="91"/>
        <v>63.051268252356579</v>
      </c>
      <c r="K1114" s="31">
        <v>9801.4804557954358</v>
      </c>
      <c r="L1114" s="31">
        <v>5881.1169611788964</v>
      </c>
      <c r="M1114" s="32">
        <f t="shared" si="92"/>
        <v>5818.0656929265397</v>
      </c>
      <c r="N1114" s="33">
        <f>Result_notebook!L1114</f>
        <v>1</v>
      </c>
      <c r="O1114" s="31">
        <f t="shared" si="93"/>
        <v>0</v>
      </c>
      <c r="P1114" s="31">
        <f t="shared" si="94"/>
        <v>0</v>
      </c>
      <c r="Q1114">
        <f t="shared" si="95"/>
        <v>63.051268252356579</v>
      </c>
    </row>
    <row r="1115" spans="1:17" x14ac:dyDescent="0.35">
      <c r="A1115">
        <v>2037</v>
      </c>
      <c r="B1115" t="s">
        <v>11</v>
      </c>
      <c r="C1115" t="s">
        <v>4</v>
      </c>
      <c r="D1115" t="s">
        <v>18</v>
      </c>
      <c r="E1115" t="s">
        <v>483</v>
      </c>
      <c r="F1115" t="s">
        <v>86</v>
      </c>
      <c r="G1115" s="31">
        <v>5975.1221443033437</v>
      </c>
      <c r="H1115" s="31">
        <v>157.05645137680381</v>
      </c>
      <c r="I1115" s="31">
        <v>94.005183124447228</v>
      </c>
      <c r="J1115" s="32">
        <f t="shared" si="91"/>
        <v>63.051268252356579</v>
      </c>
      <c r="K1115" s="31">
        <v>9801.4804557954358</v>
      </c>
      <c r="L1115" s="31">
        <v>5881.1169611788964</v>
      </c>
      <c r="M1115" s="32">
        <f t="shared" si="92"/>
        <v>5818.0656929265397</v>
      </c>
      <c r="N1115" s="33">
        <f>Result_notebook!L1115</f>
        <v>1</v>
      </c>
      <c r="O1115" s="31">
        <f t="shared" si="93"/>
        <v>0</v>
      </c>
      <c r="P1115" s="31">
        <f t="shared" si="94"/>
        <v>0</v>
      </c>
      <c r="Q1115">
        <f t="shared" si="95"/>
        <v>63.051268252356579</v>
      </c>
    </row>
    <row r="1116" spans="1:17" x14ac:dyDescent="0.35">
      <c r="A1116">
        <v>2037</v>
      </c>
      <c r="B1116" t="s">
        <v>11</v>
      </c>
      <c r="C1116" t="s">
        <v>4</v>
      </c>
      <c r="D1116" t="s">
        <v>18</v>
      </c>
      <c r="E1116" t="s">
        <v>490</v>
      </c>
      <c r="F1116" t="s">
        <v>82</v>
      </c>
      <c r="G1116" s="31">
        <v>5975.1221443033437</v>
      </c>
      <c r="H1116" s="31">
        <v>157.05645137680381</v>
      </c>
      <c r="I1116" s="31">
        <v>94.005183124447228</v>
      </c>
      <c r="J1116" s="32">
        <f t="shared" si="91"/>
        <v>63.051268252356579</v>
      </c>
      <c r="K1116" s="31">
        <v>9801.4804557954358</v>
      </c>
      <c r="L1116" s="31">
        <v>5881.1169611788964</v>
      </c>
      <c r="M1116" s="32">
        <f t="shared" si="92"/>
        <v>5818.0656929265397</v>
      </c>
      <c r="N1116" s="33">
        <f>Result_notebook!L1116</f>
        <v>1</v>
      </c>
      <c r="O1116" s="31">
        <f t="shared" si="93"/>
        <v>0</v>
      </c>
      <c r="P1116" s="31">
        <f t="shared" si="94"/>
        <v>0</v>
      </c>
      <c r="Q1116">
        <f t="shared" si="95"/>
        <v>63.051268252356579</v>
      </c>
    </row>
    <row r="1117" spans="1:17" x14ac:dyDescent="0.35">
      <c r="A1117">
        <v>2037</v>
      </c>
      <c r="B1117" t="s">
        <v>11</v>
      </c>
      <c r="C1117" t="s">
        <v>9</v>
      </c>
      <c r="D1117" t="s">
        <v>16</v>
      </c>
      <c r="E1117" t="s">
        <v>483</v>
      </c>
      <c r="F1117" t="s">
        <v>80</v>
      </c>
      <c r="G1117" s="31">
        <v>1928.421284278415</v>
      </c>
      <c r="H1117" s="31">
        <v>0</v>
      </c>
      <c r="I1117" s="31">
        <v>0</v>
      </c>
      <c r="J1117" s="32">
        <f t="shared" si="91"/>
        <v>0</v>
      </c>
      <c r="K1117" s="31">
        <v>3214.035473797358</v>
      </c>
      <c r="L1117" s="31">
        <v>1928.421284278415</v>
      </c>
      <c r="M1117" s="32">
        <f t="shared" si="92"/>
        <v>1928.421284278415</v>
      </c>
      <c r="N1117" s="33">
        <f>Result_notebook!L1117</f>
        <v>1</v>
      </c>
      <c r="O1117" s="31">
        <f t="shared" si="93"/>
        <v>0</v>
      </c>
      <c r="P1117" s="31">
        <f t="shared" si="94"/>
        <v>0</v>
      </c>
      <c r="Q1117">
        <f t="shared" si="95"/>
        <v>0</v>
      </c>
    </row>
    <row r="1118" spans="1:17" x14ac:dyDescent="0.35">
      <c r="A1118">
        <v>2037</v>
      </c>
      <c r="B1118" t="s">
        <v>11</v>
      </c>
      <c r="C1118" t="s">
        <v>9</v>
      </c>
      <c r="D1118" t="s">
        <v>16</v>
      </c>
      <c r="E1118" t="s">
        <v>483</v>
      </c>
      <c r="F1118" t="s">
        <v>81</v>
      </c>
      <c r="G1118" s="31">
        <v>1928.421284278415</v>
      </c>
      <c r="H1118" s="31">
        <v>0</v>
      </c>
      <c r="I1118" s="31">
        <v>0</v>
      </c>
      <c r="J1118" s="32">
        <f t="shared" si="91"/>
        <v>0</v>
      </c>
      <c r="K1118" s="31">
        <v>3214.035473797358</v>
      </c>
      <c r="L1118" s="31">
        <v>1928.421284278415</v>
      </c>
      <c r="M1118" s="32">
        <f t="shared" si="92"/>
        <v>1928.421284278415</v>
      </c>
      <c r="N1118" s="33">
        <f>Result_notebook!L1118</f>
        <v>1</v>
      </c>
      <c r="O1118" s="31">
        <f t="shared" si="93"/>
        <v>0</v>
      </c>
      <c r="P1118" s="31">
        <f t="shared" si="94"/>
        <v>0</v>
      </c>
      <c r="Q1118">
        <f t="shared" si="95"/>
        <v>0</v>
      </c>
    </row>
    <row r="1119" spans="1:17" x14ac:dyDescent="0.35">
      <c r="A1119">
        <v>2037</v>
      </c>
      <c r="B1119" t="s">
        <v>11</v>
      </c>
      <c r="C1119" t="s">
        <v>9</v>
      </c>
      <c r="D1119" t="s">
        <v>18</v>
      </c>
      <c r="E1119" t="s">
        <v>483</v>
      </c>
      <c r="F1119" t="s">
        <v>85</v>
      </c>
      <c r="G1119" s="31">
        <v>1928.421284278415</v>
      </c>
      <c r="H1119" s="31">
        <v>157.05645137680381</v>
      </c>
      <c r="I1119" s="31">
        <v>94.005183124447228</v>
      </c>
      <c r="J1119" s="32">
        <f t="shared" si="91"/>
        <v>63.051268252356579</v>
      </c>
      <c r="K1119" s="31">
        <v>3056.979022420554</v>
      </c>
      <c r="L1119" s="31">
        <v>1834.4161011539679</v>
      </c>
      <c r="M1119" s="32">
        <f t="shared" si="92"/>
        <v>1771.3648329016114</v>
      </c>
      <c r="N1119" s="33">
        <f>Result_notebook!L1119</f>
        <v>1</v>
      </c>
      <c r="O1119" s="31">
        <f t="shared" si="93"/>
        <v>0</v>
      </c>
      <c r="P1119" s="31">
        <f t="shared" si="94"/>
        <v>0</v>
      </c>
      <c r="Q1119">
        <f t="shared" si="95"/>
        <v>63.051268252356579</v>
      </c>
    </row>
    <row r="1120" spans="1:17" x14ac:dyDescent="0.35">
      <c r="A1120">
        <v>2037</v>
      </c>
      <c r="B1120" t="s">
        <v>11</v>
      </c>
      <c r="C1120" t="s">
        <v>9</v>
      </c>
      <c r="D1120" t="s">
        <v>18</v>
      </c>
      <c r="E1120" t="s">
        <v>483</v>
      </c>
      <c r="F1120" t="s">
        <v>86</v>
      </c>
      <c r="G1120" s="31">
        <v>1928.421284278415</v>
      </c>
      <c r="H1120" s="31">
        <v>157.05645137680381</v>
      </c>
      <c r="I1120" s="31">
        <v>94.005183124447228</v>
      </c>
      <c r="J1120" s="32">
        <f t="shared" si="91"/>
        <v>63.051268252356579</v>
      </c>
      <c r="K1120" s="31">
        <v>3056.979022420554</v>
      </c>
      <c r="L1120" s="31">
        <v>1834.4161011539679</v>
      </c>
      <c r="M1120" s="32">
        <f t="shared" si="92"/>
        <v>1771.3648329016114</v>
      </c>
      <c r="N1120" s="33">
        <f>Result_notebook!L1120</f>
        <v>1</v>
      </c>
      <c r="O1120" s="31">
        <f t="shared" si="93"/>
        <v>0</v>
      </c>
      <c r="P1120" s="31">
        <f t="shared" si="94"/>
        <v>0</v>
      </c>
      <c r="Q1120">
        <f t="shared" si="95"/>
        <v>63.051268252356579</v>
      </c>
    </row>
    <row r="1121" spans="1:17" x14ac:dyDescent="0.35">
      <c r="A1121">
        <v>2037</v>
      </c>
      <c r="B1121" t="s">
        <v>11</v>
      </c>
      <c r="C1121" t="s">
        <v>9</v>
      </c>
      <c r="D1121" t="s">
        <v>18</v>
      </c>
      <c r="E1121" t="s">
        <v>490</v>
      </c>
      <c r="F1121" t="s">
        <v>82</v>
      </c>
      <c r="G1121" s="31">
        <v>1928.421284278415</v>
      </c>
      <c r="H1121" s="31">
        <v>157.05645137680381</v>
      </c>
      <c r="I1121" s="31">
        <v>94.005183124447228</v>
      </c>
      <c r="J1121" s="32">
        <f t="shared" si="91"/>
        <v>63.051268252356579</v>
      </c>
      <c r="K1121" s="31">
        <v>3056.979022420554</v>
      </c>
      <c r="L1121" s="31">
        <v>1834.4161011539679</v>
      </c>
      <c r="M1121" s="32">
        <f t="shared" si="92"/>
        <v>1771.3648329016114</v>
      </c>
      <c r="N1121" s="33">
        <f>Result_notebook!L1121</f>
        <v>1</v>
      </c>
      <c r="O1121" s="31">
        <f t="shared" si="93"/>
        <v>0</v>
      </c>
      <c r="P1121" s="31">
        <f t="shared" si="94"/>
        <v>0</v>
      </c>
      <c r="Q1121">
        <f t="shared" si="95"/>
        <v>63.051268252356579</v>
      </c>
    </row>
    <row r="1122" spans="1:17" x14ac:dyDescent="0.35">
      <c r="A1122">
        <v>2037</v>
      </c>
      <c r="B1122" t="s">
        <v>11</v>
      </c>
      <c r="C1122" t="s">
        <v>10</v>
      </c>
      <c r="D1122" t="s">
        <v>16</v>
      </c>
      <c r="E1122" t="s">
        <v>483</v>
      </c>
      <c r="F1122" t="s">
        <v>80</v>
      </c>
      <c r="G1122" s="31">
        <v>5732.0456775822131</v>
      </c>
      <c r="H1122" s="31">
        <v>0</v>
      </c>
      <c r="I1122" s="31">
        <v>0</v>
      </c>
      <c r="J1122" s="32">
        <f t="shared" si="91"/>
        <v>0</v>
      </c>
      <c r="K1122" s="31">
        <v>9553.4094626370224</v>
      </c>
      <c r="L1122" s="31">
        <v>5732.0456775822131</v>
      </c>
      <c r="M1122" s="32">
        <f t="shared" si="92"/>
        <v>5732.0456775822131</v>
      </c>
      <c r="N1122" s="33">
        <f>Result_notebook!L1122</f>
        <v>1</v>
      </c>
      <c r="O1122" s="31">
        <f t="shared" si="93"/>
        <v>0</v>
      </c>
      <c r="P1122" s="31">
        <f t="shared" si="94"/>
        <v>0</v>
      </c>
      <c r="Q1122">
        <f t="shared" si="95"/>
        <v>0</v>
      </c>
    </row>
    <row r="1123" spans="1:17" x14ac:dyDescent="0.35">
      <c r="A1123">
        <v>2037</v>
      </c>
      <c r="B1123" t="s">
        <v>11</v>
      </c>
      <c r="C1123" t="s">
        <v>10</v>
      </c>
      <c r="D1123" t="s">
        <v>16</v>
      </c>
      <c r="E1123" t="s">
        <v>483</v>
      </c>
      <c r="F1123" t="s">
        <v>81</v>
      </c>
      <c r="G1123" s="31">
        <v>5732.0456775822131</v>
      </c>
      <c r="H1123" s="31">
        <v>0</v>
      </c>
      <c r="I1123" s="31">
        <v>0</v>
      </c>
      <c r="J1123" s="32">
        <f t="shared" si="91"/>
        <v>0</v>
      </c>
      <c r="K1123" s="31">
        <v>9553.4094626370224</v>
      </c>
      <c r="L1123" s="31">
        <v>5732.0456775822131</v>
      </c>
      <c r="M1123" s="32">
        <f t="shared" si="92"/>
        <v>5732.0456775822131</v>
      </c>
      <c r="N1123" s="33">
        <f>Result_notebook!L1123</f>
        <v>1</v>
      </c>
      <c r="O1123" s="31">
        <f t="shared" si="93"/>
        <v>0</v>
      </c>
      <c r="P1123" s="31">
        <f t="shared" si="94"/>
        <v>0</v>
      </c>
      <c r="Q1123">
        <f t="shared" si="95"/>
        <v>0</v>
      </c>
    </row>
    <row r="1124" spans="1:17" x14ac:dyDescent="0.35">
      <c r="A1124">
        <v>2037</v>
      </c>
      <c r="B1124" t="s">
        <v>11</v>
      </c>
      <c r="C1124" t="s">
        <v>10</v>
      </c>
      <c r="D1124" t="s">
        <v>18</v>
      </c>
      <c r="E1124" t="s">
        <v>483</v>
      </c>
      <c r="F1124" t="s">
        <v>85</v>
      </c>
      <c r="G1124" s="31">
        <v>5732.0456775822131</v>
      </c>
      <c r="H1124" s="31">
        <v>157.05645137680381</v>
      </c>
      <c r="I1124" s="31">
        <v>94.005183124447228</v>
      </c>
      <c r="J1124" s="32">
        <f t="shared" si="91"/>
        <v>63.051268252356579</v>
      </c>
      <c r="K1124" s="31">
        <v>9396.3530112602184</v>
      </c>
      <c r="L1124" s="31">
        <v>5638.0404944577658</v>
      </c>
      <c r="M1124" s="32">
        <f t="shared" si="92"/>
        <v>5574.9892262054091</v>
      </c>
      <c r="N1124" s="33">
        <f>Result_notebook!L1124</f>
        <v>1</v>
      </c>
      <c r="O1124" s="31">
        <f t="shared" si="93"/>
        <v>0</v>
      </c>
      <c r="P1124" s="31">
        <f t="shared" si="94"/>
        <v>0</v>
      </c>
      <c r="Q1124">
        <f t="shared" si="95"/>
        <v>63.051268252356579</v>
      </c>
    </row>
    <row r="1125" spans="1:17" x14ac:dyDescent="0.35">
      <c r="A1125">
        <v>2037</v>
      </c>
      <c r="B1125" t="s">
        <v>11</v>
      </c>
      <c r="C1125" t="s">
        <v>10</v>
      </c>
      <c r="D1125" t="s">
        <v>18</v>
      </c>
      <c r="E1125" t="s">
        <v>483</v>
      </c>
      <c r="F1125" t="s">
        <v>86</v>
      </c>
      <c r="G1125" s="31">
        <v>5732.0456775822131</v>
      </c>
      <c r="H1125" s="31">
        <v>157.05645137680381</v>
      </c>
      <c r="I1125" s="31">
        <v>94.005183124447228</v>
      </c>
      <c r="J1125" s="32">
        <f t="shared" si="91"/>
        <v>63.051268252356579</v>
      </c>
      <c r="K1125" s="31">
        <v>9396.3530112602184</v>
      </c>
      <c r="L1125" s="31">
        <v>5638.0404944577658</v>
      </c>
      <c r="M1125" s="32">
        <f t="shared" si="92"/>
        <v>5574.9892262054091</v>
      </c>
      <c r="N1125" s="33">
        <f>Result_notebook!L1125</f>
        <v>1</v>
      </c>
      <c r="O1125" s="31">
        <f t="shared" si="93"/>
        <v>0</v>
      </c>
      <c r="P1125" s="31">
        <f t="shared" si="94"/>
        <v>0</v>
      </c>
      <c r="Q1125">
        <f t="shared" si="95"/>
        <v>63.051268252356579</v>
      </c>
    </row>
    <row r="1126" spans="1:17" x14ac:dyDescent="0.35">
      <c r="A1126">
        <v>2037</v>
      </c>
      <c r="B1126" t="s">
        <v>11</v>
      </c>
      <c r="C1126" t="s">
        <v>10</v>
      </c>
      <c r="D1126" t="s">
        <v>18</v>
      </c>
      <c r="E1126" t="s">
        <v>490</v>
      </c>
      <c r="F1126" t="s">
        <v>82</v>
      </c>
      <c r="G1126" s="31">
        <v>5732.0456775822131</v>
      </c>
      <c r="H1126" s="31">
        <v>157.05645137680381</v>
      </c>
      <c r="I1126" s="31">
        <v>94.005183124447228</v>
      </c>
      <c r="J1126" s="32">
        <f t="shared" si="91"/>
        <v>63.051268252356579</v>
      </c>
      <c r="K1126" s="31">
        <v>9396.3530112602184</v>
      </c>
      <c r="L1126" s="31">
        <v>5638.0404944577658</v>
      </c>
      <c r="M1126" s="32">
        <f t="shared" si="92"/>
        <v>5574.9892262054091</v>
      </c>
      <c r="N1126" s="33">
        <f>Result_notebook!L1126</f>
        <v>1</v>
      </c>
      <c r="O1126" s="31">
        <f t="shared" si="93"/>
        <v>0</v>
      </c>
      <c r="P1126" s="31">
        <f t="shared" si="94"/>
        <v>0</v>
      </c>
      <c r="Q1126">
        <f t="shared" si="95"/>
        <v>63.051268252356579</v>
      </c>
    </row>
    <row r="1127" spans="1:17" x14ac:dyDescent="0.35">
      <c r="A1127">
        <v>2037</v>
      </c>
      <c r="B1127" t="s">
        <v>8</v>
      </c>
      <c r="C1127" t="s">
        <v>4</v>
      </c>
      <c r="D1127" t="s">
        <v>16</v>
      </c>
      <c r="E1127" t="s">
        <v>483</v>
      </c>
      <c r="F1127" t="s">
        <v>80</v>
      </c>
      <c r="G1127" s="31">
        <v>177436.22424093171</v>
      </c>
      <c r="H1127" s="31">
        <v>0</v>
      </c>
      <c r="I1127" s="31">
        <v>0</v>
      </c>
      <c r="J1127" s="32">
        <f t="shared" si="91"/>
        <v>0</v>
      </c>
      <c r="K1127" s="31">
        <v>224602.81549485019</v>
      </c>
      <c r="L1127" s="31">
        <v>177436.22424093171</v>
      </c>
      <c r="M1127" s="32">
        <f t="shared" si="92"/>
        <v>177436.22424093171</v>
      </c>
      <c r="N1127" s="33">
        <f>Result_notebook!L1127</f>
        <v>0.69917047091553897</v>
      </c>
      <c r="O1127" s="31">
        <f t="shared" si="93"/>
        <v>0</v>
      </c>
      <c r="P1127" s="31">
        <f t="shared" si="94"/>
        <v>0</v>
      </c>
      <c r="Q1127">
        <f t="shared" si="95"/>
        <v>0</v>
      </c>
    </row>
    <row r="1128" spans="1:17" x14ac:dyDescent="0.35">
      <c r="A1128">
        <v>2037</v>
      </c>
      <c r="B1128" t="s">
        <v>8</v>
      </c>
      <c r="C1128" t="s">
        <v>4</v>
      </c>
      <c r="D1128" t="s">
        <v>16</v>
      </c>
      <c r="E1128" t="s">
        <v>483</v>
      </c>
      <c r="F1128" t="s">
        <v>81</v>
      </c>
      <c r="G1128" s="31">
        <v>177436.22424093171</v>
      </c>
      <c r="H1128" s="31">
        <v>82660</v>
      </c>
      <c r="I1128" s="31">
        <v>46362.344345082623</v>
      </c>
      <c r="J1128" s="32">
        <f t="shared" si="91"/>
        <v>11431.086780795828</v>
      </c>
      <c r="K1128" s="31">
        <v>141942.81549485019</v>
      </c>
      <c r="L1128" s="31">
        <v>131073.8798958491</v>
      </c>
      <c r="M1128" s="32">
        <f t="shared" si="92"/>
        <v>119642.79311505327</v>
      </c>
      <c r="N1128" s="33">
        <f>Result_notebook!L1128</f>
        <v>0.69917047091553897</v>
      </c>
      <c r="O1128" s="31">
        <f t="shared" si="93"/>
        <v>0</v>
      </c>
      <c r="P1128" s="31">
        <f t="shared" si="94"/>
        <v>0</v>
      </c>
      <c r="Q1128">
        <f t="shared" si="95"/>
        <v>11431.086780795828</v>
      </c>
    </row>
    <row r="1129" spans="1:17" x14ac:dyDescent="0.35">
      <c r="A1129">
        <v>2037</v>
      </c>
      <c r="B1129" t="s">
        <v>8</v>
      </c>
      <c r="C1129" t="s">
        <v>4</v>
      </c>
      <c r="D1129" t="s">
        <v>18</v>
      </c>
      <c r="E1129" t="s">
        <v>483</v>
      </c>
      <c r="F1129" t="s">
        <v>85</v>
      </c>
      <c r="G1129" s="31">
        <v>177436.22424093171</v>
      </c>
      <c r="H1129" s="31">
        <v>246851.46808035299</v>
      </c>
      <c r="I1129" s="31">
        <v>138454.06200375629</v>
      </c>
      <c r="J1129" s="32">
        <f t="shared" si="91"/>
        <v>34137.195180176233</v>
      </c>
      <c r="K1129" s="31">
        <v>0</v>
      </c>
      <c r="L1129" s="31">
        <v>38982.162237175391</v>
      </c>
      <c r="M1129" s="32">
        <f t="shared" si="92"/>
        <v>4844.9670569991576</v>
      </c>
      <c r="N1129" s="33">
        <f>Result_notebook!L1129</f>
        <v>0.69917047091553897</v>
      </c>
      <c r="O1129" s="31">
        <f t="shared" si="93"/>
        <v>0</v>
      </c>
      <c r="P1129" s="31">
        <f t="shared" si="94"/>
        <v>0</v>
      </c>
      <c r="Q1129">
        <f t="shared" si="95"/>
        <v>34137.195180176233</v>
      </c>
    </row>
    <row r="1130" spans="1:17" x14ac:dyDescent="0.35">
      <c r="A1130">
        <v>2037</v>
      </c>
      <c r="B1130" t="s">
        <v>8</v>
      </c>
      <c r="C1130" t="s">
        <v>4</v>
      </c>
      <c r="D1130" t="s">
        <v>18</v>
      </c>
      <c r="E1130" t="s">
        <v>483</v>
      </c>
      <c r="F1130" t="s">
        <v>86</v>
      </c>
      <c r="G1130" s="31">
        <v>177436.22424093171</v>
      </c>
      <c r="H1130" s="31">
        <v>246851.46808035299</v>
      </c>
      <c r="I1130" s="31">
        <v>138454.06200375629</v>
      </c>
      <c r="J1130" s="32">
        <f t="shared" si="91"/>
        <v>34137.195180176233</v>
      </c>
      <c r="K1130" s="31">
        <v>0</v>
      </c>
      <c r="L1130" s="31">
        <v>38982.162237175391</v>
      </c>
      <c r="M1130" s="32">
        <f t="shared" si="92"/>
        <v>4844.9670569991576</v>
      </c>
      <c r="N1130" s="33">
        <f>Result_notebook!L1130</f>
        <v>0.69917047091553897</v>
      </c>
      <c r="O1130" s="31">
        <f t="shared" si="93"/>
        <v>0</v>
      </c>
      <c r="P1130" s="31">
        <f t="shared" si="94"/>
        <v>0</v>
      </c>
      <c r="Q1130">
        <f t="shared" si="95"/>
        <v>34137.195180176233</v>
      </c>
    </row>
    <row r="1131" spans="1:17" x14ac:dyDescent="0.35">
      <c r="A1131">
        <v>2037</v>
      </c>
      <c r="B1131" t="s">
        <v>8</v>
      </c>
      <c r="C1131" t="s">
        <v>4</v>
      </c>
      <c r="D1131" t="s">
        <v>18</v>
      </c>
      <c r="E1131" t="s">
        <v>490</v>
      </c>
      <c r="F1131" t="s">
        <v>82</v>
      </c>
      <c r="G1131" s="31">
        <v>177436.22424093171</v>
      </c>
      <c r="H1131" s="31">
        <v>246851.46808035299</v>
      </c>
      <c r="I1131" s="31">
        <v>194409.10716824781</v>
      </c>
      <c r="J1131" s="32">
        <f t="shared" si="91"/>
        <v>-21817.849984315282</v>
      </c>
      <c r="K1131" s="31">
        <v>0</v>
      </c>
      <c r="L1131" s="31">
        <v>0</v>
      </c>
      <c r="M1131" s="32">
        <f t="shared" si="92"/>
        <v>21817.849984315282</v>
      </c>
      <c r="N1131" s="33">
        <f>Result_notebook!L1131</f>
        <v>0.69917047091553897</v>
      </c>
      <c r="O1131" s="31">
        <f t="shared" si="93"/>
        <v>-16972.882927316095</v>
      </c>
      <c r="P1131" s="31">
        <f t="shared" si="94"/>
        <v>16972.882927316095</v>
      </c>
      <c r="Q1131">
        <f t="shared" si="95"/>
        <v>-21817.849984315282</v>
      </c>
    </row>
    <row r="1132" spans="1:17" x14ac:dyDescent="0.35">
      <c r="A1132">
        <v>2037</v>
      </c>
      <c r="B1132" t="s">
        <v>8</v>
      </c>
      <c r="C1132" t="s">
        <v>9</v>
      </c>
      <c r="D1132" t="s">
        <v>16</v>
      </c>
      <c r="E1132" t="s">
        <v>483</v>
      </c>
      <c r="F1132" t="s">
        <v>80</v>
      </c>
      <c r="G1132" s="31">
        <v>69481.842507553956</v>
      </c>
      <c r="H1132" s="31">
        <v>0</v>
      </c>
      <c r="I1132" s="31">
        <v>0</v>
      </c>
      <c r="J1132" s="32">
        <f t="shared" si="91"/>
        <v>0</v>
      </c>
      <c r="K1132" s="31">
        <v>87951.699376650577</v>
      </c>
      <c r="L1132" s="31">
        <v>69481.842507553956</v>
      </c>
      <c r="M1132" s="32">
        <f t="shared" si="92"/>
        <v>69481.842507553956</v>
      </c>
      <c r="N1132" s="33">
        <f>Result_notebook!L1132</f>
        <v>0.69917047091553897</v>
      </c>
      <c r="O1132" s="31">
        <f t="shared" si="93"/>
        <v>0</v>
      </c>
      <c r="P1132" s="31">
        <f t="shared" si="94"/>
        <v>0</v>
      </c>
      <c r="Q1132">
        <f t="shared" si="95"/>
        <v>0</v>
      </c>
    </row>
    <row r="1133" spans="1:17" x14ac:dyDescent="0.35">
      <c r="A1133">
        <v>2037</v>
      </c>
      <c r="B1133" t="s">
        <v>8</v>
      </c>
      <c r="C1133" t="s">
        <v>9</v>
      </c>
      <c r="D1133" t="s">
        <v>16</v>
      </c>
      <c r="E1133" t="s">
        <v>483</v>
      </c>
      <c r="F1133" t="s">
        <v>81</v>
      </c>
      <c r="G1133" s="31">
        <v>69481.842507553956</v>
      </c>
      <c r="H1133" s="31">
        <v>82660</v>
      </c>
      <c r="I1133" s="31">
        <v>46362.344345082623</v>
      </c>
      <c r="J1133" s="32">
        <f t="shared" si="91"/>
        <v>11431.086780795828</v>
      </c>
      <c r="K1133" s="31">
        <v>5291.6993766505766</v>
      </c>
      <c r="L1133" s="31">
        <v>23119.498162471329</v>
      </c>
      <c r="M1133" s="32">
        <f t="shared" si="92"/>
        <v>11688.411381675502</v>
      </c>
      <c r="N1133" s="33">
        <f>Result_notebook!L1133</f>
        <v>0.69917047091553897</v>
      </c>
      <c r="O1133" s="31">
        <f t="shared" si="93"/>
        <v>0</v>
      </c>
      <c r="P1133" s="31">
        <f t="shared" si="94"/>
        <v>0</v>
      </c>
      <c r="Q1133">
        <f t="shared" si="95"/>
        <v>11431.086780795828</v>
      </c>
    </row>
    <row r="1134" spans="1:17" x14ac:dyDescent="0.35">
      <c r="A1134">
        <v>2037</v>
      </c>
      <c r="B1134" t="s">
        <v>8</v>
      </c>
      <c r="C1134" t="s">
        <v>9</v>
      </c>
      <c r="D1134" t="s">
        <v>18</v>
      </c>
      <c r="E1134" t="s">
        <v>483</v>
      </c>
      <c r="F1134" t="s">
        <v>85</v>
      </c>
      <c r="G1134" s="31">
        <v>69481.842507553956</v>
      </c>
      <c r="H1134" s="31">
        <v>246851.46808035299</v>
      </c>
      <c r="I1134" s="31">
        <v>138454.06200375629</v>
      </c>
      <c r="J1134" s="32">
        <f t="shared" si="91"/>
        <v>34137.195180176233</v>
      </c>
      <c r="K1134" s="31">
        <v>0</v>
      </c>
      <c r="L1134" s="31">
        <v>0</v>
      </c>
      <c r="M1134" s="32">
        <f t="shared" si="92"/>
        <v>0</v>
      </c>
      <c r="N1134" s="33">
        <f>Result_notebook!L1134</f>
        <v>0.69917047091553897</v>
      </c>
      <c r="O1134" s="31">
        <f t="shared" si="93"/>
        <v>-103109.41467637857</v>
      </c>
      <c r="P1134" s="31">
        <f t="shared" si="94"/>
        <v>68972.219496202335</v>
      </c>
      <c r="Q1134">
        <f t="shared" si="95"/>
        <v>34137.195180176233</v>
      </c>
    </row>
    <row r="1135" spans="1:17" x14ac:dyDescent="0.35">
      <c r="A1135">
        <v>2037</v>
      </c>
      <c r="B1135" t="s">
        <v>8</v>
      </c>
      <c r="C1135" t="s">
        <v>9</v>
      </c>
      <c r="D1135" t="s">
        <v>18</v>
      </c>
      <c r="E1135" t="s">
        <v>483</v>
      </c>
      <c r="F1135" t="s">
        <v>86</v>
      </c>
      <c r="G1135" s="31">
        <v>69481.842507553956</v>
      </c>
      <c r="H1135" s="31">
        <v>246851.46808035299</v>
      </c>
      <c r="I1135" s="31">
        <v>138454.06200375629</v>
      </c>
      <c r="J1135" s="32">
        <f t="shared" si="91"/>
        <v>34137.195180176233</v>
      </c>
      <c r="K1135" s="31">
        <v>0</v>
      </c>
      <c r="L1135" s="31">
        <v>0</v>
      </c>
      <c r="M1135" s="32">
        <f t="shared" si="92"/>
        <v>0</v>
      </c>
      <c r="N1135" s="33">
        <f>Result_notebook!L1135</f>
        <v>0.69917047091553897</v>
      </c>
      <c r="O1135" s="31">
        <f t="shared" si="93"/>
        <v>-103109.41467637857</v>
      </c>
      <c r="P1135" s="31">
        <f t="shared" si="94"/>
        <v>68972.219496202335</v>
      </c>
      <c r="Q1135">
        <f t="shared" si="95"/>
        <v>34137.195180176233</v>
      </c>
    </row>
    <row r="1136" spans="1:17" x14ac:dyDescent="0.35">
      <c r="A1136">
        <v>2037</v>
      </c>
      <c r="B1136" t="s">
        <v>8</v>
      </c>
      <c r="C1136" t="s">
        <v>9</v>
      </c>
      <c r="D1136" t="s">
        <v>18</v>
      </c>
      <c r="E1136" t="s">
        <v>490</v>
      </c>
      <c r="F1136" t="s">
        <v>82</v>
      </c>
      <c r="G1136" s="31">
        <v>69481.842507553956</v>
      </c>
      <c r="H1136" s="31">
        <v>246851.46808035299</v>
      </c>
      <c r="I1136" s="31">
        <v>194409.10716824781</v>
      </c>
      <c r="J1136" s="32">
        <f t="shared" si="91"/>
        <v>-21817.849984315282</v>
      </c>
      <c r="K1136" s="31">
        <v>0</v>
      </c>
      <c r="L1136" s="31">
        <v>0</v>
      </c>
      <c r="M1136" s="32">
        <f t="shared" si="92"/>
        <v>21817.849984315282</v>
      </c>
      <c r="N1136" s="33">
        <f>Result_notebook!L1136</f>
        <v>0.69917047091553897</v>
      </c>
      <c r="O1136" s="31">
        <f t="shared" si="93"/>
        <v>-124927.26466069385</v>
      </c>
      <c r="P1136" s="31">
        <f t="shared" si="94"/>
        <v>124927.26466069385</v>
      </c>
      <c r="Q1136">
        <f t="shared" si="95"/>
        <v>-21817.849984315282</v>
      </c>
    </row>
    <row r="1137" spans="1:17" x14ac:dyDescent="0.35">
      <c r="A1137">
        <v>2037</v>
      </c>
      <c r="B1137" t="s">
        <v>8</v>
      </c>
      <c r="C1137" t="s">
        <v>10</v>
      </c>
      <c r="D1137" t="s">
        <v>16</v>
      </c>
      <c r="E1137" t="s">
        <v>483</v>
      </c>
      <c r="F1137" t="s">
        <v>80</v>
      </c>
      <c r="G1137" s="31">
        <v>170535.0212582692</v>
      </c>
      <c r="H1137" s="31">
        <v>0</v>
      </c>
      <c r="I1137" s="31">
        <v>0</v>
      </c>
      <c r="J1137" s="32">
        <f t="shared" si="91"/>
        <v>0</v>
      </c>
      <c r="K1137" s="31">
        <v>215867.11551679639</v>
      </c>
      <c r="L1137" s="31">
        <v>170535.0212582692</v>
      </c>
      <c r="M1137" s="32">
        <f t="shared" si="92"/>
        <v>170535.0212582692</v>
      </c>
      <c r="N1137" s="33">
        <f>Result_notebook!L1137</f>
        <v>0.69917047091553897</v>
      </c>
      <c r="O1137" s="31">
        <f t="shared" si="93"/>
        <v>0</v>
      </c>
      <c r="P1137" s="31">
        <f t="shared" si="94"/>
        <v>0</v>
      </c>
      <c r="Q1137">
        <f t="shared" si="95"/>
        <v>0</v>
      </c>
    </row>
    <row r="1138" spans="1:17" x14ac:dyDescent="0.35">
      <c r="A1138">
        <v>2037</v>
      </c>
      <c r="B1138" t="s">
        <v>8</v>
      </c>
      <c r="C1138" t="s">
        <v>10</v>
      </c>
      <c r="D1138" t="s">
        <v>16</v>
      </c>
      <c r="E1138" t="s">
        <v>483</v>
      </c>
      <c r="F1138" t="s">
        <v>81</v>
      </c>
      <c r="G1138" s="31">
        <v>170535.0212582692</v>
      </c>
      <c r="H1138" s="31">
        <v>82660</v>
      </c>
      <c r="I1138" s="31">
        <v>46362.344345082623</v>
      </c>
      <c r="J1138" s="32">
        <f t="shared" si="91"/>
        <v>11431.086780795828</v>
      </c>
      <c r="K1138" s="31">
        <v>133207.11551679639</v>
      </c>
      <c r="L1138" s="31">
        <v>124172.6769131866</v>
      </c>
      <c r="M1138" s="32">
        <f t="shared" si="92"/>
        <v>112741.59013239077</v>
      </c>
      <c r="N1138" s="33">
        <f>Result_notebook!L1138</f>
        <v>0.69917047091553897</v>
      </c>
      <c r="O1138" s="31">
        <f t="shared" si="93"/>
        <v>0</v>
      </c>
      <c r="P1138" s="31">
        <f t="shared" si="94"/>
        <v>0</v>
      </c>
      <c r="Q1138">
        <f t="shared" si="95"/>
        <v>11431.086780795828</v>
      </c>
    </row>
    <row r="1139" spans="1:17" x14ac:dyDescent="0.35">
      <c r="A1139">
        <v>2037</v>
      </c>
      <c r="B1139" t="s">
        <v>8</v>
      </c>
      <c r="C1139" t="s">
        <v>10</v>
      </c>
      <c r="D1139" t="s">
        <v>18</v>
      </c>
      <c r="E1139" t="s">
        <v>483</v>
      </c>
      <c r="F1139" t="s">
        <v>85</v>
      </c>
      <c r="G1139" s="31">
        <v>170535.0212582692</v>
      </c>
      <c r="H1139" s="31">
        <v>246851.46808035299</v>
      </c>
      <c r="I1139" s="31">
        <v>138454.06200375629</v>
      </c>
      <c r="J1139" s="32">
        <f t="shared" si="91"/>
        <v>34137.195180176233</v>
      </c>
      <c r="K1139" s="31">
        <v>0</v>
      </c>
      <c r="L1139" s="31">
        <v>32080.95925451288</v>
      </c>
      <c r="M1139" s="32">
        <f t="shared" si="92"/>
        <v>0</v>
      </c>
      <c r="N1139" s="33">
        <f>Result_notebook!L1139</f>
        <v>0.69917047091553897</v>
      </c>
      <c r="O1139" s="31">
        <f t="shared" si="93"/>
        <v>-2056.2359256633208</v>
      </c>
      <c r="P1139" s="31">
        <f t="shared" si="94"/>
        <v>0</v>
      </c>
      <c r="Q1139">
        <f t="shared" si="95"/>
        <v>34137.195180176233</v>
      </c>
    </row>
    <row r="1140" spans="1:17" x14ac:dyDescent="0.35">
      <c r="A1140">
        <v>2037</v>
      </c>
      <c r="B1140" t="s">
        <v>8</v>
      </c>
      <c r="C1140" t="s">
        <v>10</v>
      </c>
      <c r="D1140" t="s">
        <v>18</v>
      </c>
      <c r="E1140" t="s">
        <v>483</v>
      </c>
      <c r="F1140" t="s">
        <v>86</v>
      </c>
      <c r="G1140" s="31">
        <v>170535.0212582692</v>
      </c>
      <c r="H1140" s="31">
        <v>246851.46808035299</v>
      </c>
      <c r="I1140" s="31">
        <v>138454.06200375629</v>
      </c>
      <c r="J1140" s="32">
        <f t="shared" si="91"/>
        <v>34137.195180176233</v>
      </c>
      <c r="K1140" s="31">
        <v>0</v>
      </c>
      <c r="L1140" s="31">
        <v>32080.95925451288</v>
      </c>
      <c r="M1140" s="32">
        <f t="shared" si="92"/>
        <v>0</v>
      </c>
      <c r="N1140" s="33">
        <f>Result_notebook!L1140</f>
        <v>0.69917047091553897</v>
      </c>
      <c r="O1140" s="31">
        <f t="shared" si="93"/>
        <v>-2056.2359256633208</v>
      </c>
      <c r="P1140" s="31">
        <f t="shared" si="94"/>
        <v>0</v>
      </c>
      <c r="Q1140">
        <f t="shared" si="95"/>
        <v>34137.195180176233</v>
      </c>
    </row>
    <row r="1141" spans="1:17" x14ac:dyDescent="0.35">
      <c r="A1141">
        <v>2037</v>
      </c>
      <c r="B1141" t="s">
        <v>8</v>
      </c>
      <c r="C1141" t="s">
        <v>10</v>
      </c>
      <c r="D1141" t="s">
        <v>18</v>
      </c>
      <c r="E1141" t="s">
        <v>490</v>
      </c>
      <c r="F1141" t="s">
        <v>82</v>
      </c>
      <c r="G1141" s="31">
        <v>170535.0212582692</v>
      </c>
      <c r="H1141" s="31">
        <v>246851.46808035299</v>
      </c>
      <c r="I1141" s="31">
        <v>194409.10716824781</v>
      </c>
      <c r="J1141" s="32">
        <f t="shared" si="91"/>
        <v>-21817.849984315282</v>
      </c>
      <c r="K1141" s="31">
        <v>0</v>
      </c>
      <c r="L1141" s="31">
        <v>0</v>
      </c>
      <c r="M1141" s="32">
        <f t="shared" si="92"/>
        <v>21817.849984315282</v>
      </c>
      <c r="N1141" s="33">
        <f>Result_notebook!L1141</f>
        <v>0.69917047091553897</v>
      </c>
      <c r="O1141" s="31">
        <f t="shared" si="93"/>
        <v>-23874.085909978603</v>
      </c>
      <c r="P1141" s="31">
        <f t="shared" si="94"/>
        <v>23874.085909978603</v>
      </c>
      <c r="Q1141">
        <f t="shared" si="95"/>
        <v>-21817.849984315282</v>
      </c>
    </row>
    <row r="1142" spans="1:17" x14ac:dyDescent="0.35">
      <c r="A1142">
        <v>2037</v>
      </c>
      <c r="B1142" t="s">
        <v>13</v>
      </c>
      <c r="C1142" t="s">
        <v>4</v>
      </c>
      <c r="D1142" t="s">
        <v>16</v>
      </c>
      <c r="E1142" t="s">
        <v>483</v>
      </c>
      <c r="F1142" t="s">
        <v>80</v>
      </c>
      <c r="G1142" s="31">
        <v>3230.4798003226651</v>
      </c>
      <c r="H1142" s="31">
        <v>0</v>
      </c>
      <c r="I1142" s="31">
        <v>0</v>
      </c>
      <c r="J1142" s="32">
        <f t="shared" si="91"/>
        <v>0</v>
      </c>
      <c r="K1142" s="31">
        <v>3230.4798003226651</v>
      </c>
      <c r="L1142" s="31">
        <v>3230.4798003226651</v>
      </c>
      <c r="M1142" s="32">
        <f t="shared" si="92"/>
        <v>3230.4798003226651</v>
      </c>
      <c r="N1142" s="33">
        <f>Result_notebook!L1142</f>
        <v>0.59854391398996798</v>
      </c>
      <c r="O1142" s="31">
        <f t="shared" si="93"/>
        <v>0</v>
      </c>
      <c r="P1142" s="31">
        <f t="shared" si="94"/>
        <v>0</v>
      </c>
      <c r="Q1142">
        <f t="shared" si="95"/>
        <v>0</v>
      </c>
    </row>
    <row r="1143" spans="1:17" x14ac:dyDescent="0.35">
      <c r="A1143">
        <v>2037</v>
      </c>
      <c r="B1143" t="s">
        <v>13</v>
      </c>
      <c r="C1143" t="s">
        <v>4</v>
      </c>
      <c r="D1143" t="s">
        <v>16</v>
      </c>
      <c r="E1143" t="s">
        <v>483</v>
      </c>
      <c r="F1143" t="s">
        <v>81</v>
      </c>
      <c r="G1143" s="31">
        <v>3230.4798003226651</v>
      </c>
      <c r="H1143" s="31">
        <v>0</v>
      </c>
      <c r="I1143" s="31">
        <v>0</v>
      </c>
      <c r="J1143" s="32">
        <f t="shared" si="91"/>
        <v>0</v>
      </c>
      <c r="K1143" s="31">
        <v>3230.4798003226651</v>
      </c>
      <c r="L1143" s="31">
        <v>3230.4798003226651</v>
      </c>
      <c r="M1143" s="32">
        <f t="shared" si="92"/>
        <v>3230.4798003226651</v>
      </c>
      <c r="N1143" s="33">
        <f>Result_notebook!L1143</f>
        <v>0.59854391398996798</v>
      </c>
      <c r="O1143" s="31">
        <f t="shared" si="93"/>
        <v>0</v>
      </c>
      <c r="P1143" s="31">
        <f t="shared" si="94"/>
        <v>0</v>
      </c>
      <c r="Q1143">
        <f t="shared" si="95"/>
        <v>0</v>
      </c>
    </row>
    <row r="1144" spans="1:17" x14ac:dyDescent="0.35">
      <c r="A1144">
        <v>2037</v>
      </c>
      <c r="B1144" t="s">
        <v>13</v>
      </c>
      <c r="C1144" t="s">
        <v>4</v>
      </c>
      <c r="D1144" t="s">
        <v>18</v>
      </c>
      <c r="E1144" t="s">
        <v>483</v>
      </c>
      <c r="F1144" t="s">
        <v>85</v>
      </c>
      <c r="G1144" s="31">
        <v>3230.4798003226651</v>
      </c>
      <c r="H1144" s="31">
        <v>227739.74804021401</v>
      </c>
      <c r="I1144" s="31">
        <v>75154.116853270636</v>
      </c>
      <c r="J1144" s="32">
        <f t="shared" si="91"/>
        <v>61158.123309808187</v>
      </c>
      <c r="K1144" s="31">
        <v>0</v>
      </c>
      <c r="L1144" s="31">
        <v>0</v>
      </c>
      <c r="M1144" s="32">
        <f t="shared" si="92"/>
        <v>0</v>
      </c>
      <c r="N1144" s="33">
        <f>Result_notebook!L1144</f>
        <v>0.59854391398996798</v>
      </c>
      <c r="O1144" s="31">
        <f t="shared" si="93"/>
        <v>-133081.76036275615</v>
      </c>
      <c r="P1144" s="31">
        <f t="shared" si="94"/>
        <v>71923.637052947975</v>
      </c>
      <c r="Q1144">
        <f t="shared" si="95"/>
        <v>61158.123309808187</v>
      </c>
    </row>
    <row r="1145" spans="1:17" x14ac:dyDescent="0.35">
      <c r="A1145">
        <v>2037</v>
      </c>
      <c r="B1145" t="s">
        <v>13</v>
      </c>
      <c r="C1145" t="s">
        <v>4</v>
      </c>
      <c r="D1145" t="s">
        <v>18</v>
      </c>
      <c r="E1145" t="s">
        <v>483</v>
      </c>
      <c r="F1145" t="s">
        <v>86</v>
      </c>
      <c r="G1145" s="31">
        <v>3230.4798003226651</v>
      </c>
      <c r="H1145" s="31">
        <v>227739.74804021401</v>
      </c>
      <c r="I1145" s="31">
        <v>75154.116853270636</v>
      </c>
      <c r="J1145" s="32">
        <f t="shared" si="91"/>
        <v>61158.123309808187</v>
      </c>
      <c r="K1145" s="31">
        <v>0</v>
      </c>
      <c r="L1145" s="31">
        <v>0</v>
      </c>
      <c r="M1145" s="32">
        <f t="shared" si="92"/>
        <v>0</v>
      </c>
      <c r="N1145" s="33">
        <f>Result_notebook!L1145</f>
        <v>0.59854391398996798</v>
      </c>
      <c r="O1145" s="31">
        <f t="shared" si="93"/>
        <v>-133081.76036275615</v>
      </c>
      <c r="P1145" s="31">
        <f t="shared" si="94"/>
        <v>71923.637052947975</v>
      </c>
      <c r="Q1145">
        <f t="shared" si="95"/>
        <v>61158.123309808187</v>
      </c>
    </row>
    <row r="1146" spans="1:17" x14ac:dyDescent="0.35">
      <c r="A1146">
        <v>2037</v>
      </c>
      <c r="B1146" t="s">
        <v>13</v>
      </c>
      <c r="C1146" t="s">
        <v>4</v>
      </c>
      <c r="D1146" t="s">
        <v>18</v>
      </c>
      <c r="E1146" t="s">
        <v>490</v>
      </c>
      <c r="F1146" t="s">
        <v>82</v>
      </c>
      <c r="G1146" s="31">
        <v>3230.4798003226651</v>
      </c>
      <c r="H1146" s="31">
        <v>227739.74804021401</v>
      </c>
      <c r="I1146" s="31">
        <v>75154.116853270636</v>
      </c>
      <c r="J1146" s="32">
        <f t="shared" si="91"/>
        <v>61158.123309808187</v>
      </c>
      <c r="K1146" s="31">
        <v>0</v>
      </c>
      <c r="L1146" s="31">
        <v>0</v>
      </c>
      <c r="M1146" s="32">
        <f t="shared" si="92"/>
        <v>0</v>
      </c>
      <c r="N1146" s="33">
        <f>Result_notebook!L1146</f>
        <v>0.59854391398996798</v>
      </c>
      <c r="O1146" s="31">
        <f t="shared" si="93"/>
        <v>-133081.76036275615</v>
      </c>
      <c r="P1146" s="31">
        <f t="shared" si="94"/>
        <v>71923.637052947975</v>
      </c>
      <c r="Q1146">
        <f t="shared" si="95"/>
        <v>61158.123309808187</v>
      </c>
    </row>
    <row r="1147" spans="1:17" x14ac:dyDescent="0.35">
      <c r="A1147">
        <v>2037</v>
      </c>
      <c r="B1147" t="s">
        <v>13</v>
      </c>
      <c r="C1147" t="s">
        <v>9</v>
      </c>
      <c r="D1147" t="s">
        <v>16</v>
      </c>
      <c r="E1147" t="s">
        <v>483</v>
      </c>
      <c r="F1147" t="s">
        <v>80</v>
      </c>
      <c r="G1147" s="31">
        <v>1189.986753633372</v>
      </c>
      <c r="H1147" s="31">
        <v>0</v>
      </c>
      <c r="I1147" s="31">
        <v>0</v>
      </c>
      <c r="J1147" s="32">
        <f t="shared" si="91"/>
        <v>0</v>
      </c>
      <c r="K1147" s="31">
        <v>1189.986753633372</v>
      </c>
      <c r="L1147" s="31">
        <v>1189.986753633372</v>
      </c>
      <c r="M1147" s="32">
        <f t="shared" si="92"/>
        <v>1189.986753633372</v>
      </c>
      <c r="N1147" s="33">
        <f>Result_notebook!L1147</f>
        <v>0.59854391398996798</v>
      </c>
      <c r="O1147" s="31">
        <f t="shared" si="93"/>
        <v>0</v>
      </c>
      <c r="P1147" s="31">
        <f t="shared" si="94"/>
        <v>0</v>
      </c>
      <c r="Q1147">
        <f t="shared" si="95"/>
        <v>0</v>
      </c>
    </row>
    <row r="1148" spans="1:17" x14ac:dyDescent="0.35">
      <c r="A1148">
        <v>2037</v>
      </c>
      <c r="B1148" t="s">
        <v>13</v>
      </c>
      <c r="C1148" t="s">
        <v>9</v>
      </c>
      <c r="D1148" t="s">
        <v>16</v>
      </c>
      <c r="E1148" t="s">
        <v>483</v>
      </c>
      <c r="F1148" t="s">
        <v>81</v>
      </c>
      <c r="G1148" s="31">
        <v>1189.986753633372</v>
      </c>
      <c r="H1148" s="31">
        <v>0</v>
      </c>
      <c r="I1148" s="31">
        <v>0</v>
      </c>
      <c r="J1148" s="32">
        <f t="shared" si="91"/>
        <v>0</v>
      </c>
      <c r="K1148" s="31">
        <v>1189.986753633372</v>
      </c>
      <c r="L1148" s="31">
        <v>1189.986753633372</v>
      </c>
      <c r="M1148" s="32">
        <f t="shared" si="92"/>
        <v>1189.986753633372</v>
      </c>
      <c r="N1148" s="33">
        <f>Result_notebook!L1148</f>
        <v>0.59854391398996798</v>
      </c>
      <c r="O1148" s="31">
        <f t="shared" si="93"/>
        <v>0</v>
      </c>
      <c r="P1148" s="31">
        <f t="shared" si="94"/>
        <v>0</v>
      </c>
      <c r="Q1148">
        <f t="shared" si="95"/>
        <v>0</v>
      </c>
    </row>
    <row r="1149" spans="1:17" x14ac:dyDescent="0.35">
      <c r="A1149">
        <v>2037</v>
      </c>
      <c r="B1149" t="s">
        <v>13</v>
      </c>
      <c r="C1149" t="s">
        <v>9</v>
      </c>
      <c r="D1149" t="s">
        <v>18</v>
      </c>
      <c r="E1149" t="s">
        <v>483</v>
      </c>
      <c r="F1149" t="s">
        <v>85</v>
      </c>
      <c r="G1149" s="31">
        <v>1189.986753633372</v>
      </c>
      <c r="H1149" s="31">
        <v>227739.74804021401</v>
      </c>
      <c r="I1149" s="31">
        <v>75154.116853270636</v>
      </c>
      <c r="J1149" s="32">
        <f t="shared" si="91"/>
        <v>61158.123309808187</v>
      </c>
      <c r="K1149" s="31">
        <v>0</v>
      </c>
      <c r="L1149" s="31">
        <v>0</v>
      </c>
      <c r="M1149" s="32">
        <f t="shared" si="92"/>
        <v>0</v>
      </c>
      <c r="N1149" s="33">
        <f>Result_notebook!L1149</f>
        <v>0.59854391398996798</v>
      </c>
      <c r="O1149" s="31">
        <f t="shared" si="93"/>
        <v>-135122.25340944546</v>
      </c>
      <c r="P1149" s="31">
        <f t="shared" si="94"/>
        <v>73964.130099637259</v>
      </c>
      <c r="Q1149">
        <f t="shared" si="95"/>
        <v>61158.123309808187</v>
      </c>
    </row>
    <row r="1150" spans="1:17" x14ac:dyDescent="0.35">
      <c r="A1150">
        <v>2037</v>
      </c>
      <c r="B1150" t="s">
        <v>13</v>
      </c>
      <c r="C1150" t="s">
        <v>9</v>
      </c>
      <c r="D1150" t="s">
        <v>18</v>
      </c>
      <c r="E1150" t="s">
        <v>483</v>
      </c>
      <c r="F1150" t="s">
        <v>86</v>
      </c>
      <c r="G1150" s="31">
        <v>1189.986753633372</v>
      </c>
      <c r="H1150" s="31">
        <v>227739.74804021401</v>
      </c>
      <c r="I1150" s="31">
        <v>75154.116853270636</v>
      </c>
      <c r="J1150" s="32">
        <f t="shared" si="91"/>
        <v>61158.123309808187</v>
      </c>
      <c r="K1150" s="31">
        <v>0</v>
      </c>
      <c r="L1150" s="31">
        <v>0</v>
      </c>
      <c r="M1150" s="32">
        <f t="shared" si="92"/>
        <v>0</v>
      </c>
      <c r="N1150" s="33">
        <f>Result_notebook!L1150</f>
        <v>0.59854391398996798</v>
      </c>
      <c r="O1150" s="31">
        <f t="shared" si="93"/>
        <v>-135122.25340944546</v>
      </c>
      <c r="P1150" s="31">
        <f t="shared" si="94"/>
        <v>73964.130099637259</v>
      </c>
      <c r="Q1150">
        <f t="shared" si="95"/>
        <v>61158.123309808187</v>
      </c>
    </row>
    <row r="1151" spans="1:17" x14ac:dyDescent="0.35">
      <c r="A1151">
        <v>2037</v>
      </c>
      <c r="B1151" t="s">
        <v>13</v>
      </c>
      <c r="C1151" t="s">
        <v>9</v>
      </c>
      <c r="D1151" t="s">
        <v>18</v>
      </c>
      <c r="E1151" t="s">
        <v>490</v>
      </c>
      <c r="F1151" t="s">
        <v>82</v>
      </c>
      <c r="G1151" s="31">
        <v>1189.986753633372</v>
      </c>
      <c r="H1151" s="31">
        <v>227739.74804021401</v>
      </c>
      <c r="I1151" s="31">
        <v>75154.116853270636</v>
      </c>
      <c r="J1151" s="32">
        <f t="shared" si="91"/>
        <v>61158.123309808187</v>
      </c>
      <c r="K1151" s="31">
        <v>0</v>
      </c>
      <c r="L1151" s="31">
        <v>0</v>
      </c>
      <c r="M1151" s="32">
        <f t="shared" si="92"/>
        <v>0</v>
      </c>
      <c r="N1151" s="33">
        <f>Result_notebook!L1151</f>
        <v>0.59854391398996798</v>
      </c>
      <c r="O1151" s="31">
        <f t="shared" si="93"/>
        <v>-135122.25340944546</v>
      </c>
      <c r="P1151" s="31">
        <f t="shared" si="94"/>
        <v>73964.130099637259</v>
      </c>
      <c r="Q1151">
        <f t="shared" si="95"/>
        <v>61158.123309808187</v>
      </c>
    </row>
    <row r="1152" spans="1:17" x14ac:dyDescent="0.35">
      <c r="A1152">
        <v>2037</v>
      </c>
      <c r="B1152" t="s">
        <v>13</v>
      </c>
      <c r="C1152" t="s">
        <v>10</v>
      </c>
      <c r="D1152" t="s">
        <v>16</v>
      </c>
      <c r="E1152" t="s">
        <v>483</v>
      </c>
      <c r="F1152" t="s">
        <v>80</v>
      </c>
      <c r="G1152" s="31">
        <v>3080.4826094202749</v>
      </c>
      <c r="H1152" s="31">
        <v>0</v>
      </c>
      <c r="I1152" s="31">
        <v>0</v>
      </c>
      <c r="J1152" s="32">
        <f t="shared" si="91"/>
        <v>0</v>
      </c>
      <c r="K1152" s="31">
        <v>3080.4826094202749</v>
      </c>
      <c r="L1152" s="31">
        <v>3080.4826094202749</v>
      </c>
      <c r="M1152" s="32">
        <f t="shared" si="92"/>
        <v>3080.4826094202749</v>
      </c>
      <c r="N1152" s="33">
        <f>Result_notebook!L1152</f>
        <v>0.59854391398996798</v>
      </c>
      <c r="O1152" s="31">
        <f t="shared" si="93"/>
        <v>0</v>
      </c>
      <c r="P1152" s="31">
        <f t="shared" si="94"/>
        <v>0</v>
      </c>
      <c r="Q1152">
        <f t="shared" si="95"/>
        <v>0</v>
      </c>
    </row>
    <row r="1153" spans="1:17" x14ac:dyDescent="0.35">
      <c r="A1153">
        <v>2037</v>
      </c>
      <c r="B1153" t="s">
        <v>13</v>
      </c>
      <c r="C1153" t="s">
        <v>10</v>
      </c>
      <c r="D1153" t="s">
        <v>16</v>
      </c>
      <c r="E1153" t="s">
        <v>483</v>
      </c>
      <c r="F1153" t="s">
        <v>81</v>
      </c>
      <c r="G1153" s="31">
        <v>3080.4826094202749</v>
      </c>
      <c r="H1153" s="31">
        <v>0</v>
      </c>
      <c r="I1153" s="31">
        <v>0</v>
      </c>
      <c r="J1153" s="32">
        <f t="shared" si="91"/>
        <v>0</v>
      </c>
      <c r="K1153" s="31">
        <v>3080.4826094202749</v>
      </c>
      <c r="L1153" s="31">
        <v>3080.4826094202749</v>
      </c>
      <c r="M1153" s="32">
        <f t="shared" si="92"/>
        <v>3080.4826094202749</v>
      </c>
      <c r="N1153" s="33">
        <f>Result_notebook!L1153</f>
        <v>0.59854391398996798</v>
      </c>
      <c r="O1153" s="31">
        <f t="shared" si="93"/>
        <v>0</v>
      </c>
      <c r="P1153" s="31">
        <f t="shared" si="94"/>
        <v>0</v>
      </c>
      <c r="Q1153">
        <f t="shared" si="95"/>
        <v>0</v>
      </c>
    </row>
    <row r="1154" spans="1:17" x14ac:dyDescent="0.35">
      <c r="A1154">
        <v>2037</v>
      </c>
      <c r="B1154" t="s">
        <v>13</v>
      </c>
      <c r="C1154" t="s">
        <v>10</v>
      </c>
      <c r="D1154" t="s">
        <v>18</v>
      </c>
      <c r="E1154" t="s">
        <v>483</v>
      </c>
      <c r="F1154" t="s">
        <v>85</v>
      </c>
      <c r="G1154" s="31">
        <v>3080.4826094202749</v>
      </c>
      <c r="H1154" s="31">
        <v>227739.74804021401</v>
      </c>
      <c r="I1154" s="31">
        <v>75154.116853270636</v>
      </c>
      <c r="J1154" s="32">
        <f t="shared" si="91"/>
        <v>61158.123309808187</v>
      </c>
      <c r="K1154" s="31">
        <v>0</v>
      </c>
      <c r="L1154" s="31">
        <v>0</v>
      </c>
      <c r="M1154" s="32">
        <f t="shared" si="92"/>
        <v>0</v>
      </c>
      <c r="N1154" s="33">
        <f>Result_notebook!L1154</f>
        <v>0.59854391398996798</v>
      </c>
      <c r="O1154" s="31">
        <f t="shared" si="93"/>
        <v>-133231.75755365854</v>
      </c>
      <c r="P1154" s="31">
        <f t="shared" si="94"/>
        <v>72073.634243850363</v>
      </c>
      <c r="Q1154">
        <f t="shared" si="95"/>
        <v>61158.123309808187</v>
      </c>
    </row>
    <row r="1155" spans="1:17" x14ac:dyDescent="0.35">
      <c r="A1155">
        <v>2037</v>
      </c>
      <c r="B1155" t="s">
        <v>13</v>
      </c>
      <c r="C1155" t="s">
        <v>10</v>
      </c>
      <c r="D1155" t="s">
        <v>18</v>
      </c>
      <c r="E1155" t="s">
        <v>483</v>
      </c>
      <c r="F1155" t="s">
        <v>86</v>
      </c>
      <c r="G1155" s="31">
        <v>3080.4826094202749</v>
      </c>
      <c r="H1155" s="31">
        <v>227739.74804021401</v>
      </c>
      <c r="I1155" s="31">
        <v>75154.116853270636</v>
      </c>
      <c r="J1155" s="32">
        <f t="shared" ref="J1155:J1218" si="96">H1155*N1155-I1155</f>
        <v>61158.123309808187</v>
      </c>
      <c r="K1155" s="31">
        <v>0</v>
      </c>
      <c r="L1155" s="31">
        <v>0</v>
      </c>
      <c r="M1155" s="32">
        <f t="shared" ref="M1155:M1218" si="97">MAX(L1155-J1155,0)</f>
        <v>0</v>
      </c>
      <c r="N1155" s="33">
        <f>Result_notebook!L1155</f>
        <v>0.59854391398996798</v>
      </c>
      <c r="O1155" s="31">
        <f t="shared" ref="O1155:O1218" si="98">G1155-(I1155+J1155+M1155)</f>
        <v>-133231.75755365854</v>
      </c>
      <c r="P1155" s="31">
        <f t="shared" ref="P1155:P1156" si="99">MAX(I1155-G1155,0)</f>
        <v>72073.634243850363</v>
      </c>
      <c r="Q1155">
        <f t="shared" ref="Q1155:Q1218" si="100">(H1155*N1155)-I1155</f>
        <v>61158.123309808187</v>
      </c>
    </row>
    <row r="1156" spans="1:17" x14ac:dyDescent="0.35">
      <c r="A1156">
        <v>2037</v>
      </c>
      <c r="B1156" t="s">
        <v>13</v>
      </c>
      <c r="C1156" t="s">
        <v>10</v>
      </c>
      <c r="D1156" t="s">
        <v>18</v>
      </c>
      <c r="E1156" t="s">
        <v>490</v>
      </c>
      <c r="F1156" t="s">
        <v>82</v>
      </c>
      <c r="G1156" s="31">
        <v>3080.4826094202749</v>
      </c>
      <c r="H1156" s="31">
        <v>227739.74804021401</v>
      </c>
      <c r="I1156" s="31">
        <v>75154.116853270636</v>
      </c>
      <c r="J1156" s="32">
        <f t="shared" si="96"/>
        <v>61158.123309808187</v>
      </c>
      <c r="K1156" s="31">
        <v>0</v>
      </c>
      <c r="L1156" s="31">
        <v>0</v>
      </c>
      <c r="M1156" s="32">
        <f t="shared" si="97"/>
        <v>0</v>
      </c>
      <c r="N1156" s="33">
        <f>Result_notebook!L1156</f>
        <v>0.59854391398996798</v>
      </c>
      <c r="O1156" s="31">
        <f t="shared" si="98"/>
        <v>-133231.75755365854</v>
      </c>
      <c r="P1156" s="31">
        <f t="shared" si="99"/>
        <v>72073.634243850363</v>
      </c>
      <c r="Q1156">
        <f t="shared" si="100"/>
        <v>61158.123309808187</v>
      </c>
    </row>
    <row r="1157" spans="1:17" x14ac:dyDescent="0.35">
      <c r="A1157">
        <v>2037</v>
      </c>
      <c r="B1157" t="s">
        <v>12</v>
      </c>
      <c r="C1157" t="s">
        <v>4</v>
      </c>
      <c r="D1157" t="s">
        <v>16</v>
      </c>
      <c r="E1157" t="s">
        <v>483</v>
      </c>
      <c r="F1157" t="s">
        <v>80</v>
      </c>
      <c r="G1157" s="31">
        <v>73716.882405397235</v>
      </c>
      <c r="H1157" s="31">
        <v>0</v>
      </c>
      <c r="I1157" s="31">
        <v>0</v>
      </c>
      <c r="J1157" s="32">
        <f t="shared" si="96"/>
        <v>0</v>
      </c>
      <c r="K1157" s="31">
        <v>105309.8320077103</v>
      </c>
      <c r="L1157" s="31">
        <v>73716.882405397235</v>
      </c>
      <c r="M1157" s="32">
        <f t="shared" si="97"/>
        <v>73716.882405397235</v>
      </c>
      <c r="N1157" s="33">
        <f>Result_notebook!L1157</f>
        <v>0.787554996857322</v>
      </c>
      <c r="O1157" s="31">
        <f t="shared" si="98"/>
        <v>0</v>
      </c>
      <c r="P1157" s="31">
        <f t="shared" ref="P1157:P1218" si="101">MAX(I1157-G1157,0)</f>
        <v>0</v>
      </c>
      <c r="Q1157">
        <f t="shared" si="100"/>
        <v>0</v>
      </c>
    </row>
    <row r="1158" spans="1:17" x14ac:dyDescent="0.35">
      <c r="A1158">
        <v>2037</v>
      </c>
      <c r="B1158" t="s">
        <v>12</v>
      </c>
      <c r="C1158" t="s">
        <v>4</v>
      </c>
      <c r="D1158" t="s">
        <v>16</v>
      </c>
      <c r="E1158" t="s">
        <v>483</v>
      </c>
      <c r="F1158" t="s">
        <v>81</v>
      </c>
      <c r="G1158" s="31">
        <v>73716.882405397235</v>
      </c>
      <c r="H1158" s="31">
        <v>39270</v>
      </c>
      <c r="I1158" s="31">
        <v>27456.42439285322</v>
      </c>
      <c r="J1158" s="32">
        <f t="shared" si="96"/>
        <v>3470.8603337338136</v>
      </c>
      <c r="K1158" s="31">
        <v>66039.832007710342</v>
      </c>
      <c r="L1158" s="31">
        <v>46260.458012544019</v>
      </c>
      <c r="M1158" s="32">
        <f t="shared" si="97"/>
        <v>42789.597678810205</v>
      </c>
      <c r="N1158" s="33">
        <f>Result_notebook!L1158</f>
        <v>0.787554996857322</v>
      </c>
      <c r="O1158" s="31">
        <f t="shared" si="98"/>
        <v>0</v>
      </c>
      <c r="P1158" s="31">
        <f t="shared" si="101"/>
        <v>0</v>
      </c>
      <c r="Q1158">
        <f t="shared" si="100"/>
        <v>3470.8603337338136</v>
      </c>
    </row>
    <row r="1159" spans="1:17" x14ac:dyDescent="0.35">
      <c r="A1159">
        <v>2037</v>
      </c>
      <c r="B1159" t="s">
        <v>12</v>
      </c>
      <c r="C1159" t="s">
        <v>4</v>
      </c>
      <c r="D1159" t="s">
        <v>18</v>
      </c>
      <c r="E1159" t="s">
        <v>483</v>
      </c>
      <c r="F1159" t="s">
        <v>85</v>
      </c>
      <c r="G1159" s="31">
        <v>73716.882405397235</v>
      </c>
      <c r="H1159" s="31">
        <v>259730.37039642569</v>
      </c>
      <c r="I1159" s="31">
        <v>181595.80538113631</v>
      </c>
      <c r="J1159" s="32">
        <f t="shared" si="96"/>
        <v>22956.145660171809</v>
      </c>
      <c r="K1159" s="31">
        <v>0</v>
      </c>
      <c r="L1159" s="31">
        <v>0</v>
      </c>
      <c r="M1159" s="32">
        <f t="shared" si="97"/>
        <v>0</v>
      </c>
      <c r="N1159" s="33">
        <f>Result_notebook!L1159</f>
        <v>0.787554996857322</v>
      </c>
      <c r="O1159" s="31">
        <f t="shared" si="98"/>
        <v>-130835.06863591088</v>
      </c>
      <c r="P1159" s="31">
        <f t="shared" si="101"/>
        <v>107878.92297573907</v>
      </c>
      <c r="Q1159">
        <f t="shared" si="100"/>
        <v>22956.145660171809</v>
      </c>
    </row>
    <row r="1160" spans="1:17" x14ac:dyDescent="0.35">
      <c r="A1160">
        <v>2037</v>
      </c>
      <c r="B1160" t="s">
        <v>12</v>
      </c>
      <c r="C1160" t="s">
        <v>4</v>
      </c>
      <c r="D1160" t="s">
        <v>18</v>
      </c>
      <c r="E1160" t="s">
        <v>483</v>
      </c>
      <c r="F1160" t="s">
        <v>86</v>
      </c>
      <c r="G1160" s="31">
        <v>73716.882405397235</v>
      </c>
      <c r="H1160" s="31">
        <v>259730.37039642569</v>
      </c>
      <c r="I1160" s="31">
        <v>181595.80538113631</v>
      </c>
      <c r="J1160" s="32">
        <f t="shared" si="96"/>
        <v>22956.145660171809</v>
      </c>
      <c r="K1160" s="31">
        <v>0</v>
      </c>
      <c r="L1160" s="31">
        <v>0</v>
      </c>
      <c r="M1160" s="32">
        <f t="shared" si="97"/>
        <v>0</v>
      </c>
      <c r="N1160" s="33">
        <f>Result_notebook!L1160</f>
        <v>0.787554996857322</v>
      </c>
      <c r="O1160" s="31">
        <f t="shared" si="98"/>
        <v>-130835.06863591088</v>
      </c>
      <c r="P1160" s="31">
        <f t="shared" si="101"/>
        <v>107878.92297573907</v>
      </c>
      <c r="Q1160">
        <f t="shared" si="100"/>
        <v>22956.145660171809</v>
      </c>
    </row>
    <row r="1161" spans="1:17" x14ac:dyDescent="0.35">
      <c r="A1161">
        <v>2037</v>
      </c>
      <c r="B1161" t="s">
        <v>12</v>
      </c>
      <c r="C1161" t="s">
        <v>4</v>
      </c>
      <c r="D1161" t="s">
        <v>18</v>
      </c>
      <c r="E1161" t="s">
        <v>490</v>
      </c>
      <c r="F1161" t="s">
        <v>82</v>
      </c>
      <c r="G1161" s="31">
        <v>73716.882405397235</v>
      </c>
      <c r="H1161" s="31">
        <v>259730.37039642569</v>
      </c>
      <c r="I1161" s="31">
        <v>181595.80538113631</v>
      </c>
      <c r="J1161" s="32">
        <f t="shared" si="96"/>
        <v>22956.145660171809</v>
      </c>
      <c r="K1161" s="31">
        <v>0</v>
      </c>
      <c r="L1161" s="31">
        <v>0</v>
      </c>
      <c r="M1161" s="32">
        <f t="shared" si="97"/>
        <v>0</v>
      </c>
      <c r="N1161" s="33">
        <f>Result_notebook!L1161</f>
        <v>0.787554996857322</v>
      </c>
      <c r="O1161" s="31">
        <f t="shared" si="98"/>
        <v>-130835.06863591088</v>
      </c>
      <c r="P1161" s="31">
        <f t="shared" si="101"/>
        <v>107878.92297573907</v>
      </c>
      <c r="Q1161">
        <f t="shared" si="100"/>
        <v>22956.145660171809</v>
      </c>
    </row>
    <row r="1162" spans="1:17" x14ac:dyDescent="0.35">
      <c r="A1162">
        <v>2037</v>
      </c>
      <c r="B1162" t="s">
        <v>12</v>
      </c>
      <c r="C1162" t="s">
        <v>9</v>
      </c>
      <c r="D1162" t="s">
        <v>16</v>
      </c>
      <c r="E1162" t="s">
        <v>483</v>
      </c>
      <c r="F1162" t="s">
        <v>80</v>
      </c>
      <c r="G1162" s="31">
        <v>27154.51542919709</v>
      </c>
      <c r="H1162" s="31">
        <v>0</v>
      </c>
      <c r="I1162" s="31">
        <v>0</v>
      </c>
      <c r="J1162" s="32">
        <f t="shared" si="96"/>
        <v>0</v>
      </c>
      <c r="K1162" s="31">
        <v>38792.164898852992</v>
      </c>
      <c r="L1162" s="31">
        <v>27154.51542919709</v>
      </c>
      <c r="M1162" s="32">
        <f t="shared" si="97"/>
        <v>27154.51542919709</v>
      </c>
      <c r="N1162" s="33">
        <f>Result_notebook!L1162</f>
        <v>0.787554996857322</v>
      </c>
      <c r="O1162" s="31">
        <f t="shared" si="98"/>
        <v>0</v>
      </c>
      <c r="P1162" s="31">
        <f t="shared" si="101"/>
        <v>0</v>
      </c>
      <c r="Q1162">
        <f t="shared" si="100"/>
        <v>0</v>
      </c>
    </row>
    <row r="1163" spans="1:17" x14ac:dyDescent="0.35">
      <c r="A1163">
        <v>2037</v>
      </c>
      <c r="B1163" t="s">
        <v>12</v>
      </c>
      <c r="C1163" t="s">
        <v>9</v>
      </c>
      <c r="D1163" t="s">
        <v>16</v>
      </c>
      <c r="E1163" t="s">
        <v>483</v>
      </c>
      <c r="F1163" t="s">
        <v>81</v>
      </c>
      <c r="G1163" s="31">
        <v>27154.51542919709</v>
      </c>
      <c r="H1163" s="31">
        <v>39270</v>
      </c>
      <c r="I1163" s="31">
        <v>27456.42439285322</v>
      </c>
      <c r="J1163" s="32">
        <f t="shared" si="96"/>
        <v>3470.8603337338136</v>
      </c>
      <c r="K1163" s="31">
        <v>0</v>
      </c>
      <c r="L1163" s="31">
        <v>0</v>
      </c>
      <c r="M1163" s="32">
        <f t="shared" si="97"/>
        <v>0</v>
      </c>
      <c r="N1163" s="33">
        <f>Result_notebook!L1163</f>
        <v>0.787554996857322</v>
      </c>
      <c r="O1163" s="31">
        <f t="shared" si="98"/>
        <v>-3772.7692973899429</v>
      </c>
      <c r="P1163" s="31">
        <f t="shared" si="101"/>
        <v>301.90896365612934</v>
      </c>
      <c r="Q1163">
        <f t="shared" si="100"/>
        <v>3470.8603337338136</v>
      </c>
    </row>
    <row r="1164" spans="1:17" x14ac:dyDescent="0.35">
      <c r="A1164">
        <v>2037</v>
      </c>
      <c r="B1164" t="s">
        <v>12</v>
      </c>
      <c r="C1164" t="s">
        <v>9</v>
      </c>
      <c r="D1164" t="s">
        <v>18</v>
      </c>
      <c r="E1164" t="s">
        <v>483</v>
      </c>
      <c r="F1164" t="s">
        <v>85</v>
      </c>
      <c r="G1164" s="31">
        <v>27154.51542919709</v>
      </c>
      <c r="H1164" s="31">
        <v>259730.37039642569</v>
      </c>
      <c r="I1164" s="31">
        <v>181595.80538113631</v>
      </c>
      <c r="J1164" s="32">
        <f t="shared" si="96"/>
        <v>22956.145660171809</v>
      </c>
      <c r="K1164" s="31">
        <v>0</v>
      </c>
      <c r="L1164" s="31">
        <v>0</v>
      </c>
      <c r="M1164" s="32">
        <f t="shared" si="97"/>
        <v>0</v>
      </c>
      <c r="N1164" s="33">
        <f>Result_notebook!L1164</f>
        <v>0.787554996857322</v>
      </c>
      <c r="O1164" s="31">
        <f t="shared" si="98"/>
        <v>-177397.43561211103</v>
      </c>
      <c r="P1164" s="31">
        <f t="shared" si="101"/>
        <v>154441.28995193922</v>
      </c>
      <c r="Q1164">
        <f t="shared" si="100"/>
        <v>22956.145660171809</v>
      </c>
    </row>
    <row r="1165" spans="1:17" x14ac:dyDescent="0.35">
      <c r="A1165">
        <v>2037</v>
      </c>
      <c r="B1165" t="s">
        <v>12</v>
      </c>
      <c r="C1165" t="s">
        <v>9</v>
      </c>
      <c r="D1165" t="s">
        <v>18</v>
      </c>
      <c r="E1165" t="s">
        <v>483</v>
      </c>
      <c r="F1165" t="s">
        <v>86</v>
      </c>
      <c r="G1165" s="31">
        <v>27154.51542919709</v>
      </c>
      <c r="H1165" s="31">
        <v>259730.37039642569</v>
      </c>
      <c r="I1165" s="31">
        <v>181595.80538113631</v>
      </c>
      <c r="J1165" s="32">
        <f t="shared" si="96"/>
        <v>22956.145660171809</v>
      </c>
      <c r="K1165" s="31">
        <v>0</v>
      </c>
      <c r="L1165" s="31">
        <v>0</v>
      </c>
      <c r="M1165" s="32">
        <f t="shared" si="97"/>
        <v>0</v>
      </c>
      <c r="N1165" s="33">
        <f>Result_notebook!L1165</f>
        <v>0.787554996857322</v>
      </c>
      <c r="O1165" s="31">
        <f t="shared" si="98"/>
        <v>-177397.43561211103</v>
      </c>
      <c r="P1165" s="31">
        <f t="shared" si="101"/>
        <v>154441.28995193922</v>
      </c>
      <c r="Q1165">
        <f t="shared" si="100"/>
        <v>22956.145660171809</v>
      </c>
    </row>
    <row r="1166" spans="1:17" x14ac:dyDescent="0.35">
      <c r="A1166">
        <v>2037</v>
      </c>
      <c r="B1166" t="s">
        <v>12</v>
      </c>
      <c r="C1166" t="s">
        <v>9</v>
      </c>
      <c r="D1166" t="s">
        <v>18</v>
      </c>
      <c r="E1166" t="s">
        <v>490</v>
      </c>
      <c r="F1166" t="s">
        <v>82</v>
      </c>
      <c r="G1166" s="31">
        <v>27154.51542919709</v>
      </c>
      <c r="H1166" s="31">
        <v>259730.37039642569</v>
      </c>
      <c r="I1166" s="31">
        <v>181595.80538113631</v>
      </c>
      <c r="J1166" s="32">
        <f t="shared" si="96"/>
        <v>22956.145660171809</v>
      </c>
      <c r="K1166" s="31">
        <v>0</v>
      </c>
      <c r="L1166" s="31">
        <v>0</v>
      </c>
      <c r="M1166" s="32">
        <f t="shared" si="97"/>
        <v>0</v>
      </c>
      <c r="N1166" s="33">
        <f>Result_notebook!L1166</f>
        <v>0.787554996857322</v>
      </c>
      <c r="O1166" s="31">
        <f t="shared" si="98"/>
        <v>-177397.43561211103</v>
      </c>
      <c r="P1166" s="31">
        <f t="shared" si="101"/>
        <v>154441.28995193922</v>
      </c>
      <c r="Q1166">
        <f t="shared" si="100"/>
        <v>22956.145660171809</v>
      </c>
    </row>
    <row r="1167" spans="1:17" x14ac:dyDescent="0.35">
      <c r="A1167">
        <v>2037</v>
      </c>
      <c r="B1167" t="s">
        <v>12</v>
      </c>
      <c r="C1167" t="s">
        <v>10</v>
      </c>
      <c r="D1167" t="s">
        <v>16</v>
      </c>
      <c r="E1167" t="s">
        <v>483</v>
      </c>
      <c r="F1167" t="s">
        <v>80</v>
      </c>
      <c r="G1167" s="31">
        <v>70294.070325969486</v>
      </c>
      <c r="H1167" s="31">
        <v>0</v>
      </c>
      <c r="I1167" s="31">
        <v>0</v>
      </c>
      <c r="J1167" s="32">
        <f t="shared" si="96"/>
        <v>0</v>
      </c>
      <c r="K1167" s="31">
        <v>100420.10046567069</v>
      </c>
      <c r="L1167" s="31">
        <v>70294.070325969486</v>
      </c>
      <c r="M1167" s="32">
        <f t="shared" si="97"/>
        <v>70294.070325969486</v>
      </c>
      <c r="N1167" s="33">
        <f>Result_notebook!L1167</f>
        <v>0.787554996857322</v>
      </c>
      <c r="O1167" s="31">
        <f t="shared" si="98"/>
        <v>0</v>
      </c>
      <c r="P1167" s="31">
        <f t="shared" si="101"/>
        <v>0</v>
      </c>
      <c r="Q1167">
        <f t="shared" si="100"/>
        <v>0</v>
      </c>
    </row>
    <row r="1168" spans="1:17" x14ac:dyDescent="0.35">
      <c r="A1168">
        <v>2037</v>
      </c>
      <c r="B1168" t="s">
        <v>12</v>
      </c>
      <c r="C1168" t="s">
        <v>10</v>
      </c>
      <c r="D1168" t="s">
        <v>16</v>
      </c>
      <c r="E1168" t="s">
        <v>483</v>
      </c>
      <c r="F1168" t="s">
        <v>81</v>
      </c>
      <c r="G1168" s="31">
        <v>70294.070325969486</v>
      </c>
      <c r="H1168" s="31">
        <v>39270</v>
      </c>
      <c r="I1168" s="31">
        <v>27456.42439285322</v>
      </c>
      <c r="J1168" s="32">
        <f t="shared" si="96"/>
        <v>3470.8603337338136</v>
      </c>
      <c r="K1168" s="31">
        <v>61150.100465670686</v>
      </c>
      <c r="L1168" s="31">
        <v>42837.64593311627</v>
      </c>
      <c r="M1168" s="32">
        <f t="shared" si="97"/>
        <v>39366.785599382456</v>
      </c>
      <c r="N1168" s="33">
        <f>Result_notebook!L1168</f>
        <v>0.787554996857322</v>
      </c>
      <c r="O1168" s="31">
        <f t="shared" si="98"/>
        <v>0</v>
      </c>
      <c r="P1168" s="31">
        <f t="shared" si="101"/>
        <v>0</v>
      </c>
      <c r="Q1168">
        <f t="shared" si="100"/>
        <v>3470.8603337338136</v>
      </c>
    </row>
    <row r="1169" spans="1:17" x14ac:dyDescent="0.35">
      <c r="A1169">
        <v>2037</v>
      </c>
      <c r="B1169" t="s">
        <v>12</v>
      </c>
      <c r="C1169" t="s">
        <v>10</v>
      </c>
      <c r="D1169" t="s">
        <v>18</v>
      </c>
      <c r="E1169" t="s">
        <v>483</v>
      </c>
      <c r="F1169" t="s">
        <v>85</v>
      </c>
      <c r="G1169" s="31">
        <v>70294.070325969486</v>
      </c>
      <c r="H1169" s="31">
        <v>259730.37039642569</v>
      </c>
      <c r="I1169" s="31">
        <v>181595.80538113631</v>
      </c>
      <c r="J1169" s="32">
        <f t="shared" si="96"/>
        <v>22956.145660171809</v>
      </c>
      <c r="K1169" s="31">
        <v>0</v>
      </c>
      <c r="L1169" s="31">
        <v>0</v>
      </c>
      <c r="M1169" s="32">
        <f t="shared" si="97"/>
        <v>0</v>
      </c>
      <c r="N1169" s="33">
        <f>Result_notebook!L1169</f>
        <v>0.787554996857322</v>
      </c>
      <c r="O1169" s="31">
        <f t="shared" si="98"/>
        <v>-134257.88071533863</v>
      </c>
      <c r="P1169" s="31">
        <f t="shared" si="101"/>
        <v>111301.73505516682</v>
      </c>
      <c r="Q1169">
        <f t="shared" si="100"/>
        <v>22956.145660171809</v>
      </c>
    </row>
    <row r="1170" spans="1:17" x14ac:dyDescent="0.35">
      <c r="A1170">
        <v>2037</v>
      </c>
      <c r="B1170" t="s">
        <v>12</v>
      </c>
      <c r="C1170" t="s">
        <v>10</v>
      </c>
      <c r="D1170" t="s">
        <v>18</v>
      </c>
      <c r="E1170" t="s">
        <v>483</v>
      </c>
      <c r="F1170" t="s">
        <v>86</v>
      </c>
      <c r="G1170" s="31">
        <v>70294.070325969486</v>
      </c>
      <c r="H1170" s="31">
        <v>259730.37039642569</v>
      </c>
      <c r="I1170" s="31">
        <v>181595.80538113631</v>
      </c>
      <c r="J1170" s="32">
        <f t="shared" si="96"/>
        <v>22956.145660171809</v>
      </c>
      <c r="K1170" s="31">
        <v>0</v>
      </c>
      <c r="L1170" s="31">
        <v>0</v>
      </c>
      <c r="M1170" s="32">
        <f t="shared" si="97"/>
        <v>0</v>
      </c>
      <c r="N1170" s="33">
        <f>Result_notebook!L1170</f>
        <v>0.787554996857322</v>
      </c>
      <c r="O1170" s="31">
        <f t="shared" si="98"/>
        <v>-134257.88071533863</v>
      </c>
      <c r="P1170" s="31">
        <f t="shared" si="101"/>
        <v>111301.73505516682</v>
      </c>
      <c r="Q1170">
        <f t="shared" si="100"/>
        <v>22956.145660171809</v>
      </c>
    </row>
    <row r="1171" spans="1:17" x14ac:dyDescent="0.35">
      <c r="A1171">
        <v>2037</v>
      </c>
      <c r="B1171" t="s">
        <v>12</v>
      </c>
      <c r="C1171" t="s">
        <v>10</v>
      </c>
      <c r="D1171" t="s">
        <v>18</v>
      </c>
      <c r="E1171" t="s">
        <v>490</v>
      </c>
      <c r="F1171" t="s">
        <v>82</v>
      </c>
      <c r="G1171" s="31">
        <v>70294.070325969486</v>
      </c>
      <c r="H1171" s="31">
        <v>259730.37039642569</v>
      </c>
      <c r="I1171" s="31">
        <v>181595.80538113631</v>
      </c>
      <c r="J1171" s="32">
        <f t="shared" si="96"/>
        <v>22956.145660171809</v>
      </c>
      <c r="K1171" s="31">
        <v>0</v>
      </c>
      <c r="L1171" s="31">
        <v>0</v>
      </c>
      <c r="M1171" s="32">
        <f t="shared" si="97"/>
        <v>0</v>
      </c>
      <c r="N1171" s="33">
        <f>Result_notebook!L1171</f>
        <v>0.787554996857322</v>
      </c>
      <c r="O1171" s="31">
        <f t="shared" si="98"/>
        <v>-134257.88071533863</v>
      </c>
      <c r="P1171" s="31">
        <f t="shared" si="101"/>
        <v>111301.73505516682</v>
      </c>
      <c r="Q1171">
        <f t="shared" si="100"/>
        <v>22956.145660171809</v>
      </c>
    </row>
    <row r="1172" spans="1:17" x14ac:dyDescent="0.35">
      <c r="A1172">
        <v>2038</v>
      </c>
      <c r="B1172" t="s">
        <v>6</v>
      </c>
      <c r="C1172" t="s">
        <v>4</v>
      </c>
      <c r="D1172" t="s">
        <v>16</v>
      </c>
      <c r="E1172" t="s">
        <v>483</v>
      </c>
      <c r="F1172" t="s">
        <v>80</v>
      </c>
      <c r="G1172" s="31">
        <v>217957.7461959504</v>
      </c>
      <c r="H1172" s="31">
        <v>0</v>
      </c>
      <c r="I1172" s="31">
        <v>0</v>
      </c>
      <c r="J1172" s="32">
        <f t="shared" si="96"/>
        <v>0</v>
      </c>
      <c r="K1172" s="31">
        <v>495358.51408170548</v>
      </c>
      <c r="L1172" s="31">
        <v>217957.7461959504</v>
      </c>
      <c r="M1172" s="32">
        <f t="shared" si="97"/>
        <v>217957.7461959504</v>
      </c>
      <c r="N1172" s="33">
        <f>Result_notebook!L1172</f>
        <v>0.439346565686978</v>
      </c>
      <c r="O1172" s="31">
        <f t="shared" si="98"/>
        <v>0</v>
      </c>
      <c r="P1172" s="31">
        <f t="shared" si="101"/>
        <v>0</v>
      </c>
      <c r="Q1172">
        <f t="shared" si="100"/>
        <v>0</v>
      </c>
    </row>
    <row r="1173" spans="1:17" x14ac:dyDescent="0.35">
      <c r="A1173">
        <v>2038</v>
      </c>
      <c r="B1173" t="s">
        <v>6</v>
      </c>
      <c r="C1173" t="s">
        <v>4</v>
      </c>
      <c r="D1173" t="s">
        <v>16</v>
      </c>
      <c r="E1173" t="s">
        <v>483</v>
      </c>
      <c r="F1173" t="s">
        <v>81</v>
      </c>
      <c r="G1173" s="31">
        <v>217957.7461959504</v>
      </c>
      <c r="H1173" s="31">
        <v>261</v>
      </c>
      <c r="I1173" s="31">
        <v>110.71145720551</v>
      </c>
      <c r="J1173" s="32">
        <f t="shared" si="96"/>
        <v>3.9579964387912554</v>
      </c>
      <c r="K1173" s="31">
        <v>495097.51408170548</v>
      </c>
      <c r="L1173" s="31">
        <v>217847.0347387449</v>
      </c>
      <c r="M1173" s="32">
        <f t="shared" si="97"/>
        <v>217843.07674230612</v>
      </c>
      <c r="N1173" s="33">
        <f>Result_notebook!L1173</f>
        <v>0.439346565686978</v>
      </c>
      <c r="O1173" s="31">
        <f t="shared" si="98"/>
        <v>0</v>
      </c>
      <c r="P1173" s="31">
        <f t="shared" si="101"/>
        <v>0</v>
      </c>
      <c r="Q1173">
        <f t="shared" si="100"/>
        <v>3.9579964387912554</v>
      </c>
    </row>
    <row r="1174" spans="1:17" x14ac:dyDescent="0.35">
      <c r="A1174">
        <v>2038</v>
      </c>
      <c r="B1174" t="s">
        <v>6</v>
      </c>
      <c r="C1174" t="s">
        <v>4</v>
      </c>
      <c r="D1174" t="s">
        <v>18</v>
      </c>
      <c r="E1174" t="s">
        <v>483</v>
      </c>
      <c r="F1174" t="s">
        <v>85</v>
      </c>
      <c r="G1174" s="31">
        <v>217957.7461959504</v>
      </c>
      <c r="H1174" s="31">
        <v>23517.33411697366</v>
      </c>
      <c r="I1174" s="31">
        <v>9975.625784210768</v>
      </c>
      <c r="J1174" s="32">
        <f t="shared" si="96"/>
        <v>356.63419419480852</v>
      </c>
      <c r="K1174" s="31">
        <v>471841.1799647318</v>
      </c>
      <c r="L1174" s="31">
        <v>207982.1204117396</v>
      </c>
      <c r="M1174" s="32">
        <f t="shared" si="97"/>
        <v>207625.48621754479</v>
      </c>
      <c r="N1174" s="33">
        <f>Result_notebook!L1174</f>
        <v>0.439346565686978</v>
      </c>
      <c r="O1174" s="31">
        <f t="shared" si="98"/>
        <v>0</v>
      </c>
      <c r="P1174" s="31">
        <f t="shared" si="101"/>
        <v>0</v>
      </c>
      <c r="Q1174">
        <f t="shared" si="100"/>
        <v>356.63419419480852</v>
      </c>
    </row>
    <row r="1175" spans="1:17" x14ac:dyDescent="0.35">
      <c r="A1175">
        <v>2038</v>
      </c>
      <c r="B1175" t="s">
        <v>6</v>
      </c>
      <c r="C1175" t="s">
        <v>4</v>
      </c>
      <c r="D1175" t="s">
        <v>18</v>
      </c>
      <c r="E1175" t="s">
        <v>483</v>
      </c>
      <c r="F1175" t="s">
        <v>86</v>
      </c>
      <c r="G1175" s="31">
        <v>217957.7461959504</v>
      </c>
      <c r="H1175" s="31">
        <v>23517.33411697366</v>
      </c>
      <c r="I1175" s="31">
        <v>9975.625784210768</v>
      </c>
      <c r="J1175" s="32">
        <f t="shared" si="96"/>
        <v>356.63419419480852</v>
      </c>
      <c r="K1175" s="31">
        <v>471841.1799647318</v>
      </c>
      <c r="L1175" s="31">
        <v>207982.1204117396</v>
      </c>
      <c r="M1175" s="32">
        <f t="shared" si="97"/>
        <v>207625.48621754479</v>
      </c>
      <c r="N1175" s="33">
        <f>Result_notebook!L1175</f>
        <v>0.439346565686978</v>
      </c>
      <c r="O1175" s="31">
        <f t="shared" si="98"/>
        <v>0</v>
      </c>
      <c r="P1175" s="31">
        <f t="shared" si="101"/>
        <v>0</v>
      </c>
      <c r="Q1175">
        <f t="shared" si="100"/>
        <v>356.63419419480852</v>
      </c>
    </row>
    <row r="1176" spans="1:17" x14ac:dyDescent="0.35">
      <c r="A1176">
        <v>2038</v>
      </c>
      <c r="B1176" t="s">
        <v>6</v>
      </c>
      <c r="C1176" t="s">
        <v>4</v>
      </c>
      <c r="D1176" t="s">
        <v>18</v>
      </c>
      <c r="E1176" t="s">
        <v>490</v>
      </c>
      <c r="F1176" t="s">
        <v>82</v>
      </c>
      <c r="G1176" s="31">
        <v>217957.7461959504</v>
      </c>
      <c r="H1176" s="31">
        <v>23517.33411697366</v>
      </c>
      <c r="I1176" s="31">
        <v>10332.259978405589</v>
      </c>
      <c r="J1176" s="32">
        <f t="shared" si="96"/>
        <v>0</v>
      </c>
      <c r="K1176" s="31">
        <v>471841.1799647318</v>
      </c>
      <c r="L1176" s="31">
        <v>207625.48621754479</v>
      </c>
      <c r="M1176" s="32">
        <f t="shared" si="97"/>
        <v>207625.48621754479</v>
      </c>
      <c r="N1176" s="33">
        <f>Result_notebook!L1176</f>
        <v>0.439346565686978</v>
      </c>
      <c r="O1176" s="31">
        <f t="shared" si="98"/>
        <v>0</v>
      </c>
      <c r="P1176" s="31">
        <f t="shared" si="101"/>
        <v>0</v>
      </c>
      <c r="Q1176">
        <f t="shared" si="100"/>
        <v>0</v>
      </c>
    </row>
    <row r="1177" spans="1:17" x14ac:dyDescent="0.35">
      <c r="A1177">
        <v>2038</v>
      </c>
      <c r="B1177" t="s">
        <v>6</v>
      </c>
      <c r="C1177" t="s">
        <v>9</v>
      </c>
      <c r="D1177" t="s">
        <v>16</v>
      </c>
      <c r="E1177" t="s">
        <v>483</v>
      </c>
      <c r="F1177" t="s">
        <v>80</v>
      </c>
      <c r="G1177" s="31">
        <v>81581.249659793117</v>
      </c>
      <c r="H1177" s="31">
        <v>0</v>
      </c>
      <c r="I1177" s="31">
        <v>0</v>
      </c>
      <c r="J1177" s="32">
        <f t="shared" si="96"/>
        <v>0</v>
      </c>
      <c r="K1177" s="31">
        <v>185411.93104498429</v>
      </c>
      <c r="L1177" s="31">
        <v>81581.249659793117</v>
      </c>
      <c r="M1177" s="32">
        <f t="shared" si="97"/>
        <v>81581.249659793117</v>
      </c>
      <c r="N1177" s="33">
        <f>Result_notebook!L1177</f>
        <v>0.439346565686978</v>
      </c>
      <c r="O1177" s="31">
        <f t="shared" si="98"/>
        <v>0</v>
      </c>
      <c r="P1177" s="31">
        <f t="shared" si="101"/>
        <v>0</v>
      </c>
      <c r="Q1177">
        <f t="shared" si="100"/>
        <v>0</v>
      </c>
    </row>
    <row r="1178" spans="1:17" x14ac:dyDescent="0.35">
      <c r="A1178">
        <v>2038</v>
      </c>
      <c r="B1178" t="s">
        <v>6</v>
      </c>
      <c r="C1178" t="s">
        <v>9</v>
      </c>
      <c r="D1178" t="s">
        <v>16</v>
      </c>
      <c r="E1178" t="s">
        <v>483</v>
      </c>
      <c r="F1178" t="s">
        <v>81</v>
      </c>
      <c r="G1178" s="31">
        <v>81581.249659793117</v>
      </c>
      <c r="H1178" s="31">
        <v>261</v>
      </c>
      <c r="I1178" s="31">
        <v>110.71145720551</v>
      </c>
      <c r="J1178" s="32">
        <f t="shared" si="96"/>
        <v>3.9579964387912554</v>
      </c>
      <c r="K1178" s="31">
        <v>185150.93104498429</v>
      </c>
      <c r="L1178" s="31">
        <v>81470.538202587602</v>
      </c>
      <c r="M1178" s="32">
        <f t="shared" si="97"/>
        <v>81466.580206148807</v>
      </c>
      <c r="N1178" s="33">
        <f>Result_notebook!L1178</f>
        <v>0.439346565686978</v>
      </c>
      <c r="O1178" s="31">
        <f t="shared" si="98"/>
        <v>0</v>
      </c>
      <c r="P1178" s="31">
        <f t="shared" si="101"/>
        <v>0</v>
      </c>
      <c r="Q1178">
        <f t="shared" si="100"/>
        <v>3.9579964387912554</v>
      </c>
    </row>
    <row r="1179" spans="1:17" x14ac:dyDescent="0.35">
      <c r="A1179">
        <v>2038</v>
      </c>
      <c r="B1179" t="s">
        <v>6</v>
      </c>
      <c r="C1179" t="s">
        <v>9</v>
      </c>
      <c r="D1179" t="s">
        <v>18</v>
      </c>
      <c r="E1179" t="s">
        <v>483</v>
      </c>
      <c r="F1179" t="s">
        <v>85</v>
      </c>
      <c r="G1179" s="31">
        <v>81581.249659793117</v>
      </c>
      <c r="H1179" s="31">
        <v>23517.33411697366</v>
      </c>
      <c r="I1179" s="31">
        <v>9975.625784210768</v>
      </c>
      <c r="J1179" s="32">
        <f t="shared" si="96"/>
        <v>356.63419419480852</v>
      </c>
      <c r="K1179" s="31">
        <v>161894.59692801069</v>
      </c>
      <c r="L1179" s="31">
        <v>71605.623875582343</v>
      </c>
      <c r="M1179" s="32">
        <f t="shared" si="97"/>
        <v>71248.989681387538</v>
      </c>
      <c r="N1179" s="33">
        <f>Result_notebook!L1179</f>
        <v>0.439346565686978</v>
      </c>
      <c r="O1179" s="31">
        <f t="shared" si="98"/>
        <v>0</v>
      </c>
      <c r="P1179" s="31">
        <f t="shared" si="101"/>
        <v>0</v>
      </c>
      <c r="Q1179">
        <f t="shared" si="100"/>
        <v>356.63419419480852</v>
      </c>
    </row>
    <row r="1180" spans="1:17" x14ac:dyDescent="0.35">
      <c r="A1180">
        <v>2038</v>
      </c>
      <c r="B1180" t="s">
        <v>6</v>
      </c>
      <c r="C1180" t="s">
        <v>9</v>
      </c>
      <c r="D1180" t="s">
        <v>18</v>
      </c>
      <c r="E1180" t="s">
        <v>483</v>
      </c>
      <c r="F1180" t="s">
        <v>86</v>
      </c>
      <c r="G1180" s="31">
        <v>81581.249659793117</v>
      </c>
      <c r="H1180" s="31">
        <v>23517.33411697366</v>
      </c>
      <c r="I1180" s="31">
        <v>9975.625784210768</v>
      </c>
      <c r="J1180" s="32">
        <f t="shared" si="96"/>
        <v>356.63419419480852</v>
      </c>
      <c r="K1180" s="31">
        <v>161894.59692801069</v>
      </c>
      <c r="L1180" s="31">
        <v>71605.623875582343</v>
      </c>
      <c r="M1180" s="32">
        <f t="shared" si="97"/>
        <v>71248.989681387538</v>
      </c>
      <c r="N1180" s="33">
        <f>Result_notebook!L1180</f>
        <v>0.439346565686978</v>
      </c>
      <c r="O1180" s="31">
        <f t="shared" si="98"/>
        <v>0</v>
      </c>
      <c r="P1180" s="31">
        <f t="shared" si="101"/>
        <v>0</v>
      </c>
      <c r="Q1180">
        <f t="shared" si="100"/>
        <v>356.63419419480852</v>
      </c>
    </row>
    <row r="1181" spans="1:17" x14ac:dyDescent="0.35">
      <c r="A1181">
        <v>2038</v>
      </c>
      <c r="B1181" t="s">
        <v>6</v>
      </c>
      <c r="C1181" t="s">
        <v>9</v>
      </c>
      <c r="D1181" t="s">
        <v>18</v>
      </c>
      <c r="E1181" t="s">
        <v>490</v>
      </c>
      <c r="F1181" t="s">
        <v>82</v>
      </c>
      <c r="G1181" s="31">
        <v>81581.249659793117</v>
      </c>
      <c r="H1181" s="31">
        <v>23517.33411697366</v>
      </c>
      <c r="I1181" s="31">
        <v>10332.259978405589</v>
      </c>
      <c r="J1181" s="32">
        <f t="shared" si="96"/>
        <v>0</v>
      </c>
      <c r="K1181" s="31">
        <v>161894.59692801069</v>
      </c>
      <c r="L1181" s="31">
        <v>71248.989681387524</v>
      </c>
      <c r="M1181" s="32">
        <f t="shared" si="97"/>
        <v>71248.989681387524</v>
      </c>
      <c r="N1181" s="33">
        <f>Result_notebook!L1181</f>
        <v>0.439346565686978</v>
      </c>
      <c r="O1181" s="31">
        <f t="shared" si="98"/>
        <v>0</v>
      </c>
      <c r="P1181" s="31">
        <f t="shared" si="101"/>
        <v>0</v>
      </c>
      <c r="Q1181">
        <f t="shared" si="100"/>
        <v>0</v>
      </c>
    </row>
    <row r="1182" spans="1:17" x14ac:dyDescent="0.35">
      <c r="A1182">
        <v>2038</v>
      </c>
      <c r="B1182" t="s">
        <v>6</v>
      </c>
      <c r="C1182" t="s">
        <v>10</v>
      </c>
      <c r="D1182" t="s">
        <v>16</v>
      </c>
      <c r="E1182" t="s">
        <v>483</v>
      </c>
      <c r="F1182" t="s">
        <v>80</v>
      </c>
      <c r="G1182" s="31">
        <v>207519.60886178669</v>
      </c>
      <c r="H1182" s="31">
        <v>0</v>
      </c>
      <c r="I1182" s="31">
        <v>0</v>
      </c>
      <c r="J1182" s="32">
        <f t="shared" si="96"/>
        <v>0</v>
      </c>
      <c r="K1182" s="31">
        <v>471635.47468587878</v>
      </c>
      <c r="L1182" s="31">
        <v>207519.60886178669</v>
      </c>
      <c r="M1182" s="32">
        <f t="shared" si="97"/>
        <v>207519.60886178669</v>
      </c>
      <c r="N1182" s="33">
        <f>Result_notebook!L1182</f>
        <v>0.439346565686978</v>
      </c>
      <c r="O1182" s="31">
        <f t="shared" si="98"/>
        <v>0</v>
      </c>
      <c r="P1182" s="31">
        <f t="shared" si="101"/>
        <v>0</v>
      </c>
      <c r="Q1182">
        <f t="shared" si="100"/>
        <v>0</v>
      </c>
    </row>
    <row r="1183" spans="1:17" x14ac:dyDescent="0.35">
      <c r="A1183">
        <v>2038</v>
      </c>
      <c r="B1183" t="s">
        <v>6</v>
      </c>
      <c r="C1183" t="s">
        <v>10</v>
      </c>
      <c r="D1183" t="s">
        <v>16</v>
      </c>
      <c r="E1183" t="s">
        <v>483</v>
      </c>
      <c r="F1183" t="s">
        <v>81</v>
      </c>
      <c r="G1183" s="31">
        <v>207519.60886178669</v>
      </c>
      <c r="H1183" s="31">
        <v>261</v>
      </c>
      <c r="I1183" s="31">
        <v>110.71145720551</v>
      </c>
      <c r="J1183" s="32">
        <f t="shared" si="96"/>
        <v>3.9579964387912554</v>
      </c>
      <c r="K1183" s="31">
        <v>471374.47468587878</v>
      </c>
      <c r="L1183" s="31">
        <v>207408.89740458119</v>
      </c>
      <c r="M1183" s="32">
        <f t="shared" si="97"/>
        <v>207404.93940814241</v>
      </c>
      <c r="N1183" s="33">
        <f>Result_notebook!L1183</f>
        <v>0.439346565686978</v>
      </c>
      <c r="O1183" s="31">
        <f t="shared" si="98"/>
        <v>0</v>
      </c>
      <c r="P1183" s="31">
        <f t="shared" si="101"/>
        <v>0</v>
      </c>
      <c r="Q1183">
        <f t="shared" si="100"/>
        <v>3.9579964387912554</v>
      </c>
    </row>
    <row r="1184" spans="1:17" x14ac:dyDescent="0.35">
      <c r="A1184">
        <v>2038</v>
      </c>
      <c r="B1184" t="s">
        <v>6</v>
      </c>
      <c r="C1184" t="s">
        <v>10</v>
      </c>
      <c r="D1184" t="s">
        <v>18</v>
      </c>
      <c r="E1184" t="s">
        <v>483</v>
      </c>
      <c r="F1184" t="s">
        <v>85</v>
      </c>
      <c r="G1184" s="31">
        <v>207519.60886178669</v>
      </c>
      <c r="H1184" s="31">
        <v>23517.33411697366</v>
      </c>
      <c r="I1184" s="31">
        <v>9975.625784210768</v>
      </c>
      <c r="J1184" s="32">
        <f t="shared" si="96"/>
        <v>356.63419419480852</v>
      </c>
      <c r="K1184" s="31">
        <v>448118.14056890522</v>
      </c>
      <c r="L1184" s="31">
        <v>197543.98307757589</v>
      </c>
      <c r="M1184" s="32">
        <f t="shared" si="97"/>
        <v>197187.34888338108</v>
      </c>
      <c r="N1184" s="33">
        <f>Result_notebook!L1184</f>
        <v>0.439346565686978</v>
      </c>
      <c r="O1184" s="31">
        <f t="shared" si="98"/>
        <v>0</v>
      </c>
      <c r="P1184" s="31">
        <f t="shared" si="101"/>
        <v>0</v>
      </c>
      <c r="Q1184">
        <f t="shared" si="100"/>
        <v>356.63419419480852</v>
      </c>
    </row>
    <row r="1185" spans="1:17" x14ac:dyDescent="0.35">
      <c r="A1185">
        <v>2038</v>
      </c>
      <c r="B1185" t="s">
        <v>6</v>
      </c>
      <c r="C1185" t="s">
        <v>10</v>
      </c>
      <c r="D1185" t="s">
        <v>18</v>
      </c>
      <c r="E1185" t="s">
        <v>483</v>
      </c>
      <c r="F1185" t="s">
        <v>86</v>
      </c>
      <c r="G1185" s="31">
        <v>207519.60886178669</v>
      </c>
      <c r="H1185" s="31">
        <v>23517.33411697366</v>
      </c>
      <c r="I1185" s="31">
        <v>9975.625784210768</v>
      </c>
      <c r="J1185" s="32">
        <f t="shared" si="96"/>
        <v>356.63419419480852</v>
      </c>
      <c r="K1185" s="31">
        <v>448118.14056890522</v>
      </c>
      <c r="L1185" s="31">
        <v>197543.98307757589</v>
      </c>
      <c r="M1185" s="32">
        <f t="shared" si="97"/>
        <v>197187.34888338108</v>
      </c>
      <c r="N1185" s="33">
        <f>Result_notebook!L1185</f>
        <v>0.439346565686978</v>
      </c>
      <c r="O1185" s="31">
        <f t="shared" si="98"/>
        <v>0</v>
      </c>
      <c r="P1185" s="31">
        <f t="shared" si="101"/>
        <v>0</v>
      </c>
      <c r="Q1185">
        <f t="shared" si="100"/>
        <v>356.63419419480852</v>
      </c>
    </row>
    <row r="1186" spans="1:17" x14ac:dyDescent="0.35">
      <c r="A1186">
        <v>2038</v>
      </c>
      <c r="B1186" t="s">
        <v>6</v>
      </c>
      <c r="C1186" t="s">
        <v>10</v>
      </c>
      <c r="D1186" t="s">
        <v>18</v>
      </c>
      <c r="E1186" t="s">
        <v>490</v>
      </c>
      <c r="F1186" t="s">
        <v>82</v>
      </c>
      <c r="G1186" s="31">
        <v>207519.60886178669</v>
      </c>
      <c r="H1186" s="31">
        <v>23517.33411697366</v>
      </c>
      <c r="I1186" s="31">
        <v>10332.259978405589</v>
      </c>
      <c r="J1186" s="32">
        <f t="shared" si="96"/>
        <v>0</v>
      </c>
      <c r="K1186" s="31">
        <v>448118.14056890522</v>
      </c>
      <c r="L1186" s="31">
        <v>197187.34888338111</v>
      </c>
      <c r="M1186" s="32">
        <f t="shared" si="97"/>
        <v>197187.34888338111</v>
      </c>
      <c r="N1186" s="33">
        <f>Result_notebook!L1186</f>
        <v>0.439346565686978</v>
      </c>
      <c r="O1186" s="31">
        <f t="shared" si="98"/>
        <v>0</v>
      </c>
      <c r="P1186" s="31">
        <f t="shared" si="101"/>
        <v>0</v>
      </c>
      <c r="Q1186">
        <f t="shared" si="100"/>
        <v>0</v>
      </c>
    </row>
    <row r="1187" spans="1:17" x14ac:dyDescent="0.35">
      <c r="A1187">
        <v>2038</v>
      </c>
      <c r="B1187" t="s">
        <v>7</v>
      </c>
      <c r="C1187" t="s">
        <v>4</v>
      </c>
      <c r="D1187" t="s">
        <v>16</v>
      </c>
      <c r="E1187" t="s">
        <v>483</v>
      </c>
      <c r="F1187" t="s">
        <v>80</v>
      </c>
      <c r="G1187" s="31">
        <v>1525342.03872534</v>
      </c>
      <c r="H1187" s="31">
        <v>0</v>
      </c>
      <c r="I1187" s="31">
        <v>0</v>
      </c>
      <c r="J1187" s="32">
        <f t="shared" si="96"/>
        <v>0</v>
      </c>
      <c r="K1187" s="31">
        <v>1837761.492440169</v>
      </c>
      <c r="L1187" s="31">
        <v>1525342.03872534</v>
      </c>
      <c r="M1187" s="32">
        <f t="shared" si="97"/>
        <v>1525342.03872534</v>
      </c>
      <c r="N1187" s="33">
        <f>Result_notebook!L1187</f>
        <v>0.83474576271186396</v>
      </c>
      <c r="O1187" s="31">
        <f t="shared" si="98"/>
        <v>0</v>
      </c>
      <c r="P1187" s="31">
        <f t="shared" si="101"/>
        <v>0</v>
      </c>
      <c r="Q1187">
        <f t="shared" si="100"/>
        <v>0</v>
      </c>
    </row>
    <row r="1188" spans="1:17" x14ac:dyDescent="0.35">
      <c r="A1188">
        <v>2038</v>
      </c>
      <c r="B1188" t="s">
        <v>7</v>
      </c>
      <c r="C1188" t="s">
        <v>4</v>
      </c>
      <c r="D1188" t="s">
        <v>16</v>
      </c>
      <c r="E1188" t="s">
        <v>483</v>
      </c>
      <c r="F1188" t="s">
        <v>81</v>
      </c>
      <c r="G1188" s="31">
        <v>1525342.03872534</v>
      </c>
      <c r="H1188" s="31">
        <v>149633</v>
      </c>
      <c r="I1188" s="31">
        <v>78648.404734026277</v>
      </c>
      <c r="J1188" s="32">
        <f t="shared" si="96"/>
        <v>46257.107977838066</v>
      </c>
      <c r="K1188" s="31">
        <v>1688128.492440169</v>
      </c>
      <c r="L1188" s="31">
        <v>1446693.6339913141</v>
      </c>
      <c r="M1188" s="32">
        <f t="shared" si="97"/>
        <v>1400436.5260134761</v>
      </c>
      <c r="N1188" s="33">
        <f>Result_notebook!L1188</f>
        <v>0.83474576271186396</v>
      </c>
      <c r="O1188" s="31">
        <f t="shared" si="98"/>
        <v>0</v>
      </c>
      <c r="P1188" s="31">
        <f t="shared" si="101"/>
        <v>0</v>
      </c>
      <c r="Q1188">
        <f t="shared" si="100"/>
        <v>46257.107977838066</v>
      </c>
    </row>
    <row r="1189" spans="1:17" x14ac:dyDescent="0.35">
      <c r="A1189">
        <v>2038</v>
      </c>
      <c r="B1189" t="s">
        <v>7</v>
      </c>
      <c r="C1189" t="s">
        <v>4</v>
      </c>
      <c r="D1189" t="s">
        <v>18</v>
      </c>
      <c r="E1189" t="s">
        <v>483</v>
      </c>
      <c r="F1189" t="s">
        <v>85</v>
      </c>
      <c r="G1189" s="31">
        <v>1525342.03872534</v>
      </c>
      <c r="H1189" s="31">
        <v>1022879.179171539</v>
      </c>
      <c r="I1189" s="31">
        <v>537634.18281723827</v>
      </c>
      <c r="J1189" s="32">
        <f t="shared" si="96"/>
        <v>316209.87776239344</v>
      </c>
      <c r="K1189" s="31">
        <v>814882.31326862948</v>
      </c>
      <c r="L1189" s="31">
        <v>987707.85590810177</v>
      </c>
      <c r="M1189" s="32">
        <f t="shared" si="97"/>
        <v>671497.97814570833</v>
      </c>
      <c r="N1189" s="33">
        <f>Result_notebook!L1189</f>
        <v>0.83474576271186396</v>
      </c>
      <c r="O1189" s="31">
        <f t="shared" si="98"/>
        <v>0</v>
      </c>
      <c r="P1189" s="31">
        <f t="shared" si="101"/>
        <v>0</v>
      </c>
      <c r="Q1189">
        <f t="shared" si="100"/>
        <v>316209.87776239344</v>
      </c>
    </row>
    <row r="1190" spans="1:17" x14ac:dyDescent="0.35">
      <c r="A1190">
        <v>2038</v>
      </c>
      <c r="B1190" t="s">
        <v>7</v>
      </c>
      <c r="C1190" t="s">
        <v>4</v>
      </c>
      <c r="D1190" t="s">
        <v>18</v>
      </c>
      <c r="E1190" t="s">
        <v>483</v>
      </c>
      <c r="F1190" t="s">
        <v>86</v>
      </c>
      <c r="G1190" s="31">
        <v>1525342.03872534</v>
      </c>
      <c r="H1190" s="31">
        <v>1022879.179171539</v>
      </c>
      <c r="I1190" s="31">
        <v>537634.18281723827</v>
      </c>
      <c r="J1190" s="32">
        <f t="shared" si="96"/>
        <v>316209.87776239344</v>
      </c>
      <c r="K1190" s="31">
        <v>814882.31326862948</v>
      </c>
      <c r="L1190" s="31">
        <v>987707.85590810177</v>
      </c>
      <c r="M1190" s="32">
        <f t="shared" si="97"/>
        <v>671497.97814570833</v>
      </c>
      <c r="N1190" s="33">
        <f>Result_notebook!L1190</f>
        <v>0.83474576271186396</v>
      </c>
      <c r="O1190" s="31">
        <f t="shared" si="98"/>
        <v>0</v>
      </c>
      <c r="P1190" s="31">
        <f t="shared" si="101"/>
        <v>0</v>
      </c>
      <c r="Q1190">
        <f t="shared" si="100"/>
        <v>316209.87776239344</v>
      </c>
    </row>
    <row r="1191" spans="1:17" x14ac:dyDescent="0.35">
      <c r="A1191">
        <v>2038</v>
      </c>
      <c r="B1191" t="s">
        <v>7</v>
      </c>
      <c r="C1191" t="s">
        <v>4</v>
      </c>
      <c r="D1191" t="s">
        <v>18</v>
      </c>
      <c r="E1191" t="s">
        <v>490</v>
      </c>
      <c r="F1191" t="s">
        <v>82</v>
      </c>
      <c r="G1191" s="31">
        <v>1525342.03872534</v>
      </c>
      <c r="H1191" s="31">
        <v>1022879.179171539</v>
      </c>
      <c r="I1191" s="31">
        <v>853844.06057963229</v>
      </c>
      <c r="J1191" s="32">
        <f t="shared" si="96"/>
        <v>0</v>
      </c>
      <c r="K1191" s="31">
        <v>814882.31326862948</v>
      </c>
      <c r="L1191" s="31">
        <v>671497.97814570775</v>
      </c>
      <c r="M1191" s="32">
        <f t="shared" si="97"/>
        <v>671497.97814570775</v>
      </c>
      <c r="N1191" s="33">
        <f>Result_notebook!L1191</f>
        <v>0.83474576271186396</v>
      </c>
      <c r="O1191" s="31">
        <f t="shared" si="98"/>
        <v>0</v>
      </c>
      <c r="P1191" s="31">
        <f t="shared" si="101"/>
        <v>0</v>
      </c>
      <c r="Q1191">
        <f t="shared" si="100"/>
        <v>0</v>
      </c>
    </row>
    <row r="1192" spans="1:17" x14ac:dyDescent="0.35">
      <c r="A1192">
        <v>2038</v>
      </c>
      <c r="B1192" t="s">
        <v>7</v>
      </c>
      <c r="C1192" t="s">
        <v>9</v>
      </c>
      <c r="D1192" t="s">
        <v>16</v>
      </c>
      <c r="E1192" t="s">
        <v>483</v>
      </c>
      <c r="F1192" t="s">
        <v>80</v>
      </c>
      <c r="G1192" s="31">
        <v>1157581.233594937</v>
      </c>
      <c r="H1192" s="31">
        <v>0</v>
      </c>
      <c r="I1192" s="31">
        <v>0</v>
      </c>
      <c r="J1192" s="32">
        <f t="shared" si="96"/>
        <v>0</v>
      </c>
      <c r="K1192" s="31">
        <v>1394676.1850541411</v>
      </c>
      <c r="L1192" s="31">
        <v>1157581.233594937</v>
      </c>
      <c r="M1192" s="32">
        <f t="shared" si="97"/>
        <v>1157581.233594937</v>
      </c>
      <c r="N1192" s="33">
        <f>Result_notebook!L1192</f>
        <v>0.83474576271186396</v>
      </c>
      <c r="O1192" s="31">
        <f t="shared" si="98"/>
        <v>0</v>
      </c>
      <c r="P1192" s="31">
        <f t="shared" si="101"/>
        <v>0</v>
      </c>
      <c r="Q1192">
        <f t="shared" si="100"/>
        <v>0</v>
      </c>
    </row>
    <row r="1193" spans="1:17" x14ac:dyDescent="0.35">
      <c r="A1193">
        <v>2038</v>
      </c>
      <c r="B1193" t="s">
        <v>7</v>
      </c>
      <c r="C1193" t="s">
        <v>9</v>
      </c>
      <c r="D1193" t="s">
        <v>16</v>
      </c>
      <c r="E1193" t="s">
        <v>483</v>
      </c>
      <c r="F1193" t="s">
        <v>81</v>
      </c>
      <c r="G1193" s="31">
        <v>1157581.233594937</v>
      </c>
      <c r="H1193" s="31">
        <v>149633</v>
      </c>
      <c r="I1193" s="31">
        <v>78648.404734026277</v>
      </c>
      <c r="J1193" s="32">
        <f t="shared" si="96"/>
        <v>46257.107977838066</v>
      </c>
      <c r="K1193" s="31">
        <v>1245043.1850541411</v>
      </c>
      <c r="L1193" s="31">
        <v>1078932.8288609111</v>
      </c>
      <c r="M1193" s="32">
        <f t="shared" si="97"/>
        <v>1032675.7208830731</v>
      </c>
      <c r="N1193" s="33">
        <f>Result_notebook!L1193</f>
        <v>0.83474576271186396</v>
      </c>
      <c r="O1193" s="31">
        <f t="shared" si="98"/>
        <v>0</v>
      </c>
      <c r="P1193" s="31">
        <f t="shared" si="101"/>
        <v>0</v>
      </c>
      <c r="Q1193">
        <f t="shared" si="100"/>
        <v>46257.107977838066</v>
      </c>
    </row>
    <row r="1194" spans="1:17" x14ac:dyDescent="0.35">
      <c r="A1194">
        <v>2038</v>
      </c>
      <c r="B1194" t="s">
        <v>7</v>
      </c>
      <c r="C1194" t="s">
        <v>9</v>
      </c>
      <c r="D1194" t="s">
        <v>18</v>
      </c>
      <c r="E1194" t="s">
        <v>483</v>
      </c>
      <c r="F1194" t="s">
        <v>85</v>
      </c>
      <c r="G1194" s="31">
        <v>1157581.233594937</v>
      </c>
      <c r="H1194" s="31">
        <v>1022879.179171539</v>
      </c>
      <c r="I1194" s="31">
        <v>537634.18281723827</v>
      </c>
      <c r="J1194" s="32">
        <f t="shared" si="96"/>
        <v>316209.87776239344</v>
      </c>
      <c r="K1194" s="31">
        <v>371797.00588260178</v>
      </c>
      <c r="L1194" s="31">
        <v>619947.05077769875</v>
      </c>
      <c r="M1194" s="32">
        <f t="shared" si="97"/>
        <v>303737.17301530531</v>
      </c>
      <c r="N1194" s="33">
        <f>Result_notebook!L1194</f>
        <v>0.83474576271186396</v>
      </c>
      <c r="O1194" s="31">
        <f t="shared" si="98"/>
        <v>0</v>
      </c>
      <c r="P1194" s="31">
        <f t="shared" si="101"/>
        <v>0</v>
      </c>
      <c r="Q1194">
        <f t="shared" si="100"/>
        <v>316209.87776239344</v>
      </c>
    </row>
    <row r="1195" spans="1:17" x14ac:dyDescent="0.35">
      <c r="A1195">
        <v>2038</v>
      </c>
      <c r="B1195" t="s">
        <v>7</v>
      </c>
      <c r="C1195" t="s">
        <v>9</v>
      </c>
      <c r="D1195" t="s">
        <v>18</v>
      </c>
      <c r="E1195" t="s">
        <v>483</v>
      </c>
      <c r="F1195" t="s">
        <v>86</v>
      </c>
      <c r="G1195" s="31">
        <v>1157581.233594937</v>
      </c>
      <c r="H1195" s="31">
        <v>1022879.179171539</v>
      </c>
      <c r="I1195" s="31">
        <v>537634.18281723827</v>
      </c>
      <c r="J1195" s="32">
        <f t="shared" si="96"/>
        <v>316209.87776239344</v>
      </c>
      <c r="K1195" s="31">
        <v>371797.00588260178</v>
      </c>
      <c r="L1195" s="31">
        <v>619947.05077769875</v>
      </c>
      <c r="M1195" s="32">
        <f t="shared" si="97"/>
        <v>303737.17301530531</v>
      </c>
      <c r="N1195" s="33">
        <f>Result_notebook!L1195</f>
        <v>0.83474576271186396</v>
      </c>
      <c r="O1195" s="31">
        <f t="shared" si="98"/>
        <v>0</v>
      </c>
      <c r="P1195" s="31">
        <f t="shared" si="101"/>
        <v>0</v>
      </c>
      <c r="Q1195">
        <f t="shared" si="100"/>
        <v>316209.87776239344</v>
      </c>
    </row>
    <row r="1196" spans="1:17" x14ac:dyDescent="0.35">
      <c r="A1196">
        <v>2038</v>
      </c>
      <c r="B1196" t="s">
        <v>7</v>
      </c>
      <c r="C1196" t="s">
        <v>9</v>
      </c>
      <c r="D1196" t="s">
        <v>18</v>
      </c>
      <c r="E1196" t="s">
        <v>490</v>
      </c>
      <c r="F1196" t="s">
        <v>82</v>
      </c>
      <c r="G1196" s="31">
        <v>1157581.233594937</v>
      </c>
      <c r="H1196" s="31">
        <v>1022879.179171539</v>
      </c>
      <c r="I1196" s="31">
        <v>853844.06057963229</v>
      </c>
      <c r="J1196" s="32">
        <f t="shared" si="96"/>
        <v>0</v>
      </c>
      <c r="K1196" s="31">
        <v>371797.00588260178</v>
      </c>
      <c r="L1196" s="31">
        <v>303737.17301530472</v>
      </c>
      <c r="M1196" s="32">
        <f t="shared" si="97"/>
        <v>303737.17301530472</v>
      </c>
      <c r="N1196" s="33">
        <f>Result_notebook!L1196</f>
        <v>0.83474576271186396</v>
      </c>
      <c r="O1196" s="31">
        <f t="shared" si="98"/>
        <v>0</v>
      </c>
      <c r="P1196" s="31">
        <f t="shared" si="101"/>
        <v>0</v>
      </c>
      <c r="Q1196">
        <f t="shared" si="100"/>
        <v>0</v>
      </c>
    </row>
    <row r="1197" spans="1:17" x14ac:dyDescent="0.35">
      <c r="A1197">
        <v>2038</v>
      </c>
      <c r="B1197" t="s">
        <v>7</v>
      </c>
      <c r="C1197" t="s">
        <v>10</v>
      </c>
      <c r="D1197" t="s">
        <v>16</v>
      </c>
      <c r="E1197" t="s">
        <v>483</v>
      </c>
      <c r="F1197" t="s">
        <v>80</v>
      </c>
      <c r="G1197" s="31">
        <v>1440730.5458499959</v>
      </c>
      <c r="H1197" s="31">
        <v>0</v>
      </c>
      <c r="I1197" s="31">
        <v>0</v>
      </c>
      <c r="J1197" s="32">
        <f t="shared" si="96"/>
        <v>0</v>
      </c>
      <c r="K1197" s="31">
        <v>1735819.934759031</v>
      </c>
      <c r="L1197" s="31">
        <v>1440730.5458499959</v>
      </c>
      <c r="M1197" s="32">
        <f t="shared" si="97"/>
        <v>1440730.5458499959</v>
      </c>
      <c r="N1197" s="33">
        <f>Result_notebook!L1197</f>
        <v>0.83474576271186396</v>
      </c>
      <c r="O1197" s="31">
        <f t="shared" si="98"/>
        <v>0</v>
      </c>
      <c r="P1197" s="31">
        <f t="shared" si="101"/>
        <v>0</v>
      </c>
      <c r="Q1197">
        <f t="shared" si="100"/>
        <v>0</v>
      </c>
    </row>
    <row r="1198" spans="1:17" x14ac:dyDescent="0.35">
      <c r="A1198">
        <v>2038</v>
      </c>
      <c r="B1198" t="s">
        <v>7</v>
      </c>
      <c r="C1198" t="s">
        <v>10</v>
      </c>
      <c r="D1198" t="s">
        <v>16</v>
      </c>
      <c r="E1198" t="s">
        <v>483</v>
      </c>
      <c r="F1198" t="s">
        <v>81</v>
      </c>
      <c r="G1198" s="31">
        <v>1440730.5458499959</v>
      </c>
      <c r="H1198" s="31">
        <v>149633</v>
      </c>
      <c r="I1198" s="31">
        <v>78648.404734026277</v>
      </c>
      <c r="J1198" s="32">
        <f t="shared" si="96"/>
        <v>46257.107977838066</v>
      </c>
      <c r="K1198" s="31">
        <v>1586186.934759031</v>
      </c>
      <c r="L1198" s="31">
        <v>1362082.14111597</v>
      </c>
      <c r="M1198" s="32">
        <f t="shared" si="97"/>
        <v>1315825.033138132</v>
      </c>
      <c r="N1198" s="33">
        <f>Result_notebook!L1198</f>
        <v>0.83474576271186396</v>
      </c>
      <c r="O1198" s="31">
        <f t="shared" si="98"/>
        <v>0</v>
      </c>
      <c r="P1198" s="31">
        <f t="shared" si="101"/>
        <v>0</v>
      </c>
      <c r="Q1198">
        <f t="shared" si="100"/>
        <v>46257.107977838066</v>
      </c>
    </row>
    <row r="1199" spans="1:17" x14ac:dyDescent="0.35">
      <c r="A1199">
        <v>2038</v>
      </c>
      <c r="B1199" t="s">
        <v>7</v>
      </c>
      <c r="C1199" t="s">
        <v>10</v>
      </c>
      <c r="D1199" t="s">
        <v>18</v>
      </c>
      <c r="E1199" t="s">
        <v>483</v>
      </c>
      <c r="F1199" t="s">
        <v>85</v>
      </c>
      <c r="G1199" s="31">
        <v>1440730.5458499959</v>
      </c>
      <c r="H1199" s="31">
        <v>1022879.179171539</v>
      </c>
      <c r="I1199" s="31">
        <v>537634.18281723827</v>
      </c>
      <c r="J1199" s="32">
        <f t="shared" si="96"/>
        <v>316209.87776239344</v>
      </c>
      <c r="K1199" s="31">
        <v>712940.75558749202</v>
      </c>
      <c r="L1199" s="31">
        <v>903096.36303275765</v>
      </c>
      <c r="M1199" s="32">
        <f t="shared" si="97"/>
        <v>586886.48527036421</v>
      </c>
      <c r="N1199" s="33">
        <f>Result_notebook!L1199</f>
        <v>0.83474576271186396</v>
      </c>
      <c r="O1199" s="31">
        <f t="shared" si="98"/>
        <v>0</v>
      </c>
      <c r="P1199" s="31">
        <f t="shared" si="101"/>
        <v>0</v>
      </c>
      <c r="Q1199">
        <f t="shared" si="100"/>
        <v>316209.87776239344</v>
      </c>
    </row>
    <row r="1200" spans="1:17" x14ac:dyDescent="0.35">
      <c r="A1200">
        <v>2038</v>
      </c>
      <c r="B1200" t="s">
        <v>7</v>
      </c>
      <c r="C1200" t="s">
        <v>10</v>
      </c>
      <c r="D1200" t="s">
        <v>18</v>
      </c>
      <c r="E1200" t="s">
        <v>483</v>
      </c>
      <c r="F1200" t="s">
        <v>86</v>
      </c>
      <c r="G1200" s="31">
        <v>1440730.5458499959</v>
      </c>
      <c r="H1200" s="31">
        <v>1022879.179171539</v>
      </c>
      <c r="I1200" s="31">
        <v>537634.18281723827</v>
      </c>
      <c r="J1200" s="32">
        <f t="shared" si="96"/>
        <v>316209.87776239344</v>
      </c>
      <c r="K1200" s="31">
        <v>712940.75558749202</v>
      </c>
      <c r="L1200" s="31">
        <v>903096.36303275765</v>
      </c>
      <c r="M1200" s="32">
        <f t="shared" si="97"/>
        <v>586886.48527036421</v>
      </c>
      <c r="N1200" s="33">
        <f>Result_notebook!L1200</f>
        <v>0.83474576271186396</v>
      </c>
      <c r="O1200" s="31">
        <f t="shared" si="98"/>
        <v>0</v>
      </c>
      <c r="P1200" s="31">
        <f t="shared" si="101"/>
        <v>0</v>
      </c>
      <c r="Q1200">
        <f t="shared" si="100"/>
        <v>316209.87776239344</v>
      </c>
    </row>
    <row r="1201" spans="1:17" x14ac:dyDescent="0.35">
      <c r="A1201">
        <v>2038</v>
      </c>
      <c r="B1201" t="s">
        <v>7</v>
      </c>
      <c r="C1201" t="s">
        <v>10</v>
      </c>
      <c r="D1201" t="s">
        <v>18</v>
      </c>
      <c r="E1201" t="s">
        <v>490</v>
      </c>
      <c r="F1201" t="s">
        <v>82</v>
      </c>
      <c r="G1201" s="31">
        <v>1440730.5458499959</v>
      </c>
      <c r="H1201" s="31">
        <v>1022879.179171539</v>
      </c>
      <c r="I1201" s="31">
        <v>853844.06057963229</v>
      </c>
      <c r="J1201" s="32">
        <f t="shared" si="96"/>
        <v>0</v>
      </c>
      <c r="K1201" s="31">
        <v>712940.75558749202</v>
      </c>
      <c r="L1201" s="31">
        <v>586886.48527036363</v>
      </c>
      <c r="M1201" s="32">
        <f t="shared" si="97"/>
        <v>586886.48527036363</v>
      </c>
      <c r="N1201" s="33">
        <f>Result_notebook!L1201</f>
        <v>0.83474576271186396</v>
      </c>
      <c r="O1201" s="31">
        <f t="shared" si="98"/>
        <v>0</v>
      </c>
      <c r="P1201" s="31">
        <f t="shared" si="101"/>
        <v>0</v>
      </c>
      <c r="Q1201">
        <f t="shared" si="100"/>
        <v>0</v>
      </c>
    </row>
    <row r="1202" spans="1:17" x14ac:dyDescent="0.35">
      <c r="A1202">
        <v>2038</v>
      </c>
      <c r="B1202" t="s">
        <v>11</v>
      </c>
      <c r="C1202" t="s">
        <v>4</v>
      </c>
      <c r="D1202" t="s">
        <v>16</v>
      </c>
      <c r="E1202" t="s">
        <v>483</v>
      </c>
      <c r="F1202" t="s">
        <v>80</v>
      </c>
      <c r="G1202" s="31">
        <v>6459.3329184039349</v>
      </c>
      <c r="H1202" s="31">
        <v>0</v>
      </c>
      <c r="I1202" s="31">
        <v>0</v>
      </c>
      <c r="J1202" s="32">
        <f t="shared" si="96"/>
        <v>0</v>
      </c>
      <c r="K1202" s="31">
        <v>10765.554864006561</v>
      </c>
      <c r="L1202" s="31">
        <v>6459.3329184039349</v>
      </c>
      <c r="M1202" s="32">
        <f t="shared" si="97"/>
        <v>6459.3329184039349</v>
      </c>
      <c r="N1202" s="33">
        <f>Result_notebook!L1202</f>
        <v>1</v>
      </c>
      <c r="O1202" s="31">
        <f t="shared" si="98"/>
        <v>0</v>
      </c>
      <c r="P1202" s="31">
        <f t="shared" si="101"/>
        <v>0</v>
      </c>
      <c r="Q1202">
        <f t="shared" si="100"/>
        <v>0</v>
      </c>
    </row>
    <row r="1203" spans="1:17" x14ac:dyDescent="0.35">
      <c r="A1203">
        <v>2038</v>
      </c>
      <c r="B1203" t="s">
        <v>11</v>
      </c>
      <c r="C1203" t="s">
        <v>4</v>
      </c>
      <c r="D1203" t="s">
        <v>16</v>
      </c>
      <c r="E1203" t="s">
        <v>483</v>
      </c>
      <c r="F1203" t="s">
        <v>81</v>
      </c>
      <c r="G1203" s="31">
        <v>6459.3329184039349</v>
      </c>
      <c r="H1203" s="31">
        <v>0</v>
      </c>
      <c r="I1203" s="31">
        <v>0</v>
      </c>
      <c r="J1203" s="32">
        <f t="shared" si="96"/>
        <v>0</v>
      </c>
      <c r="K1203" s="31">
        <v>10765.554864006561</v>
      </c>
      <c r="L1203" s="31">
        <v>6459.3329184039349</v>
      </c>
      <c r="M1203" s="32">
        <f t="shared" si="97"/>
        <v>6459.3329184039349</v>
      </c>
      <c r="N1203" s="33">
        <f>Result_notebook!L1203</f>
        <v>1</v>
      </c>
      <c r="O1203" s="31">
        <f t="shared" si="98"/>
        <v>0</v>
      </c>
      <c r="P1203" s="31">
        <f t="shared" si="101"/>
        <v>0</v>
      </c>
      <c r="Q1203">
        <f t="shared" si="100"/>
        <v>0</v>
      </c>
    </row>
    <row r="1204" spans="1:17" x14ac:dyDescent="0.35">
      <c r="A1204">
        <v>2038</v>
      </c>
      <c r="B1204" t="s">
        <v>11</v>
      </c>
      <c r="C1204" t="s">
        <v>4</v>
      </c>
      <c r="D1204" t="s">
        <v>18</v>
      </c>
      <c r="E1204" t="s">
        <v>483</v>
      </c>
      <c r="F1204" t="s">
        <v>85</v>
      </c>
      <c r="G1204" s="31">
        <v>6459.3329184039349</v>
      </c>
      <c r="H1204" s="31">
        <v>220.01865184508691</v>
      </c>
      <c r="I1204" s="31">
        <v>131.6908250261543</v>
      </c>
      <c r="J1204" s="32">
        <f t="shared" si="96"/>
        <v>88.327826818932607</v>
      </c>
      <c r="K1204" s="31">
        <v>10545.536212161471</v>
      </c>
      <c r="L1204" s="31">
        <v>6327.6420933777808</v>
      </c>
      <c r="M1204" s="32">
        <f t="shared" si="97"/>
        <v>6239.3142665588484</v>
      </c>
      <c r="N1204" s="33">
        <f>Result_notebook!L1204</f>
        <v>1</v>
      </c>
      <c r="O1204" s="31">
        <f t="shared" si="98"/>
        <v>0</v>
      </c>
      <c r="P1204" s="31">
        <f t="shared" si="101"/>
        <v>0</v>
      </c>
      <c r="Q1204">
        <f t="shared" si="100"/>
        <v>88.327826818932607</v>
      </c>
    </row>
    <row r="1205" spans="1:17" x14ac:dyDescent="0.35">
      <c r="A1205">
        <v>2038</v>
      </c>
      <c r="B1205" t="s">
        <v>11</v>
      </c>
      <c r="C1205" t="s">
        <v>4</v>
      </c>
      <c r="D1205" t="s">
        <v>18</v>
      </c>
      <c r="E1205" t="s">
        <v>483</v>
      </c>
      <c r="F1205" t="s">
        <v>86</v>
      </c>
      <c r="G1205" s="31">
        <v>6459.3329184039349</v>
      </c>
      <c r="H1205" s="31">
        <v>220.01865184508691</v>
      </c>
      <c r="I1205" s="31">
        <v>131.6908250261543</v>
      </c>
      <c r="J1205" s="32">
        <f t="shared" si="96"/>
        <v>88.327826818932607</v>
      </c>
      <c r="K1205" s="31">
        <v>10545.536212161471</v>
      </c>
      <c r="L1205" s="31">
        <v>6327.6420933777808</v>
      </c>
      <c r="M1205" s="32">
        <f t="shared" si="97"/>
        <v>6239.3142665588484</v>
      </c>
      <c r="N1205" s="33">
        <f>Result_notebook!L1205</f>
        <v>1</v>
      </c>
      <c r="O1205" s="31">
        <f t="shared" si="98"/>
        <v>0</v>
      </c>
      <c r="P1205" s="31">
        <f t="shared" si="101"/>
        <v>0</v>
      </c>
      <c r="Q1205">
        <f t="shared" si="100"/>
        <v>88.327826818932607</v>
      </c>
    </row>
    <row r="1206" spans="1:17" x14ac:dyDescent="0.35">
      <c r="A1206">
        <v>2038</v>
      </c>
      <c r="B1206" t="s">
        <v>11</v>
      </c>
      <c r="C1206" t="s">
        <v>4</v>
      </c>
      <c r="D1206" t="s">
        <v>18</v>
      </c>
      <c r="E1206" t="s">
        <v>490</v>
      </c>
      <c r="F1206" t="s">
        <v>82</v>
      </c>
      <c r="G1206" s="31">
        <v>6459.3329184039349</v>
      </c>
      <c r="H1206" s="31">
        <v>220.01865184508691</v>
      </c>
      <c r="I1206" s="31">
        <v>131.6908250261543</v>
      </c>
      <c r="J1206" s="32">
        <f t="shared" si="96"/>
        <v>88.327826818932607</v>
      </c>
      <c r="K1206" s="31">
        <v>10545.536212161471</v>
      </c>
      <c r="L1206" s="31">
        <v>6327.6420933777808</v>
      </c>
      <c r="M1206" s="32">
        <f t="shared" si="97"/>
        <v>6239.3142665588484</v>
      </c>
      <c r="N1206" s="33">
        <f>Result_notebook!L1206</f>
        <v>1</v>
      </c>
      <c r="O1206" s="31">
        <f t="shared" si="98"/>
        <v>0</v>
      </c>
      <c r="P1206" s="31">
        <f t="shared" si="101"/>
        <v>0</v>
      </c>
      <c r="Q1206">
        <f t="shared" si="100"/>
        <v>88.327826818932607</v>
      </c>
    </row>
    <row r="1207" spans="1:17" x14ac:dyDescent="0.35">
      <c r="A1207">
        <v>2038</v>
      </c>
      <c r="B1207" t="s">
        <v>11</v>
      </c>
      <c r="C1207" t="s">
        <v>9</v>
      </c>
      <c r="D1207" t="s">
        <v>16</v>
      </c>
      <c r="E1207" t="s">
        <v>483</v>
      </c>
      <c r="F1207" t="s">
        <v>80</v>
      </c>
      <c r="G1207" s="31">
        <v>2100.0711128337948</v>
      </c>
      <c r="H1207" s="31">
        <v>0</v>
      </c>
      <c r="I1207" s="31">
        <v>0</v>
      </c>
      <c r="J1207" s="32">
        <f t="shared" si="96"/>
        <v>0</v>
      </c>
      <c r="K1207" s="31">
        <v>3500.1185213896579</v>
      </c>
      <c r="L1207" s="31">
        <v>2100.0711128337948</v>
      </c>
      <c r="M1207" s="32">
        <f t="shared" si="97"/>
        <v>2100.0711128337948</v>
      </c>
      <c r="N1207" s="33">
        <f>Result_notebook!L1207</f>
        <v>1</v>
      </c>
      <c r="O1207" s="31">
        <f t="shared" si="98"/>
        <v>0</v>
      </c>
      <c r="P1207" s="31">
        <f t="shared" si="101"/>
        <v>0</v>
      </c>
      <c r="Q1207">
        <f t="shared" si="100"/>
        <v>0</v>
      </c>
    </row>
    <row r="1208" spans="1:17" x14ac:dyDescent="0.35">
      <c r="A1208">
        <v>2038</v>
      </c>
      <c r="B1208" t="s">
        <v>11</v>
      </c>
      <c r="C1208" t="s">
        <v>9</v>
      </c>
      <c r="D1208" t="s">
        <v>16</v>
      </c>
      <c r="E1208" t="s">
        <v>483</v>
      </c>
      <c r="F1208" t="s">
        <v>81</v>
      </c>
      <c r="G1208" s="31">
        <v>2100.0711128337948</v>
      </c>
      <c r="H1208" s="31">
        <v>0</v>
      </c>
      <c r="I1208" s="31">
        <v>0</v>
      </c>
      <c r="J1208" s="32">
        <f t="shared" si="96"/>
        <v>0</v>
      </c>
      <c r="K1208" s="31">
        <v>3500.1185213896579</v>
      </c>
      <c r="L1208" s="31">
        <v>2100.0711128337948</v>
      </c>
      <c r="M1208" s="32">
        <f t="shared" si="97"/>
        <v>2100.0711128337948</v>
      </c>
      <c r="N1208" s="33">
        <f>Result_notebook!L1208</f>
        <v>1</v>
      </c>
      <c r="O1208" s="31">
        <f t="shared" si="98"/>
        <v>0</v>
      </c>
      <c r="P1208" s="31">
        <f t="shared" si="101"/>
        <v>0</v>
      </c>
      <c r="Q1208">
        <f t="shared" si="100"/>
        <v>0</v>
      </c>
    </row>
    <row r="1209" spans="1:17" x14ac:dyDescent="0.35">
      <c r="A1209">
        <v>2038</v>
      </c>
      <c r="B1209" t="s">
        <v>11</v>
      </c>
      <c r="C1209" t="s">
        <v>9</v>
      </c>
      <c r="D1209" t="s">
        <v>18</v>
      </c>
      <c r="E1209" t="s">
        <v>483</v>
      </c>
      <c r="F1209" t="s">
        <v>85</v>
      </c>
      <c r="G1209" s="31">
        <v>2100.0711128337948</v>
      </c>
      <c r="H1209" s="31">
        <v>220.01865184508691</v>
      </c>
      <c r="I1209" s="31">
        <v>131.6908250261543</v>
      </c>
      <c r="J1209" s="32">
        <f t="shared" si="96"/>
        <v>88.327826818932607</v>
      </c>
      <c r="K1209" s="31">
        <v>3280.099869544571</v>
      </c>
      <c r="L1209" s="31">
        <v>1968.380287807641</v>
      </c>
      <c r="M1209" s="32">
        <f t="shared" si="97"/>
        <v>1880.0524609887084</v>
      </c>
      <c r="N1209" s="33">
        <f>Result_notebook!L1209</f>
        <v>1</v>
      </c>
      <c r="O1209" s="31">
        <f t="shared" si="98"/>
        <v>0</v>
      </c>
      <c r="P1209" s="31">
        <f t="shared" si="101"/>
        <v>0</v>
      </c>
      <c r="Q1209">
        <f t="shared" si="100"/>
        <v>88.327826818932607</v>
      </c>
    </row>
    <row r="1210" spans="1:17" x14ac:dyDescent="0.35">
      <c r="A1210">
        <v>2038</v>
      </c>
      <c r="B1210" t="s">
        <v>11</v>
      </c>
      <c r="C1210" t="s">
        <v>9</v>
      </c>
      <c r="D1210" t="s">
        <v>18</v>
      </c>
      <c r="E1210" t="s">
        <v>483</v>
      </c>
      <c r="F1210" t="s">
        <v>86</v>
      </c>
      <c r="G1210" s="31">
        <v>2100.0711128337948</v>
      </c>
      <c r="H1210" s="31">
        <v>220.01865184508691</v>
      </c>
      <c r="I1210" s="31">
        <v>131.6908250261543</v>
      </c>
      <c r="J1210" s="32">
        <f t="shared" si="96"/>
        <v>88.327826818932607</v>
      </c>
      <c r="K1210" s="31">
        <v>3280.099869544571</v>
      </c>
      <c r="L1210" s="31">
        <v>1968.380287807641</v>
      </c>
      <c r="M1210" s="32">
        <f t="shared" si="97"/>
        <v>1880.0524609887084</v>
      </c>
      <c r="N1210" s="33">
        <f>Result_notebook!L1210</f>
        <v>1</v>
      </c>
      <c r="O1210" s="31">
        <f t="shared" si="98"/>
        <v>0</v>
      </c>
      <c r="P1210" s="31">
        <f t="shared" si="101"/>
        <v>0</v>
      </c>
      <c r="Q1210">
        <f t="shared" si="100"/>
        <v>88.327826818932607</v>
      </c>
    </row>
    <row r="1211" spans="1:17" x14ac:dyDescent="0.35">
      <c r="A1211">
        <v>2038</v>
      </c>
      <c r="B1211" t="s">
        <v>11</v>
      </c>
      <c r="C1211" t="s">
        <v>9</v>
      </c>
      <c r="D1211" t="s">
        <v>18</v>
      </c>
      <c r="E1211" t="s">
        <v>490</v>
      </c>
      <c r="F1211" t="s">
        <v>82</v>
      </c>
      <c r="G1211" s="31">
        <v>2100.0711128337948</v>
      </c>
      <c r="H1211" s="31">
        <v>220.01865184508691</v>
      </c>
      <c r="I1211" s="31">
        <v>131.6908250261543</v>
      </c>
      <c r="J1211" s="32">
        <f t="shared" si="96"/>
        <v>88.327826818932607</v>
      </c>
      <c r="K1211" s="31">
        <v>3280.099869544571</v>
      </c>
      <c r="L1211" s="31">
        <v>1968.380287807641</v>
      </c>
      <c r="M1211" s="32">
        <f t="shared" si="97"/>
        <v>1880.0524609887084</v>
      </c>
      <c r="N1211" s="33">
        <f>Result_notebook!L1211</f>
        <v>1</v>
      </c>
      <c r="O1211" s="31">
        <f t="shared" si="98"/>
        <v>0</v>
      </c>
      <c r="P1211" s="31">
        <f t="shared" si="101"/>
        <v>0</v>
      </c>
      <c r="Q1211">
        <f t="shared" si="100"/>
        <v>88.327826818932607</v>
      </c>
    </row>
    <row r="1212" spans="1:17" x14ac:dyDescent="0.35">
      <c r="A1212">
        <v>2038</v>
      </c>
      <c r="B1212" t="s">
        <v>11</v>
      </c>
      <c r="C1212" t="s">
        <v>10</v>
      </c>
      <c r="D1212" t="s">
        <v>16</v>
      </c>
      <c r="E1212" t="s">
        <v>483</v>
      </c>
      <c r="F1212" t="s">
        <v>80</v>
      </c>
      <c r="G1212" s="31">
        <v>6193.6061432774541</v>
      </c>
      <c r="H1212" s="31">
        <v>0</v>
      </c>
      <c r="I1212" s="31">
        <v>0</v>
      </c>
      <c r="J1212" s="32">
        <f t="shared" si="96"/>
        <v>0</v>
      </c>
      <c r="K1212" s="31">
        <v>10322.67690546242</v>
      </c>
      <c r="L1212" s="31">
        <v>6193.6061432774541</v>
      </c>
      <c r="M1212" s="32">
        <f t="shared" si="97"/>
        <v>6193.6061432774541</v>
      </c>
      <c r="N1212" s="33">
        <f>Result_notebook!L1212</f>
        <v>1</v>
      </c>
      <c r="O1212" s="31">
        <f t="shared" si="98"/>
        <v>0</v>
      </c>
      <c r="P1212" s="31">
        <f t="shared" si="101"/>
        <v>0</v>
      </c>
      <c r="Q1212">
        <f t="shared" si="100"/>
        <v>0</v>
      </c>
    </row>
    <row r="1213" spans="1:17" x14ac:dyDescent="0.35">
      <c r="A1213">
        <v>2038</v>
      </c>
      <c r="B1213" t="s">
        <v>11</v>
      </c>
      <c r="C1213" t="s">
        <v>10</v>
      </c>
      <c r="D1213" t="s">
        <v>16</v>
      </c>
      <c r="E1213" t="s">
        <v>483</v>
      </c>
      <c r="F1213" t="s">
        <v>81</v>
      </c>
      <c r="G1213" s="31">
        <v>6193.6061432774541</v>
      </c>
      <c r="H1213" s="31">
        <v>0</v>
      </c>
      <c r="I1213" s="31">
        <v>0</v>
      </c>
      <c r="J1213" s="32">
        <f t="shared" si="96"/>
        <v>0</v>
      </c>
      <c r="K1213" s="31">
        <v>10322.67690546242</v>
      </c>
      <c r="L1213" s="31">
        <v>6193.6061432774541</v>
      </c>
      <c r="M1213" s="32">
        <f t="shared" si="97"/>
        <v>6193.6061432774541</v>
      </c>
      <c r="N1213" s="33">
        <f>Result_notebook!L1213</f>
        <v>1</v>
      </c>
      <c r="O1213" s="31">
        <f t="shared" si="98"/>
        <v>0</v>
      </c>
      <c r="P1213" s="31">
        <f t="shared" si="101"/>
        <v>0</v>
      </c>
      <c r="Q1213">
        <f t="shared" si="100"/>
        <v>0</v>
      </c>
    </row>
    <row r="1214" spans="1:17" x14ac:dyDescent="0.35">
      <c r="A1214">
        <v>2038</v>
      </c>
      <c r="B1214" t="s">
        <v>11</v>
      </c>
      <c r="C1214" t="s">
        <v>10</v>
      </c>
      <c r="D1214" t="s">
        <v>18</v>
      </c>
      <c r="E1214" t="s">
        <v>483</v>
      </c>
      <c r="F1214" t="s">
        <v>85</v>
      </c>
      <c r="G1214" s="31">
        <v>6193.6061432774541</v>
      </c>
      <c r="H1214" s="31">
        <v>220.01865184508691</v>
      </c>
      <c r="I1214" s="31">
        <v>131.6908250261543</v>
      </c>
      <c r="J1214" s="32">
        <f t="shared" si="96"/>
        <v>88.327826818932607</v>
      </c>
      <c r="K1214" s="31">
        <v>10102.658253617339</v>
      </c>
      <c r="L1214" s="31">
        <v>6061.9153182513001</v>
      </c>
      <c r="M1214" s="32">
        <f t="shared" si="97"/>
        <v>5973.5874914323676</v>
      </c>
      <c r="N1214" s="33">
        <f>Result_notebook!L1214</f>
        <v>1</v>
      </c>
      <c r="O1214" s="31">
        <f t="shared" si="98"/>
        <v>0</v>
      </c>
      <c r="P1214" s="31">
        <f t="shared" si="101"/>
        <v>0</v>
      </c>
      <c r="Q1214">
        <f t="shared" si="100"/>
        <v>88.327826818932607</v>
      </c>
    </row>
    <row r="1215" spans="1:17" x14ac:dyDescent="0.35">
      <c r="A1215">
        <v>2038</v>
      </c>
      <c r="B1215" t="s">
        <v>11</v>
      </c>
      <c r="C1215" t="s">
        <v>10</v>
      </c>
      <c r="D1215" t="s">
        <v>18</v>
      </c>
      <c r="E1215" t="s">
        <v>483</v>
      </c>
      <c r="F1215" t="s">
        <v>86</v>
      </c>
      <c r="G1215" s="31">
        <v>6193.6061432774541</v>
      </c>
      <c r="H1215" s="31">
        <v>220.01865184508691</v>
      </c>
      <c r="I1215" s="31">
        <v>131.6908250261543</v>
      </c>
      <c r="J1215" s="32">
        <f t="shared" si="96"/>
        <v>88.327826818932607</v>
      </c>
      <c r="K1215" s="31">
        <v>10102.658253617339</v>
      </c>
      <c r="L1215" s="31">
        <v>6061.9153182513001</v>
      </c>
      <c r="M1215" s="32">
        <f t="shared" si="97"/>
        <v>5973.5874914323676</v>
      </c>
      <c r="N1215" s="33">
        <f>Result_notebook!L1215</f>
        <v>1</v>
      </c>
      <c r="O1215" s="31">
        <f t="shared" si="98"/>
        <v>0</v>
      </c>
      <c r="P1215" s="31">
        <f t="shared" si="101"/>
        <v>0</v>
      </c>
      <c r="Q1215">
        <f t="shared" si="100"/>
        <v>88.327826818932607</v>
      </c>
    </row>
    <row r="1216" spans="1:17" x14ac:dyDescent="0.35">
      <c r="A1216">
        <v>2038</v>
      </c>
      <c r="B1216" t="s">
        <v>11</v>
      </c>
      <c r="C1216" t="s">
        <v>10</v>
      </c>
      <c r="D1216" t="s">
        <v>18</v>
      </c>
      <c r="E1216" t="s">
        <v>490</v>
      </c>
      <c r="F1216" t="s">
        <v>82</v>
      </c>
      <c r="G1216" s="31">
        <v>6193.6061432774541</v>
      </c>
      <c r="H1216" s="31">
        <v>220.01865184508691</v>
      </c>
      <c r="I1216" s="31">
        <v>131.6908250261543</v>
      </c>
      <c r="J1216" s="32">
        <f t="shared" si="96"/>
        <v>88.327826818932607</v>
      </c>
      <c r="K1216" s="31">
        <v>10102.658253617339</v>
      </c>
      <c r="L1216" s="31">
        <v>6061.9153182513001</v>
      </c>
      <c r="M1216" s="32">
        <f t="shared" si="97"/>
        <v>5973.5874914323676</v>
      </c>
      <c r="N1216" s="33">
        <f>Result_notebook!L1216</f>
        <v>1</v>
      </c>
      <c r="O1216" s="31">
        <f t="shared" si="98"/>
        <v>0</v>
      </c>
      <c r="P1216" s="31">
        <f t="shared" si="101"/>
        <v>0</v>
      </c>
      <c r="Q1216">
        <f t="shared" si="100"/>
        <v>88.327826818932607</v>
      </c>
    </row>
    <row r="1217" spans="1:17" x14ac:dyDescent="0.35">
      <c r="A1217">
        <v>2038</v>
      </c>
      <c r="B1217" t="s">
        <v>8</v>
      </c>
      <c r="C1217" t="s">
        <v>4</v>
      </c>
      <c r="D1217" t="s">
        <v>16</v>
      </c>
      <c r="E1217" t="s">
        <v>483</v>
      </c>
      <c r="F1217" t="s">
        <v>80</v>
      </c>
      <c r="G1217" s="31">
        <v>187518.08361798589</v>
      </c>
      <c r="H1217" s="31">
        <v>0</v>
      </c>
      <c r="I1217" s="31">
        <v>0</v>
      </c>
      <c r="J1217" s="32">
        <f t="shared" si="96"/>
        <v>0</v>
      </c>
      <c r="K1217" s="31">
        <v>237364.66280757709</v>
      </c>
      <c r="L1217" s="31">
        <v>187518.08361798589</v>
      </c>
      <c r="M1217" s="32">
        <f t="shared" si="97"/>
        <v>187518.08361798589</v>
      </c>
      <c r="N1217" s="33">
        <f>Result_notebook!L1217</f>
        <v>0.69917047091553897</v>
      </c>
      <c r="O1217" s="31">
        <f t="shared" si="98"/>
        <v>0</v>
      </c>
      <c r="P1217" s="31">
        <f t="shared" si="101"/>
        <v>0</v>
      </c>
      <c r="Q1217">
        <f t="shared" si="100"/>
        <v>0</v>
      </c>
    </row>
    <row r="1218" spans="1:17" x14ac:dyDescent="0.35">
      <c r="A1218">
        <v>2038</v>
      </c>
      <c r="B1218" t="s">
        <v>8</v>
      </c>
      <c r="C1218" t="s">
        <v>4</v>
      </c>
      <c r="D1218" t="s">
        <v>16</v>
      </c>
      <c r="E1218" t="s">
        <v>483</v>
      </c>
      <c r="F1218" t="s">
        <v>81</v>
      </c>
      <c r="G1218" s="31">
        <v>187518.08361798589</v>
      </c>
      <c r="H1218" s="31">
        <v>40840</v>
      </c>
      <c r="I1218" s="31">
        <v>22906.340951526421</v>
      </c>
      <c r="J1218" s="32">
        <f t="shared" si="96"/>
        <v>5647.7810806641901</v>
      </c>
      <c r="K1218" s="31">
        <v>196524.66280757709</v>
      </c>
      <c r="L1218" s="31">
        <v>164611.7426664595</v>
      </c>
      <c r="M1218" s="32">
        <f t="shared" si="97"/>
        <v>158963.9615857953</v>
      </c>
      <c r="N1218" s="33">
        <f>Result_notebook!L1218</f>
        <v>0.69917047091553897</v>
      </c>
      <c r="O1218" s="31">
        <f t="shared" si="98"/>
        <v>0</v>
      </c>
      <c r="P1218" s="31">
        <f t="shared" si="101"/>
        <v>0</v>
      </c>
      <c r="Q1218">
        <f t="shared" si="100"/>
        <v>5647.7810806641901</v>
      </c>
    </row>
    <row r="1219" spans="1:17" x14ac:dyDescent="0.35">
      <c r="A1219">
        <v>2038</v>
      </c>
      <c r="B1219" t="s">
        <v>8</v>
      </c>
      <c r="C1219" t="s">
        <v>4</v>
      </c>
      <c r="D1219" t="s">
        <v>18</v>
      </c>
      <c r="E1219" t="s">
        <v>483</v>
      </c>
      <c r="F1219" t="s">
        <v>85</v>
      </c>
      <c r="G1219" s="31">
        <v>187518.08361798589</v>
      </c>
      <c r="H1219" s="31">
        <v>258091.26037832</v>
      </c>
      <c r="I1219" s="31">
        <v>144758.23718988689</v>
      </c>
      <c r="J1219" s="32">
        <f t="shared" ref="J1219:J1282" si="102">H1219*N1219-I1219</f>
        <v>35691.550868008082</v>
      </c>
      <c r="K1219" s="31">
        <v>0</v>
      </c>
      <c r="L1219" s="31">
        <v>42759.846428099001</v>
      </c>
      <c r="M1219" s="32">
        <f t="shared" ref="M1219:M1282" si="103">MAX(L1219-J1219,0)</f>
        <v>7068.295560090919</v>
      </c>
      <c r="N1219" s="33">
        <f>Result_notebook!L1219</f>
        <v>0.69917047091553897</v>
      </c>
      <c r="O1219" s="31">
        <f t="shared" ref="O1219:O1282" si="104">G1219-(I1219+J1219+M1219)</f>
        <v>0</v>
      </c>
      <c r="P1219" s="31">
        <f t="shared" ref="P1219:P1282" si="105">MAX(I1219-G1219,0)</f>
        <v>0</v>
      </c>
      <c r="Q1219">
        <f t="shared" ref="Q1219:Q1282" si="106">(H1219*N1219)-I1219</f>
        <v>35691.550868008082</v>
      </c>
    </row>
    <row r="1220" spans="1:17" x14ac:dyDescent="0.35">
      <c r="A1220">
        <v>2038</v>
      </c>
      <c r="B1220" t="s">
        <v>8</v>
      </c>
      <c r="C1220" t="s">
        <v>4</v>
      </c>
      <c r="D1220" t="s">
        <v>18</v>
      </c>
      <c r="E1220" t="s">
        <v>483</v>
      </c>
      <c r="F1220" t="s">
        <v>86</v>
      </c>
      <c r="G1220" s="31">
        <v>187518.08361798589</v>
      </c>
      <c r="H1220" s="31">
        <v>258091.26037832</v>
      </c>
      <c r="I1220" s="31">
        <v>144758.23718988689</v>
      </c>
      <c r="J1220" s="32">
        <f t="shared" si="102"/>
        <v>35691.550868008082</v>
      </c>
      <c r="K1220" s="31">
        <v>0</v>
      </c>
      <c r="L1220" s="31">
        <v>42759.846428099001</v>
      </c>
      <c r="M1220" s="32">
        <f t="shared" si="103"/>
        <v>7068.295560090919</v>
      </c>
      <c r="N1220" s="33">
        <f>Result_notebook!L1220</f>
        <v>0.69917047091553897</v>
      </c>
      <c r="O1220" s="31">
        <f t="shared" si="104"/>
        <v>0</v>
      </c>
      <c r="P1220" s="31">
        <f t="shared" si="105"/>
        <v>0</v>
      </c>
      <c r="Q1220">
        <f t="shared" si="106"/>
        <v>35691.550868008082</v>
      </c>
    </row>
    <row r="1221" spans="1:17" x14ac:dyDescent="0.35">
      <c r="A1221">
        <v>2038</v>
      </c>
      <c r="B1221" t="s">
        <v>8</v>
      </c>
      <c r="C1221" t="s">
        <v>4</v>
      </c>
      <c r="D1221" t="s">
        <v>18</v>
      </c>
      <c r="E1221" t="s">
        <v>490</v>
      </c>
      <c r="F1221" t="s">
        <v>82</v>
      </c>
      <c r="G1221" s="31">
        <v>187518.08361798589</v>
      </c>
      <c r="H1221" s="31">
        <v>258091.26037832</v>
      </c>
      <c r="I1221" s="31">
        <v>203261.06175615019</v>
      </c>
      <c r="J1221" s="32">
        <f t="shared" si="102"/>
        <v>-22811.273698255216</v>
      </c>
      <c r="K1221" s="31">
        <v>0</v>
      </c>
      <c r="L1221" s="31">
        <v>0</v>
      </c>
      <c r="M1221" s="32">
        <f t="shared" si="103"/>
        <v>22811.273698255216</v>
      </c>
      <c r="N1221" s="33">
        <f>Result_notebook!L1221</f>
        <v>0.69917047091553897</v>
      </c>
      <c r="O1221" s="31">
        <f t="shared" si="104"/>
        <v>-15742.978138164297</v>
      </c>
      <c r="P1221" s="31">
        <f t="shared" si="105"/>
        <v>15742.978138164297</v>
      </c>
      <c r="Q1221">
        <f t="shared" si="106"/>
        <v>-22811.273698255216</v>
      </c>
    </row>
    <row r="1222" spans="1:17" x14ac:dyDescent="0.35">
      <c r="A1222">
        <v>2038</v>
      </c>
      <c r="B1222" t="s">
        <v>8</v>
      </c>
      <c r="C1222" t="s">
        <v>9</v>
      </c>
      <c r="D1222" t="s">
        <v>16</v>
      </c>
      <c r="E1222" t="s">
        <v>483</v>
      </c>
      <c r="F1222" t="s">
        <v>80</v>
      </c>
      <c r="G1222" s="31">
        <v>73173.599088158604</v>
      </c>
      <c r="H1222" s="31">
        <v>0</v>
      </c>
      <c r="I1222" s="31">
        <v>0</v>
      </c>
      <c r="J1222" s="32">
        <f t="shared" si="102"/>
        <v>0</v>
      </c>
      <c r="K1222" s="31">
        <v>92624.808972352665</v>
      </c>
      <c r="L1222" s="31">
        <v>73173.599088158604</v>
      </c>
      <c r="M1222" s="32">
        <f t="shared" si="103"/>
        <v>73173.599088158604</v>
      </c>
      <c r="N1222" s="33">
        <f>Result_notebook!L1222</f>
        <v>0.69917047091553897</v>
      </c>
      <c r="O1222" s="31">
        <f t="shared" si="104"/>
        <v>0</v>
      </c>
      <c r="P1222" s="31">
        <f t="shared" si="105"/>
        <v>0</v>
      </c>
      <c r="Q1222">
        <f t="shared" si="106"/>
        <v>0</v>
      </c>
    </row>
    <row r="1223" spans="1:17" x14ac:dyDescent="0.35">
      <c r="A1223">
        <v>2038</v>
      </c>
      <c r="B1223" t="s">
        <v>8</v>
      </c>
      <c r="C1223" t="s">
        <v>9</v>
      </c>
      <c r="D1223" t="s">
        <v>16</v>
      </c>
      <c r="E1223" t="s">
        <v>483</v>
      </c>
      <c r="F1223" t="s">
        <v>81</v>
      </c>
      <c r="G1223" s="31">
        <v>73173.599088158604</v>
      </c>
      <c r="H1223" s="31">
        <v>40840</v>
      </c>
      <c r="I1223" s="31">
        <v>22906.340951526421</v>
      </c>
      <c r="J1223" s="32">
        <f t="shared" si="102"/>
        <v>5647.7810806641901</v>
      </c>
      <c r="K1223" s="31">
        <v>51784.808972352657</v>
      </c>
      <c r="L1223" s="31">
        <v>50267.258136632183</v>
      </c>
      <c r="M1223" s="32">
        <f t="shared" si="103"/>
        <v>44619.477055967989</v>
      </c>
      <c r="N1223" s="33">
        <f>Result_notebook!L1223</f>
        <v>0.69917047091553897</v>
      </c>
      <c r="O1223" s="31">
        <f t="shared" si="104"/>
        <v>0</v>
      </c>
      <c r="P1223" s="31">
        <f t="shared" si="105"/>
        <v>0</v>
      </c>
      <c r="Q1223">
        <f t="shared" si="106"/>
        <v>5647.7810806641901</v>
      </c>
    </row>
    <row r="1224" spans="1:17" x14ac:dyDescent="0.35">
      <c r="A1224">
        <v>2038</v>
      </c>
      <c r="B1224" t="s">
        <v>8</v>
      </c>
      <c r="C1224" t="s">
        <v>9</v>
      </c>
      <c r="D1224" t="s">
        <v>18</v>
      </c>
      <c r="E1224" t="s">
        <v>483</v>
      </c>
      <c r="F1224" t="s">
        <v>85</v>
      </c>
      <c r="G1224" s="31">
        <v>73173.599088158604</v>
      </c>
      <c r="H1224" s="31">
        <v>258091.26037832</v>
      </c>
      <c r="I1224" s="31">
        <v>144758.23718988689</v>
      </c>
      <c r="J1224" s="32">
        <f t="shared" si="102"/>
        <v>35691.550868008082</v>
      </c>
      <c r="K1224" s="31">
        <v>0</v>
      </c>
      <c r="L1224" s="31">
        <v>0</v>
      </c>
      <c r="M1224" s="32">
        <f t="shared" si="103"/>
        <v>0</v>
      </c>
      <c r="N1224" s="33">
        <f>Result_notebook!L1224</f>
        <v>0.69917047091553897</v>
      </c>
      <c r="O1224" s="31">
        <f t="shared" si="104"/>
        <v>-107276.18896973637</v>
      </c>
      <c r="P1224" s="31">
        <f t="shared" si="105"/>
        <v>71584.638101728284</v>
      </c>
      <c r="Q1224">
        <f t="shared" si="106"/>
        <v>35691.550868008082</v>
      </c>
    </row>
    <row r="1225" spans="1:17" x14ac:dyDescent="0.35">
      <c r="A1225">
        <v>2038</v>
      </c>
      <c r="B1225" t="s">
        <v>8</v>
      </c>
      <c r="C1225" t="s">
        <v>9</v>
      </c>
      <c r="D1225" t="s">
        <v>18</v>
      </c>
      <c r="E1225" t="s">
        <v>483</v>
      </c>
      <c r="F1225" t="s">
        <v>86</v>
      </c>
      <c r="G1225" s="31">
        <v>73173.599088158604</v>
      </c>
      <c r="H1225" s="31">
        <v>258091.26037832</v>
      </c>
      <c r="I1225" s="31">
        <v>144758.23718988689</v>
      </c>
      <c r="J1225" s="32">
        <f t="shared" si="102"/>
        <v>35691.550868008082</v>
      </c>
      <c r="K1225" s="31">
        <v>0</v>
      </c>
      <c r="L1225" s="31">
        <v>0</v>
      </c>
      <c r="M1225" s="32">
        <f t="shared" si="103"/>
        <v>0</v>
      </c>
      <c r="N1225" s="33">
        <f>Result_notebook!L1225</f>
        <v>0.69917047091553897</v>
      </c>
      <c r="O1225" s="31">
        <f t="shared" si="104"/>
        <v>-107276.18896973637</v>
      </c>
      <c r="P1225" s="31">
        <f t="shared" si="105"/>
        <v>71584.638101728284</v>
      </c>
      <c r="Q1225">
        <f t="shared" si="106"/>
        <v>35691.550868008082</v>
      </c>
    </row>
    <row r="1226" spans="1:17" x14ac:dyDescent="0.35">
      <c r="A1226">
        <v>2038</v>
      </c>
      <c r="B1226" t="s">
        <v>8</v>
      </c>
      <c r="C1226" t="s">
        <v>9</v>
      </c>
      <c r="D1226" t="s">
        <v>18</v>
      </c>
      <c r="E1226" t="s">
        <v>490</v>
      </c>
      <c r="F1226" t="s">
        <v>82</v>
      </c>
      <c r="G1226" s="31">
        <v>73173.599088158604</v>
      </c>
      <c r="H1226" s="31">
        <v>258091.26037832</v>
      </c>
      <c r="I1226" s="31">
        <v>203261.06175615019</v>
      </c>
      <c r="J1226" s="32">
        <f t="shared" si="102"/>
        <v>-22811.273698255216</v>
      </c>
      <c r="K1226" s="31">
        <v>0</v>
      </c>
      <c r="L1226" s="31">
        <v>0</v>
      </c>
      <c r="M1226" s="32">
        <f t="shared" si="103"/>
        <v>22811.273698255216</v>
      </c>
      <c r="N1226" s="33">
        <f>Result_notebook!L1226</f>
        <v>0.69917047091553897</v>
      </c>
      <c r="O1226" s="31">
        <f t="shared" si="104"/>
        <v>-130087.46266799158</v>
      </c>
      <c r="P1226" s="31">
        <f t="shared" si="105"/>
        <v>130087.46266799158</v>
      </c>
      <c r="Q1226">
        <f t="shared" si="106"/>
        <v>-22811.273698255216</v>
      </c>
    </row>
    <row r="1227" spans="1:17" x14ac:dyDescent="0.35">
      <c r="A1227">
        <v>2038</v>
      </c>
      <c r="B1227" t="s">
        <v>8</v>
      </c>
      <c r="C1227" t="s">
        <v>10</v>
      </c>
      <c r="D1227" t="s">
        <v>16</v>
      </c>
      <c r="E1227" t="s">
        <v>483</v>
      </c>
      <c r="F1227" t="s">
        <v>80</v>
      </c>
      <c r="G1227" s="31">
        <v>180012.93508836121</v>
      </c>
      <c r="H1227" s="31">
        <v>0</v>
      </c>
      <c r="I1227" s="31">
        <v>0</v>
      </c>
      <c r="J1227" s="32">
        <f t="shared" si="102"/>
        <v>0</v>
      </c>
      <c r="K1227" s="31">
        <v>227864.47479539391</v>
      </c>
      <c r="L1227" s="31">
        <v>180012.93508836121</v>
      </c>
      <c r="M1227" s="32">
        <f t="shared" si="103"/>
        <v>180012.93508836121</v>
      </c>
      <c r="N1227" s="33">
        <f>Result_notebook!L1227</f>
        <v>0.69917047091553897</v>
      </c>
      <c r="O1227" s="31">
        <f t="shared" si="104"/>
        <v>0</v>
      </c>
      <c r="P1227" s="31">
        <f t="shared" si="105"/>
        <v>0</v>
      </c>
      <c r="Q1227">
        <f t="shared" si="106"/>
        <v>0</v>
      </c>
    </row>
    <row r="1228" spans="1:17" x14ac:dyDescent="0.35">
      <c r="A1228">
        <v>2038</v>
      </c>
      <c r="B1228" t="s">
        <v>8</v>
      </c>
      <c r="C1228" t="s">
        <v>10</v>
      </c>
      <c r="D1228" t="s">
        <v>16</v>
      </c>
      <c r="E1228" t="s">
        <v>483</v>
      </c>
      <c r="F1228" t="s">
        <v>81</v>
      </c>
      <c r="G1228" s="31">
        <v>180012.93508836121</v>
      </c>
      <c r="H1228" s="31">
        <v>40840</v>
      </c>
      <c r="I1228" s="31">
        <v>22906.340951526421</v>
      </c>
      <c r="J1228" s="32">
        <f t="shared" si="102"/>
        <v>5647.7810806641901</v>
      </c>
      <c r="K1228" s="31">
        <v>187024.47479539391</v>
      </c>
      <c r="L1228" s="31">
        <v>157106.59413683481</v>
      </c>
      <c r="M1228" s="32">
        <f t="shared" si="103"/>
        <v>151458.81305617062</v>
      </c>
      <c r="N1228" s="33">
        <f>Result_notebook!L1228</f>
        <v>0.69917047091553897</v>
      </c>
      <c r="O1228" s="31">
        <f t="shared" si="104"/>
        <v>0</v>
      </c>
      <c r="P1228" s="31">
        <f t="shared" si="105"/>
        <v>0</v>
      </c>
      <c r="Q1228">
        <f t="shared" si="106"/>
        <v>5647.7810806641901</v>
      </c>
    </row>
    <row r="1229" spans="1:17" x14ac:dyDescent="0.35">
      <c r="A1229">
        <v>2038</v>
      </c>
      <c r="B1229" t="s">
        <v>8</v>
      </c>
      <c r="C1229" t="s">
        <v>10</v>
      </c>
      <c r="D1229" t="s">
        <v>18</v>
      </c>
      <c r="E1229" t="s">
        <v>483</v>
      </c>
      <c r="F1229" t="s">
        <v>85</v>
      </c>
      <c r="G1229" s="31">
        <v>180012.93508836121</v>
      </c>
      <c r="H1229" s="31">
        <v>258091.26037832</v>
      </c>
      <c r="I1229" s="31">
        <v>144758.23718988689</v>
      </c>
      <c r="J1229" s="32">
        <f t="shared" si="102"/>
        <v>35691.550868008082</v>
      </c>
      <c r="K1229" s="31">
        <v>0</v>
      </c>
      <c r="L1229" s="31">
        <v>35254.697898474318</v>
      </c>
      <c r="M1229" s="32">
        <f t="shared" si="103"/>
        <v>0</v>
      </c>
      <c r="N1229" s="33">
        <f>Result_notebook!L1229</f>
        <v>0.69917047091553897</v>
      </c>
      <c r="O1229" s="31">
        <f t="shared" si="104"/>
        <v>-436.85296953376383</v>
      </c>
      <c r="P1229" s="31">
        <f t="shared" si="105"/>
        <v>0</v>
      </c>
      <c r="Q1229">
        <f t="shared" si="106"/>
        <v>35691.550868008082</v>
      </c>
    </row>
    <row r="1230" spans="1:17" x14ac:dyDescent="0.35">
      <c r="A1230">
        <v>2038</v>
      </c>
      <c r="B1230" t="s">
        <v>8</v>
      </c>
      <c r="C1230" t="s">
        <v>10</v>
      </c>
      <c r="D1230" t="s">
        <v>18</v>
      </c>
      <c r="E1230" t="s">
        <v>483</v>
      </c>
      <c r="F1230" t="s">
        <v>86</v>
      </c>
      <c r="G1230" s="31">
        <v>180012.93508836121</v>
      </c>
      <c r="H1230" s="31">
        <v>258091.26037832</v>
      </c>
      <c r="I1230" s="31">
        <v>144758.23718988689</v>
      </c>
      <c r="J1230" s="32">
        <f t="shared" si="102"/>
        <v>35691.550868008082</v>
      </c>
      <c r="K1230" s="31">
        <v>0</v>
      </c>
      <c r="L1230" s="31">
        <v>35254.697898474318</v>
      </c>
      <c r="M1230" s="32">
        <f t="shared" si="103"/>
        <v>0</v>
      </c>
      <c r="N1230" s="33">
        <f>Result_notebook!L1230</f>
        <v>0.69917047091553897</v>
      </c>
      <c r="O1230" s="31">
        <f t="shared" si="104"/>
        <v>-436.85296953376383</v>
      </c>
      <c r="P1230" s="31">
        <f t="shared" si="105"/>
        <v>0</v>
      </c>
      <c r="Q1230">
        <f t="shared" si="106"/>
        <v>35691.550868008082</v>
      </c>
    </row>
    <row r="1231" spans="1:17" x14ac:dyDescent="0.35">
      <c r="A1231">
        <v>2038</v>
      </c>
      <c r="B1231" t="s">
        <v>8</v>
      </c>
      <c r="C1231" t="s">
        <v>10</v>
      </c>
      <c r="D1231" t="s">
        <v>18</v>
      </c>
      <c r="E1231" t="s">
        <v>490</v>
      </c>
      <c r="F1231" t="s">
        <v>82</v>
      </c>
      <c r="G1231" s="31">
        <v>180012.93508836121</v>
      </c>
      <c r="H1231" s="31">
        <v>258091.26037832</v>
      </c>
      <c r="I1231" s="31">
        <v>203261.06175615019</v>
      </c>
      <c r="J1231" s="32">
        <f t="shared" si="102"/>
        <v>-22811.273698255216</v>
      </c>
      <c r="K1231" s="31">
        <v>0</v>
      </c>
      <c r="L1231" s="31">
        <v>0</v>
      </c>
      <c r="M1231" s="32">
        <f t="shared" si="103"/>
        <v>22811.273698255216</v>
      </c>
      <c r="N1231" s="33">
        <f>Result_notebook!L1231</f>
        <v>0.69917047091553897</v>
      </c>
      <c r="O1231" s="31">
        <f t="shared" si="104"/>
        <v>-23248.12666778898</v>
      </c>
      <c r="P1231" s="31">
        <f t="shared" si="105"/>
        <v>23248.12666778898</v>
      </c>
      <c r="Q1231">
        <f t="shared" si="106"/>
        <v>-22811.273698255216</v>
      </c>
    </row>
    <row r="1232" spans="1:17" x14ac:dyDescent="0.35">
      <c r="A1232">
        <v>2038</v>
      </c>
      <c r="B1232" t="s">
        <v>13</v>
      </c>
      <c r="C1232" t="s">
        <v>4</v>
      </c>
      <c r="D1232" t="s">
        <v>16</v>
      </c>
      <c r="E1232" t="s">
        <v>483</v>
      </c>
      <c r="F1232" t="s">
        <v>80</v>
      </c>
      <c r="G1232" s="31">
        <v>3217.8690369252022</v>
      </c>
      <c r="H1232" s="31">
        <v>0</v>
      </c>
      <c r="I1232" s="31">
        <v>0</v>
      </c>
      <c r="J1232" s="32">
        <f t="shared" si="102"/>
        <v>0</v>
      </c>
      <c r="K1232" s="31">
        <v>3217.8690369252022</v>
      </c>
      <c r="L1232" s="31">
        <v>3217.8690369252022</v>
      </c>
      <c r="M1232" s="32">
        <f t="shared" si="103"/>
        <v>3217.8690369252022</v>
      </c>
      <c r="N1232" s="33">
        <f>Result_notebook!L1232</f>
        <v>0.59854391398996798</v>
      </c>
      <c r="O1232" s="31">
        <f t="shared" si="104"/>
        <v>0</v>
      </c>
      <c r="P1232" s="31">
        <f t="shared" si="105"/>
        <v>0</v>
      </c>
      <c r="Q1232">
        <f t="shared" si="106"/>
        <v>0</v>
      </c>
    </row>
    <row r="1233" spans="1:17" x14ac:dyDescent="0.35">
      <c r="A1233">
        <v>2038</v>
      </c>
      <c r="B1233" t="s">
        <v>13</v>
      </c>
      <c r="C1233" t="s">
        <v>4</v>
      </c>
      <c r="D1233" t="s">
        <v>16</v>
      </c>
      <c r="E1233" t="s">
        <v>483</v>
      </c>
      <c r="F1233" t="s">
        <v>81</v>
      </c>
      <c r="G1233" s="31">
        <v>3217.8690369252022</v>
      </c>
      <c r="H1233" s="31">
        <v>0</v>
      </c>
      <c r="I1233" s="31">
        <v>0</v>
      </c>
      <c r="J1233" s="32">
        <f t="shared" si="102"/>
        <v>0</v>
      </c>
      <c r="K1233" s="31">
        <v>3217.8690369252022</v>
      </c>
      <c r="L1233" s="31">
        <v>3217.8690369252022</v>
      </c>
      <c r="M1233" s="32">
        <f t="shared" si="103"/>
        <v>3217.8690369252022</v>
      </c>
      <c r="N1233" s="33">
        <f>Result_notebook!L1233</f>
        <v>0.59854391398996798</v>
      </c>
      <c r="O1233" s="31">
        <f t="shared" si="104"/>
        <v>0</v>
      </c>
      <c r="P1233" s="31">
        <f t="shared" si="105"/>
        <v>0</v>
      </c>
      <c r="Q1233">
        <f t="shared" si="106"/>
        <v>0</v>
      </c>
    </row>
    <row r="1234" spans="1:17" x14ac:dyDescent="0.35">
      <c r="A1234">
        <v>2038</v>
      </c>
      <c r="B1234" t="s">
        <v>13</v>
      </c>
      <c r="C1234" t="s">
        <v>4</v>
      </c>
      <c r="D1234" t="s">
        <v>18</v>
      </c>
      <c r="E1234" t="s">
        <v>483</v>
      </c>
      <c r="F1234" t="s">
        <v>85</v>
      </c>
      <c r="G1234" s="31">
        <v>3217.8690369252022</v>
      </c>
      <c r="H1234" s="31">
        <v>274859.68267713313</v>
      </c>
      <c r="I1234" s="31">
        <v>90703.695283453941</v>
      </c>
      <c r="J1234" s="32">
        <f t="shared" si="102"/>
        <v>73811.894984157931</v>
      </c>
      <c r="K1234" s="31">
        <v>0</v>
      </c>
      <c r="L1234" s="31">
        <v>0</v>
      </c>
      <c r="M1234" s="32">
        <f t="shared" si="103"/>
        <v>0</v>
      </c>
      <c r="N1234" s="33">
        <f>Result_notebook!L1234</f>
        <v>0.59854391398996798</v>
      </c>
      <c r="O1234" s="31">
        <f t="shared" si="104"/>
        <v>-161297.72123068667</v>
      </c>
      <c r="P1234" s="31">
        <f t="shared" si="105"/>
        <v>87485.826246528741</v>
      </c>
      <c r="Q1234">
        <f t="shared" si="106"/>
        <v>73811.894984157931</v>
      </c>
    </row>
    <row r="1235" spans="1:17" x14ac:dyDescent="0.35">
      <c r="A1235">
        <v>2038</v>
      </c>
      <c r="B1235" t="s">
        <v>13</v>
      </c>
      <c r="C1235" t="s">
        <v>4</v>
      </c>
      <c r="D1235" t="s">
        <v>18</v>
      </c>
      <c r="E1235" t="s">
        <v>483</v>
      </c>
      <c r="F1235" t="s">
        <v>86</v>
      </c>
      <c r="G1235" s="31">
        <v>3217.8690369252022</v>
      </c>
      <c r="H1235" s="31">
        <v>274859.68267713313</v>
      </c>
      <c r="I1235" s="31">
        <v>90703.695283453941</v>
      </c>
      <c r="J1235" s="32">
        <f t="shared" si="102"/>
        <v>73811.894984157931</v>
      </c>
      <c r="K1235" s="31">
        <v>0</v>
      </c>
      <c r="L1235" s="31">
        <v>0</v>
      </c>
      <c r="M1235" s="32">
        <f t="shared" si="103"/>
        <v>0</v>
      </c>
      <c r="N1235" s="33">
        <f>Result_notebook!L1235</f>
        <v>0.59854391398996798</v>
      </c>
      <c r="O1235" s="31">
        <f t="shared" si="104"/>
        <v>-161297.72123068667</v>
      </c>
      <c r="P1235" s="31">
        <f t="shared" si="105"/>
        <v>87485.826246528741</v>
      </c>
      <c r="Q1235">
        <f t="shared" si="106"/>
        <v>73811.894984157931</v>
      </c>
    </row>
    <row r="1236" spans="1:17" x14ac:dyDescent="0.35">
      <c r="A1236">
        <v>2038</v>
      </c>
      <c r="B1236" t="s">
        <v>13</v>
      </c>
      <c r="C1236" t="s">
        <v>4</v>
      </c>
      <c r="D1236" t="s">
        <v>18</v>
      </c>
      <c r="E1236" t="s">
        <v>490</v>
      </c>
      <c r="F1236" t="s">
        <v>82</v>
      </c>
      <c r="G1236" s="31">
        <v>3217.8690369252022</v>
      </c>
      <c r="H1236" s="31">
        <v>274859.68267713313</v>
      </c>
      <c r="I1236" s="31">
        <v>90703.695283453941</v>
      </c>
      <c r="J1236" s="32">
        <f t="shared" si="102"/>
        <v>73811.894984157931</v>
      </c>
      <c r="K1236" s="31">
        <v>0</v>
      </c>
      <c r="L1236" s="31">
        <v>0</v>
      </c>
      <c r="M1236" s="32">
        <f t="shared" si="103"/>
        <v>0</v>
      </c>
      <c r="N1236" s="33">
        <f>Result_notebook!L1236</f>
        <v>0.59854391398996798</v>
      </c>
      <c r="O1236" s="31">
        <f t="shared" si="104"/>
        <v>-161297.72123068667</v>
      </c>
      <c r="P1236" s="31">
        <f t="shared" si="105"/>
        <v>87485.826246528741</v>
      </c>
      <c r="Q1236">
        <f t="shared" si="106"/>
        <v>73811.894984157931</v>
      </c>
    </row>
    <row r="1237" spans="1:17" x14ac:dyDescent="0.35">
      <c r="A1237">
        <v>2038</v>
      </c>
      <c r="B1237" t="s">
        <v>13</v>
      </c>
      <c r="C1237" t="s">
        <v>9</v>
      </c>
      <c r="D1237" t="s">
        <v>16</v>
      </c>
      <c r="E1237" t="s">
        <v>483</v>
      </c>
      <c r="F1237" t="s">
        <v>80</v>
      </c>
      <c r="G1237" s="31">
        <v>1181.563288191096</v>
      </c>
      <c r="H1237" s="31">
        <v>0</v>
      </c>
      <c r="I1237" s="31">
        <v>0</v>
      </c>
      <c r="J1237" s="32">
        <f t="shared" si="102"/>
        <v>0</v>
      </c>
      <c r="K1237" s="31">
        <v>1181.563288191096</v>
      </c>
      <c r="L1237" s="31">
        <v>1181.563288191096</v>
      </c>
      <c r="M1237" s="32">
        <f t="shared" si="103"/>
        <v>1181.563288191096</v>
      </c>
      <c r="N1237" s="33">
        <f>Result_notebook!L1237</f>
        <v>0.59854391398996798</v>
      </c>
      <c r="O1237" s="31">
        <f t="shared" si="104"/>
        <v>0</v>
      </c>
      <c r="P1237" s="31">
        <f t="shared" si="105"/>
        <v>0</v>
      </c>
      <c r="Q1237">
        <f t="shared" si="106"/>
        <v>0</v>
      </c>
    </row>
    <row r="1238" spans="1:17" x14ac:dyDescent="0.35">
      <c r="A1238">
        <v>2038</v>
      </c>
      <c r="B1238" t="s">
        <v>13</v>
      </c>
      <c r="C1238" t="s">
        <v>9</v>
      </c>
      <c r="D1238" t="s">
        <v>16</v>
      </c>
      <c r="E1238" t="s">
        <v>483</v>
      </c>
      <c r="F1238" t="s">
        <v>81</v>
      </c>
      <c r="G1238" s="31">
        <v>1181.563288191096</v>
      </c>
      <c r="H1238" s="31">
        <v>0</v>
      </c>
      <c r="I1238" s="31">
        <v>0</v>
      </c>
      <c r="J1238" s="32">
        <f t="shared" si="102"/>
        <v>0</v>
      </c>
      <c r="K1238" s="31">
        <v>1181.563288191096</v>
      </c>
      <c r="L1238" s="31">
        <v>1181.563288191096</v>
      </c>
      <c r="M1238" s="32">
        <f t="shared" si="103"/>
        <v>1181.563288191096</v>
      </c>
      <c r="N1238" s="33">
        <f>Result_notebook!L1238</f>
        <v>0.59854391398996798</v>
      </c>
      <c r="O1238" s="31">
        <f t="shared" si="104"/>
        <v>0</v>
      </c>
      <c r="P1238" s="31">
        <f t="shared" si="105"/>
        <v>0</v>
      </c>
      <c r="Q1238">
        <f t="shared" si="106"/>
        <v>0</v>
      </c>
    </row>
    <row r="1239" spans="1:17" x14ac:dyDescent="0.35">
      <c r="A1239">
        <v>2038</v>
      </c>
      <c r="B1239" t="s">
        <v>13</v>
      </c>
      <c r="C1239" t="s">
        <v>9</v>
      </c>
      <c r="D1239" t="s">
        <v>18</v>
      </c>
      <c r="E1239" t="s">
        <v>483</v>
      </c>
      <c r="F1239" t="s">
        <v>85</v>
      </c>
      <c r="G1239" s="31">
        <v>1181.563288191096</v>
      </c>
      <c r="H1239" s="31">
        <v>274859.68267713313</v>
      </c>
      <c r="I1239" s="31">
        <v>90703.695283453941</v>
      </c>
      <c r="J1239" s="32">
        <f t="shared" si="102"/>
        <v>73811.894984157931</v>
      </c>
      <c r="K1239" s="31">
        <v>0</v>
      </c>
      <c r="L1239" s="31">
        <v>0</v>
      </c>
      <c r="M1239" s="32">
        <f t="shared" si="103"/>
        <v>0</v>
      </c>
      <c r="N1239" s="33">
        <f>Result_notebook!L1239</f>
        <v>0.59854391398996798</v>
      </c>
      <c r="O1239" s="31">
        <f t="shared" si="104"/>
        <v>-163334.02697942077</v>
      </c>
      <c r="P1239" s="31">
        <f t="shared" si="105"/>
        <v>89522.13199526284</v>
      </c>
      <c r="Q1239">
        <f t="shared" si="106"/>
        <v>73811.894984157931</v>
      </c>
    </row>
    <row r="1240" spans="1:17" x14ac:dyDescent="0.35">
      <c r="A1240">
        <v>2038</v>
      </c>
      <c r="B1240" t="s">
        <v>13</v>
      </c>
      <c r="C1240" t="s">
        <v>9</v>
      </c>
      <c r="D1240" t="s">
        <v>18</v>
      </c>
      <c r="E1240" t="s">
        <v>483</v>
      </c>
      <c r="F1240" t="s">
        <v>86</v>
      </c>
      <c r="G1240" s="31">
        <v>1181.563288191096</v>
      </c>
      <c r="H1240" s="31">
        <v>274859.68267713313</v>
      </c>
      <c r="I1240" s="31">
        <v>90703.695283453941</v>
      </c>
      <c r="J1240" s="32">
        <f t="shared" si="102"/>
        <v>73811.894984157931</v>
      </c>
      <c r="K1240" s="31">
        <v>0</v>
      </c>
      <c r="L1240" s="31">
        <v>0</v>
      </c>
      <c r="M1240" s="32">
        <f t="shared" si="103"/>
        <v>0</v>
      </c>
      <c r="N1240" s="33">
        <f>Result_notebook!L1240</f>
        <v>0.59854391398996798</v>
      </c>
      <c r="O1240" s="31">
        <f t="shared" si="104"/>
        <v>-163334.02697942077</v>
      </c>
      <c r="P1240" s="31">
        <f t="shared" si="105"/>
        <v>89522.13199526284</v>
      </c>
      <c r="Q1240">
        <f t="shared" si="106"/>
        <v>73811.894984157931</v>
      </c>
    </row>
    <row r="1241" spans="1:17" x14ac:dyDescent="0.35">
      <c r="A1241">
        <v>2038</v>
      </c>
      <c r="B1241" t="s">
        <v>13</v>
      </c>
      <c r="C1241" t="s">
        <v>9</v>
      </c>
      <c r="D1241" t="s">
        <v>18</v>
      </c>
      <c r="E1241" t="s">
        <v>490</v>
      </c>
      <c r="F1241" t="s">
        <v>82</v>
      </c>
      <c r="G1241" s="31">
        <v>1181.563288191096</v>
      </c>
      <c r="H1241" s="31">
        <v>274859.68267713313</v>
      </c>
      <c r="I1241" s="31">
        <v>90703.695283453941</v>
      </c>
      <c r="J1241" s="32">
        <f t="shared" si="102"/>
        <v>73811.894984157931</v>
      </c>
      <c r="K1241" s="31">
        <v>0</v>
      </c>
      <c r="L1241" s="31">
        <v>0</v>
      </c>
      <c r="M1241" s="32">
        <f t="shared" si="103"/>
        <v>0</v>
      </c>
      <c r="N1241" s="33">
        <f>Result_notebook!L1241</f>
        <v>0.59854391398996798</v>
      </c>
      <c r="O1241" s="31">
        <f t="shared" si="104"/>
        <v>-163334.02697942077</v>
      </c>
      <c r="P1241" s="31">
        <f t="shared" si="105"/>
        <v>89522.13199526284</v>
      </c>
      <c r="Q1241">
        <f t="shared" si="106"/>
        <v>73811.894984157931</v>
      </c>
    </row>
    <row r="1242" spans="1:17" x14ac:dyDescent="0.35">
      <c r="A1242">
        <v>2038</v>
      </c>
      <c r="B1242" t="s">
        <v>13</v>
      </c>
      <c r="C1242" t="s">
        <v>10</v>
      </c>
      <c r="D1242" t="s">
        <v>16</v>
      </c>
      <c r="E1242" t="s">
        <v>483</v>
      </c>
      <c r="F1242" t="s">
        <v>80</v>
      </c>
      <c r="G1242" s="31">
        <v>3068.3631462626749</v>
      </c>
      <c r="H1242" s="31">
        <v>0</v>
      </c>
      <c r="I1242" s="31">
        <v>0</v>
      </c>
      <c r="J1242" s="32">
        <f t="shared" si="102"/>
        <v>0</v>
      </c>
      <c r="K1242" s="31">
        <v>3068.3631462626749</v>
      </c>
      <c r="L1242" s="31">
        <v>3068.3631462626749</v>
      </c>
      <c r="M1242" s="32">
        <f t="shared" si="103"/>
        <v>3068.3631462626749</v>
      </c>
      <c r="N1242" s="33">
        <f>Result_notebook!L1242</f>
        <v>0.59854391398996798</v>
      </c>
      <c r="O1242" s="31">
        <f t="shared" si="104"/>
        <v>0</v>
      </c>
      <c r="P1242" s="31">
        <f t="shared" si="105"/>
        <v>0</v>
      </c>
      <c r="Q1242">
        <f t="shared" si="106"/>
        <v>0</v>
      </c>
    </row>
    <row r="1243" spans="1:17" x14ac:dyDescent="0.35">
      <c r="A1243">
        <v>2038</v>
      </c>
      <c r="B1243" t="s">
        <v>13</v>
      </c>
      <c r="C1243" t="s">
        <v>10</v>
      </c>
      <c r="D1243" t="s">
        <v>16</v>
      </c>
      <c r="E1243" t="s">
        <v>483</v>
      </c>
      <c r="F1243" t="s">
        <v>81</v>
      </c>
      <c r="G1243" s="31">
        <v>3068.3631462626749</v>
      </c>
      <c r="H1243" s="31">
        <v>0</v>
      </c>
      <c r="I1243" s="31">
        <v>0</v>
      </c>
      <c r="J1243" s="32">
        <f t="shared" si="102"/>
        <v>0</v>
      </c>
      <c r="K1243" s="31">
        <v>3068.3631462626749</v>
      </c>
      <c r="L1243" s="31">
        <v>3068.3631462626749</v>
      </c>
      <c r="M1243" s="32">
        <f t="shared" si="103"/>
        <v>3068.3631462626749</v>
      </c>
      <c r="N1243" s="33">
        <f>Result_notebook!L1243</f>
        <v>0.59854391398996798</v>
      </c>
      <c r="O1243" s="31">
        <f t="shared" si="104"/>
        <v>0</v>
      </c>
      <c r="P1243" s="31">
        <f t="shared" si="105"/>
        <v>0</v>
      </c>
      <c r="Q1243">
        <f t="shared" si="106"/>
        <v>0</v>
      </c>
    </row>
    <row r="1244" spans="1:17" x14ac:dyDescent="0.35">
      <c r="A1244">
        <v>2038</v>
      </c>
      <c r="B1244" t="s">
        <v>13</v>
      </c>
      <c r="C1244" t="s">
        <v>10</v>
      </c>
      <c r="D1244" t="s">
        <v>18</v>
      </c>
      <c r="E1244" t="s">
        <v>483</v>
      </c>
      <c r="F1244" t="s">
        <v>85</v>
      </c>
      <c r="G1244" s="31">
        <v>3068.3631462626749</v>
      </c>
      <c r="H1244" s="31">
        <v>274859.68267713313</v>
      </c>
      <c r="I1244" s="31">
        <v>90703.695283453941</v>
      </c>
      <c r="J1244" s="32">
        <f t="shared" si="102"/>
        <v>73811.894984157931</v>
      </c>
      <c r="K1244" s="31">
        <v>0</v>
      </c>
      <c r="L1244" s="31">
        <v>0</v>
      </c>
      <c r="M1244" s="32">
        <f t="shared" si="103"/>
        <v>0</v>
      </c>
      <c r="N1244" s="33">
        <f>Result_notebook!L1244</f>
        <v>0.59854391398996798</v>
      </c>
      <c r="O1244" s="31">
        <f t="shared" si="104"/>
        <v>-161447.22712134919</v>
      </c>
      <c r="P1244" s="31">
        <f t="shared" si="105"/>
        <v>87635.332137191261</v>
      </c>
      <c r="Q1244">
        <f t="shared" si="106"/>
        <v>73811.894984157931</v>
      </c>
    </row>
    <row r="1245" spans="1:17" x14ac:dyDescent="0.35">
      <c r="A1245">
        <v>2038</v>
      </c>
      <c r="B1245" t="s">
        <v>13</v>
      </c>
      <c r="C1245" t="s">
        <v>10</v>
      </c>
      <c r="D1245" t="s">
        <v>18</v>
      </c>
      <c r="E1245" t="s">
        <v>483</v>
      </c>
      <c r="F1245" t="s">
        <v>86</v>
      </c>
      <c r="G1245" s="31">
        <v>3068.3631462626749</v>
      </c>
      <c r="H1245" s="31">
        <v>274859.68267713313</v>
      </c>
      <c r="I1245" s="31">
        <v>90703.695283453941</v>
      </c>
      <c r="J1245" s="32">
        <f t="shared" si="102"/>
        <v>73811.894984157931</v>
      </c>
      <c r="K1245" s="31">
        <v>0</v>
      </c>
      <c r="L1245" s="31">
        <v>0</v>
      </c>
      <c r="M1245" s="32">
        <f t="shared" si="103"/>
        <v>0</v>
      </c>
      <c r="N1245" s="33">
        <f>Result_notebook!L1245</f>
        <v>0.59854391398996798</v>
      </c>
      <c r="O1245" s="31">
        <f t="shared" si="104"/>
        <v>-161447.22712134919</v>
      </c>
      <c r="P1245" s="31">
        <f t="shared" si="105"/>
        <v>87635.332137191261</v>
      </c>
      <c r="Q1245">
        <f t="shared" si="106"/>
        <v>73811.894984157931</v>
      </c>
    </row>
    <row r="1246" spans="1:17" x14ac:dyDescent="0.35">
      <c r="A1246">
        <v>2038</v>
      </c>
      <c r="B1246" t="s">
        <v>13</v>
      </c>
      <c r="C1246" t="s">
        <v>10</v>
      </c>
      <c r="D1246" t="s">
        <v>18</v>
      </c>
      <c r="E1246" t="s">
        <v>490</v>
      </c>
      <c r="F1246" t="s">
        <v>82</v>
      </c>
      <c r="G1246" s="31">
        <v>3068.3631462626749</v>
      </c>
      <c r="H1246" s="31">
        <v>274859.68267713313</v>
      </c>
      <c r="I1246" s="31">
        <v>90703.695283453941</v>
      </c>
      <c r="J1246" s="32">
        <f t="shared" si="102"/>
        <v>73811.894984157931</v>
      </c>
      <c r="K1246" s="31">
        <v>0</v>
      </c>
      <c r="L1246" s="31">
        <v>0</v>
      </c>
      <c r="M1246" s="32">
        <f t="shared" si="103"/>
        <v>0</v>
      </c>
      <c r="N1246" s="33">
        <f>Result_notebook!L1246</f>
        <v>0.59854391398996798</v>
      </c>
      <c r="O1246" s="31">
        <f t="shared" si="104"/>
        <v>-161447.22712134919</v>
      </c>
      <c r="P1246" s="31">
        <f t="shared" si="105"/>
        <v>87635.332137191261</v>
      </c>
      <c r="Q1246">
        <f t="shared" si="106"/>
        <v>73811.894984157931</v>
      </c>
    </row>
    <row r="1247" spans="1:17" x14ac:dyDescent="0.35">
      <c r="A1247">
        <v>2038</v>
      </c>
      <c r="B1247" t="s">
        <v>12</v>
      </c>
      <c r="C1247" t="s">
        <v>4</v>
      </c>
      <c r="D1247" t="s">
        <v>16</v>
      </c>
      <c r="E1247" t="s">
        <v>483</v>
      </c>
      <c r="F1247" t="s">
        <v>80</v>
      </c>
      <c r="G1247" s="31">
        <v>78705.260511419096</v>
      </c>
      <c r="H1247" s="31">
        <v>0</v>
      </c>
      <c r="I1247" s="31">
        <v>0</v>
      </c>
      <c r="J1247" s="32">
        <f t="shared" si="102"/>
        <v>0</v>
      </c>
      <c r="K1247" s="31">
        <v>112436.08644488439</v>
      </c>
      <c r="L1247" s="31">
        <v>78705.260511419096</v>
      </c>
      <c r="M1247" s="32">
        <f t="shared" si="103"/>
        <v>78705.260511419096</v>
      </c>
      <c r="N1247" s="33">
        <f>Result_notebook!L1247</f>
        <v>0.787554996857322</v>
      </c>
      <c r="O1247" s="31">
        <f t="shared" si="104"/>
        <v>0</v>
      </c>
      <c r="P1247" s="31">
        <f t="shared" si="105"/>
        <v>0</v>
      </c>
      <c r="Q1247">
        <f t="shared" si="106"/>
        <v>0</v>
      </c>
    </row>
    <row r="1248" spans="1:17" x14ac:dyDescent="0.35">
      <c r="A1248">
        <v>2038</v>
      </c>
      <c r="B1248" t="s">
        <v>12</v>
      </c>
      <c r="C1248" t="s">
        <v>4</v>
      </c>
      <c r="D1248" t="s">
        <v>16</v>
      </c>
      <c r="E1248" t="s">
        <v>483</v>
      </c>
      <c r="F1248" t="s">
        <v>81</v>
      </c>
      <c r="G1248" s="31">
        <v>78705.260511419096</v>
      </c>
      <c r="H1248" s="31">
        <v>42575</v>
      </c>
      <c r="I1248" s="31">
        <v>29767.182799229071</v>
      </c>
      <c r="J1248" s="32">
        <f t="shared" si="102"/>
        <v>3762.97119197141</v>
      </c>
      <c r="K1248" s="31">
        <v>69861.086444884422</v>
      </c>
      <c r="L1248" s="31">
        <v>48938.077712190017</v>
      </c>
      <c r="M1248" s="32">
        <f t="shared" si="103"/>
        <v>45175.106520218607</v>
      </c>
      <c r="N1248" s="33">
        <f>Result_notebook!L1248</f>
        <v>0.787554996857322</v>
      </c>
      <c r="O1248" s="31">
        <f t="shared" si="104"/>
        <v>0</v>
      </c>
      <c r="P1248" s="31">
        <f t="shared" si="105"/>
        <v>0</v>
      </c>
      <c r="Q1248">
        <f t="shared" si="106"/>
        <v>3762.97119197141</v>
      </c>
    </row>
    <row r="1249" spans="1:17" x14ac:dyDescent="0.35">
      <c r="A1249">
        <v>2038</v>
      </c>
      <c r="B1249" t="s">
        <v>12</v>
      </c>
      <c r="C1249" t="s">
        <v>4</v>
      </c>
      <c r="D1249" t="s">
        <v>18</v>
      </c>
      <c r="E1249" t="s">
        <v>483</v>
      </c>
      <c r="F1249" t="s">
        <v>85</v>
      </c>
      <c r="G1249" s="31">
        <v>78705.260511419096</v>
      </c>
      <c r="H1249" s="31">
        <v>346279.88391568093</v>
      </c>
      <c r="I1249" s="31">
        <v>242108.66950590469</v>
      </c>
      <c r="J1249" s="32">
        <f t="shared" si="102"/>
        <v>30605.783383063244</v>
      </c>
      <c r="K1249" s="31">
        <v>0</v>
      </c>
      <c r="L1249" s="31">
        <v>0</v>
      </c>
      <c r="M1249" s="32">
        <f t="shared" si="103"/>
        <v>0</v>
      </c>
      <c r="N1249" s="33">
        <f>Result_notebook!L1249</f>
        <v>0.787554996857322</v>
      </c>
      <c r="O1249" s="31">
        <f t="shared" si="104"/>
        <v>-194009.19237754884</v>
      </c>
      <c r="P1249" s="31">
        <f t="shared" si="105"/>
        <v>163403.4089944856</v>
      </c>
      <c r="Q1249">
        <f t="shared" si="106"/>
        <v>30605.783383063244</v>
      </c>
    </row>
    <row r="1250" spans="1:17" x14ac:dyDescent="0.35">
      <c r="A1250">
        <v>2038</v>
      </c>
      <c r="B1250" t="s">
        <v>12</v>
      </c>
      <c r="C1250" t="s">
        <v>4</v>
      </c>
      <c r="D1250" t="s">
        <v>18</v>
      </c>
      <c r="E1250" t="s">
        <v>483</v>
      </c>
      <c r="F1250" t="s">
        <v>86</v>
      </c>
      <c r="G1250" s="31">
        <v>78705.260511419096</v>
      </c>
      <c r="H1250" s="31">
        <v>346279.88391568093</v>
      </c>
      <c r="I1250" s="31">
        <v>242108.66950590469</v>
      </c>
      <c r="J1250" s="32">
        <f t="shared" si="102"/>
        <v>30605.783383063244</v>
      </c>
      <c r="K1250" s="31">
        <v>0</v>
      </c>
      <c r="L1250" s="31">
        <v>0</v>
      </c>
      <c r="M1250" s="32">
        <f t="shared" si="103"/>
        <v>0</v>
      </c>
      <c r="N1250" s="33">
        <f>Result_notebook!L1250</f>
        <v>0.787554996857322</v>
      </c>
      <c r="O1250" s="31">
        <f t="shared" si="104"/>
        <v>-194009.19237754884</v>
      </c>
      <c r="P1250" s="31">
        <f t="shared" si="105"/>
        <v>163403.4089944856</v>
      </c>
      <c r="Q1250">
        <f t="shared" si="106"/>
        <v>30605.783383063244</v>
      </c>
    </row>
    <row r="1251" spans="1:17" x14ac:dyDescent="0.35">
      <c r="A1251">
        <v>2038</v>
      </c>
      <c r="B1251" t="s">
        <v>12</v>
      </c>
      <c r="C1251" t="s">
        <v>4</v>
      </c>
      <c r="D1251" t="s">
        <v>18</v>
      </c>
      <c r="E1251" t="s">
        <v>490</v>
      </c>
      <c r="F1251" t="s">
        <v>82</v>
      </c>
      <c r="G1251" s="31">
        <v>78705.260511419096</v>
      </c>
      <c r="H1251" s="31">
        <v>346279.88391568093</v>
      </c>
      <c r="I1251" s="31">
        <v>242108.66950590469</v>
      </c>
      <c r="J1251" s="32">
        <f t="shared" si="102"/>
        <v>30605.783383063244</v>
      </c>
      <c r="K1251" s="31">
        <v>0</v>
      </c>
      <c r="L1251" s="31">
        <v>0</v>
      </c>
      <c r="M1251" s="32">
        <f t="shared" si="103"/>
        <v>0</v>
      </c>
      <c r="N1251" s="33">
        <f>Result_notebook!L1251</f>
        <v>0.787554996857322</v>
      </c>
      <c r="O1251" s="31">
        <f t="shared" si="104"/>
        <v>-194009.19237754884</v>
      </c>
      <c r="P1251" s="31">
        <f t="shared" si="105"/>
        <v>163403.4089944856</v>
      </c>
      <c r="Q1251">
        <f t="shared" si="106"/>
        <v>30605.783383063244</v>
      </c>
    </row>
    <row r="1252" spans="1:17" x14ac:dyDescent="0.35">
      <c r="A1252">
        <v>2038</v>
      </c>
      <c r="B1252" t="s">
        <v>12</v>
      </c>
      <c r="C1252" t="s">
        <v>9</v>
      </c>
      <c r="D1252" t="s">
        <v>16</v>
      </c>
      <c r="E1252" t="s">
        <v>483</v>
      </c>
      <c r="F1252" t="s">
        <v>80</v>
      </c>
      <c r="G1252" s="31">
        <v>28899.636790896191</v>
      </c>
      <c r="H1252" s="31">
        <v>0</v>
      </c>
      <c r="I1252" s="31">
        <v>0</v>
      </c>
      <c r="J1252" s="32">
        <f t="shared" si="102"/>
        <v>0</v>
      </c>
      <c r="K1252" s="31">
        <v>41285.195415565991</v>
      </c>
      <c r="L1252" s="31">
        <v>28899.636790896191</v>
      </c>
      <c r="M1252" s="32">
        <f t="shared" si="103"/>
        <v>28899.636790896191</v>
      </c>
      <c r="N1252" s="33">
        <f>Result_notebook!L1252</f>
        <v>0.787554996857322</v>
      </c>
      <c r="O1252" s="31">
        <f t="shared" si="104"/>
        <v>0</v>
      </c>
      <c r="P1252" s="31">
        <f t="shared" si="105"/>
        <v>0</v>
      </c>
      <c r="Q1252">
        <f t="shared" si="106"/>
        <v>0</v>
      </c>
    </row>
    <row r="1253" spans="1:17" x14ac:dyDescent="0.35">
      <c r="A1253">
        <v>2038</v>
      </c>
      <c r="B1253" t="s">
        <v>12</v>
      </c>
      <c r="C1253" t="s">
        <v>9</v>
      </c>
      <c r="D1253" t="s">
        <v>16</v>
      </c>
      <c r="E1253" t="s">
        <v>483</v>
      </c>
      <c r="F1253" t="s">
        <v>81</v>
      </c>
      <c r="G1253" s="31">
        <v>28899.636790896191</v>
      </c>
      <c r="H1253" s="31">
        <v>42575</v>
      </c>
      <c r="I1253" s="31">
        <v>29767.182799229071</v>
      </c>
      <c r="J1253" s="32">
        <f t="shared" si="102"/>
        <v>3762.97119197141</v>
      </c>
      <c r="K1253" s="31">
        <v>0</v>
      </c>
      <c r="L1253" s="31">
        <v>0</v>
      </c>
      <c r="M1253" s="32">
        <f t="shared" si="103"/>
        <v>0</v>
      </c>
      <c r="N1253" s="33">
        <f>Result_notebook!L1253</f>
        <v>0.787554996857322</v>
      </c>
      <c r="O1253" s="31">
        <f t="shared" si="104"/>
        <v>-4630.5172003042899</v>
      </c>
      <c r="P1253" s="31">
        <f t="shared" si="105"/>
        <v>867.54600833287986</v>
      </c>
      <c r="Q1253">
        <f t="shared" si="106"/>
        <v>3762.97119197141</v>
      </c>
    </row>
    <row r="1254" spans="1:17" x14ac:dyDescent="0.35">
      <c r="A1254">
        <v>2038</v>
      </c>
      <c r="B1254" t="s">
        <v>12</v>
      </c>
      <c r="C1254" t="s">
        <v>9</v>
      </c>
      <c r="D1254" t="s">
        <v>18</v>
      </c>
      <c r="E1254" t="s">
        <v>483</v>
      </c>
      <c r="F1254" t="s">
        <v>85</v>
      </c>
      <c r="G1254" s="31">
        <v>28899.636790896191</v>
      </c>
      <c r="H1254" s="31">
        <v>346279.88391568093</v>
      </c>
      <c r="I1254" s="31">
        <v>242108.66950590469</v>
      </c>
      <c r="J1254" s="32">
        <f t="shared" si="102"/>
        <v>30605.783383063244</v>
      </c>
      <c r="K1254" s="31">
        <v>0</v>
      </c>
      <c r="L1254" s="31">
        <v>0</v>
      </c>
      <c r="M1254" s="32">
        <f t="shared" si="103"/>
        <v>0</v>
      </c>
      <c r="N1254" s="33">
        <f>Result_notebook!L1254</f>
        <v>0.787554996857322</v>
      </c>
      <c r="O1254" s="31">
        <f t="shared" si="104"/>
        <v>-243814.81609807175</v>
      </c>
      <c r="P1254" s="31">
        <f t="shared" si="105"/>
        <v>213209.03271500851</v>
      </c>
      <c r="Q1254">
        <f t="shared" si="106"/>
        <v>30605.783383063244</v>
      </c>
    </row>
    <row r="1255" spans="1:17" x14ac:dyDescent="0.35">
      <c r="A1255">
        <v>2038</v>
      </c>
      <c r="B1255" t="s">
        <v>12</v>
      </c>
      <c r="C1255" t="s">
        <v>9</v>
      </c>
      <c r="D1255" t="s">
        <v>18</v>
      </c>
      <c r="E1255" t="s">
        <v>483</v>
      </c>
      <c r="F1255" t="s">
        <v>86</v>
      </c>
      <c r="G1255" s="31">
        <v>28899.636790896191</v>
      </c>
      <c r="H1255" s="31">
        <v>346279.88391568093</v>
      </c>
      <c r="I1255" s="31">
        <v>242108.66950590469</v>
      </c>
      <c r="J1255" s="32">
        <f t="shared" si="102"/>
        <v>30605.783383063244</v>
      </c>
      <c r="K1255" s="31">
        <v>0</v>
      </c>
      <c r="L1255" s="31">
        <v>0</v>
      </c>
      <c r="M1255" s="32">
        <f t="shared" si="103"/>
        <v>0</v>
      </c>
      <c r="N1255" s="33">
        <f>Result_notebook!L1255</f>
        <v>0.787554996857322</v>
      </c>
      <c r="O1255" s="31">
        <f t="shared" si="104"/>
        <v>-243814.81609807175</v>
      </c>
      <c r="P1255" s="31">
        <f t="shared" si="105"/>
        <v>213209.03271500851</v>
      </c>
      <c r="Q1255">
        <f t="shared" si="106"/>
        <v>30605.783383063244</v>
      </c>
    </row>
    <row r="1256" spans="1:17" x14ac:dyDescent="0.35">
      <c r="A1256">
        <v>2038</v>
      </c>
      <c r="B1256" t="s">
        <v>12</v>
      </c>
      <c r="C1256" t="s">
        <v>9</v>
      </c>
      <c r="D1256" t="s">
        <v>18</v>
      </c>
      <c r="E1256" t="s">
        <v>490</v>
      </c>
      <c r="F1256" t="s">
        <v>82</v>
      </c>
      <c r="G1256" s="31">
        <v>28899.636790896191</v>
      </c>
      <c r="H1256" s="31">
        <v>346279.88391568093</v>
      </c>
      <c r="I1256" s="31">
        <v>242108.66950590469</v>
      </c>
      <c r="J1256" s="32">
        <f t="shared" si="102"/>
        <v>30605.783383063244</v>
      </c>
      <c r="K1256" s="31">
        <v>0</v>
      </c>
      <c r="L1256" s="31">
        <v>0</v>
      </c>
      <c r="M1256" s="32">
        <f t="shared" si="103"/>
        <v>0</v>
      </c>
      <c r="N1256" s="33">
        <f>Result_notebook!L1256</f>
        <v>0.787554996857322</v>
      </c>
      <c r="O1256" s="31">
        <f t="shared" si="104"/>
        <v>-243814.81609807175</v>
      </c>
      <c r="P1256" s="31">
        <f t="shared" si="105"/>
        <v>213209.03271500851</v>
      </c>
      <c r="Q1256">
        <f t="shared" si="106"/>
        <v>30605.783383063244</v>
      </c>
    </row>
    <row r="1257" spans="1:17" x14ac:dyDescent="0.35">
      <c r="A1257">
        <v>2038</v>
      </c>
      <c r="B1257" t="s">
        <v>12</v>
      </c>
      <c r="C1257" t="s">
        <v>10</v>
      </c>
      <c r="D1257" t="s">
        <v>16</v>
      </c>
      <c r="E1257" t="s">
        <v>483</v>
      </c>
      <c r="F1257" t="s">
        <v>80</v>
      </c>
      <c r="G1257" s="31">
        <v>75048.523727678054</v>
      </c>
      <c r="H1257" s="31">
        <v>0</v>
      </c>
      <c r="I1257" s="31">
        <v>0</v>
      </c>
      <c r="J1257" s="32">
        <f t="shared" si="102"/>
        <v>0</v>
      </c>
      <c r="K1257" s="31">
        <v>107212.1767538258</v>
      </c>
      <c r="L1257" s="31">
        <v>75048.523727678054</v>
      </c>
      <c r="M1257" s="32">
        <f t="shared" si="103"/>
        <v>75048.523727678054</v>
      </c>
      <c r="N1257" s="33">
        <f>Result_notebook!L1257</f>
        <v>0.787554996857322</v>
      </c>
      <c r="O1257" s="31">
        <f t="shared" si="104"/>
        <v>0</v>
      </c>
      <c r="P1257" s="31">
        <f t="shared" si="105"/>
        <v>0</v>
      </c>
      <c r="Q1257">
        <f t="shared" si="106"/>
        <v>0</v>
      </c>
    </row>
    <row r="1258" spans="1:17" x14ac:dyDescent="0.35">
      <c r="A1258">
        <v>2038</v>
      </c>
      <c r="B1258" t="s">
        <v>12</v>
      </c>
      <c r="C1258" t="s">
        <v>10</v>
      </c>
      <c r="D1258" t="s">
        <v>16</v>
      </c>
      <c r="E1258" t="s">
        <v>483</v>
      </c>
      <c r="F1258" t="s">
        <v>81</v>
      </c>
      <c r="G1258" s="31">
        <v>75048.523727678054</v>
      </c>
      <c r="H1258" s="31">
        <v>42575</v>
      </c>
      <c r="I1258" s="31">
        <v>29767.182799229071</v>
      </c>
      <c r="J1258" s="32">
        <f t="shared" si="102"/>
        <v>3762.97119197141</v>
      </c>
      <c r="K1258" s="31">
        <v>64637.176753825799</v>
      </c>
      <c r="L1258" s="31">
        <v>45281.340928448983</v>
      </c>
      <c r="M1258" s="32">
        <f t="shared" si="103"/>
        <v>41518.369736477573</v>
      </c>
      <c r="N1258" s="33">
        <f>Result_notebook!L1258</f>
        <v>0.787554996857322</v>
      </c>
      <c r="O1258" s="31">
        <f t="shared" si="104"/>
        <v>0</v>
      </c>
      <c r="P1258" s="31">
        <f t="shared" si="105"/>
        <v>0</v>
      </c>
      <c r="Q1258">
        <f t="shared" si="106"/>
        <v>3762.97119197141</v>
      </c>
    </row>
    <row r="1259" spans="1:17" x14ac:dyDescent="0.35">
      <c r="A1259">
        <v>2038</v>
      </c>
      <c r="B1259" t="s">
        <v>12</v>
      </c>
      <c r="C1259" t="s">
        <v>10</v>
      </c>
      <c r="D1259" t="s">
        <v>18</v>
      </c>
      <c r="E1259" t="s">
        <v>483</v>
      </c>
      <c r="F1259" t="s">
        <v>85</v>
      </c>
      <c r="G1259" s="31">
        <v>75048.523727678054</v>
      </c>
      <c r="H1259" s="31">
        <v>346279.88391568093</v>
      </c>
      <c r="I1259" s="31">
        <v>242108.66950590469</v>
      </c>
      <c r="J1259" s="32">
        <f t="shared" si="102"/>
        <v>30605.783383063244</v>
      </c>
      <c r="K1259" s="31">
        <v>0</v>
      </c>
      <c r="L1259" s="31">
        <v>0</v>
      </c>
      <c r="M1259" s="32">
        <f t="shared" si="103"/>
        <v>0</v>
      </c>
      <c r="N1259" s="33">
        <f>Result_notebook!L1259</f>
        <v>0.787554996857322</v>
      </c>
      <c r="O1259" s="31">
        <f t="shared" si="104"/>
        <v>-197665.92916128988</v>
      </c>
      <c r="P1259" s="31">
        <f t="shared" si="105"/>
        <v>167060.14577822664</v>
      </c>
      <c r="Q1259">
        <f t="shared" si="106"/>
        <v>30605.783383063244</v>
      </c>
    </row>
    <row r="1260" spans="1:17" x14ac:dyDescent="0.35">
      <c r="A1260">
        <v>2038</v>
      </c>
      <c r="B1260" t="s">
        <v>12</v>
      </c>
      <c r="C1260" t="s">
        <v>10</v>
      </c>
      <c r="D1260" t="s">
        <v>18</v>
      </c>
      <c r="E1260" t="s">
        <v>483</v>
      </c>
      <c r="F1260" t="s">
        <v>86</v>
      </c>
      <c r="G1260" s="31">
        <v>75048.523727678054</v>
      </c>
      <c r="H1260" s="31">
        <v>346279.88391568093</v>
      </c>
      <c r="I1260" s="31">
        <v>242108.66950590469</v>
      </c>
      <c r="J1260" s="32">
        <f t="shared" si="102"/>
        <v>30605.783383063244</v>
      </c>
      <c r="K1260" s="31">
        <v>0</v>
      </c>
      <c r="L1260" s="31">
        <v>0</v>
      </c>
      <c r="M1260" s="32">
        <f t="shared" si="103"/>
        <v>0</v>
      </c>
      <c r="N1260" s="33">
        <f>Result_notebook!L1260</f>
        <v>0.787554996857322</v>
      </c>
      <c r="O1260" s="31">
        <f t="shared" si="104"/>
        <v>-197665.92916128988</v>
      </c>
      <c r="P1260" s="31">
        <f t="shared" si="105"/>
        <v>167060.14577822664</v>
      </c>
      <c r="Q1260">
        <f t="shared" si="106"/>
        <v>30605.783383063244</v>
      </c>
    </row>
    <row r="1261" spans="1:17" x14ac:dyDescent="0.35">
      <c r="A1261">
        <v>2038</v>
      </c>
      <c r="B1261" t="s">
        <v>12</v>
      </c>
      <c r="C1261" t="s">
        <v>10</v>
      </c>
      <c r="D1261" t="s">
        <v>18</v>
      </c>
      <c r="E1261" t="s">
        <v>490</v>
      </c>
      <c r="F1261" t="s">
        <v>82</v>
      </c>
      <c r="G1261" s="31">
        <v>75048.523727678054</v>
      </c>
      <c r="H1261" s="31">
        <v>346279.88391568093</v>
      </c>
      <c r="I1261" s="31">
        <v>242108.66950590469</v>
      </c>
      <c r="J1261" s="32">
        <f t="shared" si="102"/>
        <v>30605.783383063244</v>
      </c>
      <c r="K1261" s="31">
        <v>0</v>
      </c>
      <c r="L1261" s="31">
        <v>0</v>
      </c>
      <c r="M1261" s="32">
        <f t="shared" si="103"/>
        <v>0</v>
      </c>
      <c r="N1261" s="33">
        <f>Result_notebook!L1261</f>
        <v>0.787554996857322</v>
      </c>
      <c r="O1261" s="31">
        <f t="shared" si="104"/>
        <v>-197665.92916128988</v>
      </c>
      <c r="P1261" s="31">
        <f t="shared" si="105"/>
        <v>167060.14577822664</v>
      </c>
      <c r="Q1261">
        <f t="shared" si="106"/>
        <v>30605.783383063244</v>
      </c>
    </row>
    <row r="1262" spans="1:17" x14ac:dyDescent="0.35">
      <c r="A1262">
        <v>2039</v>
      </c>
      <c r="B1262" t="s">
        <v>6</v>
      </c>
      <c r="C1262" t="s">
        <v>4</v>
      </c>
      <c r="D1262" t="s">
        <v>16</v>
      </c>
      <c r="E1262" t="s">
        <v>483</v>
      </c>
      <c r="F1262" t="s">
        <v>80</v>
      </c>
      <c r="G1262" s="31">
        <v>240082.77165293321</v>
      </c>
      <c r="H1262" s="31">
        <v>0</v>
      </c>
      <c r="I1262" s="31">
        <v>0</v>
      </c>
      <c r="J1262" s="32">
        <f t="shared" si="102"/>
        <v>0</v>
      </c>
      <c r="K1262" s="31">
        <v>545642.6628475755</v>
      </c>
      <c r="L1262" s="31">
        <v>240082.77165293321</v>
      </c>
      <c r="M1262" s="32">
        <f t="shared" si="103"/>
        <v>240082.77165293321</v>
      </c>
      <c r="N1262" s="33">
        <f>Result_notebook!L1262</f>
        <v>0.439346565686978</v>
      </c>
      <c r="O1262" s="31">
        <f t="shared" si="104"/>
        <v>0</v>
      </c>
      <c r="P1262" s="31">
        <f t="shared" si="105"/>
        <v>0</v>
      </c>
      <c r="Q1262">
        <f t="shared" si="106"/>
        <v>0</v>
      </c>
    </row>
    <row r="1263" spans="1:17" x14ac:dyDescent="0.35">
      <c r="A1263">
        <v>2039</v>
      </c>
      <c r="B1263" t="s">
        <v>6</v>
      </c>
      <c r="C1263" t="s">
        <v>4</v>
      </c>
      <c r="D1263" t="s">
        <v>16</v>
      </c>
      <c r="E1263" t="s">
        <v>483</v>
      </c>
      <c r="F1263" t="s">
        <v>81</v>
      </c>
      <c r="G1263" s="31">
        <v>240082.77165293321</v>
      </c>
      <c r="H1263" s="31">
        <v>261</v>
      </c>
      <c r="I1263" s="31">
        <v>110.71145720551</v>
      </c>
      <c r="J1263" s="32">
        <f t="shared" si="102"/>
        <v>3.9579964387912554</v>
      </c>
      <c r="K1263" s="31">
        <v>545381.6628475755</v>
      </c>
      <c r="L1263" s="31">
        <v>239972.06019572771</v>
      </c>
      <c r="M1263" s="32">
        <f t="shared" si="103"/>
        <v>239968.10219928893</v>
      </c>
      <c r="N1263" s="33">
        <f>Result_notebook!L1263</f>
        <v>0.439346565686978</v>
      </c>
      <c r="O1263" s="31">
        <f t="shared" si="104"/>
        <v>0</v>
      </c>
      <c r="P1263" s="31">
        <f t="shared" si="105"/>
        <v>0</v>
      </c>
      <c r="Q1263">
        <f t="shared" si="106"/>
        <v>3.9579964387912554</v>
      </c>
    </row>
    <row r="1264" spans="1:17" x14ac:dyDescent="0.35">
      <c r="A1264">
        <v>2039</v>
      </c>
      <c r="B1264" t="s">
        <v>6</v>
      </c>
      <c r="C1264" t="s">
        <v>4</v>
      </c>
      <c r="D1264" t="s">
        <v>18</v>
      </c>
      <c r="E1264" t="s">
        <v>483</v>
      </c>
      <c r="F1264" t="s">
        <v>85</v>
      </c>
      <c r="G1264" s="31">
        <v>240082.77165293321</v>
      </c>
      <c r="H1264" s="31">
        <v>27029.65589320119</v>
      </c>
      <c r="I1264" s="31">
        <v>11465.488857087381</v>
      </c>
      <c r="J1264" s="32">
        <f t="shared" si="102"/>
        <v>409.89763129134735</v>
      </c>
      <c r="K1264" s="31">
        <v>518613.00695437432</v>
      </c>
      <c r="L1264" s="31">
        <v>228617.28279584579</v>
      </c>
      <c r="M1264" s="32">
        <f t="shared" si="103"/>
        <v>228207.38516455443</v>
      </c>
      <c r="N1264" s="33">
        <f>Result_notebook!L1264</f>
        <v>0.439346565686978</v>
      </c>
      <c r="O1264" s="31">
        <f t="shared" si="104"/>
        <v>0</v>
      </c>
      <c r="P1264" s="31">
        <f t="shared" si="105"/>
        <v>0</v>
      </c>
      <c r="Q1264">
        <f t="shared" si="106"/>
        <v>409.89763129134735</v>
      </c>
    </row>
    <row r="1265" spans="1:17" x14ac:dyDescent="0.35">
      <c r="A1265">
        <v>2039</v>
      </c>
      <c r="B1265" t="s">
        <v>6</v>
      </c>
      <c r="C1265" t="s">
        <v>4</v>
      </c>
      <c r="D1265" t="s">
        <v>18</v>
      </c>
      <c r="E1265" t="s">
        <v>483</v>
      </c>
      <c r="F1265" t="s">
        <v>86</v>
      </c>
      <c r="G1265" s="31">
        <v>240082.77165293321</v>
      </c>
      <c r="H1265" s="31">
        <v>27029.65589320119</v>
      </c>
      <c r="I1265" s="31">
        <v>11465.488857087381</v>
      </c>
      <c r="J1265" s="32">
        <f t="shared" si="102"/>
        <v>409.89763129134735</v>
      </c>
      <c r="K1265" s="31">
        <v>518613.00695437432</v>
      </c>
      <c r="L1265" s="31">
        <v>228617.28279584579</v>
      </c>
      <c r="M1265" s="32">
        <f t="shared" si="103"/>
        <v>228207.38516455443</v>
      </c>
      <c r="N1265" s="33">
        <f>Result_notebook!L1265</f>
        <v>0.439346565686978</v>
      </c>
      <c r="O1265" s="31">
        <f t="shared" si="104"/>
        <v>0</v>
      </c>
      <c r="P1265" s="31">
        <f t="shared" si="105"/>
        <v>0</v>
      </c>
      <c r="Q1265">
        <f t="shared" si="106"/>
        <v>409.89763129134735</v>
      </c>
    </row>
    <row r="1266" spans="1:17" x14ac:dyDescent="0.35">
      <c r="A1266">
        <v>2039</v>
      </c>
      <c r="B1266" t="s">
        <v>6</v>
      </c>
      <c r="C1266" t="s">
        <v>4</v>
      </c>
      <c r="D1266" t="s">
        <v>18</v>
      </c>
      <c r="E1266" t="s">
        <v>490</v>
      </c>
      <c r="F1266" t="s">
        <v>82</v>
      </c>
      <c r="G1266" s="31">
        <v>240082.77165293321</v>
      </c>
      <c r="H1266" s="31">
        <v>27029.65589320119</v>
      </c>
      <c r="I1266" s="31">
        <v>11875.386488378739</v>
      </c>
      <c r="J1266" s="32">
        <f t="shared" si="102"/>
        <v>0</v>
      </c>
      <c r="K1266" s="31">
        <v>518613.00695437432</v>
      </c>
      <c r="L1266" s="31">
        <v>228207.38516455449</v>
      </c>
      <c r="M1266" s="32">
        <f t="shared" si="103"/>
        <v>228207.38516455449</v>
      </c>
      <c r="N1266" s="33">
        <f>Result_notebook!L1266</f>
        <v>0.439346565686978</v>
      </c>
      <c r="O1266" s="31">
        <f t="shared" si="104"/>
        <v>0</v>
      </c>
      <c r="P1266" s="31">
        <f t="shared" si="105"/>
        <v>0</v>
      </c>
      <c r="Q1266">
        <f t="shared" si="106"/>
        <v>0</v>
      </c>
    </row>
    <row r="1267" spans="1:17" x14ac:dyDescent="0.35">
      <c r="A1267">
        <v>2039</v>
      </c>
      <c r="B1267" t="s">
        <v>6</v>
      </c>
      <c r="C1267" t="s">
        <v>9</v>
      </c>
      <c r="D1267" t="s">
        <v>16</v>
      </c>
      <c r="E1267" t="s">
        <v>483</v>
      </c>
      <c r="F1267" t="s">
        <v>80</v>
      </c>
      <c r="G1267" s="31">
        <v>89882.885025704978</v>
      </c>
      <c r="H1267" s="31">
        <v>0</v>
      </c>
      <c r="I1267" s="31">
        <v>0</v>
      </c>
      <c r="J1267" s="32">
        <f t="shared" si="102"/>
        <v>0</v>
      </c>
      <c r="K1267" s="31">
        <v>204279.2841493295</v>
      </c>
      <c r="L1267" s="31">
        <v>89882.885025704978</v>
      </c>
      <c r="M1267" s="32">
        <f t="shared" si="103"/>
        <v>89882.885025704978</v>
      </c>
      <c r="N1267" s="33">
        <f>Result_notebook!L1267</f>
        <v>0.439346565686978</v>
      </c>
      <c r="O1267" s="31">
        <f t="shared" si="104"/>
        <v>0</v>
      </c>
      <c r="P1267" s="31">
        <f t="shared" si="105"/>
        <v>0</v>
      </c>
      <c r="Q1267">
        <f t="shared" si="106"/>
        <v>0</v>
      </c>
    </row>
    <row r="1268" spans="1:17" x14ac:dyDescent="0.35">
      <c r="A1268">
        <v>2039</v>
      </c>
      <c r="B1268" t="s">
        <v>6</v>
      </c>
      <c r="C1268" t="s">
        <v>9</v>
      </c>
      <c r="D1268" t="s">
        <v>16</v>
      </c>
      <c r="E1268" t="s">
        <v>483</v>
      </c>
      <c r="F1268" t="s">
        <v>81</v>
      </c>
      <c r="G1268" s="31">
        <v>89882.885025704978</v>
      </c>
      <c r="H1268" s="31">
        <v>261</v>
      </c>
      <c r="I1268" s="31">
        <v>110.71145720551</v>
      </c>
      <c r="J1268" s="32">
        <f t="shared" si="102"/>
        <v>3.9579964387912554</v>
      </c>
      <c r="K1268" s="31">
        <v>204018.2841493295</v>
      </c>
      <c r="L1268" s="31">
        <v>89772.173568499464</v>
      </c>
      <c r="M1268" s="32">
        <f t="shared" si="103"/>
        <v>89768.215572060668</v>
      </c>
      <c r="N1268" s="33">
        <f>Result_notebook!L1268</f>
        <v>0.439346565686978</v>
      </c>
      <c r="O1268" s="31">
        <f t="shared" si="104"/>
        <v>0</v>
      </c>
      <c r="P1268" s="31">
        <f t="shared" si="105"/>
        <v>0</v>
      </c>
      <c r="Q1268">
        <f t="shared" si="106"/>
        <v>3.9579964387912554</v>
      </c>
    </row>
    <row r="1269" spans="1:17" x14ac:dyDescent="0.35">
      <c r="A1269">
        <v>2039</v>
      </c>
      <c r="B1269" t="s">
        <v>6</v>
      </c>
      <c r="C1269" t="s">
        <v>9</v>
      </c>
      <c r="D1269" t="s">
        <v>18</v>
      </c>
      <c r="E1269" t="s">
        <v>483</v>
      </c>
      <c r="F1269" t="s">
        <v>85</v>
      </c>
      <c r="G1269" s="31">
        <v>89882.885025704978</v>
      </c>
      <c r="H1269" s="31">
        <v>27029.65589320119</v>
      </c>
      <c r="I1269" s="31">
        <v>11465.488857087381</v>
      </c>
      <c r="J1269" s="32">
        <f t="shared" si="102"/>
        <v>409.89763129134735</v>
      </c>
      <c r="K1269" s="31">
        <v>177249.62825612829</v>
      </c>
      <c r="L1269" s="31">
        <v>78417.396168617604</v>
      </c>
      <c r="M1269" s="32">
        <f t="shared" si="103"/>
        <v>78007.498537326261</v>
      </c>
      <c r="N1269" s="33">
        <f>Result_notebook!L1269</f>
        <v>0.439346565686978</v>
      </c>
      <c r="O1269" s="31">
        <f t="shared" si="104"/>
        <v>0</v>
      </c>
      <c r="P1269" s="31">
        <f t="shared" si="105"/>
        <v>0</v>
      </c>
      <c r="Q1269">
        <f t="shared" si="106"/>
        <v>409.89763129134735</v>
      </c>
    </row>
    <row r="1270" spans="1:17" x14ac:dyDescent="0.35">
      <c r="A1270">
        <v>2039</v>
      </c>
      <c r="B1270" t="s">
        <v>6</v>
      </c>
      <c r="C1270" t="s">
        <v>9</v>
      </c>
      <c r="D1270" t="s">
        <v>18</v>
      </c>
      <c r="E1270" t="s">
        <v>483</v>
      </c>
      <c r="F1270" t="s">
        <v>86</v>
      </c>
      <c r="G1270" s="31">
        <v>89882.885025704978</v>
      </c>
      <c r="H1270" s="31">
        <v>27029.65589320119</v>
      </c>
      <c r="I1270" s="31">
        <v>11465.488857087381</v>
      </c>
      <c r="J1270" s="32">
        <f t="shared" si="102"/>
        <v>409.89763129134735</v>
      </c>
      <c r="K1270" s="31">
        <v>177249.62825612829</v>
      </c>
      <c r="L1270" s="31">
        <v>78417.396168617604</v>
      </c>
      <c r="M1270" s="32">
        <f t="shared" si="103"/>
        <v>78007.498537326261</v>
      </c>
      <c r="N1270" s="33">
        <f>Result_notebook!L1270</f>
        <v>0.439346565686978</v>
      </c>
      <c r="O1270" s="31">
        <f t="shared" si="104"/>
        <v>0</v>
      </c>
      <c r="P1270" s="31">
        <f t="shared" si="105"/>
        <v>0</v>
      </c>
      <c r="Q1270">
        <f t="shared" si="106"/>
        <v>409.89763129134735</v>
      </c>
    </row>
    <row r="1271" spans="1:17" x14ac:dyDescent="0.35">
      <c r="A1271">
        <v>2039</v>
      </c>
      <c r="B1271" t="s">
        <v>6</v>
      </c>
      <c r="C1271" t="s">
        <v>9</v>
      </c>
      <c r="D1271" t="s">
        <v>18</v>
      </c>
      <c r="E1271" t="s">
        <v>490</v>
      </c>
      <c r="F1271" t="s">
        <v>82</v>
      </c>
      <c r="G1271" s="31">
        <v>89882.885025704978</v>
      </c>
      <c r="H1271" s="31">
        <v>27029.65589320119</v>
      </c>
      <c r="I1271" s="31">
        <v>11875.386488378739</v>
      </c>
      <c r="J1271" s="32">
        <f t="shared" si="102"/>
        <v>0</v>
      </c>
      <c r="K1271" s="31">
        <v>177249.62825612829</v>
      </c>
      <c r="L1271" s="31">
        <v>78007.498537326232</v>
      </c>
      <c r="M1271" s="32">
        <f t="shared" si="103"/>
        <v>78007.498537326232</v>
      </c>
      <c r="N1271" s="33">
        <f>Result_notebook!L1271</f>
        <v>0.439346565686978</v>
      </c>
      <c r="O1271" s="31">
        <f t="shared" si="104"/>
        <v>0</v>
      </c>
      <c r="P1271" s="31">
        <f t="shared" si="105"/>
        <v>0</v>
      </c>
      <c r="Q1271">
        <f t="shared" si="106"/>
        <v>0</v>
      </c>
    </row>
    <row r="1272" spans="1:17" x14ac:dyDescent="0.35">
      <c r="A1272">
        <v>2039</v>
      </c>
      <c r="B1272" t="s">
        <v>6</v>
      </c>
      <c r="C1272" t="s">
        <v>10</v>
      </c>
      <c r="D1272" t="s">
        <v>16</v>
      </c>
      <c r="E1272" t="s">
        <v>483</v>
      </c>
      <c r="F1272" t="s">
        <v>80</v>
      </c>
      <c r="G1272" s="31">
        <v>228473.28301366579</v>
      </c>
      <c r="H1272" s="31">
        <v>0</v>
      </c>
      <c r="I1272" s="31">
        <v>0</v>
      </c>
      <c r="J1272" s="32">
        <f t="shared" si="102"/>
        <v>0</v>
      </c>
      <c r="K1272" s="31">
        <v>519257.46139469498</v>
      </c>
      <c r="L1272" s="31">
        <v>228473.28301366579</v>
      </c>
      <c r="M1272" s="32">
        <f t="shared" si="103"/>
        <v>228473.28301366579</v>
      </c>
      <c r="N1272" s="33">
        <f>Result_notebook!L1272</f>
        <v>0.439346565686978</v>
      </c>
      <c r="O1272" s="31">
        <f t="shared" si="104"/>
        <v>0</v>
      </c>
      <c r="P1272" s="31">
        <f t="shared" si="105"/>
        <v>0</v>
      </c>
      <c r="Q1272">
        <f t="shared" si="106"/>
        <v>0</v>
      </c>
    </row>
    <row r="1273" spans="1:17" x14ac:dyDescent="0.35">
      <c r="A1273">
        <v>2039</v>
      </c>
      <c r="B1273" t="s">
        <v>6</v>
      </c>
      <c r="C1273" t="s">
        <v>10</v>
      </c>
      <c r="D1273" t="s">
        <v>16</v>
      </c>
      <c r="E1273" t="s">
        <v>483</v>
      </c>
      <c r="F1273" t="s">
        <v>81</v>
      </c>
      <c r="G1273" s="31">
        <v>228473.28301366579</v>
      </c>
      <c r="H1273" s="31">
        <v>261</v>
      </c>
      <c r="I1273" s="31">
        <v>110.71145720551</v>
      </c>
      <c r="J1273" s="32">
        <f t="shared" si="102"/>
        <v>3.9579964387912554</v>
      </c>
      <c r="K1273" s="31">
        <v>518996.46139469498</v>
      </c>
      <c r="L1273" s="31">
        <v>228362.57155646029</v>
      </c>
      <c r="M1273" s="32">
        <f t="shared" si="103"/>
        <v>228358.61356002151</v>
      </c>
      <c r="N1273" s="33">
        <f>Result_notebook!L1273</f>
        <v>0.439346565686978</v>
      </c>
      <c r="O1273" s="31">
        <f t="shared" si="104"/>
        <v>0</v>
      </c>
      <c r="P1273" s="31">
        <f t="shared" si="105"/>
        <v>0</v>
      </c>
      <c r="Q1273">
        <f t="shared" si="106"/>
        <v>3.9579964387912554</v>
      </c>
    </row>
    <row r="1274" spans="1:17" x14ac:dyDescent="0.35">
      <c r="A1274">
        <v>2039</v>
      </c>
      <c r="B1274" t="s">
        <v>6</v>
      </c>
      <c r="C1274" t="s">
        <v>10</v>
      </c>
      <c r="D1274" t="s">
        <v>18</v>
      </c>
      <c r="E1274" t="s">
        <v>483</v>
      </c>
      <c r="F1274" t="s">
        <v>85</v>
      </c>
      <c r="G1274" s="31">
        <v>228473.28301366579</v>
      </c>
      <c r="H1274" s="31">
        <v>27029.65589320119</v>
      </c>
      <c r="I1274" s="31">
        <v>11465.488857087381</v>
      </c>
      <c r="J1274" s="32">
        <f t="shared" si="102"/>
        <v>409.89763129134735</v>
      </c>
      <c r="K1274" s="31">
        <v>492227.8055014938</v>
      </c>
      <c r="L1274" s="31">
        <v>217007.7941565784</v>
      </c>
      <c r="M1274" s="32">
        <f t="shared" si="103"/>
        <v>216597.89652528704</v>
      </c>
      <c r="N1274" s="33">
        <f>Result_notebook!L1274</f>
        <v>0.439346565686978</v>
      </c>
      <c r="O1274" s="31">
        <f t="shared" si="104"/>
        <v>0</v>
      </c>
      <c r="P1274" s="31">
        <f t="shared" si="105"/>
        <v>0</v>
      </c>
      <c r="Q1274">
        <f t="shared" si="106"/>
        <v>409.89763129134735</v>
      </c>
    </row>
    <row r="1275" spans="1:17" x14ac:dyDescent="0.35">
      <c r="A1275">
        <v>2039</v>
      </c>
      <c r="B1275" t="s">
        <v>6</v>
      </c>
      <c r="C1275" t="s">
        <v>10</v>
      </c>
      <c r="D1275" t="s">
        <v>18</v>
      </c>
      <c r="E1275" t="s">
        <v>483</v>
      </c>
      <c r="F1275" t="s">
        <v>86</v>
      </c>
      <c r="G1275" s="31">
        <v>228473.28301366579</v>
      </c>
      <c r="H1275" s="31">
        <v>27029.65589320119</v>
      </c>
      <c r="I1275" s="31">
        <v>11465.488857087381</v>
      </c>
      <c r="J1275" s="32">
        <f t="shared" si="102"/>
        <v>409.89763129134735</v>
      </c>
      <c r="K1275" s="31">
        <v>492227.8055014938</v>
      </c>
      <c r="L1275" s="31">
        <v>217007.7941565784</v>
      </c>
      <c r="M1275" s="32">
        <f t="shared" si="103"/>
        <v>216597.89652528704</v>
      </c>
      <c r="N1275" s="33">
        <f>Result_notebook!L1275</f>
        <v>0.439346565686978</v>
      </c>
      <c r="O1275" s="31">
        <f t="shared" si="104"/>
        <v>0</v>
      </c>
      <c r="P1275" s="31">
        <f t="shared" si="105"/>
        <v>0</v>
      </c>
      <c r="Q1275">
        <f t="shared" si="106"/>
        <v>409.89763129134735</v>
      </c>
    </row>
    <row r="1276" spans="1:17" x14ac:dyDescent="0.35">
      <c r="A1276">
        <v>2039</v>
      </c>
      <c r="B1276" t="s">
        <v>6</v>
      </c>
      <c r="C1276" t="s">
        <v>10</v>
      </c>
      <c r="D1276" t="s">
        <v>18</v>
      </c>
      <c r="E1276" t="s">
        <v>490</v>
      </c>
      <c r="F1276" t="s">
        <v>82</v>
      </c>
      <c r="G1276" s="31">
        <v>228473.28301366579</v>
      </c>
      <c r="H1276" s="31">
        <v>27029.65589320119</v>
      </c>
      <c r="I1276" s="31">
        <v>11875.386488378739</v>
      </c>
      <c r="J1276" s="32">
        <f t="shared" si="102"/>
        <v>0</v>
      </c>
      <c r="K1276" s="31">
        <v>492227.8055014938</v>
      </c>
      <c r="L1276" s="31">
        <v>216597.89652528701</v>
      </c>
      <c r="M1276" s="32">
        <f t="shared" si="103"/>
        <v>216597.89652528701</v>
      </c>
      <c r="N1276" s="33">
        <f>Result_notebook!L1276</f>
        <v>0.439346565686978</v>
      </c>
      <c r="O1276" s="31">
        <f t="shared" si="104"/>
        <v>0</v>
      </c>
      <c r="P1276" s="31">
        <f t="shared" si="105"/>
        <v>0</v>
      </c>
      <c r="Q1276">
        <f t="shared" si="106"/>
        <v>0</v>
      </c>
    </row>
    <row r="1277" spans="1:17" x14ac:dyDescent="0.35">
      <c r="A1277">
        <v>2039</v>
      </c>
      <c r="B1277" t="s">
        <v>7</v>
      </c>
      <c r="C1277" t="s">
        <v>4</v>
      </c>
      <c r="D1277" t="s">
        <v>16</v>
      </c>
      <c r="E1277" t="s">
        <v>483</v>
      </c>
      <c r="F1277" t="s">
        <v>80</v>
      </c>
      <c r="G1277" s="31">
        <v>1574369.961054781</v>
      </c>
      <c r="H1277" s="31">
        <v>0</v>
      </c>
      <c r="I1277" s="31">
        <v>0</v>
      </c>
      <c r="J1277" s="32">
        <f t="shared" si="102"/>
        <v>0</v>
      </c>
      <c r="K1277" s="31">
        <v>1896831.278379254</v>
      </c>
      <c r="L1277" s="31">
        <v>1574369.961054781</v>
      </c>
      <c r="M1277" s="32">
        <f t="shared" si="103"/>
        <v>1574369.961054781</v>
      </c>
      <c r="N1277" s="33">
        <f>Result_notebook!L1277</f>
        <v>0.83474576271186396</v>
      </c>
      <c r="O1277" s="31">
        <f t="shared" si="104"/>
        <v>0</v>
      </c>
      <c r="P1277" s="31">
        <f t="shared" si="105"/>
        <v>0</v>
      </c>
      <c r="Q1277">
        <f t="shared" si="106"/>
        <v>0</v>
      </c>
    </row>
    <row r="1278" spans="1:17" x14ac:dyDescent="0.35">
      <c r="A1278">
        <v>2039</v>
      </c>
      <c r="B1278" t="s">
        <v>7</v>
      </c>
      <c r="C1278" t="s">
        <v>4</v>
      </c>
      <c r="D1278" t="s">
        <v>16</v>
      </c>
      <c r="E1278" t="s">
        <v>483</v>
      </c>
      <c r="F1278" t="s">
        <v>81</v>
      </c>
      <c r="G1278" s="31">
        <v>1574369.961054781</v>
      </c>
      <c r="H1278" s="31">
        <v>174130</v>
      </c>
      <c r="I1278" s="31">
        <v>91524.240751278106</v>
      </c>
      <c r="J1278" s="32">
        <f t="shared" si="102"/>
        <v>53830.038909738752</v>
      </c>
      <c r="K1278" s="31">
        <v>1722701.278379254</v>
      </c>
      <c r="L1278" s="31">
        <v>1482845.7203035031</v>
      </c>
      <c r="M1278" s="32">
        <f t="shared" si="103"/>
        <v>1429015.6813937644</v>
      </c>
      <c r="N1278" s="33">
        <f>Result_notebook!L1278</f>
        <v>0.83474576271186396</v>
      </c>
      <c r="O1278" s="31">
        <f t="shared" si="104"/>
        <v>0</v>
      </c>
      <c r="P1278" s="31">
        <f t="shared" si="105"/>
        <v>0</v>
      </c>
      <c r="Q1278">
        <f t="shared" si="106"/>
        <v>53830.038909738752</v>
      </c>
    </row>
    <row r="1279" spans="1:17" x14ac:dyDescent="0.35">
      <c r="A1279">
        <v>2039</v>
      </c>
      <c r="B1279" t="s">
        <v>7</v>
      </c>
      <c r="C1279" t="s">
        <v>4</v>
      </c>
      <c r="D1279" t="s">
        <v>18</v>
      </c>
      <c r="E1279" t="s">
        <v>483</v>
      </c>
      <c r="F1279" t="s">
        <v>85</v>
      </c>
      <c r="G1279" s="31">
        <v>1574369.961054781</v>
      </c>
      <c r="H1279" s="31">
        <v>1075205.601428098</v>
      </c>
      <c r="I1279" s="31">
        <v>565137.40494014812</v>
      </c>
      <c r="J1279" s="32">
        <f t="shared" si="102"/>
        <v>332385.91489601799</v>
      </c>
      <c r="K1279" s="31">
        <v>821625.67695115646</v>
      </c>
      <c r="L1279" s="31">
        <v>1009232.556114633</v>
      </c>
      <c r="M1279" s="32">
        <f t="shared" si="103"/>
        <v>676846.641218615</v>
      </c>
      <c r="N1279" s="33">
        <f>Result_notebook!L1279</f>
        <v>0.83474576271186396</v>
      </c>
      <c r="O1279" s="31">
        <f t="shared" si="104"/>
        <v>0</v>
      </c>
      <c r="P1279" s="31">
        <f t="shared" si="105"/>
        <v>0</v>
      </c>
      <c r="Q1279">
        <f t="shared" si="106"/>
        <v>332385.91489601799</v>
      </c>
    </row>
    <row r="1280" spans="1:17" x14ac:dyDescent="0.35">
      <c r="A1280">
        <v>2039</v>
      </c>
      <c r="B1280" t="s">
        <v>7</v>
      </c>
      <c r="C1280" t="s">
        <v>4</v>
      </c>
      <c r="D1280" t="s">
        <v>18</v>
      </c>
      <c r="E1280" t="s">
        <v>483</v>
      </c>
      <c r="F1280" t="s">
        <v>86</v>
      </c>
      <c r="G1280" s="31">
        <v>1574369.961054781</v>
      </c>
      <c r="H1280" s="31">
        <v>1075205.601428098</v>
      </c>
      <c r="I1280" s="31">
        <v>565137.40494014812</v>
      </c>
      <c r="J1280" s="32">
        <f t="shared" si="102"/>
        <v>332385.91489601799</v>
      </c>
      <c r="K1280" s="31">
        <v>821625.67695115646</v>
      </c>
      <c r="L1280" s="31">
        <v>1009232.556114633</v>
      </c>
      <c r="M1280" s="32">
        <f t="shared" si="103"/>
        <v>676846.641218615</v>
      </c>
      <c r="N1280" s="33">
        <f>Result_notebook!L1280</f>
        <v>0.83474576271186396</v>
      </c>
      <c r="O1280" s="31">
        <f t="shared" si="104"/>
        <v>0</v>
      </c>
      <c r="P1280" s="31">
        <f t="shared" si="105"/>
        <v>0</v>
      </c>
      <c r="Q1280">
        <f t="shared" si="106"/>
        <v>332385.91489601799</v>
      </c>
    </row>
    <row r="1281" spans="1:17" x14ac:dyDescent="0.35">
      <c r="A1281">
        <v>2039</v>
      </c>
      <c r="B1281" t="s">
        <v>7</v>
      </c>
      <c r="C1281" t="s">
        <v>4</v>
      </c>
      <c r="D1281" t="s">
        <v>18</v>
      </c>
      <c r="E1281" t="s">
        <v>490</v>
      </c>
      <c r="F1281" t="s">
        <v>82</v>
      </c>
      <c r="G1281" s="31">
        <v>1574369.961054781</v>
      </c>
      <c r="H1281" s="31">
        <v>1075205.601428098</v>
      </c>
      <c r="I1281" s="31">
        <v>897523.31983616634</v>
      </c>
      <c r="J1281" s="32">
        <f t="shared" si="102"/>
        <v>0</v>
      </c>
      <c r="K1281" s="31">
        <v>821625.67695115646</v>
      </c>
      <c r="L1281" s="31">
        <v>676846.64121861465</v>
      </c>
      <c r="M1281" s="32">
        <f t="shared" si="103"/>
        <v>676846.64121861465</v>
      </c>
      <c r="N1281" s="33">
        <f>Result_notebook!L1281</f>
        <v>0.83474576271186396</v>
      </c>
      <c r="O1281" s="31">
        <f t="shared" si="104"/>
        <v>0</v>
      </c>
      <c r="P1281" s="31">
        <f t="shared" si="105"/>
        <v>0</v>
      </c>
      <c r="Q1281">
        <f t="shared" si="106"/>
        <v>0</v>
      </c>
    </row>
    <row r="1282" spans="1:17" x14ac:dyDescent="0.35">
      <c r="A1282">
        <v>2039</v>
      </c>
      <c r="B1282" t="s">
        <v>7</v>
      </c>
      <c r="C1282" t="s">
        <v>9</v>
      </c>
      <c r="D1282" t="s">
        <v>16</v>
      </c>
      <c r="E1282" t="s">
        <v>483</v>
      </c>
      <c r="F1282" t="s">
        <v>80</v>
      </c>
      <c r="G1282" s="31">
        <v>1183188.8670452209</v>
      </c>
      <c r="H1282" s="31">
        <v>0</v>
      </c>
      <c r="I1282" s="31">
        <v>0</v>
      </c>
      <c r="J1282" s="32">
        <f t="shared" si="102"/>
        <v>0</v>
      </c>
      <c r="K1282" s="31">
        <v>1425528.75547617</v>
      </c>
      <c r="L1282" s="31">
        <v>1183188.8670452209</v>
      </c>
      <c r="M1282" s="32">
        <f t="shared" si="103"/>
        <v>1183188.8670452209</v>
      </c>
      <c r="N1282" s="33">
        <f>Result_notebook!L1282</f>
        <v>0.83474576271186396</v>
      </c>
      <c r="O1282" s="31">
        <f t="shared" si="104"/>
        <v>0</v>
      </c>
      <c r="P1282" s="31">
        <f t="shared" si="105"/>
        <v>0</v>
      </c>
      <c r="Q1282">
        <f t="shared" si="106"/>
        <v>0</v>
      </c>
    </row>
    <row r="1283" spans="1:17" x14ac:dyDescent="0.35">
      <c r="A1283">
        <v>2039</v>
      </c>
      <c r="B1283" t="s">
        <v>7</v>
      </c>
      <c r="C1283" t="s">
        <v>9</v>
      </c>
      <c r="D1283" t="s">
        <v>16</v>
      </c>
      <c r="E1283" t="s">
        <v>483</v>
      </c>
      <c r="F1283" t="s">
        <v>81</v>
      </c>
      <c r="G1283" s="31">
        <v>1183188.8670452209</v>
      </c>
      <c r="H1283" s="31">
        <v>174130</v>
      </c>
      <c r="I1283" s="31">
        <v>91524.240751278106</v>
      </c>
      <c r="J1283" s="32">
        <f t="shared" ref="J1283:J1346" si="107">H1283*N1283-I1283</f>
        <v>53830.038909738752</v>
      </c>
      <c r="K1283" s="31">
        <v>1251398.75547617</v>
      </c>
      <c r="L1283" s="31">
        <v>1091664.626293943</v>
      </c>
      <c r="M1283" s="32">
        <f t="shared" ref="M1283:M1346" si="108">MAX(L1283-J1283,0)</f>
        <v>1037834.5873842043</v>
      </c>
      <c r="N1283" s="33">
        <f>Result_notebook!L1283</f>
        <v>0.83474576271186396</v>
      </c>
      <c r="O1283" s="31">
        <f t="shared" ref="O1283:O1346" si="109">G1283-(I1283+J1283+M1283)</f>
        <v>0</v>
      </c>
      <c r="P1283" s="31">
        <f t="shared" ref="P1283:P1346" si="110">MAX(I1283-G1283,0)</f>
        <v>0</v>
      </c>
      <c r="Q1283">
        <f t="shared" ref="Q1283:Q1346" si="111">(H1283*N1283)-I1283</f>
        <v>53830.038909738752</v>
      </c>
    </row>
    <row r="1284" spans="1:17" x14ac:dyDescent="0.35">
      <c r="A1284">
        <v>2039</v>
      </c>
      <c r="B1284" t="s">
        <v>7</v>
      </c>
      <c r="C1284" t="s">
        <v>9</v>
      </c>
      <c r="D1284" t="s">
        <v>18</v>
      </c>
      <c r="E1284" t="s">
        <v>483</v>
      </c>
      <c r="F1284" t="s">
        <v>85</v>
      </c>
      <c r="G1284" s="31">
        <v>1183188.8670452209</v>
      </c>
      <c r="H1284" s="31">
        <v>1075205.601428098</v>
      </c>
      <c r="I1284" s="31">
        <v>565137.40494014812</v>
      </c>
      <c r="J1284" s="32">
        <f t="shared" si="107"/>
        <v>332385.91489601799</v>
      </c>
      <c r="K1284" s="31">
        <v>350323.15404807188</v>
      </c>
      <c r="L1284" s="31">
        <v>618051.4621050728</v>
      </c>
      <c r="M1284" s="32">
        <f t="shared" si="108"/>
        <v>285665.54720905481</v>
      </c>
      <c r="N1284" s="33">
        <f>Result_notebook!L1284</f>
        <v>0.83474576271186396</v>
      </c>
      <c r="O1284" s="31">
        <f t="shared" si="109"/>
        <v>0</v>
      </c>
      <c r="P1284" s="31">
        <f t="shared" si="110"/>
        <v>0</v>
      </c>
      <c r="Q1284">
        <f t="shared" si="111"/>
        <v>332385.91489601799</v>
      </c>
    </row>
    <row r="1285" spans="1:17" x14ac:dyDescent="0.35">
      <c r="A1285">
        <v>2039</v>
      </c>
      <c r="B1285" t="s">
        <v>7</v>
      </c>
      <c r="C1285" t="s">
        <v>9</v>
      </c>
      <c r="D1285" t="s">
        <v>18</v>
      </c>
      <c r="E1285" t="s">
        <v>483</v>
      </c>
      <c r="F1285" t="s">
        <v>86</v>
      </c>
      <c r="G1285" s="31">
        <v>1183188.8670452209</v>
      </c>
      <c r="H1285" s="31">
        <v>1075205.601428098</v>
      </c>
      <c r="I1285" s="31">
        <v>565137.40494014812</v>
      </c>
      <c r="J1285" s="32">
        <f t="shared" si="107"/>
        <v>332385.91489601799</v>
      </c>
      <c r="K1285" s="31">
        <v>350323.15404807188</v>
      </c>
      <c r="L1285" s="31">
        <v>618051.4621050728</v>
      </c>
      <c r="M1285" s="32">
        <f t="shared" si="108"/>
        <v>285665.54720905481</v>
      </c>
      <c r="N1285" s="33">
        <f>Result_notebook!L1285</f>
        <v>0.83474576271186396</v>
      </c>
      <c r="O1285" s="31">
        <f t="shared" si="109"/>
        <v>0</v>
      </c>
      <c r="P1285" s="31">
        <f t="shared" si="110"/>
        <v>0</v>
      </c>
      <c r="Q1285">
        <f t="shared" si="111"/>
        <v>332385.91489601799</v>
      </c>
    </row>
    <row r="1286" spans="1:17" x14ac:dyDescent="0.35">
      <c r="A1286">
        <v>2039</v>
      </c>
      <c r="B1286" t="s">
        <v>7</v>
      </c>
      <c r="C1286" t="s">
        <v>9</v>
      </c>
      <c r="D1286" t="s">
        <v>18</v>
      </c>
      <c r="E1286" t="s">
        <v>490</v>
      </c>
      <c r="F1286" t="s">
        <v>82</v>
      </c>
      <c r="G1286" s="31">
        <v>1183188.8670452209</v>
      </c>
      <c r="H1286" s="31">
        <v>1075205.601428098</v>
      </c>
      <c r="I1286" s="31">
        <v>897523.31983616634</v>
      </c>
      <c r="J1286" s="32">
        <f t="shared" si="107"/>
        <v>0</v>
      </c>
      <c r="K1286" s="31">
        <v>350323.15404807188</v>
      </c>
      <c r="L1286" s="31">
        <v>285665.54720905458</v>
      </c>
      <c r="M1286" s="32">
        <f t="shared" si="108"/>
        <v>285665.54720905458</v>
      </c>
      <c r="N1286" s="33">
        <f>Result_notebook!L1286</f>
        <v>0.83474576271186396</v>
      </c>
      <c r="O1286" s="31">
        <f t="shared" si="109"/>
        <v>0</v>
      </c>
      <c r="P1286" s="31">
        <f t="shared" si="110"/>
        <v>0</v>
      </c>
      <c r="Q1286">
        <f t="shared" si="111"/>
        <v>0</v>
      </c>
    </row>
    <row r="1287" spans="1:17" x14ac:dyDescent="0.35">
      <c r="A1287">
        <v>2039</v>
      </c>
      <c r="B1287" t="s">
        <v>7</v>
      </c>
      <c r="C1287" t="s">
        <v>10</v>
      </c>
      <c r="D1287" t="s">
        <v>16</v>
      </c>
      <c r="E1287" t="s">
        <v>483</v>
      </c>
      <c r="F1287" t="s">
        <v>80</v>
      </c>
      <c r="G1287" s="31">
        <v>1479276.035916927</v>
      </c>
      <c r="H1287" s="31">
        <v>0</v>
      </c>
      <c r="I1287" s="31">
        <v>0</v>
      </c>
      <c r="J1287" s="32">
        <f t="shared" si="107"/>
        <v>0</v>
      </c>
      <c r="K1287" s="31">
        <v>1782260.2842372621</v>
      </c>
      <c r="L1287" s="31">
        <v>1479276.035916927</v>
      </c>
      <c r="M1287" s="32">
        <f t="shared" si="108"/>
        <v>1479276.035916927</v>
      </c>
      <c r="N1287" s="33">
        <f>Result_notebook!L1287</f>
        <v>0.83474576271186396</v>
      </c>
      <c r="O1287" s="31">
        <f t="shared" si="109"/>
        <v>0</v>
      </c>
      <c r="P1287" s="31">
        <f t="shared" si="110"/>
        <v>0</v>
      </c>
      <c r="Q1287">
        <f t="shared" si="111"/>
        <v>0</v>
      </c>
    </row>
    <row r="1288" spans="1:17" x14ac:dyDescent="0.35">
      <c r="A1288">
        <v>2039</v>
      </c>
      <c r="B1288" t="s">
        <v>7</v>
      </c>
      <c r="C1288" t="s">
        <v>10</v>
      </c>
      <c r="D1288" t="s">
        <v>16</v>
      </c>
      <c r="E1288" t="s">
        <v>483</v>
      </c>
      <c r="F1288" t="s">
        <v>81</v>
      </c>
      <c r="G1288" s="31">
        <v>1479276.035916927</v>
      </c>
      <c r="H1288" s="31">
        <v>174130</v>
      </c>
      <c r="I1288" s="31">
        <v>91524.240751278106</v>
      </c>
      <c r="J1288" s="32">
        <f t="shared" si="107"/>
        <v>53830.038909738752</v>
      </c>
      <c r="K1288" s="31">
        <v>1608130.2842372621</v>
      </c>
      <c r="L1288" s="31">
        <v>1387751.7951656489</v>
      </c>
      <c r="M1288" s="32">
        <f t="shared" si="108"/>
        <v>1333921.7562559103</v>
      </c>
      <c r="N1288" s="33">
        <f>Result_notebook!L1288</f>
        <v>0.83474576271186396</v>
      </c>
      <c r="O1288" s="31">
        <f t="shared" si="109"/>
        <v>0</v>
      </c>
      <c r="P1288" s="31">
        <f t="shared" si="110"/>
        <v>0</v>
      </c>
      <c r="Q1288">
        <f t="shared" si="111"/>
        <v>53830.038909738752</v>
      </c>
    </row>
    <row r="1289" spans="1:17" x14ac:dyDescent="0.35">
      <c r="A1289">
        <v>2039</v>
      </c>
      <c r="B1289" t="s">
        <v>7</v>
      </c>
      <c r="C1289" t="s">
        <v>10</v>
      </c>
      <c r="D1289" t="s">
        <v>18</v>
      </c>
      <c r="E1289" t="s">
        <v>483</v>
      </c>
      <c r="F1289" t="s">
        <v>85</v>
      </c>
      <c r="G1289" s="31">
        <v>1479276.035916927</v>
      </c>
      <c r="H1289" s="31">
        <v>1075205.601428098</v>
      </c>
      <c r="I1289" s="31">
        <v>565137.40494014812</v>
      </c>
      <c r="J1289" s="32">
        <f t="shared" si="107"/>
        <v>332385.91489601799</v>
      </c>
      <c r="K1289" s="31">
        <v>707054.68280916382</v>
      </c>
      <c r="L1289" s="31">
        <v>914138.63097677892</v>
      </c>
      <c r="M1289" s="32">
        <f t="shared" si="108"/>
        <v>581752.71608076093</v>
      </c>
      <c r="N1289" s="33">
        <f>Result_notebook!L1289</f>
        <v>0.83474576271186396</v>
      </c>
      <c r="O1289" s="31">
        <f t="shared" si="109"/>
        <v>0</v>
      </c>
      <c r="P1289" s="31">
        <f t="shared" si="110"/>
        <v>0</v>
      </c>
      <c r="Q1289">
        <f t="shared" si="111"/>
        <v>332385.91489601799</v>
      </c>
    </row>
    <row r="1290" spans="1:17" x14ac:dyDescent="0.35">
      <c r="A1290">
        <v>2039</v>
      </c>
      <c r="B1290" t="s">
        <v>7</v>
      </c>
      <c r="C1290" t="s">
        <v>10</v>
      </c>
      <c r="D1290" t="s">
        <v>18</v>
      </c>
      <c r="E1290" t="s">
        <v>483</v>
      </c>
      <c r="F1290" t="s">
        <v>86</v>
      </c>
      <c r="G1290" s="31">
        <v>1479276.035916927</v>
      </c>
      <c r="H1290" s="31">
        <v>1075205.601428098</v>
      </c>
      <c r="I1290" s="31">
        <v>565137.40494014812</v>
      </c>
      <c r="J1290" s="32">
        <f t="shared" si="107"/>
        <v>332385.91489601799</v>
      </c>
      <c r="K1290" s="31">
        <v>707054.68280916382</v>
      </c>
      <c r="L1290" s="31">
        <v>914138.63097677892</v>
      </c>
      <c r="M1290" s="32">
        <f t="shared" si="108"/>
        <v>581752.71608076093</v>
      </c>
      <c r="N1290" s="33">
        <f>Result_notebook!L1290</f>
        <v>0.83474576271186396</v>
      </c>
      <c r="O1290" s="31">
        <f t="shared" si="109"/>
        <v>0</v>
      </c>
      <c r="P1290" s="31">
        <f t="shared" si="110"/>
        <v>0</v>
      </c>
      <c r="Q1290">
        <f t="shared" si="111"/>
        <v>332385.91489601799</v>
      </c>
    </row>
    <row r="1291" spans="1:17" x14ac:dyDescent="0.35">
      <c r="A1291">
        <v>2039</v>
      </c>
      <c r="B1291" t="s">
        <v>7</v>
      </c>
      <c r="C1291" t="s">
        <v>10</v>
      </c>
      <c r="D1291" t="s">
        <v>18</v>
      </c>
      <c r="E1291" t="s">
        <v>490</v>
      </c>
      <c r="F1291" t="s">
        <v>82</v>
      </c>
      <c r="G1291" s="31">
        <v>1479276.035916927</v>
      </c>
      <c r="H1291" s="31">
        <v>1075205.601428098</v>
      </c>
      <c r="I1291" s="31">
        <v>897523.31983616634</v>
      </c>
      <c r="J1291" s="32">
        <f t="shared" si="107"/>
        <v>0</v>
      </c>
      <c r="K1291" s="31">
        <v>707054.68280916382</v>
      </c>
      <c r="L1291" s="31">
        <v>581752.7160807607</v>
      </c>
      <c r="M1291" s="32">
        <f t="shared" si="108"/>
        <v>581752.7160807607</v>
      </c>
      <c r="N1291" s="33">
        <f>Result_notebook!L1291</f>
        <v>0.83474576271186396</v>
      </c>
      <c r="O1291" s="31">
        <f t="shared" si="109"/>
        <v>0</v>
      </c>
      <c r="P1291" s="31">
        <f t="shared" si="110"/>
        <v>0</v>
      </c>
      <c r="Q1291">
        <f t="shared" si="111"/>
        <v>0</v>
      </c>
    </row>
    <row r="1292" spans="1:17" x14ac:dyDescent="0.35">
      <c r="A1292">
        <v>2039</v>
      </c>
      <c r="B1292" t="s">
        <v>11</v>
      </c>
      <c r="C1292" t="s">
        <v>4</v>
      </c>
      <c r="D1292" t="s">
        <v>16</v>
      </c>
      <c r="E1292" t="s">
        <v>483</v>
      </c>
      <c r="F1292" t="s">
        <v>80</v>
      </c>
      <c r="G1292" s="31">
        <v>6923.3275332631974</v>
      </c>
      <c r="H1292" s="31">
        <v>0</v>
      </c>
      <c r="I1292" s="31">
        <v>0</v>
      </c>
      <c r="J1292" s="32">
        <f t="shared" si="107"/>
        <v>0</v>
      </c>
      <c r="K1292" s="31">
        <v>11538.87922210533</v>
      </c>
      <c r="L1292" s="31">
        <v>6923.3275332631974</v>
      </c>
      <c r="M1292" s="32">
        <f t="shared" si="108"/>
        <v>6923.3275332631974</v>
      </c>
      <c r="N1292" s="33">
        <f>Result_notebook!L1292</f>
        <v>1</v>
      </c>
      <c r="O1292" s="31">
        <f t="shared" si="109"/>
        <v>0</v>
      </c>
      <c r="P1292" s="31">
        <f t="shared" si="110"/>
        <v>0</v>
      </c>
      <c r="Q1292">
        <f t="shared" si="111"/>
        <v>0</v>
      </c>
    </row>
    <row r="1293" spans="1:17" x14ac:dyDescent="0.35">
      <c r="A1293">
        <v>2039</v>
      </c>
      <c r="B1293" t="s">
        <v>11</v>
      </c>
      <c r="C1293" t="s">
        <v>4</v>
      </c>
      <c r="D1293" t="s">
        <v>16</v>
      </c>
      <c r="E1293" t="s">
        <v>483</v>
      </c>
      <c r="F1293" t="s">
        <v>81</v>
      </c>
      <c r="G1293" s="31">
        <v>6923.3275332631974</v>
      </c>
      <c r="H1293" s="31">
        <v>0</v>
      </c>
      <c r="I1293" s="31">
        <v>0</v>
      </c>
      <c r="J1293" s="32">
        <f t="shared" si="107"/>
        <v>0</v>
      </c>
      <c r="K1293" s="31">
        <v>11538.87922210533</v>
      </c>
      <c r="L1293" s="31">
        <v>6923.3275332631974</v>
      </c>
      <c r="M1293" s="32">
        <f t="shared" si="108"/>
        <v>6923.3275332631974</v>
      </c>
      <c r="N1293" s="33">
        <f>Result_notebook!L1293</f>
        <v>1</v>
      </c>
      <c r="O1293" s="31">
        <f t="shared" si="109"/>
        <v>0</v>
      </c>
      <c r="P1293" s="31">
        <f t="shared" si="110"/>
        <v>0</v>
      </c>
      <c r="Q1293">
        <f t="shared" si="111"/>
        <v>0</v>
      </c>
    </row>
    <row r="1294" spans="1:17" x14ac:dyDescent="0.35">
      <c r="A1294">
        <v>2039</v>
      </c>
      <c r="B1294" t="s">
        <v>11</v>
      </c>
      <c r="C1294" t="s">
        <v>4</v>
      </c>
      <c r="D1294" t="s">
        <v>18</v>
      </c>
      <c r="E1294" t="s">
        <v>483</v>
      </c>
      <c r="F1294" t="s">
        <v>85</v>
      </c>
      <c r="G1294" s="31">
        <v>6923.3275332631974</v>
      </c>
      <c r="H1294" s="31">
        <v>308.22170458690948</v>
      </c>
      <c r="I1294" s="31">
        <v>184.48422544010839</v>
      </c>
      <c r="J1294" s="32">
        <f t="shared" si="107"/>
        <v>123.73747914680109</v>
      </c>
      <c r="K1294" s="31">
        <v>11230.657517518421</v>
      </c>
      <c r="L1294" s="31">
        <v>6738.8433078230892</v>
      </c>
      <c r="M1294" s="32">
        <f t="shared" si="108"/>
        <v>6615.1058286762882</v>
      </c>
      <c r="N1294" s="33">
        <f>Result_notebook!L1294</f>
        <v>1</v>
      </c>
      <c r="O1294" s="31">
        <f t="shared" si="109"/>
        <v>0</v>
      </c>
      <c r="P1294" s="31">
        <f t="shared" si="110"/>
        <v>0</v>
      </c>
      <c r="Q1294">
        <f t="shared" si="111"/>
        <v>123.73747914680109</v>
      </c>
    </row>
    <row r="1295" spans="1:17" x14ac:dyDescent="0.35">
      <c r="A1295">
        <v>2039</v>
      </c>
      <c r="B1295" t="s">
        <v>11</v>
      </c>
      <c r="C1295" t="s">
        <v>4</v>
      </c>
      <c r="D1295" t="s">
        <v>18</v>
      </c>
      <c r="E1295" t="s">
        <v>483</v>
      </c>
      <c r="F1295" t="s">
        <v>86</v>
      </c>
      <c r="G1295" s="31">
        <v>6923.3275332631974</v>
      </c>
      <c r="H1295" s="31">
        <v>308.22170458690948</v>
      </c>
      <c r="I1295" s="31">
        <v>184.48422544010839</v>
      </c>
      <c r="J1295" s="32">
        <f t="shared" si="107"/>
        <v>123.73747914680109</v>
      </c>
      <c r="K1295" s="31">
        <v>11230.657517518421</v>
      </c>
      <c r="L1295" s="31">
        <v>6738.8433078230892</v>
      </c>
      <c r="M1295" s="32">
        <f t="shared" si="108"/>
        <v>6615.1058286762882</v>
      </c>
      <c r="N1295" s="33">
        <f>Result_notebook!L1295</f>
        <v>1</v>
      </c>
      <c r="O1295" s="31">
        <f t="shared" si="109"/>
        <v>0</v>
      </c>
      <c r="P1295" s="31">
        <f t="shared" si="110"/>
        <v>0</v>
      </c>
      <c r="Q1295">
        <f t="shared" si="111"/>
        <v>123.73747914680109</v>
      </c>
    </row>
    <row r="1296" spans="1:17" x14ac:dyDescent="0.35">
      <c r="A1296">
        <v>2039</v>
      </c>
      <c r="B1296" t="s">
        <v>11</v>
      </c>
      <c r="C1296" t="s">
        <v>4</v>
      </c>
      <c r="D1296" t="s">
        <v>18</v>
      </c>
      <c r="E1296" t="s">
        <v>490</v>
      </c>
      <c r="F1296" t="s">
        <v>82</v>
      </c>
      <c r="G1296" s="31">
        <v>6923.3275332631974</v>
      </c>
      <c r="H1296" s="31">
        <v>308.22170458690948</v>
      </c>
      <c r="I1296" s="31">
        <v>184.48422544010839</v>
      </c>
      <c r="J1296" s="32">
        <f t="shared" si="107"/>
        <v>123.73747914680109</v>
      </c>
      <c r="K1296" s="31">
        <v>11230.657517518421</v>
      </c>
      <c r="L1296" s="31">
        <v>6738.8433078230892</v>
      </c>
      <c r="M1296" s="32">
        <f t="shared" si="108"/>
        <v>6615.1058286762882</v>
      </c>
      <c r="N1296" s="33">
        <f>Result_notebook!L1296</f>
        <v>1</v>
      </c>
      <c r="O1296" s="31">
        <f t="shared" si="109"/>
        <v>0</v>
      </c>
      <c r="P1296" s="31">
        <f t="shared" si="110"/>
        <v>0</v>
      </c>
      <c r="Q1296">
        <f t="shared" si="111"/>
        <v>123.73747914680109</v>
      </c>
    </row>
    <row r="1297" spans="1:17" x14ac:dyDescent="0.35">
      <c r="A1297">
        <v>2039</v>
      </c>
      <c r="B1297" t="s">
        <v>11</v>
      </c>
      <c r="C1297" t="s">
        <v>9</v>
      </c>
      <c r="D1297" t="s">
        <v>16</v>
      </c>
      <c r="E1297" t="s">
        <v>483</v>
      </c>
      <c r="F1297" t="s">
        <v>80</v>
      </c>
      <c r="G1297" s="31">
        <v>2272.804134899478</v>
      </c>
      <c r="H1297" s="31">
        <v>0</v>
      </c>
      <c r="I1297" s="31">
        <v>0</v>
      </c>
      <c r="J1297" s="32">
        <f t="shared" si="107"/>
        <v>0</v>
      </c>
      <c r="K1297" s="31">
        <v>3788.0068914991298</v>
      </c>
      <c r="L1297" s="31">
        <v>2272.804134899478</v>
      </c>
      <c r="M1297" s="32">
        <f t="shared" si="108"/>
        <v>2272.804134899478</v>
      </c>
      <c r="N1297" s="33">
        <f>Result_notebook!L1297</f>
        <v>1</v>
      </c>
      <c r="O1297" s="31">
        <f t="shared" si="109"/>
        <v>0</v>
      </c>
      <c r="P1297" s="31">
        <f t="shared" si="110"/>
        <v>0</v>
      </c>
      <c r="Q1297">
        <f t="shared" si="111"/>
        <v>0</v>
      </c>
    </row>
    <row r="1298" spans="1:17" x14ac:dyDescent="0.35">
      <c r="A1298">
        <v>2039</v>
      </c>
      <c r="B1298" t="s">
        <v>11</v>
      </c>
      <c r="C1298" t="s">
        <v>9</v>
      </c>
      <c r="D1298" t="s">
        <v>16</v>
      </c>
      <c r="E1298" t="s">
        <v>483</v>
      </c>
      <c r="F1298" t="s">
        <v>81</v>
      </c>
      <c r="G1298" s="31">
        <v>2272.804134899478</v>
      </c>
      <c r="H1298" s="31">
        <v>0</v>
      </c>
      <c r="I1298" s="31">
        <v>0</v>
      </c>
      <c r="J1298" s="32">
        <f t="shared" si="107"/>
        <v>0</v>
      </c>
      <c r="K1298" s="31">
        <v>3788.0068914991298</v>
      </c>
      <c r="L1298" s="31">
        <v>2272.804134899478</v>
      </c>
      <c r="M1298" s="32">
        <f t="shared" si="108"/>
        <v>2272.804134899478</v>
      </c>
      <c r="N1298" s="33">
        <f>Result_notebook!L1298</f>
        <v>1</v>
      </c>
      <c r="O1298" s="31">
        <f t="shared" si="109"/>
        <v>0</v>
      </c>
      <c r="P1298" s="31">
        <f t="shared" si="110"/>
        <v>0</v>
      </c>
      <c r="Q1298">
        <f t="shared" si="111"/>
        <v>0</v>
      </c>
    </row>
    <row r="1299" spans="1:17" x14ac:dyDescent="0.35">
      <c r="A1299">
        <v>2039</v>
      </c>
      <c r="B1299" t="s">
        <v>11</v>
      </c>
      <c r="C1299" t="s">
        <v>9</v>
      </c>
      <c r="D1299" t="s">
        <v>18</v>
      </c>
      <c r="E1299" t="s">
        <v>483</v>
      </c>
      <c r="F1299" t="s">
        <v>85</v>
      </c>
      <c r="G1299" s="31">
        <v>2272.804134899478</v>
      </c>
      <c r="H1299" s="31">
        <v>308.22170458690948</v>
      </c>
      <c r="I1299" s="31">
        <v>184.48422544010839</v>
      </c>
      <c r="J1299" s="32">
        <f t="shared" si="107"/>
        <v>123.73747914680109</v>
      </c>
      <c r="K1299" s="31">
        <v>3479.785186912221</v>
      </c>
      <c r="L1299" s="31">
        <v>2088.3199094593701</v>
      </c>
      <c r="M1299" s="32">
        <f t="shared" si="108"/>
        <v>1964.5824303125692</v>
      </c>
      <c r="N1299" s="33">
        <f>Result_notebook!L1299</f>
        <v>1</v>
      </c>
      <c r="O1299" s="31">
        <f t="shared" si="109"/>
        <v>0</v>
      </c>
      <c r="P1299" s="31">
        <f t="shared" si="110"/>
        <v>0</v>
      </c>
      <c r="Q1299">
        <f t="shared" si="111"/>
        <v>123.73747914680109</v>
      </c>
    </row>
    <row r="1300" spans="1:17" x14ac:dyDescent="0.35">
      <c r="A1300">
        <v>2039</v>
      </c>
      <c r="B1300" t="s">
        <v>11</v>
      </c>
      <c r="C1300" t="s">
        <v>9</v>
      </c>
      <c r="D1300" t="s">
        <v>18</v>
      </c>
      <c r="E1300" t="s">
        <v>483</v>
      </c>
      <c r="F1300" t="s">
        <v>86</v>
      </c>
      <c r="G1300" s="31">
        <v>2272.804134899478</v>
      </c>
      <c r="H1300" s="31">
        <v>308.22170458690948</v>
      </c>
      <c r="I1300" s="31">
        <v>184.48422544010839</v>
      </c>
      <c r="J1300" s="32">
        <f t="shared" si="107"/>
        <v>123.73747914680109</v>
      </c>
      <c r="K1300" s="31">
        <v>3479.785186912221</v>
      </c>
      <c r="L1300" s="31">
        <v>2088.3199094593701</v>
      </c>
      <c r="M1300" s="32">
        <f t="shared" si="108"/>
        <v>1964.5824303125692</v>
      </c>
      <c r="N1300" s="33">
        <f>Result_notebook!L1300</f>
        <v>1</v>
      </c>
      <c r="O1300" s="31">
        <f t="shared" si="109"/>
        <v>0</v>
      </c>
      <c r="P1300" s="31">
        <f t="shared" si="110"/>
        <v>0</v>
      </c>
      <c r="Q1300">
        <f t="shared" si="111"/>
        <v>123.73747914680109</v>
      </c>
    </row>
    <row r="1301" spans="1:17" x14ac:dyDescent="0.35">
      <c r="A1301">
        <v>2039</v>
      </c>
      <c r="B1301" t="s">
        <v>11</v>
      </c>
      <c r="C1301" t="s">
        <v>9</v>
      </c>
      <c r="D1301" t="s">
        <v>18</v>
      </c>
      <c r="E1301" t="s">
        <v>490</v>
      </c>
      <c r="F1301" t="s">
        <v>82</v>
      </c>
      <c r="G1301" s="31">
        <v>2272.804134899478</v>
      </c>
      <c r="H1301" s="31">
        <v>308.22170458690948</v>
      </c>
      <c r="I1301" s="31">
        <v>184.48422544010839</v>
      </c>
      <c r="J1301" s="32">
        <f t="shared" si="107"/>
        <v>123.73747914680109</v>
      </c>
      <c r="K1301" s="31">
        <v>3479.785186912221</v>
      </c>
      <c r="L1301" s="31">
        <v>2088.3199094593701</v>
      </c>
      <c r="M1301" s="32">
        <f t="shared" si="108"/>
        <v>1964.5824303125692</v>
      </c>
      <c r="N1301" s="33">
        <f>Result_notebook!L1301</f>
        <v>1</v>
      </c>
      <c r="O1301" s="31">
        <f t="shared" si="109"/>
        <v>0</v>
      </c>
      <c r="P1301" s="31">
        <f t="shared" si="110"/>
        <v>0</v>
      </c>
      <c r="Q1301">
        <f t="shared" si="111"/>
        <v>123.73747914680109</v>
      </c>
    </row>
    <row r="1302" spans="1:17" x14ac:dyDescent="0.35">
      <c r="A1302">
        <v>2039</v>
      </c>
      <c r="B1302" t="s">
        <v>11</v>
      </c>
      <c r="C1302" t="s">
        <v>10</v>
      </c>
      <c r="D1302" t="s">
        <v>16</v>
      </c>
      <c r="E1302" t="s">
        <v>483</v>
      </c>
      <c r="F1302" t="s">
        <v>80</v>
      </c>
      <c r="G1302" s="31">
        <v>6634.0960399936675</v>
      </c>
      <c r="H1302" s="31">
        <v>0</v>
      </c>
      <c r="I1302" s="31">
        <v>0</v>
      </c>
      <c r="J1302" s="32">
        <f t="shared" si="107"/>
        <v>0</v>
      </c>
      <c r="K1302" s="31">
        <v>11056.82673332278</v>
      </c>
      <c r="L1302" s="31">
        <v>6634.0960399936675</v>
      </c>
      <c r="M1302" s="32">
        <f t="shared" si="108"/>
        <v>6634.0960399936675</v>
      </c>
      <c r="N1302" s="33">
        <f>Result_notebook!L1302</f>
        <v>1</v>
      </c>
      <c r="O1302" s="31">
        <f t="shared" si="109"/>
        <v>0</v>
      </c>
      <c r="P1302" s="31">
        <f t="shared" si="110"/>
        <v>0</v>
      </c>
      <c r="Q1302">
        <f t="shared" si="111"/>
        <v>0</v>
      </c>
    </row>
    <row r="1303" spans="1:17" x14ac:dyDescent="0.35">
      <c r="A1303">
        <v>2039</v>
      </c>
      <c r="B1303" t="s">
        <v>11</v>
      </c>
      <c r="C1303" t="s">
        <v>10</v>
      </c>
      <c r="D1303" t="s">
        <v>16</v>
      </c>
      <c r="E1303" t="s">
        <v>483</v>
      </c>
      <c r="F1303" t="s">
        <v>81</v>
      </c>
      <c r="G1303" s="31">
        <v>6634.0960399936675</v>
      </c>
      <c r="H1303" s="31">
        <v>0</v>
      </c>
      <c r="I1303" s="31">
        <v>0</v>
      </c>
      <c r="J1303" s="32">
        <f t="shared" si="107"/>
        <v>0</v>
      </c>
      <c r="K1303" s="31">
        <v>11056.82673332278</v>
      </c>
      <c r="L1303" s="31">
        <v>6634.0960399936675</v>
      </c>
      <c r="M1303" s="32">
        <f t="shared" si="108"/>
        <v>6634.0960399936675</v>
      </c>
      <c r="N1303" s="33">
        <f>Result_notebook!L1303</f>
        <v>1</v>
      </c>
      <c r="O1303" s="31">
        <f t="shared" si="109"/>
        <v>0</v>
      </c>
      <c r="P1303" s="31">
        <f t="shared" si="110"/>
        <v>0</v>
      </c>
      <c r="Q1303">
        <f t="shared" si="111"/>
        <v>0</v>
      </c>
    </row>
    <row r="1304" spans="1:17" x14ac:dyDescent="0.35">
      <c r="A1304">
        <v>2039</v>
      </c>
      <c r="B1304" t="s">
        <v>11</v>
      </c>
      <c r="C1304" t="s">
        <v>10</v>
      </c>
      <c r="D1304" t="s">
        <v>18</v>
      </c>
      <c r="E1304" t="s">
        <v>483</v>
      </c>
      <c r="F1304" t="s">
        <v>85</v>
      </c>
      <c r="G1304" s="31">
        <v>6634.0960399936675</v>
      </c>
      <c r="H1304" s="31">
        <v>308.22170458690948</v>
      </c>
      <c r="I1304" s="31">
        <v>184.48422544010839</v>
      </c>
      <c r="J1304" s="32">
        <f t="shared" si="107"/>
        <v>123.73747914680109</v>
      </c>
      <c r="K1304" s="31">
        <v>10748.60502873587</v>
      </c>
      <c r="L1304" s="31">
        <v>6449.6118145535593</v>
      </c>
      <c r="M1304" s="32">
        <f t="shared" si="108"/>
        <v>6325.8743354067583</v>
      </c>
      <c r="N1304" s="33">
        <f>Result_notebook!L1304</f>
        <v>1</v>
      </c>
      <c r="O1304" s="31">
        <f t="shared" si="109"/>
        <v>0</v>
      </c>
      <c r="P1304" s="31">
        <f t="shared" si="110"/>
        <v>0</v>
      </c>
      <c r="Q1304">
        <f t="shared" si="111"/>
        <v>123.73747914680109</v>
      </c>
    </row>
    <row r="1305" spans="1:17" x14ac:dyDescent="0.35">
      <c r="A1305">
        <v>2039</v>
      </c>
      <c r="B1305" t="s">
        <v>11</v>
      </c>
      <c r="C1305" t="s">
        <v>10</v>
      </c>
      <c r="D1305" t="s">
        <v>18</v>
      </c>
      <c r="E1305" t="s">
        <v>483</v>
      </c>
      <c r="F1305" t="s">
        <v>86</v>
      </c>
      <c r="G1305" s="31">
        <v>6634.0960399936675</v>
      </c>
      <c r="H1305" s="31">
        <v>308.22170458690948</v>
      </c>
      <c r="I1305" s="31">
        <v>184.48422544010839</v>
      </c>
      <c r="J1305" s="32">
        <f t="shared" si="107"/>
        <v>123.73747914680109</v>
      </c>
      <c r="K1305" s="31">
        <v>10748.60502873587</v>
      </c>
      <c r="L1305" s="31">
        <v>6449.6118145535593</v>
      </c>
      <c r="M1305" s="32">
        <f t="shared" si="108"/>
        <v>6325.8743354067583</v>
      </c>
      <c r="N1305" s="33">
        <f>Result_notebook!L1305</f>
        <v>1</v>
      </c>
      <c r="O1305" s="31">
        <f t="shared" si="109"/>
        <v>0</v>
      </c>
      <c r="P1305" s="31">
        <f t="shared" si="110"/>
        <v>0</v>
      </c>
      <c r="Q1305">
        <f t="shared" si="111"/>
        <v>123.73747914680109</v>
      </c>
    </row>
    <row r="1306" spans="1:17" x14ac:dyDescent="0.35">
      <c r="A1306">
        <v>2039</v>
      </c>
      <c r="B1306" t="s">
        <v>11</v>
      </c>
      <c r="C1306" t="s">
        <v>10</v>
      </c>
      <c r="D1306" t="s">
        <v>18</v>
      </c>
      <c r="E1306" t="s">
        <v>490</v>
      </c>
      <c r="F1306" t="s">
        <v>82</v>
      </c>
      <c r="G1306" s="31">
        <v>6634.0960399936675</v>
      </c>
      <c r="H1306" s="31">
        <v>308.22170458690948</v>
      </c>
      <c r="I1306" s="31">
        <v>184.48422544010839</v>
      </c>
      <c r="J1306" s="32">
        <f t="shared" si="107"/>
        <v>123.73747914680109</v>
      </c>
      <c r="K1306" s="31">
        <v>10748.60502873587</v>
      </c>
      <c r="L1306" s="31">
        <v>6449.6118145535593</v>
      </c>
      <c r="M1306" s="32">
        <f t="shared" si="108"/>
        <v>6325.8743354067583</v>
      </c>
      <c r="N1306" s="33">
        <f>Result_notebook!L1306</f>
        <v>1</v>
      </c>
      <c r="O1306" s="31">
        <f t="shared" si="109"/>
        <v>0</v>
      </c>
      <c r="P1306" s="31">
        <f t="shared" si="110"/>
        <v>0</v>
      </c>
      <c r="Q1306">
        <f t="shared" si="111"/>
        <v>123.73747914680109</v>
      </c>
    </row>
    <row r="1307" spans="1:17" x14ac:dyDescent="0.35">
      <c r="A1307">
        <v>2039</v>
      </c>
      <c r="B1307" t="s">
        <v>8</v>
      </c>
      <c r="C1307" t="s">
        <v>4</v>
      </c>
      <c r="D1307" t="s">
        <v>16</v>
      </c>
      <c r="E1307" t="s">
        <v>483</v>
      </c>
      <c r="F1307" t="s">
        <v>80</v>
      </c>
      <c r="G1307" s="31">
        <v>196109.6797893378</v>
      </c>
      <c r="H1307" s="31">
        <v>0</v>
      </c>
      <c r="I1307" s="31">
        <v>0</v>
      </c>
      <c r="J1307" s="32">
        <f t="shared" si="107"/>
        <v>0</v>
      </c>
      <c r="K1307" s="31">
        <v>248240.10099916169</v>
      </c>
      <c r="L1307" s="31">
        <v>196109.6797893378</v>
      </c>
      <c r="M1307" s="32">
        <f t="shared" si="108"/>
        <v>196109.6797893378</v>
      </c>
      <c r="N1307" s="33">
        <f>Result_notebook!L1307</f>
        <v>0.69917047091553897</v>
      </c>
      <c r="O1307" s="31">
        <f t="shared" si="109"/>
        <v>0</v>
      </c>
      <c r="P1307" s="31">
        <f t="shared" si="110"/>
        <v>0</v>
      </c>
      <c r="Q1307">
        <f t="shared" si="111"/>
        <v>0</v>
      </c>
    </row>
    <row r="1308" spans="1:17" x14ac:dyDescent="0.35">
      <c r="A1308">
        <v>2039</v>
      </c>
      <c r="B1308" t="s">
        <v>8</v>
      </c>
      <c r="C1308" t="s">
        <v>4</v>
      </c>
      <c r="D1308" t="s">
        <v>16</v>
      </c>
      <c r="E1308" t="s">
        <v>483</v>
      </c>
      <c r="F1308" t="s">
        <v>81</v>
      </c>
      <c r="G1308" s="31">
        <v>196109.6797893378</v>
      </c>
      <c r="H1308" s="31">
        <v>37000</v>
      </c>
      <c r="I1308" s="31">
        <v>20752.561586838339</v>
      </c>
      <c r="J1308" s="32">
        <f t="shared" si="107"/>
        <v>5116.7458370366039</v>
      </c>
      <c r="K1308" s="31">
        <v>211240.10099916169</v>
      </c>
      <c r="L1308" s="31">
        <v>175357.11820249949</v>
      </c>
      <c r="M1308" s="32">
        <f t="shared" si="108"/>
        <v>170240.37236546288</v>
      </c>
      <c r="N1308" s="33">
        <f>Result_notebook!L1308</f>
        <v>0.69917047091553897</v>
      </c>
      <c r="O1308" s="31">
        <f t="shared" si="109"/>
        <v>0</v>
      </c>
      <c r="P1308" s="31">
        <f t="shared" si="110"/>
        <v>0</v>
      </c>
      <c r="Q1308">
        <f t="shared" si="111"/>
        <v>5116.7458370366039</v>
      </c>
    </row>
    <row r="1309" spans="1:17" x14ac:dyDescent="0.35">
      <c r="A1309">
        <v>2039</v>
      </c>
      <c r="B1309" t="s">
        <v>8</v>
      </c>
      <c r="C1309" t="s">
        <v>4</v>
      </c>
      <c r="D1309" t="s">
        <v>18</v>
      </c>
      <c r="E1309" t="s">
        <v>483</v>
      </c>
      <c r="F1309" t="s">
        <v>85</v>
      </c>
      <c r="G1309" s="31">
        <v>196109.6797893378</v>
      </c>
      <c r="H1309" s="31">
        <v>269842.82978615753</v>
      </c>
      <c r="I1309" s="31">
        <v>151349.45794335051</v>
      </c>
      <c r="J1309" s="32">
        <f t="shared" si="107"/>
        <v>37316.680431418878</v>
      </c>
      <c r="K1309" s="31">
        <v>0</v>
      </c>
      <c r="L1309" s="31">
        <v>44760.221845987311</v>
      </c>
      <c r="M1309" s="32">
        <f t="shared" si="108"/>
        <v>7443.5414145684335</v>
      </c>
      <c r="N1309" s="33">
        <f>Result_notebook!L1309</f>
        <v>0.69917047091553897</v>
      </c>
      <c r="O1309" s="31">
        <f t="shared" si="109"/>
        <v>0</v>
      </c>
      <c r="P1309" s="31">
        <f t="shared" si="110"/>
        <v>0</v>
      </c>
      <c r="Q1309">
        <f t="shared" si="111"/>
        <v>37316.680431418878</v>
      </c>
    </row>
    <row r="1310" spans="1:17" x14ac:dyDescent="0.35">
      <c r="A1310">
        <v>2039</v>
      </c>
      <c r="B1310" t="s">
        <v>8</v>
      </c>
      <c r="C1310" t="s">
        <v>4</v>
      </c>
      <c r="D1310" t="s">
        <v>18</v>
      </c>
      <c r="E1310" t="s">
        <v>483</v>
      </c>
      <c r="F1310" t="s">
        <v>86</v>
      </c>
      <c r="G1310" s="31">
        <v>196109.6797893378</v>
      </c>
      <c r="H1310" s="31">
        <v>269842.82978615753</v>
      </c>
      <c r="I1310" s="31">
        <v>151349.45794335051</v>
      </c>
      <c r="J1310" s="32">
        <f t="shared" si="107"/>
        <v>37316.680431418878</v>
      </c>
      <c r="K1310" s="31">
        <v>0</v>
      </c>
      <c r="L1310" s="31">
        <v>44760.221845987311</v>
      </c>
      <c r="M1310" s="32">
        <f t="shared" si="108"/>
        <v>7443.5414145684335</v>
      </c>
      <c r="N1310" s="33">
        <f>Result_notebook!L1310</f>
        <v>0.69917047091553897</v>
      </c>
      <c r="O1310" s="31">
        <f t="shared" si="109"/>
        <v>0</v>
      </c>
      <c r="P1310" s="31">
        <f t="shared" si="110"/>
        <v>0</v>
      </c>
      <c r="Q1310">
        <f t="shared" si="111"/>
        <v>37316.680431418878</v>
      </c>
    </row>
    <row r="1311" spans="1:17" x14ac:dyDescent="0.35">
      <c r="A1311">
        <v>2039</v>
      </c>
      <c r="B1311" t="s">
        <v>8</v>
      </c>
      <c r="C1311" t="s">
        <v>4</v>
      </c>
      <c r="D1311" t="s">
        <v>18</v>
      </c>
      <c r="E1311" t="s">
        <v>490</v>
      </c>
      <c r="F1311" t="s">
        <v>82</v>
      </c>
      <c r="G1311" s="31">
        <v>196109.6797893378</v>
      </c>
      <c r="H1311" s="31">
        <v>269842.82978615753</v>
      </c>
      <c r="I1311" s="31">
        <v>212516.06896420821</v>
      </c>
      <c r="J1311" s="32">
        <f t="shared" si="107"/>
        <v>-23849.930589438824</v>
      </c>
      <c r="K1311" s="31">
        <v>0</v>
      </c>
      <c r="L1311" s="31">
        <v>0</v>
      </c>
      <c r="M1311" s="32">
        <f t="shared" si="108"/>
        <v>23849.930589438824</v>
      </c>
      <c r="N1311" s="33">
        <f>Result_notebook!L1311</f>
        <v>0.69917047091553897</v>
      </c>
      <c r="O1311" s="31">
        <f t="shared" si="109"/>
        <v>-16406.389174870419</v>
      </c>
      <c r="P1311" s="31">
        <f t="shared" si="110"/>
        <v>16406.389174870419</v>
      </c>
      <c r="Q1311">
        <f t="shared" si="111"/>
        <v>-23849.930589438824</v>
      </c>
    </row>
    <row r="1312" spans="1:17" x14ac:dyDescent="0.35">
      <c r="A1312">
        <v>2039</v>
      </c>
      <c r="B1312" t="s">
        <v>8</v>
      </c>
      <c r="C1312" t="s">
        <v>9</v>
      </c>
      <c r="D1312" t="s">
        <v>16</v>
      </c>
      <c r="E1312" t="s">
        <v>483</v>
      </c>
      <c r="F1312" t="s">
        <v>80</v>
      </c>
      <c r="G1312" s="31">
        <v>76434.087778382978</v>
      </c>
      <c r="H1312" s="31">
        <v>0</v>
      </c>
      <c r="I1312" s="31">
        <v>0</v>
      </c>
      <c r="J1312" s="32">
        <f t="shared" si="107"/>
        <v>0</v>
      </c>
      <c r="K1312" s="31">
        <v>96752.009846054396</v>
      </c>
      <c r="L1312" s="31">
        <v>76434.087778382978</v>
      </c>
      <c r="M1312" s="32">
        <f t="shared" si="108"/>
        <v>76434.087778382978</v>
      </c>
      <c r="N1312" s="33">
        <f>Result_notebook!L1312</f>
        <v>0.69917047091553897</v>
      </c>
      <c r="O1312" s="31">
        <f t="shared" si="109"/>
        <v>0</v>
      </c>
      <c r="P1312" s="31">
        <f t="shared" si="110"/>
        <v>0</v>
      </c>
      <c r="Q1312">
        <f t="shared" si="111"/>
        <v>0</v>
      </c>
    </row>
    <row r="1313" spans="1:17" x14ac:dyDescent="0.35">
      <c r="A1313">
        <v>2039</v>
      </c>
      <c r="B1313" t="s">
        <v>8</v>
      </c>
      <c r="C1313" t="s">
        <v>9</v>
      </c>
      <c r="D1313" t="s">
        <v>16</v>
      </c>
      <c r="E1313" t="s">
        <v>483</v>
      </c>
      <c r="F1313" t="s">
        <v>81</v>
      </c>
      <c r="G1313" s="31">
        <v>76434.087778382978</v>
      </c>
      <c r="H1313" s="31">
        <v>37000</v>
      </c>
      <c r="I1313" s="31">
        <v>20752.561586838339</v>
      </c>
      <c r="J1313" s="32">
        <f t="shared" si="107"/>
        <v>5116.7458370366039</v>
      </c>
      <c r="K1313" s="31">
        <v>59752.009846054403</v>
      </c>
      <c r="L1313" s="31">
        <v>55681.526191544639</v>
      </c>
      <c r="M1313" s="32">
        <f t="shared" si="108"/>
        <v>50564.780354508039</v>
      </c>
      <c r="N1313" s="33">
        <f>Result_notebook!L1313</f>
        <v>0.69917047091553897</v>
      </c>
      <c r="O1313" s="31">
        <f t="shared" si="109"/>
        <v>0</v>
      </c>
      <c r="P1313" s="31">
        <f t="shared" si="110"/>
        <v>0</v>
      </c>
      <c r="Q1313">
        <f t="shared" si="111"/>
        <v>5116.7458370366039</v>
      </c>
    </row>
    <row r="1314" spans="1:17" x14ac:dyDescent="0.35">
      <c r="A1314">
        <v>2039</v>
      </c>
      <c r="B1314" t="s">
        <v>8</v>
      </c>
      <c r="C1314" t="s">
        <v>9</v>
      </c>
      <c r="D1314" t="s">
        <v>18</v>
      </c>
      <c r="E1314" t="s">
        <v>483</v>
      </c>
      <c r="F1314" t="s">
        <v>85</v>
      </c>
      <c r="G1314" s="31">
        <v>76434.087778382978</v>
      </c>
      <c r="H1314" s="31">
        <v>269842.82978615753</v>
      </c>
      <c r="I1314" s="31">
        <v>151349.45794335051</v>
      </c>
      <c r="J1314" s="32">
        <f t="shared" si="107"/>
        <v>37316.680431418878</v>
      </c>
      <c r="K1314" s="31">
        <v>0</v>
      </c>
      <c r="L1314" s="31">
        <v>0</v>
      </c>
      <c r="M1314" s="32">
        <f t="shared" si="108"/>
        <v>0</v>
      </c>
      <c r="N1314" s="33">
        <f>Result_notebook!L1314</f>
        <v>0.69917047091553897</v>
      </c>
      <c r="O1314" s="31">
        <f t="shared" si="109"/>
        <v>-112232.05059638641</v>
      </c>
      <c r="P1314" s="31">
        <f t="shared" si="110"/>
        <v>74915.370164967535</v>
      </c>
      <c r="Q1314">
        <f t="shared" si="111"/>
        <v>37316.680431418878</v>
      </c>
    </row>
    <row r="1315" spans="1:17" x14ac:dyDescent="0.35">
      <c r="A1315">
        <v>2039</v>
      </c>
      <c r="B1315" t="s">
        <v>8</v>
      </c>
      <c r="C1315" t="s">
        <v>9</v>
      </c>
      <c r="D1315" t="s">
        <v>18</v>
      </c>
      <c r="E1315" t="s">
        <v>483</v>
      </c>
      <c r="F1315" t="s">
        <v>86</v>
      </c>
      <c r="G1315" s="31">
        <v>76434.087778382978</v>
      </c>
      <c r="H1315" s="31">
        <v>269842.82978615753</v>
      </c>
      <c r="I1315" s="31">
        <v>151349.45794335051</v>
      </c>
      <c r="J1315" s="32">
        <f t="shared" si="107"/>
        <v>37316.680431418878</v>
      </c>
      <c r="K1315" s="31">
        <v>0</v>
      </c>
      <c r="L1315" s="31">
        <v>0</v>
      </c>
      <c r="M1315" s="32">
        <f t="shared" si="108"/>
        <v>0</v>
      </c>
      <c r="N1315" s="33">
        <f>Result_notebook!L1315</f>
        <v>0.69917047091553897</v>
      </c>
      <c r="O1315" s="31">
        <f t="shared" si="109"/>
        <v>-112232.05059638641</v>
      </c>
      <c r="P1315" s="31">
        <f t="shared" si="110"/>
        <v>74915.370164967535</v>
      </c>
      <c r="Q1315">
        <f t="shared" si="111"/>
        <v>37316.680431418878</v>
      </c>
    </row>
    <row r="1316" spans="1:17" x14ac:dyDescent="0.35">
      <c r="A1316">
        <v>2039</v>
      </c>
      <c r="B1316" t="s">
        <v>8</v>
      </c>
      <c r="C1316" t="s">
        <v>9</v>
      </c>
      <c r="D1316" t="s">
        <v>18</v>
      </c>
      <c r="E1316" t="s">
        <v>490</v>
      </c>
      <c r="F1316" t="s">
        <v>82</v>
      </c>
      <c r="G1316" s="31">
        <v>76434.087778382978</v>
      </c>
      <c r="H1316" s="31">
        <v>269842.82978615753</v>
      </c>
      <c r="I1316" s="31">
        <v>212516.06896420821</v>
      </c>
      <c r="J1316" s="32">
        <f t="shared" si="107"/>
        <v>-23849.930589438824</v>
      </c>
      <c r="K1316" s="31">
        <v>0</v>
      </c>
      <c r="L1316" s="31">
        <v>0</v>
      </c>
      <c r="M1316" s="32">
        <f t="shared" si="108"/>
        <v>23849.930589438824</v>
      </c>
      <c r="N1316" s="33">
        <f>Result_notebook!L1316</f>
        <v>0.69917047091553897</v>
      </c>
      <c r="O1316" s="31">
        <f t="shared" si="109"/>
        <v>-136081.98118582525</v>
      </c>
      <c r="P1316" s="31">
        <f t="shared" si="110"/>
        <v>136081.98118582525</v>
      </c>
      <c r="Q1316">
        <f t="shared" si="111"/>
        <v>-23849.930589438824</v>
      </c>
    </row>
    <row r="1317" spans="1:17" x14ac:dyDescent="0.35">
      <c r="A1317">
        <v>2039</v>
      </c>
      <c r="B1317" t="s">
        <v>8</v>
      </c>
      <c r="C1317" t="s">
        <v>10</v>
      </c>
      <c r="D1317" t="s">
        <v>16</v>
      </c>
      <c r="E1317" t="s">
        <v>483</v>
      </c>
      <c r="F1317" t="s">
        <v>80</v>
      </c>
      <c r="G1317" s="31">
        <v>187945.44464517839</v>
      </c>
      <c r="H1317" s="31">
        <v>0</v>
      </c>
      <c r="I1317" s="31">
        <v>0</v>
      </c>
      <c r="J1317" s="32">
        <f t="shared" si="107"/>
        <v>0</v>
      </c>
      <c r="K1317" s="31">
        <v>237905.62613313721</v>
      </c>
      <c r="L1317" s="31">
        <v>187945.44464517839</v>
      </c>
      <c r="M1317" s="32">
        <f t="shared" si="108"/>
        <v>187945.44464517839</v>
      </c>
      <c r="N1317" s="33">
        <f>Result_notebook!L1317</f>
        <v>0.69917047091553897</v>
      </c>
      <c r="O1317" s="31">
        <f t="shared" si="109"/>
        <v>0</v>
      </c>
      <c r="P1317" s="31">
        <f t="shared" si="110"/>
        <v>0</v>
      </c>
      <c r="Q1317">
        <f t="shared" si="111"/>
        <v>0</v>
      </c>
    </row>
    <row r="1318" spans="1:17" x14ac:dyDescent="0.35">
      <c r="A1318">
        <v>2039</v>
      </c>
      <c r="B1318" t="s">
        <v>8</v>
      </c>
      <c r="C1318" t="s">
        <v>10</v>
      </c>
      <c r="D1318" t="s">
        <v>16</v>
      </c>
      <c r="E1318" t="s">
        <v>483</v>
      </c>
      <c r="F1318" t="s">
        <v>81</v>
      </c>
      <c r="G1318" s="31">
        <v>187945.44464517839</v>
      </c>
      <c r="H1318" s="31">
        <v>37000</v>
      </c>
      <c r="I1318" s="31">
        <v>20752.561586838339</v>
      </c>
      <c r="J1318" s="32">
        <f t="shared" si="107"/>
        <v>5116.7458370366039</v>
      </c>
      <c r="K1318" s="31">
        <v>200905.62613313721</v>
      </c>
      <c r="L1318" s="31">
        <v>167192.88305834011</v>
      </c>
      <c r="M1318" s="32">
        <f t="shared" si="108"/>
        <v>162076.13722130351</v>
      </c>
      <c r="N1318" s="33">
        <f>Result_notebook!L1318</f>
        <v>0.69917047091553897</v>
      </c>
      <c r="O1318" s="31">
        <f t="shared" si="109"/>
        <v>0</v>
      </c>
      <c r="P1318" s="31">
        <f t="shared" si="110"/>
        <v>0</v>
      </c>
      <c r="Q1318">
        <f t="shared" si="111"/>
        <v>5116.7458370366039</v>
      </c>
    </row>
    <row r="1319" spans="1:17" x14ac:dyDescent="0.35">
      <c r="A1319">
        <v>2039</v>
      </c>
      <c r="B1319" t="s">
        <v>8</v>
      </c>
      <c r="C1319" t="s">
        <v>10</v>
      </c>
      <c r="D1319" t="s">
        <v>18</v>
      </c>
      <c r="E1319" t="s">
        <v>483</v>
      </c>
      <c r="F1319" t="s">
        <v>85</v>
      </c>
      <c r="G1319" s="31">
        <v>187945.44464517839</v>
      </c>
      <c r="H1319" s="31">
        <v>269842.82978615753</v>
      </c>
      <c r="I1319" s="31">
        <v>151349.45794335051</v>
      </c>
      <c r="J1319" s="32">
        <f t="shared" si="107"/>
        <v>37316.680431418878</v>
      </c>
      <c r="K1319" s="31">
        <v>0</v>
      </c>
      <c r="L1319" s="31">
        <v>36595.986701827896</v>
      </c>
      <c r="M1319" s="32">
        <f t="shared" si="108"/>
        <v>0</v>
      </c>
      <c r="N1319" s="33">
        <f>Result_notebook!L1319</f>
        <v>0.69917047091553897</v>
      </c>
      <c r="O1319" s="31">
        <f t="shared" si="109"/>
        <v>-720.69372959100292</v>
      </c>
      <c r="P1319" s="31">
        <f t="shared" si="110"/>
        <v>0</v>
      </c>
      <c r="Q1319">
        <f t="shared" si="111"/>
        <v>37316.680431418878</v>
      </c>
    </row>
    <row r="1320" spans="1:17" x14ac:dyDescent="0.35">
      <c r="A1320">
        <v>2039</v>
      </c>
      <c r="B1320" t="s">
        <v>8</v>
      </c>
      <c r="C1320" t="s">
        <v>10</v>
      </c>
      <c r="D1320" t="s">
        <v>18</v>
      </c>
      <c r="E1320" t="s">
        <v>483</v>
      </c>
      <c r="F1320" t="s">
        <v>86</v>
      </c>
      <c r="G1320" s="31">
        <v>187945.44464517839</v>
      </c>
      <c r="H1320" s="31">
        <v>269842.82978615753</v>
      </c>
      <c r="I1320" s="31">
        <v>151349.45794335051</v>
      </c>
      <c r="J1320" s="32">
        <f t="shared" si="107"/>
        <v>37316.680431418878</v>
      </c>
      <c r="K1320" s="31">
        <v>0</v>
      </c>
      <c r="L1320" s="31">
        <v>36595.986701827896</v>
      </c>
      <c r="M1320" s="32">
        <f t="shared" si="108"/>
        <v>0</v>
      </c>
      <c r="N1320" s="33">
        <f>Result_notebook!L1320</f>
        <v>0.69917047091553897</v>
      </c>
      <c r="O1320" s="31">
        <f t="shared" si="109"/>
        <v>-720.69372959100292</v>
      </c>
      <c r="P1320" s="31">
        <f t="shared" si="110"/>
        <v>0</v>
      </c>
      <c r="Q1320">
        <f t="shared" si="111"/>
        <v>37316.680431418878</v>
      </c>
    </row>
    <row r="1321" spans="1:17" x14ac:dyDescent="0.35">
      <c r="A1321">
        <v>2039</v>
      </c>
      <c r="B1321" t="s">
        <v>8</v>
      </c>
      <c r="C1321" t="s">
        <v>10</v>
      </c>
      <c r="D1321" t="s">
        <v>18</v>
      </c>
      <c r="E1321" t="s">
        <v>490</v>
      </c>
      <c r="F1321" t="s">
        <v>82</v>
      </c>
      <c r="G1321" s="31">
        <v>187945.44464517839</v>
      </c>
      <c r="H1321" s="31">
        <v>269842.82978615753</v>
      </c>
      <c r="I1321" s="31">
        <v>212516.06896420821</v>
      </c>
      <c r="J1321" s="32">
        <f t="shared" si="107"/>
        <v>-23849.930589438824</v>
      </c>
      <c r="K1321" s="31">
        <v>0</v>
      </c>
      <c r="L1321" s="31">
        <v>0</v>
      </c>
      <c r="M1321" s="32">
        <f t="shared" si="108"/>
        <v>23849.930589438824</v>
      </c>
      <c r="N1321" s="33">
        <f>Result_notebook!L1321</f>
        <v>0.69917047091553897</v>
      </c>
      <c r="O1321" s="31">
        <f t="shared" si="109"/>
        <v>-24570.624319029826</v>
      </c>
      <c r="P1321" s="31">
        <f t="shared" si="110"/>
        <v>24570.624319029826</v>
      </c>
      <c r="Q1321">
        <f t="shared" si="111"/>
        <v>-23849.930589438824</v>
      </c>
    </row>
    <row r="1322" spans="1:17" x14ac:dyDescent="0.35">
      <c r="A1322">
        <v>2039</v>
      </c>
      <c r="B1322" t="s">
        <v>13</v>
      </c>
      <c r="C1322" t="s">
        <v>4</v>
      </c>
      <c r="D1322" t="s">
        <v>16</v>
      </c>
      <c r="E1322" t="s">
        <v>483</v>
      </c>
      <c r="F1322" t="s">
        <v>80</v>
      </c>
      <c r="G1322" s="31">
        <v>3142.2560928391108</v>
      </c>
      <c r="H1322" s="31">
        <v>0</v>
      </c>
      <c r="I1322" s="31">
        <v>0</v>
      </c>
      <c r="J1322" s="32">
        <f t="shared" si="107"/>
        <v>0</v>
      </c>
      <c r="K1322" s="31">
        <v>3142.2560928391108</v>
      </c>
      <c r="L1322" s="31">
        <v>3142.2560928391108</v>
      </c>
      <c r="M1322" s="32">
        <f t="shared" si="108"/>
        <v>3142.2560928391108</v>
      </c>
      <c r="N1322" s="33">
        <f>Result_notebook!L1322</f>
        <v>0.59854391398996798</v>
      </c>
      <c r="O1322" s="31">
        <f t="shared" si="109"/>
        <v>0</v>
      </c>
      <c r="P1322" s="31">
        <f t="shared" si="110"/>
        <v>0</v>
      </c>
      <c r="Q1322">
        <f t="shared" si="111"/>
        <v>0</v>
      </c>
    </row>
    <row r="1323" spans="1:17" x14ac:dyDescent="0.35">
      <c r="A1323">
        <v>2039</v>
      </c>
      <c r="B1323" t="s">
        <v>13</v>
      </c>
      <c r="C1323" t="s">
        <v>4</v>
      </c>
      <c r="D1323" t="s">
        <v>16</v>
      </c>
      <c r="E1323" t="s">
        <v>483</v>
      </c>
      <c r="F1323" t="s">
        <v>81</v>
      </c>
      <c r="G1323" s="31">
        <v>3142.2560928391108</v>
      </c>
      <c r="H1323" s="31">
        <v>0</v>
      </c>
      <c r="I1323" s="31">
        <v>0</v>
      </c>
      <c r="J1323" s="32">
        <f t="shared" si="107"/>
        <v>0</v>
      </c>
      <c r="K1323" s="31">
        <v>3142.2560928391108</v>
      </c>
      <c r="L1323" s="31">
        <v>3142.2560928391108</v>
      </c>
      <c r="M1323" s="32">
        <f t="shared" si="108"/>
        <v>3142.2560928391108</v>
      </c>
      <c r="N1323" s="33">
        <f>Result_notebook!L1323</f>
        <v>0.59854391398996798</v>
      </c>
      <c r="O1323" s="31">
        <f t="shared" si="109"/>
        <v>0</v>
      </c>
      <c r="P1323" s="31">
        <f t="shared" si="110"/>
        <v>0</v>
      </c>
      <c r="Q1323">
        <f t="shared" si="111"/>
        <v>0</v>
      </c>
    </row>
    <row r="1324" spans="1:17" x14ac:dyDescent="0.35">
      <c r="A1324">
        <v>2039</v>
      </c>
      <c r="B1324" t="s">
        <v>13</v>
      </c>
      <c r="C1324" t="s">
        <v>4</v>
      </c>
      <c r="D1324" t="s">
        <v>18</v>
      </c>
      <c r="E1324" t="s">
        <v>483</v>
      </c>
      <c r="F1324" t="s">
        <v>85</v>
      </c>
      <c r="G1324" s="31">
        <v>3142.2560928391108</v>
      </c>
      <c r="H1324" s="31">
        <v>331728.85195268661</v>
      </c>
      <c r="I1324" s="31">
        <v>109470.5211443866</v>
      </c>
      <c r="J1324" s="32">
        <f t="shared" si="107"/>
        <v>89083.76428677309</v>
      </c>
      <c r="K1324" s="31">
        <v>0</v>
      </c>
      <c r="L1324" s="31">
        <v>0</v>
      </c>
      <c r="M1324" s="32">
        <f t="shared" si="108"/>
        <v>0</v>
      </c>
      <c r="N1324" s="33">
        <f>Result_notebook!L1324</f>
        <v>0.59854391398996798</v>
      </c>
      <c r="O1324" s="31">
        <f t="shared" si="109"/>
        <v>-195412.02933832057</v>
      </c>
      <c r="P1324" s="31">
        <f t="shared" si="110"/>
        <v>106328.26505154748</v>
      </c>
      <c r="Q1324">
        <f t="shared" si="111"/>
        <v>89083.76428677309</v>
      </c>
    </row>
    <row r="1325" spans="1:17" x14ac:dyDescent="0.35">
      <c r="A1325">
        <v>2039</v>
      </c>
      <c r="B1325" t="s">
        <v>13</v>
      </c>
      <c r="C1325" t="s">
        <v>4</v>
      </c>
      <c r="D1325" t="s">
        <v>18</v>
      </c>
      <c r="E1325" t="s">
        <v>483</v>
      </c>
      <c r="F1325" t="s">
        <v>86</v>
      </c>
      <c r="G1325" s="31">
        <v>3142.2560928391108</v>
      </c>
      <c r="H1325" s="31">
        <v>331728.85195268661</v>
      </c>
      <c r="I1325" s="31">
        <v>109470.5211443866</v>
      </c>
      <c r="J1325" s="32">
        <f t="shared" si="107"/>
        <v>89083.76428677309</v>
      </c>
      <c r="K1325" s="31">
        <v>0</v>
      </c>
      <c r="L1325" s="31">
        <v>0</v>
      </c>
      <c r="M1325" s="32">
        <f t="shared" si="108"/>
        <v>0</v>
      </c>
      <c r="N1325" s="33">
        <f>Result_notebook!L1325</f>
        <v>0.59854391398996798</v>
      </c>
      <c r="O1325" s="31">
        <f t="shared" si="109"/>
        <v>-195412.02933832057</v>
      </c>
      <c r="P1325" s="31">
        <f t="shared" si="110"/>
        <v>106328.26505154748</v>
      </c>
      <c r="Q1325">
        <f t="shared" si="111"/>
        <v>89083.76428677309</v>
      </c>
    </row>
    <row r="1326" spans="1:17" x14ac:dyDescent="0.35">
      <c r="A1326">
        <v>2039</v>
      </c>
      <c r="B1326" t="s">
        <v>13</v>
      </c>
      <c r="C1326" t="s">
        <v>4</v>
      </c>
      <c r="D1326" t="s">
        <v>18</v>
      </c>
      <c r="E1326" t="s">
        <v>490</v>
      </c>
      <c r="F1326" t="s">
        <v>82</v>
      </c>
      <c r="G1326" s="31">
        <v>3142.2560928391108</v>
      </c>
      <c r="H1326" s="31">
        <v>331728.85195268661</v>
      </c>
      <c r="I1326" s="31">
        <v>109470.5211443866</v>
      </c>
      <c r="J1326" s="32">
        <f t="shared" si="107"/>
        <v>89083.76428677309</v>
      </c>
      <c r="K1326" s="31">
        <v>0</v>
      </c>
      <c r="L1326" s="31">
        <v>0</v>
      </c>
      <c r="M1326" s="32">
        <f t="shared" si="108"/>
        <v>0</v>
      </c>
      <c r="N1326" s="33">
        <f>Result_notebook!L1326</f>
        <v>0.59854391398996798</v>
      </c>
      <c r="O1326" s="31">
        <f t="shared" si="109"/>
        <v>-195412.02933832057</v>
      </c>
      <c r="P1326" s="31">
        <f t="shared" si="110"/>
        <v>106328.26505154748</v>
      </c>
      <c r="Q1326">
        <f t="shared" si="111"/>
        <v>89083.76428677309</v>
      </c>
    </row>
    <row r="1327" spans="1:17" x14ac:dyDescent="0.35">
      <c r="A1327">
        <v>2039</v>
      </c>
      <c r="B1327" t="s">
        <v>13</v>
      </c>
      <c r="C1327" t="s">
        <v>9</v>
      </c>
      <c r="D1327" t="s">
        <v>16</v>
      </c>
      <c r="E1327" t="s">
        <v>483</v>
      </c>
      <c r="F1327" t="s">
        <v>80</v>
      </c>
      <c r="G1327" s="31">
        <v>1154.9982759766251</v>
      </c>
      <c r="H1327" s="31">
        <v>0</v>
      </c>
      <c r="I1327" s="31">
        <v>0</v>
      </c>
      <c r="J1327" s="32">
        <f t="shared" si="107"/>
        <v>0</v>
      </c>
      <c r="K1327" s="31">
        <v>1154.9982759766251</v>
      </c>
      <c r="L1327" s="31">
        <v>1154.9982759766251</v>
      </c>
      <c r="M1327" s="32">
        <f t="shared" si="108"/>
        <v>1154.9982759766251</v>
      </c>
      <c r="N1327" s="33">
        <f>Result_notebook!L1327</f>
        <v>0.59854391398996798</v>
      </c>
      <c r="O1327" s="31">
        <f t="shared" si="109"/>
        <v>0</v>
      </c>
      <c r="P1327" s="31">
        <f t="shared" si="110"/>
        <v>0</v>
      </c>
      <c r="Q1327">
        <f t="shared" si="111"/>
        <v>0</v>
      </c>
    </row>
    <row r="1328" spans="1:17" x14ac:dyDescent="0.35">
      <c r="A1328">
        <v>2039</v>
      </c>
      <c r="B1328" t="s">
        <v>13</v>
      </c>
      <c r="C1328" t="s">
        <v>9</v>
      </c>
      <c r="D1328" t="s">
        <v>16</v>
      </c>
      <c r="E1328" t="s">
        <v>483</v>
      </c>
      <c r="F1328" t="s">
        <v>81</v>
      </c>
      <c r="G1328" s="31">
        <v>1154.9982759766251</v>
      </c>
      <c r="H1328" s="31">
        <v>0</v>
      </c>
      <c r="I1328" s="31">
        <v>0</v>
      </c>
      <c r="J1328" s="32">
        <f t="shared" si="107"/>
        <v>0</v>
      </c>
      <c r="K1328" s="31">
        <v>1154.9982759766251</v>
      </c>
      <c r="L1328" s="31">
        <v>1154.9982759766251</v>
      </c>
      <c r="M1328" s="32">
        <f t="shared" si="108"/>
        <v>1154.9982759766251</v>
      </c>
      <c r="N1328" s="33">
        <f>Result_notebook!L1328</f>
        <v>0.59854391398996798</v>
      </c>
      <c r="O1328" s="31">
        <f t="shared" si="109"/>
        <v>0</v>
      </c>
      <c r="P1328" s="31">
        <f t="shared" si="110"/>
        <v>0</v>
      </c>
      <c r="Q1328">
        <f t="shared" si="111"/>
        <v>0</v>
      </c>
    </row>
    <row r="1329" spans="1:17" x14ac:dyDescent="0.35">
      <c r="A1329">
        <v>2039</v>
      </c>
      <c r="B1329" t="s">
        <v>13</v>
      </c>
      <c r="C1329" t="s">
        <v>9</v>
      </c>
      <c r="D1329" t="s">
        <v>18</v>
      </c>
      <c r="E1329" t="s">
        <v>483</v>
      </c>
      <c r="F1329" t="s">
        <v>85</v>
      </c>
      <c r="G1329" s="31">
        <v>1154.9982759766251</v>
      </c>
      <c r="H1329" s="31">
        <v>331728.85195268661</v>
      </c>
      <c r="I1329" s="31">
        <v>109470.5211443866</v>
      </c>
      <c r="J1329" s="32">
        <f t="shared" si="107"/>
        <v>89083.76428677309</v>
      </c>
      <c r="K1329" s="31">
        <v>0</v>
      </c>
      <c r="L1329" s="31">
        <v>0</v>
      </c>
      <c r="M1329" s="32">
        <f t="shared" si="108"/>
        <v>0</v>
      </c>
      <c r="N1329" s="33">
        <f>Result_notebook!L1329</f>
        <v>0.59854391398996798</v>
      </c>
      <c r="O1329" s="31">
        <f t="shared" si="109"/>
        <v>-197399.28715518306</v>
      </c>
      <c r="P1329" s="31">
        <f t="shared" si="110"/>
        <v>108315.52286840997</v>
      </c>
      <c r="Q1329">
        <f t="shared" si="111"/>
        <v>89083.76428677309</v>
      </c>
    </row>
    <row r="1330" spans="1:17" x14ac:dyDescent="0.35">
      <c r="A1330">
        <v>2039</v>
      </c>
      <c r="B1330" t="s">
        <v>13</v>
      </c>
      <c r="C1330" t="s">
        <v>9</v>
      </c>
      <c r="D1330" t="s">
        <v>18</v>
      </c>
      <c r="E1330" t="s">
        <v>483</v>
      </c>
      <c r="F1330" t="s">
        <v>86</v>
      </c>
      <c r="G1330" s="31">
        <v>1154.9982759766251</v>
      </c>
      <c r="H1330" s="31">
        <v>331728.85195268661</v>
      </c>
      <c r="I1330" s="31">
        <v>109470.5211443866</v>
      </c>
      <c r="J1330" s="32">
        <f t="shared" si="107"/>
        <v>89083.76428677309</v>
      </c>
      <c r="K1330" s="31">
        <v>0</v>
      </c>
      <c r="L1330" s="31">
        <v>0</v>
      </c>
      <c r="M1330" s="32">
        <f t="shared" si="108"/>
        <v>0</v>
      </c>
      <c r="N1330" s="33">
        <f>Result_notebook!L1330</f>
        <v>0.59854391398996798</v>
      </c>
      <c r="O1330" s="31">
        <f t="shared" si="109"/>
        <v>-197399.28715518306</v>
      </c>
      <c r="P1330" s="31">
        <f t="shared" si="110"/>
        <v>108315.52286840997</v>
      </c>
      <c r="Q1330">
        <f t="shared" si="111"/>
        <v>89083.76428677309</v>
      </c>
    </row>
    <row r="1331" spans="1:17" x14ac:dyDescent="0.35">
      <c r="A1331">
        <v>2039</v>
      </c>
      <c r="B1331" t="s">
        <v>13</v>
      </c>
      <c r="C1331" t="s">
        <v>9</v>
      </c>
      <c r="D1331" t="s">
        <v>18</v>
      </c>
      <c r="E1331" t="s">
        <v>490</v>
      </c>
      <c r="F1331" t="s">
        <v>82</v>
      </c>
      <c r="G1331" s="31">
        <v>1154.9982759766251</v>
      </c>
      <c r="H1331" s="31">
        <v>331728.85195268661</v>
      </c>
      <c r="I1331" s="31">
        <v>109470.5211443866</v>
      </c>
      <c r="J1331" s="32">
        <f t="shared" si="107"/>
        <v>89083.76428677309</v>
      </c>
      <c r="K1331" s="31">
        <v>0</v>
      </c>
      <c r="L1331" s="31">
        <v>0</v>
      </c>
      <c r="M1331" s="32">
        <f t="shared" si="108"/>
        <v>0</v>
      </c>
      <c r="N1331" s="33">
        <f>Result_notebook!L1331</f>
        <v>0.59854391398996798</v>
      </c>
      <c r="O1331" s="31">
        <f t="shared" si="109"/>
        <v>-197399.28715518306</v>
      </c>
      <c r="P1331" s="31">
        <f t="shared" si="110"/>
        <v>108315.52286840997</v>
      </c>
      <c r="Q1331">
        <f t="shared" si="111"/>
        <v>89083.76428677309</v>
      </c>
    </row>
    <row r="1332" spans="1:17" x14ac:dyDescent="0.35">
      <c r="A1332">
        <v>2039</v>
      </c>
      <c r="B1332" t="s">
        <v>13</v>
      </c>
      <c r="C1332" t="s">
        <v>10</v>
      </c>
      <c r="D1332" t="s">
        <v>16</v>
      </c>
      <c r="E1332" t="s">
        <v>483</v>
      </c>
      <c r="F1332" t="s">
        <v>80</v>
      </c>
      <c r="G1332" s="31">
        <v>2995.2738382071152</v>
      </c>
      <c r="H1332" s="31">
        <v>0</v>
      </c>
      <c r="I1332" s="31">
        <v>0</v>
      </c>
      <c r="J1332" s="32">
        <f t="shared" si="107"/>
        <v>0</v>
      </c>
      <c r="K1332" s="31">
        <v>2995.2738382071152</v>
      </c>
      <c r="L1332" s="31">
        <v>2995.2738382071152</v>
      </c>
      <c r="M1332" s="32">
        <f t="shared" si="108"/>
        <v>2995.2738382071152</v>
      </c>
      <c r="N1332" s="33">
        <f>Result_notebook!L1332</f>
        <v>0.59854391398996798</v>
      </c>
      <c r="O1332" s="31">
        <f t="shared" si="109"/>
        <v>0</v>
      </c>
      <c r="P1332" s="31">
        <f t="shared" si="110"/>
        <v>0</v>
      </c>
      <c r="Q1332">
        <f t="shared" si="111"/>
        <v>0</v>
      </c>
    </row>
    <row r="1333" spans="1:17" x14ac:dyDescent="0.35">
      <c r="A1333">
        <v>2039</v>
      </c>
      <c r="B1333" t="s">
        <v>13</v>
      </c>
      <c r="C1333" t="s">
        <v>10</v>
      </c>
      <c r="D1333" t="s">
        <v>16</v>
      </c>
      <c r="E1333" t="s">
        <v>483</v>
      </c>
      <c r="F1333" t="s">
        <v>81</v>
      </c>
      <c r="G1333" s="31">
        <v>2995.2738382071152</v>
      </c>
      <c r="H1333" s="31">
        <v>0</v>
      </c>
      <c r="I1333" s="31">
        <v>0</v>
      </c>
      <c r="J1333" s="32">
        <f t="shared" si="107"/>
        <v>0</v>
      </c>
      <c r="K1333" s="31">
        <v>2995.2738382071152</v>
      </c>
      <c r="L1333" s="31">
        <v>2995.2738382071152</v>
      </c>
      <c r="M1333" s="32">
        <f t="shared" si="108"/>
        <v>2995.2738382071152</v>
      </c>
      <c r="N1333" s="33">
        <f>Result_notebook!L1333</f>
        <v>0.59854391398996798</v>
      </c>
      <c r="O1333" s="31">
        <f t="shared" si="109"/>
        <v>0</v>
      </c>
      <c r="P1333" s="31">
        <f t="shared" si="110"/>
        <v>0</v>
      </c>
      <c r="Q1333">
        <f t="shared" si="111"/>
        <v>0</v>
      </c>
    </row>
    <row r="1334" spans="1:17" x14ac:dyDescent="0.35">
      <c r="A1334">
        <v>2039</v>
      </c>
      <c r="B1334" t="s">
        <v>13</v>
      </c>
      <c r="C1334" t="s">
        <v>10</v>
      </c>
      <c r="D1334" t="s">
        <v>18</v>
      </c>
      <c r="E1334" t="s">
        <v>483</v>
      </c>
      <c r="F1334" t="s">
        <v>85</v>
      </c>
      <c r="G1334" s="31">
        <v>2995.2738382071152</v>
      </c>
      <c r="H1334" s="31">
        <v>331728.85195268661</v>
      </c>
      <c r="I1334" s="31">
        <v>109470.5211443866</v>
      </c>
      <c r="J1334" s="32">
        <f t="shared" si="107"/>
        <v>89083.76428677309</v>
      </c>
      <c r="K1334" s="31">
        <v>0</v>
      </c>
      <c r="L1334" s="31">
        <v>0</v>
      </c>
      <c r="M1334" s="32">
        <f t="shared" si="108"/>
        <v>0</v>
      </c>
      <c r="N1334" s="33">
        <f>Result_notebook!L1334</f>
        <v>0.59854391398996798</v>
      </c>
      <c r="O1334" s="31">
        <f t="shared" si="109"/>
        <v>-195559.01159295256</v>
      </c>
      <c r="P1334" s="31">
        <f t="shared" si="110"/>
        <v>106475.24730617949</v>
      </c>
      <c r="Q1334">
        <f t="shared" si="111"/>
        <v>89083.76428677309</v>
      </c>
    </row>
    <row r="1335" spans="1:17" x14ac:dyDescent="0.35">
      <c r="A1335">
        <v>2039</v>
      </c>
      <c r="B1335" t="s">
        <v>13</v>
      </c>
      <c r="C1335" t="s">
        <v>10</v>
      </c>
      <c r="D1335" t="s">
        <v>18</v>
      </c>
      <c r="E1335" t="s">
        <v>483</v>
      </c>
      <c r="F1335" t="s">
        <v>86</v>
      </c>
      <c r="G1335" s="31">
        <v>2995.2738382071152</v>
      </c>
      <c r="H1335" s="31">
        <v>331728.85195268661</v>
      </c>
      <c r="I1335" s="31">
        <v>109470.5211443866</v>
      </c>
      <c r="J1335" s="32">
        <f t="shared" si="107"/>
        <v>89083.76428677309</v>
      </c>
      <c r="K1335" s="31">
        <v>0</v>
      </c>
      <c r="L1335" s="31">
        <v>0</v>
      </c>
      <c r="M1335" s="32">
        <f t="shared" si="108"/>
        <v>0</v>
      </c>
      <c r="N1335" s="33">
        <f>Result_notebook!L1335</f>
        <v>0.59854391398996798</v>
      </c>
      <c r="O1335" s="31">
        <f t="shared" si="109"/>
        <v>-195559.01159295256</v>
      </c>
      <c r="P1335" s="31">
        <f t="shared" si="110"/>
        <v>106475.24730617949</v>
      </c>
      <c r="Q1335">
        <f t="shared" si="111"/>
        <v>89083.76428677309</v>
      </c>
    </row>
    <row r="1336" spans="1:17" x14ac:dyDescent="0.35">
      <c r="A1336">
        <v>2039</v>
      </c>
      <c r="B1336" t="s">
        <v>13</v>
      </c>
      <c r="C1336" t="s">
        <v>10</v>
      </c>
      <c r="D1336" t="s">
        <v>18</v>
      </c>
      <c r="E1336" t="s">
        <v>490</v>
      </c>
      <c r="F1336" t="s">
        <v>82</v>
      </c>
      <c r="G1336" s="31">
        <v>2995.2738382071152</v>
      </c>
      <c r="H1336" s="31">
        <v>331728.85195268661</v>
      </c>
      <c r="I1336" s="31">
        <v>109470.5211443866</v>
      </c>
      <c r="J1336" s="32">
        <f t="shared" si="107"/>
        <v>89083.76428677309</v>
      </c>
      <c r="K1336" s="31">
        <v>0</v>
      </c>
      <c r="L1336" s="31">
        <v>0</v>
      </c>
      <c r="M1336" s="32">
        <f t="shared" si="108"/>
        <v>0</v>
      </c>
      <c r="N1336" s="33">
        <f>Result_notebook!L1336</f>
        <v>0.59854391398996798</v>
      </c>
      <c r="O1336" s="31">
        <f t="shared" si="109"/>
        <v>-195559.01159295256</v>
      </c>
      <c r="P1336" s="31">
        <f t="shared" si="110"/>
        <v>106475.24730617949</v>
      </c>
      <c r="Q1336">
        <f t="shared" si="111"/>
        <v>89083.76428677309</v>
      </c>
    </row>
    <row r="1337" spans="1:17" x14ac:dyDescent="0.35">
      <c r="A1337">
        <v>2039</v>
      </c>
      <c r="B1337" t="s">
        <v>12</v>
      </c>
      <c r="C1337" t="s">
        <v>4</v>
      </c>
      <c r="D1337" t="s">
        <v>16</v>
      </c>
      <c r="E1337" t="s">
        <v>483</v>
      </c>
      <c r="F1337" t="s">
        <v>80</v>
      </c>
      <c r="G1337" s="31">
        <v>83112.060773278674</v>
      </c>
      <c r="H1337" s="31">
        <v>0</v>
      </c>
      <c r="I1337" s="31">
        <v>0</v>
      </c>
      <c r="J1337" s="32">
        <f t="shared" si="107"/>
        <v>0</v>
      </c>
      <c r="K1337" s="31">
        <v>118731.5153903981</v>
      </c>
      <c r="L1337" s="31">
        <v>83112.060773278674</v>
      </c>
      <c r="M1337" s="32">
        <f t="shared" si="108"/>
        <v>83112.060773278674</v>
      </c>
      <c r="N1337" s="33">
        <f>Result_notebook!L1337</f>
        <v>0.787554996857322</v>
      </c>
      <c r="O1337" s="31">
        <f t="shared" si="109"/>
        <v>0</v>
      </c>
      <c r="P1337" s="31">
        <f t="shared" si="110"/>
        <v>0</v>
      </c>
      <c r="Q1337">
        <f t="shared" si="111"/>
        <v>0</v>
      </c>
    </row>
    <row r="1338" spans="1:17" x14ac:dyDescent="0.35">
      <c r="A1338">
        <v>2039</v>
      </c>
      <c r="B1338" t="s">
        <v>12</v>
      </c>
      <c r="C1338" t="s">
        <v>4</v>
      </c>
      <c r="D1338" t="s">
        <v>16</v>
      </c>
      <c r="E1338" t="s">
        <v>483</v>
      </c>
      <c r="F1338" t="s">
        <v>81</v>
      </c>
      <c r="G1338" s="31">
        <v>83112.060773278674</v>
      </c>
      <c r="H1338" s="31">
        <v>40971</v>
      </c>
      <c r="I1338" s="31">
        <v>28645.71336388055</v>
      </c>
      <c r="J1338" s="32">
        <f t="shared" si="107"/>
        <v>3621.202412360788</v>
      </c>
      <c r="K1338" s="31">
        <v>77760.515390398112</v>
      </c>
      <c r="L1338" s="31">
        <v>54466.347409398128</v>
      </c>
      <c r="M1338" s="32">
        <f t="shared" si="108"/>
        <v>50845.144997037336</v>
      </c>
      <c r="N1338" s="33">
        <f>Result_notebook!L1338</f>
        <v>0.787554996857322</v>
      </c>
      <c r="O1338" s="31">
        <f t="shared" si="109"/>
        <v>0</v>
      </c>
      <c r="P1338" s="31">
        <f t="shared" si="110"/>
        <v>0</v>
      </c>
      <c r="Q1338">
        <f t="shared" si="111"/>
        <v>3621.202412360788</v>
      </c>
    </row>
    <row r="1339" spans="1:17" x14ac:dyDescent="0.35">
      <c r="A1339">
        <v>2039</v>
      </c>
      <c r="B1339" t="s">
        <v>12</v>
      </c>
      <c r="C1339" t="s">
        <v>4</v>
      </c>
      <c r="D1339" t="s">
        <v>18</v>
      </c>
      <c r="E1339" t="s">
        <v>483</v>
      </c>
      <c r="F1339" t="s">
        <v>85</v>
      </c>
      <c r="G1339" s="31">
        <v>83112.060773278674</v>
      </c>
      <c r="H1339" s="31">
        <v>461670.14593495359</v>
      </c>
      <c r="I1339" s="31">
        <v>322786.13334098709</v>
      </c>
      <c r="J1339" s="32">
        <f t="shared" si="107"/>
        <v>40804.496989934647</v>
      </c>
      <c r="K1339" s="31">
        <v>0</v>
      </c>
      <c r="L1339" s="31">
        <v>0</v>
      </c>
      <c r="M1339" s="32">
        <f t="shared" si="108"/>
        <v>0</v>
      </c>
      <c r="N1339" s="33">
        <f>Result_notebook!L1339</f>
        <v>0.787554996857322</v>
      </c>
      <c r="O1339" s="31">
        <f t="shared" si="109"/>
        <v>-280478.56955764303</v>
      </c>
      <c r="P1339" s="31">
        <f t="shared" si="110"/>
        <v>239674.07256770841</v>
      </c>
      <c r="Q1339">
        <f t="shared" si="111"/>
        <v>40804.496989934647</v>
      </c>
    </row>
    <row r="1340" spans="1:17" x14ac:dyDescent="0.35">
      <c r="A1340">
        <v>2039</v>
      </c>
      <c r="B1340" t="s">
        <v>12</v>
      </c>
      <c r="C1340" t="s">
        <v>4</v>
      </c>
      <c r="D1340" t="s">
        <v>18</v>
      </c>
      <c r="E1340" t="s">
        <v>483</v>
      </c>
      <c r="F1340" t="s">
        <v>86</v>
      </c>
      <c r="G1340" s="31">
        <v>83112.060773278674</v>
      </c>
      <c r="H1340" s="31">
        <v>461670.14593495359</v>
      </c>
      <c r="I1340" s="31">
        <v>322786.13334098709</v>
      </c>
      <c r="J1340" s="32">
        <f t="shared" si="107"/>
        <v>40804.496989934647</v>
      </c>
      <c r="K1340" s="31">
        <v>0</v>
      </c>
      <c r="L1340" s="31">
        <v>0</v>
      </c>
      <c r="M1340" s="32">
        <f t="shared" si="108"/>
        <v>0</v>
      </c>
      <c r="N1340" s="33">
        <f>Result_notebook!L1340</f>
        <v>0.787554996857322</v>
      </c>
      <c r="O1340" s="31">
        <f t="shared" si="109"/>
        <v>-280478.56955764303</v>
      </c>
      <c r="P1340" s="31">
        <f t="shared" si="110"/>
        <v>239674.07256770841</v>
      </c>
      <c r="Q1340">
        <f t="shared" si="111"/>
        <v>40804.496989934647</v>
      </c>
    </row>
    <row r="1341" spans="1:17" x14ac:dyDescent="0.35">
      <c r="A1341">
        <v>2039</v>
      </c>
      <c r="B1341" t="s">
        <v>12</v>
      </c>
      <c r="C1341" t="s">
        <v>4</v>
      </c>
      <c r="D1341" t="s">
        <v>18</v>
      </c>
      <c r="E1341" t="s">
        <v>490</v>
      </c>
      <c r="F1341" t="s">
        <v>82</v>
      </c>
      <c r="G1341" s="31">
        <v>83112.060773278674</v>
      </c>
      <c r="H1341" s="31">
        <v>461670.14593495359</v>
      </c>
      <c r="I1341" s="31">
        <v>322786.13334098709</v>
      </c>
      <c r="J1341" s="32">
        <f t="shared" si="107"/>
        <v>40804.496989934647</v>
      </c>
      <c r="K1341" s="31">
        <v>0</v>
      </c>
      <c r="L1341" s="31">
        <v>0</v>
      </c>
      <c r="M1341" s="32">
        <f t="shared" si="108"/>
        <v>0</v>
      </c>
      <c r="N1341" s="33">
        <f>Result_notebook!L1341</f>
        <v>0.787554996857322</v>
      </c>
      <c r="O1341" s="31">
        <f t="shared" si="109"/>
        <v>-280478.56955764303</v>
      </c>
      <c r="P1341" s="31">
        <f t="shared" si="110"/>
        <v>239674.07256770841</v>
      </c>
      <c r="Q1341">
        <f t="shared" si="111"/>
        <v>40804.496989934647</v>
      </c>
    </row>
    <row r="1342" spans="1:17" x14ac:dyDescent="0.35">
      <c r="A1342">
        <v>2039</v>
      </c>
      <c r="B1342" t="s">
        <v>12</v>
      </c>
      <c r="C1342" t="s">
        <v>9</v>
      </c>
      <c r="D1342" t="s">
        <v>16</v>
      </c>
      <c r="E1342" t="s">
        <v>483</v>
      </c>
      <c r="F1342" t="s">
        <v>80</v>
      </c>
      <c r="G1342" s="31">
        <v>30549.47912258418</v>
      </c>
      <c r="H1342" s="31">
        <v>0</v>
      </c>
      <c r="I1342" s="31">
        <v>0</v>
      </c>
      <c r="J1342" s="32">
        <f t="shared" si="107"/>
        <v>0</v>
      </c>
      <c r="K1342" s="31">
        <v>43642.113032263107</v>
      </c>
      <c r="L1342" s="31">
        <v>30549.47912258418</v>
      </c>
      <c r="M1342" s="32">
        <f t="shared" si="108"/>
        <v>30549.47912258418</v>
      </c>
      <c r="N1342" s="33">
        <f>Result_notebook!L1342</f>
        <v>0.787554996857322</v>
      </c>
      <c r="O1342" s="31">
        <f t="shared" si="109"/>
        <v>0</v>
      </c>
      <c r="P1342" s="31">
        <f t="shared" si="110"/>
        <v>0</v>
      </c>
      <c r="Q1342">
        <f t="shared" si="111"/>
        <v>0</v>
      </c>
    </row>
    <row r="1343" spans="1:17" x14ac:dyDescent="0.35">
      <c r="A1343">
        <v>2039</v>
      </c>
      <c r="B1343" t="s">
        <v>12</v>
      </c>
      <c r="C1343" t="s">
        <v>9</v>
      </c>
      <c r="D1343" t="s">
        <v>16</v>
      </c>
      <c r="E1343" t="s">
        <v>483</v>
      </c>
      <c r="F1343" t="s">
        <v>81</v>
      </c>
      <c r="G1343" s="31">
        <v>30549.47912258418</v>
      </c>
      <c r="H1343" s="31">
        <v>40971</v>
      </c>
      <c r="I1343" s="31">
        <v>28645.71336388055</v>
      </c>
      <c r="J1343" s="32">
        <f t="shared" si="107"/>
        <v>3621.202412360788</v>
      </c>
      <c r="K1343" s="31">
        <v>2671.1130322631138</v>
      </c>
      <c r="L1343" s="31">
        <v>1903.765758703634</v>
      </c>
      <c r="M1343" s="32">
        <f t="shared" si="108"/>
        <v>0</v>
      </c>
      <c r="N1343" s="33">
        <f>Result_notebook!L1343</f>
        <v>0.787554996857322</v>
      </c>
      <c r="O1343" s="31">
        <f t="shared" si="109"/>
        <v>-1717.4366536571579</v>
      </c>
      <c r="P1343" s="31">
        <f t="shared" si="110"/>
        <v>0</v>
      </c>
      <c r="Q1343">
        <f t="shared" si="111"/>
        <v>3621.202412360788</v>
      </c>
    </row>
    <row r="1344" spans="1:17" x14ac:dyDescent="0.35">
      <c r="A1344">
        <v>2039</v>
      </c>
      <c r="B1344" t="s">
        <v>12</v>
      </c>
      <c r="C1344" t="s">
        <v>9</v>
      </c>
      <c r="D1344" t="s">
        <v>18</v>
      </c>
      <c r="E1344" t="s">
        <v>483</v>
      </c>
      <c r="F1344" t="s">
        <v>85</v>
      </c>
      <c r="G1344" s="31">
        <v>30549.47912258418</v>
      </c>
      <c r="H1344" s="31">
        <v>461670.14593495359</v>
      </c>
      <c r="I1344" s="31">
        <v>322786.13334098709</v>
      </c>
      <c r="J1344" s="32">
        <f t="shared" si="107"/>
        <v>40804.496989934647</v>
      </c>
      <c r="K1344" s="31">
        <v>0</v>
      </c>
      <c r="L1344" s="31">
        <v>0</v>
      </c>
      <c r="M1344" s="32">
        <f t="shared" si="108"/>
        <v>0</v>
      </c>
      <c r="N1344" s="33">
        <f>Result_notebook!L1344</f>
        <v>0.787554996857322</v>
      </c>
      <c r="O1344" s="31">
        <f t="shared" si="109"/>
        <v>-333041.15120833757</v>
      </c>
      <c r="P1344" s="31">
        <f t="shared" si="110"/>
        <v>292236.65421840292</v>
      </c>
      <c r="Q1344">
        <f t="shared" si="111"/>
        <v>40804.496989934647</v>
      </c>
    </row>
    <row r="1345" spans="1:17" x14ac:dyDescent="0.35">
      <c r="A1345">
        <v>2039</v>
      </c>
      <c r="B1345" t="s">
        <v>12</v>
      </c>
      <c r="C1345" t="s">
        <v>9</v>
      </c>
      <c r="D1345" t="s">
        <v>18</v>
      </c>
      <c r="E1345" t="s">
        <v>483</v>
      </c>
      <c r="F1345" t="s">
        <v>86</v>
      </c>
      <c r="G1345" s="31">
        <v>30549.47912258418</v>
      </c>
      <c r="H1345" s="31">
        <v>461670.14593495359</v>
      </c>
      <c r="I1345" s="31">
        <v>322786.13334098709</v>
      </c>
      <c r="J1345" s="32">
        <f t="shared" si="107"/>
        <v>40804.496989934647</v>
      </c>
      <c r="K1345" s="31">
        <v>0</v>
      </c>
      <c r="L1345" s="31">
        <v>0</v>
      </c>
      <c r="M1345" s="32">
        <f t="shared" si="108"/>
        <v>0</v>
      </c>
      <c r="N1345" s="33">
        <f>Result_notebook!L1345</f>
        <v>0.787554996857322</v>
      </c>
      <c r="O1345" s="31">
        <f t="shared" si="109"/>
        <v>-333041.15120833757</v>
      </c>
      <c r="P1345" s="31">
        <f t="shared" si="110"/>
        <v>292236.65421840292</v>
      </c>
      <c r="Q1345">
        <f t="shared" si="111"/>
        <v>40804.496989934647</v>
      </c>
    </row>
    <row r="1346" spans="1:17" x14ac:dyDescent="0.35">
      <c r="A1346">
        <v>2039</v>
      </c>
      <c r="B1346" t="s">
        <v>12</v>
      </c>
      <c r="C1346" t="s">
        <v>9</v>
      </c>
      <c r="D1346" t="s">
        <v>18</v>
      </c>
      <c r="E1346" t="s">
        <v>490</v>
      </c>
      <c r="F1346" t="s">
        <v>82</v>
      </c>
      <c r="G1346" s="31">
        <v>30549.47912258418</v>
      </c>
      <c r="H1346" s="31">
        <v>461670.14593495359</v>
      </c>
      <c r="I1346" s="31">
        <v>322786.13334098709</v>
      </c>
      <c r="J1346" s="32">
        <f t="shared" si="107"/>
        <v>40804.496989934647</v>
      </c>
      <c r="K1346" s="31">
        <v>0</v>
      </c>
      <c r="L1346" s="31">
        <v>0</v>
      </c>
      <c r="M1346" s="32">
        <f t="shared" si="108"/>
        <v>0</v>
      </c>
      <c r="N1346" s="33">
        <f>Result_notebook!L1346</f>
        <v>0.787554996857322</v>
      </c>
      <c r="O1346" s="31">
        <f t="shared" si="109"/>
        <v>-333041.15120833757</v>
      </c>
      <c r="P1346" s="31">
        <f t="shared" si="110"/>
        <v>292236.65421840292</v>
      </c>
      <c r="Q1346">
        <f t="shared" si="111"/>
        <v>40804.496989934647</v>
      </c>
    </row>
    <row r="1347" spans="1:17" x14ac:dyDescent="0.35">
      <c r="A1347">
        <v>2039</v>
      </c>
      <c r="B1347" t="s">
        <v>12</v>
      </c>
      <c r="C1347" t="s">
        <v>10</v>
      </c>
      <c r="D1347" t="s">
        <v>16</v>
      </c>
      <c r="E1347" t="s">
        <v>483</v>
      </c>
      <c r="F1347" t="s">
        <v>80</v>
      </c>
      <c r="G1347" s="31">
        <v>79224.408806461855</v>
      </c>
      <c r="H1347" s="31">
        <v>0</v>
      </c>
      <c r="I1347" s="31">
        <v>0</v>
      </c>
      <c r="J1347" s="32">
        <f t="shared" ref="J1347:J1410" si="112">H1347*N1347-I1347</f>
        <v>0</v>
      </c>
      <c r="K1347" s="31">
        <v>113177.7268663741</v>
      </c>
      <c r="L1347" s="31">
        <v>79224.408806461855</v>
      </c>
      <c r="M1347" s="32">
        <f t="shared" ref="M1347:M1410" si="113">MAX(L1347-J1347,0)</f>
        <v>79224.408806461855</v>
      </c>
      <c r="N1347" s="33">
        <f>Result_notebook!L1347</f>
        <v>0.787554996857322</v>
      </c>
      <c r="O1347" s="31">
        <f t="shared" ref="O1347:O1410" si="114">G1347-(I1347+J1347+M1347)</f>
        <v>0</v>
      </c>
      <c r="P1347" s="31">
        <f t="shared" ref="P1347:P1410" si="115">MAX(I1347-G1347,0)</f>
        <v>0</v>
      </c>
      <c r="Q1347">
        <f t="shared" ref="Q1347:Q1410" si="116">(H1347*N1347)-I1347</f>
        <v>0</v>
      </c>
    </row>
    <row r="1348" spans="1:17" x14ac:dyDescent="0.35">
      <c r="A1348">
        <v>2039</v>
      </c>
      <c r="B1348" t="s">
        <v>12</v>
      </c>
      <c r="C1348" t="s">
        <v>10</v>
      </c>
      <c r="D1348" t="s">
        <v>16</v>
      </c>
      <c r="E1348" t="s">
        <v>483</v>
      </c>
      <c r="F1348" t="s">
        <v>81</v>
      </c>
      <c r="G1348" s="31">
        <v>79224.408806461855</v>
      </c>
      <c r="H1348" s="31">
        <v>40971</v>
      </c>
      <c r="I1348" s="31">
        <v>28645.71336388055</v>
      </c>
      <c r="J1348" s="32">
        <f t="shared" si="112"/>
        <v>3621.202412360788</v>
      </c>
      <c r="K1348" s="31">
        <v>72206.726866374083</v>
      </c>
      <c r="L1348" s="31">
        <v>50578.695442581309</v>
      </c>
      <c r="M1348" s="32">
        <f t="shared" si="113"/>
        <v>46957.493030220518</v>
      </c>
      <c r="N1348" s="33">
        <f>Result_notebook!L1348</f>
        <v>0.787554996857322</v>
      </c>
      <c r="O1348" s="31">
        <f t="shared" si="114"/>
        <v>0</v>
      </c>
      <c r="P1348" s="31">
        <f t="shared" si="115"/>
        <v>0</v>
      </c>
      <c r="Q1348">
        <f t="shared" si="116"/>
        <v>3621.202412360788</v>
      </c>
    </row>
    <row r="1349" spans="1:17" x14ac:dyDescent="0.35">
      <c r="A1349">
        <v>2039</v>
      </c>
      <c r="B1349" t="s">
        <v>12</v>
      </c>
      <c r="C1349" t="s">
        <v>10</v>
      </c>
      <c r="D1349" t="s">
        <v>18</v>
      </c>
      <c r="E1349" t="s">
        <v>483</v>
      </c>
      <c r="F1349" t="s">
        <v>85</v>
      </c>
      <c r="G1349" s="31">
        <v>79224.408806461855</v>
      </c>
      <c r="H1349" s="31">
        <v>461670.14593495359</v>
      </c>
      <c r="I1349" s="31">
        <v>322786.13334098709</v>
      </c>
      <c r="J1349" s="32">
        <f t="shared" si="112"/>
        <v>40804.496989934647</v>
      </c>
      <c r="K1349" s="31">
        <v>0</v>
      </c>
      <c r="L1349" s="31">
        <v>0</v>
      </c>
      <c r="M1349" s="32">
        <f t="shared" si="113"/>
        <v>0</v>
      </c>
      <c r="N1349" s="33">
        <f>Result_notebook!L1349</f>
        <v>0.787554996857322</v>
      </c>
      <c r="O1349" s="31">
        <f t="shared" si="114"/>
        <v>-284366.22152445989</v>
      </c>
      <c r="P1349" s="31">
        <f t="shared" si="115"/>
        <v>243561.72453452524</v>
      </c>
      <c r="Q1349">
        <f t="shared" si="116"/>
        <v>40804.496989934647</v>
      </c>
    </row>
    <row r="1350" spans="1:17" x14ac:dyDescent="0.35">
      <c r="A1350">
        <v>2039</v>
      </c>
      <c r="B1350" t="s">
        <v>12</v>
      </c>
      <c r="C1350" t="s">
        <v>10</v>
      </c>
      <c r="D1350" t="s">
        <v>18</v>
      </c>
      <c r="E1350" t="s">
        <v>483</v>
      </c>
      <c r="F1350" t="s">
        <v>86</v>
      </c>
      <c r="G1350" s="31">
        <v>79224.408806461855</v>
      </c>
      <c r="H1350" s="31">
        <v>461670.14593495359</v>
      </c>
      <c r="I1350" s="31">
        <v>322786.13334098709</v>
      </c>
      <c r="J1350" s="32">
        <f t="shared" si="112"/>
        <v>40804.496989934647</v>
      </c>
      <c r="K1350" s="31">
        <v>0</v>
      </c>
      <c r="L1350" s="31">
        <v>0</v>
      </c>
      <c r="M1350" s="32">
        <f t="shared" si="113"/>
        <v>0</v>
      </c>
      <c r="N1350" s="33">
        <f>Result_notebook!L1350</f>
        <v>0.787554996857322</v>
      </c>
      <c r="O1350" s="31">
        <f t="shared" si="114"/>
        <v>-284366.22152445989</v>
      </c>
      <c r="P1350" s="31">
        <f t="shared" si="115"/>
        <v>243561.72453452524</v>
      </c>
      <c r="Q1350">
        <f t="shared" si="116"/>
        <v>40804.496989934647</v>
      </c>
    </row>
    <row r="1351" spans="1:17" x14ac:dyDescent="0.35">
      <c r="A1351">
        <v>2039</v>
      </c>
      <c r="B1351" t="s">
        <v>12</v>
      </c>
      <c r="C1351" t="s">
        <v>10</v>
      </c>
      <c r="D1351" t="s">
        <v>18</v>
      </c>
      <c r="E1351" t="s">
        <v>490</v>
      </c>
      <c r="F1351" t="s">
        <v>82</v>
      </c>
      <c r="G1351" s="31">
        <v>79224.408806461855</v>
      </c>
      <c r="H1351" s="31">
        <v>461670.14593495359</v>
      </c>
      <c r="I1351" s="31">
        <v>322786.13334098709</v>
      </c>
      <c r="J1351" s="32">
        <f t="shared" si="112"/>
        <v>40804.496989934647</v>
      </c>
      <c r="K1351" s="31">
        <v>0</v>
      </c>
      <c r="L1351" s="31">
        <v>0</v>
      </c>
      <c r="M1351" s="32">
        <f t="shared" si="113"/>
        <v>0</v>
      </c>
      <c r="N1351" s="33">
        <f>Result_notebook!L1351</f>
        <v>0.787554996857322</v>
      </c>
      <c r="O1351" s="31">
        <f t="shared" si="114"/>
        <v>-284366.22152445989</v>
      </c>
      <c r="P1351" s="31">
        <f t="shared" si="115"/>
        <v>243561.72453452524</v>
      </c>
      <c r="Q1351">
        <f t="shared" si="116"/>
        <v>40804.496989934647</v>
      </c>
    </row>
    <row r="1352" spans="1:17" x14ac:dyDescent="0.35">
      <c r="A1352">
        <v>2040</v>
      </c>
      <c r="B1352" t="s">
        <v>6</v>
      </c>
      <c r="C1352" t="s">
        <v>4</v>
      </c>
      <c r="D1352" t="s">
        <v>16</v>
      </c>
      <c r="E1352" t="s">
        <v>483</v>
      </c>
      <c r="F1352" t="s">
        <v>80</v>
      </c>
      <c r="G1352" s="31">
        <v>262254.85822449211</v>
      </c>
      <c r="H1352" s="31">
        <v>0</v>
      </c>
      <c r="I1352" s="31">
        <v>0</v>
      </c>
      <c r="J1352" s="32">
        <f t="shared" si="112"/>
        <v>0</v>
      </c>
      <c r="K1352" s="31">
        <v>596033.76869202754</v>
      </c>
      <c r="L1352" s="31">
        <v>262254.85822449211</v>
      </c>
      <c r="M1352" s="32">
        <f t="shared" si="113"/>
        <v>262254.85822449211</v>
      </c>
      <c r="N1352" s="33">
        <f>Result_notebook!L1352</f>
        <v>0.439346565686978</v>
      </c>
      <c r="O1352" s="31">
        <f t="shared" si="114"/>
        <v>0</v>
      </c>
      <c r="P1352" s="31">
        <f t="shared" si="115"/>
        <v>0</v>
      </c>
      <c r="Q1352">
        <f t="shared" si="116"/>
        <v>0</v>
      </c>
    </row>
    <row r="1353" spans="1:17" x14ac:dyDescent="0.35">
      <c r="A1353">
        <v>2040</v>
      </c>
      <c r="B1353" t="s">
        <v>6</v>
      </c>
      <c r="C1353" t="s">
        <v>4</v>
      </c>
      <c r="D1353" t="s">
        <v>16</v>
      </c>
      <c r="E1353" t="s">
        <v>483</v>
      </c>
      <c r="F1353" t="s">
        <v>81</v>
      </c>
      <c r="G1353" s="31">
        <v>262254.85822449211</v>
      </c>
      <c r="H1353" s="31">
        <v>261</v>
      </c>
      <c r="I1353" s="31">
        <v>110.71145720551</v>
      </c>
      <c r="J1353" s="32">
        <f t="shared" si="112"/>
        <v>3.9579964387912554</v>
      </c>
      <c r="K1353" s="31">
        <v>595772.76869202754</v>
      </c>
      <c r="L1353" s="31">
        <v>262144.14676728658</v>
      </c>
      <c r="M1353" s="32">
        <f t="shared" si="113"/>
        <v>262140.1887708478</v>
      </c>
      <c r="N1353" s="33">
        <f>Result_notebook!L1353</f>
        <v>0.439346565686978</v>
      </c>
      <c r="O1353" s="31">
        <f t="shared" si="114"/>
        <v>0</v>
      </c>
      <c r="P1353" s="31">
        <f t="shared" si="115"/>
        <v>0</v>
      </c>
      <c r="Q1353">
        <f t="shared" si="116"/>
        <v>3.9579964387912554</v>
      </c>
    </row>
    <row r="1354" spans="1:17" x14ac:dyDescent="0.35">
      <c r="A1354">
        <v>2040</v>
      </c>
      <c r="B1354" t="s">
        <v>6</v>
      </c>
      <c r="C1354" t="s">
        <v>4</v>
      </c>
      <c r="D1354" t="s">
        <v>18</v>
      </c>
      <c r="E1354" t="s">
        <v>483</v>
      </c>
      <c r="F1354" t="s">
        <v>85</v>
      </c>
      <c r="G1354" s="31">
        <v>262254.85822449211</v>
      </c>
      <c r="H1354" s="31">
        <v>31066.54411043779</v>
      </c>
      <c r="I1354" s="31">
        <v>13177.863482014651</v>
      </c>
      <c r="J1354" s="32">
        <f t="shared" si="112"/>
        <v>471.11598066920487</v>
      </c>
      <c r="K1354" s="31">
        <v>564967.22458158981</v>
      </c>
      <c r="L1354" s="31">
        <v>249076.99474247749</v>
      </c>
      <c r="M1354" s="32">
        <f t="shared" si="113"/>
        <v>248605.87876180827</v>
      </c>
      <c r="N1354" s="33">
        <f>Result_notebook!L1354</f>
        <v>0.439346565686978</v>
      </c>
      <c r="O1354" s="31">
        <f t="shared" si="114"/>
        <v>0</v>
      </c>
      <c r="P1354" s="31">
        <f t="shared" si="115"/>
        <v>0</v>
      </c>
      <c r="Q1354">
        <f t="shared" si="116"/>
        <v>471.11598066920487</v>
      </c>
    </row>
    <row r="1355" spans="1:17" x14ac:dyDescent="0.35">
      <c r="A1355">
        <v>2040</v>
      </c>
      <c r="B1355" t="s">
        <v>6</v>
      </c>
      <c r="C1355" t="s">
        <v>4</v>
      </c>
      <c r="D1355" t="s">
        <v>18</v>
      </c>
      <c r="E1355" t="s">
        <v>483</v>
      </c>
      <c r="F1355" t="s">
        <v>86</v>
      </c>
      <c r="G1355" s="31">
        <v>262254.85822449211</v>
      </c>
      <c r="H1355" s="31">
        <v>31066.54411043779</v>
      </c>
      <c r="I1355" s="31">
        <v>13177.863482014651</v>
      </c>
      <c r="J1355" s="32">
        <f t="shared" si="112"/>
        <v>471.11598066920487</v>
      </c>
      <c r="K1355" s="31">
        <v>564967.22458158981</v>
      </c>
      <c r="L1355" s="31">
        <v>249076.99474247749</v>
      </c>
      <c r="M1355" s="32">
        <f t="shared" si="113"/>
        <v>248605.87876180827</v>
      </c>
      <c r="N1355" s="33">
        <f>Result_notebook!L1355</f>
        <v>0.439346565686978</v>
      </c>
      <c r="O1355" s="31">
        <f t="shared" si="114"/>
        <v>0</v>
      </c>
      <c r="P1355" s="31">
        <f t="shared" si="115"/>
        <v>0</v>
      </c>
      <c r="Q1355">
        <f t="shared" si="116"/>
        <v>471.11598066920487</v>
      </c>
    </row>
    <row r="1356" spans="1:17" x14ac:dyDescent="0.35">
      <c r="A1356">
        <v>2040</v>
      </c>
      <c r="B1356" t="s">
        <v>6</v>
      </c>
      <c r="C1356" t="s">
        <v>4</v>
      </c>
      <c r="D1356" t="s">
        <v>18</v>
      </c>
      <c r="E1356" t="s">
        <v>490</v>
      </c>
      <c r="F1356" t="s">
        <v>82</v>
      </c>
      <c r="G1356" s="31">
        <v>262254.85822449211</v>
      </c>
      <c r="H1356" s="31">
        <v>31066.54411043779</v>
      </c>
      <c r="I1356" s="31">
        <v>13648.97946268387</v>
      </c>
      <c r="J1356" s="32">
        <f t="shared" si="112"/>
        <v>-1.4551915228366852E-11</v>
      </c>
      <c r="K1356" s="31">
        <v>564967.22458158981</v>
      </c>
      <c r="L1356" s="31">
        <v>248605.87876180821</v>
      </c>
      <c r="M1356" s="32">
        <f t="shared" si="113"/>
        <v>248605.87876180821</v>
      </c>
      <c r="N1356" s="33">
        <f>Result_notebook!L1356</f>
        <v>0.439346565686978</v>
      </c>
      <c r="O1356" s="31">
        <f t="shared" si="114"/>
        <v>0</v>
      </c>
      <c r="P1356" s="31">
        <f t="shared" si="115"/>
        <v>0</v>
      </c>
      <c r="Q1356">
        <f t="shared" si="116"/>
        <v>-1.4551915228366852E-11</v>
      </c>
    </row>
    <row r="1357" spans="1:17" x14ac:dyDescent="0.35">
      <c r="A1357">
        <v>2040</v>
      </c>
      <c r="B1357" t="s">
        <v>6</v>
      </c>
      <c r="C1357" t="s">
        <v>9</v>
      </c>
      <c r="D1357" t="s">
        <v>16</v>
      </c>
      <c r="E1357" t="s">
        <v>483</v>
      </c>
      <c r="F1357" t="s">
        <v>80</v>
      </c>
      <c r="G1357" s="31">
        <v>98467.56791655843</v>
      </c>
      <c r="H1357" s="31">
        <v>0</v>
      </c>
      <c r="I1357" s="31">
        <v>0</v>
      </c>
      <c r="J1357" s="32">
        <f t="shared" si="112"/>
        <v>0</v>
      </c>
      <c r="K1357" s="31">
        <v>223789.9270830873</v>
      </c>
      <c r="L1357" s="31">
        <v>98467.56791655843</v>
      </c>
      <c r="M1357" s="32">
        <f t="shared" si="113"/>
        <v>98467.56791655843</v>
      </c>
      <c r="N1357" s="33">
        <f>Result_notebook!L1357</f>
        <v>0.439346565686978</v>
      </c>
      <c r="O1357" s="31">
        <f t="shared" si="114"/>
        <v>0</v>
      </c>
      <c r="P1357" s="31">
        <f t="shared" si="115"/>
        <v>0</v>
      </c>
      <c r="Q1357">
        <f t="shared" si="116"/>
        <v>0</v>
      </c>
    </row>
    <row r="1358" spans="1:17" x14ac:dyDescent="0.35">
      <c r="A1358">
        <v>2040</v>
      </c>
      <c r="B1358" t="s">
        <v>6</v>
      </c>
      <c r="C1358" t="s">
        <v>9</v>
      </c>
      <c r="D1358" t="s">
        <v>16</v>
      </c>
      <c r="E1358" t="s">
        <v>483</v>
      </c>
      <c r="F1358" t="s">
        <v>81</v>
      </c>
      <c r="G1358" s="31">
        <v>98467.56791655843</v>
      </c>
      <c r="H1358" s="31">
        <v>261</v>
      </c>
      <c r="I1358" s="31">
        <v>110.71145720551</v>
      </c>
      <c r="J1358" s="32">
        <f t="shared" si="112"/>
        <v>3.9579964387912554</v>
      </c>
      <c r="K1358" s="31">
        <v>223528.9270830873</v>
      </c>
      <c r="L1358" s="31">
        <v>98356.856459352915</v>
      </c>
      <c r="M1358" s="32">
        <f t="shared" si="113"/>
        <v>98352.89846291412</v>
      </c>
      <c r="N1358" s="33">
        <f>Result_notebook!L1358</f>
        <v>0.439346565686978</v>
      </c>
      <c r="O1358" s="31">
        <f t="shared" si="114"/>
        <v>0</v>
      </c>
      <c r="P1358" s="31">
        <f t="shared" si="115"/>
        <v>0</v>
      </c>
      <c r="Q1358">
        <f t="shared" si="116"/>
        <v>3.9579964387912554</v>
      </c>
    </row>
    <row r="1359" spans="1:17" x14ac:dyDescent="0.35">
      <c r="A1359">
        <v>2040</v>
      </c>
      <c r="B1359" t="s">
        <v>6</v>
      </c>
      <c r="C1359" t="s">
        <v>9</v>
      </c>
      <c r="D1359" t="s">
        <v>18</v>
      </c>
      <c r="E1359" t="s">
        <v>483</v>
      </c>
      <c r="F1359" t="s">
        <v>85</v>
      </c>
      <c r="G1359" s="31">
        <v>98467.56791655843</v>
      </c>
      <c r="H1359" s="31">
        <v>31066.54411043779</v>
      </c>
      <c r="I1359" s="31">
        <v>13177.863482014651</v>
      </c>
      <c r="J1359" s="32">
        <f t="shared" si="112"/>
        <v>471.11598066920487</v>
      </c>
      <c r="K1359" s="31">
        <v>192723.3829726495</v>
      </c>
      <c r="L1359" s="31">
        <v>85289.70443454379</v>
      </c>
      <c r="M1359" s="32">
        <f t="shared" si="113"/>
        <v>84818.588453874589</v>
      </c>
      <c r="N1359" s="33">
        <f>Result_notebook!L1359</f>
        <v>0.439346565686978</v>
      </c>
      <c r="O1359" s="31">
        <f t="shared" si="114"/>
        <v>0</v>
      </c>
      <c r="P1359" s="31">
        <f t="shared" si="115"/>
        <v>0</v>
      </c>
      <c r="Q1359">
        <f t="shared" si="116"/>
        <v>471.11598066920487</v>
      </c>
    </row>
    <row r="1360" spans="1:17" x14ac:dyDescent="0.35">
      <c r="A1360">
        <v>2040</v>
      </c>
      <c r="B1360" t="s">
        <v>6</v>
      </c>
      <c r="C1360" t="s">
        <v>9</v>
      </c>
      <c r="D1360" t="s">
        <v>18</v>
      </c>
      <c r="E1360" t="s">
        <v>483</v>
      </c>
      <c r="F1360" t="s">
        <v>86</v>
      </c>
      <c r="G1360" s="31">
        <v>98467.56791655843</v>
      </c>
      <c r="H1360" s="31">
        <v>31066.54411043779</v>
      </c>
      <c r="I1360" s="31">
        <v>13177.863482014651</v>
      </c>
      <c r="J1360" s="32">
        <f t="shared" si="112"/>
        <v>471.11598066920487</v>
      </c>
      <c r="K1360" s="31">
        <v>192723.3829726495</v>
      </c>
      <c r="L1360" s="31">
        <v>85289.70443454379</v>
      </c>
      <c r="M1360" s="32">
        <f t="shared" si="113"/>
        <v>84818.588453874589</v>
      </c>
      <c r="N1360" s="33">
        <f>Result_notebook!L1360</f>
        <v>0.439346565686978</v>
      </c>
      <c r="O1360" s="31">
        <f t="shared" si="114"/>
        <v>0</v>
      </c>
      <c r="P1360" s="31">
        <f t="shared" si="115"/>
        <v>0</v>
      </c>
      <c r="Q1360">
        <f t="shared" si="116"/>
        <v>471.11598066920487</v>
      </c>
    </row>
    <row r="1361" spans="1:17" x14ac:dyDescent="0.35">
      <c r="A1361">
        <v>2040</v>
      </c>
      <c r="B1361" t="s">
        <v>6</v>
      </c>
      <c r="C1361" t="s">
        <v>9</v>
      </c>
      <c r="D1361" t="s">
        <v>18</v>
      </c>
      <c r="E1361" t="s">
        <v>490</v>
      </c>
      <c r="F1361" t="s">
        <v>82</v>
      </c>
      <c r="G1361" s="31">
        <v>98467.56791655843</v>
      </c>
      <c r="H1361" s="31">
        <v>31066.54411043779</v>
      </c>
      <c r="I1361" s="31">
        <v>13648.97946268387</v>
      </c>
      <c r="J1361" s="32">
        <f t="shared" si="112"/>
        <v>-1.4551915228366852E-11</v>
      </c>
      <c r="K1361" s="31">
        <v>192723.3829726495</v>
      </c>
      <c r="L1361" s="31">
        <v>84818.588453874559</v>
      </c>
      <c r="M1361" s="32">
        <f t="shared" si="113"/>
        <v>84818.588453874574</v>
      </c>
      <c r="N1361" s="33">
        <f>Result_notebook!L1361</f>
        <v>0.439346565686978</v>
      </c>
      <c r="O1361" s="31">
        <f t="shared" si="114"/>
        <v>0</v>
      </c>
      <c r="P1361" s="31">
        <f t="shared" si="115"/>
        <v>0</v>
      </c>
      <c r="Q1361">
        <f t="shared" si="116"/>
        <v>-1.4551915228366852E-11</v>
      </c>
    </row>
    <row r="1362" spans="1:17" x14ac:dyDescent="0.35">
      <c r="A1362">
        <v>2040</v>
      </c>
      <c r="B1362" t="s">
        <v>6</v>
      </c>
      <c r="C1362" t="s">
        <v>10</v>
      </c>
      <c r="D1362" t="s">
        <v>16</v>
      </c>
      <c r="E1362" t="s">
        <v>483</v>
      </c>
      <c r="F1362" t="s">
        <v>80</v>
      </c>
      <c r="G1362" s="31">
        <v>249374.18781108601</v>
      </c>
      <c r="H1362" s="31">
        <v>0</v>
      </c>
      <c r="I1362" s="31">
        <v>0</v>
      </c>
      <c r="J1362" s="32">
        <f t="shared" si="112"/>
        <v>0</v>
      </c>
      <c r="K1362" s="31">
        <v>566759.51775246824</v>
      </c>
      <c r="L1362" s="31">
        <v>249374.18781108601</v>
      </c>
      <c r="M1362" s="32">
        <f t="shared" si="113"/>
        <v>249374.18781108601</v>
      </c>
      <c r="N1362" s="33">
        <f>Result_notebook!L1362</f>
        <v>0.439346565686978</v>
      </c>
      <c r="O1362" s="31">
        <f t="shared" si="114"/>
        <v>0</v>
      </c>
      <c r="P1362" s="31">
        <f t="shared" si="115"/>
        <v>0</v>
      </c>
      <c r="Q1362">
        <f t="shared" si="116"/>
        <v>0</v>
      </c>
    </row>
    <row r="1363" spans="1:17" x14ac:dyDescent="0.35">
      <c r="A1363">
        <v>2040</v>
      </c>
      <c r="B1363" t="s">
        <v>6</v>
      </c>
      <c r="C1363" t="s">
        <v>10</v>
      </c>
      <c r="D1363" t="s">
        <v>16</v>
      </c>
      <c r="E1363" t="s">
        <v>483</v>
      </c>
      <c r="F1363" t="s">
        <v>81</v>
      </c>
      <c r="G1363" s="31">
        <v>249374.18781108601</v>
      </c>
      <c r="H1363" s="31">
        <v>261</v>
      </c>
      <c r="I1363" s="31">
        <v>110.71145720551</v>
      </c>
      <c r="J1363" s="32">
        <f t="shared" si="112"/>
        <v>3.9579964387912554</v>
      </c>
      <c r="K1363" s="31">
        <v>566498.51775246824</v>
      </c>
      <c r="L1363" s="31">
        <v>249263.47635388051</v>
      </c>
      <c r="M1363" s="32">
        <f t="shared" si="113"/>
        <v>249259.51835744173</v>
      </c>
      <c r="N1363" s="33">
        <f>Result_notebook!L1363</f>
        <v>0.439346565686978</v>
      </c>
      <c r="O1363" s="31">
        <f t="shared" si="114"/>
        <v>0</v>
      </c>
      <c r="P1363" s="31">
        <f t="shared" si="115"/>
        <v>0</v>
      </c>
      <c r="Q1363">
        <f t="shared" si="116"/>
        <v>3.9579964387912554</v>
      </c>
    </row>
    <row r="1364" spans="1:17" x14ac:dyDescent="0.35">
      <c r="A1364">
        <v>2040</v>
      </c>
      <c r="B1364" t="s">
        <v>6</v>
      </c>
      <c r="C1364" t="s">
        <v>10</v>
      </c>
      <c r="D1364" t="s">
        <v>18</v>
      </c>
      <c r="E1364" t="s">
        <v>483</v>
      </c>
      <c r="F1364" t="s">
        <v>85</v>
      </c>
      <c r="G1364" s="31">
        <v>249374.18781108601</v>
      </c>
      <c r="H1364" s="31">
        <v>31066.54411043779</v>
      </c>
      <c r="I1364" s="31">
        <v>13177.863482014651</v>
      </c>
      <c r="J1364" s="32">
        <f t="shared" si="112"/>
        <v>471.11598066920487</v>
      </c>
      <c r="K1364" s="31">
        <v>535692.9736420305</v>
      </c>
      <c r="L1364" s="31">
        <v>236196.32432907139</v>
      </c>
      <c r="M1364" s="32">
        <f t="shared" si="113"/>
        <v>235725.20834840217</v>
      </c>
      <c r="N1364" s="33">
        <f>Result_notebook!L1364</f>
        <v>0.439346565686978</v>
      </c>
      <c r="O1364" s="31">
        <f t="shared" si="114"/>
        <v>0</v>
      </c>
      <c r="P1364" s="31">
        <f t="shared" si="115"/>
        <v>0</v>
      </c>
      <c r="Q1364">
        <f t="shared" si="116"/>
        <v>471.11598066920487</v>
      </c>
    </row>
    <row r="1365" spans="1:17" x14ac:dyDescent="0.35">
      <c r="A1365">
        <v>2040</v>
      </c>
      <c r="B1365" t="s">
        <v>6</v>
      </c>
      <c r="C1365" t="s">
        <v>10</v>
      </c>
      <c r="D1365" t="s">
        <v>18</v>
      </c>
      <c r="E1365" t="s">
        <v>483</v>
      </c>
      <c r="F1365" t="s">
        <v>86</v>
      </c>
      <c r="G1365" s="31">
        <v>249374.18781108601</v>
      </c>
      <c r="H1365" s="31">
        <v>31066.54411043779</v>
      </c>
      <c r="I1365" s="31">
        <v>13177.863482014651</v>
      </c>
      <c r="J1365" s="32">
        <f t="shared" si="112"/>
        <v>471.11598066920487</v>
      </c>
      <c r="K1365" s="31">
        <v>535692.9736420305</v>
      </c>
      <c r="L1365" s="31">
        <v>236196.32432907139</v>
      </c>
      <c r="M1365" s="32">
        <f t="shared" si="113"/>
        <v>235725.20834840217</v>
      </c>
      <c r="N1365" s="33">
        <f>Result_notebook!L1365</f>
        <v>0.439346565686978</v>
      </c>
      <c r="O1365" s="31">
        <f t="shared" si="114"/>
        <v>0</v>
      </c>
      <c r="P1365" s="31">
        <f t="shared" si="115"/>
        <v>0</v>
      </c>
      <c r="Q1365">
        <f t="shared" si="116"/>
        <v>471.11598066920487</v>
      </c>
    </row>
    <row r="1366" spans="1:17" x14ac:dyDescent="0.35">
      <c r="A1366">
        <v>2040</v>
      </c>
      <c r="B1366" t="s">
        <v>6</v>
      </c>
      <c r="C1366" t="s">
        <v>10</v>
      </c>
      <c r="D1366" t="s">
        <v>18</v>
      </c>
      <c r="E1366" t="s">
        <v>490</v>
      </c>
      <c r="F1366" t="s">
        <v>82</v>
      </c>
      <c r="G1366" s="31">
        <v>249374.18781108601</v>
      </c>
      <c r="H1366" s="31">
        <v>31066.54411043779</v>
      </c>
      <c r="I1366" s="31">
        <v>13648.97946268387</v>
      </c>
      <c r="J1366" s="32">
        <f t="shared" si="112"/>
        <v>-1.4551915228366852E-11</v>
      </c>
      <c r="K1366" s="31">
        <v>535692.9736420305</v>
      </c>
      <c r="L1366" s="31">
        <v>235725.20834840211</v>
      </c>
      <c r="M1366" s="32">
        <f t="shared" si="113"/>
        <v>235725.20834840211</v>
      </c>
      <c r="N1366" s="33">
        <f>Result_notebook!L1366</f>
        <v>0.439346565686978</v>
      </c>
      <c r="O1366" s="31">
        <f t="shared" si="114"/>
        <v>0</v>
      </c>
      <c r="P1366" s="31">
        <f t="shared" si="115"/>
        <v>0</v>
      </c>
      <c r="Q1366">
        <f t="shared" si="116"/>
        <v>-1.4551915228366852E-11</v>
      </c>
    </row>
    <row r="1367" spans="1:17" x14ac:dyDescent="0.35">
      <c r="A1367">
        <v>2040</v>
      </c>
      <c r="B1367" t="s">
        <v>7</v>
      </c>
      <c r="C1367" t="s">
        <v>4</v>
      </c>
      <c r="D1367" t="s">
        <v>16</v>
      </c>
      <c r="E1367" t="s">
        <v>483</v>
      </c>
      <c r="F1367" t="s">
        <v>80</v>
      </c>
      <c r="G1367" s="31">
        <v>1618702.5825368459</v>
      </c>
      <c r="H1367" s="31">
        <v>0</v>
      </c>
      <c r="I1367" s="31">
        <v>0</v>
      </c>
      <c r="J1367" s="32">
        <f t="shared" si="112"/>
        <v>0</v>
      </c>
      <c r="K1367" s="31">
        <v>1950244.0753455979</v>
      </c>
      <c r="L1367" s="31">
        <v>1618702.5825368459</v>
      </c>
      <c r="M1367" s="32">
        <f t="shared" si="113"/>
        <v>1618702.5825368459</v>
      </c>
      <c r="N1367" s="33">
        <f>Result_notebook!L1367</f>
        <v>0.83474576271186396</v>
      </c>
      <c r="O1367" s="31">
        <f t="shared" si="114"/>
        <v>0</v>
      </c>
      <c r="P1367" s="31">
        <f t="shared" si="115"/>
        <v>0</v>
      </c>
      <c r="Q1367">
        <f t="shared" si="116"/>
        <v>0</v>
      </c>
    </row>
    <row r="1368" spans="1:17" x14ac:dyDescent="0.35">
      <c r="A1368">
        <v>2040</v>
      </c>
      <c r="B1368" t="s">
        <v>7</v>
      </c>
      <c r="C1368" t="s">
        <v>4</v>
      </c>
      <c r="D1368" t="s">
        <v>16</v>
      </c>
      <c r="E1368" t="s">
        <v>483</v>
      </c>
      <c r="F1368" t="s">
        <v>81</v>
      </c>
      <c r="G1368" s="31">
        <v>1618702.5825368459</v>
      </c>
      <c r="H1368" s="31">
        <v>183019</v>
      </c>
      <c r="I1368" s="31">
        <v>96196.376374307525</v>
      </c>
      <c r="J1368" s="32">
        <f t="shared" si="112"/>
        <v>56577.958371455112</v>
      </c>
      <c r="K1368" s="31">
        <v>1767225.0753455979</v>
      </c>
      <c r="L1368" s="31">
        <v>1522506.2061625379</v>
      </c>
      <c r="M1368" s="32">
        <f t="shared" si="113"/>
        <v>1465928.2477910828</v>
      </c>
      <c r="N1368" s="33">
        <f>Result_notebook!L1368</f>
        <v>0.83474576271186396</v>
      </c>
      <c r="O1368" s="31">
        <f t="shared" si="114"/>
        <v>0</v>
      </c>
      <c r="P1368" s="31">
        <f t="shared" si="115"/>
        <v>0</v>
      </c>
      <c r="Q1368">
        <f t="shared" si="116"/>
        <v>56577.958371455112</v>
      </c>
    </row>
    <row r="1369" spans="1:17" x14ac:dyDescent="0.35">
      <c r="A1369">
        <v>2040</v>
      </c>
      <c r="B1369" t="s">
        <v>7</v>
      </c>
      <c r="C1369" t="s">
        <v>4</v>
      </c>
      <c r="D1369" t="s">
        <v>18</v>
      </c>
      <c r="E1369" t="s">
        <v>483</v>
      </c>
      <c r="F1369" t="s">
        <v>85</v>
      </c>
      <c r="G1369" s="31">
        <v>1618702.5825368459</v>
      </c>
      <c r="H1369" s="31">
        <v>1130208.8349072579</v>
      </c>
      <c r="I1369" s="31">
        <v>594047.58229640755</v>
      </c>
      <c r="J1369" s="32">
        <f t="shared" si="112"/>
        <v>349389.45362193859</v>
      </c>
      <c r="K1369" s="31">
        <v>820035.2404383393</v>
      </c>
      <c r="L1369" s="31">
        <v>1024655.000240438</v>
      </c>
      <c r="M1369" s="32">
        <f t="shared" si="113"/>
        <v>675265.54661849944</v>
      </c>
      <c r="N1369" s="33">
        <f>Result_notebook!L1369</f>
        <v>0.83474576271186396</v>
      </c>
      <c r="O1369" s="31">
        <f t="shared" si="114"/>
        <v>0</v>
      </c>
      <c r="P1369" s="31">
        <f t="shared" si="115"/>
        <v>0</v>
      </c>
      <c r="Q1369">
        <f t="shared" si="116"/>
        <v>349389.45362193859</v>
      </c>
    </row>
    <row r="1370" spans="1:17" x14ac:dyDescent="0.35">
      <c r="A1370">
        <v>2040</v>
      </c>
      <c r="B1370" t="s">
        <v>7</v>
      </c>
      <c r="C1370" t="s">
        <v>4</v>
      </c>
      <c r="D1370" t="s">
        <v>18</v>
      </c>
      <c r="E1370" t="s">
        <v>483</v>
      </c>
      <c r="F1370" t="s">
        <v>86</v>
      </c>
      <c r="G1370" s="31">
        <v>1618702.5825368459</v>
      </c>
      <c r="H1370" s="31">
        <v>1130208.8349072579</v>
      </c>
      <c r="I1370" s="31">
        <v>594047.58229640755</v>
      </c>
      <c r="J1370" s="32">
        <f t="shared" si="112"/>
        <v>349389.45362193859</v>
      </c>
      <c r="K1370" s="31">
        <v>820035.2404383393</v>
      </c>
      <c r="L1370" s="31">
        <v>1024655.000240438</v>
      </c>
      <c r="M1370" s="32">
        <f t="shared" si="113"/>
        <v>675265.54661849944</v>
      </c>
      <c r="N1370" s="33">
        <f>Result_notebook!L1370</f>
        <v>0.83474576271186396</v>
      </c>
      <c r="O1370" s="31">
        <f t="shared" si="114"/>
        <v>0</v>
      </c>
      <c r="P1370" s="31">
        <f t="shared" si="115"/>
        <v>0</v>
      </c>
      <c r="Q1370">
        <f t="shared" si="116"/>
        <v>349389.45362193859</v>
      </c>
    </row>
    <row r="1371" spans="1:17" x14ac:dyDescent="0.35">
      <c r="A1371">
        <v>2040</v>
      </c>
      <c r="B1371" t="s">
        <v>7</v>
      </c>
      <c r="C1371" t="s">
        <v>4</v>
      </c>
      <c r="D1371" t="s">
        <v>18</v>
      </c>
      <c r="E1371" t="s">
        <v>490</v>
      </c>
      <c r="F1371" t="s">
        <v>82</v>
      </c>
      <c r="G1371" s="31">
        <v>1618702.5825368459</v>
      </c>
      <c r="H1371" s="31">
        <v>1130208.8349072579</v>
      </c>
      <c r="I1371" s="31">
        <v>943437.03591834707</v>
      </c>
      <c r="J1371" s="32">
        <f t="shared" si="112"/>
        <v>-9.3132257461547852E-10</v>
      </c>
      <c r="K1371" s="31">
        <v>820035.2404383393</v>
      </c>
      <c r="L1371" s="31">
        <v>675265.54661849886</v>
      </c>
      <c r="M1371" s="32">
        <f t="shared" si="113"/>
        <v>675265.54661849979</v>
      </c>
      <c r="N1371" s="33">
        <f>Result_notebook!L1371</f>
        <v>0.83474576271186396</v>
      </c>
      <c r="O1371" s="31">
        <f t="shared" si="114"/>
        <v>0</v>
      </c>
      <c r="P1371" s="31">
        <f t="shared" si="115"/>
        <v>0</v>
      </c>
      <c r="Q1371">
        <f t="shared" si="116"/>
        <v>-9.3132257461547852E-10</v>
      </c>
    </row>
    <row r="1372" spans="1:17" x14ac:dyDescent="0.35">
      <c r="A1372">
        <v>2040</v>
      </c>
      <c r="B1372" t="s">
        <v>7</v>
      </c>
      <c r="C1372" t="s">
        <v>9</v>
      </c>
      <c r="D1372" t="s">
        <v>16</v>
      </c>
      <c r="E1372" t="s">
        <v>483</v>
      </c>
      <c r="F1372" t="s">
        <v>80</v>
      </c>
      <c r="G1372" s="31">
        <v>1207361.2871372779</v>
      </c>
      <c r="H1372" s="31">
        <v>0</v>
      </c>
      <c r="I1372" s="31">
        <v>0</v>
      </c>
      <c r="J1372" s="32">
        <f t="shared" si="112"/>
        <v>0</v>
      </c>
      <c r="K1372" s="31">
        <v>1454652.153177443</v>
      </c>
      <c r="L1372" s="31">
        <v>1207361.2871372779</v>
      </c>
      <c r="M1372" s="32">
        <f t="shared" si="113"/>
        <v>1207361.2871372779</v>
      </c>
      <c r="N1372" s="33">
        <f>Result_notebook!L1372</f>
        <v>0.83474576271186396</v>
      </c>
      <c r="O1372" s="31">
        <f t="shared" si="114"/>
        <v>0</v>
      </c>
      <c r="P1372" s="31">
        <f t="shared" si="115"/>
        <v>0</v>
      </c>
      <c r="Q1372">
        <f t="shared" si="116"/>
        <v>0</v>
      </c>
    </row>
    <row r="1373" spans="1:17" x14ac:dyDescent="0.35">
      <c r="A1373">
        <v>2040</v>
      </c>
      <c r="B1373" t="s">
        <v>7</v>
      </c>
      <c r="C1373" t="s">
        <v>9</v>
      </c>
      <c r="D1373" t="s">
        <v>16</v>
      </c>
      <c r="E1373" t="s">
        <v>483</v>
      </c>
      <c r="F1373" t="s">
        <v>81</v>
      </c>
      <c r="G1373" s="31">
        <v>1207361.2871372779</v>
      </c>
      <c r="H1373" s="31">
        <v>183019</v>
      </c>
      <c r="I1373" s="31">
        <v>96196.376374307525</v>
      </c>
      <c r="J1373" s="32">
        <f t="shared" si="112"/>
        <v>56577.958371455112</v>
      </c>
      <c r="K1373" s="31">
        <v>1271633.153177443</v>
      </c>
      <c r="L1373" s="31">
        <v>1111164.9107629701</v>
      </c>
      <c r="M1373" s="32">
        <f t="shared" si="113"/>
        <v>1054586.952391515</v>
      </c>
      <c r="N1373" s="33">
        <f>Result_notebook!L1373</f>
        <v>0.83474576271186396</v>
      </c>
      <c r="O1373" s="31">
        <f t="shared" si="114"/>
        <v>0</v>
      </c>
      <c r="P1373" s="31">
        <f t="shared" si="115"/>
        <v>0</v>
      </c>
      <c r="Q1373">
        <f t="shared" si="116"/>
        <v>56577.958371455112</v>
      </c>
    </row>
    <row r="1374" spans="1:17" x14ac:dyDescent="0.35">
      <c r="A1374">
        <v>2040</v>
      </c>
      <c r="B1374" t="s">
        <v>7</v>
      </c>
      <c r="C1374" t="s">
        <v>9</v>
      </c>
      <c r="D1374" t="s">
        <v>18</v>
      </c>
      <c r="E1374" t="s">
        <v>483</v>
      </c>
      <c r="F1374" t="s">
        <v>85</v>
      </c>
      <c r="G1374" s="31">
        <v>1207361.2871372779</v>
      </c>
      <c r="H1374" s="31">
        <v>1130208.8349072579</v>
      </c>
      <c r="I1374" s="31">
        <v>594047.58229640755</v>
      </c>
      <c r="J1374" s="32">
        <f t="shared" si="112"/>
        <v>349389.45362193859</v>
      </c>
      <c r="K1374" s="31">
        <v>324443.31827018497</v>
      </c>
      <c r="L1374" s="31">
        <v>613313.70484087034</v>
      </c>
      <c r="M1374" s="32">
        <f t="shared" si="113"/>
        <v>263924.25121893175</v>
      </c>
      <c r="N1374" s="33">
        <f>Result_notebook!L1374</f>
        <v>0.83474576271186396</v>
      </c>
      <c r="O1374" s="31">
        <f t="shared" si="114"/>
        <v>0</v>
      </c>
      <c r="P1374" s="31">
        <f t="shared" si="115"/>
        <v>0</v>
      </c>
      <c r="Q1374">
        <f t="shared" si="116"/>
        <v>349389.45362193859</v>
      </c>
    </row>
    <row r="1375" spans="1:17" x14ac:dyDescent="0.35">
      <c r="A1375">
        <v>2040</v>
      </c>
      <c r="B1375" t="s">
        <v>7</v>
      </c>
      <c r="C1375" t="s">
        <v>9</v>
      </c>
      <c r="D1375" t="s">
        <v>18</v>
      </c>
      <c r="E1375" t="s">
        <v>483</v>
      </c>
      <c r="F1375" t="s">
        <v>86</v>
      </c>
      <c r="G1375" s="31">
        <v>1207361.2871372779</v>
      </c>
      <c r="H1375" s="31">
        <v>1130208.8349072579</v>
      </c>
      <c r="I1375" s="31">
        <v>594047.58229640755</v>
      </c>
      <c r="J1375" s="32">
        <f t="shared" si="112"/>
        <v>349389.45362193859</v>
      </c>
      <c r="K1375" s="31">
        <v>324443.31827018497</v>
      </c>
      <c r="L1375" s="31">
        <v>613313.70484087034</v>
      </c>
      <c r="M1375" s="32">
        <f t="shared" si="113"/>
        <v>263924.25121893175</v>
      </c>
      <c r="N1375" s="33">
        <f>Result_notebook!L1375</f>
        <v>0.83474576271186396</v>
      </c>
      <c r="O1375" s="31">
        <f t="shared" si="114"/>
        <v>0</v>
      </c>
      <c r="P1375" s="31">
        <f t="shared" si="115"/>
        <v>0</v>
      </c>
      <c r="Q1375">
        <f t="shared" si="116"/>
        <v>349389.45362193859</v>
      </c>
    </row>
    <row r="1376" spans="1:17" x14ac:dyDescent="0.35">
      <c r="A1376">
        <v>2040</v>
      </c>
      <c r="B1376" t="s">
        <v>7</v>
      </c>
      <c r="C1376" t="s">
        <v>9</v>
      </c>
      <c r="D1376" t="s">
        <v>18</v>
      </c>
      <c r="E1376" t="s">
        <v>490</v>
      </c>
      <c r="F1376" t="s">
        <v>82</v>
      </c>
      <c r="G1376" s="31">
        <v>1207361.2871372779</v>
      </c>
      <c r="H1376" s="31">
        <v>1130208.8349072579</v>
      </c>
      <c r="I1376" s="31">
        <v>943437.03591834707</v>
      </c>
      <c r="J1376" s="32">
        <f t="shared" si="112"/>
        <v>-9.3132257461547852E-10</v>
      </c>
      <c r="K1376" s="31">
        <v>324443.31827018497</v>
      </c>
      <c r="L1376" s="31">
        <v>263924.25121893082</v>
      </c>
      <c r="M1376" s="32">
        <f t="shared" si="113"/>
        <v>263924.25121893175</v>
      </c>
      <c r="N1376" s="33">
        <f>Result_notebook!L1376</f>
        <v>0.83474576271186396</v>
      </c>
      <c r="O1376" s="31">
        <f t="shared" si="114"/>
        <v>0</v>
      </c>
      <c r="P1376" s="31">
        <f t="shared" si="115"/>
        <v>0</v>
      </c>
      <c r="Q1376">
        <f t="shared" si="116"/>
        <v>-9.3132257461547852E-10</v>
      </c>
    </row>
    <row r="1377" spans="1:17" x14ac:dyDescent="0.35">
      <c r="A1377">
        <v>2040</v>
      </c>
      <c r="B1377" t="s">
        <v>7</v>
      </c>
      <c r="C1377" t="s">
        <v>10</v>
      </c>
      <c r="D1377" t="s">
        <v>16</v>
      </c>
      <c r="E1377" t="s">
        <v>483</v>
      </c>
      <c r="F1377" t="s">
        <v>80</v>
      </c>
      <c r="G1377" s="31">
        <v>1514395.2601676511</v>
      </c>
      <c r="H1377" s="31">
        <v>0</v>
      </c>
      <c r="I1377" s="31">
        <v>0</v>
      </c>
      <c r="J1377" s="32">
        <f t="shared" si="112"/>
        <v>0</v>
      </c>
      <c r="K1377" s="31">
        <v>1824572.6026116279</v>
      </c>
      <c r="L1377" s="31">
        <v>1514395.2601676511</v>
      </c>
      <c r="M1377" s="32">
        <f t="shared" si="113"/>
        <v>1514395.2601676511</v>
      </c>
      <c r="N1377" s="33">
        <f>Result_notebook!L1377</f>
        <v>0.83474576271186396</v>
      </c>
      <c r="O1377" s="31">
        <f t="shared" si="114"/>
        <v>0</v>
      </c>
      <c r="P1377" s="31">
        <f t="shared" si="115"/>
        <v>0</v>
      </c>
      <c r="Q1377">
        <f t="shared" si="116"/>
        <v>0</v>
      </c>
    </row>
    <row r="1378" spans="1:17" x14ac:dyDescent="0.35">
      <c r="A1378">
        <v>2040</v>
      </c>
      <c r="B1378" t="s">
        <v>7</v>
      </c>
      <c r="C1378" t="s">
        <v>10</v>
      </c>
      <c r="D1378" t="s">
        <v>16</v>
      </c>
      <c r="E1378" t="s">
        <v>483</v>
      </c>
      <c r="F1378" t="s">
        <v>81</v>
      </c>
      <c r="G1378" s="31">
        <v>1514395.2601676511</v>
      </c>
      <c r="H1378" s="31">
        <v>183019</v>
      </c>
      <c r="I1378" s="31">
        <v>96196.376374307525</v>
      </c>
      <c r="J1378" s="32">
        <f t="shared" si="112"/>
        <v>56577.958371455112</v>
      </c>
      <c r="K1378" s="31">
        <v>1641553.6026116279</v>
      </c>
      <c r="L1378" s="31">
        <v>1418198.883793344</v>
      </c>
      <c r="M1378" s="32">
        <f t="shared" si="113"/>
        <v>1361620.9254218889</v>
      </c>
      <c r="N1378" s="33">
        <f>Result_notebook!L1378</f>
        <v>0.83474576271186396</v>
      </c>
      <c r="O1378" s="31">
        <f t="shared" si="114"/>
        <v>0</v>
      </c>
      <c r="P1378" s="31">
        <f t="shared" si="115"/>
        <v>0</v>
      </c>
      <c r="Q1378">
        <f t="shared" si="116"/>
        <v>56577.958371455112</v>
      </c>
    </row>
    <row r="1379" spans="1:17" x14ac:dyDescent="0.35">
      <c r="A1379">
        <v>2040</v>
      </c>
      <c r="B1379" t="s">
        <v>7</v>
      </c>
      <c r="C1379" t="s">
        <v>10</v>
      </c>
      <c r="D1379" t="s">
        <v>18</v>
      </c>
      <c r="E1379" t="s">
        <v>483</v>
      </c>
      <c r="F1379" t="s">
        <v>85</v>
      </c>
      <c r="G1379" s="31">
        <v>1514395.2601676511</v>
      </c>
      <c r="H1379" s="31">
        <v>1130208.8349072579</v>
      </c>
      <c r="I1379" s="31">
        <v>594047.58229640755</v>
      </c>
      <c r="J1379" s="32">
        <f t="shared" si="112"/>
        <v>349389.45362193859</v>
      </c>
      <c r="K1379" s="31">
        <v>694363.7677043695</v>
      </c>
      <c r="L1379" s="31">
        <v>920347.67787124356</v>
      </c>
      <c r="M1379" s="32">
        <f t="shared" si="113"/>
        <v>570958.22424930497</v>
      </c>
      <c r="N1379" s="33">
        <f>Result_notebook!L1379</f>
        <v>0.83474576271186396</v>
      </c>
      <c r="O1379" s="31">
        <f t="shared" si="114"/>
        <v>0</v>
      </c>
      <c r="P1379" s="31">
        <f t="shared" si="115"/>
        <v>0</v>
      </c>
      <c r="Q1379">
        <f t="shared" si="116"/>
        <v>349389.45362193859</v>
      </c>
    </row>
    <row r="1380" spans="1:17" x14ac:dyDescent="0.35">
      <c r="A1380">
        <v>2040</v>
      </c>
      <c r="B1380" t="s">
        <v>7</v>
      </c>
      <c r="C1380" t="s">
        <v>10</v>
      </c>
      <c r="D1380" t="s">
        <v>18</v>
      </c>
      <c r="E1380" t="s">
        <v>483</v>
      </c>
      <c r="F1380" t="s">
        <v>86</v>
      </c>
      <c r="G1380" s="31">
        <v>1514395.2601676511</v>
      </c>
      <c r="H1380" s="31">
        <v>1130208.8349072579</v>
      </c>
      <c r="I1380" s="31">
        <v>594047.58229640755</v>
      </c>
      <c r="J1380" s="32">
        <f t="shared" si="112"/>
        <v>349389.45362193859</v>
      </c>
      <c r="K1380" s="31">
        <v>694363.7677043695</v>
      </c>
      <c r="L1380" s="31">
        <v>920347.67787124356</v>
      </c>
      <c r="M1380" s="32">
        <f t="shared" si="113"/>
        <v>570958.22424930497</v>
      </c>
      <c r="N1380" s="33">
        <f>Result_notebook!L1380</f>
        <v>0.83474576271186396</v>
      </c>
      <c r="O1380" s="31">
        <f t="shared" si="114"/>
        <v>0</v>
      </c>
      <c r="P1380" s="31">
        <f t="shared" si="115"/>
        <v>0</v>
      </c>
      <c r="Q1380">
        <f t="shared" si="116"/>
        <v>349389.45362193859</v>
      </c>
    </row>
    <row r="1381" spans="1:17" x14ac:dyDescent="0.35">
      <c r="A1381">
        <v>2040</v>
      </c>
      <c r="B1381" t="s">
        <v>7</v>
      </c>
      <c r="C1381" t="s">
        <v>10</v>
      </c>
      <c r="D1381" t="s">
        <v>18</v>
      </c>
      <c r="E1381" t="s">
        <v>490</v>
      </c>
      <c r="F1381" t="s">
        <v>82</v>
      </c>
      <c r="G1381" s="31">
        <v>1514395.2601676511</v>
      </c>
      <c r="H1381" s="31">
        <v>1130208.8349072579</v>
      </c>
      <c r="I1381" s="31">
        <v>943437.03591834707</v>
      </c>
      <c r="J1381" s="32">
        <f t="shared" si="112"/>
        <v>-9.3132257461547852E-10</v>
      </c>
      <c r="K1381" s="31">
        <v>694363.7677043695</v>
      </c>
      <c r="L1381" s="31">
        <v>570958.22424930404</v>
      </c>
      <c r="M1381" s="32">
        <f t="shared" si="113"/>
        <v>570958.22424930497</v>
      </c>
      <c r="N1381" s="33">
        <f>Result_notebook!L1381</f>
        <v>0.83474576271186396</v>
      </c>
      <c r="O1381" s="31">
        <f t="shared" si="114"/>
        <v>0</v>
      </c>
      <c r="P1381" s="31">
        <f t="shared" si="115"/>
        <v>0</v>
      </c>
      <c r="Q1381">
        <f t="shared" si="116"/>
        <v>-9.3132257461547852E-10</v>
      </c>
    </row>
    <row r="1382" spans="1:17" x14ac:dyDescent="0.35">
      <c r="A1382">
        <v>2040</v>
      </c>
      <c r="B1382" t="s">
        <v>11</v>
      </c>
      <c r="C1382" t="s">
        <v>4</v>
      </c>
      <c r="D1382" t="s">
        <v>16</v>
      </c>
      <c r="E1382" t="s">
        <v>483</v>
      </c>
      <c r="F1382" t="s">
        <v>80</v>
      </c>
      <c r="G1382" s="31">
        <v>7369.5086049161637</v>
      </c>
      <c r="H1382" s="31">
        <v>0</v>
      </c>
      <c r="I1382" s="31">
        <v>0</v>
      </c>
      <c r="J1382" s="32">
        <f t="shared" si="112"/>
        <v>0</v>
      </c>
      <c r="K1382" s="31">
        <v>12282.514341526939</v>
      </c>
      <c r="L1382" s="31">
        <v>7369.5086049161637</v>
      </c>
      <c r="M1382" s="32">
        <f t="shared" si="113"/>
        <v>7369.5086049161637</v>
      </c>
      <c r="N1382" s="33">
        <f>Result_notebook!L1382</f>
        <v>1</v>
      </c>
      <c r="O1382" s="31">
        <f t="shared" si="114"/>
        <v>0</v>
      </c>
      <c r="P1382" s="31">
        <f t="shared" si="115"/>
        <v>0</v>
      </c>
      <c r="Q1382">
        <f t="shared" si="116"/>
        <v>0</v>
      </c>
    </row>
    <row r="1383" spans="1:17" x14ac:dyDescent="0.35">
      <c r="A1383">
        <v>2040</v>
      </c>
      <c r="B1383" t="s">
        <v>11</v>
      </c>
      <c r="C1383" t="s">
        <v>4</v>
      </c>
      <c r="D1383" t="s">
        <v>16</v>
      </c>
      <c r="E1383" t="s">
        <v>483</v>
      </c>
      <c r="F1383" t="s">
        <v>81</v>
      </c>
      <c r="G1383" s="31">
        <v>7369.5086049161637</v>
      </c>
      <c r="H1383" s="31">
        <v>0</v>
      </c>
      <c r="I1383" s="31">
        <v>0</v>
      </c>
      <c r="J1383" s="32">
        <f t="shared" si="112"/>
        <v>0</v>
      </c>
      <c r="K1383" s="31">
        <v>12282.514341526939</v>
      </c>
      <c r="L1383" s="31">
        <v>7369.5086049161637</v>
      </c>
      <c r="M1383" s="32">
        <f t="shared" si="113"/>
        <v>7369.5086049161637</v>
      </c>
      <c r="N1383" s="33">
        <f>Result_notebook!L1383</f>
        <v>1</v>
      </c>
      <c r="O1383" s="31">
        <f t="shared" si="114"/>
        <v>0</v>
      </c>
      <c r="P1383" s="31">
        <f t="shared" si="115"/>
        <v>0</v>
      </c>
      <c r="Q1383">
        <f t="shared" si="116"/>
        <v>0</v>
      </c>
    </row>
    <row r="1384" spans="1:17" x14ac:dyDescent="0.35">
      <c r="A1384">
        <v>2040</v>
      </c>
      <c r="B1384" t="s">
        <v>11</v>
      </c>
      <c r="C1384" t="s">
        <v>4</v>
      </c>
      <c r="D1384" t="s">
        <v>18</v>
      </c>
      <c r="E1384" t="s">
        <v>483</v>
      </c>
      <c r="F1384" t="s">
        <v>85</v>
      </c>
      <c r="G1384" s="31">
        <v>7369.5086049161637</v>
      </c>
      <c r="H1384" s="31">
        <v>431.78438910419823</v>
      </c>
      <c r="I1384" s="31">
        <v>258.44191825419398</v>
      </c>
      <c r="J1384" s="32">
        <f t="shared" si="112"/>
        <v>173.34247085000425</v>
      </c>
      <c r="K1384" s="31">
        <v>11850.72995242274</v>
      </c>
      <c r="L1384" s="31">
        <v>7111.0666866619686</v>
      </c>
      <c r="M1384" s="32">
        <f t="shared" si="113"/>
        <v>6937.7242158119643</v>
      </c>
      <c r="N1384" s="33">
        <f>Result_notebook!L1384</f>
        <v>1</v>
      </c>
      <c r="O1384" s="31">
        <f t="shared" si="114"/>
        <v>0</v>
      </c>
      <c r="P1384" s="31">
        <f t="shared" si="115"/>
        <v>0</v>
      </c>
      <c r="Q1384">
        <f t="shared" si="116"/>
        <v>173.34247085000425</v>
      </c>
    </row>
    <row r="1385" spans="1:17" x14ac:dyDescent="0.35">
      <c r="A1385">
        <v>2040</v>
      </c>
      <c r="B1385" t="s">
        <v>11</v>
      </c>
      <c r="C1385" t="s">
        <v>4</v>
      </c>
      <c r="D1385" t="s">
        <v>18</v>
      </c>
      <c r="E1385" t="s">
        <v>483</v>
      </c>
      <c r="F1385" t="s">
        <v>86</v>
      </c>
      <c r="G1385" s="31">
        <v>7369.5086049161637</v>
      </c>
      <c r="H1385" s="31">
        <v>431.78438910419823</v>
      </c>
      <c r="I1385" s="31">
        <v>258.44191825419398</v>
      </c>
      <c r="J1385" s="32">
        <f t="shared" si="112"/>
        <v>173.34247085000425</v>
      </c>
      <c r="K1385" s="31">
        <v>11850.72995242274</v>
      </c>
      <c r="L1385" s="31">
        <v>7111.0666866619686</v>
      </c>
      <c r="M1385" s="32">
        <f t="shared" si="113"/>
        <v>6937.7242158119643</v>
      </c>
      <c r="N1385" s="33">
        <f>Result_notebook!L1385</f>
        <v>1</v>
      </c>
      <c r="O1385" s="31">
        <f t="shared" si="114"/>
        <v>0</v>
      </c>
      <c r="P1385" s="31">
        <f t="shared" si="115"/>
        <v>0</v>
      </c>
      <c r="Q1385">
        <f t="shared" si="116"/>
        <v>173.34247085000425</v>
      </c>
    </row>
    <row r="1386" spans="1:17" x14ac:dyDescent="0.35">
      <c r="A1386">
        <v>2040</v>
      </c>
      <c r="B1386" t="s">
        <v>11</v>
      </c>
      <c r="C1386" t="s">
        <v>4</v>
      </c>
      <c r="D1386" t="s">
        <v>18</v>
      </c>
      <c r="E1386" t="s">
        <v>490</v>
      </c>
      <c r="F1386" t="s">
        <v>82</v>
      </c>
      <c r="G1386" s="31">
        <v>7369.5086049161637</v>
      </c>
      <c r="H1386" s="31">
        <v>431.78438910419823</v>
      </c>
      <c r="I1386" s="31">
        <v>258.44191825419398</v>
      </c>
      <c r="J1386" s="32">
        <f t="shared" si="112"/>
        <v>173.34247085000425</v>
      </c>
      <c r="K1386" s="31">
        <v>11850.72995242274</v>
      </c>
      <c r="L1386" s="31">
        <v>7111.0666866619686</v>
      </c>
      <c r="M1386" s="32">
        <f t="shared" si="113"/>
        <v>6937.7242158119643</v>
      </c>
      <c r="N1386" s="33">
        <f>Result_notebook!L1386</f>
        <v>1</v>
      </c>
      <c r="O1386" s="31">
        <f t="shared" si="114"/>
        <v>0</v>
      </c>
      <c r="P1386" s="31">
        <f t="shared" si="115"/>
        <v>0</v>
      </c>
      <c r="Q1386">
        <f t="shared" si="116"/>
        <v>173.34247085000425</v>
      </c>
    </row>
    <row r="1387" spans="1:17" x14ac:dyDescent="0.35">
      <c r="A1387">
        <v>2040</v>
      </c>
      <c r="B1387" t="s">
        <v>11</v>
      </c>
      <c r="C1387" t="s">
        <v>9</v>
      </c>
      <c r="D1387" t="s">
        <v>16</v>
      </c>
      <c r="E1387" t="s">
        <v>483</v>
      </c>
      <c r="F1387" t="s">
        <v>80</v>
      </c>
      <c r="G1387" s="31">
        <v>2445.526520040336</v>
      </c>
      <c r="H1387" s="31">
        <v>0</v>
      </c>
      <c r="I1387" s="31">
        <v>0</v>
      </c>
      <c r="J1387" s="32">
        <f t="shared" si="112"/>
        <v>0</v>
      </c>
      <c r="K1387" s="31">
        <v>4075.87753340056</v>
      </c>
      <c r="L1387" s="31">
        <v>2445.526520040336</v>
      </c>
      <c r="M1387" s="32">
        <f t="shared" si="113"/>
        <v>2445.526520040336</v>
      </c>
      <c r="N1387" s="33">
        <f>Result_notebook!L1387</f>
        <v>1</v>
      </c>
      <c r="O1387" s="31">
        <f t="shared" si="114"/>
        <v>0</v>
      </c>
      <c r="P1387" s="31">
        <f t="shared" si="115"/>
        <v>0</v>
      </c>
      <c r="Q1387">
        <f t="shared" si="116"/>
        <v>0</v>
      </c>
    </row>
    <row r="1388" spans="1:17" x14ac:dyDescent="0.35">
      <c r="A1388">
        <v>2040</v>
      </c>
      <c r="B1388" t="s">
        <v>11</v>
      </c>
      <c r="C1388" t="s">
        <v>9</v>
      </c>
      <c r="D1388" t="s">
        <v>16</v>
      </c>
      <c r="E1388" t="s">
        <v>483</v>
      </c>
      <c r="F1388" t="s">
        <v>81</v>
      </c>
      <c r="G1388" s="31">
        <v>2445.526520040336</v>
      </c>
      <c r="H1388" s="31">
        <v>0</v>
      </c>
      <c r="I1388" s="31">
        <v>0</v>
      </c>
      <c r="J1388" s="32">
        <f t="shared" si="112"/>
        <v>0</v>
      </c>
      <c r="K1388" s="31">
        <v>4075.87753340056</v>
      </c>
      <c r="L1388" s="31">
        <v>2445.526520040336</v>
      </c>
      <c r="M1388" s="32">
        <f t="shared" si="113"/>
        <v>2445.526520040336</v>
      </c>
      <c r="N1388" s="33">
        <f>Result_notebook!L1388</f>
        <v>1</v>
      </c>
      <c r="O1388" s="31">
        <f t="shared" si="114"/>
        <v>0</v>
      </c>
      <c r="P1388" s="31">
        <f t="shared" si="115"/>
        <v>0</v>
      </c>
      <c r="Q1388">
        <f t="shared" si="116"/>
        <v>0</v>
      </c>
    </row>
    <row r="1389" spans="1:17" x14ac:dyDescent="0.35">
      <c r="A1389">
        <v>2040</v>
      </c>
      <c r="B1389" t="s">
        <v>11</v>
      </c>
      <c r="C1389" t="s">
        <v>9</v>
      </c>
      <c r="D1389" t="s">
        <v>18</v>
      </c>
      <c r="E1389" t="s">
        <v>483</v>
      </c>
      <c r="F1389" t="s">
        <v>85</v>
      </c>
      <c r="G1389" s="31">
        <v>2445.526520040336</v>
      </c>
      <c r="H1389" s="31">
        <v>431.78438910419823</v>
      </c>
      <c r="I1389" s="31">
        <v>258.44191825419398</v>
      </c>
      <c r="J1389" s="32">
        <f t="shared" si="112"/>
        <v>173.34247085000425</v>
      </c>
      <c r="K1389" s="31">
        <v>3644.093144296362</v>
      </c>
      <c r="L1389" s="31">
        <v>2187.0846017861418</v>
      </c>
      <c r="M1389" s="32">
        <f t="shared" si="113"/>
        <v>2013.7421309361375</v>
      </c>
      <c r="N1389" s="33">
        <f>Result_notebook!L1389</f>
        <v>1</v>
      </c>
      <c r="O1389" s="31">
        <f t="shared" si="114"/>
        <v>0</v>
      </c>
      <c r="P1389" s="31">
        <f t="shared" si="115"/>
        <v>0</v>
      </c>
      <c r="Q1389">
        <f t="shared" si="116"/>
        <v>173.34247085000425</v>
      </c>
    </row>
    <row r="1390" spans="1:17" x14ac:dyDescent="0.35">
      <c r="A1390">
        <v>2040</v>
      </c>
      <c r="B1390" t="s">
        <v>11</v>
      </c>
      <c r="C1390" t="s">
        <v>9</v>
      </c>
      <c r="D1390" t="s">
        <v>18</v>
      </c>
      <c r="E1390" t="s">
        <v>483</v>
      </c>
      <c r="F1390" t="s">
        <v>86</v>
      </c>
      <c r="G1390" s="31">
        <v>2445.526520040336</v>
      </c>
      <c r="H1390" s="31">
        <v>431.78438910419823</v>
      </c>
      <c r="I1390" s="31">
        <v>258.44191825419398</v>
      </c>
      <c r="J1390" s="32">
        <f t="shared" si="112"/>
        <v>173.34247085000425</v>
      </c>
      <c r="K1390" s="31">
        <v>3644.093144296362</v>
      </c>
      <c r="L1390" s="31">
        <v>2187.0846017861418</v>
      </c>
      <c r="M1390" s="32">
        <f t="shared" si="113"/>
        <v>2013.7421309361375</v>
      </c>
      <c r="N1390" s="33">
        <f>Result_notebook!L1390</f>
        <v>1</v>
      </c>
      <c r="O1390" s="31">
        <f t="shared" si="114"/>
        <v>0</v>
      </c>
      <c r="P1390" s="31">
        <f t="shared" si="115"/>
        <v>0</v>
      </c>
      <c r="Q1390">
        <f t="shared" si="116"/>
        <v>173.34247085000425</v>
      </c>
    </row>
    <row r="1391" spans="1:17" x14ac:dyDescent="0.35">
      <c r="A1391">
        <v>2040</v>
      </c>
      <c r="B1391" t="s">
        <v>11</v>
      </c>
      <c r="C1391" t="s">
        <v>9</v>
      </c>
      <c r="D1391" t="s">
        <v>18</v>
      </c>
      <c r="E1391" t="s">
        <v>490</v>
      </c>
      <c r="F1391" t="s">
        <v>82</v>
      </c>
      <c r="G1391" s="31">
        <v>2445.526520040336</v>
      </c>
      <c r="H1391" s="31">
        <v>431.78438910419823</v>
      </c>
      <c r="I1391" s="31">
        <v>258.44191825419398</v>
      </c>
      <c r="J1391" s="32">
        <f t="shared" si="112"/>
        <v>173.34247085000425</v>
      </c>
      <c r="K1391" s="31">
        <v>3644.093144296362</v>
      </c>
      <c r="L1391" s="31">
        <v>2187.0846017861418</v>
      </c>
      <c r="M1391" s="32">
        <f t="shared" si="113"/>
        <v>2013.7421309361375</v>
      </c>
      <c r="N1391" s="33">
        <f>Result_notebook!L1391</f>
        <v>1</v>
      </c>
      <c r="O1391" s="31">
        <f t="shared" si="114"/>
        <v>0</v>
      </c>
      <c r="P1391" s="31">
        <f t="shared" si="115"/>
        <v>0</v>
      </c>
      <c r="Q1391">
        <f t="shared" si="116"/>
        <v>173.34247085000425</v>
      </c>
    </row>
    <row r="1392" spans="1:17" x14ac:dyDescent="0.35">
      <c r="A1392">
        <v>2040</v>
      </c>
      <c r="B1392" t="s">
        <v>11</v>
      </c>
      <c r="C1392" t="s">
        <v>10</v>
      </c>
      <c r="D1392" t="s">
        <v>16</v>
      </c>
      <c r="E1392" t="s">
        <v>483</v>
      </c>
      <c r="F1392" t="s">
        <v>80</v>
      </c>
      <c r="G1392" s="31">
        <v>7054.8876969569083</v>
      </c>
      <c r="H1392" s="31">
        <v>0</v>
      </c>
      <c r="I1392" s="31">
        <v>0</v>
      </c>
      <c r="J1392" s="32">
        <f t="shared" si="112"/>
        <v>0</v>
      </c>
      <c r="K1392" s="31">
        <v>11758.14616159485</v>
      </c>
      <c r="L1392" s="31">
        <v>7054.8876969569083</v>
      </c>
      <c r="M1392" s="32">
        <f t="shared" si="113"/>
        <v>7054.8876969569083</v>
      </c>
      <c r="N1392" s="33">
        <f>Result_notebook!L1392</f>
        <v>1</v>
      </c>
      <c r="O1392" s="31">
        <f t="shared" si="114"/>
        <v>0</v>
      </c>
      <c r="P1392" s="31">
        <f t="shared" si="115"/>
        <v>0</v>
      </c>
      <c r="Q1392">
        <f t="shared" si="116"/>
        <v>0</v>
      </c>
    </row>
    <row r="1393" spans="1:17" x14ac:dyDescent="0.35">
      <c r="A1393">
        <v>2040</v>
      </c>
      <c r="B1393" t="s">
        <v>11</v>
      </c>
      <c r="C1393" t="s">
        <v>10</v>
      </c>
      <c r="D1393" t="s">
        <v>16</v>
      </c>
      <c r="E1393" t="s">
        <v>483</v>
      </c>
      <c r="F1393" t="s">
        <v>81</v>
      </c>
      <c r="G1393" s="31">
        <v>7054.8876969569083</v>
      </c>
      <c r="H1393" s="31">
        <v>0</v>
      </c>
      <c r="I1393" s="31">
        <v>0</v>
      </c>
      <c r="J1393" s="32">
        <f t="shared" si="112"/>
        <v>0</v>
      </c>
      <c r="K1393" s="31">
        <v>11758.14616159485</v>
      </c>
      <c r="L1393" s="31">
        <v>7054.8876969569083</v>
      </c>
      <c r="M1393" s="32">
        <f t="shared" si="113"/>
        <v>7054.8876969569083</v>
      </c>
      <c r="N1393" s="33">
        <f>Result_notebook!L1393</f>
        <v>1</v>
      </c>
      <c r="O1393" s="31">
        <f t="shared" si="114"/>
        <v>0</v>
      </c>
      <c r="P1393" s="31">
        <f t="shared" si="115"/>
        <v>0</v>
      </c>
      <c r="Q1393">
        <f t="shared" si="116"/>
        <v>0</v>
      </c>
    </row>
    <row r="1394" spans="1:17" x14ac:dyDescent="0.35">
      <c r="A1394">
        <v>2040</v>
      </c>
      <c r="B1394" t="s">
        <v>11</v>
      </c>
      <c r="C1394" t="s">
        <v>10</v>
      </c>
      <c r="D1394" t="s">
        <v>18</v>
      </c>
      <c r="E1394" t="s">
        <v>483</v>
      </c>
      <c r="F1394" t="s">
        <v>85</v>
      </c>
      <c r="G1394" s="31">
        <v>7054.8876969569083</v>
      </c>
      <c r="H1394" s="31">
        <v>431.78438910419823</v>
      </c>
      <c r="I1394" s="31">
        <v>258.44191825419398</v>
      </c>
      <c r="J1394" s="32">
        <f t="shared" si="112"/>
        <v>173.34247085000425</v>
      </c>
      <c r="K1394" s="31">
        <v>11326.361772490651</v>
      </c>
      <c r="L1394" s="31">
        <v>6796.4457787027141</v>
      </c>
      <c r="M1394" s="32">
        <f t="shared" si="113"/>
        <v>6623.1033078527098</v>
      </c>
      <c r="N1394" s="33">
        <f>Result_notebook!L1394</f>
        <v>1</v>
      </c>
      <c r="O1394" s="31">
        <f t="shared" si="114"/>
        <v>0</v>
      </c>
      <c r="P1394" s="31">
        <f t="shared" si="115"/>
        <v>0</v>
      </c>
      <c r="Q1394">
        <f t="shared" si="116"/>
        <v>173.34247085000425</v>
      </c>
    </row>
    <row r="1395" spans="1:17" x14ac:dyDescent="0.35">
      <c r="A1395">
        <v>2040</v>
      </c>
      <c r="B1395" t="s">
        <v>11</v>
      </c>
      <c r="C1395" t="s">
        <v>10</v>
      </c>
      <c r="D1395" t="s">
        <v>18</v>
      </c>
      <c r="E1395" t="s">
        <v>483</v>
      </c>
      <c r="F1395" t="s">
        <v>86</v>
      </c>
      <c r="G1395" s="31">
        <v>7054.8876969569083</v>
      </c>
      <c r="H1395" s="31">
        <v>431.78438910419823</v>
      </c>
      <c r="I1395" s="31">
        <v>258.44191825419398</v>
      </c>
      <c r="J1395" s="32">
        <f t="shared" si="112"/>
        <v>173.34247085000425</v>
      </c>
      <c r="K1395" s="31">
        <v>11326.361772490651</v>
      </c>
      <c r="L1395" s="31">
        <v>6796.4457787027141</v>
      </c>
      <c r="M1395" s="32">
        <f t="shared" si="113"/>
        <v>6623.1033078527098</v>
      </c>
      <c r="N1395" s="33">
        <f>Result_notebook!L1395</f>
        <v>1</v>
      </c>
      <c r="O1395" s="31">
        <f t="shared" si="114"/>
        <v>0</v>
      </c>
      <c r="P1395" s="31">
        <f t="shared" si="115"/>
        <v>0</v>
      </c>
      <c r="Q1395">
        <f t="shared" si="116"/>
        <v>173.34247085000425</v>
      </c>
    </row>
    <row r="1396" spans="1:17" x14ac:dyDescent="0.35">
      <c r="A1396">
        <v>2040</v>
      </c>
      <c r="B1396" t="s">
        <v>11</v>
      </c>
      <c r="C1396" t="s">
        <v>10</v>
      </c>
      <c r="D1396" t="s">
        <v>18</v>
      </c>
      <c r="E1396" t="s">
        <v>490</v>
      </c>
      <c r="F1396" t="s">
        <v>82</v>
      </c>
      <c r="G1396" s="31">
        <v>7054.8876969569083</v>
      </c>
      <c r="H1396" s="31">
        <v>431.78438910419823</v>
      </c>
      <c r="I1396" s="31">
        <v>258.44191825419398</v>
      </c>
      <c r="J1396" s="32">
        <f t="shared" si="112"/>
        <v>173.34247085000425</v>
      </c>
      <c r="K1396" s="31">
        <v>11326.361772490651</v>
      </c>
      <c r="L1396" s="31">
        <v>6796.4457787027141</v>
      </c>
      <c r="M1396" s="32">
        <f t="shared" si="113"/>
        <v>6623.1033078527098</v>
      </c>
      <c r="N1396" s="33">
        <f>Result_notebook!L1396</f>
        <v>1</v>
      </c>
      <c r="O1396" s="31">
        <f t="shared" si="114"/>
        <v>0</v>
      </c>
      <c r="P1396" s="31">
        <f t="shared" si="115"/>
        <v>0</v>
      </c>
      <c r="Q1396">
        <f t="shared" si="116"/>
        <v>173.34247085000425</v>
      </c>
    </row>
    <row r="1397" spans="1:17" x14ac:dyDescent="0.35">
      <c r="A1397">
        <v>2040</v>
      </c>
      <c r="B1397" t="s">
        <v>8</v>
      </c>
      <c r="C1397" t="s">
        <v>4</v>
      </c>
      <c r="D1397" t="s">
        <v>16</v>
      </c>
      <c r="E1397" t="s">
        <v>483</v>
      </c>
      <c r="F1397" t="s">
        <v>80</v>
      </c>
      <c r="G1397" s="31">
        <v>203217.24889181441</v>
      </c>
      <c r="H1397" s="31">
        <v>0</v>
      </c>
      <c r="I1397" s="31">
        <v>0</v>
      </c>
      <c r="J1397" s="32">
        <f t="shared" si="112"/>
        <v>0</v>
      </c>
      <c r="K1397" s="31">
        <v>257237.0239136891</v>
      </c>
      <c r="L1397" s="31">
        <v>203217.24889181441</v>
      </c>
      <c r="M1397" s="32">
        <f t="shared" si="113"/>
        <v>203217.24889181441</v>
      </c>
      <c r="N1397" s="33">
        <f>Result_notebook!L1397</f>
        <v>0.69917047091553897</v>
      </c>
      <c r="O1397" s="31">
        <f t="shared" si="114"/>
        <v>0</v>
      </c>
      <c r="P1397" s="31">
        <f t="shared" si="115"/>
        <v>0</v>
      </c>
      <c r="Q1397">
        <f t="shared" si="116"/>
        <v>0</v>
      </c>
    </row>
    <row r="1398" spans="1:17" x14ac:dyDescent="0.35">
      <c r="A1398">
        <v>2040</v>
      </c>
      <c r="B1398" t="s">
        <v>8</v>
      </c>
      <c r="C1398" t="s">
        <v>4</v>
      </c>
      <c r="D1398" t="s">
        <v>16</v>
      </c>
      <c r="E1398" t="s">
        <v>483</v>
      </c>
      <c r="F1398" t="s">
        <v>81</v>
      </c>
      <c r="G1398" s="31">
        <v>203217.24889181441</v>
      </c>
      <c r="H1398" s="31">
        <v>37000</v>
      </c>
      <c r="I1398" s="31">
        <v>20752.561586838339</v>
      </c>
      <c r="J1398" s="32">
        <f t="shared" si="112"/>
        <v>5116.7458370366039</v>
      </c>
      <c r="K1398" s="31">
        <v>220237.0239136891</v>
      </c>
      <c r="L1398" s="31">
        <v>182464.68730497611</v>
      </c>
      <c r="M1398" s="32">
        <f t="shared" si="113"/>
        <v>177347.9414679395</v>
      </c>
      <c r="N1398" s="33">
        <f>Result_notebook!L1398</f>
        <v>0.69917047091553897</v>
      </c>
      <c r="O1398" s="31">
        <f t="shared" si="114"/>
        <v>0</v>
      </c>
      <c r="P1398" s="31">
        <f t="shared" si="115"/>
        <v>0</v>
      </c>
      <c r="Q1398">
        <f t="shared" si="116"/>
        <v>5116.7458370366039</v>
      </c>
    </row>
    <row r="1399" spans="1:17" x14ac:dyDescent="0.35">
      <c r="A1399">
        <v>2040</v>
      </c>
      <c r="B1399" t="s">
        <v>8</v>
      </c>
      <c r="C1399" t="s">
        <v>4</v>
      </c>
      <c r="D1399" t="s">
        <v>18</v>
      </c>
      <c r="E1399" t="s">
        <v>483</v>
      </c>
      <c r="F1399" t="s">
        <v>85</v>
      </c>
      <c r="G1399" s="31">
        <v>203217.24889181441</v>
      </c>
      <c r="H1399" s="31">
        <v>282129.47885281307</v>
      </c>
      <c r="I1399" s="31">
        <v>158240.7941988002</v>
      </c>
      <c r="J1399" s="32">
        <f t="shared" si="112"/>
        <v>39015.8063898767</v>
      </c>
      <c r="K1399" s="31">
        <v>0</v>
      </c>
      <c r="L1399" s="31">
        <v>44976.454693014181</v>
      </c>
      <c r="M1399" s="32">
        <f t="shared" si="113"/>
        <v>5960.648303137481</v>
      </c>
      <c r="N1399" s="33">
        <f>Result_notebook!L1399</f>
        <v>0.69917047091553897</v>
      </c>
      <c r="O1399" s="31">
        <f t="shared" si="114"/>
        <v>0</v>
      </c>
      <c r="P1399" s="31">
        <f t="shared" si="115"/>
        <v>0</v>
      </c>
      <c r="Q1399">
        <f t="shared" si="116"/>
        <v>39015.8063898767</v>
      </c>
    </row>
    <row r="1400" spans="1:17" x14ac:dyDescent="0.35">
      <c r="A1400">
        <v>2040</v>
      </c>
      <c r="B1400" t="s">
        <v>8</v>
      </c>
      <c r="C1400" t="s">
        <v>4</v>
      </c>
      <c r="D1400" t="s">
        <v>18</v>
      </c>
      <c r="E1400" t="s">
        <v>483</v>
      </c>
      <c r="F1400" t="s">
        <v>86</v>
      </c>
      <c r="G1400" s="31">
        <v>203217.24889181441</v>
      </c>
      <c r="H1400" s="31">
        <v>282129.47885281307</v>
      </c>
      <c r="I1400" s="31">
        <v>158240.7941988002</v>
      </c>
      <c r="J1400" s="32">
        <f t="shared" si="112"/>
        <v>39015.8063898767</v>
      </c>
      <c r="K1400" s="31">
        <v>0</v>
      </c>
      <c r="L1400" s="31">
        <v>44976.454693014181</v>
      </c>
      <c r="M1400" s="32">
        <f t="shared" si="113"/>
        <v>5960.648303137481</v>
      </c>
      <c r="N1400" s="33">
        <f>Result_notebook!L1400</f>
        <v>0.69917047091553897</v>
      </c>
      <c r="O1400" s="31">
        <f t="shared" si="114"/>
        <v>0</v>
      </c>
      <c r="P1400" s="31">
        <f t="shared" si="115"/>
        <v>0</v>
      </c>
      <c r="Q1400">
        <f t="shared" si="116"/>
        <v>39015.8063898767</v>
      </c>
    </row>
    <row r="1401" spans="1:17" x14ac:dyDescent="0.35">
      <c r="A1401">
        <v>2040</v>
      </c>
      <c r="B1401" t="s">
        <v>8</v>
      </c>
      <c r="C1401" t="s">
        <v>4</v>
      </c>
      <c r="D1401" t="s">
        <v>18</v>
      </c>
      <c r="E1401" t="s">
        <v>490</v>
      </c>
      <c r="F1401" t="s">
        <v>82</v>
      </c>
      <c r="G1401" s="31">
        <v>203217.24889181441</v>
      </c>
      <c r="H1401" s="31">
        <v>282129.47885281307</v>
      </c>
      <c r="I1401" s="31">
        <v>222192.4808312853</v>
      </c>
      <c r="J1401" s="32">
        <f t="shared" si="112"/>
        <v>-24935.8802426084</v>
      </c>
      <c r="K1401" s="31">
        <v>0</v>
      </c>
      <c r="L1401" s="31">
        <v>0</v>
      </c>
      <c r="M1401" s="32">
        <f t="shared" si="113"/>
        <v>24935.8802426084</v>
      </c>
      <c r="N1401" s="33">
        <f>Result_notebook!L1401</f>
        <v>0.69917047091553897</v>
      </c>
      <c r="O1401" s="31">
        <f t="shared" si="114"/>
        <v>-18975.23193947089</v>
      </c>
      <c r="P1401" s="31">
        <f t="shared" si="115"/>
        <v>18975.23193947089</v>
      </c>
      <c r="Q1401">
        <f t="shared" si="116"/>
        <v>-24935.8802426084</v>
      </c>
    </row>
    <row r="1402" spans="1:17" x14ac:dyDescent="0.35">
      <c r="A1402">
        <v>2040</v>
      </c>
      <c r="B1402" t="s">
        <v>8</v>
      </c>
      <c r="C1402" t="s">
        <v>9</v>
      </c>
      <c r="D1402" t="s">
        <v>16</v>
      </c>
      <c r="E1402" t="s">
        <v>483</v>
      </c>
      <c r="F1402" t="s">
        <v>80</v>
      </c>
      <c r="G1402" s="31">
        <v>79345.878987390839</v>
      </c>
      <c r="H1402" s="31">
        <v>0</v>
      </c>
      <c r="I1402" s="31">
        <v>0</v>
      </c>
      <c r="J1402" s="32">
        <f t="shared" si="112"/>
        <v>0</v>
      </c>
      <c r="K1402" s="31">
        <v>100437.8215030264</v>
      </c>
      <c r="L1402" s="31">
        <v>79345.878987390839</v>
      </c>
      <c r="M1402" s="32">
        <f t="shared" si="113"/>
        <v>79345.878987390839</v>
      </c>
      <c r="N1402" s="33">
        <f>Result_notebook!L1402</f>
        <v>0.69917047091553897</v>
      </c>
      <c r="O1402" s="31">
        <f t="shared" si="114"/>
        <v>0</v>
      </c>
      <c r="P1402" s="31">
        <f t="shared" si="115"/>
        <v>0</v>
      </c>
      <c r="Q1402">
        <f t="shared" si="116"/>
        <v>0</v>
      </c>
    </row>
    <row r="1403" spans="1:17" x14ac:dyDescent="0.35">
      <c r="A1403">
        <v>2040</v>
      </c>
      <c r="B1403" t="s">
        <v>8</v>
      </c>
      <c r="C1403" t="s">
        <v>9</v>
      </c>
      <c r="D1403" t="s">
        <v>16</v>
      </c>
      <c r="E1403" t="s">
        <v>483</v>
      </c>
      <c r="F1403" t="s">
        <v>81</v>
      </c>
      <c r="G1403" s="31">
        <v>79345.878987390839</v>
      </c>
      <c r="H1403" s="31">
        <v>37000</v>
      </c>
      <c r="I1403" s="31">
        <v>20752.561586838339</v>
      </c>
      <c r="J1403" s="32">
        <f t="shared" si="112"/>
        <v>5116.7458370366039</v>
      </c>
      <c r="K1403" s="31">
        <v>63437.821503026367</v>
      </c>
      <c r="L1403" s="31">
        <v>58593.3174005525</v>
      </c>
      <c r="M1403" s="32">
        <f t="shared" si="113"/>
        <v>53476.571563515899</v>
      </c>
      <c r="N1403" s="33">
        <f>Result_notebook!L1403</f>
        <v>0.69917047091553897</v>
      </c>
      <c r="O1403" s="31">
        <f t="shared" si="114"/>
        <v>0</v>
      </c>
      <c r="P1403" s="31">
        <f t="shared" si="115"/>
        <v>0</v>
      </c>
      <c r="Q1403">
        <f t="shared" si="116"/>
        <v>5116.7458370366039</v>
      </c>
    </row>
    <row r="1404" spans="1:17" x14ac:dyDescent="0.35">
      <c r="A1404">
        <v>2040</v>
      </c>
      <c r="B1404" t="s">
        <v>8</v>
      </c>
      <c r="C1404" t="s">
        <v>9</v>
      </c>
      <c r="D1404" t="s">
        <v>18</v>
      </c>
      <c r="E1404" t="s">
        <v>483</v>
      </c>
      <c r="F1404" t="s">
        <v>85</v>
      </c>
      <c r="G1404" s="31">
        <v>79345.878987390839</v>
      </c>
      <c r="H1404" s="31">
        <v>282129.47885281307</v>
      </c>
      <c r="I1404" s="31">
        <v>158240.7941988002</v>
      </c>
      <c r="J1404" s="32">
        <f t="shared" si="112"/>
        <v>39015.8063898767</v>
      </c>
      <c r="K1404" s="31">
        <v>0</v>
      </c>
      <c r="L1404" s="31">
        <v>0</v>
      </c>
      <c r="M1404" s="32">
        <f t="shared" si="113"/>
        <v>0</v>
      </c>
      <c r="N1404" s="33">
        <f>Result_notebook!L1404</f>
        <v>0.69917047091553897</v>
      </c>
      <c r="O1404" s="31">
        <f t="shared" si="114"/>
        <v>-117910.72160128606</v>
      </c>
      <c r="P1404" s="31">
        <f t="shared" si="115"/>
        <v>78894.915211409359</v>
      </c>
      <c r="Q1404">
        <f t="shared" si="116"/>
        <v>39015.8063898767</v>
      </c>
    </row>
    <row r="1405" spans="1:17" x14ac:dyDescent="0.35">
      <c r="A1405">
        <v>2040</v>
      </c>
      <c r="B1405" t="s">
        <v>8</v>
      </c>
      <c r="C1405" t="s">
        <v>9</v>
      </c>
      <c r="D1405" t="s">
        <v>18</v>
      </c>
      <c r="E1405" t="s">
        <v>483</v>
      </c>
      <c r="F1405" t="s">
        <v>86</v>
      </c>
      <c r="G1405" s="31">
        <v>79345.878987390839</v>
      </c>
      <c r="H1405" s="31">
        <v>282129.47885281307</v>
      </c>
      <c r="I1405" s="31">
        <v>158240.7941988002</v>
      </c>
      <c r="J1405" s="32">
        <f t="shared" si="112"/>
        <v>39015.8063898767</v>
      </c>
      <c r="K1405" s="31">
        <v>0</v>
      </c>
      <c r="L1405" s="31">
        <v>0</v>
      </c>
      <c r="M1405" s="32">
        <f t="shared" si="113"/>
        <v>0</v>
      </c>
      <c r="N1405" s="33">
        <f>Result_notebook!L1405</f>
        <v>0.69917047091553897</v>
      </c>
      <c r="O1405" s="31">
        <f t="shared" si="114"/>
        <v>-117910.72160128606</v>
      </c>
      <c r="P1405" s="31">
        <f t="shared" si="115"/>
        <v>78894.915211409359</v>
      </c>
      <c r="Q1405">
        <f t="shared" si="116"/>
        <v>39015.8063898767</v>
      </c>
    </row>
    <row r="1406" spans="1:17" x14ac:dyDescent="0.35">
      <c r="A1406">
        <v>2040</v>
      </c>
      <c r="B1406" t="s">
        <v>8</v>
      </c>
      <c r="C1406" t="s">
        <v>9</v>
      </c>
      <c r="D1406" t="s">
        <v>18</v>
      </c>
      <c r="E1406" t="s">
        <v>490</v>
      </c>
      <c r="F1406" t="s">
        <v>82</v>
      </c>
      <c r="G1406" s="31">
        <v>79345.878987390839</v>
      </c>
      <c r="H1406" s="31">
        <v>282129.47885281307</v>
      </c>
      <c r="I1406" s="31">
        <v>222192.4808312853</v>
      </c>
      <c r="J1406" s="32">
        <f t="shared" si="112"/>
        <v>-24935.8802426084</v>
      </c>
      <c r="K1406" s="31">
        <v>0</v>
      </c>
      <c r="L1406" s="31">
        <v>0</v>
      </c>
      <c r="M1406" s="32">
        <f t="shared" si="113"/>
        <v>24935.8802426084</v>
      </c>
      <c r="N1406" s="33">
        <f>Result_notebook!L1406</f>
        <v>0.69917047091553897</v>
      </c>
      <c r="O1406" s="31">
        <f t="shared" si="114"/>
        <v>-142846.60184389446</v>
      </c>
      <c r="P1406" s="31">
        <f t="shared" si="115"/>
        <v>142846.60184389446</v>
      </c>
      <c r="Q1406">
        <f t="shared" si="116"/>
        <v>-24935.8802426084</v>
      </c>
    </row>
    <row r="1407" spans="1:17" x14ac:dyDescent="0.35">
      <c r="A1407">
        <v>2040</v>
      </c>
      <c r="B1407" t="s">
        <v>8</v>
      </c>
      <c r="C1407" t="s">
        <v>10</v>
      </c>
      <c r="D1407" t="s">
        <v>16</v>
      </c>
      <c r="E1407" t="s">
        <v>483</v>
      </c>
      <c r="F1407" t="s">
        <v>80</v>
      </c>
      <c r="G1407" s="31">
        <v>194473.94809899441</v>
      </c>
      <c r="H1407" s="31">
        <v>0</v>
      </c>
      <c r="I1407" s="31">
        <v>0</v>
      </c>
      <c r="J1407" s="32">
        <f t="shared" si="112"/>
        <v>0</v>
      </c>
      <c r="K1407" s="31">
        <v>246169.5545556891</v>
      </c>
      <c r="L1407" s="31">
        <v>194473.94809899441</v>
      </c>
      <c r="M1407" s="32">
        <f t="shared" si="113"/>
        <v>194473.94809899441</v>
      </c>
      <c r="N1407" s="33">
        <f>Result_notebook!L1407</f>
        <v>0.69917047091553897</v>
      </c>
      <c r="O1407" s="31">
        <f t="shared" si="114"/>
        <v>0</v>
      </c>
      <c r="P1407" s="31">
        <f t="shared" si="115"/>
        <v>0</v>
      </c>
      <c r="Q1407">
        <f t="shared" si="116"/>
        <v>0</v>
      </c>
    </row>
    <row r="1408" spans="1:17" x14ac:dyDescent="0.35">
      <c r="A1408">
        <v>2040</v>
      </c>
      <c r="B1408" t="s">
        <v>8</v>
      </c>
      <c r="C1408" t="s">
        <v>10</v>
      </c>
      <c r="D1408" t="s">
        <v>16</v>
      </c>
      <c r="E1408" t="s">
        <v>483</v>
      </c>
      <c r="F1408" t="s">
        <v>81</v>
      </c>
      <c r="G1408" s="31">
        <v>194473.94809899441</v>
      </c>
      <c r="H1408" s="31">
        <v>37000</v>
      </c>
      <c r="I1408" s="31">
        <v>20752.561586838339</v>
      </c>
      <c r="J1408" s="32">
        <f t="shared" si="112"/>
        <v>5116.7458370366039</v>
      </c>
      <c r="K1408" s="31">
        <v>209169.5545556891</v>
      </c>
      <c r="L1408" s="31">
        <v>173721.38651215611</v>
      </c>
      <c r="M1408" s="32">
        <f t="shared" si="113"/>
        <v>168604.6406751195</v>
      </c>
      <c r="N1408" s="33">
        <f>Result_notebook!L1408</f>
        <v>0.69917047091553897</v>
      </c>
      <c r="O1408" s="31">
        <f t="shared" si="114"/>
        <v>0</v>
      </c>
      <c r="P1408" s="31">
        <f t="shared" si="115"/>
        <v>0</v>
      </c>
      <c r="Q1408">
        <f t="shared" si="116"/>
        <v>5116.7458370366039</v>
      </c>
    </row>
    <row r="1409" spans="1:17" x14ac:dyDescent="0.35">
      <c r="A1409">
        <v>2040</v>
      </c>
      <c r="B1409" t="s">
        <v>8</v>
      </c>
      <c r="C1409" t="s">
        <v>10</v>
      </c>
      <c r="D1409" t="s">
        <v>18</v>
      </c>
      <c r="E1409" t="s">
        <v>483</v>
      </c>
      <c r="F1409" t="s">
        <v>85</v>
      </c>
      <c r="G1409" s="31">
        <v>194473.94809899441</v>
      </c>
      <c r="H1409" s="31">
        <v>282129.47885281307</v>
      </c>
      <c r="I1409" s="31">
        <v>158240.7941988002</v>
      </c>
      <c r="J1409" s="32">
        <f t="shared" si="112"/>
        <v>39015.8063898767</v>
      </c>
      <c r="K1409" s="31">
        <v>0</v>
      </c>
      <c r="L1409" s="31">
        <v>36233.153900194193</v>
      </c>
      <c r="M1409" s="32">
        <f t="shared" si="113"/>
        <v>0</v>
      </c>
      <c r="N1409" s="33">
        <f>Result_notebook!L1409</f>
        <v>0.69917047091553897</v>
      </c>
      <c r="O1409" s="31">
        <f t="shared" si="114"/>
        <v>-2782.6524896824849</v>
      </c>
      <c r="P1409" s="31">
        <f t="shared" si="115"/>
        <v>0</v>
      </c>
      <c r="Q1409">
        <f t="shared" si="116"/>
        <v>39015.8063898767</v>
      </c>
    </row>
    <row r="1410" spans="1:17" x14ac:dyDescent="0.35">
      <c r="A1410">
        <v>2040</v>
      </c>
      <c r="B1410" t="s">
        <v>8</v>
      </c>
      <c r="C1410" t="s">
        <v>10</v>
      </c>
      <c r="D1410" t="s">
        <v>18</v>
      </c>
      <c r="E1410" t="s">
        <v>483</v>
      </c>
      <c r="F1410" t="s">
        <v>86</v>
      </c>
      <c r="G1410" s="31">
        <v>194473.94809899441</v>
      </c>
      <c r="H1410" s="31">
        <v>282129.47885281307</v>
      </c>
      <c r="I1410" s="31">
        <v>158240.7941988002</v>
      </c>
      <c r="J1410" s="32">
        <f t="shared" si="112"/>
        <v>39015.8063898767</v>
      </c>
      <c r="K1410" s="31">
        <v>0</v>
      </c>
      <c r="L1410" s="31">
        <v>36233.153900194193</v>
      </c>
      <c r="M1410" s="32">
        <f t="shared" si="113"/>
        <v>0</v>
      </c>
      <c r="N1410" s="33">
        <f>Result_notebook!L1410</f>
        <v>0.69917047091553897</v>
      </c>
      <c r="O1410" s="31">
        <f t="shared" si="114"/>
        <v>-2782.6524896824849</v>
      </c>
      <c r="P1410" s="31">
        <f t="shared" si="115"/>
        <v>0</v>
      </c>
      <c r="Q1410">
        <f t="shared" si="116"/>
        <v>39015.8063898767</v>
      </c>
    </row>
    <row r="1411" spans="1:17" x14ac:dyDescent="0.35">
      <c r="A1411">
        <v>2040</v>
      </c>
      <c r="B1411" t="s">
        <v>8</v>
      </c>
      <c r="C1411" t="s">
        <v>10</v>
      </c>
      <c r="D1411" t="s">
        <v>18</v>
      </c>
      <c r="E1411" t="s">
        <v>490</v>
      </c>
      <c r="F1411" t="s">
        <v>82</v>
      </c>
      <c r="G1411" s="31">
        <v>194473.94809899441</v>
      </c>
      <c r="H1411" s="31">
        <v>282129.47885281307</v>
      </c>
      <c r="I1411" s="31">
        <v>222192.4808312853</v>
      </c>
      <c r="J1411" s="32">
        <f t="shared" ref="J1411:J1441" si="117">H1411*N1411-I1411</f>
        <v>-24935.8802426084</v>
      </c>
      <c r="K1411" s="31">
        <v>0</v>
      </c>
      <c r="L1411" s="31">
        <v>0</v>
      </c>
      <c r="M1411" s="32">
        <f t="shared" ref="M1411:M1441" si="118">MAX(L1411-J1411,0)</f>
        <v>24935.8802426084</v>
      </c>
      <c r="N1411" s="33">
        <f>Result_notebook!L1411</f>
        <v>0.69917047091553897</v>
      </c>
      <c r="O1411" s="31">
        <f t="shared" ref="O1411:O1441" si="119">G1411-(I1411+J1411+M1411)</f>
        <v>-27718.532732290885</v>
      </c>
      <c r="P1411" s="31">
        <f t="shared" ref="P1411" si="120">MAX(I1411-G1411,0)</f>
        <v>27718.532732290885</v>
      </c>
      <c r="Q1411">
        <f t="shared" ref="Q1411:Q1441" si="121">(H1411*N1411)-I1411</f>
        <v>-24935.8802426084</v>
      </c>
    </row>
    <row r="1412" spans="1:17" x14ac:dyDescent="0.35">
      <c r="A1412">
        <v>2040</v>
      </c>
      <c r="B1412" t="s">
        <v>13</v>
      </c>
      <c r="C1412" t="s">
        <v>4</v>
      </c>
      <c r="D1412" t="s">
        <v>16</v>
      </c>
      <c r="E1412" t="s">
        <v>483</v>
      </c>
      <c r="F1412" t="s">
        <v>80</v>
      </c>
      <c r="G1412" s="31">
        <v>3008.0333095996998</v>
      </c>
      <c r="H1412" s="31">
        <v>0</v>
      </c>
      <c r="I1412" s="31">
        <v>0</v>
      </c>
      <c r="J1412" s="32">
        <f t="shared" si="117"/>
        <v>0</v>
      </c>
      <c r="K1412" s="31">
        <v>3008.0333095996998</v>
      </c>
      <c r="L1412" s="31">
        <v>3008.0333095996998</v>
      </c>
      <c r="M1412" s="32">
        <f t="shared" si="118"/>
        <v>3008.0333095996998</v>
      </c>
      <c r="N1412" s="33">
        <f>Result_notebook!L1412</f>
        <v>0.59854391398996798</v>
      </c>
      <c r="O1412" s="31">
        <f t="shared" si="119"/>
        <v>0</v>
      </c>
      <c r="P1412" s="31">
        <f t="shared" ref="P1412:P1441" si="122">MAX(I1412-G1412,0)</f>
        <v>0</v>
      </c>
      <c r="Q1412">
        <f t="shared" si="121"/>
        <v>0</v>
      </c>
    </row>
    <row r="1413" spans="1:17" x14ac:dyDescent="0.35">
      <c r="A1413">
        <v>2040</v>
      </c>
      <c r="B1413" t="s">
        <v>13</v>
      </c>
      <c r="C1413" t="s">
        <v>4</v>
      </c>
      <c r="D1413" t="s">
        <v>16</v>
      </c>
      <c r="E1413" t="s">
        <v>483</v>
      </c>
      <c r="F1413" t="s">
        <v>81</v>
      </c>
      <c r="G1413" s="31">
        <v>3008.0333095996998</v>
      </c>
      <c r="H1413" s="31">
        <v>0</v>
      </c>
      <c r="I1413" s="31">
        <v>0</v>
      </c>
      <c r="J1413" s="32">
        <f t="shared" si="117"/>
        <v>0</v>
      </c>
      <c r="K1413" s="31">
        <v>3008.0333095996998</v>
      </c>
      <c r="L1413" s="31">
        <v>3008.0333095996998</v>
      </c>
      <c r="M1413" s="32">
        <f t="shared" si="118"/>
        <v>3008.0333095996998</v>
      </c>
      <c r="N1413" s="33">
        <f>Result_notebook!L1413</f>
        <v>0.59854391398996798</v>
      </c>
      <c r="O1413" s="31">
        <f t="shared" si="119"/>
        <v>0</v>
      </c>
      <c r="P1413" s="31">
        <f t="shared" si="122"/>
        <v>0</v>
      </c>
      <c r="Q1413">
        <f t="shared" si="121"/>
        <v>0</v>
      </c>
    </row>
    <row r="1414" spans="1:17" x14ac:dyDescent="0.35">
      <c r="A1414">
        <v>2040</v>
      </c>
      <c r="B1414" t="s">
        <v>13</v>
      </c>
      <c r="C1414" t="s">
        <v>4</v>
      </c>
      <c r="D1414" t="s">
        <v>18</v>
      </c>
      <c r="E1414" t="s">
        <v>483</v>
      </c>
      <c r="F1414" t="s">
        <v>85</v>
      </c>
      <c r="G1414" s="31">
        <v>3008.0333095996998</v>
      </c>
      <c r="H1414" s="31">
        <v>400364.39737548499</v>
      </c>
      <c r="I1414" s="31">
        <v>132120.25113391009</v>
      </c>
      <c r="J1414" s="32">
        <f t="shared" si="117"/>
        <v>107515.42229344757</v>
      </c>
      <c r="K1414" s="31">
        <v>0</v>
      </c>
      <c r="L1414" s="31">
        <v>0</v>
      </c>
      <c r="M1414" s="32">
        <f t="shared" si="118"/>
        <v>0</v>
      </c>
      <c r="N1414" s="33">
        <f>Result_notebook!L1414</f>
        <v>0.59854391398996798</v>
      </c>
      <c r="O1414" s="31">
        <f t="shared" si="119"/>
        <v>-236627.64011775795</v>
      </c>
      <c r="P1414" s="31">
        <f t="shared" si="122"/>
        <v>129112.21782431038</v>
      </c>
      <c r="Q1414">
        <f t="shared" si="121"/>
        <v>107515.42229344757</v>
      </c>
    </row>
    <row r="1415" spans="1:17" x14ac:dyDescent="0.35">
      <c r="A1415">
        <v>2040</v>
      </c>
      <c r="B1415" t="s">
        <v>13</v>
      </c>
      <c r="C1415" t="s">
        <v>4</v>
      </c>
      <c r="D1415" t="s">
        <v>18</v>
      </c>
      <c r="E1415" t="s">
        <v>483</v>
      </c>
      <c r="F1415" t="s">
        <v>86</v>
      </c>
      <c r="G1415" s="31">
        <v>3008.0333095996998</v>
      </c>
      <c r="H1415" s="31">
        <v>400364.39737548499</v>
      </c>
      <c r="I1415" s="31">
        <v>132120.25113391009</v>
      </c>
      <c r="J1415" s="32">
        <f t="shared" si="117"/>
        <v>107515.42229344757</v>
      </c>
      <c r="K1415" s="31">
        <v>0</v>
      </c>
      <c r="L1415" s="31">
        <v>0</v>
      </c>
      <c r="M1415" s="32">
        <f t="shared" si="118"/>
        <v>0</v>
      </c>
      <c r="N1415" s="33">
        <f>Result_notebook!L1415</f>
        <v>0.59854391398996798</v>
      </c>
      <c r="O1415" s="31">
        <f t="shared" si="119"/>
        <v>-236627.64011775795</v>
      </c>
      <c r="P1415" s="31">
        <f t="shared" si="122"/>
        <v>129112.21782431038</v>
      </c>
      <c r="Q1415">
        <f t="shared" si="121"/>
        <v>107515.42229344757</v>
      </c>
    </row>
    <row r="1416" spans="1:17" x14ac:dyDescent="0.35">
      <c r="A1416">
        <v>2040</v>
      </c>
      <c r="B1416" t="s">
        <v>13</v>
      </c>
      <c r="C1416" t="s">
        <v>4</v>
      </c>
      <c r="D1416" t="s">
        <v>18</v>
      </c>
      <c r="E1416" t="s">
        <v>490</v>
      </c>
      <c r="F1416" t="s">
        <v>82</v>
      </c>
      <c r="G1416" s="31">
        <v>3008.0333095996998</v>
      </c>
      <c r="H1416" s="31">
        <v>400364.39737548499</v>
      </c>
      <c r="I1416" s="31">
        <v>132120.25113391009</v>
      </c>
      <c r="J1416" s="32">
        <f t="shared" si="117"/>
        <v>107515.42229344757</v>
      </c>
      <c r="K1416" s="31">
        <v>0</v>
      </c>
      <c r="L1416" s="31">
        <v>0</v>
      </c>
      <c r="M1416" s="32">
        <f t="shared" si="118"/>
        <v>0</v>
      </c>
      <c r="N1416" s="33">
        <f>Result_notebook!L1416</f>
        <v>0.59854391398996798</v>
      </c>
      <c r="O1416" s="31">
        <f t="shared" si="119"/>
        <v>-236627.64011775795</v>
      </c>
      <c r="P1416" s="31">
        <f t="shared" si="122"/>
        <v>129112.21782431038</v>
      </c>
      <c r="Q1416">
        <f t="shared" si="121"/>
        <v>107515.42229344757</v>
      </c>
    </row>
    <row r="1417" spans="1:17" x14ac:dyDescent="0.35">
      <c r="A1417">
        <v>2040</v>
      </c>
      <c r="B1417" t="s">
        <v>13</v>
      </c>
      <c r="C1417" t="s">
        <v>9</v>
      </c>
      <c r="D1417" t="s">
        <v>16</v>
      </c>
      <c r="E1417" t="s">
        <v>483</v>
      </c>
      <c r="F1417" t="s">
        <v>80</v>
      </c>
      <c r="G1417" s="31">
        <v>1109.6184755436821</v>
      </c>
      <c r="H1417" s="31">
        <v>0</v>
      </c>
      <c r="I1417" s="31">
        <v>0</v>
      </c>
      <c r="J1417" s="32">
        <f t="shared" si="117"/>
        <v>0</v>
      </c>
      <c r="K1417" s="31">
        <v>1109.6184755436821</v>
      </c>
      <c r="L1417" s="31">
        <v>1109.6184755436821</v>
      </c>
      <c r="M1417" s="32">
        <f t="shared" si="118"/>
        <v>1109.6184755436821</v>
      </c>
      <c r="N1417" s="33">
        <f>Result_notebook!L1417</f>
        <v>0.59854391398996798</v>
      </c>
      <c r="O1417" s="31">
        <f t="shared" si="119"/>
        <v>0</v>
      </c>
      <c r="P1417" s="31">
        <f t="shared" si="122"/>
        <v>0</v>
      </c>
      <c r="Q1417">
        <f t="shared" si="121"/>
        <v>0</v>
      </c>
    </row>
    <row r="1418" spans="1:17" x14ac:dyDescent="0.35">
      <c r="A1418">
        <v>2040</v>
      </c>
      <c r="B1418" t="s">
        <v>13</v>
      </c>
      <c r="C1418" t="s">
        <v>9</v>
      </c>
      <c r="D1418" t="s">
        <v>16</v>
      </c>
      <c r="E1418" t="s">
        <v>483</v>
      </c>
      <c r="F1418" t="s">
        <v>81</v>
      </c>
      <c r="G1418" s="31">
        <v>1109.6184755436821</v>
      </c>
      <c r="H1418" s="31">
        <v>0</v>
      </c>
      <c r="I1418" s="31">
        <v>0</v>
      </c>
      <c r="J1418" s="32">
        <f t="shared" si="117"/>
        <v>0</v>
      </c>
      <c r="K1418" s="31">
        <v>1109.6184755436821</v>
      </c>
      <c r="L1418" s="31">
        <v>1109.6184755436821</v>
      </c>
      <c r="M1418" s="32">
        <f t="shared" si="118"/>
        <v>1109.6184755436821</v>
      </c>
      <c r="N1418" s="33">
        <f>Result_notebook!L1418</f>
        <v>0.59854391398996798</v>
      </c>
      <c r="O1418" s="31">
        <f t="shared" si="119"/>
        <v>0</v>
      </c>
      <c r="P1418" s="31">
        <f t="shared" si="122"/>
        <v>0</v>
      </c>
      <c r="Q1418">
        <f t="shared" si="121"/>
        <v>0</v>
      </c>
    </row>
    <row r="1419" spans="1:17" x14ac:dyDescent="0.35">
      <c r="A1419">
        <v>2040</v>
      </c>
      <c r="B1419" t="s">
        <v>13</v>
      </c>
      <c r="C1419" t="s">
        <v>9</v>
      </c>
      <c r="D1419" t="s">
        <v>18</v>
      </c>
      <c r="E1419" t="s">
        <v>483</v>
      </c>
      <c r="F1419" t="s">
        <v>85</v>
      </c>
      <c r="G1419" s="31">
        <v>1109.6184755436821</v>
      </c>
      <c r="H1419" s="31">
        <v>400364.39737548499</v>
      </c>
      <c r="I1419" s="31">
        <v>132120.25113391009</v>
      </c>
      <c r="J1419" s="32">
        <f t="shared" si="117"/>
        <v>107515.42229344757</v>
      </c>
      <c r="K1419" s="31">
        <v>0</v>
      </c>
      <c r="L1419" s="31">
        <v>0</v>
      </c>
      <c r="M1419" s="32">
        <f t="shared" si="118"/>
        <v>0</v>
      </c>
      <c r="N1419" s="33">
        <f>Result_notebook!L1419</f>
        <v>0.59854391398996798</v>
      </c>
      <c r="O1419" s="31">
        <f t="shared" si="119"/>
        <v>-238526.05495181397</v>
      </c>
      <c r="P1419" s="31">
        <f t="shared" si="122"/>
        <v>131010.6326583664</v>
      </c>
      <c r="Q1419">
        <f t="shared" si="121"/>
        <v>107515.42229344757</v>
      </c>
    </row>
    <row r="1420" spans="1:17" x14ac:dyDescent="0.35">
      <c r="A1420">
        <v>2040</v>
      </c>
      <c r="B1420" t="s">
        <v>13</v>
      </c>
      <c r="C1420" t="s">
        <v>9</v>
      </c>
      <c r="D1420" t="s">
        <v>18</v>
      </c>
      <c r="E1420" t="s">
        <v>483</v>
      </c>
      <c r="F1420" t="s">
        <v>86</v>
      </c>
      <c r="G1420" s="31">
        <v>1109.6184755436821</v>
      </c>
      <c r="H1420" s="31">
        <v>400364.39737548499</v>
      </c>
      <c r="I1420" s="31">
        <v>132120.25113391009</v>
      </c>
      <c r="J1420" s="32">
        <f t="shared" si="117"/>
        <v>107515.42229344757</v>
      </c>
      <c r="K1420" s="31">
        <v>0</v>
      </c>
      <c r="L1420" s="31">
        <v>0</v>
      </c>
      <c r="M1420" s="32">
        <f t="shared" si="118"/>
        <v>0</v>
      </c>
      <c r="N1420" s="33">
        <f>Result_notebook!L1420</f>
        <v>0.59854391398996798</v>
      </c>
      <c r="O1420" s="31">
        <f t="shared" si="119"/>
        <v>-238526.05495181397</v>
      </c>
      <c r="P1420" s="31">
        <f t="shared" si="122"/>
        <v>131010.6326583664</v>
      </c>
      <c r="Q1420">
        <f t="shared" si="121"/>
        <v>107515.42229344757</v>
      </c>
    </row>
    <row r="1421" spans="1:17" x14ac:dyDescent="0.35">
      <c r="A1421">
        <v>2040</v>
      </c>
      <c r="B1421" t="s">
        <v>13</v>
      </c>
      <c r="C1421" t="s">
        <v>9</v>
      </c>
      <c r="D1421" t="s">
        <v>18</v>
      </c>
      <c r="E1421" t="s">
        <v>490</v>
      </c>
      <c r="F1421" t="s">
        <v>82</v>
      </c>
      <c r="G1421" s="31">
        <v>1109.6184755436821</v>
      </c>
      <c r="H1421" s="31">
        <v>400364.39737548499</v>
      </c>
      <c r="I1421" s="31">
        <v>132120.25113391009</v>
      </c>
      <c r="J1421" s="32">
        <f t="shared" si="117"/>
        <v>107515.42229344757</v>
      </c>
      <c r="K1421" s="31">
        <v>0</v>
      </c>
      <c r="L1421" s="31">
        <v>0</v>
      </c>
      <c r="M1421" s="32">
        <f t="shared" si="118"/>
        <v>0</v>
      </c>
      <c r="N1421" s="33">
        <f>Result_notebook!L1421</f>
        <v>0.59854391398996798</v>
      </c>
      <c r="O1421" s="31">
        <f t="shared" si="119"/>
        <v>-238526.05495181397</v>
      </c>
      <c r="P1421" s="31">
        <f t="shared" si="122"/>
        <v>131010.6326583664</v>
      </c>
      <c r="Q1421">
        <f t="shared" si="121"/>
        <v>107515.42229344757</v>
      </c>
    </row>
    <row r="1422" spans="1:17" x14ac:dyDescent="0.35">
      <c r="A1422">
        <v>2040</v>
      </c>
      <c r="B1422" t="s">
        <v>13</v>
      </c>
      <c r="C1422" t="s">
        <v>10</v>
      </c>
      <c r="D1422" t="s">
        <v>16</v>
      </c>
      <c r="E1422" t="s">
        <v>483</v>
      </c>
      <c r="F1422" t="s">
        <v>80</v>
      </c>
      <c r="G1422" s="31">
        <v>2865.2791135592711</v>
      </c>
      <c r="H1422" s="31">
        <v>0</v>
      </c>
      <c r="I1422" s="31">
        <v>0</v>
      </c>
      <c r="J1422" s="32">
        <f t="shared" si="117"/>
        <v>0</v>
      </c>
      <c r="K1422" s="31">
        <v>2865.2791135592711</v>
      </c>
      <c r="L1422" s="31">
        <v>2865.2791135592711</v>
      </c>
      <c r="M1422" s="32">
        <f t="shared" si="118"/>
        <v>2865.2791135592711</v>
      </c>
      <c r="N1422" s="33">
        <f>Result_notebook!L1422</f>
        <v>0.59854391398996798</v>
      </c>
      <c r="O1422" s="31">
        <f t="shared" si="119"/>
        <v>0</v>
      </c>
      <c r="P1422" s="31">
        <f t="shared" si="122"/>
        <v>0</v>
      </c>
      <c r="Q1422">
        <f t="shared" si="121"/>
        <v>0</v>
      </c>
    </row>
    <row r="1423" spans="1:17" x14ac:dyDescent="0.35">
      <c r="A1423">
        <v>2040</v>
      </c>
      <c r="B1423" t="s">
        <v>13</v>
      </c>
      <c r="C1423" t="s">
        <v>10</v>
      </c>
      <c r="D1423" t="s">
        <v>16</v>
      </c>
      <c r="E1423" t="s">
        <v>483</v>
      </c>
      <c r="F1423" t="s">
        <v>81</v>
      </c>
      <c r="G1423" s="31">
        <v>2865.2791135592711</v>
      </c>
      <c r="H1423" s="31">
        <v>0</v>
      </c>
      <c r="I1423" s="31">
        <v>0</v>
      </c>
      <c r="J1423" s="32">
        <f t="shared" si="117"/>
        <v>0</v>
      </c>
      <c r="K1423" s="31">
        <v>2865.2791135592711</v>
      </c>
      <c r="L1423" s="31">
        <v>2865.2791135592711</v>
      </c>
      <c r="M1423" s="32">
        <f t="shared" si="118"/>
        <v>2865.2791135592711</v>
      </c>
      <c r="N1423" s="33">
        <f>Result_notebook!L1423</f>
        <v>0.59854391398996798</v>
      </c>
      <c r="O1423" s="31">
        <f t="shared" si="119"/>
        <v>0</v>
      </c>
      <c r="P1423" s="31">
        <f t="shared" si="122"/>
        <v>0</v>
      </c>
      <c r="Q1423">
        <f t="shared" si="121"/>
        <v>0</v>
      </c>
    </row>
    <row r="1424" spans="1:17" x14ac:dyDescent="0.35">
      <c r="A1424">
        <v>2040</v>
      </c>
      <c r="B1424" t="s">
        <v>13</v>
      </c>
      <c r="C1424" t="s">
        <v>10</v>
      </c>
      <c r="D1424" t="s">
        <v>18</v>
      </c>
      <c r="E1424" t="s">
        <v>483</v>
      </c>
      <c r="F1424" t="s">
        <v>85</v>
      </c>
      <c r="G1424" s="31">
        <v>2865.2791135592711</v>
      </c>
      <c r="H1424" s="31">
        <v>400364.39737548499</v>
      </c>
      <c r="I1424" s="31">
        <v>132120.25113391009</v>
      </c>
      <c r="J1424" s="32">
        <f t="shared" si="117"/>
        <v>107515.42229344757</v>
      </c>
      <c r="K1424" s="31">
        <v>0</v>
      </c>
      <c r="L1424" s="31">
        <v>0</v>
      </c>
      <c r="M1424" s="32">
        <f t="shared" si="118"/>
        <v>0</v>
      </c>
      <c r="N1424" s="33">
        <f>Result_notebook!L1424</f>
        <v>0.59854391398996798</v>
      </c>
      <c r="O1424" s="31">
        <f t="shared" si="119"/>
        <v>-236770.39431379837</v>
      </c>
      <c r="P1424" s="31">
        <f t="shared" si="122"/>
        <v>129254.97202035082</v>
      </c>
      <c r="Q1424">
        <f t="shared" si="121"/>
        <v>107515.42229344757</v>
      </c>
    </row>
    <row r="1425" spans="1:17" x14ac:dyDescent="0.35">
      <c r="A1425">
        <v>2040</v>
      </c>
      <c r="B1425" t="s">
        <v>13</v>
      </c>
      <c r="C1425" t="s">
        <v>10</v>
      </c>
      <c r="D1425" t="s">
        <v>18</v>
      </c>
      <c r="E1425" t="s">
        <v>483</v>
      </c>
      <c r="F1425" t="s">
        <v>86</v>
      </c>
      <c r="G1425" s="31">
        <v>2865.2791135592711</v>
      </c>
      <c r="H1425" s="31">
        <v>400364.39737548499</v>
      </c>
      <c r="I1425" s="31">
        <v>132120.25113391009</v>
      </c>
      <c r="J1425" s="32">
        <f t="shared" si="117"/>
        <v>107515.42229344757</v>
      </c>
      <c r="K1425" s="31">
        <v>0</v>
      </c>
      <c r="L1425" s="31">
        <v>0</v>
      </c>
      <c r="M1425" s="32">
        <f t="shared" si="118"/>
        <v>0</v>
      </c>
      <c r="N1425" s="33">
        <f>Result_notebook!L1425</f>
        <v>0.59854391398996798</v>
      </c>
      <c r="O1425" s="31">
        <f t="shared" si="119"/>
        <v>-236770.39431379837</v>
      </c>
      <c r="P1425" s="31">
        <f t="shared" si="122"/>
        <v>129254.97202035082</v>
      </c>
      <c r="Q1425">
        <f t="shared" si="121"/>
        <v>107515.42229344757</v>
      </c>
    </row>
    <row r="1426" spans="1:17" x14ac:dyDescent="0.35">
      <c r="A1426">
        <v>2040</v>
      </c>
      <c r="B1426" t="s">
        <v>13</v>
      </c>
      <c r="C1426" t="s">
        <v>10</v>
      </c>
      <c r="D1426" t="s">
        <v>18</v>
      </c>
      <c r="E1426" t="s">
        <v>490</v>
      </c>
      <c r="F1426" t="s">
        <v>82</v>
      </c>
      <c r="G1426" s="31">
        <v>2865.2791135592711</v>
      </c>
      <c r="H1426" s="31">
        <v>400364.39737548499</v>
      </c>
      <c r="I1426" s="31">
        <v>132120.25113391009</v>
      </c>
      <c r="J1426" s="32">
        <f t="shared" si="117"/>
        <v>107515.42229344757</v>
      </c>
      <c r="K1426" s="31">
        <v>0</v>
      </c>
      <c r="L1426" s="31">
        <v>0</v>
      </c>
      <c r="M1426" s="32">
        <f t="shared" si="118"/>
        <v>0</v>
      </c>
      <c r="N1426" s="33">
        <f>Result_notebook!L1426</f>
        <v>0.59854391398996798</v>
      </c>
      <c r="O1426" s="31">
        <f t="shared" si="119"/>
        <v>-236770.39431379837</v>
      </c>
      <c r="P1426" s="31">
        <f t="shared" si="122"/>
        <v>129254.97202035082</v>
      </c>
      <c r="Q1426">
        <f t="shared" si="121"/>
        <v>107515.42229344757</v>
      </c>
    </row>
    <row r="1427" spans="1:17" x14ac:dyDescent="0.35">
      <c r="A1427">
        <v>2040</v>
      </c>
      <c r="B1427" t="s">
        <v>12</v>
      </c>
      <c r="C1427" t="s">
        <v>4</v>
      </c>
      <c r="D1427" t="s">
        <v>16</v>
      </c>
      <c r="E1427" t="s">
        <v>483</v>
      </c>
      <c r="F1427" t="s">
        <v>80</v>
      </c>
      <c r="G1427" s="31">
        <v>86988.213251106645</v>
      </c>
      <c r="H1427" s="31">
        <v>0</v>
      </c>
      <c r="I1427" s="31">
        <v>0</v>
      </c>
      <c r="J1427" s="32">
        <f t="shared" si="117"/>
        <v>0</v>
      </c>
      <c r="K1427" s="31">
        <v>124268.87607300949</v>
      </c>
      <c r="L1427" s="31">
        <v>86988.213251106645</v>
      </c>
      <c r="M1427" s="32">
        <f t="shared" si="118"/>
        <v>86988.213251106645</v>
      </c>
      <c r="N1427" s="33">
        <f>Result_notebook!L1427</f>
        <v>0.787554996857322</v>
      </c>
      <c r="O1427" s="31">
        <f t="shared" si="119"/>
        <v>0</v>
      </c>
      <c r="P1427" s="31">
        <f t="shared" si="122"/>
        <v>0</v>
      </c>
      <c r="Q1427">
        <f t="shared" si="121"/>
        <v>0</v>
      </c>
    </row>
    <row r="1428" spans="1:17" x14ac:dyDescent="0.35">
      <c r="A1428">
        <v>2040</v>
      </c>
      <c r="B1428" t="s">
        <v>12</v>
      </c>
      <c r="C1428" t="s">
        <v>4</v>
      </c>
      <c r="D1428" t="s">
        <v>16</v>
      </c>
      <c r="E1428" t="s">
        <v>483</v>
      </c>
      <c r="F1428" t="s">
        <v>81</v>
      </c>
      <c r="G1428" s="31">
        <v>86988.213251106645</v>
      </c>
      <c r="H1428" s="31">
        <v>42827</v>
      </c>
      <c r="I1428" s="31">
        <v>29943.37375789979</v>
      </c>
      <c r="J1428" s="32">
        <f t="shared" si="117"/>
        <v>3785.2440925087431</v>
      </c>
      <c r="K1428" s="31">
        <v>81441.876073009495</v>
      </c>
      <c r="L1428" s="31">
        <v>57044.839493206862</v>
      </c>
      <c r="M1428" s="32">
        <f t="shared" si="118"/>
        <v>53259.595400698119</v>
      </c>
      <c r="N1428" s="33">
        <f>Result_notebook!L1428</f>
        <v>0.787554996857322</v>
      </c>
      <c r="O1428" s="31">
        <f t="shared" si="119"/>
        <v>0</v>
      </c>
      <c r="P1428" s="31">
        <f t="shared" si="122"/>
        <v>0</v>
      </c>
      <c r="Q1428">
        <f t="shared" si="121"/>
        <v>3785.2440925087431</v>
      </c>
    </row>
    <row r="1429" spans="1:17" x14ac:dyDescent="0.35">
      <c r="A1429">
        <v>2040</v>
      </c>
      <c r="B1429" t="s">
        <v>12</v>
      </c>
      <c r="C1429" t="s">
        <v>4</v>
      </c>
      <c r="D1429" t="s">
        <v>18</v>
      </c>
      <c r="E1429" t="s">
        <v>483</v>
      </c>
      <c r="F1429" t="s">
        <v>85</v>
      </c>
      <c r="G1429" s="31">
        <v>86988.213251106645</v>
      </c>
      <c r="H1429" s="31">
        <v>615511.71046222479</v>
      </c>
      <c r="I1429" s="31">
        <v>430347.61245790258</v>
      </c>
      <c r="J1429" s="32">
        <f t="shared" si="117"/>
        <v>54401.710740819748</v>
      </c>
      <c r="K1429" s="31">
        <v>0</v>
      </c>
      <c r="L1429" s="31">
        <v>0</v>
      </c>
      <c r="M1429" s="32">
        <f t="shared" si="118"/>
        <v>0</v>
      </c>
      <c r="N1429" s="33">
        <f>Result_notebook!L1429</f>
        <v>0.787554996857322</v>
      </c>
      <c r="O1429" s="31">
        <f t="shared" si="119"/>
        <v>-397761.10994761565</v>
      </c>
      <c r="P1429" s="31">
        <f t="shared" si="122"/>
        <v>343359.39920679596</v>
      </c>
      <c r="Q1429">
        <f t="shared" si="121"/>
        <v>54401.710740819748</v>
      </c>
    </row>
    <row r="1430" spans="1:17" x14ac:dyDescent="0.35">
      <c r="A1430">
        <v>2040</v>
      </c>
      <c r="B1430" t="s">
        <v>12</v>
      </c>
      <c r="C1430" t="s">
        <v>4</v>
      </c>
      <c r="D1430" t="s">
        <v>18</v>
      </c>
      <c r="E1430" t="s">
        <v>483</v>
      </c>
      <c r="F1430" t="s">
        <v>86</v>
      </c>
      <c r="G1430" s="31">
        <v>86988.213251106645</v>
      </c>
      <c r="H1430" s="31">
        <v>615511.71046222479</v>
      </c>
      <c r="I1430" s="31">
        <v>430347.61245790258</v>
      </c>
      <c r="J1430" s="32">
        <f t="shared" si="117"/>
        <v>54401.710740819748</v>
      </c>
      <c r="K1430" s="31">
        <v>0</v>
      </c>
      <c r="L1430" s="31">
        <v>0</v>
      </c>
      <c r="M1430" s="32">
        <f t="shared" si="118"/>
        <v>0</v>
      </c>
      <c r="N1430" s="33">
        <f>Result_notebook!L1430</f>
        <v>0.787554996857322</v>
      </c>
      <c r="O1430" s="31">
        <f t="shared" si="119"/>
        <v>-397761.10994761565</v>
      </c>
      <c r="P1430" s="31">
        <f t="shared" si="122"/>
        <v>343359.39920679596</v>
      </c>
      <c r="Q1430">
        <f t="shared" si="121"/>
        <v>54401.710740819748</v>
      </c>
    </row>
    <row r="1431" spans="1:17" x14ac:dyDescent="0.35">
      <c r="A1431">
        <v>2040</v>
      </c>
      <c r="B1431" t="s">
        <v>12</v>
      </c>
      <c r="C1431" t="s">
        <v>4</v>
      </c>
      <c r="D1431" t="s">
        <v>18</v>
      </c>
      <c r="E1431" t="s">
        <v>490</v>
      </c>
      <c r="F1431" t="s">
        <v>82</v>
      </c>
      <c r="G1431" s="31">
        <v>86988.213251106645</v>
      </c>
      <c r="H1431" s="31">
        <v>615511.71046222479</v>
      </c>
      <c r="I1431" s="31">
        <v>430347.61245790258</v>
      </c>
      <c r="J1431" s="32">
        <f t="shared" si="117"/>
        <v>54401.710740819748</v>
      </c>
      <c r="K1431" s="31">
        <v>0</v>
      </c>
      <c r="L1431" s="31">
        <v>0</v>
      </c>
      <c r="M1431" s="32">
        <f t="shared" si="118"/>
        <v>0</v>
      </c>
      <c r="N1431" s="33">
        <f>Result_notebook!L1431</f>
        <v>0.787554996857322</v>
      </c>
      <c r="O1431" s="31">
        <f t="shared" si="119"/>
        <v>-397761.10994761565</v>
      </c>
      <c r="P1431" s="31">
        <f t="shared" si="122"/>
        <v>343359.39920679596</v>
      </c>
      <c r="Q1431">
        <f t="shared" si="121"/>
        <v>54401.710740819748</v>
      </c>
    </row>
    <row r="1432" spans="1:17" x14ac:dyDescent="0.35">
      <c r="A1432">
        <v>2040</v>
      </c>
      <c r="B1432" t="s">
        <v>12</v>
      </c>
      <c r="C1432" t="s">
        <v>9</v>
      </c>
      <c r="D1432" t="s">
        <v>16</v>
      </c>
      <c r="E1432" t="s">
        <v>483</v>
      </c>
      <c r="F1432" t="s">
        <v>80</v>
      </c>
      <c r="G1432" s="31">
        <v>32088.650172163962</v>
      </c>
      <c r="H1432" s="31">
        <v>0</v>
      </c>
      <c r="I1432" s="31">
        <v>0</v>
      </c>
      <c r="J1432" s="32">
        <f t="shared" si="117"/>
        <v>0</v>
      </c>
      <c r="K1432" s="31">
        <v>45840.928817377091</v>
      </c>
      <c r="L1432" s="31">
        <v>32088.650172163962</v>
      </c>
      <c r="M1432" s="32">
        <f t="shared" si="118"/>
        <v>32088.650172163962</v>
      </c>
      <c r="N1432" s="33">
        <f>Result_notebook!L1432</f>
        <v>0.787554996857322</v>
      </c>
      <c r="O1432" s="31">
        <f t="shared" si="119"/>
        <v>0</v>
      </c>
      <c r="P1432" s="31">
        <f t="shared" si="122"/>
        <v>0</v>
      </c>
      <c r="Q1432">
        <f t="shared" si="121"/>
        <v>0</v>
      </c>
    </row>
    <row r="1433" spans="1:17" x14ac:dyDescent="0.35">
      <c r="A1433">
        <v>2040</v>
      </c>
      <c r="B1433" t="s">
        <v>12</v>
      </c>
      <c r="C1433" t="s">
        <v>9</v>
      </c>
      <c r="D1433" t="s">
        <v>16</v>
      </c>
      <c r="E1433" t="s">
        <v>483</v>
      </c>
      <c r="F1433" t="s">
        <v>81</v>
      </c>
      <c r="G1433" s="31">
        <v>32088.650172163962</v>
      </c>
      <c r="H1433" s="31">
        <v>42827</v>
      </c>
      <c r="I1433" s="31">
        <v>29943.37375789979</v>
      </c>
      <c r="J1433" s="32">
        <f t="shared" si="117"/>
        <v>3785.2440925087431</v>
      </c>
      <c r="K1433" s="31">
        <v>3013.928817377091</v>
      </c>
      <c r="L1433" s="31">
        <v>2145.2764142641749</v>
      </c>
      <c r="M1433" s="32">
        <f t="shared" si="118"/>
        <v>0</v>
      </c>
      <c r="N1433" s="33">
        <f>Result_notebook!L1433</f>
        <v>0.787554996857322</v>
      </c>
      <c r="O1433" s="31">
        <f t="shared" si="119"/>
        <v>-1639.9676782445713</v>
      </c>
      <c r="P1433" s="31">
        <f t="shared" si="122"/>
        <v>0</v>
      </c>
      <c r="Q1433">
        <f t="shared" si="121"/>
        <v>3785.2440925087431</v>
      </c>
    </row>
    <row r="1434" spans="1:17" x14ac:dyDescent="0.35">
      <c r="A1434">
        <v>2040</v>
      </c>
      <c r="B1434" t="s">
        <v>12</v>
      </c>
      <c r="C1434" t="s">
        <v>9</v>
      </c>
      <c r="D1434" t="s">
        <v>18</v>
      </c>
      <c r="E1434" t="s">
        <v>483</v>
      </c>
      <c r="F1434" t="s">
        <v>85</v>
      </c>
      <c r="G1434" s="31">
        <v>32088.650172163962</v>
      </c>
      <c r="H1434" s="31">
        <v>615511.71046222479</v>
      </c>
      <c r="I1434" s="31">
        <v>430347.61245790258</v>
      </c>
      <c r="J1434" s="32">
        <f t="shared" si="117"/>
        <v>54401.710740819748</v>
      </c>
      <c r="K1434" s="31">
        <v>0</v>
      </c>
      <c r="L1434" s="31">
        <v>0</v>
      </c>
      <c r="M1434" s="32">
        <f t="shared" si="118"/>
        <v>0</v>
      </c>
      <c r="N1434" s="33">
        <f>Result_notebook!L1434</f>
        <v>0.787554996857322</v>
      </c>
      <c r="O1434" s="31">
        <f t="shared" si="119"/>
        <v>-452660.67302655836</v>
      </c>
      <c r="P1434" s="31">
        <f t="shared" si="122"/>
        <v>398258.96228573861</v>
      </c>
      <c r="Q1434">
        <f t="shared" si="121"/>
        <v>54401.710740819748</v>
      </c>
    </row>
    <row r="1435" spans="1:17" x14ac:dyDescent="0.35">
      <c r="A1435">
        <v>2040</v>
      </c>
      <c r="B1435" t="s">
        <v>12</v>
      </c>
      <c r="C1435" t="s">
        <v>9</v>
      </c>
      <c r="D1435" t="s">
        <v>18</v>
      </c>
      <c r="E1435" t="s">
        <v>483</v>
      </c>
      <c r="F1435" t="s">
        <v>86</v>
      </c>
      <c r="G1435" s="31">
        <v>32088.650172163962</v>
      </c>
      <c r="H1435" s="31">
        <v>615511.71046222479</v>
      </c>
      <c r="I1435" s="31">
        <v>430347.61245790258</v>
      </c>
      <c r="J1435" s="32">
        <f t="shared" si="117"/>
        <v>54401.710740819748</v>
      </c>
      <c r="K1435" s="31">
        <v>0</v>
      </c>
      <c r="L1435" s="31">
        <v>0</v>
      </c>
      <c r="M1435" s="32">
        <f t="shared" si="118"/>
        <v>0</v>
      </c>
      <c r="N1435" s="33">
        <f>Result_notebook!L1435</f>
        <v>0.787554996857322</v>
      </c>
      <c r="O1435" s="31">
        <f t="shared" si="119"/>
        <v>-452660.67302655836</v>
      </c>
      <c r="P1435" s="31">
        <f t="shared" si="122"/>
        <v>398258.96228573861</v>
      </c>
      <c r="Q1435">
        <f t="shared" si="121"/>
        <v>54401.710740819748</v>
      </c>
    </row>
    <row r="1436" spans="1:17" x14ac:dyDescent="0.35">
      <c r="A1436">
        <v>2040</v>
      </c>
      <c r="B1436" t="s">
        <v>12</v>
      </c>
      <c r="C1436" t="s">
        <v>9</v>
      </c>
      <c r="D1436" t="s">
        <v>18</v>
      </c>
      <c r="E1436" t="s">
        <v>490</v>
      </c>
      <c r="F1436" t="s">
        <v>82</v>
      </c>
      <c r="G1436" s="31">
        <v>32088.650172163962</v>
      </c>
      <c r="H1436" s="31">
        <v>615511.71046222479</v>
      </c>
      <c r="I1436" s="31">
        <v>430347.61245790258</v>
      </c>
      <c r="J1436" s="32">
        <f t="shared" si="117"/>
        <v>54401.710740819748</v>
      </c>
      <c r="K1436" s="31">
        <v>0</v>
      </c>
      <c r="L1436" s="31">
        <v>0</v>
      </c>
      <c r="M1436" s="32">
        <f t="shared" si="118"/>
        <v>0</v>
      </c>
      <c r="N1436" s="33">
        <f>Result_notebook!L1436</f>
        <v>0.787554996857322</v>
      </c>
      <c r="O1436" s="31">
        <f t="shared" si="119"/>
        <v>-452660.67302655836</v>
      </c>
      <c r="P1436" s="31">
        <f t="shared" si="122"/>
        <v>398258.96228573861</v>
      </c>
      <c r="Q1436">
        <f t="shared" si="121"/>
        <v>54401.710740819748</v>
      </c>
    </row>
    <row r="1437" spans="1:17" x14ac:dyDescent="0.35">
      <c r="A1437">
        <v>2040</v>
      </c>
      <c r="B1437" t="s">
        <v>12</v>
      </c>
      <c r="C1437" t="s">
        <v>10</v>
      </c>
      <c r="D1437" t="s">
        <v>16</v>
      </c>
      <c r="E1437" t="s">
        <v>483</v>
      </c>
      <c r="F1437" t="s">
        <v>80</v>
      </c>
      <c r="G1437" s="31">
        <v>82859.956955531103</v>
      </c>
      <c r="H1437" s="31">
        <v>0</v>
      </c>
      <c r="I1437" s="31">
        <v>0</v>
      </c>
      <c r="J1437" s="32">
        <f t="shared" si="117"/>
        <v>0</v>
      </c>
      <c r="K1437" s="31">
        <v>118371.3670793302</v>
      </c>
      <c r="L1437" s="31">
        <v>82859.956955531103</v>
      </c>
      <c r="M1437" s="32">
        <f t="shared" si="118"/>
        <v>82859.956955531103</v>
      </c>
      <c r="N1437" s="33">
        <f>Result_notebook!L1437</f>
        <v>0.787554996857322</v>
      </c>
      <c r="O1437" s="31">
        <f t="shared" si="119"/>
        <v>0</v>
      </c>
      <c r="P1437" s="31">
        <f t="shared" si="122"/>
        <v>0</v>
      </c>
      <c r="Q1437">
        <f t="shared" si="121"/>
        <v>0</v>
      </c>
    </row>
    <row r="1438" spans="1:17" x14ac:dyDescent="0.35">
      <c r="A1438">
        <v>2040</v>
      </c>
      <c r="B1438" t="s">
        <v>12</v>
      </c>
      <c r="C1438" t="s">
        <v>10</v>
      </c>
      <c r="D1438" t="s">
        <v>16</v>
      </c>
      <c r="E1438" t="s">
        <v>483</v>
      </c>
      <c r="F1438" t="s">
        <v>81</v>
      </c>
      <c r="G1438" s="31">
        <v>82859.956955531103</v>
      </c>
      <c r="H1438" s="31">
        <v>42827</v>
      </c>
      <c r="I1438" s="31">
        <v>29943.37375789979</v>
      </c>
      <c r="J1438" s="32">
        <f t="shared" si="117"/>
        <v>3785.2440925087431</v>
      </c>
      <c r="K1438" s="31">
        <v>75544.367079330157</v>
      </c>
      <c r="L1438" s="31">
        <v>52916.58319763132</v>
      </c>
      <c r="M1438" s="32">
        <f t="shared" si="118"/>
        <v>49131.339105122577</v>
      </c>
      <c r="N1438" s="33">
        <f>Result_notebook!L1438</f>
        <v>0.787554996857322</v>
      </c>
      <c r="O1438" s="31">
        <f t="shared" si="119"/>
        <v>0</v>
      </c>
      <c r="P1438" s="31">
        <f t="shared" si="122"/>
        <v>0</v>
      </c>
      <c r="Q1438">
        <f t="shared" si="121"/>
        <v>3785.2440925087431</v>
      </c>
    </row>
    <row r="1439" spans="1:17" x14ac:dyDescent="0.35">
      <c r="A1439">
        <v>2040</v>
      </c>
      <c r="B1439" t="s">
        <v>12</v>
      </c>
      <c r="C1439" t="s">
        <v>10</v>
      </c>
      <c r="D1439" t="s">
        <v>18</v>
      </c>
      <c r="E1439" t="s">
        <v>483</v>
      </c>
      <c r="F1439" t="s">
        <v>85</v>
      </c>
      <c r="G1439" s="31">
        <v>82859.956955531103</v>
      </c>
      <c r="H1439" s="31">
        <v>615511.71046222479</v>
      </c>
      <c r="I1439" s="31">
        <v>430347.61245790258</v>
      </c>
      <c r="J1439" s="32">
        <f t="shared" si="117"/>
        <v>54401.710740819748</v>
      </c>
      <c r="K1439" s="31">
        <v>0</v>
      </c>
      <c r="L1439" s="31">
        <v>0</v>
      </c>
      <c r="M1439" s="32">
        <f t="shared" si="118"/>
        <v>0</v>
      </c>
      <c r="N1439" s="33">
        <f>Result_notebook!L1439</f>
        <v>0.787554996857322</v>
      </c>
      <c r="O1439" s="31">
        <f t="shared" si="119"/>
        <v>-401889.36624319124</v>
      </c>
      <c r="P1439" s="31">
        <f t="shared" si="122"/>
        <v>347487.65550237149</v>
      </c>
      <c r="Q1439">
        <f t="shared" si="121"/>
        <v>54401.710740819748</v>
      </c>
    </row>
    <row r="1440" spans="1:17" x14ac:dyDescent="0.35">
      <c r="A1440">
        <v>2040</v>
      </c>
      <c r="B1440" t="s">
        <v>12</v>
      </c>
      <c r="C1440" t="s">
        <v>10</v>
      </c>
      <c r="D1440" t="s">
        <v>18</v>
      </c>
      <c r="E1440" t="s">
        <v>483</v>
      </c>
      <c r="F1440" t="s">
        <v>86</v>
      </c>
      <c r="G1440" s="31">
        <v>82859.956955531103</v>
      </c>
      <c r="H1440" s="31">
        <v>615511.71046222479</v>
      </c>
      <c r="I1440" s="31">
        <v>430347.61245790258</v>
      </c>
      <c r="J1440" s="32">
        <f t="shared" si="117"/>
        <v>54401.710740819748</v>
      </c>
      <c r="K1440" s="31">
        <v>0</v>
      </c>
      <c r="L1440" s="31">
        <v>0</v>
      </c>
      <c r="M1440" s="32">
        <f t="shared" si="118"/>
        <v>0</v>
      </c>
      <c r="N1440" s="33">
        <f>Result_notebook!L1440</f>
        <v>0.787554996857322</v>
      </c>
      <c r="O1440" s="31">
        <f t="shared" si="119"/>
        <v>-401889.36624319124</v>
      </c>
      <c r="P1440" s="31">
        <f t="shared" si="122"/>
        <v>347487.65550237149</v>
      </c>
      <c r="Q1440">
        <f t="shared" si="121"/>
        <v>54401.710740819748</v>
      </c>
    </row>
    <row r="1441" spans="1:17" x14ac:dyDescent="0.35">
      <c r="A1441">
        <v>2040</v>
      </c>
      <c r="B1441" t="s">
        <v>12</v>
      </c>
      <c r="C1441" t="s">
        <v>10</v>
      </c>
      <c r="D1441" t="s">
        <v>18</v>
      </c>
      <c r="E1441" t="s">
        <v>490</v>
      </c>
      <c r="F1441" t="s">
        <v>82</v>
      </c>
      <c r="G1441" s="31">
        <v>82859.956955531103</v>
      </c>
      <c r="H1441" s="31">
        <v>615511.71046222479</v>
      </c>
      <c r="I1441" s="31">
        <v>430347.61245790258</v>
      </c>
      <c r="J1441" s="32">
        <f t="shared" si="117"/>
        <v>54401.710740819748</v>
      </c>
      <c r="K1441" s="31">
        <v>0</v>
      </c>
      <c r="L1441" s="31">
        <v>0</v>
      </c>
      <c r="M1441" s="32">
        <f t="shared" si="118"/>
        <v>0</v>
      </c>
      <c r="N1441" s="33">
        <f>Result_notebook!L1441</f>
        <v>0.787554996857322</v>
      </c>
      <c r="O1441" s="31">
        <f t="shared" si="119"/>
        <v>-401889.36624319124</v>
      </c>
      <c r="P1441" s="31">
        <f t="shared" si="122"/>
        <v>347487.65550237149</v>
      </c>
      <c r="Q1441">
        <f t="shared" si="121"/>
        <v>54401.710740819748</v>
      </c>
    </row>
  </sheetData>
  <autoFilter ref="A1:Q1441" xr:uid="{3C3232B4-51A1-4321-BBE5-5F83CB06D2C4}"/>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2490-2621-445F-836E-E3CD46A11C8E}">
  <sheetPr>
    <tabColor theme="7"/>
  </sheetPr>
  <dimension ref="A1:L1441"/>
  <sheetViews>
    <sheetView topLeftCell="E1" workbookViewId="0">
      <selection sqref="A1:XFD1048576"/>
    </sheetView>
  </sheetViews>
  <sheetFormatPr baseColWidth="10" defaultColWidth="8.7265625" defaultRowHeight="14.5" x14ac:dyDescent="0.35"/>
  <cols>
    <col min="1" max="1" width="4.81640625" bestFit="1" customWidth="1"/>
    <col min="2" max="2" width="11" bestFit="1" customWidth="1"/>
    <col min="3" max="3" width="19.08984375" bestFit="1" customWidth="1"/>
    <col min="4" max="4" width="20.81640625" bestFit="1" customWidth="1"/>
    <col min="5" max="5" width="37.90625" bestFit="1" customWidth="1"/>
    <col min="6" max="6" width="27.54296875" bestFit="1" customWidth="1"/>
    <col min="7" max="7" width="15.08984375" bestFit="1" customWidth="1"/>
    <col min="8" max="8" width="23.1796875" bestFit="1" customWidth="1"/>
    <col min="9" max="9" width="23.90625" bestFit="1" customWidth="1"/>
    <col min="10" max="10" width="23.6328125" bestFit="1" customWidth="1"/>
    <col min="11" max="11" width="24.36328125" bestFit="1" customWidth="1"/>
    <col min="12" max="12" width="15" bestFit="1" customWidth="1"/>
  </cols>
  <sheetData>
    <row r="1" spans="1:12" x14ac:dyDescent="0.35">
      <c r="A1" s="2" t="s">
        <v>2</v>
      </c>
      <c r="B1" s="2" t="s">
        <v>3</v>
      </c>
      <c r="C1" s="2" t="s">
        <v>484</v>
      </c>
      <c r="D1" s="2" t="s">
        <v>481</v>
      </c>
      <c r="E1" s="2" t="s">
        <v>482</v>
      </c>
      <c r="F1" s="2" t="s">
        <v>480</v>
      </c>
      <c r="G1" s="2" t="s">
        <v>485</v>
      </c>
      <c r="H1" s="2" t="s">
        <v>486</v>
      </c>
      <c r="I1" s="2" t="s">
        <v>487</v>
      </c>
      <c r="J1" s="2" t="s">
        <v>488</v>
      </c>
      <c r="K1" s="2" t="s">
        <v>489</v>
      </c>
      <c r="L1" s="2" t="s">
        <v>521</v>
      </c>
    </row>
    <row r="2" spans="1:12" x14ac:dyDescent="0.35">
      <c r="A2">
        <v>2025</v>
      </c>
      <c r="B2" t="s">
        <v>6</v>
      </c>
      <c r="C2" t="s">
        <v>4</v>
      </c>
      <c r="D2" t="s">
        <v>16</v>
      </c>
      <c r="E2" t="s">
        <v>483</v>
      </c>
      <c r="F2" t="s">
        <v>80</v>
      </c>
      <c r="G2">
        <v>9556.3203859726327</v>
      </c>
      <c r="H2">
        <v>0</v>
      </c>
      <c r="I2">
        <v>0</v>
      </c>
      <c r="J2">
        <v>21751.212214507759</v>
      </c>
      <c r="K2">
        <v>9556.3203859726327</v>
      </c>
      <c r="L2">
        <v>0.439346565686978</v>
      </c>
    </row>
    <row r="3" spans="1:12" x14ac:dyDescent="0.35">
      <c r="A3">
        <v>2025</v>
      </c>
      <c r="B3" t="s">
        <v>6</v>
      </c>
      <c r="C3" t="s">
        <v>4</v>
      </c>
      <c r="D3" t="s">
        <v>16</v>
      </c>
      <c r="E3" t="s">
        <v>483</v>
      </c>
      <c r="F3" t="s">
        <v>81</v>
      </c>
      <c r="G3">
        <v>9556.3203859726327</v>
      </c>
      <c r="H3">
        <v>3494</v>
      </c>
      <c r="I3">
        <v>1482.0913083373639</v>
      </c>
      <c r="J3">
        <v>18257.212214507759</v>
      </c>
      <c r="K3">
        <v>8074.2290776352684</v>
      </c>
      <c r="L3">
        <v>0.439346565686978</v>
      </c>
    </row>
    <row r="4" spans="1:12" x14ac:dyDescent="0.35">
      <c r="A4">
        <v>2025</v>
      </c>
      <c r="B4" t="s">
        <v>6</v>
      </c>
      <c r="C4" t="s">
        <v>4</v>
      </c>
      <c r="D4" t="s">
        <v>18</v>
      </c>
      <c r="E4" t="s">
        <v>483</v>
      </c>
      <c r="F4" t="s">
        <v>85</v>
      </c>
      <c r="G4">
        <v>9556.3203859726327</v>
      </c>
      <c r="H4">
        <v>3850.4060559825398</v>
      </c>
      <c r="I4">
        <v>1633.272280807462</v>
      </c>
      <c r="J4">
        <v>17900.806158525222</v>
      </c>
      <c r="K4">
        <v>7923.0481051651705</v>
      </c>
      <c r="L4">
        <v>0.439346565686978</v>
      </c>
    </row>
    <row r="5" spans="1:12" x14ac:dyDescent="0.35">
      <c r="A5">
        <v>2025</v>
      </c>
      <c r="B5" t="s">
        <v>6</v>
      </c>
      <c r="C5" t="s">
        <v>4</v>
      </c>
      <c r="D5" t="s">
        <v>18</v>
      </c>
      <c r="E5" t="s">
        <v>483</v>
      </c>
      <c r="F5" t="s">
        <v>86</v>
      </c>
      <c r="G5">
        <v>9556.3203859726327</v>
      </c>
      <c r="H5">
        <v>3850.4060559825398</v>
      </c>
      <c r="I5">
        <v>1633.272280807462</v>
      </c>
      <c r="J5">
        <v>17900.806158525222</v>
      </c>
      <c r="K5">
        <v>7923.0481051651705</v>
      </c>
      <c r="L5">
        <v>0.439346565686978</v>
      </c>
    </row>
    <row r="6" spans="1:12" x14ac:dyDescent="0.35">
      <c r="A6">
        <v>2025</v>
      </c>
      <c r="B6" t="s">
        <v>6</v>
      </c>
      <c r="C6" t="s">
        <v>4</v>
      </c>
      <c r="D6" t="s">
        <v>18</v>
      </c>
      <c r="E6" t="s">
        <v>490</v>
      </c>
      <c r="F6" t="s">
        <v>82</v>
      </c>
      <c r="G6">
        <v>9556.3203859726327</v>
      </c>
      <c r="H6">
        <v>3850.4060559825398</v>
      </c>
      <c r="I6">
        <v>1691.6626771962719</v>
      </c>
      <c r="J6">
        <v>17900.806158525222</v>
      </c>
      <c r="K6">
        <v>7864.6577087763599</v>
      </c>
      <c r="L6">
        <v>0.439346565686978</v>
      </c>
    </row>
    <row r="7" spans="1:12" x14ac:dyDescent="0.35">
      <c r="A7">
        <v>2025</v>
      </c>
      <c r="B7" t="s">
        <v>6</v>
      </c>
      <c r="C7" t="s">
        <v>9</v>
      </c>
      <c r="D7" t="s">
        <v>16</v>
      </c>
      <c r="E7" t="s">
        <v>483</v>
      </c>
      <c r="F7" t="s">
        <v>80</v>
      </c>
      <c r="G7">
        <v>8776.8728698047889</v>
      </c>
      <c r="H7">
        <v>0</v>
      </c>
      <c r="I7">
        <v>0</v>
      </c>
      <c r="J7">
        <v>19977.105900625302</v>
      </c>
      <c r="K7">
        <v>8776.8728698047889</v>
      </c>
      <c r="L7">
        <v>0.439346565686978</v>
      </c>
    </row>
    <row r="8" spans="1:12" x14ac:dyDescent="0.35">
      <c r="A8">
        <v>2025</v>
      </c>
      <c r="B8" t="s">
        <v>6</v>
      </c>
      <c r="C8" t="s">
        <v>9</v>
      </c>
      <c r="D8" t="s">
        <v>16</v>
      </c>
      <c r="E8" t="s">
        <v>483</v>
      </c>
      <c r="F8" t="s">
        <v>81</v>
      </c>
      <c r="G8">
        <v>8776.8728698047889</v>
      </c>
      <c r="H8">
        <v>3494</v>
      </c>
      <c r="I8">
        <v>1482.0913083373639</v>
      </c>
      <c r="J8">
        <v>16483.105900625302</v>
      </c>
      <c r="K8">
        <v>7294.7815614674246</v>
      </c>
      <c r="L8">
        <v>0.439346565686978</v>
      </c>
    </row>
    <row r="9" spans="1:12" x14ac:dyDescent="0.35">
      <c r="A9">
        <v>2025</v>
      </c>
      <c r="B9" t="s">
        <v>6</v>
      </c>
      <c r="C9" t="s">
        <v>9</v>
      </c>
      <c r="D9" t="s">
        <v>18</v>
      </c>
      <c r="E9" t="s">
        <v>483</v>
      </c>
      <c r="F9" t="s">
        <v>85</v>
      </c>
      <c r="G9">
        <v>8776.8728698047889</v>
      </c>
      <c r="H9">
        <v>3850.4060559825398</v>
      </c>
      <c r="I9">
        <v>1633.272280807462</v>
      </c>
      <c r="J9">
        <v>16126.699844642761</v>
      </c>
      <c r="K9">
        <v>7143.6005889973267</v>
      </c>
      <c r="L9">
        <v>0.439346565686978</v>
      </c>
    </row>
    <row r="10" spans="1:12" x14ac:dyDescent="0.35">
      <c r="A10">
        <v>2025</v>
      </c>
      <c r="B10" t="s">
        <v>6</v>
      </c>
      <c r="C10" t="s">
        <v>9</v>
      </c>
      <c r="D10" t="s">
        <v>18</v>
      </c>
      <c r="E10" t="s">
        <v>483</v>
      </c>
      <c r="F10" t="s">
        <v>86</v>
      </c>
      <c r="G10">
        <v>8776.8728698047889</v>
      </c>
      <c r="H10">
        <v>3850.4060559825398</v>
      </c>
      <c r="I10">
        <v>1633.272280807462</v>
      </c>
      <c r="J10">
        <v>16126.699844642761</v>
      </c>
      <c r="K10">
        <v>7143.6005889973267</v>
      </c>
      <c r="L10">
        <v>0.439346565686978</v>
      </c>
    </row>
    <row r="11" spans="1:12" x14ac:dyDescent="0.35">
      <c r="A11">
        <v>2025</v>
      </c>
      <c r="B11" t="s">
        <v>6</v>
      </c>
      <c r="C11" t="s">
        <v>9</v>
      </c>
      <c r="D11" t="s">
        <v>18</v>
      </c>
      <c r="E11" t="s">
        <v>490</v>
      </c>
      <c r="F11" t="s">
        <v>82</v>
      </c>
      <c r="G11">
        <v>8776.8728698047889</v>
      </c>
      <c r="H11">
        <v>3850.4060559825398</v>
      </c>
      <c r="I11">
        <v>1691.6626771962719</v>
      </c>
      <c r="J11">
        <v>16126.699844642761</v>
      </c>
      <c r="K11">
        <v>7085.2101926085161</v>
      </c>
      <c r="L11">
        <v>0.439346565686978</v>
      </c>
    </row>
    <row r="12" spans="1:12" x14ac:dyDescent="0.35">
      <c r="A12">
        <v>2025</v>
      </c>
      <c r="B12" t="s">
        <v>6</v>
      </c>
      <c r="C12" t="s">
        <v>10</v>
      </c>
      <c r="D12" t="s">
        <v>16</v>
      </c>
      <c r="E12" t="s">
        <v>483</v>
      </c>
      <c r="F12" t="s">
        <v>80</v>
      </c>
      <c r="G12">
        <v>9422.7255621447621</v>
      </c>
      <c r="H12">
        <v>0</v>
      </c>
      <c r="I12">
        <v>0</v>
      </c>
      <c r="J12">
        <v>21447.136038063829</v>
      </c>
      <c r="K12">
        <v>9422.7255621447621</v>
      </c>
      <c r="L12">
        <v>0.439346565686978</v>
      </c>
    </row>
    <row r="13" spans="1:12" x14ac:dyDescent="0.35">
      <c r="A13">
        <v>2025</v>
      </c>
      <c r="B13" t="s">
        <v>6</v>
      </c>
      <c r="C13" t="s">
        <v>10</v>
      </c>
      <c r="D13" t="s">
        <v>16</v>
      </c>
      <c r="E13" t="s">
        <v>483</v>
      </c>
      <c r="F13" t="s">
        <v>81</v>
      </c>
      <c r="G13">
        <v>9422.7255621447621</v>
      </c>
      <c r="H13">
        <v>3494</v>
      </c>
      <c r="I13">
        <v>1482.0913083373639</v>
      </c>
      <c r="J13">
        <v>17953.136038063829</v>
      </c>
      <c r="K13">
        <v>7940.6342538073977</v>
      </c>
      <c r="L13">
        <v>0.439346565686978</v>
      </c>
    </row>
    <row r="14" spans="1:12" x14ac:dyDescent="0.35">
      <c r="A14">
        <v>2025</v>
      </c>
      <c r="B14" t="s">
        <v>6</v>
      </c>
      <c r="C14" t="s">
        <v>10</v>
      </c>
      <c r="D14" t="s">
        <v>18</v>
      </c>
      <c r="E14" t="s">
        <v>483</v>
      </c>
      <c r="F14" t="s">
        <v>85</v>
      </c>
      <c r="G14">
        <v>9422.7255621447621</v>
      </c>
      <c r="H14">
        <v>3850.4060559825398</v>
      </c>
      <c r="I14">
        <v>1633.272280807462</v>
      </c>
      <c r="J14">
        <v>17596.72998208128</v>
      </c>
      <c r="K14">
        <v>7789.4532813372998</v>
      </c>
      <c r="L14">
        <v>0.439346565686978</v>
      </c>
    </row>
    <row r="15" spans="1:12" x14ac:dyDescent="0.35">
      <c r="A15">
        <v>2025</v>
      </c>
      <c r="B15" t="s">
        <v>6</v>
      </c>
      <c r="C15" t="s">
        <v>10</v>
      </c>
      <c r="D15" t="s">
        <v>18</v>
      </c>
      <c r="E15" t="s">
        <v>483</v>
      </c>
      <c r="F15" t="s">
        <v>86</v>
      </c>
      <c r="G15">
        <v>9422.7255621447621</v>
      </c>
      <c r="H15">
        <v>3850.4060559825398</v>
      </c>
      <c r="I15">
        <v>1633.272280807462</v>
      </c>
      <c r="J15">
        <v>17596.72998208128</v>
      </c>
      <c r="K15">
        <v>7789.4532813372998</v>
      </c>
      <c r="L15">
        <v>0.439346565686978</v>
      </c>
    </row>
    <row r="16" spans="1:12" x14ac:dyDescent="0.35">
      <c r="A16">
        <v>2025</v>
      </c>
      <c r="B16" t="s">
        <v>6</v>
      </c>
      <c r="C16" t="s">
        <v>10</v>
      </c>
      <c r="D16" t="s">
        <v>18</v>
      </c>
      <c r="E16" t="s">
        <v>490</v>
      </c>
      <c r="F16" t="s">
        <v>82</v>
      </c>
      <c r="G16">
        <v>9422.7255621447621</v>
      </c>
      <c r="H16">
        <v>3850.4060559825398</v>
      </c>
      <c r="I16">
        <v>1691.6626771962719</v>
      </c>
      <c r="J16">
        <v>17596.72998208128</v>
      </c>
      <c r="K16">
        <v>7731.0628849484892</v>
      </c>
      <c r="L16">
        <v>0.439346565686978</v>
      </c>
    </row>
    <row r="17" spans="1:12" x14ac:dyDescent="0.35">
      <c r="A17">
        <v>2025</v>
      </c>
      <c r="B17" t="s">
        <v>7</v>
      </c>
      <c r="C17" t="s">
        <v>4</v>
      </c>
      <c r="D17" t="s">
        <v>16</v>
      </c>
      <c r="E17" t="s">
        <v>483</v>
      </c>
      <c r="F17" t="s">
        <v>80</v>
      </c>
      <c r="G17">
        <v>816152.33242339652</v>
      </c>
      <c r="H17">
        <v>0</v>
      </c>
      <c r="I17">
        <v>0</v>
      </c>
      <c r="J17">
        <v>977725.63681178517</v>
      </c>
      <c r="K17">
        <v>816152.33242339652</v>
      </c>
      <c r="L17">
        <v>0.83474576271186396</v>
      </c>
    </row>
    <row r="18" spans="1:12" x14ac:dyDescent="0.35">
      <c r="A18">
        <v>2025</v>
      </c>
      <c r="B18" t="s">
        <v>7</v>
      </c>
      <c r="C18" t="s">
        <v>4</v>
      </c>
      <c r="D18" t="s">
        <v>16</v>
      </c>
      <c r="E18" t="s">
        <v>483</v>
      </c>
      <c r="F18" t="s">
        <v>81</v>
      </c>
      <c r="G18">
        <v>816152.33242339652</v>
      </c>
      <c r="H18">
        <v>483888</v>
      </c>
      <c r="I18">
        <v>254335.73656839409</v>
      </c>
      <c r="J18">
        <v>493837.63681178523</v>
      </c>
      <c r="K18">
        <v>561816.59585500252</v>
      </c>
      <c r="L18">
        <v>0.83474576271186396</v>
      </c>
    </row>
    <row r="19" spans="1:12" x14ac:dyDescent="0.35">
      <c r="A19">
        <v>2025</v>
      </c>
      <c r="B19" t="s">
        <v>7</v>
      </c>
      <c r="C19" t="s">
        <v>4</v>
      </c>
      <c r="D19" t="s">
        <v>18</v>
      </c>
      <c r="E19" t="s">
        <v>483</v>
      </c>
      <c r="F19" t="s">
        <v>85</v>
      </c>
      <c r="G19">
        <v>816152.33242339652</v>
      </c>
      <c r="H19">
        <v>534750.25845525716</v>
      </c>
      <c r="I19">
        <v>281069.38147744298</v>
      </c>
      <c r="J19">
        <v>442975.378356528</v>
      </c>
      <c r="K19">
        <v>535082.95094595361</v>
      </c>
      <c r="L19">
        <v>0.83474576271186396</v>
      </c>
    </row>
    <row r="20" spans="1:12" x14ac:dyDescent="0.35">
      <c r="A20">
        <v>2025</v>
      </c>
      <c r="B20" t="s">
        <v>7</v>
      </c>
      <c r="C20" t="s">
        <v>4</v>
      </c>
      <c r="D20" t="s">
        <v>18</v>
      </c>
      <c r="E20" t="s">
        <v>483</v>
      </c>
      <c r="F20" t="s">
        <v>86</v>
      </c>
      <c r="G20">
        <v>816152.33242339652</v>
      </c>
      <c r="H20">
        <v>534750.25845525716</v>
      </c>
      <c r="I20">
        <v>281069.38147744298</v>
      </c>
      <c r="J20">
        <v>442975.378356528</v>
      </c>
      <c r="K20">
        <v>535082.95094595361</v>
      </c>
      <c r="L20">
        <v>0.83474576271186396</v>
      </c>
    </row>
    <row r="21" spans="1:12" x14ac:dyDescent="0.35">
      <c r="A21">
        <v>2025</v>
      </c>
      <c r="B21" t="s">
        <v>7</v>
      </c>
      <c r="C21" t="s">
        <v>4</v>
      </c>
      <c r="D21" t="s">
        <v>18</v>
      </c>
      <c r="E21" t="s">
        <v>490</v>
      </c>
      <c r="F21" t="s">
        <v>82</v>
      </c>
      <c r="G21">
        <v>816152.33242339652</v>
      </c>
      <c r="H21">
        <v>534750.25845525716</v>
      </c>
      <c r="I21">
        <v>446380.51235460019</v>
      </c>
      <c r="J21">
        <v>442975.378356528</v>
      </c>
      <c r="K21">
        <v>369771.82006879628</v>
      </c>
      <c r="L21">
        <v>0.83474576271186396</v>
      </c>
    </row>
    <row r="22" spans="1:12" x14ac:dyDescent="0.35">
      <c r="A22">
        <v>2025</v>
      </c>
      <c r="B22" t="s">
        <v>7</v>
      </c>
      <c r="C22" t="s">
        <v>9</v>
      </c>
      <c r="D22" t="s">
        <v>16</v>
      </c>
      <c r="E22" t="s">
        <v>483</v>
      </c>
      <c r="F22" t="s">
        <v>80</v>
      </c>
      <c r="G22">
        <v>825658.90499835368</v>
      </c>
      <c r="H22">
        <v>0</v>
      </c>
      <c r="I22">
        <v>0</v>
      </c>
      <c r="J22">
        <v>989114.22121630237</v>
      </c>
      <c r="K22">
        <v>825658.90499835368</v>
      </c>
      <c r="L22">
        <v>0.83474576271186396</v>
      </c>
    </row>
    <row r="23" spans="1:12" x14ac:dyDescent="0.35">
      <c r="A23">
        <v>2025</v>
      </c>
      <c r="B23" t="s">
        <v>7</v>
      </c>
      <c r="C23" t="s">
        <v>9</v>
      </c>
      <c r="D23" t="s">
        <v>16</v>
      </c>
      <c r="E23" t="s">
        <v>483</v>
      </c>
      <c r="F23" t="s">
        <v>81</v>
      </c>
      <c r="G23">
        <v>825658.90499835368</v>
      </c>
      <c r="H23">
        <v>483888</v>
      </c>
      <c r="I23">
        <v>254335.73656839409</v>
      </c>
      <c r="J23">
        <v>505226.22121630242</v>
      </c>
      <c r="K23">
        <v>571323.16842995957</v>
      </c>
      <c r="L23">
        <v>0.83474576271186396</v>
      </c>
    </row>
    <row r="24" spans="1:12" x14ac:dyDescent="0.35">
      <c r="A24">
        <v>2025</v>
      </c>
      <c r="B24" t="s">
        <v>7</v>
      </c>
      <c r="C24" t="s">
        <v>9</v>
      </c>
      <c r="D24" t="s">
        <v>18</v>
      </c>
      <c r="E24" t="s">
        <v>483</v>
      </c>
      <c r="F24" t="s">
        <v>85</v>
      </c>
      <c r="G24">
        <v>825658.90499835368</v>
      </c>
      <c r="H24">
        <v>534750.25845525716</v>
      </c>
      <c r="I24">
        <v>281069.38147744298</v>
      </c>
      <c r="J24">
        <v>454363.9627610452</v>
      </c>
      <c r="K24">
        <v>544589.52352091065</v>
      </c>
      <c r="L24">
        <v>0.83474576271186396</v>
      </c>
    </row>
    <row r="25" spans="1:12" x14ac:dyDescent="0.35">
      <c r="A25">
        <v>2025</v>
      </c>
      <c r="B25" t="s">
        <v>7</v>
      </c>
      <c r="C25" t="s">
        <v>9</v>
      </c>
      <c r="D25" t="s">
        <v>18</v>
      </c>
      <c r="E25" t="s">
        <v>483</v>
      </c>
      <c r="F25" t="s">
        <v>86</v>
      </c>
      <c r="G25">
        <v>825658.90499835368</v>
      </c>
      <c r="H25">
        <v>534750.25845525716</v>
      </c>
      <c r="I25">
        <v>281069.38147744298</v>
      </c>
      <c r="J25">
        <v>454363.9627610452</v>
      </c>
      <c r="K25">
        <v>544589.52352091065</v>
      </c>
      <c r="L25">
        <v>0.83474576271186396</v>
      </c>
    </row>
    <row r="26" spans="1:12" x14ac:dyDescent="0.35">
      <c r="A26">
        <v>2025</v>
      </c>
      <c r="B26" t="s">
        <v>7</v>
      </c>
      <c r="C26" t="s">
        <v>9</v>
      </c>
      <c r="D26" t="s">
        <v>18</v>
      </c>
      <c r="E26" t="s">
        <v>490</v>
      </c>
      <c r="F26" t="s">
        <v>82</v>
      </c>
      <c r="G26">
        <v>825658.90499835368</v>
      </c>
      <c r="H26">
        <v>534750.25845525716</v>
      </c>
      <c r="I26">
        <v>446380.51235460019</v>
      </c>
      <c r="J26">
        <v>454363.9627610452</v>
      </c>
      <c r="K26">
        <v>379278.39264375338</v>
      </c>
      <c r="L26">
        <v>0.83474576271186396</v>
      </c>
    </row>
    <row r="27" spans="1:12" x14ac:dyDescent="0.35">
      <c r="A27">
        <v>2025</v>
      </c>
      <c r="B27" t="s">
        <v>7</v>
      </c>
      <c r="C27" t="s">
        <v>10</v>
      </c>
      <c r="D27" t="s">
        <v>16</v>
      </c>
      <c r="E27" t="s">
        <v>483</v>
      </c>
      <c r="F27" t="s">
        <v>80</v>
      </c>
      <c r="G27">
        <v>813205.98217637825</v>
      </c>
      <c r="H27">
        <v>0</v>
      </c>
      <c r="I27">
        <v>0</v>
      </c>
      <c r="J27">
        <v>974195.99895241309</v>
      </c>
      <c r="K27">
        <v>813205.98217637825</v>
      </c>
      <c r="L27">
        <v>0.83474576271186396</v>
      </c>
    </row>
    <row r="28" spans="1:12" x14ac:dyDescent="0.35">
      <c r="A28">
        <v>2025</v>
      </c>
      <c r="B28" t="s">
        <v>7</v>
      </c>
      <c r="C28" t="s">
        <v>10</v>
      </c>
      <c r="D28" t="s">
        <v>16</v>
      </c>
      <c r="E28" t="s">
        <v>483</v>
      </c>
      <c r="F28" t="s">
        <v>81</v>
      </c>
      <c r="G28">
        <v>813205.98217637825</v>
      </c>
      <c r="H28">
        <v>483888</v>
      </c>
      <c r="I28">
        <v>254335.73656839409</v>
      </c>
      <c r="J28">
        <v>490307.99895241309</v>
      </c>
      <c r="K28">
        <v>558870.24560798425</v>
      </c>
      <c r="L28">
        <v>0.83474576271186396</v>
      </c>
    </row>
    <row r="29" spans="1:12" x14ac:dyDescent="0.35">
      <c r="A29">
        <v>2025</v>
      </c>
      <c r="B29" t="s">
        <v>7</v>
      </c>
      <c r="C29" t="s">
        <v>10</v>
      </c>
      <c r="D29" t="s">
        <v>18</v>
      </c>
      <c r="E29" t="s">
        <v>483</v>
      </c>
      <c r="F29" t="s">
        <v>85</v>
      </c>
      <c r="G29">
        <v>813205.98217637825</v>
      </c>
      <c r="H29">
        <v>534750.25845525716</v>
      </c>
      <c r="I29">
        <v>281069.38147744298</v>
      </c>
      <c r="J29">
        <v>439445.74049715587</v>
      </c>
      <c r="K29">
        <v>532136.60069893533</v>
      </c>
      <c r="L29">
        <v>0.83474576271186396</v>
      </c>
    </row>
    <row r="30" spans="1:12" x14ac:dyDescent="0.35">
      <c r="A30">
        <v>2025</v>
      </c>
      <c r="B30" t="s">
        <v>7</v>
      </c>
      <c r="C30" t="s">
        <v>10</v>
      </c>
      <c r="D30" t="s">
        <v>18</v>
      </c>
      <c r="E30" t="s">
        <v>483</v>
      </c>
      <c r="F30" t="s">
        <v>86</v>
      </c>
      <c r="G30">
        <v>813205.98217637825</v>
      </c>
      <c r="H30">
        <v>534750.25845525716</v>
      </c>
      <c r="I30">
        <v>281069.38147744298</v>
      </c>
      <c r="J30">
        <v>439445.74049715587</v>
      </c>
      <c r="K30">
        <v>532136.60069893533</v>
      </c>
      <c r="L30">
        <v>0.83474576271186396</v>
      </c>
    </row>
    <row r="31" spans="1:12" x14ac:dyDescent="0.35">
      <c r="A31">
        <v>2025</v>
      </c>
      <c r="B31" t="s">
        <v>7</v>
      </c>
      <c r="C31" t="s">
        <v>10</v>
      </c>
      <c r="D31" t="s">
        <v>18</v>
      </c>
      <c r="E31" t="s">
        <v>490</v>
      </c>
      <c r="F31" t="s">
        <v>82</v>
      </c>
      <c r="G31">
        <v>813205.98217637825</v>
      </c>
      <c r="H31">
        <v>534750.25845525716</v>
      </c>
      <c r="I31">
        <v>446380.51235460019</v>
      </c>
      <c r="J31">
        <v>439445.74049715587</v>
      </c>
      <c r="K31">
        <v>366825.46982177801</v>
      </c>
      <c r="L31">
        <v>0.83474576271186396</v>
      </c>
    </row>
    <row r="32" spans="1:12" x14ac:dyDescent="0.35">
      <c r="A32">
        <v>2025</v>
      </c>
      <c r="B32" t="s">
        <v>13</v>
      </c>
      <c r="C32" t="s">
        <v>4</v>
      </c>
      <c r="D32" t="s">
        <v>16</v>
      </c>
      <c r="E32" t="s">
        <v>483</v>
      </c>
      <c r="F32" t="s">
        <v>80</v>
      </c>
      <c r="G32">
        <v>413.38674287243032</v>
      </c>
      <c r="H32">
        <v>0</v>
      </c>
      <c r="I32">
        <v>0</v>
      </c>
      <c r="J32">
        <v>413.38674287243032</v>
      </c>
      <c r="K32">
        <v>413.38674287243032</v>
      </c>
      <c r="L32">
        <v>1</v>
      </c>
    </row>
    <row r="33" spans="1:12" x14ac:dyDescent="0.35">
      <c r="A33">
        <v>2025</v>
      </c>
      <c r="B33" t="s">
        <v>13</v>
      </c>
      <c r="C33" t="s">
        <v>4</v>
      </c>
      <c r="D33" t="s">
        <v>16</v>
      </c>
      <c r="E33" t="s">
        <v>483</v>
      </c>
      <c r="F33" t="s">
        <v>81</v>
      </c>
      <c r="G33">
        <v>413.38674287243032</v>
      </c>
      <c r="H33">
        <v>0</v>
      </c>
      <c r="I33">
        <v>0</v>
      </c>
      <c r="J33">
        <v>413.38674287243032</v>
      </c>
      <c r="K33">
        <v>413.38674287243032</v>
      </c>
      <c r="L33">
        <v>1</v>
      </c>
    </row>
    <row r="34" spans="1:12" x14ac:dyDescent="0.35">
      <c r="A34">
        <v>2025</v>
      </c>
      <c r="B34" t="s">
        <v>13</v>
      </c>
      <c r="C34" t="s">
        <v>4</v>
      </c>
      <c r="D34" t="s">
        <v>18</v>
      </c>
      <c r="E34" t="s">
        <v>483</v>
      </c>
      <c r="F34" t="s">
        <v>85</v>
      </c>
      <c r="G34">
        <v>413.38674287243032</v>
      </c>
      <c r="H34">
        <v>99547</v>
      </c>
      <c r="I34">
        <v>32850.51</v>
      </c>
      <c r="J34">
        <v>0</v>
      </c>
      <c r="K34">
        <v>0</v>
      </c>
      <c r="L34">
        <v>1</v>
      </c>
    </row>
    <row r="35" spans="1:12" x14ac:dyDescent="0.35">
      <c r="A35">
        <v>2025</v>
      </c>
      <c r="B35" t="s">
        <v>13</v>
      </c>
      <c r="C35" t="s">
        <v>4</v>
      </c>
      <c r="D35" t="s">
        <v>18</v>
      </c>
      <c r="E35" t="s">
        <v>483</v>
      </c>
      <c r="F35" t="s">
        <v>86</v>
      </c>
      <c r="G35">
        <v>413.38674287243032</v>
      </c>
      <c r="H35">
        <v>99547</v>
      </c>
      <c r="I35">
        <v>32850.51</v>
      </c>
      <c r="J35">
        <v>0</v>
      </c>
      <c r="K35">
        <v>0</v>
      </c>
      <c r="L35">
        <v>1</v>
      </c>
    </row>
    <row r="36" spans="1:12" x14ac:dyDescent="0.35">
      <c r="A36">
        <v>2025</v>
      </c>
      <c r="B36" t="s">
        <v>13</v>
      </c>
      <c r="C36" t="s">
        <v>4</v>
      </c>
      <c r="D36" t="s">
        <v>18</v>
      </c>
      <c r="E36" t="s">
        <v>490</v>
      </c>
      <c r="F36" t="s">
        <v>82</v>
      </c>
      <c r="G36">
        <v>413.38674287243032</v>
      </c>
      <c r="H36">
        <v>99547</v>
      </c>
      <c r="I36">
        <v>32850.51</v>
      </c>
      <c r="J36">
        <v>0</v>
      </c>
      <c r="K36">
        <v>0</v>
      </c>
      <c r="L36">
        <v>1</v>
      </c>
    </row>
    <row r="37" spans="1:12" x14ac:dyDescent="0.35">
      <c r="A37">
        <v>2025</v>
      </c>
      <c r="B37" t="s">
        <v>13</v>
      </c>
      <c r="C37" t="s">
        <v>9</v>
      </c>
      <c r="D37" t="s">
        <v>16</v>
      </c>
      <c r="E37" t="s">
        <v>483</v>
      </c>
      <c r="F37" t="s">
        <v>80</v>
      </c>
      <c r="G37">
        <v>372.44306265009908</v>
      </c>
      <c r="H37">
        <v>0</v>
      </c>
      <c r="I37">
        <v>0</v>
      </c>
      <c r="J37">
        <v>372.44306265009908</v>
      </c>
      <c r="K37">
        <v>372.44306265009908</v>
      </c>
      <c r="L37">
        <v>1</v>
      </c>
    </row>
    <row r="38" spans="1:12" x14ac:dyDescent="0.35">
      <c r="A38">
        <v>2025</v>
      </c>
      <c r="B38" t="s">
        <v>13</v>
      </c>
      <c r="C38" t="s">
        <v>9</v>
      </c>
      <c r="D38" t="s">
        <v>16</v>
      </c>
      <c r="E38" t="s">
        <v>483</v>
      </c>
      <c r="F38" t="s">
        <v>81</v>
      </c>
      <c r="G38">
        <v>372.44306265009908</v>
      </c>
      <c r="H38">
        <v>0</v>
      </c>
      <c r="I38">
        <v>0</v>
      </c>
      <c r="J38">
        <v>372.44306265009908</v>
      </c>
      <c r="K38">
        <v>372.44306265009908</v>
      </c>
      <c r="L38">
        <v>1</v>
      </c>
    </row>
    <row r="39" spans="1:12" x14ac:dyDescent="0.35">
      <c r="A39">
        <v>2025</v>
      </c>
      <c r="B39" t="s">
        <v>13</v>
      </c>
      <c r="C39" t="s">
        <v>9</v>
      </c>
      <c r="D39" t="s">
        <v>18</v>
      </c>
      <c r="E39" t="s">
        <v>483</v>
      </c>
      <c r="F39" t="s">
        <v>85</v>
      </c>
      <c r="G39">
        <v>372.44306265009908</v>
      </c>
      <c r="H39">
        <v>99547</v>
      </c>
      <c r="I39">
        <v>32850.51</v>
      </c>
      <c r="J39">
        <v>0</v>
      </c>
      <c r="K39">
        <v>0</v>
      </c>
      <c r="L39">
        <v>1</v>
      </c>
    </row>
    <row r="40" spans="1:12" x14ac:dyDescent="0.35">
      <c r="A40">
        <v>2025</v>
      </c>
      <c r="B40" t="s">
        <v>13</v>
      </c>
      <c r="C40" t="s">
        <v>9</v>
      </c>
      <c r="D40" t="s">
        <v>18</v>
      </c>
      <c r="E40" t="s">
        <v>483</v>
      </c>
      <c r="F40" t="s">
        <v>86</v>
      </c>
      <c r="G40">
        <v>372.44306265009908</v>
      </c>
      <c r="H40">
        <v>99547</v>
      </c>
      <c r="I40">
        <v>32850.51</v>
      </c>
      <c r="J40">
        <v>0</v>
      </c>
      <c r="K40">
        <v>0</v>
      </c>
      <c r="L40">
        <v>1</v>
      </c>
    </row>
    <row r="41" spans="1:12" x14ac:dyDescent="0.35">
      <c r="A41">
        <v>2025</v>
      </c>
      <c r="B41" t="s">
        <v>13</v>
      </c>
      <c r="C41" t="s">
        <v>9</v>
      </c>
      <c r="D41" t="s">
        <v>18</v>
      </c>
      <c r="E41" t="s">
        <v>490</v>
      </c>
      <c r="F41" t="s">
        <v>82</v>
      </c>
      <c r="G41">
        <v>372.44306265009908</v>
      </c>
      <c r="H41">
        <v>99547</v>
      </c>
      <c r="I41">
        <v>32850.51</v>
      </c>
      <c r="J41">
        <v>0</v>
      </c>
      <c r="K41">
        <v>0</v>
      </c>
      <c r="L41">
        <v>1</v>
      </c>
    </row>
    <row r="42" spans="1:12" x14ac:dyDescent="0.35">
      <c r="A42">
        <v>2025</v>
      </c>
      <c r="B42" t="s">
        <v>13</v>
      </c>
      <c r="C42" t="s">
        <v>10</v>
      </c>
      <c r="D42" t="s">
        <v>16</v>
      </c>
      <c r="E42" t="s">
        <v>483</v>
      </c>
      <c r="F42" t="s">
        <v>80</v>
      </c>
      <c r="G42">
        <v>411.8870482855956</v>
      </c>
      <c r="H42">
        <v>0</v>
      </c>
      <c r="I42">
        <v>0</v>
      </c>
      <c r="J42">
        <v>411.8870482855956</v>
      </c>
      <c r="K42">
        <v>411.8870482855956</v>
      </c>
      <c r="L42">
        <v>1</v>
      </c>
    </row>
    <row r="43" spans="1:12" x14ac:dyDescent="0.35">
      <c r="A43">
        <v>2025</v>
      </c>
      <c r="B43" t="s">
        <v>13</v>
      </c>
      <c r="C43" t="s">
        <v>10</v>
      </c>
      <c r="D43" t="s">
        <v>16</v>
      </c>
      <c r="E43" t="s">
        <v>483</v>
      </c>
      <c r="F43" t="s">
        <v>81</v>
      </c>
      <c r="G43">
        <v>411.8870482855956</v>
      </c>
      <c r="H43">
        <v>0</v>
      </c>
      <c r="I43">
        <v>0</v>
      </c>
      <c r="J43">
        <v>411.8870482855956</v>
      </c>
      <c r="K43">
        <v>411.8870482855956</v>
      </c>
      <c r="L43">
        <v>1</v>
      </c>
    </row>
    <row r="44" spans="1:12" x14ac:dyDescent="0.35">
      <c r="A44">
        <v>2025</v>
      </c>
      <c r="B44" t="s">
        <v>13</v>
      </c>
      <c r="C44" t="s">
        <v>10</v>
      </c>
      <c r="D44" t="s">
        <v>18</v>
      </c>
      <c r="E44" t="s">
        <v>483</v>
      </c>
      <c r="F44" t="s">
        <v>85</v>
      </c>
      <c r="G44">
        <v>411.8870482855956</v>
      </c>
      <c r="H44">
        <v>99547</v>
      </c>
      <c r="I44">
        <v>32850.51</v>
      </c>
      <c r="J44">
        <v>0</v>
      </c>
      <c r="K44">
        <v>0</v>
      </c>
      <c r="L44">
        <v>1</v>
      </c>
    </row>
    <row r="45" spans="1:12" x14ac:dyDescent="0.35">
      <c r="A45">
        <v>2025</v>
      </c>
      <c r="B45" t="s">
        <v>13</v>
      </c>
      <c r="C45" t="s">
        <v>10</v>
      </c>
      <c r="D45" t="s">
        <v>18</v>
      </c>
      <c r="E45" t="s">
        <v>483</v>
      </c>
      <c r="F45" t="s">
        <v>86</v>
      </c>
      <c r="G45">
        <v>411.8870482855956</v>
      </c>
      <c r="H45">
        <v>99547</v>
      </c>
      <c r="I45">
        <v>32850.51</v>
      </c>
      <c r="J45">
        <v>0</v>
      </c>
      <c r="K45">
        <v>0</v>
      </c>
      <c r="L45">
        <v>1</v>
      </c>
    </row>
    <row r="46" spans="1:12" x14ac:dyDescent="0.35">
      <c r="A46">
        <v>2025</v>
      </c>
      <c r="B46" t="s">
        <v>13</v>
      </c>
      <c r="C46" t="s">
        <v>10</v>
      </c>
      <c r="D46" t="s">
        <v>18</v>
      </c>
      <c r="E46" t="s">
        <v>490</v>
      </c>
      <c r="F46" t="s">
        <v>82</v>
      </c>
      <c r="G46">
        <v>411.8870482855956</v>
      </c>
      <c r="H46">
        <v>99547</v>
      </c>
      <c r="I46">
        <v>32850.51</v>
      </c>
      <c r="J46">
        <v>0</v>
      </c>
      <c r="K46">
        <v>0</v>
      </c>
      <c r="L46">
        <v>1</v>
      </c>
    </row>
    <row r="47" spans="1:12" x14ac:dyDescent="0.35">
      <c r="A47">
        <v>2025</v>
      </c>
      <c r="B47" t="s">
        <v>12</v>
      </c>
      <c r="C47" t="s">
        <v>4</v>
      </c>
      <c r="D47" t="s">
        <v>16</v>
      </c>
      <c r="E47" t="s">
        <v>483</v>
      </c>
      <c r="F47" t="s">
        <v>80</v>
      </c>
      <c r="G47">
        <v>6247.3243664054053</v>
      </c>
      <c r="H47">
        <v>0</v>
      </c>
      <c r="I47">
        <v>0</v>
      </c>
      <c r="J47">
        <v>8935.3378414634062</v>
      </c>
      <c r="K47">
        <v>6247.3243664054053</v>
      </c>
      <c r="L47">
        <v>0.69917047091553897</v>
      </c>
    </row>
    <row r="48" spans="1:12" x14ac:dyDescent="0.35">
      <c r="A48">
        <v>2025</v>
      </c>
      <c r="B48" t="s">
        <v>12</v>
      </c>
      <c r="C48" t="s">
        <v>4</v>
      </c>
      <c r="D48" t="s">
        <v>16</v>
      </c>
      <c r="E48" t="s">
        <v>483</v>
      </c>
      <c r="F48" t="s">
        <v>81</v>
      </c>
      <c r="G48">
        <v>6247.3243664054053</v>
      </c>
      <c r="H48">
        <v>37578</v>
      </c>
      <c r="I48">
        <v>26273.427956064119</v>
      </c>
      <c r="J48">
        <v>0</v>
      </c>
      <c r="K48">
        <v>0</v>
      </c>
      <c r="L48">
        <v>0.69917047091553897</v>
      </c>
    </row>
    <row r="49" spans="1:12" x14ac:dyDescent="0.35">
      <c r="A49">
        <v>2025</v>
      </c>
      <c r="B49" t="s">
        <v>12</v>
      </c>
      <c r="C49" t="s">
        <v>4</v>
      </c>
      <c r="D49" t="s">
        <v>18</v>
      </c>
      <c r="E49" t="s">
        <v>483</v>
      </c>
      <c r="F49" t="s">
        <v>85</v>
      </c>
      <c r="G49">
        <v>6247.3243664054053</v>
      </c>
      <c r="H49">
        <v>84850</v>
      </c>
      <c r="I49">
        <v>59324.614457183481</v>
      </c>
      <c r="J49">
        <v>0</v>
      </c>
      <c r="K49">
        <v>0</v>
      </c>
      <c r="L49">
        <v>0.69917047091553897</v>
      </c>
    </row>
    <row r="50" spans="1:12" x14ac:dyDescent="0.35">
      <c r="A50">
        <v>2025</v>
      </c>
      <c r="B50" t="s">
        <v>12</v>
      </c>
      <c r="C50" t="s">
        <v>4</v>
      </c>
      <c r="D50" t="s">
        <v>18</v>
      </c>
      <c r="E50" t="s">
        <v>483</v>
      </c>
      <c r="F50" t="s">
        <v>86</v>
      </c>
      <c r="G50">
        <v>6247.3243664054053</v>
      </c>
      <c r="H50">
        <v>84850</v>
      </c>
      <c r="I50">
        <v>59324.614457183481</v>
      </c>
      <c r="J50">
        <v>0</v>
      </c>
      <c r="K50">
        <v>0</v>
      </c>
      <c r="L50">
        <v>0.69917047091553897</v>
      </c>
    </row>
    <row r="51" spans="1:12" x14ac:dyDescent="0.35">
      <c r="A51">
        <v>2025</v>
      </c>
      <c r="B51" t="s">
        <v>12</v>
      </c>
      <c r="C51" t="s">
        <v>4</v>
      </c>
      <c r="D51" t="s">
        <v>18</v>
      </c>
      <c r="E51" t="s">
        <v>490</v>
      </c>
      <c r="F51" t="s">
        <v>82</v>
      </c>
      <c r="G51">
        <v>6247.3243664054053</v>
      </c>
      <c r="H51">
        <v>84850</v>
      </c>
      <c r="I51">
        <v>59324.614457183481</v>
      </c>
      <c r="J51">
        <v>0</v>
      </c>
      <c r="K51">
        <v>0</v>
      </c>
      <c r="L51">
        <v>0.69917047091553897</v>
      </c>
    </row>
    <row r="52" spans="1:12" x14ac:dyDescent="0.35">
      <c r="A52">
        <v>2025</v>
      </c>
      <c r="B52" t="s">
        <v>12</v>
      </c>
      <c r="C52" t="s">
        <v>9</v>
      </c>
      <c r="D52" t="s">
        <v>16</v>
      </c>
      <c r="E52" t="s">
        <v>483</v>
      </c>
      <c r="F52" t="s">
        <v>80</v>
      </c>
      <c r="G52">
        <v>5628.5612940196597</v>
      </c>
      <c r="H52">
        <v>0</v>
      </c>
      <c r="I52">
        <v>0</v>
      </c>
      <c r="J52">
        <v>8050.3418381632428</v>
      </c>
      <c r="K52">
        <v>5628.5612940196597</v>
      </c>
      <c r="L52">
        <v>0.69917047091553897</v>
      </c>
    </row>
    <row r="53" spans="1:12" x14ac:dyDescent="0.35">
      <c r="A53">
        <v>2025</v>
      </c>
      <c r="B53" t="s">
        <v>12</v>
      </c>
      <c r="C53" t="s">
        <v>9</v>
      </c>
      <c r="D53" t="s">
        <v>16</v>
      </c>
      <c r="E53" t="s">
        <v>483</v>
      </c>
      <c r="F53" t="s">
        <v>81</v>
      </c>
      <c r="G53">
        <v>5628.5612940196597</v>
      </c>
      <c r="H53">
        <v>37578</v>
      </c>
      <c r="I53">
        <v>26273.427956064119</v>
      </c>
      <c r="J53">
        <v>0</v>
      </c>
      <c r="K53">
        <v>0</v>
      </c>
      <c r="L53">
        <v>0.69917047091553897</v>
      </c>
    </row>
    <row r="54" spans="1:12" x14ac:dyDescent="0.35">
      <c r="A54">
        <v>2025</v>
      </c>
      <c r="B54" t="s">
        <v>12</v>
      </c>
      <c r="C54" t="s">
        <v>9</v>
      </c>
      <c r="D54" t="s">
        <v>18</v>
      </c>
      <c r="E54" t="s">
        <v>483</v>
      </c>
      <c r="F54" t="s">
        <v>85</v>
      </c>
      <c r="G54">
        <v>5628.5612940196597</v>
      </c>
      <c r="H54">
        <v>84850</v>
      </c>
      <c r="I54">
        <v>59324.614457183481</v>
      </c>
      <c r="J54">
        <v>0</v>
      </c>
      <c r="K54">
        <v>0</v>
      </c>
      <c r="L54">
        <v>0.69917047091553897</v>
      </c>
    </row>
    <row r="55" spans="1:12" x14ac:dyDescent="0.35">
      <c r="A55">
        <v>2025</v>
      </c>
      <c r="B55" t="s">
        <v>12</v>
      </c>
      <c r="C55" t="s">
        <v>9</v>
      </c>
      <c r="D55" t="s">
        <v>18</v>
      </c>
      <c r="E55" t="s">
        <v>483</v>
      </c>
      <c r="F55" t="s">
        <v>86</v>
      </c>
      <c r="G55">
        <v>5628.5612940196597</v>
      </c>
      <c r="H55">
        <v>84850</v>
      </c>
      <c r="I55">
        <v>59324.614457183481</v>
      </c>
      <c r="J55">
        <v>0</v>
      </c>
      <c r="K55">
        <v>0</v>
      </c>
      <c r="L55">
        <v>0.69917047091553897</v>
      </c>
    </row>
    <row r="56" spans="1:12" x14ac:dyDescent="0.35">
      <c r="A56">
        <v>2025</v>
      </c>
      <c r="B56" t="s">
        <v>12</v>
      </c>
      <c r="C56" t="s">
        <v>9</v>
      </c>
      <c r="D56" t="s">
        <v>18</v>
      </c>
      <c r="E56" t="s">
        <v>490</v>
      </c>
      <c r="F56" t="s">
        <v>82</v>
      </c>
      <c r="G56">
        <v>5628.5612940196597</v>
      </c>
      <c r="H56">
        <v>84850</v>
      </c>
      <c r="I56">
        <v>59324.614457183481</v>
      </c>
      <c r="J56">
        <v>0</v>
      </c>
      <c r="K56">
        <v>0</v>
      </c>
      <c r="L56">
        <v>0.69917047091553897</v>
      </c>
    </row>
    <row r="57" spans="1:12" x14ac:dyDescent="0.35">
      <c r="A57">
        <v>2025</v>
      </c>
      <c r="B57" t="s">
        <v>12</v>
      </c>
      <c r="C57" t="s">
        <v>10</v>
      </c>
      <c r="D57" t="s">
        <v>16</v>
      </c>
      <c r="E57" t="s">
        <v>483</v>
      </c>
      <c r="F57" t="s">
        <v>80</v>
      </c>
      <c r="G57">
        <v>6224.6601695098034</v>
      </c>
      <c r="H57">
        <v>0</v>
      </c>
      <c r="I57">
        <v>0</v>
      </c>
      <c r="J57">
        <v>8902.92200321165</v>
      </c>
      <c r="K57">
        <v>6224.6601695098034</v>
      </c>
      <c r="L57">
        <v>0.69917047091553897</v>
      </c>
    </row>
    <row r="58" spans="1:12" x14ac:dyDescent="0.35">
      <c r="A58">
        <v>2025</v>
      </c>
      <c r="B58" t="s">
        <v>12</v>
      </c>
      <c r="C58" t="s">
        <v>10</v>
      </c>
      <c r="D58" t="s">
        <v>16</v>
      </c>
      <c r="E58" t="s">
        <v>483</v>
      </c>
      <c r="F58" t="s">
        <v>81</v>
      </c>
      <c r="G58">
        <v>6224.6601695098034</v>
      </c>
      <c r="H58">
        <v>37578</v>
      </c>
      <c r="I58">
        <v>26273.427956064119</v>
      </c>
      <c r="J58">
        <v>0</v>
      </c>
      <c r="K58">
        <v>0</v>
      </c>
      <c r="L58">
        <v>0.69917047091553897</v>
      </c>
    </row>
    <row r="59" spans="1:12" x14ac:dyDescent="0.35">
      <c r="A59">
        <v>2025</v>
      </c>
      <c r="B59" t="s">
        <v>12</v>
      </c>
      <c r="C59" t="s">
        <v>10</v>
      </c>
      <c r="D59" t="s">
        <v>18</v>
      </c>
      <c r="E59" t="s">
        <v>483</v>
      </c>
      <c r="F59" t="s">
        <v>85</v>
      </c>
      <c r="G59">
        <v>6224.6601695098034</v>
      </c>
      <c r="H59">
        <v>84850</v>
      </c>
      <c r="I59">
        <v>59324.614457183481</v>
      </c>
      <c r="J59">
        <v>0</v>
      </c>
      <c r="K59">
        <v>0</v>
      </c>
      <c r="L59">
        <v>0.69917047091553897</v>
      </c>
    </row>
    <row r="60" spans="1:12" x14ac:dyDescent="0.35">
      <c r="A60">
        <v>2025</v>
      </c>
      <c r="B60" t="s">
        <v>12</v>
      </c>
      <c r="C60" t="s">
        <v>10</v>
      </c>
      <c r="D60" t="s">
        <v>18</v>
      </c>
      <c r="E60" t="s">
        <v>483</v>
      </c>
      <c r="F60" t="s">
        <v>86</v>
      </c>
      <c r="G60">
        <v>6224.6601695098034</v>
      </c>
      <c r="H60">
        <v>84850</v>
      </c>
      <c r="I60">
        <v>59324.614457183481</v>
      </c>
      <c r="J60">
        <v>0</v>
      </c>
      <c r="K60">
        <v>0</v>
      </c>
      <c r="L60">
        <v>0.69917047091553897</v>
      </c>
    </row>
    <row r="61" spans="1:12" x14ac:dyDescent="0.35">
      <c r="A61">
        <v>2025</v>
      </c>
      <c r="B61" t="s">
        <v>12</v>
      </c>
      <c r="C61" t="s">
        <v>10</v>
      </c>
      <c r="D61" t="s">
        <v>18</v>
      </c>
      <c r="E61" t="s">
        <v>490</v>
      </c>
      <c r="F61" t="s">
        <v>82</v>
      </c>
      <c r="G61">
        <v>6224.6601695098034</v>
      </c>
      <c r="H61">
        <v>84850</v>
      </c>
      <c r="I61">
        <v>59324.614457183481</v>
      </c>
      <c r="J61">
        <v>0</v>
      </c>
      <c r="K61">
        <v>0</v>
      </c>
      <c r="L61">
        <v>0.69917047091553897</v>
      </c>
    </row>
    <row r="62" spans="1:12" x14ac:dyDescent="0.35">
      <c r="A62">
        <v>2025</v>
      </c>
      <c r="B62" t="s">
        <v>11</v>
      </c>
      <c r="C62" t="s">
        <v>4</v>
      </c>
      <c r="D62" t="s">
        <v>16</v>
      </c>
      <c r="E62" t="s">
        <v>483</v>
      </c>
      <c r="F62" t="s">
        <v>80</v>
      </c>
      <c r="G62">
        <v>325.38476223044881</v>
      </c>
      <c r="H62">
        <v>0</v>
      </c>
      <c r="I62">
        <v>0</v>
      </c>
      <c r="J62">
        <v>543.6272170263893</v>
      </c>
      <c r="K62">
        <v>325.38476223044881</v>
      </c>
      <c r="L62">
        <v>0.59854391398996798</v>
      </c>
    </row>
    <row r="63" spans="1:12" x14ac:dyDescent="0.35">
      <c r="A63">
        <v>2025</v>
      </c>
      <c r="B63" t="s">
        <v>11</v>
      </c>
      <c r="C63" t="s">
        <v>4</v>
      </c>
      <c r="D63" t="s">
        <v>16</v>
      </c>
      <c r="E63" t="s">
        <v>483</v>
      </c>
      <c r="F63" t="s">
        <v>81</v>
      </c>
      <c r="G63">
        <v>325.38476223044881</v>
      </c>
      <c r="H63">
        <v>0</v>
      </c>
      <c r="I63">
        <v>0</v>
      </c>
      <c r="J63">
        <v>543.6272170263893</v>
      </c>
      <c r="K63">
        <v>325.38476223044881</v>
      </c>
      <c r="L63">
        <v>0.59854391398996798</v>
      </c>
    </row>
    <row r="64" spans="1:12" x14ac:dyDescent="0.35">
      <c r="A64">
        <v>2025</v>
      </c>
      <c r="B64" t="s">
        <v>11</v>
      </c>
      <c r="C64" t="s">
        <v>4</v>
      </c>
      <c r="D64" t="s">
        <v>18</v>
      </c>
      <c r="E64" t="s">
        <v>483</v>
      </c>
      <c r="F64" t="s">
        <v>85</v>
      </c>
      <c r="G64">
        <v>325.38476223044881</v>
      </c>
      <c r="H64">
        <v>2.7492305175562488</v>
      </c>
      <c r="I64">
        <v>1.6455351944387819</v>
      </c>
      <c r="J64">
        <v>540.87798650883303</v>
      </c>
      <c r="K64">
        <v>323.73922703600999</v>
      </c>
      <c r="L64">
        <v>0.59854391398996798</v>
      </c>
    </row>
    <row r="65" spans="1:12" x14ac:dyDescent="0.35">
      <c r="A65">
        <v>2025</v>
      </c>
      <c r="B65" t="s">
        <v>11</v>
      </c>
      <c r="C65" t="s">
        <v>4</v>
      </c>
      <c r="D65" t="s">
        <v>18</v>
      </c>
      <c r="E65" t="s">
        <v>483</v>
      </c>
      <c r="F65" t="s">
        <v>86</v>
      </c>
      <c r="G65">
        <v>325.38476223044881</v>
      </c>
      <c r="H65">
        <v>2.7492305175562488</v>
      </c>
      <c r="I65">
        <v>1.6455351944387819</v>
      </c>
      <c r="J65">
        <v>540.87798650883303</v>
      </c>
      <c r="K65">
        <v>323.73922703600999</v>
      </c>
      <c r="L65">
        <v>0.59854391398996798</v>
      </c>
    </row>
    <row r="66" spans="1:12" x14ac:dyDescent="0.35">
      <c r="A66">
        <v>2025</v>
      </c>
      <c r="B66" t="s">
        <v>11</v>
      </c>
      <c r="C66" t="s">
        <v>4</v>
      </c>
      <c r="D66" t="s">
        <v>18</v>
      </c>
      <c r="E66" t="s">
        <v>490</v>
      </c>
      <c r="F66" t="s">
        <v>82</v>
      </c>
      <c r="G66">
        <v>325.38476223044881</v>
      </c>
      <c r="H66">
        <v>2.7492305175562488</v>
      </c>
      <c r="I66">
        <v>1.6455351944387819</v>
      </c>
      <c r="J66">
        <v>540.87798650883303</v>
      </c>
      <c r="K66">
        <v>323.73922703600999</v>
      </c>
      <c r="L66">
        <v>0.59854391398996798</v>
      </c>
    </row>
    <row r="67" spans="1:12" x14ac:dyDescent="0.35">
      <c r="A67">
        <v>2025</v>
      </c>
      <c r="B67" t="s">
        <v>11</v>
      </c>
      <c r="C67" t="s">
        <v>9</v>
      </c>
      <c r="D67" t="s">
        <v>16</v>
      </c>
      <c r="E67" t="s">
        <v>483</v>
      </c>
      <c r="F67" t="s">
        <v>80</v>
      </c>
      <c r="G67">
        <v>293.15719353433781</v>
      </c>
      <c r="H67">
        <v>0</v>
      </c>
      <c r="I67">
        <v>0</v>
      </c>
      <c r="J67">
        <v>489.78393511700023</v>
      </c>
      <c r="K67">
        <v>293.15719353433781</v>
      </c>
      <c r="L67">
        <v>0.59854391398996798</v>
      </c>
    </row>
    <row r="68" spans="1:12" x14ac:dyDescent="0.35">
      <c r="A68">
        <v>2025</v>
      </c>
      <c r="B68" t="s">
        <v>11</v>
      </c>
      <c r="C68" t="s">
        <v>9</v>
      </c>
      <c r="D68" t="s">
        <v>16</v>
      </c>
      <c r="E68" t="s">
        <v>483</v>
      </c>
      <c r="F68" t="s">
        <v>81</v>
      </c>
      <c r="G68">
        <v>293.15719353433781</v>
      </c>
      <c r="H68">
        <v>0</v>
      </c>
      <c r="I68">
        <v>0</v>
      </c>
      <c r="J68">
        <v>489.78393511700023</v>
      </c>
      <c r="K68">
        <v>293.15719353433781</v>
      </c>
      <c r="L68">
        <v>0.59854391398996798</v>
      </c>
    </row>
    <row r="69" spans="1:12" x14ac:dyDescent="0.35">
      <c r="A69">
        <v>2025</v>
      </c>
      <c r="B69" t="s">
        <v>11</v>
      </c>
      <c r="C69" t="s">
        <v>9</v>
      </c>
      <c r="D69" t="s">
        <v>18</v>
      </c>
      <c r="E69" t="s">
        <v>483</v>
      </c>
      <c r="F69" t="s">
        <v>85</v>
      </c>
      <c r="G69">
        <v>293.15719353433781</v>
      </c>
      <c r="H69">
        <v>2.7492305175562488</v>
      </c>
      <c r="I69">
        <v>1.6455351944387819</v>
      </c>
      <c r="J69">
        <v>487.0347045994439</v>
      </c>
      <c r="K69">
        <v>291.51165833989899</v>
      </c>
      <c r="L69">
        <v>0.59854391398996798</v>
      </c>
    </row>
    <row r="70" spans="1:12" x14ac:dyDescent="0.35">
      <c r="A70">
        <v>2025</v>
      </c>
      <c r="B70" t="s">
        <v>11</v>
      </c>
      <c r="C70" t="s">
        <v>9</v>
      </c>
      <c r="D70" t="s">
        <v>18</v>
      </c>
      <c r="E70" t="s">
        <v>483</v>
      </c>
      <c r="F70" t="s">
        <v>86</v>
      </c>
      <c r="G70">
        <v>293.15719353433781</v>
      </c>
      <c r="H70">
        <v>2.7492305175562488</v>
      </c>
      <c r="I70">
        <v>1.6455351944387819</v>
      </c>
      <c r="J70">
        <v>487.0347045994439</v>
      </c>
      <c r="K70">
        <v>291.51165833989899</v>
      </c>
      <c r="L70">
        <v>0.59854391398996798</v>
      </c>
    </row>
    <row r="71" spans="1:12" x14ac:dyDescent="0.35">
      <c r="A71">
        <v>2025</v>
      </c>
      <c r="B71" t="s">
        <v>11</v>
      </c>
      <c r="C71" t="s">
        <v>9</v>
      </c>
      <c r="D71" t="s">
        <v>18</v>
      </c>
      <c r="E71" t="s">
        <v>490</v>
      </c>
      <c r="F71" t="s">
        <v>82</v>
      </c>
      <c r="G71">
        <v>293.15719353433781</v>
      </c>
      <c r="H71">
        <v>2.7492305175562488</v>
      </c>
      <c r="I71">
        <v>1.6455351944387819</v>
      </c>
      <c r="J71">
        <v>487.0347045994439</v>
      </c>
      <c r="K71">
        <v>291.51165833989899</v>
      </c>
      <c r="L71">
        <v>0.59854391398996798</v>
      </c>
    </row>
    <row r="72" spans="1:12" x14ac:dyDescent="0.35">
      <c r="A72">
        <v>2025</v>
      </c>
      <c r="B72" t="s">
        <v>11</v>
      </c>
      <c r="C72" t="s">
        <v>10</v>
      </c>
      <c r="D72" t="s">
        <v>16</v>
      </c>
      <c r="E72" t="s">
        <v>483</v>
      </c>
      <c r="F72" t="s">
        <v>80</v>
      </c>
      <c r="G72">
        <v>324.20432339207548</v>
      </c>
      <c r="H72">
        <v>0</v>
      </c>
      <c r="I72">
        <v>0</v>
      </c>
      <c r="J72">
        <v>541.6550328461102</v>
      </c>
      <c r="K72">
        <v>324.20432339207548</v>
      </c>
      <c r="L72">
        <v>0.59854391398996798</v>
      </c>
    </row>
    <row r="73" spans="1:12" x14ac:dyDescent="0.35">
      <c r="A73">
        <v>2025</v>
      </c>
      <c r="B73" t="s">
        <v>11</v>
      </c>
      <c r="C73" t="s">
        <v>10</v>
      </c>
      <c r="D73" t="s">
        <v>16</v>
      </c>
      <c r="E73" t="s">
        <v>483</v>
      </c>
      <c r="F73" t="s">
        <v>81</v>
      </c>
      <c r="G73">
        <v>324.20432339207548</v>
      </c>
      <c r="H73">
        <v>0</v>
      </c>
      <c r="I73">
        <v>0</v>
      </c>
      <c r="J73">
        <v>541.6550328461102</v>
      </c>
      <c r="K73">
        <v>324.20432339207548</v>
      </c>
      <c r="L73">
        <v>0.59854391398996798</v>
      </c>
    </row>
    <row r="74" spans="1:12" x14ac:dyDescent="0.35">
      <c r="A74">
        <v>2025</v>
      </c>
      <c r="B74" t="s">
        <v>11</v>
      </c>
      <c r="C74" t="s">
        <v>10</v>
      </c>
      <c r="D74" t="s">
        <v>18</v>
      </c>
      <c r="E74" t="s">
        <v>483</v>
      </c>
      <c r="F74" t="s">
        <v>85</v>
      </c>
      <c r="G74">
        <v>324.20432339207548</v>
      </c>
      <c r="H74">
        <v>2.7492305175562488</v>
      </c>
      <c r="I74">
        <v>1.6455351944387819</v>
      </c>
      <c r="J74">
        <v>538.90580232855393</v>
      </c>
      <c r="K74">
        <v>322.55878819763672</v>
      </c>
      <c r="L74">
        <v>0.59854391398996798</v>
      </c>
    </row>
    <row r="75" spans="1:12" x14ac:dyDescent="0.35">
      <c r="A75">
        <v>2025</v>
      </c>
      <c r="B75" t="s">
        <v>11</v>
      </c>
      <c r="C75" t="s">
        <v>10</v>
      </c>
      <c r="D75" t="s">
        <v>18</v>
      </c>
      <c r="E75" t="s">
        <v>483</v>
      </c>
      <c r="F75" t="s">
        <v>86</v>
      </c>
      <c r="G75">
        <v>324.20432339207548</v>
      </c>
      <c r="H75">
        <v>2.7492305175562488</v>
      </c>
      <c r="I75">
        <v>1.6455351944387819</v>
      </c>
      <c r="J75">
        <v>538.90580232855393</v>
      </c>
      <c r="K75">
        <v>322.55878819763672</v>
      </c>
      <c r="L75">
        <v>0.59854391398996798</v>
      </c>
    </row>
    <row r="76" spans="1:12" x14ac:dyDescent="0.35">
      <c r="A76">
        <v>2025</v>
      </c>
      <c r="B76" t="s">
        <v>11</v>
      </c>
      <c r="C76" t="s">
        <v>10</v>
      </c>
      <c r="D76" t="s">
        <v>18</v>
      </c>
      <c r="E76" t="s">
        <v>490</v>
      </c>
      <c r="F76" t="s">
        <v>82</v>
      </c>
      <c r="G76">
        <v>324.20432339207548</v>
      </c>
      <c r="H76">
        <v>2.7492305175562488</v>
      </c>
      <c r="I76">
        <v>1.6455351944387819</v>
      </c>
      <c r="J76">
        <v>538.90580232855393</v>
      </c>
      <c r="K76">
        <v>322.55878819763672</v>
      </c>
      <c r="L76">
        <v>0.59854391398996798</v>
      </c>
    </row>
    <row r="77" spans="1:12" x14ac:dyDescent="0.35">
      <c r="A77">
        <v>2025</v>
      </c>
      <c r="B77" t="s">
        <v>8</v>
      </c>
      <c r="C77" t="s">
        <v>4</v>
      </c>
      <c r="D77" t="s">
        <v>16</v>
      </c>
      <c r="E77" t="s">
        <v>483</v>
      </c>
      <c r="F77" t="s">
        <v>80</v>
      </c>
      <c r="G77">
        <v>22394.317081973011</v>
      </c>
      <c r="H77">
        <v>0</v>
      </c>
      <c r="I77">
        <v>0</v>
      </c>
      <c r="J77">
        <v>28435.242200653691</v>
      </c>
      <c r="K77">
        <v>22394.317081973011</v>
      </c>
      <c r="L77">
        <v>0.787554996857322</v>
      </c>
    </row>
    <row r="78" spans="1:12" x14ac:dyDescent="0.35">
      <c r="A78">
        <v>2025</v>
      </c>
      <c r="B78" t="s">
        <v>8</v>
      </c>
      <c r="C78" t="s">
        <v>4</v>
      </c>
      <c r="D78" t="s">
        <v>16</v>
      </c>
      <c r="E78" t="s">
        <v>483</v>
      </c>
      <c r="F78" t="s">
        <v>81</v>
      </c>
      <c r="G78">
        <v>22394.317081973011</v>
      </c>
      <c r="H78">
        <v>154586</v>
      </c>
      <c r="I78">
        <v>86704.202309810571</v>
      </c>
      <c r="J78">
        <v>0</v>
      </c>
      <c r="K78">
        <v>0</v>
      </c>
      <c r="L78">
        <v>0.787554996857322</v>
      </c>
    </row>
    <row r="79" spans="1:12" x14ac:dyDescent="0.35">
      <c r="A79">
        <v>2025</v>
      </c>
      <c r="B79" t="s">
        <v>8</v>
      </c>
      <c r="C79" t="s">
        <v>4</v>
      </c>
      <c r="D79" t="s">
        <v>18</v>
      </c>
      <c r="E79" t="s">
        <v>483</v>
      </c>
      <c r="F79" t="s">
        <v>85</v>
      </c>
      <c r="G79">
        <v>22394.317081973011</v>
      </c>
      <c r="H79">
        <v>154586</v>
      </c>
      <c r="I79">
        <v>86704.202309810571</v>
      </c>
      <c r="J79">
        <v>0</v>
      </c>
      <c r="K79">
        <v>0</v>
      </c>
      <c r="L79">
        <v>0.787554996857322</v>
      </c>
    </row>
    <row r="80" spans="1:12" x14ac:dyDescent="0.35">
      <c r="A80">
        <v>2025</v>
      </c>
      <c r="B80" t="s">
        <v>8</v>
      </c>
      <c r="C80" t="s">
        <v>4</v>
      </c>
      <c r="D80" t="s">
        <v>18</v>
      </c>
      <c r="E80" t="s">
        <v>483</v>
      </c>
      <c r="F80" t="s">
        <v>86</v>
      </c>
      <c r="G80">
        <v>22394.317081973011</v>
      </c>
      <c r="H80">
        <v>154586</v>
      </c>
      <c r="I80">
        <v>86704.202309810571</v>
      </c>
      <c r="J80">
        <v>0</v>
      </c>
      <c r="K80">
        <v>0</v>
      </c>
      <c r="L80">
        <v>0.787554996857322</v>
      </c>
    </row>
    <row r="81" spans="1:12" x14ac:dyDescent="0.35">
      <c r="A81">
        <v>2025</v>
      </c>
      <c r="B81" t="s">
        <v>8</v>
      </c>
      <c r="C81" t="s">
        <v>4</v>
      </c>
      <c r="D81" t="s">
        <v>18</v>
      </c>
      <c r="E81" t="s">
        <v>490</v>
      </c>
      <c r="F81" t="s">
        <v>82</v>
      </c>
      <c r="G81">
        <v>22394.317081973011</v>
      </c>
      <c r="H81">
        <v>154586</v>
      </c>
      <c r="I81">
        <v>121744.976744186</v>
      </c>
      <c r="J81">
        <v>0</v>
      </c>
      <c r="K81">
        <v>0</v>
      </c>
      <c r="L81">
        <v>0.787554996857322</v>
      </c>
    </row>
    <row r="82" spans="1:12" x14ac:dyDescent="0.35">
      <c r="A82">
        <v>2025</v>
      </c>
      <c r="B82" t="s">
        <v>8</v>
      </c>
      <c r="C82" t="s">
        <v>9</v>
      </c>
      <c r="D82" t="s">
        <v>16</v>
      </c>
      <c r="E82" t="s">
        <v>483</v>
      </c>
      <c r="F82" t="s">
        <v>80</v>
      </c>
      <c r="G82">
        <v>20352.370126600821</v>
      </c>
      <c r="H82">
        <v>0</v>
      </c>
      <c r="I82">
        <v>0</v>
      </c>
      <c r="J82">
        <v>25842.47475771901</v>
      </c>
      <c r="K82">
        <v>20352.370126600821</v>
      </c>
      <c r="L82">
        <v>0.787554996857322</v>
      </c>
    </row>
    <row r="83" spans="1:12" x14ac:dyDescent="0.35">
      <c r="A83">
        <v>2025</v>
      </c>
      <c r="B83" t="s">
        <v>8</v>
      </c>
      <c r="C83" t="s">
        <v>9</v>
      </c>
      <c r="D83" t="s">
        <v>16</v>
      </c>
      <c r="E83" t="s">
        <v>483</v>
      </c>
      <c r="F83" t="s">
        <v>81</v>
      </c>
      <c r="G83">
        <v>20352.370126600821</v>
      </c>
      <c r="H83">
        <v>154586</v>
      </c>
      <c r="I83">
        <v>86704.202309810571</v>
      </c>
      <c r="J83">
        <v>0</v>
      </c>
      <c r="K83">
        <v>0</v>
      </c>
      <c r="L83">
        <v>0.787554996857322</v>
      </c>
    </row>
    <row r="84" spans="1:12" x14ac:dyDescent="0.35">
      <c r="A84">
        <v>2025</v>
      </c>
      <c r="B84" t="s">
        <v>8</v>
      </c>
      <c r="C84" t="s">
        <v>9</v>
      </c>
      <c r="D84" t="s">
        <v>18</v>
      </c>
      <c r="E84" t="s">
        <v>483</v>
      </c>
      <c r="F84" t="s">
        <v>85</v>
      </c>
      <c r="G84">
        <v>20352.370126600821</v>
      </c>
      <c r="H84">
        <v>154586</v>
      </c>
      <c r="I84">
        <v>86704.202309810571</v>
      </c>
      <c r="J84">
        <v>0</v>
      </c>
      <c r="K84">
        <v>0</v>
      </c>
      <c r="L84">
        <v>0.787554996857322</v>
      </c>
    </row>
    <row r="85" spans="1:12" x14ac:dyDescent="0.35">
      <c r="A85">
        <v>2025</v>
      </c>
      <c r="B85" t="s">
        <v>8</v>
      </c>
      <c r="C85" t="s">
        <v>9</v>
      </c>
      <c r="D85" t="s">
        <v>18</v>
      </c>
      <c r="E85" t="s">
        <v>483</v>
      </c>
      <c r="F85" t="s">
        <v>86</v>
      </c>
      <c r="G85">
        <v>20352.370126600821</v>
      </c>
      <c r="H85">
        <v>154586</v>
      </c>
      <c r="I85">
        <v>86704.202309810571</v>
      </c>
      <c r="J85">
        <v>0</v>
      </c>
      <c r="K85">
        <v>0</v>
      </c>
      <c r="L85">
        <v>0.787554996857322</v>
      </c>
    </row>
    <row r="86" spans="1:12" x14ac:dyDescent="0.35">
      <c r="A86">
        <v>2025</v>
      </c>
      <c r="B86" t="s">
        <v>8</v>
      </c>
      <c r="C86" t="s">
        <v>9</v>
      </c>
      <c r="D86" t="s">
        <v>18</v>
      </c>
      <c r="E86" t="s">
        <v>490</v>
      </c>
      <c r="F86" t="s">
        <v>82</v>
      </c>
      <c r="G86">
        <v>20352.370126600821</v>
      </c>
      <c r="H86">
        <v>154586</v>
      </c>
      <c r="I86">
        <v>121744.976744186</v>
      </c>
      <c r="J86">
        <v>0</v>
      </c>
      <c r="K86">
        <v>0</v>
      </c>
      <c r="L86">
        <v>0.787554996857322</v>
      </c>
    </row>
    <row r="87" spans="1:12" x14ac:dyDescent="0.35">
      <c r="A87">
        <v>2025</v>
      </c>
      <c r="B87" t="s">
        <v>8</v>
      </c>
      <c r="C87" t="s">
        <v>10</v>
      </c>
      <c r="D87" t="s">
        <v>16</v>
      </c>
      <c r="E87" t="s">
        <v>483</v>
      </c>
      <c r="F87" t="s">
        <v>80</v>
      </c>
      <c r="G87">
        <v>21927.171834368899</v>
      </c>
      <c r="H87">
        <v>0</v>
      </c>
      <c r="I87">
        <v>0</v>
      </c>
      <c r="J87">
        <v>27842.083310838741</v>
      </c>
      <c r="K87">
        <v>21927.171834368899</v>
      </c>
      <c r="L87">
        <v>0.787554996857322</v>
      </c>
    </row>
    <row r="88" spans="1:12" x14ac:dyDescent="0.35">
      <c r="A88">
        <v>2025</v>
      </c>
      <c r="B88" t="s">
        <v>8</v>
      </c>
      <c r="C88" t="s">
        <v>10</v>
      </c>
      <c r="D88" t="s">
        <v>16</v>
      </c>
      <c r="E88" t="s">
        <v>483</v>
      </c>
      <c r="F88" t="s">
        <v>81</v>
      </c>
      <c r="G88">
        <v>21927.171834368899</v>
      </c>
      <c r="H88">
        <v>154586</v>
      </c>
      <c r="I88">
        <v>86704.202309810571</v>
      </c>
      <c r="J88">
        <v>0</v>
      </c>
      <c r="K88">
        <v>0</v>
      </c>
      <c r="L88">
        <v>0.787554996857322</v>
      </c>
    </row>
    <row r="89" spans="1:12" x14ac:dyDescent="0.35">
      <c r="A89">
        <v>2025</v>
      </c>
      <c r="B89" t="s">
        <v>8</v>
      </c>
      <c r="C89" t="s">
        <v>10</v>
      </c>
      <c r="D89" t="s">
        <v>18</v>
      </c>
      <c r="E89" t="s">
        <v>483</v>
      </c>
      <c r="F89" t="s">
        <v>85</v>
      </c>
      <c r="G89">
        <v>21927.171834368899</v>
      </c>
      <c r="H89">
        <v>154586</v>
      </c>
      <c r="I89">
        <v>86704.202309810571</v>
      </c>
      <c r="J89">
        <v>0</v>
      </c>
      <c r="K89">
        <v>0</v>
      </c>
      <c r="L89">
        <v>0.787554996857322</v>
      </c>
    </row>
    <row r="90" spans="1:12" x14ac:dyDescent="0.35">
      <c r="A90">
        <v>2025</v>
      </c>
      <c r="B90" t="s">
        <v>8</v>
      </c>
      <c r="C90" t="s">
        <v>10</v>
      </c>
      <c r="D90" t="s">
        <v>18</v>
      </c>
      <c r="E90" t="s">
        <v>483</v>
      </c>
      <c r="F90" t="s">
        <v>86</v>
      </c>
      <c r="G90">
        <v>21927.171834368899</v>
      </c>
      <c r="H90">
        <v>154586</v>
      </c>
      <c r="I90">
        <v>86704.202309810571</v>
      </c>
      <c r="J90">
        <v>0</v>
      </c>
      <c r="K90">
        <v>0</v>
      </c>
      <c r="L90">
        <v>0.787554996857322</v>
      </c>
    </row>
    <row r="91" spans="1:12" x14ac:dyDescent="0.35">
      <c r="A91">
        <v>2025</v>
      </c>
      <c r="B91" t="s">
        <v>8</v>
      </c>
      <c r="C91" t="s">
        <v>10</v>
      </c>
      <c r="D91" t="s">
        <v>18</v>
      </c>
      <c r="E91" t="s">
        <v>490</v>
      </c>
      <c r="F91" t="s">
        <v>82</v>
      </c>
      <c r="G91">
        <v>21927.171834368899</v>
      </c>
      <c r="H91">
        <v>154586</v>
      </c>
      <c r="I91">
        <v>121744.976744186</v>
      </c>
      <c r="J91">
        <v>0</v>
      </c>
      <c r="K91">
        <v>0</v>
      </c>
      <c r="L91">
        <v>0.787554996857322</v>
      </c>
    </row>
    <row r="92" spans="1:12" x14ac:dyDescent="0.35">
      <c r="A92">
        <v>2026</v>
      </c>
      <c r="B92" t="s">
        <v>6</v>
      </c>
      <c r="C92" t="s">
        <v>4</v>
      </c>
      <c r="D92" t="s">
        <v>16</v>
      </c>
      <c r="E92" t="s">
        <v>483</v>
      </c>
      <c r="F92" t="s">
        <v>80</v>
      </c>
      <c r="G92">
        <v>14666.70894328302</v>
      </c>
      <c r="H92">
        <v>0</v>
      </c>
      <c r="I92">
        <v>0</v>
      </c>
      <c r="J92">
        <v>33383.005783485823</v>
      </c>
      <c r="K92">
        <v>14666.70894328302</v>
      </c>
      <c r="L92">
        <v>0.439346565686978</v>
      </c>
    </row>
    <row r="93" spans="1:12" x14ac:dyDescent="0.35">
      <c r="A93">
        <v>2026</v>
      </c>
      <c r="B93" t="s">
        <v>6</v>
      </c>
      <c r="C93" t="s">
        <v>4</v>
      </c>
      <c r="D93" t="s">
        <v>16</v>
      </c>
      <c r="E93" t="s">
        <v>483</v>
      </c>
      <c r="F93" t="s">
        <v>81</v>
      </c>
      <c r="G93">
        <v>14666.70894328302</v>
      </c>
      <c r="H93">
        <v>3494</v>
      </c>
      <c r="I93">
        <v>1482.0913083373639</v>
      </c>
      <c r="J93">
        <v>29889.00578348582</v>
      </c>
      <c r="K93">
        <v>13184.61763494566</v>
      </c>
      <c r="L93">
        <v>0.439346565686978</v>
      </c>
    </row>
    <row r="94" spans="1:12" x14ac:dyDescent="0.35">
      <c r="A94">
        <v>2026</v>
      </c>
      <c r="B94" t="s">
        <v>6</v>
      </c>
      <c r="C94" t="s">
        <v>4</v>
      </c>
      <c r="D94" t="s">
        <v>18</v>
      </c>
      <c r="E94" t="s">
        <v>483</v>
      </c>
      <c r="F94" t="s">
        <v>85</v>
      </c>
      <c r="G94">
        <v>14666.70894328302</v>
      </c>
      <c r="H94">
        <v>4494</v>
      </c>
      <c r="I94">
        <v>1906.2731367109659</v>
      </c>
      <c r="J94">
        <v>28889.00578348582</v>
      </c>
      <c r="K94">
        <v>12760.43580657205</v>
      </c>
      <c r="L94">
        <v>0.439346565686978</v>
      </c>
    </row>
    <row r="95" spans="1:12" x14ac:dyDescent="0.35">
      <c r="A95">
        <v>2026</v>
      </c>
      <c r="B95" t="s">
        <v>6</v>
      </c>
      <c r="C95" t="s">
        <v>4</v>
      </c>
      <c r="D95" t="s">
        <v>18</v>
      </c>
      <c r="E95" t="s">
        <v>483</v>
      </c>
      <c r="F95" t="s">
        <v>86</v>
      </c>
      <c r="G95">
        <v>14666.70894328302</v>
      </c>
      <c r="H95">
        <v>4494</v>
      </c>
      <c r="I95">
        <v>1906.2731367109659</v>
      </c>
      <c r="J95">
        <v>28889.00578348582</v>
      </c>
      <c r="K95">
        <v>12760.43580657205</v>
      </c>
      <c r="L95">
        <v>0.439346565686978</v>
      </c>
    </row>
    <row r="96" spans="1:12" x14ac:dyDescent="0.35">
      <c r="A96">
        <v>2026</v>
      </c>
      <c r="B96" t="s">
        <v>6</v>
      </c>
      <c r="C96" t="s">
        <v>4</v>
      </c>
      <c r="D96" t="s">
        <v>18</v>
      </c>
      <c r="E96" t="s">
        <v>490</v>
      </c>
      <c r="F96" t="s">
        <v>82</v>
      </c>
      <c r="G96">
        <v>14666.70894328302</v>
      </c>
      <c r="H96">
        <v>4494</v>
      </c>
      <c r="I96">
        <v>1974.423466197281</v>
      </c>
      <c r="J96">
        <v>28889.00578348582</v>
      </c>
      <c r="K96">
        <v>12692.285477085739</v>
      </c>
      <c r="L96">
        <v>0.439346565686978</v>
      </c>
    </row>
    <row r="97" spans="1:12" x14ac:dyDescent="0.35">
      <c r="A97">
        <v>2026</v>
      </c>
      <c r="B97" t="s">
        <v>6</v>
      </c>
      <c r="C97" t="s">
        <v>9</v>
      </c>
      <c r="D97" t="s">
        <v>16</v>
      </c>
      <c r="E97" t="s">
        <v>483</v>
      </c>
      <c r="F97" t="s">
        <v>80</v>
      </c>
      <c r="G97">
        <v>11787.03907014753</v>
      </c>
      <c r="H97">
        <v>0</v>
      </c>
      <c r="I97">
        <v>0</v>
      </c>
      <c r="J97">
        <v>26828.567674625829</v>
      </c>
      <c r="K97">
        <v>11787.03907014753</v>
      </c>
      <c r="L97">
        <v>0.439346565686978</v>
      </c>
    </row>
    <row r="98" spans="1:12" x14ac:dyDescent="0.35">
      <c r="A98">
        <v>2026</v>
      </c>
      <c r="B98" t="s">
        <v>6</v>
      </c>
      <c r="C98" t="s">
        <v>9</v>
      </c>
      <c r="D98" t="s">
        <v>16</v>
      </c>
      <c r="E98" t="s">
        <v>483</v>
      </c>
      <c r="F98" t="s">
        <v>81</v>
      </c>
      <c r="G98">
        <v>11787.03907014753</v>
      </c>
      <c r="H98">
        <v>3494</v>
      </c>
      <c r="I98">
        <v>1482.0913083373639</v>
      </c>
      <c r="J98">
        <v>23334.567674625829</v>
      </c>
      <c r="K98">
        <v>10304.94776181017</v>
      </c>
      <c r="L98">
        <v>0.439346565686978</v>
      </c>
    </row>
    <row r="99" spans="1:12" x14ac:dyDescent="0.35">
      <c r="A99">
        <v>2026</v>
      </c>
      <c r="B99" t="s">
        <v>6</v>
      </c>
      <c r="C99" t="s">
        <v>9</v>
      </c>
      <c r="D99" t="s">
        <v>18</v>
      </c>
      <c r="E99" t="s">
        <v>483</v>
      </c>
      <c r="F99" t="s">
        <v>85</v>
      </c>
      <c r="G99">
        <v>11787.03907014753</v>
      </c>
      <c r="H99">
        <v>4494</v>
      </c>
      <c r="I99">
        <v>1906.2731367109659</v>
      </c>
      <c r="J99">
        <v>22334.567674625829</v>
      </c>
      <c r="K99">
        <v>9880.7659334365635</v>
      </c>
      <c r="L99">
        <v>0.439346565686978</v>
      </c>
    </row>
    <row r="100" spans="1:12" x14ac:dyDescent="0.35">
      <c r="A100">
        <v>2026</v>
      </c>
      <c r="B100" t="s">
        <v>6</v>
      </c>
      <c r="C100" t="s">
        <v>9</v>
      </c>
      <c r="D100" t="s">
        <v>18</v>
      </c>
      <c r="E100" t="s">
        <v>483</v>
      </c>
      <c r="F100" t="s">
        <v>86</v>
      </c>
      <c r="G100">
        <v>11787.03907014753</v>
      </c>
      <c r="H100">
        <v>4494</v>
      </c>
      <c r="I100">
        <v>1906.2731367109659</v>
      </c>
      <c r="J100">
        <v>22334.567674625829</v>
      </c>
      <c r="K100">
        <v>9880.7659334365635</v>
      </c>
      <c r="L100">
        <v>0.439346565686978</v>
      </c>
    </row>
    <row r="101" spans="1:12" x14ac:dyDescent="0.35">
      <c r="A101">
        <v>2026</v>
      </c>
      <c r="B101" t="s">
        <v>6</v>
      </c>
      <c r="C101" t="s">
        <v>9</v>
      </c>
      <c r="D101" t="s">
        <v>18</v>
      </c>
      <c r="E101" t="s">
        <v>490</v>
      </c>
      <c r="F101" t="s">
        <v>82</v>
      </c>
      <c r="G101">
        <v>11787.03907014753</v>
      </c>
      <c r="H101">
        <v>4494</v>
      </c>
      <c r="I101">
        <v>1974.423466197281</v>
      </c>
      <c r="J101">
        <v>22334.567674625829</v>
      </c>
      <c r="K101">
        <v>9812.6156039502494</v>
      </c>
      <c r="L101">
        <v>0.439346565686978</v>
      </c>
    </row>
    <row r="102" spans="1:12" x14ac:dyDescent="0.35">
      <c r="A102">
        <v>2026</v>
      </c>
      <c r="B102" t="s">
        <v>6</v>
      </c>
      <c r="C102" t="s">
        <v>10</v>
      </c>
      <c r="D102" t="s">
        <v>16</v>
      </c>
      <c r="E102" t="s">
        <v>483</v>
      </c>
      <c r="F102" t="s">
        <v>80</v>
      </c>
      <c r="G102">
        <v>14369.556871268551</v>
      </c>
      <c r="H102">
        <v>0</v>
      </c>
      <c r="I102">
        <v>0</v>
      </c>
      <c r="J102">
        <v>32706.655732701129</v>
      </c>
      <c r="K102">
        <v>14369.556871268551</v>
      </c>
      <c r="L102">
        <v>0.439346565686978</v>
      </c>
    </row>
    <row r="103" spans="1:12" x14ac:dyDescent="0.35">
      <c r="A103">
        <v>2026</v>
      </c>
      <c r="B103" t="s">
        <v>6</v>
      </c>
      <c r="C103" t="s">
        <v>10</v>
      </c>
      <c r="D103" t="s">
        <v>16</v>
      </c>
      <c r="E103" t="s">
        <v>483</v>
      </c>
      <c r="F103" t="s">
        <v>81</v>
      </c>
      <c r="G103">
        <v>14369.556871268551</v>
      </c>
      <c r="H103">
        <v>3494</v>
      </c>
      <c r="I103">
        <v>1482.0913083373639</v>
      </c>
      <c r="J103">
        <v>29212.655732701129</v>
      </c>
      <c r="K103">
        <v>12887.465562931189</v>
      </c>
      <c r="L103">
        <v>0.439346565686978</v>
      </c>
    </row>
    <row r="104" spans="1:12" x14ac:dyDescent="0.35">
      <c r="A104">
        <v>2026</v>
      </c>
      <c r="B104" t="s">
        <v>6</v>
      </c>
      <c r="C104" t="s">
        <v>10</v>
      </c>
      <c r="D104" t="s">
        <v>18</v>
      </c>
      <c r="E104" t="s">
        <v>483</v>
      </c>
      <c r="F104" t="s">
        <v>85</v>
      </c>
      <c r="G104">
        <v>14369.556871268551</v>
      </c>
      <c r="H104">
        <v>4494</v>
      </c>
      <c r="I104">
        <v>1906.2731367109659</v>
      </c>
      <c r="J104">
        <v>28212.655732701129</v>
      </c>
      <c r="K104">
        <v>12463.283734557581</v>
      </c>
      <c r="L104">
        <v>0.439346565686978</v>
      </c>
    </row>
    <row r="105" spans="1:12" x14ac:dyDescent="0.35">
      <c r="A105">
        <v>2026</v>
      </c>
      <c r="B105" t="s">
        <v>6</v>
      </c>
      <c r="C105" t="s">
        <v>10</v>
      </c>
      <c r="D105" t="s">
        <v>18</v>
      </c>
      <c r="E105" t="s">
        <v>483</v>
      </c>
      <c r="F105" t="s">
        <v>86</v>
      </c>
      <c r="G105">
        <v>14369.556871268551</v>
      </c>
      <c r="H105">
        <v>4494</v>
      </c>
      <c r="I105">
        <v>1906.2731367109659</v>
      </c>
      <c r="J105">
        <v>28212.655732701129</v>
      </c>
      <c r="K105">
        <v>12463.283734557581</v>
      </c>
      <c r="L105">
        <v>0.439346565686978</v>
      </c>
    </row>
    <row r="106" spans="1:12" x14ac:dyDescent="0.35">
      <c r="A106">
        <v>2026</v>
      </c>
      <c r="B106" t="s">
        <v>6</v>
      </c>
      <c r="C106" t="s">
        <v>10</v>
      </c>
      <c r="D106" t="s">
        <v>18</v>
      </c>
      <c r="E106" t="s">
        <v>490</v>
      </c>
      <c r="F106" t="s">
        <v>82</v>
      </c>
      <c r="G106">
        <v>14369.556871268551</v>
      </c>
      <c r="H106">
        <v>4494</v>
      </c>
      <c r="I106">
        <v>1974.423466197281</v>
      </c>
      <c r="J106">
        <v>28212.655732701129</v>
      </c>
      <c r="K106">
        <v>12395.13340507127</v>
      </c>
      <c r="L106">
        <v>0.439346565686978</v>
      </c>
    </row>
    <row r="107" spans="1:12" x14ac:dyDescent="0.35">
      <c r="A107">
        <v>2026</v>
      </c>
      <c r="B107" t="s">
        <v>7</v>
      </c>
      <c r="C107" t="s">
        <v>4</v>
      </c>
      <c r="D107" t="s">
        <v>16</v>
      </c>
      <c r="E107" t="s">
        <v>483</v>
      </c>
      <c r="F107" t="s">
        <v>80</v>
      </c>
      <c r="G107">
        <v>845634.32805853861</v>
      </c>
      <c r="H107">
        <v>0</v>
      </c>
      <c r="I107">
        <v>0</v>
      </c>
      <c r="J107">
        <v>1013044.169653884</v>
      </c>
      <c r="K107">
        <v>845634.32805853861</v>
      </c>
      <c r="L107">
        <v>0.83474576271186396</v>
      </c>
    </row>
    <row r="108" spans="1:12" x14ac:dyDescent="0.35">
      <c r="A108">
        <v>2026</v>
      </c>
      <c r="B108" t="s">
        <v>7</v>
      </c>
      <c r="C108" t="s">
        <v>4</v>
      </c>
      <c r="D108" t="s">
        <v>16</v>
      </c>
      <c r="E108" t="s">
        <v>483</v>
      </c>
      <c r="F108" t="s">
        <v>81</v>
      </c>
      <c r="G108">
        <v>845634.32805853861</v>
      </c>
      <c r="H108">
        <v>475566</v>
      </c>
      <c r="I108">
        <v>249961.62107116709</v>
      </c>
      <c r="J108">
        <v>537478.16965388437</v>
      </c>
      <c r="K108">
        <v>595672.70698737155</v>
      </c>
      <c r="L108">
        <v>0.83474576271186396</v>
      </c>
    </row>
    <row r="109" spans="1:12" x14ac:dyDescent="0.35">
      <c r="A109">
        <v>2026</v>
      </c>
      <c r="B109" t="s">
        <v>7</v>
      </c>
      <c r="C109" t="s">
        <v>4</v>
      </c>
      <c r="D109" t="s">
        <v>18</v>
      </c>
      <c r="E109" t="s">
        <v>483</v>
      </c>
      <c r="F109" t="s">
        <v>85</v>
      </c>
      <c r="G109">
        <v>845634.32805853861</v>
      </c>
      <c r="H109">
        <v>562105.95050130773</v>
      </c>
      <c r="I109">
        <v>295447.77086893527</v>
      </c>
      <c r="J109">
        <v>450938.21915257658</v>
      </c>
      <c r="K109">
        <v>550186.55718960334</v>
      </c>
      <c r="L109">
        <v>0.83474576271186396</v>
      </c>
    </row>
    <row r="110" spans="1:12" x14ac:dyDescent="0.35">
      <c r="A110">
        <v>2026</v>
      </c>
      <c r="B110" t="s">
        <v>7</v>
      </c>
      <c r="C110" t="s">
        <v>4</v>
      </c>
      <c r="D110" t="s">
        <v>18</v>
      </c>
      <c r="E110" t="s">
        <v>483</v>
      </c>
      <c r="F110" t="s">
        <v>86</v>
      </c>
      <c r="G110">
        <v>845634.32805853861</v>
      </c>
      <c r="H110">
        <v>562105.95050130773</v>
      </c>
      <c r="I110">
        <v>295447.77086893527</v>
      </c>
      <c r="J110">
        <v>450938.21915257658</v>
      </c>
      <c r="K110">
        <v>550186.55718960334</v>
      </c>
      <c r="L110">
        <v>0.83474576271186396</v>
      </c>
    </row>
    <row r="111" spans="1:12" x14ac:dyDescent="0.35">
      <c r="A111">
        <v>2026</v>
      </c>
      <c r="B111" t="s">
        <v>7</v>
      </c>
      <c r="C111" t="s">
        <v>4</v>
      </c>
      <c r="D111" t="s">
        <v>18</v>
      </c>
      <c r="E111" t="s">
        <v>490</v>
      </c>
      <c r="F111" t="s">
        <v>82</v>
      </c>
      <c r="G111">
        <v>845634.32805853861</v>
      </c>
      <c r="H111">
        <v>562105.95050130773</v>
      </c>
      <c r="I111">
        <v>469215.56037609163</v>
      </c>
      <c r="J111">
        <v>450938.21915257658</v>
      </c>
      <c r="K111">
        <v>376418.76768244698</v>
      </c>
      <c r="L111">
        <v>0.83474576271186396</v>
      </c>
    </row>
    <row r="112" spans="1:12" x14ac:dyDescent="0.35">
      <c r="A112">
        <v>2026</v>
      </c>
      <c r="B112" t="s">
        <v>7</v>
      </c>
      <c r="C112" t="s">
        <v>9</v>
      </c>
      <c r="D112" t="s">
        <v>16</v>
      </c>
      <c r="E112" t="s">
        <v>483</v>
      </c>
      <c r="F112" t="s">
        <v>80</v>
      </c>
      <c r="G112">
        <v>845257.87153819855</v>
      </c>
      <c r="H112">
        <v>0</v>
      </c>
      <c r="I112">
        <v>0</v>
      </c>
      <c r="J112">
        <v>1012593.186208198</v>
      </c>
      <c r="K112">
        <v>845257.87153819855</v>
      </c>
      <c r="L112">
        <v>0.83474576271186396</v>
      </c>
    </row>
    <row r="113" spans="1:12" x14ac:dyDescent="0.35">
      <c r="A113">
        <v>2026</v>
      </c>
      <c r="B113" t="s">
        <v>7</v>
      </c>
      <c r="C113" t="s">
        <v>9</v>
      </c>
      <c r="D113" t="s">
        <v>16</v>
      </c>
      <c r="E113" t="s">
        <v>483</v>
      </c>
      <c r="F113" t="s">
        <v>81</v>
      </c>
      <c r="G113">
        <v>845257.87153819855</v>
      </c>
      <c r="H113">
        <v>475566</v>
      </c>
      <c r="I113">
        <v>249961.62107116709</v>
      </c>
      <c r="J113">
        <v>537027.18620819785</v>
      </c>
      <c r="K113">
        <v>595296.2504670315</v>
      </c>
      <c r="L113">
        <v>0.83474576271186396</v>
      </c>
    </row>
    <row r="114" spans="1:12" x14ac:dyDescent="0.35">
      <c r="A114">
        <v>2026</v>
      </c>
      <c r="B114" t="s">
        <v>7</v>
      </c>
      <c r="C114" t="s">
        <v>9</v>
      </c>
      <c r="D114" t="s">
        <v>18</v>
      </c>
      <c r="E114" t="s">
        <v>483</v>
      </c>
      <c r="F114" t="s">
        <v>85</v>
      </c>
      <c r="G114">
        <v>845257.87153819855</v>
      </c>
      <c r="H114">
        <v>562105.95050130773</v>
      </c>
      <c r="I114">
        <v>295447.77086893527</v>
      </c>
      <c r="J114">
        <v>450487.23570689012</v>
      </c>
      <c r="K114">
        <v>549810.10066926316</v>
      </c>
      <c r="L114">
        <v>0.83474576271186396</v>
      </c>
    </row>
    <row r="115" spans="1:12" x14ac:dyDescent="0.35">
      <c r="A115">
        <v>2026</v>
      </c>
      <c r="B115" t="s">
        <v>7</v>
      </c>
      <c r="C115" t="s">
        <v>9</v>
      </c>
      <c r="D115" t="s">
        <v>18</v>
      </c>
      <c r="E115" t="s">
        <v>483</v>
      </c>
      <c r="F115" t="s">
        <v>86</v>
      </c>
      <c r="G115">
        <v>845257.87153819855</v>
      </c>
      <c r="H115">
        <v>562105.95050130773</v>
      </c>
      <c r="I115">
        <v>295447.77086893527</v>
      </c>
      <c r="J115">
        <v>450487.23570689012</v>
      </c>
      <c r="K115">
        <v>549810.10066926316</v>
      </c>
      <c r="L115">
        <v>0.83474576271186396</v>
      </c>
    </row>
    <row r="116" spans="1:12" x14ac:dyDescent="0.35">
      <c r="A116">
        <v>2026</v>
      </c>
      <c r="B116" t="s">
        <v>7</v>
      </c>
      <c r="C116" t="s">
        <v>9</v>
      </c>
      <c r="D116" t="s">
        <v>18</v>
      </c>
      <c r="E116" t="s">
        <v>490</v>
      </c>
      <c r="F116" t="s">
        <v>82</v>
      </c>
      <c r="G116">
        <v>845257.87153819855</v>
      </c>
      <c r="H116">
        <v>562105.95050130773</v>
      </c>
      <c r="I116">
        <v>469215.56037609163</v>
      </c>
      <c r="J116">
        <v>450487.23570689012</v>
      </c>
      <c r="K116">
        <v>376042.31116210693</v>
      </c>
      <c r="L116">
        <v>0.83474576271186396</v>
      </c>
    </row>
    <row r="117" spans="1:12" x14ac:dyDescent="0.35">
      <c r="A117">
        <v>2026</v>
      </c>
      <c r="B117" t="s">
        <v>7</v>
      </c>
      <c r="C117" t="s">
        <v>10</v>
      </c>
      <c r="D117" t="s">
        <v>16</v>
      </c>
      <c r="E117" t="s">
        <v>483</v>
      </c>
      <c r="F117" t="s">
        <v>80</v>
      </c>
      <c r="G117">
        <v>837500.54212283459</v>
      </c>
      <c r="H117">
        <v>0</v>
      </c>
      <c r="I117">
        <v>0</v>
      </c>
      <c r="J117">
        <v>1003300.141832432</v>
      </c>
      <c r="K117">
        <v>837500.54212283459</v>
      </c>
      <c r="L117">
        <v>0.83474576271186396</v>
      </c>
    </row>
    <row r="118" spans="1:12" x14ac:dyDescent="0.35">
      <c r="A118">
        <v>2026</v>
      </c>
      <c r="B118" t="s">
        <v>7</v>
      </c>
      <c r="C118" t="s">
        <v>10</v>
      </c>
      <c r="D118" t="s">
        <v>16</v>
      </c>
      <c r="E118" t="s">
        <v>483</v>
      </c>
      <c r="F118" t="s">
        <v>81</v>
      </c>
      <c r="G118">
        <v>837500.54212283459</v>
      </c>
      <c r="H118">
        <v>475566</v>
      </c>
      <c r="I118">
        <v>249961.62107116709</v>
      </c>
      <c r="J118">
        <v>527734.14183243178</v>
      </c>
      <c r="K118">
        <v>587538.92105166754</v>
      </c>
      <c r="L118">
        <v>0.83474576271186396</v>
      </c>
    </row>
    <row r="119" spans="1:12" x14ac:dyDescent="0.35">
      <c r="A119">
        <v>2026</v>
      </c>
      <c r="B119" t="s">
        <v>7</v>
      </c>
      <c r="C119" t="s">
        <v>10</v>
      </c>
      <c r="D119" t="s">
        <v>18</v>
      </c>
      <c r="E119" t="s">
        <v>483</v>
      </c>
      <c r="F119" t="s">
        <v>85</v>
      </c>
      <c r="G119">
        <v>837500.54212283459</v>
      </c>
      <c r="H119">
        <v>562105.95050130773</v>
      </c>
      <c r="I119">
        <v>295447.77086893527</v>
      </c>
      <c r="J119">
        <v>441194.19133112399</v>
      </c>
      <c r="K119">
        <v>542052.77125389921</v>
      </c>
      <c r="L119">
        <v>0.83474576271186396</v>
      </c>
    </row>
    <row r="120" spans="1:12" x14ac:dyDescent="0.35">
      <c r="A120">
        <v>2026</v>
      </c>
      <c r="B120" t="s">
        <v>7</v>
      </c>
      <c r="C120" t="s">
        <v>10</v>
      </c>
      <c r="D120" t="s">
        <v>18</v>
      </c>
      <c r="E120" t="s">
        <v>483</v>
      </c>
      <c r="F120" t="s">
        <v>86</v>
      </c>
      <c r="G120">
        <v>837500.54212283459</v>
      </c>
      <c r="H120">
        <v>562105.95050130773</v>
      </c>
      <c r="I120">
        <v>295447.77086893527</v>
      </c>
      <c r="J120">
        <v>441194.19133112399</v>
      </c>
      <c r="K120">
        <v>542052.77125389921</v>
      </c>
      <c r="L120">
        <v>0.83474576271186396</v>
      </c>
    </row>
    <row r="121" spans="1:12" x14ac:dyDescent="0.35">
      <c r="A121">
        <v>2026</v>
      </c>
      <c r="B121" t="s">
        <v>7</v>
      </c>
      <c r="C121" t="s">
        <v>10</v>
      </c>
      <c r="D121" t="s">
        <v>18</v>
      </c>
      <c r="E121" t="s">
        <v>490</v>
      </c>
      <c r="F121" t="s">
        <v>82</v>
      </c>
      <c r="G121">
        <v>837500.54212283459</v>
      </c>
      <c r="H121">
        <v>562105.95050130773</v>
      </c>
      <c r="I121">
        <v>469215.56037609163</v>
      </c>
      <c r="J121">
        <v>441194.19133112399</v>
      </c>
      <c r="K121">
        <v>368284.98174674303</v>
      </c>
      <c r="L121">
        <v>0.83474576271186396</v>
      </c>
    </row>
    <row r="122" spans="1:12" x14ac:dyDescent="0.35">
      <c r="A122">
        <v>2026</v>
      </c>
      <c r="B122" t="s">
        <v>13</v>
      </c>
      <c r="C122" t="s">
        <v>4</v>
      </c>
      <c r="D122" t="s">
        <v>16</v>
      </c>
      <c r="E122" t="s">
        <v>483</v>
      </c>
      <c r="F122" t="s">
        <v>80</v>
      </c>
      <c r="G122">
        <v>595.19964669675574</v>
      </c>
      <c r="H122">
        <v>0</v>
      </c>
      <c r="I122">
        <v>0</v>
      </c>
      <c r="J122">
        <v>595.19964669675574</v>
      </c>
      <c r="K122">
        <v>595.19964669675574</v>
      </c>
      <c r="L122">
        <v>1</v>
      </c>
    </row>
    <row r="123" spans="1:12" x14ac:dyDescent="0.35">
      <c r="A123">
        <v>2026</v>
      </c>
      <c r="B123" t="s">
        <v>13</v>
      </c>
      <c r="C123" t="s">
        <v>4</v>
      </c>
      <c r="D123" t="s">
        <v>16</v>
      </c>
      <c r="E123" t="s">
        <v>483</v>
      </c>
      <c r="F123" t="s">
        <v>81</v>
      </c>
      <c r="G123">
        <v>595.19964669675574</v>
      </c>
      <c r="H123">
        <v>0</v>
      </c>
      <c r="I123">
        <v>0</v>
      </c>
      <c r="J123">
        <v>595.19964669675574</v>
      </c>
      <c r="K123">
        <v>595.19964669675574</v>
      </c>
      <c r="L123">
        <v>1</v>
      </c>
    </row>
    <row r="124" spans="1:12" x14ac:dyDescent="0.35">
      <c r="A124">
        <v>2026</v>
      </c>
      <c r="B124" t="s">
        <v>13</v>
      </c>
      <c r="C124" t="s">
        <v>4</v>
      </c>
      <c r="D124" t="s">
        <v>18</v>
      </c>
      <c r="E124" t="s">
        <v>483</v>
      </c>
      <c r="F124" t="s">
        <v>85</v>
      </c>
      <c r="G124">
        <v>595.19964669675574</v>
      </c>
      <c r="H124">
        <v>99670</v>
      </c>
      <c r="I124">
        <v>32891.1</v>
      </c>
      <c r="J124">
        <v>0</v>
      </c>
      <c r="K124">
        <v>0</v>
      </c>
      <c r="L124">
        <v>1</v>
      </c>
    </row>
    <row r="125" spans="1:12" x14ac:dyDescent="0.35">
      <c r="A125">
        <v>2026</v>
      </c>
      <c r="B125" t="s">
        <v>13</v>
      </c>
      <c r="C125" t="s">
        <v>4</v>
      </c>
      <c r="D125" t="s">
        <v>18</v>
      </c>
      <c r="E125" t="s">
        <v>483</v>
      </c>
      <c r="F125" t="s">
        <v>86</v>
      </c>
      <c r="G125">
        <v>595.19964669675574</v>
      </c>
      <c r="H125">
        <v>99670</v>
      </c>
      <c r="I125">
        <v>32891.1</v>
      </c>
      <c r="J125">
        <v>0</v>
      </c>
      <c r="K125">
        <v>0</v>
      </c>
      <c r="L125">
        <v>1</v>
      </c>
    </row>
    <row r="126" spans="1:12" x14ac:dyDescent="0.35">
      <c r="A126">
        <v>2026</v>
      </c>
      <c r="B126" t="s">
        <v>13</v>
      </c>
      <c r="C126" t="s">
        <v>4</v>
      </c>
      <c r="D126" t="s">
        <v>18</v>
      </c>
      <c r="E126" t="s">
        <v>490</v>
      </c>
      <c r="F126" t="s">
        <v>82</v>
      </c>
      <c r="G126">
        <v>595.19964669675574</v>
      </c>
      <c r="H126">
        <v>99670</v>
      </c>
      <c r="I126">
        <v>32891.1</v>
      </c>
      <c r="J126">
        <v>0</v>
      </c>
      <c r="K126">
        <v>0</v>
      </c>
      <c r="L126">
        <v>1</v>
      </c>
    </row>
    <row r="127" spans="1:12" x14ac:dyDescent="0.35">
      <c r="A127">
        <v>2026</v>
      </c>
      <c r="B127" t="s">
        <v>13</v>
      </c>
      <c r="C127" t="s">
        <v>9</v>
      </c>
      <c r="D127" t="s">
        <v>16</v>
      </c>
      <c r="E127" t="s">
        <v>483</v>
      </c>
      <c r="F127" t="s">
        <v>80</v>
      </c>
      <c r="G127">
        <v>466.18816950520568</v>
      </c>
      <c r="H127">
        <v>0</v>
      </c>
      <c r="I127">
        <v>0</v>
      </c>
      <c r="J127">
        <v>466.18816950520568</v>
      </c>
      <c r="K127">
        <v>466.18816950520568</v>
      </c>
      <c r="L127">
        <v>1</v>
      </c>
    </row>
    <row r="128" spans="1:12" x14ac:dyDescent="0.35">
      <c r="A128">
        <v>2026</v>
      </c>
      <c r="B128" t="s">
        <v>13</v>
      </c>
      <c r="C128" t="s">
        <v>9</v>
      </c>
      <c r="D128" t="s">
        <v>16</v>
      </c>
      <c r="E128" t="s">
        <v>483</v>
      </c>
      <c r="F128" t="s">
        <v>81</v>
      </c>
      <c r="G128">
        <v>466.18816950520568</v>
      </c>
      <c r="H128">
        <v>0</v>
      </c>
      <c r="I128">
        <v>0</v>
      </c>
      <c r="J128">
        <v>466.18816950520568</v>
      </c>
      <c r="K128">
        <v>466.18816950520568</v>
      </c>
      <c r="L128">
        <v>1</v>
      </c>
    </row>
    <row r="129" spans="1:12" x14ac:dyDescent="0.35">
      <c r="A129">
        <v>2026</v>
      </c>
      <c r="B129" t="s">
        <v>13</v>
      </c>
      <c r="C129" t="s">
        <v>9</v>
      </c>
      <c r="D129" t="s">
        <v>18</v>
      </c>
      <c r="E129" t="s">
        <v>483</v>
      </c>
      <c r="F129" t="s">
        <v>85</v>
      </c>
      <c r="G129">
        <v>466.18816950520568</v>
      </c>
      <c r="H129">
        <v>99670</v>
      </c>
      <c r="I129">
        <v>32891.1</v>
      </c>
      <c r="J129">
        <v>0</v>
      </c>
      <c r="K129">
        <v>0</v>
      </c>
      <c r="L129">
        <v>1</v>
      </c>
    </row>
    <row r="130" spans="1:12" x14ac:dyDescent="0.35">
      <c r="A130">
        <v>2026</v>
      </c>
      <c r="B130" t="s">
        <v>13</v>
      </c>
      <c r="C130" t="s">
        <v>9</v>
      </c>
      <c r="D130" t="s">
        <v>18</v>
      </c>
      <c r="E130" t="s">
        <v>483</v>
      </c>
      <c r="F130" t="s">
        <v>86</v>
      </c>
      <c r="G130">
        <v>466.18816950520568</v>
      </c>
      <c r="H130">
        <v>99670</v>
      </c>
      <c r="I130">
        <v>32891.1</v>
      </c>
      <c r="J130">
        <v>0</v>
      </c>
      <c r="K130">
        <v>0</v>
      </c>
      <c r="L130">
        <v>1</v>
      </c>
    </row>
    <row r="131" spans="1:12" x14ac:dyDescent="0.35">
      <c r="A131">
        <v>2026</v>
      </c>
      <c r="B131" t="s">
        <v>13</v>
      </c>
      <c r="C131" t="s">
        <v>9</v>
      </c>
      <c r="D131" t="s">
        <v>18</v>
      </c>
      <c r="E131" t="s">
        <v>490</v>
      </c>
      <c r="F131" t="s">
        <v>82</v>
      </c>
      <c r="G131">
        <v>466.18816950520568</v>
      </c>
      <c r="H131">
        <v>99670</v>
      </c>
      <c r="I131">
        <v>32891.1</v>
      </c>
      <c r="J131">
        <v>0</v>
      </c>
      <c r="K131">
        <v>0</v>
      </c>
      <c r="L131">
        <v>1</v>
      </c>
    </row>
    <row r="132" spans="1:12" x14ac:dyDescent="0.35">
      <c r="A132">
        <v>2026</v>
      </c>
      <c r="B132" t="s">
        <v>13</v>
      </c>
      <c r="C132" t="s">
        <v>10</v>
      </c>
      <c r="D132" t="s">
        <v>16</v>
      </c>
      <c r="E132" t="s">
        <v>483</v>
      </c>
      <c r="F132" t="s">
        <v>80</v>
      </c>
      <c r="G132">
        <v>587.70528713969418</v>
      </c>
      <c r="H132">
        <v>0</v>
      </c>
      <c r="I132">
        <v>0</v>
      </c>
      <c r="J132">
        <v>587.70528713969418</v>
      </c>
      <c r="K132">
        <v>587.70528713969418</v>
      </c>
      <c r="L132">
        <v>1</v>
      </c>
    </row>
    <row r="133" spans="1:12" x14ac:dyDescent="0.35">
      <c r="A133">
        <v>2026</v>
      </c>
      <c r="B133" t="s">
        <v>13</v>
      </c>
      <c r="C133" t="s">
        <v>10</v>
      </c>
      <c r="D133" t="s">
        <v>16</v>
      </c>
      <c r="E133" t="s">
        <v>483</v>
      </c>
      <c r="F133" t="s">
        <v>81</v>
      </c>
      <c r="G133">
        <v>587.70528713969418</v>
      </c>
      <c r="H133">
        <v>0</v>
      </c>
      <c r="I133">
        <v>0</v>
      </c>
      <c r="J133">
        <v>587.70528713969418</v>
      </c>
      <c r="K133">
        <v>587.70528713969418</v>
      </c>
      <c r="L133">
        <v>1</v>
      </c>
    </row>
    <row r="134" spans="1:12" x14ac:dyDescent="0.35">
      <c r="A134">
        <v>2026</v>
      </c>
      <c r="B134" t="s">
        <v>13</v>
      </c>
      <c r="C134" t="s">
        <v>10</v>
      </c>
      <c r="D134" t="s">
        <v>18</v>
      </c>
      <c r="E134" t="s">
        <v>483</v>
      </c>
      <c r="F134" t="s">
        <v>85</v>
      </c>
      <c r="G134">
        <v>587.70528713969418</v>
      </c>
      <c r="H134">
        <v>99670</v>
      </c>
      <c r="I134">
        <v>32891.1</v>
      </c>
      <c r="J134">
        <v>0</v>
      </c>
      <c r="K134">
        <v>0</v>
      </c>
      <c r="L134">
        <v>1</v>
      </c>
    </row>
    <row r="135" spans="1:12" x14ac:dyDescent="0.35">
      <c r="A135">
        <v>2026</v>
      </c>
      <c r="B135" t="s">
        <v>13</v>
      </c>
      <c r="C135" t="s">
        <v>10</v>
      </c>
      <c r="D135" t="s">
        <v>18</v>
      </c>
      <c r="E135" t="s">
        <v>483</v>
      </c>
      <c r="F135" t="s">
        <v>86</v>
      </c>
      <c r="G135">
        <v>587.70528713969418</v>
      </c>
      <c r="H135">
        <v>99670</v>
      </c>
      <c r="I135">
        <v>32891.1</v>
      </c>
      <c r="J135">
        <v>0</v>
      </c>
      <c r="K135">
        <v>0</v>
      </c>
      <c r="L135">
        <v>1</v>
      </c>
    </row>
    <row r="136" spans="1:12" x14ac:dyDescent="0.35">
      <c r="A136">
        <v>2026</v>
      </c>
      <c r="B136" t="s">
        <v>13</v>
      </c>
      <c r="C136" t="s">
        <v>10</v>
      </c>
      <c r="D136" t="s">
        <v>18</v>
      </c>
      <c r="E136" t="s">
        <v>490</v>
      </c>
      <c r="F136" t="s">
        <v>82</v>
      </c>
      <c r="G136">
        <v>587.70528713969418</v>
      </c>
      <c r="H136">
        <v>99670</v>
      </c>
      <c r="I136">
        <v>32891.1</v>
      </c>
      <c r="J136">
        <v>0</v>
      </c>
      <c r="K136">
        <v>0</v>
      </c>
      <c r="L136">
        <v>1</v>
      </c>
    </row>
    <row r="137" spans="1:12" x14ac:dyDescent="0.35">
      <c r="A137">
        <v>2026</v>
      </c>
      <c r="B137" t="s">
        <v>12</v>
      </c>
      <c r="C137" t="s">
        <v>4</v>
      </c>
      <c r="D137" t="s">
        <v>16</v>
      </c>
      <c r="E137" t="s">
        <v>483</v>
      </c>
      <c r="F137" t="s">
        <v>80</v>
      </c>
      <c r="G137">
        <v>9264.2962116299586</v>
      </c>
      <c r="H137">
        <v>0</v>
      </c>
      <c r="I137">
        <v>0</v>
      </c>
      <c r="J137">
        <v>13250.41116152788</v>
      </c>
      <c r="K137">
        <v>9264.2962116299586</v>
      </c>
      <c r="L137">
        <v>0.69917047091553897</v>
      </c>
    </row>
    <row r="138" spans="1:12" x14ac:dyDescent="0.35">
      <c r="A138">
        <v>2026</v>
      </c>
      <c r="B138" t="s">
        <v>12</v>
      </c>
      <c r="C138" t="s">
        <v>4</v>
      </c>
      <c r="D138" t="s">
        <v>16</v>
      </c>
      <c r="E138" t="s">
        <v>483</v>
      </c>
      <c r="F138" t="s">
        <v>81</v>
      </c>
      <c r="G138">
        <v>9264.2962116299586</v>
      </c>
      <c r="H138">
        <v>39969</v>
      </c>
      <c r="I138">
        <v>27945.144552023179</v>
      </c>
      <c r="J138">
        <v>0</v>
      </c>
      <c r="K138">
        <v>0</v>
      </c>
      <c r="L138">
        <v>0.69917047091553897</v>
      </c>
    </row>
    <row r="139" spans="1:12" x14ac:dyDescent="0.35">
      <c r="A139">
        <v>2026</v>
      </c>
      <c r="B139" t="s">
        <v>12</v>
      </c>
      <c r="C139" t="s">
        <v>4</v>
      </c>
      <c r="D139" t="s">
        <v>18</v>
      </c>
      <c r="E139" t="s">
        <v>483</v>
      </c>
      <c r="F139" t="s">
        <v>85</v>
      </c>
      <c r="G139">
        <v>9264.2962116299586</v>
      </c>
      <c r="H139">
        <v>144329</v>
      </c>
      <c r="I139">
        <v>100910.5748967688</v>
      </c>
      <c r="J139">
        <v>0</v>
      </c>
      <c r="K139">
        <v>0</v>
      </c>
      <c r="L139">
        <v>0.69917047091553897</v>
      </c>
    </row>
    <row r="140" spans="1:12" x14ac:dyDescent="0.35">
      <c r="A140">
        <v>2026</v>
      </c>
      <c r="B140" t="s">
        <v>12</v>
      </c>
      <c r="C140" t="s">
        <v>4</v>
      </c>
      <c r="D140" t="s">
        <v>18</v>
      </c>
      <c r="E140" t="s">
        <v>483</v>
      </c>
      <c r="F140" t="s">
        <v>86</v>
      </c>
      <c r="G140">
        <v>9264.2962116299586</v>
      </c>
      <c r="H140">
        <v>144329</v>
      </c>
      <c r="I140">
        <v>100910.5748967688</v>
      </c>
      <c r="J140">
        <v>0</v>
      </c>
      <c r="K140">
        <v>0</v>
      </c>
      <c r="L140">
        <v>0.69917047091553897</v>
      </c>
    </row>
    <row r="141" spans="1:12" x14ac:dyDescent="0.35">
      <c r="A141">
        <v>2026</v>
      </c>
      <c r="B141" t="s">
        <v>12</v>
      </c>
      <c r="C141" t="s">
        <v>4</v>
      </c>
      <c r="D141" t="s">
        <v>18</v>
      </c>
      <c r="E141" t="s">
        <v>490</v>
      </c>
      <c r="F141" t="s">
        <v>82</v>
      </c>
      <c r="G141">
        <v>9264.2962116299586</v>
      </c>
      <c r="H141">
        <v>144329</v>
      </c>
      <c r="I141">
        <v>100910.5748967688</v>
      </c>
      <c r="J141">
        <v>0</v>
      </c>
      <c r="K141">
        <v>0</v>
      </c>
      <c r="L141">
        <v>0.69917047091553897</v>
      </c>
    </row>
    <row r="142" spans="1:12" x14ac:dyDescent="0.35">
      <c r="A142">
        <v>2026</v>
      </c>
      <c r="B142" t="s">
        <v>12</v>
      </c>
      <c r="C142" t="s">
        <v>9</v>
      </c>
      <c r="D142" t="s">
        <v>16</v>
      </c>
      <c r="E142" t="s">
        <v>483</v>
      </c>
      <c r="F142" t="s">
        <v>80</v>
      </c>
      <c r="G142">
        <v>7256.2295972836719</v>
      </c>
      <c r="H142">
        <v>0</v>
      </c>
      <c r="I142">
        <v>0</v>
      </c>
      <c r="J142">
        <v>10378.34104718681</v>
      </c>
      <c r="K142">
        <v>7256.2295972836719</v>
      </c>
      <c r="L142">
        <v>0.69917047091553897</v>
      </c>
    </row>
    <row r="143" spans="1:12" x14ac:dyDescent="0.35">
      <c r="A143">
        <v>2026</v>
      </c>
      <c r="B143" t="s">
        <v>12</v>
      </c>
      <c r="C143" t="s">
        <v>9</v>
      </c>
      <c r="D143" t="s">
        <v>16</v>
      </c>
      <c r="E143" t="s">
        <v>483</v>
      </c>
      <c r="F143" t="s">
        <v>81</v>
      </c>
      <c r="G143">
        <v>7256.2295972836719</v>
      </c>
      <c r="H143">
        <v>39969</v>
      </c>
      <c r="I143">
        <v>27945.144552023179</v>
      </c>
      <c r="J143">
        <v>0</v>
      </c>
      <c r="K143">
        <v>0</v>
      </c>
      <c r="L143">
        <v>0.69917047091553897</v>
      </c>
    </row>
    <row r="144" spans="1:12" x14ac:dyDescent="0.35">
      <c r="A144">
        <v>2026</v>
      </c>
      <c r="B144" t="s">
        <v>12</v>
      </c>
      <c r="C144" t="s">
        <v>9</v>
      </c>
      <c r="D144" t="s">
        <v>18</v>
      </c>
      <c r="E144" t="s">
        <v>483</v>
      </c>
      <c r="F144" t="s">
        <v>85</v>
      </c>
      <c r="G144">
        <v>7256.2295972836719</v>
      </c>
      <c r="H144">
        <v>144329</v>
      </c>
      <c r="I144">
        <v>100910.5748967688</v>
      </c>
      <c r="J144">
        <v>0</v>
      </c>
      <c r="K144">
        <v>0</v>
      </c>
      <c r="L144">
        <v>0.69917047091553897</v>
      </c>
    </row>
    <row r="145" spans="1:12" x14ac:dyDescent="0.35">
      <c r="A145">
        <v>2026</v>
      </c>
      <c r="B145" t="s">
        <v>12</v>
      </c>
      <c r="C145" t="s">
        <v>9</v>
      </c>
      <c r="D145" t="s">
        <v>18</v>
      </c>
      <c r="E145" t="s">
        <v>483</v>
      </c>
      <c r="F145" t="s">
        <v>86</v>
      </c>
      <c r="G145">
        <v>7256.2295972836719</v>
      </c>
      <c r="H145">
        <v>144329</v>
      </c>
      <c r="I145">
        <v>100910.5748967688</v>
      </c>
      <c r="J145">
        <v>0</v>
      </c>
      <c r="K145">
        <v>0</v>
      </c>
      <c r="L145">
        <v>0.69917047091553897</v>
      </c>
    </row>
    <row r="146" spans="1:12" x14ac:dyDescent="0.35">
      <c r="A146">
        <v>2026</v>
      </c>
      <c r="B146" t="s">
        <v>12</v>
      </c>
      <c r="C146" t="s">
        <v>9</v>
      </c>
      <c r="D146" t="s">
        <v>18</v>
      </c>
      <c r="E146" t="s">
        <v>490</v>
      </c>
      <c r="F146" t="s">
        <v>82</v>
      </c>
      <c r="G146">
        <v>7256.2295972836719</v>
      </c>
      <c r="H146">
        <v>144329</v>
      </c>
      <c r="I146">
        <v>100910.5748967688</v>
      </c>
      <c r="J146">
        <v>0</v>
      </c>
      <c r="K146">
        <v>0</v>
      </c>
      <c r="L146">
        <v>0.69917047091553897</v>
      </c>
    </row>
    <row r="147" spans="1:12" x14ac:dyDescent="0.35">
      <c r="A147">
        <v>2026</v>
      </c>
      <c r="B147" t="s">
        <v>12</v>
      </c>
      <c r="C147" t="s">
        <v>10</v>
      </c>
      <c r="D147" t="s">
        <v>16</v>
      </c>
      <c r="E147" t="s">
        <v>483</v>
      </c>
      <c r="F147" t="s">
        <v>80</v>
      </c>
      <c r="G147">
        <v>9147.6463324870547</v>
      </c>
      <c r="H147">
        <v>0</v>
      </c>
      <c r="I147">
        <v>0</v>
      </c>
      <c r="J147">
        <v>13083.57076423513</v>
      </c>
      <c r="K147">
        <v>9147.6463324870547</v>
      </c>
      <c r="L147">
        <v>0.69917047091553897</v>
      </c>
    </row>
    <row r="148" spans="1:12" x14ac:dyDescent="0.35">
      <c r="A148">
        <v>2026</v>
      </c>
      <c r="B148" t="s">
        <v>12</v>
      </c>
      <c r="C148" t="s">
        <v>10</v>
      </c>
      <c r="D148" t="s">
        <v>16</v>
      </c>
      <c r="E148" t="s">
        <v>483</v>
      </c>
      <c r="F148" t="s">
        <v>81</v>
      </c>
      <c r="G148">
        <v>9147.6463324870547</v>
      </c>
      <c r="H148">
        <v>39969</v>
      </c>
      <c r="I148">
        <v>27945.144552023179</v>
      </c>
      <c r="J148">
        <v>0</v>
      </c>
      <c r="K148">
        <v>0</v>
      </c>
      <c r="L148">
        <v>0.69917047091553897</v>
      </c>
    </row>
    <row r="149" spans="1:12" x14ac:dyDescent="0.35">
      <c r="A149">
        <v>2026</v>
      </c>
      <c r="B149" t="s">
        <v>12</v>
      </c>
      <c r="C149" t="s">
        <v>10</v>
      </c>
      <c r="D149" t="s">
        <v>18</v>
      </c>
      <c r="E149" t="s">
        <v>483</v>
      </c>
      <c r="F149" t="s">
        <v>85</v>
      </c>
      <c r="G149">
        <v>9147.6463324870547</v>
      </c>
      <c r="H149">
        <v>144329</v>
      </c>
      <c r="I149">
        <v>100910.5748967688</v>
      </c>
      <c r="J149">
        <v>0</v>
      </c>
      <c r="K149">
        <v>0</v>
      </c>
      <c r="L149">
        <v>0.69917047091553897</v>
      </c>
    </row>
    <row r="150" spans="1:12" x14ac:dyDescent="0.35">
      <c r="A150">
        <v>2026</v>
      </c>
      <c r="B150" t="s">
        <v>12</v>
      </c>
      <c r="C150" t="s">
        <v>10</v>
      </c>
      <c r="D150" t="s">
        <v>18</v>
      </c>
      <c r="E150" t="s">
        <v>483</v>
      </c>
      <c r="F150" t="s">
        <v>86</v>
      </c>
      <c r="G150">
        <v>9147.6463324870547</v>
      </c>
      <c r="H150">
        <v>144329</v>
      </c>
      <c r="I150">
        <v>100910.5748967688</v>
      </c>
      <c r="J150">
        <v>0</v>
      </c>
      <c r="K150">
        <v>0</v>
      </c>
      <c r="L150">
        <v>0.69917047091553897</v>
      </c>
    </row>
    <row r="151" spans="1:12" x14ac:dyDescent="0.35">
      <c r="A151">
        <v>2026</v>
      </c>
      <c r="B151" t="s">
        <v>12</v>
      </c>
      <c r="C151" t="s">
        <v>10</v>
      </c>
      <c r="D151" t="s">
        <v>18</v>
      </c>
      <c r="E151" t="s">
        <v>490</v>
      </c>
      <c r="F151" t="s">
        <v>82</v>
      </c>
      <c r="G151">
        <v>9147.6463324870547</v>
      </c>
      <c r="H151">
        <v>144329</v>
      </c>
      <c r="I151">
        <v>100910.5748967688</v>
      </c>
      <c r="J151">
        <v>0</v>
      </c>
      <c r="K151">
        <v>0</v>
      </c>
      <c r="L151">
        <v>0.69917047091553897</v>
      </c>
    </row>
    <row r="152" spans="1:12" x14ac:dyDescent="0.35">
      <c r="A152">
        <v>2026</v>
      </c>
      <c r="B152" t="s">
        <v>11</v>
      </c>
      <c r="C152" t="s">
        <v>4</v>
      </c>
      <c r="D152" t="s">
        <v>16</v>
      </c>
      <c r="E152" t="s">
        <v>483</v>
      </c>
      <c r="F152" t="s">
        <v>80</v>
      </c>
      <c r="G152">
        <v>563.7311840881448</v>
      </c>
      <c r="H152">
        <v>0</v>
      </c>
      <c r="I152">
        <v>0</v>
      </c>
      <c r="J152">
        <v>941.83763448573518</v>
      </c>
      <c r="K152">
        <v>563.7311840881448</v>
      </c>
      <c r="L152">
        <v>0.59854391398996798</v>
      </c>
    </row>
    <row r="153" spans="1:12" x14ac:dyDescent="0.35">
      <c r="A153">
        <v>2026</v>
      </c>
      <c r="B153" t="s">
        <v>11</v>
      </c>
      <c r="C153" t="s">
        <v>4</v>
      </c>
      <c r="D153" t="s">
        <v>16</v>
      </c>
      <c r="E153" t="s">
        <v>483</v>
      </c>
      <c r="F153" t="s">
        <v>81</v>
      </c>
      <c r="G153">
        <v>563.7311840881448</v>
      </c>
      <c r="H153">
        <v>0</v>
      </c>
      <c r="I153">
        <v>0</v>
      </c>
      <c r="J153">
        <v>941.83763448573518</v>
      </c>
      <c r="K153">
        <v>563.7311840881448</v>
      </c>
      <c r="L153">
        <v>0.59854391398996798</v>
      </c>
    </row>
    <row r="154" spans="1:12" x14ac:dyDescent="0.35">
      <c r="A154">
        <v>2026</v>
      </c>
      <c r="B154" t="s">
        <v>11</v>
      </c>
      <c r="C154" t="s">
        <v>4</v>
      </c>
      <c r="D154" t="s">
        <v>18</v>
      </c>
      <c r="E154" t="s">
        <v>483</v>
      </c>
      <c r="F154" t="s">
        <v>85</v>
      </c>
      <c r="G154">
        <v>563.7311840881448</v>
      </c>
      <c r="H154">
        <v>3.8513667333084358</v>
      </c>
      <c r="I154">
        <v>2.3052121187651879</v>
      </c>
      <c r="J154">
        <v>937.98626775242678</v>
      </c>
      <c r="K154">
        <v>561.42597196937959</v>
      </c>
      <c r="L154">
        <v>0.59854391398996798</v>
      </c>
    </row>
    <row r="155" spans="1:12" x14ac:dyDescent="0.35">
      <c r="A155">
        <v>2026</v>
      </c>
      <c r="B155" t="s">
        <v>11</v>
      </c>
      <c r="C155" t="s">
        <v>4</v>
      </c>
      <c r="D155" t="s">
        <v>18</v>
      </c>
      <c r="E155" t="s">
        <v>483</v>
      </c>
      <c r="F155" t="s">
        <v>86</v>
      </c>
      <c r="G155">
        <v>563.7311840881448</v>
      </c>
      <c r="H155">
        <v>3.8513667333084358</v>
      </c>
      <c r="I155">
        <v>2.3052121187651879</v>
      </c>
      <c r="J155">
        <v>937.98626775242678</v>
      </c>
      <c r="K155">
        <v>561.42597196937959</v>
      </c>
      <c r="L155">
        <v>0.59854391398996798</v>
      </c>
    </row>
    <row r="156" spans="1:12" x14ac:dyDescent="0.35">
      <c r="A156">
        <v>2026</v>
      </c>
      <c r="B156" t="s">
        <v>11</v>
      </c>
      <c r="C156" t="s">
        <v>4</v>
      </c>
      <c r="D156" t="s">
        <v>18</v>
      </c>
      <c r="E156" t="s">
        <v>490</v>
      </c>
      <c r="F156" t="s">
        <v>82</v>
      </c>
      <c r="G156">
        <v>563.7311840881448</v>
      </c>
      <c r="H156">
        <v>3.8513667333084358</v>
      </c>
      <c r="I156">
        <v>2.3052121187651879</v>
      </c>
      <c r="J156">
        <v>937.98626775242678</v>
      </c>
      <c r="K156">
        <v>561.42597196937959</v>
      </c>
      <c r="L156">
        <v>0.59854391398996798</v>
      </c>
    </row>
    <row r="157" spans="1:12" x14ac:dyDescent="0.35">
      <c r="A157">
        <v>2026</v>
      </c>
      <c r="B157" t="s">
        <v>11</v>
      </c>
      <c r="C157" t="s">
        <v>9</v>
      </c>
      <c r="D157" t="s">
        <v>16</v>
      </c>
      <c r="E157" t="s">
        <v>483</v>
      </c>
      <c r="F157" t="s">
        <v>80</v>
      </c>
      <c r="G157">
        <v>395.17239379038261</v>
      </c>
      <c r="H157">
        <v>0</v>
      </c>
      <c r="I157">
        <v>0</v>
      </c>
      <c r="J157">
        <v>660.22289184450051</v>
      </c>
      <c r="K157">
        <v>395.17239379038261</v>
      </c>
      <c r="L157">
        <v>0.59854391398996798</v>
      </c>
    </row>
    <row r="158" spans="1:12" x14ac:dyDescent="0.35">
      <c r="A158">
        <v>2026</v>
      </c>
      <c r="B158" t="s">
        <v>11</v>
      </c>
      <c r="C158" t="s">
        <v>9</v>
      </c>
      <c r="D158" t="s">
        <v>16</v>
      </c>
      <c r="E158" t="s">
        <v>483</v>
      </c>
      <c r="F158" t="s">
        <v>81</v>
      </c>
      <c r="G158">
        <v>395.17239379038261</v>
      </c>
      <c r="H158">
        <v>0</v>
      </c>
      <c r="I158">
        <v>0</v>
      </c>
      <c r="J158">
        <v>660.22289184450051</v>
      </c>
      <c r="K158">
        <v>395.17239379038261</v>
      </c>
      <c r="L158">
        <v>0.59854391398996798</v>
      </c>
    </row>
    <row r="159" spans="1:12" x14ac:dyDescent="0.35">
      <c r="A159">
        <v>2026</v>
      </c>
      <c r="B159" t="s">
        <v>11</v>
      </c>
      <c r="C159" t="s">
        <v>9</v>
      </c>
      <c r="D159" t="s">
        <v>18</v>
      </c>
      <c r="E159" t="s">
        <v>483</v>
      </c>
      <c r="F159" t="s">
        <v>85</v>
      </c>
      <c r="G159">
        <v>395.17239379038261</v>
      </c>
      <c r="H159">
        <v>3.8513667333084358</v>
      </c>
      <c r="I159">
        <v>2.3052121187651879</v>
      </c>
      <c r="J159">
        <v>656.37152511119211</v>
      </c>
      <c r="K159">
        <v>392.8671816716174</v>
      </c>
      <c r="L159">
        <v>0.59854391398996798</v>
      </c>
    </row>
    <row r="160" spans="1:12" x14ac:dyDescent="0.35">
      <c r="A160">
        <v>2026</v>
      </c>
      <c r="B160" t="s">
        <v>11</v>
      </c>
      <c r="C160" t="s">
        <v>9</v>
      </c>
      <c r="D160" t="s">
        <v>18</v>
      </c>
      <c r="E160" t="s">
        <v>483</v>
      </c>
      <c r="F160" t="s">
        <v>86</v>
      </c>
      <c r="G160">
        <v>395.17239379038261</v>
      </c>
      <c r="H160">
        <v>3.8513667333084358</v>
      </c>
      <c r="I160">
        <v>2.3052121187651879</v>
      </c>
      <c r="J160">
        <v>656.37152511119211</v>
      </c>
      <c r="K160">
        <v>392.8671816716174</v>
      </c>
      <c r="L160">
        <v>0.59854391398996798</v>
      </c>
    </row>
    <row r="161" spans="1:12" x14ac:dyDescent="0.35">
      <c r="A161">
        <v>2026</v>
      </c>
      <c r="B161" t="s">
        <v>11</v>
      </c>
      <c r="C161" t="s">
        <v>9</v>
      </c>
      <c r="D161" t="s">
        <v>18</v>
      </c>
      <c r="E161" t="s">
        <v>490</v>
      </c>
      <c r="F161" t="s">
        <v>82</v>
      </c>
      <c r="G161">
        <v>395.17239379038261</v>
      </c>
      <c r="H161">
        <v>3.8513667333084358</v>
      </c>
      <c r="I161">
        <v>2.3052121187651879</v>
      </c>
      <c r="J161">
        <v>656.37152511119211</v>
      </c>
      <c r="K161">
        <v>392.8671816716174</v>
      </c>
      <c r="L161">
        <v>0.59854391398996798</v>
      </c>
    </row>
    <row r="162" spans="1:12" x14ac:dyDescent="0.35">
      <c r="A162">
        <v>2026</v>
      </c>
      <c r="B162" t="s">
        <v>11</v>
      </c>
      <c r="C162" t="s">
        <v>10</v>
      </c>
      <c r="D162" t="s">
        <v>16</v>
      </c>
      <c r="E162" t="s">
        <v>483</v>
      </c>
      <c r="F162" t="s">
        <v>80</v>
      </c>
      <c r="G162">
        <v>557.3784617330648</v>
      </c>
      <c r="H162">
        <v>0</v>
      </c>
      <c r="I162">
        <v>0</v>
      </c>
      <c r="J162">
        <v>931.2240066355547</v>
      </c>
      <c r="K162">
        <v>557.3784617330648</v>
      </c>
      <c r="L162">
        <v>0.59854391398996798</v>
      </c>
    </row>
    <row r="163" spans="1:12" x14ac:dyDescent="0.35">
      <c r="A163">
        <v>2026</v>
      </c>
      <c r="B163" t="s">
        <v>11</v>
      </c>
      <c r="C163" t="s">
        <v>10</v>
      </c>
      <c r="D163" t="s">
        <v>16</v>
      </c>
      <c r="E163" t="s">
        <v>483</v>
      </c>
      <c r="F163" t="s">
        <v>81</v>
      </c>
      <c r="G163">
        <v>557.3784617330648</v>
      </c>
      <c r="H163">
        <v>0</v>
      </c>
      <c r="I163">
        <v>0</v>
      </c>
      <c r="J163">
        <v>931.2240066355547</v>
      </c>
      <c r="K163">
        <v>557.3784617330648</v>
      </c>
      <c r="L163">
        <v>0.59854391398996798</v>
      </c>
    </row>
    <row r="164" spans="1:12" x14ac:dyDescent="0.35">
      <c r="A164">
        <v>2026</v>
      </c>
      <c r="B164" t="s">
        <v>11</v>
      </c>
      <c r="C164" t="s">
        <v>10</v>
      </c>
      <c r="D164" t="s">
        <v>18</v>
      </c>
      <c r="E164" t="s">
        <v>483</v>
      </c>
      <c r="F164" t="s">
        <v>85</v>
      </c>
      <c r="G164">
        <v>557.3784617330648</v>
      </c>
      <c r="H164">
        <v>3.8513667333084358</v>
      </c>
      <c r="I164">
        <v>2.3052121187651879</v>
      </c>
      <c r="J164">
        <v>927.37263990224631</v>
      </c>
      <c r="K164">
        <v>555.07324961429958</v>
      </c>
      <c r="L164">
        <v>0.59854391398996798</v>
      </c>
    </row>
    <row r="165" spans="1:12" x14ac:dyDescent="0.35">
      <c r="A165">
        <v>2026</v>
      </c>
      <c r="B165" t="s">
        <v>11</v>
      </c>
      <c r="C165" t="s">
        <v>10</v>
      </c>
      <c r="D165" t="s">
        <v>18</v>
      </c>
      <c r="E165" t="s">
        <v>483</v>
      </c>
      <c r="F165" t="s">
        <v>86</v>
      </c>
      <c r="G165">
        <v>557.3784617330648</v>
      </c>
      <c r="H165">
        <v>3.8513667333084358</v>
      </c>
      <c r="I165">
        <v>2.3052121187651879</v>
      </c>
      <c r="J165">
        <v>927.37263990224631</v>
      </c>
      <c r="K165">
        <v>555.07324961429958</v>
      </c>
      <c r="L165">
        <v>0.59854391398996798</v>
      </c>
    </row>
    <row r="166" spans="1:12" x14ac:dyDescent="0.35">
      <c r="A166">
        <v>2026</v>
      </c>
      <c r="B166" t="s">
        <v>11</v>
      </c>
      <c r="C166" t="s">
        <v>10</v>
      </c>
      <c r="D166" t="s">
        <v>18</v>
      </c>
      <c r="E166" t="s">
        <v>490</v>
      </c>
      <c r="F166" t="s">
        <v>82</v>
      </c>
      <c r="G166">
        <v>557.3784617330648</v>
      </c>
      <c r="H166">
        <v>3.8513667333084358</v>
      </c>
      <c r="I166">
        <v>2.3052121187651879</v>
      </c>
      <c r="J166">
        <v>927.37263990224631</v>
      </c>
      <c r="K166">
        <v>555.07324961429958</v>
      </c>
      <c r="L166">
        <v>0.59854391398996798</v>
      </c>
    </row>
    <row r="167" spans="1:12" x14ac:dyDescent="0.35">
      <c r="A167">
        <v>2026</v>
      </c>
      <c r="B167" t="s">
        <v>8</v>
      </c>
      <c r="C167" t="s">
        <v>4</v>
      </c>
      <c r="D167" t="s">
        <v>16</v>
      </c>
      <c r="E167" t="s">
        <v>483</v>
      </c>
      <c r="F167" t="s">
        <v>80</v>
      </c>
      <c r="G167">
        <v>29818.531857293401</v>
      </c>
      <c r="H167">
        <v>0</v>
      </c>
      <c r="I167">
        <v>0</v>
      </c>
      <c r="J167">
        <v>37862.158168358998</v>
      </c>
      <c r="K167">
        <v>29818.531857293401</v>
      </c>
      <c r="L167">
        <v>0.787554996857322</v>
      </c>
    </row>
    <row r="168" spans="1:12" x14ac:dyDescent="0.35">
      <c r="A168">
        <v>2026</v>
      </c>
      <c r="B168" t="s">
        <v>8</v>
      </c>
      <c r="C168" t="s">
        <v>4</v>
      </c>
      <c r="D168" t="s">
        <v>16</v>
      </c>
      <c r="E168" t="s">
        <v>483</v>
      </c>
      <c r="F168" t="s">
        <v>81</v>
      </c>
      <c r="G168">
        <v>29818.531857293401</v>
      </c>
      <c r="H168">
        <v>158544</v>
      </c>
      <c r="I168">
        <v>88924.165519559378</v>
      </c>
      <c r="J168">
        <v>0</v>
      </c>
      <c r="K168">
        <v>0</v>
      </c>
      <c r="L168">
        <v>0.787554996857322</v>
      </c>
    </row>
    <row r="169" spans="1:12" x14ac:dyDescent="0.35">
      <c r="A169">
        <v>2026</v>
      </c>
      <c r="B169" t="s">
        <v>8</v>
      </c>
      <c r="C169" t="s">
        <v>4</v>
      </c>
      <c r="D169" t="s">
        <v>18</v>
      </c>
      <c r="E169" t="s">
        <v>483</v>
      </c>
      <c r="F169" t="s">
        <v>85</v>
      </c>
      <c r="G169">
        <v>29818.531857293401</v>
      </c>
      <c r="H169">
        <v>208961</v>
      </c>
      <c r="I169">
        <v>117202.0546418196</v>
      </c>
      <c r="J169">
        <v>0</v>
      </c>
      <c r="K169">
        <v>0</v>
      </c>
      <c r="L169">
        <v>0.787554996857322</v>
      </c>
    </row>
    <row r="170" spans="1:12" x14ac:dyDescent="0.35">
      <c r="A170">
        <v>2026</v>
      </c>
      <c r="B170" t="s">
        <v>8</v>
      </c>
      <c r="C170" t="s">
        <v>4</v>
      </c>
      <c r="D170" t="s">
        <v>18</v>
      </c>
      <c r="E170" t="s">
        <v>483</v>
      </c>
      <c r="F170" t="s">
        <v>86</v>
      </c>
      <c r="G170">
        <v>29818.531857293401</v>
      </c>
      <c r="H170">
        <v>208961</v>
      </c>
      <c r="I170">
        <v>117202.0546418196</v>
      </c>
      <c r="J170">
        <v>0</v>
      </c>
      <c r="K170">
        <v>0</v>
      </c>
      <c r="L170">
        <v>0.787554996857322</v>
      </c>
    </row>
    <row r="171" spans="1:12" x14ac:dyDescent="0.35">
      <c r="A171">
        <v>2026</v>
      </c>
      <c r="B171" t="s">
        <v>8</v>
      </c>
      <c r="C171" t="s">
        <v>4</v>
      </c>
      <c r="D171" t="s">
        <v>18</v>
      </c>
      <c r="E171" t="s">
        <v>490</v>
      </c>
      <c r="F171" t="s">
        <v>82</v>
      </c>
      <c r="G171">
        <v>29818.531857293401</v>
      </c>
      <c r="H171">
        <v>208961</v>
      </c>
      <c r="I171">
        <v>164568.279698303</v>
      </c>
      <c r="J171">
        <v>0</v>
      </c>
      <c r="K171">
        <v>0</v>
      </c>
      <c r="L171">
        <v>0.787554996857322</v>
      </c>
    </row>
    <row r="172" spans="1:12" x14ac:dyDescent="0.35">
      <c r="A172">
        <v>2026</v>
      </c>
      <c r="B172" t="s">
        <v>8</v>
      </c>
      <c r="C172" t="s">
        <v>9</v>
      </c>
      <c r="D172" t="s">
        <v>16</v>
      </c>
      <c r="E172" t="s">
        <v>483</v>
      </c>
      <c r="F172" t="s">
        <v>80</v>
      </c>
      <c r="G172">
        <v>24449.44165617535</v>
      </c>
      <c r="H172">
        <v>0</v>
      </c>
      <c r="I172">
        <v>0</v>
      </c>
      <c r="J172">
        <v>31044.741959277741</v>
      </c>
      <c r="K172">
        <v>24449.44165617535</v>
      </c>
      <c r="L172">
        <v>0.787554996857322</v>
      </c>
    </row>
    <row r="173" spans="1:12" x14ac:dyDescent="0.35">
      <c r="A173">
        <v>2026</v>
      </c>
      <c r="B173" t="s">
        <v>8</v>
      </c>
      <c r="C173" t="s">
        <v>9</v>
      </c>
      <c r="D173" t="s">
        <v>16</v>
      </c>
      <c r="E173" t="s">
        <v>483</v>
      </c>
      <c r="F173" t="s">
        <v>81</v>
      </c>
      <c r="G173">
        <v>24449.44165617535</v>
      </c>
      <c r="H173">
        <v>158544</v>
      </c>
      <c r="I173">
        <v>88924.165519559378</v>
      </c>
      <c r="J173">
        <v>0</v>
      </c>
      <c r="K173">
        <v>0</v>
      </c>
      <c r="L173">
        <v>0.787554996857322</v>
      </c>
    </row>
    <row r="174" spans="1:12" x14ac:dyDescent="0.35">
      <c r="A174">
        <v>2026</v>
      </c>
      <c r="B174" t="s">
        <v>8</v>
      </c>
      <c r="C174" t="s">
        <v>9</v>
      </c>
      <c r="D174" t="s">
        <v>18</v>
      </c>
      <c r="E174" t="s">
        <v>483</v>
      </c>
      <c r="F174" t="s">
        <v>85</v>
      </c>
      <c r="G174">
        <v>24449.44165617535</v>
      </c>
      <c r="H174">
        <v>208961</v>
      </c>
      <c r="I174">
        <v>117202.0546418196</v>
      </c>
      <c r="J174">
        <v>0</v>
      </c>
      <c r="K174">
        <v>0</v>
      </c>
      <c r="L174">
        <v>0.787554996857322</v>
      </c>
    </row>
    <row r="175" spans="1:12" x14ac:dyDescent="0.35">
      <c r="A175">
        <v>2026</v>
      </c>
      <c r="B175" t="s">
        <v>8</v>
      </c>
      <c r="C175" t="s">
        <v>9</v>
      </c>
      <c r="D175" t="s">
        <v>18</v>
      </c>
      <c r="E175" t="s">
        <v>483</v>
      </c>
      <c r="F175" t="s">
        <v>86</v>
      </c>
      <c r="G175">
        <v>24449.44165617535</v>
      </c>
      <c r="H175">
        <v>208961</v>
      </c>
      <c r="I175">
        <v>117202.0546418196</v>
      </c>
      <c r="J175">
        <v>0</v>
      </c>
      <c r="K175">
        <v>0</v>
      </c>
      <c r="L175">
        <v>0.787554996857322</v>
      </c>
    </row>
    <row r="176" spans="1:12" x14ac:dyDescent="0.35">
      <c r="A176">
        <v>2026</v>
      </c>
      <c r="B176" t="s">
        <v>8</v>
      </c>
      <c r="C176" t="s">
        <v>9</v>
      </c>
      <c r="D176" t="s">
        <v>18</v>
      </c>
      <c r="E176" t="s">
        <v>490</v>
      </c>
      <c r="F176" t="s">
        <v>82</v>
      </c>
      <c r="G176">
        <v>24449.44165617535</v>
      </c>
      <c r="H176">
        <v>208961</v>
      </c>
      <c r="I176">
        <v>164568.279698303</v>
      </c>
      <c r="J176">
        <v>0</v>
      </c>
      <c r="K176">
        <v>0</v>
      </c>
      <c r="L176">
        <v>0.787554996857322</v>
      </c>
    </row>
    <row r="177" spans="1:12" x14ac:dyDescent="0.35">
      <c r="A177">
        <v>2026</v>
      </c>
      <c r="B177" t="s">
        <v>8</v>
      </c>
      <c r="C177" t="s">
        <v>10</v>
      </c>
      <c r="D177" t="s">
        <v>16</v>
      </c>
      <c r="E177" t="s">
        <v>483</v>
      </c>
      <c r="F177" t="s">
        <v>80</v>
      </c>
      <c r="G177">
        <v>28983.298578402391</v>
      </c>
      <c r="H177">
        <v>0</v>
      </c>
      <c r="I177">
        <v>0</v>
      </c>
      <c r="J177">
        <v>36801.61854607999</v>
      </c>
      <c r="K177">
        <v>28983.298578402391</v>
      </c>
      <c r="L177">
        <v>0.787554996857322</v>
      </c>
    </row>
    <row r="178" spans="1:12" x14ac:dyDescent="0.35">
      <c r="A178">
        <v>2026</v>
      </c>
      <c r="B178" t="s">
        <v>8</v>
      </c>
      <c r="C178" t="s">
        <v>10</v>
      </c>
      <c r="D178" t="s">
        <v>16</v>
      </c>
      <c r="E178" t="s">
        <v>483</v>
      </c>
      <c r="F178" t="s">
        <v>81</v>
      </c>
      <c r="G178">
        <v>28983.298578402391</v>
      </c>
      <c r="H178">
        <v>158544</v>
      </c>
      <c r="I178">
        <v>88924.165519559378</v>
      </c>
      <c r="J178">
        <v>0</v>
      </c>
      <c r="K178">
        <v>0</v>
      </c>
      <c r="L178">
        <v>0.787554996857322</v>
      </c>
    </row>
    <row r="179" spans="1:12" x14ac:dyDescent="0.35">
      <c r="A179">
        <v>2026</v>
      </c>
      <c r="B179" t="s">
        <v>8</v>
      </c>
      <c r="C179" t="s">
        <v>10</v>
      </c>
      <c r="D179" t="s">
        <v>18</v>
      </c>
      <c r="E179" t="s">
        <v>483</v>
      </c>
      <c r="F179" t="s">
        <v>85</v>
      </c>
      <c r="G179">
        <v>28983.298578402391</v>
      </c>
      <c r="H179">
        <v>208961</v>
      </c>
      <c r="I179">
        <v>117202.0546418196</v>
      </c>
      <c r="J179">
        <v>0</v>
      </c>
      <c r="K179">
        <v>0</v>
      </c>
      <c r="L179">
        <v>0.787554996857322</v>
      </c>
    </row>
    <row r="180" spans="1:12" x14ac:dyDescent="0.35">
      <c r="A180">
        <v>2026</v>
      </c>
      <c r="B180" t="s">
        <v>8</v>
      </c>
      <c r="C180" t="s">
        <v>10</v>
      </c>
      <c r="D180" t="s">
        <v>18</v>
      </c>
      <c r="E180" t="s">
        <v>483</v>
      </c>
      <c r="F180" t="s">
        <v>86</v>
      </c>
      <c r="G180">
        <v>28983.298578402391</v>
      </c>
      <c r="H180">
        <v>208961</v>
      </c>
      <c r="I180">
        <v>117202.0546418196</v>
      </c>
      <c r="J180">
        <v>0</v>
      </c>
      <c r="K180">
        <v>0</v>
      </c>
      <c r="L180">
        <v>0.787554996857322</v>
      </c>
    </row>
    <row r="181" spans="1:12" x14ac:dyDescent="0.35">
      <c r="A181">
        <v>2026</v>
      </c>
      <c r="B181" t="s">
        <v>8</v>
      </c>
      <c r="C181" t="s">
        <v>10</v>
      </c>
      <c r="D181" t="s">
        <v>18</v>
      </c>
      <c r="E181" t="s">
        <v>490</v>
      </c>
      <c r="F181" t="s">
        <v>82</v>
      </c>
      <c r="G181">
        <v>28983.298578402391</v>
      </c>
      <c r="H181">
        <v>208961</v>
      </c>
      <c r="I181">
        <v>164568.279698303</v>
      </c>
      <c r="J181">
        <v>0</v>
      </c>
      <c r="K181">
        <v>0</v>
      </c>
      <c r="L181">
        <v>0.787554996857322</v>
      </c>
    </row>
    <row r="182" spans="1:12" x14ac:dyDescent="0.35">
      <c r="A182">
        <v>2027</v>
      </c>
      <c r="B182" t="s">
        <v>6</v>
      </c>
      <c r="C182" t="s">
        <v>4</v>
      </c>
      <c r="D182" t="s">
        <v>16</v>
      </c>
      <c r="E182" t="s">
        <v>483</v>
      </c>
      <c r="F182" t="s">
        <v>80</v>
      </c>
      <c r="G182">
        <v>22846.056566280731</v>
      </c>
      <c r="H182">
        <v>0</v>
      </c>
      <c r="I182">
        <v>0</v>
      </c>
      <c r="J182">
        <v>52000.080006447351</v>
      </c>
      <c r="K182">
        <v>22846.056566280731</v>
      </c>
      <c r="L182">
        <v>0.439346565686978</v>
      </c>
    </row>
    <row r="183" spans="1:12" x14ac:dyDescent="0.35">
      <c r="A183">
        <v>2027</v>
      </c>
      <c r="B183" t="s">
        <v>6</v>
      </c>
      <c r="C183" t="s">
        <v>4</v>
      </c>
      <c r="D183" t="s">
        <v>16</v>
      </c>
      <c r="E183" t="s">
        <v>483</v>
      </c>
      <c r="F183" t="s">
        <v>81</v>
      </c>
      <c r="G183">
        <v>22846.056566280731</v>
      </c>
      <c r="H183">
        <v>4176</v>
      </c>
      <c r="I183">
        <v>1771.38331528816</v>
      </c>
      <c r="J183">
        <v>47824.080006447351</v>
      </c>
      <c r="K183">
        <v>21074.673250992571</v>
      </c>
      <c r="L183">
        <v>0.439346565686978</v>
      </c>
    </row>
    <row r="184" spans="1:12" x14ac:dyDescent="0.35">
      <c r="A184">
        <v>2027</v>
      </c>
      <c r="B184" t="s">
        <v>6</v>
      </c>
      <c r="C184" t="s">
        <v>4</v>
      </c>
      <c r="D184" t="s">
        <v>18</v>
      </c>
      <c r="E184" t="s">
        <v>483</v>
      </c>
      <c r="F184" t="s">
        <v>85</v>
      </c>
      <c r="G184">
        <v>22846.056566280731</v>
      </c>
      <c r="H184">
        <v>5307</v>
      </c>
      <c r="I184">
        <v>2251.1329631787039</v>
      </c>
      <c r="J184">
        <v>46693.080006447351</v>
      </c>
      <c r="K184">
        <v>20594.92360310203</v>
      </c>
      <c r="L184">
        <v>0.439346565686978</v>
      </c>
    </row>
    <row r="185" spans="1:12" x14ac:dyDescent="0.35">
      <c r="A185">
        <v>2027</v>
      </c>
      <c r="B185" t="s">
        <v>6</v>
      </c>
      <c r="C185" t="s">
        <v>4</v>
      </c>
      <c r="D185" t="s">
        <v>18</v>
      </c>
      <c r="E185" t="s">
        <v>483</v>
      </c>
      <c r="F185" t="s">
        <v>86</v>
      </c>
      <c r="G185">
        <v>22846.056566280731</v>
      </c>
      <c r="H185">
        <v>5307</v>
      </c>
      <c r="I185">
        <v>2251.1329631787039</v>
      </c>
      <c r="J185">
        <v>46693.080006447351</v>
      </c>
      <c r="K185">
        <v>20594.92360310203</v>
      </c>
      <c r="L185">
        <v>0.439346565686978</v>
      </c>
    </row>
    <row r="186" spans="1:12" x14ac:dyDescent="0.35">
      <c r="A186">
        <v>2027</v>
      </c>
      <c r="B186" t="s">
        <v>6</v>
      </c>
      <c r="C186" t="s">
        <v>4</v>
      </c>
      <c r="D186" t="s">
        <v>18</v>
      </c>
      <c r="E186" t="s">
        <v>490</v>
      </c>
      <c r="F186" t="s">
        <v>82</v>
      </c>
      <c r="G186">
        <v>22846.056566280731</v>
      </c>
      <c r="H186">
        <v>5307</v>
      </c>
      <c r="I186">
        <v>2331.6122241007938</v>
      </c>
      <c r="J186">
        <v>46693.080006447351</v>
      </c>
      <c r="K186">
        <v>20514.444342179941</v>
      </c>
      <c r="L186">
        <v>0.439346565686978</v>
      </c>
    </row>
    <row r="187" spans="1:12" x14ac:dyDescent="0.35">
      <c r="A187">
        <v>2027</v>
      </c>
      <c r="B187" t="s">
        <v>6</v>
      </c>
      <c r="C187" t="s">
        <v>9</v>
      </c>
      <c r="D187" t="s">
        <v>16</v>
      </c>
      <c r="E187" t="s">
        <v>483</v>
      </c>
      <c r="F187" t="s">
        <v>80</v>
      </c>
      <c r="G187">
        <v>15414.951244320981</v>
      </c>
      <c r="H187">
        <v>0</v>
      </c>
      <c r="I187">
        <v>0</v>
      </c>
      <c r="J187">
        <v>35086.085674113812</v>
      </c>
      <c r="K187">
        <v>15414.951244320981</v>
      </c>
      <c r="L187">
        <v>0.439346565686978</v>
      </c>
    </row>
    <row r="188" spans="1:12" x14ac:dyDescent="0.35">
      <c r="A188">
        <v>2027</v>
      </c>
      <c r="B188" t="s">
        <v>6</v>
      </c>
      <c r="C188" t="s">
        <v>9</v>
      </c>
      <c r="D188" t="s">
        <v>16</v>
      </c>
      <c r="E188" t="s">
        <v>483</v>
      </c>
      <c r="F188" t="s">
        <v>81</v>
      </c>
      <c r="G188">
        <v>15414.951244320981</v>
      </c>
      <c r="H188">
        <v>4176</v>
      </c>
      <c r="I188">
        <v>1771.38331528816</v>
      </c>
      <c r="J188">
        <v>30910.085674113809</v>
      </c>
      <c r="K188">
        <v>13643.567929032821</v>
      </c>
      <c r="L188">
        <v>0.439346565686978</v>
      </c>
    </row>
    <row r="189" spans="1:12" x14ac:dyDescent="0.35">
      <c r="A189">
        <v>2027</v>
      </c>
      <c r="B189" t="s">
        <v>6</v>
      </c>
      <c r="C189" t="s">
        <v>9</v>
      </c>
      <c r="D189" t="s">
        <v>18</v>
      </c>
      <c r="E189" t="s">
        <v>483</v>
      </c>
      <c r="F189" t="s">
        <v>85</v>
      </c>
      <c r="G189">
        <v>15414.951244320981</v>
      </c>
      <c r="H189">
        <v>5307</v>
      </c>
      <c r="I189">
        <v>2251.1329631787039</v>
      </c>
      <c r="J189">
        <v>29779.085674113809</v>
      </c>
      <c r="K189">
        <v>13163.818281142279</v>
      </c>
      <c r="L189">
        <v>0.439346565686978</v>
      </c>
    </row>
    <row r="190" spans="1:12" x14ac:dyDescent="0.35">
      <c r="A190">
        <v>2027</v>
      </c>
      <c r="B190" t="s">
        <v>6</v>
      </c>
      <c r="C190" t="s">
        <v>9</v>
      </c>
      <c r="D190" t="s">
        <v>18</v>
      </c>
      <c r="E190" t="s">
        <v>483</v>
      </c>
      <c r="F190" t="s">
        <v>86</v>
      </c>
      <c r="G190">
        <v>15414.951244320981</v>
      </c>
      <c r="H190">
        <v>5307</v>
      </c>
      <c r="I190">
        <v>2251.1329631787039</v>
      </c>
      <c r="J190">
        <v>29779.085674113809</v>
      </c>
      <c r="K190">
        <v>13163.818281142279</v>
      </c>
      <c r="L190">
        <v>0.439346565686978</v>
      </c>
    </row>
    <row r="191" spans="1:12" x14ac:dyDescent="0.35">
      <c r="A191">
        <v>2027</v>
      </c>
      <c r="B191" t="s">
        <v>6</v>
      </c>
      <c r="C191" t="s">
        <v>9</v>
      </c>
      <c r="D191" t="s">
        <v>18</v>
      </c>
      <c r="E191" t="s">
        <v>490</v>
      </c>
      <c r="F191" t="s">
        <v>82</v>
      </c>
      <c r="G191">
        <v>15414.951244320981</v>
      </c>
      <c r="H191">
        <v>5307</v>
      </c>
      <c r="I191">
        <v>2331.6122241007938</v>
      </c>
      <c r="J191">
        <v>29779.085674113809</v>
      </c>
      <c r="K191">
        <v>13083.33902022019</v>
      </c>
      <c r="L191">
        <v>0.439346565686978</v>
      </c>
    </row>
    <row r="192" spans="1:12" x14ac:dyDescent="0.35">
      <c r="A192">
        <v>2027</v>
      </c>
      <c r="B192" t="s">
        <v>6</v>
      </c>
      <c r="C192" t="s">
        <v>10</v>
      </c>
      <c r="D192" t="s">
        <v>16</v>
      </c>
      <c r="E192" t="s">
        <v>483</v>
      </c>
      <c r="F192" t="s">
        <v>80</v>
      </c>
      <c r="G192">
        <v>22192.22621013633</v>
      </c>
      <c r="H192">
        <v>0</v>
      </c>
      <c r="I192">
        <v>0</v>
      </c>
      <c r="J192">
        <v>50511.891848831852</v>
      </c>
      <c r="K192">
        <v>22192.22621013633</v>
      </c>
      <c r="L192">
        <v>0.439346565686978</v>
      </c>
    </row>
    <row r="193" spans="1:12" x14ac:dyDescent="0.35">
      <c r="A193">
        <v>2027</v>
      </c>
      <c r="B193" t="s">
        <v>6</v>
      </c>
      <c r="C193" t="s">
        <v>10</v>
      </c>
      <c r="D193" t="s">
        <v>16</v>
      </c>
      <c r="E193" t="s">
        <v>483</v>
      </c>
      <c r="F193" t="s">
        <v>81</v>
      </c>
      <c r="G193">
        <v>22192.22621013633</v>
      </c>
      <c r="H193">
        <v>4176</v>
      </c>
      <c r="I193">
        <v>1771.38331528816</v>
      </c>
      <c r="J193">
        <v>46335.891848831852</v>
      </c>
      <c r="K193">
        <v>20420.842894848171</v>
      </c>
      <c r="L193">
        <v>0.439346565686978</v>
      </c>
    </row>
    <row r="194" spans="1:12" x14ac:dyDescent="0.35">
      <c r="A194">
        <v>2027</v>
      </c>
      <c r="B194" t="s">
        <v>6</v>
      </c>
      <c r="C194" t="s">
        <v>10</v>
      </c>
      <c r="D194" t="s">
        <v>18</v>
      </c>
      <c r="E194" t="s">
        <v>483</v>
      </c>
      <c r="F194" t="s">
        <v>85</v>
      </c>
      <c r="G194">
        <v>22192.22621013633</v>
      </c>
      <c r="H194">
        <v>5307</v>
      </c>
      <c r="I194">
        <v>2251.1329631787039</v>
      </c>
      <c r="J194">
        <v>45204.891848831852</v>
      </c>
      <c r="K194">
        <v>19941.093246957629</v>
      </c>
      <c r="L194">
        <v>0.439346565686978</v>
      </c>
    </row>
    <row r="195" spans="1:12" x14ac:dyDescent="0.35">
      <c r="A195">
        <v>2027</v>
      </c>
      <c r="B195" t="s">
        <v>6</v>
      </c>
      <c r="C195" t="s">
        <v>10</v>
      </c>
      <c r="D195" t="s">
        <v>18</v>
      </c>
      <c r="E195" t="s">
        <v>483</v>
      </c>
      <c r="F195" t="s">
        <v>86</v>
      </c>
      <c r="G195">
        <v>22192.22621013633</v>
      </c>
      <c r="H195">
        <v>5307</v>
      </c>
      <c r="I195">
        <v>2251.1329631787039</v>
      </c>
      <c r="J195">
        <v>45204.891848831852</v>
      </c>
      <c r="K195">
        <v>19941.093246957629</v>
      </c>
      <c r="L195">
        <v>0.439346565686978</v>
      </c>
    </row>
    <row r="196" spans="1:12" x14ac:dyDescent="0.35">
      <c r="A196">
        <v>2027</v>
      </c>
      <c r="B196" t="s">
        <v>6</v>
      </c>
      <c r="C196" t="s">
        <v>10</v>
      </c>
      <c r="D196" t="s">
        <v>18</v>
      </c>
      <c r="E196" t="s">
        <v>490</v>
      </c>
      <c r="F196" t="s">
        <v>82</v>
      </c>
      <c r="G196">
        <v>22192.22621013633</v>
      </c>
      <c r="H196">
        <v>5307</v>
      </c>
      <c r="I196">
        <v>2331.6122241007938</v>
      </c>
      <c r="J196">
        <v>45204.891848831852</v>
      </c>
      <c r="K196">
        <v>19860.61398603554</v>
      </c>
      <c r="L196">
        <v>0.439346565686978</v>
      </c>
    </row>
    <row r="197" spans="1:12" x14ac:dyDescent="0.35">
      <c r="A197">
        <v>2027</v>
      </c>
      <c r="B197" t="s">
        <v>7</v>
      </c>
      <c r="C197" t="s">
        <v>4</v>
      </c>
      <c r="D197" t="s">
        <v>16</v>
      </c>
      <c r="E197" t="s">
        <v>483</v>
      </c>
      <c r="F197" t="s">
        <v>80</v>
      </c>
      <c r="G197">
        <v>879225.45381998783</v>
      </c>
      <c r="H197">
        <v>0</v>
      </c>
      <c r="I197">
        <v>0</v>
      </c>
      <c r="J197">
        <v>1053285.3152361279</v>
      </c>
      <c r="K197">
        <v>879225.45381998783</v>
      </c>
      <c r="L197">
        <v>0.83474576271186396</v>
      </c>
    </row>
    <row r="198" spans="1:12" x14ac:dyDescent="0.35">
      <c r="A198">
        <v>2027</v>
      </c>
      <c r="B198" t="s">
        <v>7</v>
      </c>
      <c r="C198" t="s">
        <v>4</v>
      </c>
      <c r="D198" t="s">
        <v>16</v>
      </c>
      <c r="E198" t="s">
        <v>483</v>
      </c>
      <c r="F198" t="s">
        <v>81</v>
      </c>
      <c r="G198">
        <v>879225.45381998783</v>
      </c>
      <c r="H198">
        <v>494964</v>
      </c>
      <c r="I198">
        <v>260157.37839094709</v>
      </c>
      <c r="J198">
        <v>558321.31523612817</v>
      </c>
      <c r="K198">
        <v>619068.07542904071</v>
      </c>
      <c r="L198">
        <v>0.83474576271186396</v>
      </c>
    </row>
    <row r="199" spans="1:12" x14ac:dyDescent="0.35">
      <c r="A199">
        <v>2027</v>
      </c>
      <c r="B199" t="s">
        <v>7</v>
      </c>
      <c r="C199" t="s">
        <v>4</v>
      </c>
      <c r="D199" t="s">
        <v>18</v>
      </c>
      <c r="E199" t="s">
        <v>483</v>
      </c>
      <c r="F199" t="s">
        <v>85</v>
      </c>
      <c r="G199">
        <v>879225.45381998783</v>
      </c>
      <c r="H199">
        <v>590861.05072993715</v>
      </c>
      <c r="I199">
        <v>310561.70135852479</v>
      </c>
      <c r="J199">
        <v>462424.26450619102</v>
      </c>
      <c r="K199">
        <v>568663.75246146298</v>
      </c>
      <c r="L199">
        <v>0.83474576271186396</v>
      </c>
    </row>
    <row r="200" spans="1:12" x14ac:dyDescent="0.35">
      <c r="A200">
        <v>2027</v>
      </c>
      <c r="B200" t="s">
        <v>7</v>
      </c>
      <c r="C200" t="s">
        <v>4</v>
      </c>
      <c r="D200" t="s">
        <v>18</v>
      </c>
      <c r="E200" t="s">
        <v>483</v>
      </c>
      <c r="F200" t="s">
        <v>86</v>
      </c>
      <c r="G200">
        <v>879225.45381998783</v>
      </c>
      <c r="H200">
        <v>590861.05072993715</v>
      </c>
      <c r="I200">
        <v>310561.70135852479</v>
      </c>
      <c r="J200">
        <v>462424.26450619102</v>
      </c>
      <c r="K200">
        <v>568663.75246146298</v>
      </c>
      <c r="L200">
        <v>0.83474576271186396</v>
      </c>
    </row>
    <row r="201" spans="1:12" x14ac:dyDescent="0.35">
      <c r="A201">
        <v>2027</v>
      </c>
      <c r="B201" t="s">
        <v>7</v>
      </c>
      <c r="C201" t="s">
        <v>4</v>
      </c>
      <c r="D201" t="s">
        <v>18</v>
      </c>
      <c r="E201" t="s">
        <v>490</v>
      </c>
      <c r="F201" t="s">
        <v>82</v>
      </c>
      <c r="G201">
        <v>879225.45381998783</v>
      </c>
      <c r="H201">
        <v>590861.05072993715</v>
      </c>
      <c r="I201">
        <v>493218.758448295</v>
      </c>
      <c r="J201">
        <v>462424.26450619102</v>
      </c>
      <c r="K201">
        <v>386006.69537169283</v>
      </c>
      <c r="L201">
        <v>0.83474576271186396</v>
      </c>
    </row>
    <row r="202" spans="1:12" x14ac:dyDescent="0.35">
      <c r="A202">
        <v>2027</v>
      </c>
      <c r="B202" t="s">
        <v>7</v>
      </c>
      <c r="C202" t="s">
        <v>9</v>
      </c>
      <c r="D202" t="s">
        <v>16</v>
      </c>
      <c r="E202" t="s">
        <v>483</v>
      </c>
      <c r="F202" t="s">
        <v>80</v>
      </c>
      <c r="G202">
        <v>866407.3331157451</v>
      </c>
      <c r="H202">
        <v>0</v>
      </c>
      <c r="I202">
        <v>0</v>
      </c>
      <c r="J202">
        <v>1037929.597032061</v>
      </c>
      <c r="K202">
        <v>866407.3331157451</v>
      </c>
      <c r="L202">
        <v>0.83474576271186396</v>
      </c>
    </row>
    <row r="203" spans="1:12" x14ac:dyDescent="0.35">
      <c r="A203">
        <v>2027</v>
      </c>
      <c r="B203" t="s">
        <v>7</v>
      </c>
      <c r="C203" t="s">
        <v>9</v>
      </c>
      <c r="D203" t="s">
        <v>16</v>
      </c>
      <c r="E203" t="s">
        <v>483</v>
      </c>
      <c r="F203" t="s">
        <v>81</v>
      </c>
      <c r="G203">
        <v>866407.3331157451</v>
      </c>
      <c r="H203">
        <v>494964</v>
      </c>
      <c r="I203">
        <v>260157.37839094709</v>
      </c>
      <c r="J203">
        <v>542965.59703206073</v>
      </c>
      <c r="K203">
        <v>606249.95472479798</v>
      </c>
      <c r="L203">
        <v>0.83474576271186396</v>
      </c>
    </row>
    <row r="204" spans="1:12" x14ac:dyDescent="0.35">
      <c r="A204">
        <v>2027</v>
      </c>
      <c r="B204" t="s">
        <v>7</v>
      </c>
      <c r="C204" t="s">
        <v>9</v>
      </c>
      <c r="D204" t="s">
        <v>18</v>
      </c>
      <c r="E204" t="s">
        <v>483</v>
      </c>
      <c r="F204" t="s">
        <v>85</v>
      </c>
      <c r="G204">
        <v>866407.3331157451</v>
      </c>
      <c r="H204">
        <v>590861.05072993715</v>
      </c>
      <c r="I204">
        <v>310561.70135852479</v>
      </c>
      <c r="J204">
        <v>447068.54630212358</v>
      </c>
      <c r="K204">
        <v>555845.63175722025</v>
      </c>
      <c r="L204">
        <v>0.83474576271186396</v>
      </c>
    </row>
    <row r="205" spans="1:12" x14ac:dyDescent="0.35">
      <c r="A205">
        <v>2027</v>
      </c>
      <c r="B205" t="s">
        <v>7</v>
      </c>
      <c r="C205" t="s">
        <v>9</v>
      </c>
      <c r="D205" t="s">
        <v>18</v>
      </c>
      <c r="E205" t="s">
        <v>483</v>
      </c>
      <c r="F205" t="s">
        <v>86</v>
      </c>
      <c r="G205">
        <v>866407.3331157451</v>
      </c>
      <c r="H205">
        <v>590861.05072993715</v>
      </c>
      <c r="I205">
        <v>310561.70135852479</v>
      </c>
      <c r="J205">
        <v>447068.54630212358</v>
      </c>
      <c r="K205">
        <v>555845.63175722025</v>
      </c>
      <c r="L205">
        <v>0.83474576271186396</v>
      </c>
    </row>
    <row r="206" spans="1:12" x14ac:dyDescent="0.35">
      <c r="A206">
        <v>2027</v>
      </c>
      <c r="B206" t="s">
        <v>7</v>
      </c>
      <c r="C206" t="s">
        <v>9</v>
      </c>
      <c r="D206" t="s">
        <v>18</v>
      </c>
      <c r="E206" t="s">
        <v>490</v>
      </c>
      <c r="F206" t="s">
        <v>82</v>
      </c>
      <c r="G206">
        <v>866407.3331157451</v>
      </c>
      <c r="H206">
        <v>590861.05072993715</v>
      </c>
      <c r="I206">
        <v>493218.758448295</v>
      </c>
      <c r="J206">
        <v>447068.54630212358</v>
      </c>
      <c r="K206">
        <v>373188.5746674501</v>
      </c>
      <c r="L206">
        <v>0.83474576271186396</v>
      </c>
    </row>
    <row r="207" spans="1:12" x14ac:dyDescent="0.35">
      <c r="A207">
        <v>2027</v>
      </c>
      <c r="B207" t="s">
        <v>7</v>
      </c>
      <c r="C207" t="s">
        <v>10</v>
      </c>
      <c r="D207" t="s">
        <v>16</v>
      </c>
      <c r="E207" t="s">
        <v>483</v>
      </c>
      <c r="F207" t="s">
        <v>80</v>
      </c>
      <c r="G207">
        <v>866145.78883753635</v>
      </c>
      <c r="H207">
        <v>0</v>
      </c>
      <c r="I207">
        <v>0</v>
      </c>
      <c r="J207">
        <v>1037616.274952582</v>
      </c>
      <c r="K207">
        <v>866145.78883753635</v>
      </c>
      <c r="L207">
        <v>0.83474576271186396</v>
      </c>
    </row>
    <row r="208" spans="1:12" x14ac:dyDescent="0.35">
      <c r="A208">
        <v>2027</v>
      </c>
      <c r="B208" t="s">
        <v>7</v>
      </c>
      <c r="C208" t="s">
        <v>10</v>
      </c>
      <c r="D208" t="s">
        <v>16</v>
      </c>
      <c r="E208" t="s">
        <v>483</v>
      </c>
      <c r="F208" t="s">
        <v>81</v>
      </c>
      <c r="G208">
        <v>866145.78883753635</v>
      </c>
      <c r="H208">
        <v>494964</v>
      </c>
      <c r="I208">
        <v>260157.37839094709</v>
      </c>
      <c r="J208">
        <v>542652.2749525822</v>
      </c>
      <c r="K208">
        <v>605988.41044658923</v>
      </c>
      <c r="L208">
        <v>0.83474576271186396</v>
      </c>
    </row>
    <row r="209" spans="1:12" x14ac:dyDescent="0.35">
      <c r="A209">
        <v>2027</v>
      </c>
      <c r="B209" t="s">
        <v>7</v>
      </c>
      <c r="C209" t="s">
        <v>10</v>
      </c>
      <c r="D209" t="s">
        <v>18</v>
      </c>
      <c r="E209" t="s">
        <v>483</v>
      </c>
      <c r="F209" t="s">
        <v>85</v>
      </c>
      <c r="G209">
        <v>866145.78883753635</v>
      </c>
      <c r="H209">
        <v>590861.05072993715</v>
      </c>
      <c r="I209">
        <v>310561.70135852479</v>
      </c>
      <c r="J209">
        <v>446755.22422264499</v>
      </c>
      <c r="K209">
        <v>555584.08747901162</v>
      </c>
      <c r="L209">
        <v>0.83474576271186396</v>
      </c>
    </row>
    <row r="210" spans="1:12" x14ac:dyDescent="0.35">
      <c r="A210">
        <v>2027</v>
      </c>
      <c r="B210" t="s">
        <v>7</v>
      </c>
      <c r="C210" t="s">
        <v>10</v>
      </c>
      <c r="D210" t="s">
        <v>18</v>
      </c>
      <c r="E210" t="s">
        <v>483</v>
      </c>
      <c r="F210" t="s">
        <v>86</v>
      </c>
      <c r="G210">
        <v>866145.78883753635</v>
      </c>
      <c r="H210">
        <v>590861.05072993715</v>
      </c>
      <c r="I210">
        <v>310561.70135852479</v>
      </c>
      <c r="J210">
        <v>446755.22422264499</v>
      </c>
      <c r="K210">
        <v>555584.08747901162</v>
      </c>
      <c r="L210">
        <v>0.83474576271186396</v>
      </c>
    </row>
    <row r="211" spans="1:12" x14ac:dyDescent="0.35">
      <c r="A211">
        <v>2027</v>
      </c>
      <c r="B211" t="s">
        <v>7</v>
      </c>
      <c r="C211" t="s">
        <v>10</v>
      </c>
      <c r="D211" t="s">
        <v>18</v>
      </c>
      <c r="E211" t="s">
        <v>490</v>
      </c>
      <c r="F211" t="s">
        <v>82</v>
      </c>
      <c r="G211">
        <v>866145.78883753635</v>
      </c>
      <c r="H211">
        <v>590861.05072993715</v>
      </c>
      <c r="I211">
        <v>493218.758448295</v>
      </c>
      <c r="J211">
        <v>446755.22422264499</v>
      </c>
      <c r="K211">
        <v>372927.03038924141</v>
      </c>
      <c r="L211">
        <v>0.83474576271186396</v>
      </c>
    </row>
    <row r="212" spans="1:12" x14ac:dyDescent="0.35">
      <c r="A212">
        <v>2027</v>
      </c>
      <c r="B212" t="s">
        <v>13</v>
      </c>
      <c r="C212" t="s">
        <v>4</v>
      </c>
      <c r="D212" t="s">
        <v>16</v>
      </c>
      <c r="E212" t="s">
        <v>483</v>
      </c>
      <c r="F212" t="s">
        <v>80</v>
      </c>
      <c r="G212">
        <v>870.72588738825675</v>
      </c>
      <c r="H212">
        <v>0</v>
      </c>
      <c r="I212">
        <v>0</v>
      </c>
      <c r="J212">
        <v>870.72588738825675</v>
      </c>
      <c r="K212">
        <v>870.72588738825675</v>
      </c>
      <c r="L212">
        <v>1</v>
      </c>
    </row>
    <row r="213" spans="1:12" x14ac:dyDescent="0.35">
      <c r="A213">
        <v>2027</v>
      </c>
      <c r="B213" t="s">
        <v>13</v>
      </c>
      <c r="C213" t="s">
        <v>4</v>
      </c>
      <c r="D213" t="s">
        <v>16</v>
      </c>
      <c r="E213" t="s">
        <v>483</v>
      </c>
      <c r="F213" t="s">
        <v>81</v>
      </c>
      <c r="G213">
        <v>870.72588738825675</v>
      </c>
      <c r="H213">
        <v>0</v>
      </c>
      <c r="I213">
        <v>0</v>
      </c>
      <c r="J213">
        <v>870.72588738825675</v>
      </c>
      <c r="K213">
        <v>870.72588738825675</v>
      </c>
      <c r="L213">
        <v>1</v>
      </c>
    </row>
    <row r="214" spans="1:12" x14ac:dyDescent="0.35">
      <c r="A214">
        <v>2027</v>
      </c>
      <c r="B214" t="s">
        <v>13</v>
      </c>
      <c r="C214" t="s">
        <v>4</v>
      </c>
      <c r="D214" t="s">
        <v>18</v>
      </c>
      <c r="E214" t="s">
        <v>483</v>
      </c>
      <c r="F214" t="s">
        <v>85</v>
      </c>
      <c r="G214">
        <v>870.72588738825675</v>
      </c>
      <c r="H214">
        <v>99778</v>
      </c>
      <c r="I214">
        <v>32926.74</v>
      </c>
      <c r="J214">
        <v>0</v>
      </c>
      <c r="K214">
        <v>0</v>
      </c>
      <c r="L214">
        <v>1</v>
      </c>
    </row>
    <row r="215" spans="1:12" x14ac:dyDescent="0.35">
      <c r="A215">
        <v>2027</v>
      </c>
      <c r="B215" t="s">
        <v>13</v>
      </c>
      <c r="C215" t="s">
        <v>4</v>
      </c>
      <c r="D215" t="s">
        <v>18</v>
      </c>
      <c r="E215" t="s">
        <v>483</v>
      </c>
      <c r="F215" t="s">
        <v>86</v>
      </c>
      <c r="G215">
        <v>870.72588738825675</v>
      </c>
      <c r="H215">
        <v>99778</v>
      </c>
      <c r="I215">
        <v>32926.74</v>
      </c>
      <c r="J215">
        <v>0</v>
      </c>
      <c r="K215">
        <v>0</v>
      </c>
      <c r="L215">
        <v>1</v>
      </c>
    </row>
    <row r="216" spans="1:12" x14ac:dyDescent="0.35">
      <c r="A216">
        <v>2027</v>
      </c>
      <c r="B216" t="s">
        <v>13</v>
      </c>
      <c r="C216" t="s">
        <v>4</v>
      </c>
      <c r="D216" t="s">
        <v>18</v>
      </c>
      <c r="E216" t="s">
        <v>490</v>
      </c>
      <c r="F216" t="s">
        <v>82</v>
      </c>
      <c r="G216">
        <v>870.72588738825675</v>
      </c>
      <c r="H216">
        <v>99778</v>
      </c>
      <c r="I216">
        <v>32926.74</v>
      </c>
      <c r="J216">
        <v>0</v>
      </c>
      <c r="K216">
        <v>0</v>
      </c>
      <c r="L216">
        <v>1</v>
      </c>
    </row>
    <row r="217" spans="1:12" x14ac:dyDescent="0.35">
      <c r="A217">
        <v>2027</v>
      </c>
      <c r="B217" t="s">
        <v>13</v>
      </c>
      <c r="C217" t="s">
        <v>9</v>
      </c>
      <c r="D217" t="s">
        <v>16</v>
      </c>
      <c r="E217" t="s">
        <v>483</v>
      </c>
      <c r="F217" t="s">
        <v>80</v>
      </c>
      <c r="G217">
        <v>569.42699750073166</v>
      </c>
      <c r="H217">
        <v>0</v>
      </c>
      <c r="I217">
        <v>0</v>
      </c>
      <c r="J217">
        <v>569.42699750073166</v>
      </c>
      <c r="K217">
        <v>569.42699750073166</v>
      </c>
      <c r="L217">
        <v>1</v>
      </c>
    </row>
    <row r="218" spans="1:12" x14ac:dyDescent="0.35">
      <c r="A218">
        <v>2027</v>
      </c>
      <c r="B218" t="s">
        <v>13</v>
      </c>
      <c r="C218" t="s">
        <v>9</v>
      </c>
      <c r="D218" t="s">
        <v>16</v>
      </c>
      <c r="E218" t="s">
        <v>483</v>
      </c>
      <c r="F218" t="s">
        <v>81</v>
      </c>
      <c r="G218">
        <v>569.42699750073166</v>
      </c>
      <c r="H218">
        <v>0</v>
      </c>
      <c r="I218">
        <v>0</v>
      </c>
      <c r="J218">
        <v>569.42699750073166</v>
      </c>
      <c r="K218">
        <v>569.42699750073166</v>
      </c>
      <c r="L218">
        <v>1</v>
      </c>
    </row>
    <row r="219" spans="1:12" x14ac:dyDescent="0.35">
      <c r="A219">
        <v>2027</v>
      </c>
      <c r="B219" t="s">
        <v>13</v>
      </c>
      <c r="C219" t="s">
        <v>9</v>
      </c>
      <c r="D219" t="s">
        <v>18</v>
      </c>
      <c r="E219" t="s">
        <v>483</v>
      </c>
      <c r="F219" t="s">
        <v>85</v>
      </c>
      <c r="G219">
        <v>569.42699750073166</v>
      </c>
      <c r="H219">
        <v>99778</v>
      </c>
      <c r="I219">
        <v>32926.74</v>
      </c>
      <c r="J219">
        <v>0</v>
      </c>
      <c r="K219">
        <v>0</v>
      </c>
      <c r="L219">
        <v>1</v>
      </c>
    </row>
    <row r="220" spans="1:12" x14ac:dyDescent="0.35">
      <c r="A220">
        <v>2027</v>
      </c>
      <c r="B220" t="s">
        <v>13</v>
      </c>
      <c r="C220" t="s">
        <v>9</v>
      </c>
      <c r="D220" t="s">
        <v>18</v>
      </c>
      <c r="E220" t="s">
        <v>483</v>
      </c>
      <c r="F220" t="s">
        <v>86</v>
      </c>
      <c r="G220">
        <v>569.42699750073166</v>
      </c>
      <c r="H220">
        <v>99778</v>
      </c>
      <c r="I220">
        <v>32926.74</v>
      </c>
      <c r="J220">
        <v>0</v>
      </c>
      <c r="K220">
        <v>0</v>
      </c>
      <c r="L220">
        <v>1</v>
      </c>
    </row>
    <row r="221" spans="1:12" x14ac:dyDescent="0.35">
      <c r="A221">
        <v>2027</v>
      </c>
      <c r="B221" t="s">
        <v>13</v>
      </c>
      <c r="C221" t="s">
        <v>9</v>
      </c>
      <c r="D221" t="s">
        <v>18</v>
      </c>
      <c r="E221" t="s">
        <v>490</v>
      </c>
      <c r="F221" t="s">
        <v>82</v>
      </c>
      <c r="G221">
        <v>569.42699750073166</v>
      </c>
      <c r="H221">
        <v>99778</v>
      </c>
      <c r="I221">
        <v>32926.74</v>
      </c>
      <c r="J221">
        <v>0</v>
      </c>
      <c r="K221">
        <v>0</v>
      </c>
      <c r="L221">
        <v>1</v>
      </c>
    </row>
    <row r="222" spans="1:12" x14ac:dyDescent="0.35">
      <c r="A222">
        <v>2027</v>
      </c>
      <c r="B222" t="s">
        <v>13</v>
      </c>
      <c r="C222" t="s">
        <v>10</v>
      </c>
      <c r="D222" t="s">
        <v>16</v>
      </c>
      <c r="E222" t="s">
        <v>483</v>
      </c>
      <c r="F222" t="s">
        <v>80</v>
      </c>
      <c r="G222">
        <v>850.41647256917656</v>
      </c>
      <c r="H222">
        <v>0</v>
      </c>
      <c r="I222">
        <v>0</v>
      </c>
      <c r="J222">
        <v>850.41647256917656</v>
      </c>
      <c r="K222">
        <v>850.41647256917656</v>
      </c>
      <c r="L222">
        <v>1</v>
      </c>
    </row>
    <row r="223" spans="1:12" x14ac:dyDescent="0.35">
      <c r="A223">
        <v>2027</v>
      </c>
      <c r="B223" t="s">
        <v>13</v>
      </c>
      <c r="C223" t="s">
        <v>10</v>
      </c>
      <c r="D223" t="s">
        <v>16</v>
      </c>
      <c r="E223" t="s">
        <v>483</v>
      </c>
      <c r="F223" t="s">
        <v>81</v>
      </c>
      <c r="G223">
        <v>850.41647256917656</v>
      </c>
      <c r="H223">
        <v>0</v>
      </c>
      <c r="I223">
        <v>0</v>
      </c>
      <c r="J223">
        <v>850.41647256917656</v>
      </c>
      <c r="K223">
        <v>850.41647256917656</v>
      </c>
      <c r="L223">
        <v>1</v>
      </c>
    </row>
    <row r="224" spans="1:12" x14ac:dyDescent="0.35">
      <c r="A224">
        <v>2027</v>
      </c>
      <c r="B224" t="s">
        <v>13</v>
      </c>
      <c r="C224" t="s">
        <v>10</v>
      </c>
      <c r="D224" t="s">
        <v>18</v>
      </c>
      <c r="E224" t="s">
        <v>483</v>
      </c>
      <c r="F224" t="s">
        <v>85</v>
      </c>
      <c r="G224">
        <v>850.41647256917656</v>
      </c>
      <c r="H224">
        <v>99778</v>
      </c>
      <c r="I224">
        <v>32926.74</v>
      </c>
      <c r="J224">
        <v>0</v>
      </c>
      <c r="K224">
        <v>0</v>
      </c>
      <c r="L224">
        <v>1</v>
      </c>
    </row>
    <row r="225" spans="1:12" x14ac:dyDescent="0.35">
      <c r="A225">
        <v>2027</v>
      </c>
      <c r="B225" t="s">
        <v>13</v>
      </c>
      <c r="C225" t="s">
        <v>10</v>
      </c>
      <c r="D225" t="s">
        <v>18</v>
      </c>
      <c r="E225" t="s">
        <v>483</v>
      </c>
      <c r="F225" t="s">
        <v>86</v>
      </c>
      <c r="G225">
        <v>850.41647256917656</v>
      </c>
      <c r="H225">
        <v>99778</v>
      </c>
      <c r="I225">
        <v>32926.74</v>
      </c>
      <c r="J225">
        <v>0</v>
      </c>
      <c r="K225">
        <v>0</v>
      </c>
      <c r="L225">
        <v>1</v>
      </c>
    </row>
    <row r="226" spans="1:12" x14ac:dyDescent="0.35">
      <c r="A226">
        <v>2027</v>
      </c>
      <c r="B226" t="s">
        <v>13</v>
      </c>
      <c r="C226" t="s">
        <v>10</v>
      </c>
      <c r="D226" t="s">
        <v>18</v>
      </c>
      <c r="E226" t="s">
        <v>490</v>
      </c>
      <c r="F226" t="s">
        <v>82</v>
      </c>
      <c r="G226">
        <v>850.41647256917656</v>
      </c>
      <c r="H226">
        <v>99778</v>
      </c>
      <c r="I226">
        <v>32926.74</v>
      </c>
      <c r="J226">
        <v>0</v>
      </c>
      <c r="K226">
        <v>0</v>
      </c>
      <c r="L226">
        <v>1</v>
      </c>
    </row>
    <row r="227" spans="1:12" x14ac:dyDescent="0.35">
      <c r="A227">
        <v>2027</v>
      </c>
      <c r="B227" t="s">
        <v>12</v>
      </c>
      <c r="C227" t="s">
        <v>4</v>
      </c>
      <c r="D227" t="s">
        <v>16</v>
      </c>
      <c r="E227" t="s">
        <v>483</v>
      </c>
      <c r="F227" t="s">
        <v>80</v>
      </c>
      <c r="G227">
        <v>13737.544328976641</v>
      </c>
      <c r="H227">
        <v>0</v>
      </c>
      <c r="I227">
        <v>0</v>
      </c>
      <c r="J227">
        <v>19648.3474351939</v>
      </c>
      <c r="K227">
        <v>13737.544328976641</v>
      </c>
      <c r="L227">
        <v>0.69917047091553897</v>
      </c>
    </row>
    <row r="228" spans="1:12" x14ac:dyDescent="0.35">
      <c r="A228">
        <v>2027</v>
      </c>
      <c r="B228" t="s">
        <v>12</v>
      </c>
      <c r="C228" t="s">
        <v>4</v>
      </c>
      <c r="D228" t="s">
        <v>16</v>
      </c>
      <c r="E228" t="s">
        <v>483</v>
      </c>
      <c r="F228" t="s">
        <v>81</v>
      </c>
      <c r="G228">
        <v>13737.544328976641</v>
      </c>
      <c r="H228">
        <v>41682</v>
      </c>
      <c r="I228">
        <v>29142.8235687015</v>
      </c>
      <c r="J228">
        <v>0</v>
      </c>
      <c r="K228">
        <v>0</v>
      </c>
      <c r="L228">
        <v>0.69917047091553897</v>
      </c>
    </row>
    <row r="229" spans="1:12" x14ac:dyDescent="0.35">
      <c r="A229">
        <v>2027</v>
      </c>
      <c r="B229" t="s">
        <v>12</v>
      </c>
      <c r="C229" t="s">
        <v>4</v>
      </c>
      <c r="D229" t="s">
        <v>18</v>
      </c>
      <c r="E229" t="s">
        <v>483</v>
      </c>
      <c r="F229" t="s">
        <v>85</v>
      </c>
      <c r="G229">
        <v>13737.544328976641</v>
      </c>
      <c r="H229">
        <v>154746</v>
      </c>
      <c r="I229">
        <v>108193.833692296</v>
      </c>
      <c r="J229">
        <v>0</v>
      </c>
      <c r="K229">
        <v>0</v>
      </c>
      <c r="L229">
        <v>0.69917047091553897</v>
      </c>
    </row>
    <row r="230" spans="1:12" x14ac:dyDescent="0.35">
      <c r="A230">
        <v>2027</v>
      </c>
      <c r="B230" t="s">
        <v>12</v>
      </c>
      <c r="C230" t="s">
        <v>4</v>
      </c>
      <c r="D230" t="s">
        <v>18</v>
      </c>
      <c r="E230" t="s">
        <v>483</v>
      </c>
      <c r="F230" t="s">
        <v>86</v>
      </c>
      <c r="G230">
        <v>13737.544328976641</v>
      </c>
      <c r="H230">
        <v>154746</v>
      </c>
      <c r="I230">
        <v>108193.833692296</v>
      </c>
      <c r="J230">
        <v>0</v>
      </c>
      <c r="K230">
        <v>0</v>
      </c>
      <c r="L230">
        <v>0.69917047091553897</v>
      </c>
    </row>
    <row r="231" spans="1:12" x14ac:dyDescent="0.35">
      <c r="A231">
        <v>2027</v>
      </c>
      <c r="B231" t="s">
        <v>12</v>
      </c>
      <c r="C231" t="s">
        <v>4</v>
      </c>
      <c r="D231" t="s">
        <v>18</v>
      </c>
      <c r="E231" t="s">
        <v>490</v>
      </c>
      <c r="F231" t="s">
        <v>82</v>
      </c>
      <c r="G231">
        <v>13737.544328976641</v>
      </c>
      <c r="H231">
        <v>154746</v>
      </c>
      <c r="I231">
        <v>108193.833692296</v>
      </c>
      <c r="J231">
        <v>0</v>
      </c>
      <c r="K231">
        <v>0</v>
      </c>
      <c r="L231">
        <v>0.69917047091553897</v>
      </c>
    </row>
    <row r="232" spans="1:12" x14ac:dyDescent="0.35">
      <c r="A232">
        <v>2027</v>
      </c>
      <c r="B232" t="s">
        <v>12</v>
      </c>
      <c r="C232" t="s">
        <v>9</v>
      </c>
      <c r="D232" t="s">
        <v>16</v>
      </c>
      <c r="E232" t="s">
        <v>483</v>
      </c>
      <c r="F232" t="s">
        <v>80</v>
      </c>
      <c r="G232">
        <v>8983.916446708683</v>
      </c>
      <c r="H232">
        <v>0</v>
      </c>
      <c r="I232">
        <v>0</v>
      </c>
      <c r="J232">
        <v>12849.393417523141</v>
      </c>
      <c r="K232">
        <v>8983.916446708683</v>
      </c>
      <c r="L232">
        <v>0.69917047091553897</v>
      </c>
    </row>
    <row r="233" spans="1:12" x14ac:dyDescent="0.35">
      <c r="A233">
        <v>2027</v>
      </c>
      <c r="B233" t="s">
        <v>12</v>
      </c>
      <c r="C233" t="s">
        <v>9</v>
      </c>
      <c r="D233" t="s">
        <v>16</v>
      </c>
      <c r="E233" t="s">
        <v>483</v>
      </c>
      <c r="F233" t="s">
        <v>81</v>
      </c>
      <c r="G233">
        <v>8983.916446708683</v>
      </c>
      <c r="H233">
        <v>41682</v>
      </c>
      <c r="I233">
        <v>29142.8235687015</v>
      </c>
      <c r="J233">
        <v>0</v>
      </c>
      <c r="K233">
        <v>0</v>
      </c>
      <c r="L233">
        <v>0.69917047091553897</v>
      </c>
    </row>
    <row r="234" spans="1:12" x14ac:dyDescent="0.35">
      <c r="A234">
        <v>2027</v>
      </c>
      <c r="B234" t="s">
        <v>12</v>
      </c>
      <c r="C234" t="s">
        <v>9</v>
      </c>
      <c r="D234" t="s">
        <v>18</v>
      </c>
      <c r="E234" t="s">
        <v>483</v>
      </c>
      <c r="F234" t="s">
        <v>85</v>
      </c>
      <c r="G234">
        <v>8983.916446708683</v>
      </c>
      <c r="H234">
        <v>154746</v>
      </c>
      <c r="I234">
        <v>108193.833692296</v>
      </c>
      <c r="J234">
        <v>0</v>
      </c>
      <c r="K234">
        <v>0</v>
      </c>
      <c r="L234">
        <v>0.69917047091553897</v>
      </c>
    </row>
    <row r="235" spans="1:12" x14ac:dyDescent="0.35">
      <c r="A235">
        <v>2027</v>
      </c>
      <c r="B235" t="s">
        <v>12</v>
      </c>
      <c r="C235" t="s">
        <v>9</v>
      </c>
      <c r="D235" t="s">
        <v>18</v>
      </c>
      <c r="E235" t="s">
        <v>483</v>
      </c>
      <c r="F235" t="s">
        <v>86</v>
      </c>
      <c r="G235">
        <v>8983.916446708683</v>
      </c>
      <c r="H235">
        <v>154746</v>
      </c>
      <c r="I235">
        <v>108193.833692296</v>
      </c>
      <c r="J235">
        <v>0</v>
      </c>
      <c r="K235">
        <v>0</v>
      </c>
      <c r="L235">
        <v>0.69917047091553897</v>
      </c>
    </row>
    <row r="236" spans="1:12" x14ac:dyDescent="0.35">
      <c r="A236">
        <v>2027</v>
      </c>
      <c r="B236" t="s">
        <v>12</v>
      </c>
      <c r="C236" t="s">
        <v>9</v>
      </c>
      <c r="D236" t="s">
        <v>18</v>
      </c>
      <c r="E236" t="s">
        <v>490</v>
      </c>
      <c r="F236" t="s">
        <v>82</v>
      </c>
      <c r="G236">
        <v>8983.916446708683</v>
      </c>
      <c r="H236">
        <v>154746</v>
      </c>
      <c r="I236">
        <v>108193.833692296</v>
      </c>
      <c r="J236">
        <v>0</v>
      </c>
      <c r="K236">
        <v>0</v>
      </c>
      <c r="L236">
        <v>0.69917047091553897</v>
      </c>
    </row>
    <row r="237" spans="1:12" x14ac:dyDescent="0.35">
      <c r="A237">
        <v>2027</v>
      </c>
      <c r="B237" t="s">
        <v>12</v>
      </c>
      <c r="C237" t="s">
        <v>10</v>
      </c>
      <c r="D237" t="s">
        <v>16</v>
      </c>
      <c r="E237" t="s">
        <v>483</v>
      </c>
      <c r="F237" t="s">
        <v>80</v>
      </c>
      <c r="G237">
        <v>13417.12031217203</v>
      </c>
      <c r="H237">
        <v>0</v>
      </c>
      <c r="I237">
        <v>0</v>
      </c>
      <c r="J237">
        <v>19190.05574506427</v>
      </c>
      <c r="K237">
        <v>13417.12031217203</v>
      </c>
      <c r="L237">
        <v>0.69917047091553897</v>
      </c>
    </row>
    <row r="238" spans="1:12" x14ac:dyDescent="0.35">
      <c r="A238">
        <v>2027</v>
      </c>
      <c r="B238" t="s">
        <v>12</v>
      </c>
      <c r="C238" t="s">
        <v>10</v>
      </c>
      <c r="D238" t="s">
        <v>16</v>
      </c>
      <c r="E238" t="s">
        <v>483</v>
      </c>
      <c r="F238" t="s">
        <v>81</v>
      </c>
      <c r="G238">
        <v>13417.12031217203</v>
      </c>
      <c r="H238">
        <v>41682</v>
      </c>
      <c r="I238">
        <v>29142.8235687015</v>
      </c>
      <c r="J238">
        <v>0</v>
      </c>
      <c r="K238">
        <v>0</v>
      </c>
      <c r="L238">
        <v>0.69917047091553897</v>
      </c>
    </row>
    <row r="239" spans="1:12" x14ac:dyDescent="0.35">
      <c r="A239">
        <v>2027</v>
      </c>
      <c r="B239" t="s">
        <v>12</v>
      </c>
      <c r="C239" t="s">
        <v>10</v>
      </c>
      <c r="D239" t="s">
        <v>18</v>
      </c>
      <c r="E239" t="s">
        <v>483</v>
      </c>
      <c r="F239" t="s">
        <v>85</v>
      </c>
      <c r="G239">
        <v>13417.12031217203</v>
      </c>
      <c r="H239">
        <v>154746</v>
      </c>
      <c r="I239">
        <v>108193.833692296</v>
      </c>
      <c r="J239">
        <v>0</v>
      </c>
      <c r="K239">
        <v>0</v>
      </c>
      <c r="L239">
        <v>0.69917047091553897</v>
      </c>
    </row>
    <row r="240" spans="1:12" x14ac:dyDescent="0.35">
      <c r="A240">
        <v>2027</v>
      </c>
      <c r="B240" t="s">
        <v>12</v>
      </c>
      <c r="C240" t="s">
        <v>10</v>
      </c>
      <c r="D240" t="s">
        <v>18</v>
      </c>
      <c r="E240" t="s">
        <v>483</v>
      </c>
      <c r="F240" t="s">
        <v>86</v>
      </c>
      <c r="G240">
        <v>13417.12031217203</v>
      </c>
      <c r="H240">
        <v>154746</v>
      </c>
      <c r="I240">
        <v>108193.833692296</v>
      </c>
      <c r="J240">
        <v>0</v>
      </c>
      <c r="K240">
        <v>0</v>
      </c>
      <c r="L240">
        <v>0.69917047091553897</v>
      </c>
    </row>
    <row r="241" spans="1:12" x14ac:dyDescent="0.35">
      <c r="A241">
        <v>2027</v>
      </c>
      <c r="B241" t="s">
        <v>12</v>
      </c>
      <c r="C241" t="s">
        <v>10</v>
      </c>
      <c r="D241" t="s">
        <v>18</v>
      </c>
      <c r="E241" t="s">
        <v>490</v>
      </c>
      <c r="F241" t="s">
        <v>82</v>
      </c>
      <c r="G241">
        <v>13417.12031217203</v>
      </c>
      <c r="H241">
        <v>154746</v>
      </c>
      <c r="I241">
        <v>108193.833692296</v>
      </c>
      <c r="J241">
        <v>0</v>
      </c>
      <c r="K241">
        <v>0</v>
      </c>
      <c r="L241">
        <v>0.69917047091553897</v>
      </c>
    </row>
    <row r="242" spans="1:12" x14ac:dyDescent="0.35">
      <c r="A242">
        <v>2027</v>
      </c>
      <c r="B242" t="s">
        <v>11</v>
      </c>
      <c r="C242" t="s">
        <v>4</v>
      </c>
      <c r="D242" t="s">
        <v>16</v>
      </c>
      <c r="E242" t="s">
        <v>483</v>
      </c>
      <c r="F242" t="s">
        <v>80</v>
      </c>
      <c r="G242">
        <v>886.00915439887626</v>
      </c>
      <c r="H242">
        <v>0</v>
      </c>
      <c r="I242">
        <v>0</v>
      </c>
      <c r="J242">
        <v>1480.2742684202219</v>
      </c>
      <c r="K242">
        <v>886.00915439887626</v>
      </c>
      <c r="L242">
        <v>0.59854391398996798</v>
      </c>
    </row>
    <row r="243" spans="1:12" x14ac:dyDescent="0.35">
      <c r="A243">
        <v>2027</v>
      </c>
      <c r="B243" t="s">
        <v>11</v>
      </c>
      <c r="C243" t="s">
        <v>4</v>
      </c>
      <c r="D243" t="s">
        <v>16</v>
      </c>
      <c r="E243" t="s">
        <v>483</v>
      </c>
      <c r="F243" t="s">
        <v>81</v>
      </c>
      <c r="G243">
        <v>886.00915439887626</v>
      </c>
      <c r="H243">
        <v>0</v>
      </c>
      <c r="I243">
        <v>0</v>
      </c>
      <c r="J243">
        <v>1480.2742684202219</v>
      </c>
      <c r="K243">
        <v>886.00915439887626</v>
      </c>
      <c r="L243">
        <v>0.59854391398996798</v>
      </c>
    </row>
    <row r="244" spans="1:12" x14ac:dyDescent="0.35">
      <c r="A244">
        <v>2027</v>
      </c>
      <c r="B244" t="s">
        <v>11</v>
      </c>
      <c r="C244" t="s">
        <v>4</v>
      </c>
      <c r="D244" t="s">
        <v>18</v>
      </c>
      <c r="E244" t="s">
        <v>483</v>
      </c>
      <c r="F244" t="s">
        <v>85</v>
      </c>
      <c r="G244">
        <v>886.00915439887626</v>
      </c>
      <c r="H244">
        <v>5.395337211526285</v>
      </c>
      <c r="I244">
        <v>3.229346251882661</v>
      </c>
      <c r="J244">
        <v>1474.878931208696</v>
      </c>
      <c r="K244">
        <v>882.77980814699356</v>
      </c>
      <c r="L244">
        <v>0.59854391398996798</v>
      </c>
    </row>
    <row r="245" spans="1:12" x14ac:dyDescent="0.35">
      <c r="A245">
        <v>2027</v>
      </c>
      <c r="B245" t="s">
        <v>11</v>
      </c>
      <c r="C245" t="s">
        <v>4</v>
      </c>
      <c r="D245" t="s">
        <v>18</v>
      </c>
      <c r="E245" t="s">
        <v>483</v>
      </c>
      <c r="F245" t="s">
        <v>86</v>
      </c>
      <c r="G245">
        <v>886.00915439887626</v>
      </c>
      <c r="H245">
        <v>5.395337211526285</v>
      </c>
      <c r="I245">
        <v>3.229346251882661</v>
      </c>
      <c r="J245">
        <v>1474.878931208696</v>
      </c>
      <c r="K245">
        <v>882.77980814699356</v>
      </c>
      <c r="L245">
        <v>0.59854391398996798</v>
      </c>
    </row>
    <row r="246" spans="1:12" x14ac:dyDescent="0.35">
      <c r="A246">
        <v>2027</v>
      </c>
      <c r="B246" t="s">
        <v>11</v>
      </c>
      <c r="C246" t="s">
        <v>4</v>
      </c>
      <c r="D246" t="s">
        <v>18</v>
      </c>
      <c r="E246" t="s">
        <v>490</v>
      </c>
      <c r="F246" t="s">
        <v>82</v>
      </c>
      <c r="G246">
        <v>886.00915439887626</v>
      </c>
      <c r="H246">
        <v>5.395337211526285</v>
      </c>
      <c r="I246">
        <v>3.229346251882661</v>
      </c>
      <c r="J246">
        <v>1474.878931208696</v>
      </c>
      <c r="K246">
        <v>882.77980814699356</v>
      </c>
      <c r="L246">
        <v>0.59854391398996798</v>
      </c>
    </row>
    <row r="247" spans="1:12" x14ac:dyDescent="0.35">
      <c r="A247">
        <v>2027</v>
      </c>
      <c r="B247" t="s">
        <v>11</v>
      </c>
      <c r="C247" t="s">
        <v>9</v>
      </c>
      <c r="D247" t="s">
        <v>16</v>
      </c>
      <c r="E247" t="s">
        <v>483</v>
      </c>
      <c r="F247" t="s">
        <v>80</v>
      </c>
      <c r="G247">
        <v>501.99193842105927</v>
      </c>
      <c r="H247">
        <v>0</v>
      </c>
      <c r="I247">
        <v>0</v>
      </c>
      <c r="J247">
        <v>838.68856852076021</v>
      </c>
      <c r="K247">
        <v>501.99193842105927</v>
      </c>
      <c r="L247">
        <v>0.59854391398996798</v>
      </c>
    </row>
    <row r="248" spans="1:12" x14ac:dyDescent="0.35">
      <c r="A248">
        <v>2027</v>
      </c>
      <c r="B248" t="s">
        <v>11</v>
      </c>
      <c r="C248" t="s">
        <v>9</v>
      </c>
      <c r="D248" t="s">
        <v>16</v>
      </c>
      <c r="E248" t="s">
        <v>483</v>
      </c>
      <c r="F248" t="s">
        <v>81</v>
      </c>
      <c r="G248">
        <v>501.99193842105927</v>
      </c>
      <c r="H248">
        <v>0</v>
      </c>
      <c r="I248">
        <v>0</v>
      </c>
      <c r="J248">
        <v>838.68856852076021</v>
      </c>
      <c r="K248">
        <v>501.99193842105927</v>
      </c>
      <c r="L248">
        <v>0.59854391398996798</v>
      </c>
    </row>
    <row r="249" spans="1:12" x14ac:dyDescent="0.35">
      <c r="A249">
        <v>2027</v>
      </c>
      <c r="B249" t="s">
        <v>11</v>
      </c>
      <c r="C249" t="s">
        <v>9</v>
      </c>
      <c r="D249" t="s">
        <v>18</v>
      </c>
      <c r="E249" t="s">
        <v>483</v>
      </c>
      <c r="F249" t="s">
        <v>85</v>
      </c>
      <c r="G249">
        <v>501.99193842105927</v>
      </c>
      <c r="H249">
        <v>5.395337211526285</v>
      </c>
      <c r="I249">
        <v>3.229346251882661</v>
      </c>
      <c r="J249">
        <v>833.29323130923387</v>
      </c>
      <c r="K249">
        <v>498.76259216917663</v>
      </c>
      <c r="L249">
        <v>0.59854391398996798</v>
      </c>
    </row>
    <row r="250" spans="1:12" x14ac:dyDescent="0.35">
      <c r="A250">
        <v>2027</v>
      </c>
      <c r="B250" t="s">
        <v>11</v>
      </c>
      <c r="C250" t="s">
        <v>9</v>
      </c>
      <c r="D250" t="s">
        <v>18</v>
      </c>
      <c r="E250" t="s">
        <v>483</v>
      </c>
      <c r="F250" t="s">
        <v>86</v>
      </c>
      <c r="G250">
        <v>501.99193842105927</v>
      </c>
      <c r="H250">
        <v>5.395337211526285</v>
      </c>
      <c r="I250">
        <v>3.229346251882661</v>
      </c>
      <c r="J250">
        <v>833.29323130923387</v>
      </c>
      <c r="K250">
        <v>498.76259216917663</v>
      </c>
      <c r="L250">
        <v>0.59854391398996798</v>
      </c>
    </row>
    <row r="251" spans="1:12" x14ac:dyDescent="0.35">
      <c r="A251">
        <v>2027</v>
      </c>
      <c r="B251" t="s">
        <v>11</v>
      </c>
      <c r="C251" t="s">
        <v>9</v>
      </c>
      <c r="D251" t="s">
        <v>18</v>
      </c>
      <c r="E251" t="s">
        <v>490</v>
      </c>
      <c r="F251" t="s">
        <v>82</v>
      </c>
      <c r="G251">
        <v>501.99193842105927</v>
      </c>
      <c r="H251">
        <v>5.395337211526285</v>
      </c>
      <c r="I251">
        <v>3.229346251882661</v>
      </c>
      <c r="J251">
        <v>833.29323130923387</v>
      </c>
      <c r="K251">
        <v>498.76259216917663</v>
      </c>
      <c r="L251">
        <v>0.59854391398996798</v>
      </c>
    </row>
    <row r="252" spans="1:12" x14ac:dyDescent="0.35">
      <c r="A252">
        <v>2027</v>
      </c>
      <c r="B252" t="s">
        <v>11</v>
      </c>
      <c r="C252" t="s">
        <v>10</v>
      </c>
      <c r="D252" t="s">
        <v>16</v>
      </c>
      <c r="E252" t="s">
        <v>483</v>
      </c>
      <c r="F252" t="s">
        <v>80</v>
      </c>
      <c r="G252">
        <v>868.10490581569559</v>
      </c>
      <c r="H252">
        <v>0</v>
      </c>
      <c r="I252">
        <v>0</v>
      </c>
      <c r="J252">
        <v>1450.36126092871</v>
      </c>
      <c r="K252">
        <v>868.10490581569559</v>
      </c>
      <c r="L252">
        <v>0.59854391398996798</v>
      </c>
    </row>
    <row r="253" spans="1:12" x14ac:dyDescent="0.35">
      <c r="A253">
        <v>2027</v>
      </c>
      <c r="B253" t="s">
        <v>11</v>
      </c>
      <c r="C253" t="s">
        <v>10</v>
      </c>
      <c r="D253" t="s">
        <v>16</v>
      </c>
      <c r="E253" t="s">
        <v>483</v>
      </c>
      <c r="F253" t="s">
        <v>81</v>
      </c>
      <c r="G253">
        <v>868.10490581569559</v>
      </c>
      <c r="H253">
        <v>0</v>
      </c>
      <c r="I253">
        <v>0</v>
      </c>
      <c r="J253">
        <v>1450.36126092871</v>
      </c>
      <c r="K253">
        <v>868.10490581569559</v>
      </c>
      <c r="L253">
        <v>0.59854391398996798</v>
      </c>
    </row>
    <row r="254" spans="1:12" x14ac:dyDescent="0.35">
      <c r="A254">
        <v>2027</v>
      </c>
      <c r="B254" t="s">
        <v>11</v>
      </c>
      <c r="C254" t="s">
        <v>10</v>
      </c>
      <c r="D254" t="s">
        <v>18</v>
      </c>
      <c r="E254" t="s">
        <v>483</v>
      </c>
      <c r="F254" t="s">
        <v>85</v>
      </c>
      <c r="G254">
        <v>868.10490581569559</v>
      </c>
      <c r="H254">
        <v>5.395337211526285</v>
      </c>
      <c r="I254">
        <v>3.229346251882661</v>
      </c>
      <c r="J254">
        <v>1444.9659237171841</v>
      </c>
      <c r="K254">
        <v>864.87555956381289</v>
      </c>
      <c r="L254">
        <v>0.59854391398996798</v>
      </c>
    </row>
    <row r="255" spans="1:12" x14ac:dyDescent="0.35">
      <c r="A255">
        <v>2027</v>
      </c>
      <c r="B255" t="s">
        <v>11</v>
      </c>
      <c r="C255" t="s">
        <v>10</v>
      </c>
      <c r="D255" t="s">
        <v>18</v>
      </c>
      <c r="E255" t="s">
        <v>483</v>
      </c>
      <c r="F255" t="s">
        <v>86</v>
      </c>
      <c r="G255">
        <v>868.10490581569559</v>
      </c>
      <c r="H255">
        <v>5.395337211526285</v>
      </c>
      <c r="I255">
        <v>3.229346251882661</v>
      </c>
      <c r="J255">
        <v>1444.9659237171841</v>
      </c>
      <c r="K255">
        <v>864.87555956381289</v>
      </c>
      <c r="L255">
        <v>0.59854391398996798</v>
      </c>
    </row>
    <row r="256" spans="1:12" x14ac:dyDescent="0.35">
      <c r="A256">
        <v>2027</v>
      </c>
      <c r="B256" t="s">
        <v>11</v>
      </c>
      <c r="C256" t="s">
        <v>10</v>
      </c>
      <c r="D256" t="s">
        <v>18</v>
      </c>
      <c r="E256" t="s">
        <v>490</v>
      </c>
      <c r="F256" t="s">
        <v>82</v>
      </c>
      <c r="G256">
        <v>868.10490581569559</v>
      </c>
      <c r="H256">
        <v>5.395337211526285</v>
      </c>
      <c r="I256">
        <v>3.229346251882661</v>
      </c>
      <c r="J256">
        <v>1444.9659237171841</v>
      </c>
      <c r="K256">
        <v>864.87555956381289</v>
      </c>
      <c r="L256">
        <v>0.59854391398996798</v>
      </c>
    </row>
    <row r="257" spans="1:12" x14ac:dyDescent="0.35">
      <c r="A257">
        <v>2027</v>
      </c>
      <c r="B257" t="s">
        <v>8</v>
      </c>
      <c r="C257" t="s">
        <v>4</v>
      </c>
      <c r="D257" t="s">
        <v>16</v>
      </c>
      <c r="E257" t="s">
        <v>483</v>
      </c>
      <c r="F257" t="s">
        <v>80</v>
      </c>
      <c r="G257">
        <v>40022.174830153243</v>
      </c>
      <c r="H257">
        <v>0</v>
      </c>
      <c r="I257">
        <v>0</v>
      </c>
      <c r="J257">
        <v>50818.260299101232</v>
      </c>
      <c r="K257">
        <v>40022.174830153243</v>
      </c>
      <c r="L257">
        <v>0.787554996857322</v>
      </c>
    </row>
    <row r="258" spans="1:12" x14ac:dyDescent="0.35">
      <c r="A258">
        <v>2027</v>
      </c>
      <c r="B258" t="s">
        <v>8</v>
      </c>
      <c r="C258" t="s">
        <v>4</v>
      </c>
      <c r="D258" t="s">
        <v>16</v>
      </c>
      <c r="E258" t="s">
        <v>483</v>
      </c>
      <c r="F258" t="s">
        <v>81</v>
      </c>
      <c r="G258">
        <v>40022.174830153243</v>
      </c>
      <c r="H258">
        <v>158544</v>
      </c>
      <c r="I258">
        <v>88924.165519559378</v>
      </c>
      <c r="J258">
        <v>0</v>
      </c>
      <c r="K258">
        <v>0</v>
      </c>
      <c r="L258">
        <v>0.787554996857322</v>
      </c>
    </row>
    <row r="259" spans="1:12" x14ac:dyDescent="0.35">
      <c r="A259">
        <v>2027</v>
      </c>
      <c r="B259" t="s">
        <v>8</v>
      </c>
      <c r="C259" t="s">
        <v>4</v>
      </c>
      <c r="D259" t="s">
        <v>18</v>
      </c>
      <c r="E259" t="s">
        <v>483</v>
      </c>
      <c r="F259" t="s">
        <v>85</v>
      </c>
      <c r="G259">
        <v>40022.174830153243</v>
      </c>
      <c r="H259">
        <v>215854</v>
      </c>
      <c r="I259">
        <v>121068.2007774433</v>
      </c>
      <c r="J259">
        <v>0</v>
      </c>
      <c r="K259">
        <v>0</v>
      </c>
      <c r="L259">
        <v>0.787554996857322</v>
      </c>
    </row>
    <row r="260" spans="1:12" x14ac:dyDescent="0.35">
      <c r="A260">
        <v>2027</v>
      </c>
      <c r="B260" t="s">
        <v>8</v>
      </c>
      <c r="C260" t="s">
        <v>4</v>
      </c>
      <c r="D260" t="s">
        <v>18</v>
      </c>
      <c r="E260" t="s">
        <v>483</v>
      </c>
      <c r="F260" t="s">
        <v>86</v>
      </c>
      <c r="G260">
        <v>40022.174830153243</v>
      </c>
      <c r="H260">
        <v>215854</v>
      </c>
      <c r="I260">
        <v>121068.2007774433</v>
      </c>
      <c r="J260">
        <v>0</v>
      </c>
      <c r="K260">
        <v>0</v>
      </c>
      <c r="L260">
        <v>0.787554996857322</v>
      </c>
    </row>
    <row r="261" spans="1:12" x14ac:dyDescent="0.35">
      <c r="A261">
        <v>2027</v>
      </c>
      <c r="B261" t="s">
        <v>8</v>
      </c>
      <c r="C261" t="s">
        <v>4</v>
      </c>
      <c r="D261" t="s">
        <v>18</v>
      </c>
      <c r="E261" t="s">
        <v>490</v>
      </c>
      <c r="F261" t="s">
        <v>82</v>
      </c>
      <c r="G261">
        <v>40022.174830153243</v>
      </c>
      <c r="H261">
        <v>215854</v>
      </c>
      <c r="I261">
        <v>169996.8962916405</v>
      </c>
      <c r="J261">
        <v>0</v>
      </c>
      <c r="K261">
        <v>0</v>
      </c>
      <c r="L261">
        <v>0.787554996857322</v>
      </c>
    </row>
    <row r="262" spans="1:12" x14ac:dyDescent="0.35">
      <c r="A262">
        <v>2027</v>
      </c>
      <c r="B262" t="s">
        <v>8</v>
      </c>
      <c r="C262" t="s">
        <v>9</v>
      </c>
      <c r="D262" t="s">
        <v>16</v>
      </c>
      <c r="E262" t="s">
        <v>483</v>
      </c>
      <c r="F262" t="s">
        <v>80</v>
      </c>
      <c r="G262">
        <v>28526.663384635151</v>
      </c>
      <c r="H262">
        <v>0</v>
      </c>
      <c r="I262">
        <v>0</v>
      </c>
      <c r="J262">
        <v>36221.804824385123</v>
      </c>
      <c r="K262">
        <v>28526.663384635151</v>
      </c>
      <c r="L262">
        <v>0.787554996857322</v>
      </c>
    </row>
    <row r="263" spans="1:12" x14ac:dyDescent="0.35">
      <c r="A263">
        <v>2027</v>
      </c>
      <c r="B263" t="s">
        <v>8</v>
      </c>
      <c r="C263" t="s">
        <v>9</v>
      </c>
      <c r="D263" t="s">
        <v>16</v>
      </c>
      <c r="E263" t="s">
        <v>483</v>
      </c>
      <c r="F263" t="s">
        <v>81</v>
      </c>
      <c r="G263">
        <v>28526.663384635151</v>
      </c>
      <c r="H263">
        <v>158544</v>
      </c>
      <c r="I263">
        <v>88924.165519559378</v>
      </c>
      <c r="J263">
        <v>0</v>
      </c>
      <c r="K263">
        <v>0</v>
      </c>
      <c r="L263">
        <v>0.787554996857322</v>
      </c>
    </row>
    <row r="264" spans="1:12" x14ac:dyDescent="0.35">
      <c r="A264">
        <v>2027</v>
      </c>
      <c r="B264" t="s">
        <v>8</v>
      </c>
      <c r="C264" t="s">
        <v>9</v>
      </c>
      <c r="D264" t="s">
        <v>18</v>
      </c>
      <c r="E264" t="s">
        <v>483</v>
      </c>
      <c r="F264" t="s">
        <v>85</v>
      </c>
      <c r="G264">
        <v>28526.663384635151</v>
      </c>
      <c r="H264">
        <v>215854</v>
      </c>
      <c r="I264">
        <v>121068.2007774433</v>
      </c>
      <c r="J264">
        <v>0</v>
      </c>
      <c r="K264">
        <v>0</v>
      </c>
      <c r="L264">
        <v>0.787554996857322</v>
      </c>
    </row>
    <row r="265" spans="1:12" x14ac:dyDescent="0.35">
      <c r="A265">
        <v>2027</v>
      </c>
      <c r="B265" t="s">
        <v>8</v>
      </c>
      <c r="C265" t="s">
        <v>9</v>
      </c>
      <c r="D265" t="s">
        <v>18</v>
      </c>
      <c r="E265" t="s">
        <v>483</v>
      </c>
      <c r="F265" t="s">
        <v>86</v>
      </c>
      <c r="G265">
        <v>28526.663384635151</v>
      </c>
      <c r="H265">
        <v>215854</v>
      </c>
      <c r="I265">
        <v>121068.2007774433</v>
      </c>
      <c r="J265">
        <v>0</v>
      </c>
      <c r="K265">
        <v>0</v>
      </c>
      <c r="L265">
        <v>0.787554996857322</v>
      </c>
    </row>
    <row r="266" spans="1:12" x14ac:dyDescent="0.35">
      <c r="A266">
        <v>2027</v>
      </c>
      <c r="B266" t="s">
        <v>8</v>
      </c>
      <c r="C266" t="s">
        <v>9</v>
      </c>
      <c r="D266" t="s">
        <v>18</v>
      </c>
      <c r="E266" t="s">
        <v>490</v>
      </c>
      <c r="F266" t="s">
        <v>82</v>
      </c>
      <c r="G266">
        <v>28526.663384635151</v>
      </c>
      <c r="H266">
        <v>215854</v>
      </c>
      <c r="I266">
        <v>169996.8962916405</v>
      </c>
      <c r="J266">
        <v>0</v>
      </c>
      <c r="K266">
        <v>0</v>
      </c>
      <c r="L266">
        <v>0.787554996857322</v>
      </c>
    </row>
    <row r="267" spans="1:12" x14ac:dyDescent="0.35">
      <c r="A267">
        <v>2027</v>
      </c>
      <c r="B267" t="s">
        <v>8</v>
      </c>
      <c r="C267" t="s">
        <v>10</v>
      </c>
      <c r="D267" t="s">
        <v>16</v>
      </c>
      <c r="E267" t="s">
        <v>483</v>
      </c>
      <c r="F267" t="s">
        <v>80</v>
      </c>
      <c r="G267">
        <v>38588.959034560583</v>
      </c>
      <c r="H267">
        <v>0</v>
      </c>
      <c r="I267">
        <v>0</v>
      </c>
      <c r="J267">
        <v>48998.430825208241</v>
      </c>
      <c r="K267">
        <v>38588.959034560583</v>
      </c>
      <c r="L267">
        <v>0.787554996857322</v>
      </c>
    </row>
    <row r="268" spans="1:12" x14ac:dyDescent="0.35">
      <c r="A268">
        <v>2027</v>
      </c>
      <c r="B268" t="s">
        <v>8</v>
      </c>
      <c r="C268" t="s">
        <v>10</v>
      </c>
      <c r="D268" t="s">
        <v>16</v>
      </c>
      <c r="E268" t="s">
        <v>483</v>
      </c>
      <c r="F268" t="s">
        <v>81</v>
      </c>
      <c r="G268">
        <v>38588.959034560583</v>
      </c>
      <c r="H268">
        <v>158544</v>
      </c>
      <c r="I268">
        <v>88924.165519559378</v>
      </c>
      <c r="J268">
        <v>0</v>
      </c>
      <c r="K268">
        <v>0</v>
      </c>
      <c r="L268">
        <v>0.787554996857322</v>
      </c>
    </row>
    <row r="269" spans="1:12" x14ac:dyDescent="0.35">
      <c r="A269">
        <v>2027</v>
      </c>
      <c r="B269" t="s">
        <v>8</v>
      </c>
      <c r="C269" t="s">
        <v>10</v>
      </c>
      <c r="D269" t="s">
        <v>18</v>
      </c>
      <c r="E269" t="s">
        <v>483</v>
      </c>
      <c r="F269" t="s">
        <v>85</v>
      </c>
      <c r="G269">
        <v>38588.959034560583</v>
      </c>
      <c r="H269">
        <v>215854</v>
      </c>
      <c r="I269">
        <v>121068.2007774433</v>
      </c>
      <c r="J269">
        <v>0</v>
      </c>
      <c r="K269">
        <v>0</v>
      </c>
      <c r="L269">
        <v>0.787554996857322</v>
      </c>
    </row>
    <row r="270" spans="1:12" x14ac:dyDescent="0.35">
      <c r="A270">
        <v>2027</v>
      </c>
      <c r="B270" t="s">
        <v>8</v>
      </c>
      <c r="C270" t="s">
        <v>10</v>
      </c>
      <c r="D270" t="s">
        <v>18</v>
      </c>
      <c r="E270" t="s">
        <v>483</v>
      </c>
      <c r="F270" t="s">
        <v>86</v>
      </c>
      <c r="G270">
        <v>38588.959034560583</v>
      </c>
      <c r="H270">
        <v>215854</v>
      </c>
      <c r="I270">
        <v>121068.2007774433</v>
      </c>
      <c r="J270">
        <v>0</v>
      </c>
      <c r="K270">
        <v>0</v>
      </c>
      <c r="L270">
        <v>0.787554996857322</v>
      </c>
    </row>
    <row r="271" spans="1:12" x14ac:dyDescent="0.35">
      <c r="A271">
        <v>2027</v>
      </c>
      <c r="B271" t="s">
        <v>8</v>
      </c>
      <c r="C271" t="s">
        <v>10</v>
      </c>
      <c r="D271" t="s">
        <v>18</v>
      </c>
      <c r="E271" t="s">
        <v>490</v>
      </c>
      <c r="F271" t="s">
        <v>82</v>
      </c>
      <c r="G271">
        <v>38588.959034560583</v>
      </c>
      <c r="H271">
        <v>215854</v>
      </c>
      <c r="I271">
        <v>169996.8962916405</v>
      </c>
      <c r="J271">
        <v>0</v>
      </c>
      <c r="K271">
        <v>0</v>
      </c>
      <c r="L271">
        <v>0.787554996857322</v>
      </c>
    </row>
    <row r="272" spans="1:12" x14ac:dyDescent="0.35">
      <c r="A272">
        <v>2028</v>
      </c>
      <c r="B272" t="s">
        <v>6</v>
      </c>
      <c r="C272" t="s">
        <v>4</v>
      </c>
      <c r="D272" t="s">
        <v>16</v>
      </c>
      <c r="E272" t="s">
        <v>483</v>
      </c>
      <c r="F272" t="s">
        <v>80</v>
      </c>
      <c r="G272">
        <v>33558.203893436563</v>
      </c>
      <c r="H272">
        <v>0</v>
      </c>
      <c r="I272">
        <v>0</v>
      </c>
      <c r="J272">
        <v>76382.078555601664</v>
      </c>
      <c r="K272">
        <v>33558.203893436563</v>
      </c>
      <c r="L272">
        <v>0.439346565686978</v>
      </c>
    </row>
    <row r="273" spans="1:12" x14ac:dyDescent="0.35">
      <c r="A273">
        <v>2028</v>
      </c>
      <c r="B273" t="s">
        <v>6</v>
      </c>
      <c r="C273" t="s">
        <v>4</v>
      </c>
      <c r="D273" t="s">
        <v>16</v>
      </c>
      <c r="E273" t="s">
        <v>483</v>
      </c>
      <c r="F273" t="s">
        <v>81</v>
      </c>
      <c r="G273">
        <v>33558.203893436563</v>
      </c>
      <c r="H273">
        <v>4176</v>
      </c>
      <c r="I273">
        <v>1771.38331528816</v>
      </c>
      <c r="J273">
        <v>72206.078555601664</v>
      </c>
      <c r="K273">
        <v>31786.820578148399</v>
      </c>
      <c r="L273">
        <v>0.439346565686978</v>
      </c>
    </row>
    <row r="274" spans="1:12" x14ac:dyDescent="0.35">
      <c r="A274">
        <v>2028</v>
      </c>
      <c r="B274" t="s">
        <v>6</v>
      </c>
      <c r="C274" t="s">
        <v>4</v>
      </c>
      <c r="D274" t="s">
        <v>18</v>
      </c>
      <c r="E274" t="s">
        <v>483</v>
      </c>
      <c r="F274" t="s">
        <v>85</v>
      </c>
      <c r="G274">
        <v>33558.203893436563</v>
      </c>
      <c r="H274">
        <v>7250</v>
      </c>
      <c r="I274">
        <v>3075.318255708612</v>
      </c>
      <c r="J274">
        <v>69132.078555601664</v>
      </c>
      <c r="K274">
        <v>30482.885637727952</v>
      </c>
      <c r="L274">
        <v>0.439346565686978</v>
      </c>
    </row>
    <row r="275" spans="1:12" x14ac:dyDescent="0.35">
      <c r="A275">
        <v>2028</v>
      </c>
      <c r="B275" t="s">
        <v>6</v>
      </c>
      <c r="C275" t="s">
        <v>4</v>
      </c>
      <c r="D275" t="s">
        <v>18</v>
      </c>
      <c r="E275" t="s">
        <v>483</v>
      </c>
      <c r="F275" t="s">
        <v>86</v>
      </c>
      <c r="G275">
        <v>33558.203893436563</v>
      </c>
      <c r="H275">
        <v>7250</v>
      </c>
      <c r="I275">
        <v>3075.318255708612</v>
      </c>
      <c r="J275">
        <v>69132.078555601664</v>
      </c>
      <c r="K275">
        <v>30482.885637727952</v>
      </c>
      <c r="L275">
        <v>0.439346565686978</v>
      </c>
    </row>
    <row r="276" spans="1:12" x14ac:dyDescent="0.35">
      <c r="A276">
        <v>2028</v>
      </c>
      <c r="B276" t="s">
        <v>6</v>
      </c>
      <c r="C276" t="s">
        <v>4</v>
      </c>
      <c r="D276" t="s">
        <v>18</v>
      </c>
      <c r="E276" t="s">
        <v>490</v>
      </c>
      <c r="F276" t="s">
        <v>82</v>
      </c>
      <c r="G276">
        <v>33558.203893436563</v>
      </c>
      <c r="H276">
        <v>7250</v>
      </c>
      <c r="I276">
        <v>3185.2626012305932</v>
      </c>
      <c r="J276">
        <v>69132.078555601664</v>
      </c>
      <c r="K276">
        <v>30372.941292205971</v>
      </c>
      <c r="L276">
        <v>0.439346565686978</v>
      </c>
    </row>
    <row r="277" spans="1:12" x14ac:dyDescent="0.35">
      <c r="A277">
        <v>2028</v>
      </c>
      <c r="B277" t="s">
        <v>6</v>
      </c>
      <c r="C277" t="s">
        <v>9</v>
      </c>
      <c r="D277" t="s">
        <v>16</v>
      </c>
      <c r="E277" t="s">
        <v>483</v>
      </c>
      <c r="F277" t="s">
        <v>80</v>
      </c>
      <c r="G277">
        <v>19651.719636773159</v>
      </c>
      <c r="H277">
        <v>0</v>
      </c>
      <c r="I277">
        <v>0</v>
      </c>
      <c r="J277">
        <v>44729.425860072508</v>
      </c>
      <c r="K277">
        <v>19651.719636773159</v>
      </c>
      <c r="L277">
        <v>0.439346565686978</v>
      </c>
    </row>
    <row r="278" spans="1:12" x14ac:dyDescent="0.35">
      <c r="A278">
        <v>2028</v>
      </c>
      <c r="B278" t="s">
        <v>6</v>
      </c>
      <c r="C278" t="s">
        <v>9</v>
      </c>
      <c r="D278" t="s">
        <v>16</v>
      </c>
      <c r="E278" t="s">
        <v>483</v>
      </c>
      <c r="F278" t="s">
        <v>81</v>
      </c>
      <c r="G278">
        <v>19651.719636773159</v>
      </c>
      <c r="H278">
        <v>4176</v>
      </c>
      <c r="I278">
        <v>1771.38331528816</v>
      </c>
      <c r="J278">
        <v>40553.425860072508</v>
      </c>
      <c r="K278">
        <v>17880.336321485</v>
      </c>
      <c r="L278">
        <v>0.439346565686978</v>
      </c>
    </row>
    <row r="279" spans="1:12" x14ac:dyDescent="0.35">
      <c r="A279">
        <v>2028</v>
      </c>
      <c r="B279" t="s">
        <v>6</v>
      </c>
      <c r="C279" t="s">
        <v>9</v>
      </c>
      <c r="D279" t="s">
        <v>18</v>
      </c>
      <c r="E279" t="s">
        <v>483</v>
      </c>
      <c r="F279" t="s">
        <v>85</v>
      </c>
      <c r="G279">
        <v>19651.719636773159</v>
      </c>
      <c r="H279">
        <v>7250</v>
      </c>
      <c r="I279">
        <v>3075.318255708612</v>
      </c>
      <c r="J279">
        <v>37479.425860072508</v>
      </c>
      <c r="K279">
        <v>16576.401381064548</v>
      </c>
      <c r="L279">
        <v>0.439346565686978</v>
      </c>
    </row>
    <row r="280" spans="1:12" x14ac:dyDescent="0.35">
      <c r="A280">
        <v>2028</v>
      </c>
      <c r="B280" t="s">
        <v>6</v>
      </c>
      <c r="C280" t="s">
        <v>9</v>
      </c>
      <c r="D280" t="s">
        <v>18</v>
      </c>
      <c r="E280" t="s">
        <v>483</v>
      </c>
      <c r="F280" t="s">
        <v>86</v>
      </c>
      <c r="G280">
        <v>19651.719636773159</v>
      </c>
      <c r="H280">
        <v>7250</v>
      </c>
      <c r="I280">
        <v>3075.318255708612</v>
      </c>
      <c r="J280">
        <v>37479.425860072508</v>
      </c>
      <c r="K280">
        <v>16576.401381064548</v>
      </c>
      <c r="L280">
        <v>0.439346565686978</v>
      </c>
    </row>
    <row r="281" spans="1:12" x14ac:dyDescent="0.35">
      <c r="A281">
        <v>2028</v>
      </c>
      <c r="B281" t="s">
        <v>6</v>
      </c>
      <c r="C281" t="s">
        <v>9</v>
      </c>
      <c r="D281" t="s">
        <v>18</v>
      </c>
      <c r="E281" t="s">
        <v>490</v>
      </c>
      <c r="F281" t="s">
        <v>82</v>
      </c>
      <c r="G281">
        <v>19651.719636773159</v>
      </c>
      <c r="H281">
        <v>7250</v>
      </c>
      <c r="I281">
        <v>3185.2626012305932</v>
      </c>
      <c r="J281">
        <v>37479.425860072508</v>
      </c>
      <c r="K281">
        <v>16466.457035542571</v>
      </c>
      <c r="L281">
        <v>0.439346565686978</v>
      </c>
    </row>
    <row r="282" spans="1:12" x14ac:dyDescent="0.35">
      <c r="A282">
        <v>2028</v>
      </c>
      <c r="B282" t="s">
        <v>6</v>
      </c>
      <c r="C282" t="s">
        <v>10</v>
      </c>
      <c r="D282" t="s">
        <v>16</v>
      </c>
      <c r="E282" t="s">
        <v>483</v>
      </c>
      <c r="F282" t="s">
        <v>80</v>
      </c>
      <c r="G282">
        <v>32337.908183628981</v>
      </c>
      <c r="H282">
        <v>0</v>
      </c>
      <c r="I282">
        <v>0</v>
      </c>
      <c r="J282">
        <v>73604.554375119042</v>
      </c>
      <c r="K282">
        <v>32337.908183628981</v>
      </c>
      <c r="L282">
        <v>0.439346565686978</v>
      </c>
    </row>
    <row r="283" spans="1:12" x14ac:dyDescent="0.35">
      <c r="A283">
        <v>2028</v>
      </c>
      <c r="B283" t="s">
        <v>6</v>
      </c>
      <c r="C283" t="s">
        <v>10</v>
      </c>
      <c r="D283" t="s">
        <v>16</v>
      </c>
      <c r="E283" t="s">
        <v>483</v>
      </c>
      <c r="F283" t="s">
        <v>81</v>
      </c>
      <c r="G283">
        <v>32337.908183628981</v>
      </c>
      <c r="H283">
        <v>4176</v>
      </c>
      <c r="I283">
        <v>1771.38331528816</v>
      </c>
      <c r="J283">
        <v>69428.554375119042</v>
      </c>
      <c r="K283">
        <v>30566.524868340821</v>
      </c>
      <c r="L283">
        <v>0.439346565686978</v>
      </c>
    </row>
    <row r="284" spans="1:12" x14ac:dyDescent="0.35">
      <c r="A284">
        <v>2028</v>
      </c>
      <c r="B284" t="s">
        <v>6</v>
      </c>
      <c r="C284" t="s">
        <v>10</v>
      </c>
      <c r="D284" t="s">
        <v>18</v>
      </c>
      <c r="E284" t="s">
        <v>483</v>
      </c>
      <c r="F284" t="s">
        <v>85</v>
      </c>
      <c r="G284">
        <v>32337.908183628981</v>
      </c>
      <c r="H284">
        <v>7250</v>
      </c>
      <c r="I284">
        <v>3075.318255708612</v>
      </c>
      <c r="J284">
        <v>66354.554375119042</v>
      </c>
      <c r="K284">
        <v>29262.58992792037</v>
      </c>
      <c r="L284">
        <v>0.439346565686978</v>
      </c>
    </row>
    <row r="285" spans="1:12" x14ac:dyDescent="0.35">
      <c r="A285">
        <v>2028</v>
      </c>
      <c r="B285" t="s">
        <v>6</v>
      </c>
      <c r="C285" t="s">
        <v>10</v>
      </c>
      <c r="D285" t="s">
        <v>18</v>
      </c>
      <c r="E285" t="s">
        <v>483</v>
      </c>
      <c r="F285" t="s">
        <v>86</v>
      </c>
      <c r="G285">
        <v>32337.908183628981</v>
      </c>
      <c r="H285">
        <v>7250</v>
      </c>
      <c r="I285">
        <v>3075.318255708612</v>
      </c>
      <c r="J285">
        <v>66354.554375119042</v>
      </c>
      <c r="K285">
        <v>29262.58992792037</v>
      </c>
      <c r="L285">
        <v>0.439346565686978</v>
      </c>
    </row>
    <row r="286" spans="1:12" x14ac:dyDescent="0.35">
      <c r="A286">
        <v>2028</v>
      </c>
      <c r="B286" t="s">
        <v>6</v>
      </c>
      <c r="C286" t="s">
        <v>10</v>
      </c>
      <c r="D286" t="s">
        <v>18</v>
      </c>
      <c r="E286" t="s">
        <v>490</v>
      </c>
      <c r="F286" t="s">
        <v>82</v>
      </c>
      <c r="G286">
        <v>32337.908183628981</v>
      </c>
      <c r="H286">
        <v>7250</v>
      </c>
      <c r="I286">
        <v>3185.2626012305932</v>
      </c>
      <c r="J286">
        <v>66354.554375119042</v>
      </c>
      <c r="K286">
        <v>29152.645582398389</v>
      </c>
      <c r="L286">
        <v>0.439346565686978</v>
      </c>
    </row>
    <row r="287" spans="1:12" x14ac:dyDescent="0.35">
      <c r="A287">
        <v>2028</v>
      </c>
      <c r="B287" t="s">
        <v>7</v>
      </c>
      <c r="C287" t="s">
        <v>4</v>
      </c>
      <c r="D287" t="s">
        <v>16</v>
      </c>
      <c r="E287" t="s">
        <v>483</v>
      </c>
      <c r="F287" t="s">
        <v>80</v>
      </c>
      <c r="G287">
        <v>916409.46721627563</v>
      </c>
      <c r="H287">
        <v>0</v>
      </c>
      <c r="I287">
        <v>0</v>
      </c>
      <c r="J287">
        <v>1097830.6307768589</v>
      </c>
      <c r="K287">
        <v>916409.46721627563</v>
      </c>
      <c r="L287">
        <v>0.83474576271186396</v>
      </c>
    </row>
    <row r="288" spans="1:12" x14ac:dyDescent="0.35">
      <c r="A288">
        <v>2028</v>
      </c>
      <c r="B288" t="s">
        <v>7</v>
      </c>
      <c r="C288" t="s">
        <v>4</v>
      </c>
      <c r="D288" t="s">
        <v>16</v>
      </c>
      <c r="E288" t="s">
        <v>483</v>
      </c>
      <c r="F288" t="s">
        <v>81</v>
      </c>
      <c r="G288">
        <v>916409.46721627563</v>
      </c>
      <c r="H288">
        <v>461120</v>
      </c>
      <c r="I288">
        <v>242368.67797179901</v>
      </c>
      <c r="J288">
        <v>636710.63077685866</v>
      </c>
      <c r="K288">
        <v>674040.78924447659</v>
      </c>
      <c r="L288">
        <v>0.83474576271186396</v>
      </c>
    </row>
    <row r="289" spans="1:12" x14ac:dyDescent="0.35">
      <c r="A289">
        <v>2028</v>
      </c>
      <c r="B289" t="s">
        <v>7</v>
      </c>
      <c r="C289" t="s">
        <v>4</v>
      </c>
      <c r="D289" t="s">
        <v>18</v>
      </c>
      <c r="E289" t="s">
        <v>483</v>
      </c>
      <c r="F289" t="s">
        <v>85</v>
      </c>
      <c r="G289">
        <v>916409.46721627563</v>
      </c>
      <c r="H289">
        <v>621087.14728660951</v>
      </c>
      <c r="I289">
        <v>326448.80029738799</v>
      </c>
      <c r="J289">
        <v>476743.48349024908</v>
      </c>
      <c r="K289">
        <v>589960.66691888764</v>
      </c>
      <c r="L289">
        <v>0.83474576271186396</v>
      </c>
    </row>
    <row r="290" spans="1:12" x14ac:dyDescent="0.35">
      <c r="A290">
        <v>2028</v>
      </c>
      <c r="B290" t="s">
        <v>7</v>
      </c>
      <c r="C290" t="s">
        <v>4</v>
      </c>
      <c r="D290" t="s">
        <v>18</v>
      </c>
      <c r="E290" t="s">
        <v>483</v>
      </c>
      <c r="F290" t="s">
        <v>86</v>
      </c>
      <c r="G290">
        <v>916409.46721627563</v>
      </c>
      <c r="H290">
        <v>621087.14728660951</v>
      </c>
      <c r="I290">
        <v>326448.80029738799</v>
      </c>
      <c r="J290">
        <v>476743.48349024908</v>
      </c>
      <c r="K290">
        <v>589960.66691888764</v>
      </c>
      <c r="L290">
        <v>0.83474576271186396</v>
      </c>
    </row>
    <row r="291" spans="1:12" x14ac:dyDescent="0.35">
      <c r="A291">
        <v>2028</v>
      </c>
      <c r="B291" t="s">
        <v>7</v>
      </c>
      <c r="C291" t="s">
        <v>4</v>
      </c>
      <c r="D291" t="s">
        <v>18</v>
      </c>
      <c r="E291" t="s">
        <v>490</v>
      </c>
      <c r="F291" t="s">
        <v>82</v>
      </c>
      <c r="G291">
        <v>916409.46721627563</v>
      </c>
      <c r="H291">
        <v>621087.14728660951</v>
      </c>
      <c r="I291">
        <v>518449.8644722969</v>
      </c>
      <c r="J291">
        <v>476743.48349024908</v>
      </c>
      <c r="K291">
        <v>397959.60274397873</v>
      </c>
      <c r="L291">
        <v>0.83474576271186396</v>
      </c>
    </row>
    <row r="292" spans="1:12" x14ac:dyDescent="0.35">
      <c r="A292">
        <v>2028</v>
      </c>
      <c r="B292" t="s">
        <v>7</v>
      </c>
      <c r="C292" t="s">
        <v>9</v>
      </c>
      <c r="D292" t="s">
        <v>16</v>
      </c>
      <c r="E292" t="s">
        <v>483</v>
      </c>
      <c r="F292" t="s">
        <v>80</v>
      </c>
      <c r="G292">
        <v>893050.83707050979</v>
      </c>
      <c r="H292">
        <v>0</v>
      </c>
      <c r="I292">
        <v>0</v>
      </c>
      <c r="J292">
        <v>1069847.703292591</v>
      </c>
      <c r="K292">
        <v>893050.83707050979</v>
      </c>
      <c r="L292">
        <v>0.83474576271186396</v>
      </c>
    </row>
    <row r="293" spans="1:12" x14ac:dyDescent="0.35">
      <c r="A293">
        <v>2028</v>
      </c>
      <c r="B293" t="s">
        <v>7</v>
      </c>
      <c r="C293" t="s">
        <v>9</v>
      </c>
      <c r="D293" t="s">
        <v>16</v>
      </c>
      <c r="E293" t="s">
        <v>483</v>
      </c>
      <c r="F293" t="s">
        <v>81</v>
      </c>
      <c r="G293">
        <v>893050.83707050979</v>
      </c>
      <c r="H293">
        <v>461120</v>
      </c>
      <c r="I293">
        <v>242368.67797179901</v>
      </c>
      <c r="J293">
        <v>608727.70329259103</v>
      </c>
      <c r="K293">
        <v>650682.15909871075</v>
      </c>
      <c r="L293">
        <v>0.83474576271186396</v>
      </c>
    </row>
    <row r="294" spans="1:12" x14ac:dyDescent="0.35">
      <c r="A294">
        <v>2028</v>
      </c>
      <c r="B294" t="s">
        <v>7</v>
      </c>
      <c r="C294" t="s">
        <v>9</v>
      </c>
      <c r="D294" t="s">
        <v>18</v>
      </c>
      <c r="E294" t="s">
        <v>483</v>
      </c>
      <c r="F294" t="s">
        <v>85</v>
      </c>
      <c r="G294">
        <v>893050.83707050979</v>
      </c>
      <c r="H294">
        <v>621087.14728660951</v>
      </c>
      <c r="I294">
        <v>326448.80029738799</v>
      </c>
      <c r="J294">
        <v>448760.55600598152</v>
      </c>
      <c r="K294">
        <v>566602.0367731218</v>
      </c>
      <c r="L294">
        <v>0.83474576271186396</v>
      </c>
    </row>
    <row r="295" spans="1:12" x14ac:dyDescent="0.35">
      <c r="A295">
        <v>2028</v>
      </c>
      <c r="B295" t="s">
        <v>7</v>
      </c>
      <c r="C295" t="s">
        <v>9</v>
      </c>
      <c r="D295" t="s">
        <v>18</v>
      </c>
      <c r="E295" t="s">
        <v>483</v>
      </c>
      <c r="F295" t="s">
        <v>86</v>
      </c>
      <c r="G295">
        <v>893050.83707050979</v>
      </c>
      <c r="H295">
        <v>621087.14728660951</v>
      </c>
      <c r="I295">
        <v>326448.80029738799</v>
      </c>
      <c r="J295">
        <v>448760.55600598152</v>
      </c>
      <c r="K295">
        <v>566602.0367731218</v>
      </c>
      <c r="L295">
        <v>0.83474576271186396</v>
      </c>
    </row>
    <row r="296" spans="1:12" x14ac:dyDescent="0.35">
      <c r="A296">
        <v>2028</v>
      </c>
      <c r="B296" t="s">
        <v>7</v>
      </c>
      <c r="C296" t="s">
        <v>9</v>
      </c>
      <c r="D296" t="s">
        <v>18</v>
      </c>
      <c r="E296" t="s">
        <v>490</v>
      </c>
      <c r="F296" t="s">
        <v>82</v>
      </c>
      <c r="G296">
        <v>893050.83707050979</v>
      </c>
      <c r="H296">
        <v>621087.14728660951</v>
      </c>
      <c r="I296">
        <v>518449.8644722969</v>
      </c>
      <c r="J296">
        <v>448760.55600598152</v>
      </c>
      <c r="K296">
        <v>374600.97259821289</v>
      </c>
      <c r="L296">
        <v>0.83474576271186396</v>
      </c>
    </row>
    <row r="297" spans="1:12" x14ac:dyDescent="0.35">
      <c r="A297">
        <v>2028</v>
      </c>
      <c r="B297" t="s">
        <v>7</v>
      </c>
      <c r="C297" t="s">
        <v>10</v>
      </c>
      <c r="D297" t="s">
        <v>16</v>
      </c>
      <c r="E297" t="s">
        <v>483</v>
      </c>
      <c r="F297" t="s">
        <v>80</v>
      </c>
      <c r="G297">
        <v>898034.66394728445</v>
      </c>
      <c r="H297">
        <v>0</v>
      </c>
      <c r="I297">
        <v>0</v>
      </c>
      <c r="J297">
        <v>1075818.176099285</v>
      </c>
      <c r="K297">
        <v>898034.66394728445</v>
      </c>
      <c r="L297">
        <v>0.83474576271186396</v>
      </c>
    </row>
    <row r="298" spans="1:12" x14ac:dyDescent="0.35">
      <c r="A298">
        <v>2028</v>
      </c>
      <c r="B298" t="s">
        <v>7</v>
      </c>
      <c r="C298" t="s">
        <v>10</v>
      </c>
      <c r="D298" t="s">
        <v>16</v>
      </c>
      <c r="E298" t="s">
        <v>483</v>
      </c>
      <c r="F298" t="s">
        <v>81</v>
      </c>
      <c r="G298">
        <v>898034.66394728445</v>
      </c>
      <c r="H298">
        <v>461120</v>
      </c>
      <c r="I298">
        <v>242368.67797179901</v>
      </c>
      <c r="J298">
        <v>614698.17609928548</v>
      </c>
      <c r="K298">
        <v>655665.98597548541</v>
      </c>
      <c r="L298">
        <v>0.83474576271186396</v>
      </c>
    </row>
    <row r="299" spans="1:12" x14ac:dyDescent="0.35">
      <c r="A299">
        <v>2028</v>
      </c>
      <c r="B299" t="s">
        <v>7</v>
      </c>
      <c r="C299" t="s">
        <v>10</v>
      </c>
      <c r="D299" t="s">
        <v>18</v>
      </c>
      <c r="E299" t="s">
        <v>483</v>
      </c>
      <c r="F299" t="s">
        <v>85</v>
      </c>
      <c r="G299">
        <v>898034.66394728445</v>
      </c>
      <c r="H299">
        <v>621087.14728660951</v>
      </c>
      <c r="I299">
        <v>326448.80029738799</v>
      </c>
      <c r="J299">
        <v>454731.02881267603</v>
      </c>
      <c r="K299">
        <v>571585.86364989646</v>
      </c>
      <c r="L299">
        <v>0.83474576271186396</v>
      </c>
    </row>
    <row r="300" spans="1:12" x14ac:dyDescent="0.35">
      <c r="A300">
        <v>2028</v>
      </c>
      <c r="B300" t="s">
        <v>7</v>
      </c>
      <c r="C300" t="s">
        <v>10</v>
      </c>
      <c r="D300" t="s">
        <v>18</v>
      </c>
      <c r="E300" t="s">
        <v>483</v>
      </c>
      <c r="F300" t="s">
        <v>86</v>
      </c>
      <c r="G300">
        <v>898034.66394728445</v>
      </c>
      <c r="H300">
        <v>621087.14728660951</v>
      </c>
      <c r="I300">
        <v>326448.80029738799</v>
      </c>
      <c r="J300">
        <v>454731.02881267603</v>
      </c>
      <c r="K300">
        <v>571585.86364989646</v>
      </c>
      <c r="L300">
        <v>0.83474576271186396</v>
      </c>
    </row>
    <row r="301" spans="1:12" x14ac:dyDescent="0.35">
      <c r="A301">
        <v>2028</v>
      </c>
      <c r="B301" t="s">
        <v>7</v>
      </c>
      <c r="C301" t="s">
        <v>10</v>
      </c>
      <c r="D301" t="s">
        <v>18</v>
      </c>
      <c r="E301" t="s">
        <v>490</v>
      </c>
      <c r="F301" t="s">
        <v>82</v>
      </c>
      <c r="G301">
        <v>898034.66394728445</v>
      </c>
      <c r="H301">
        <v>621087.14728660951</v>
      </c>
      <c r="I301">
        <v>518449.8644722969</v>
      </c>
      <c r="J301">
        <v>454731.02881267603</v>
      </c>
      <c r="K301">
        <v>379584.79947498761</v>
      </c>
      <c r="L301">
        <v>0.83474576271186396</v>
      </c>
    </row>
    <row r="302" spans="1:12" x14ac:dyDescent="0.35">
      <c r="A302">
        <v>2028</v>
      </c>
      <c r="B302" t="s">
        <v>13</v>
      </c>
      <c r="C302" t="s">
        <v>4</v>
      </c>
      <c r="D302" t="s">
        <v>16</v>
      </c>
      <c r="E302" t="s">
        <v>483</v>
      </c>
      <c r="F302" t="s">
        <v>80</v>
      </c>
      <c r="G302">
        <v>1182.9561420443069</v>
      </c>
      <c r="H302">
        <v>0</v>
      </c>
      <c r="I302">
        <v>0</v>
      </c>
      <c r="J302">
        <v>1182.9561420443069</v>
      </c>
      <c r="K302">
        <v>1182.9561420443069</v>
      </c>
      <c r="L302">
        <v>1</v>
      </c>
    </row>
    <row r="303" spans="1:12" x14ac:dyDescent="0.35">
      <c r="A303">
        <v>2028</v>
      </c>
      <c r="B303" t="s">
        <v>13</v>
      </c>
      <c r="C303" t="s">
        <v>4</v>
      </c>
      <c r="D303" t="s">
        <v>16</v>
      </c>
      <c r="E303" t="s">
        <v>483</v>
      </c>
      <c r="F303" t="s">
        <v>81</v>
      </c>
      <c r="G303">
        <v>1182.9561420443069</v>
      </c>
      <c r="H303">
        <v>0</v>
      </c>
      <c r="I303">
        <v>0</v>
      </c>
      <c r="J303">
        <v>1182.9561420443069</v>
      </c>
      <c r="K303">
        <v>1182.9561420443069</v>
      </c>
      <c r="L303">
        <v>1</v>
      </c>
    </row>
    <row r="304" spans="1:12" x14ac:dyDescent="0.35">
      <c r="A304">
        <v>2028</v>
      </c>
      <c r="B304" t="s">
        <v>13</v>
      </c>
      <c r="C304" t="s">
        <v>4</v>
      </c>
      <c r="D304" t="s">
        <v>18</v>
      </c>
      <c r="E304" t="s">
        <v>483</v>
      </c>
      <c r="F304" t="s">
        <v>85</v>
      </c>
      <c r="G304">
        <v>1182.9561420443069</v>
      </c>
      <c r="H304">
        <v>99735</v>
      </c>
      <c r="I304">
        <v>32912.550000000003</v>
      </c>
      <c r="J304">
        <v>0</v>
      </c>
      <c r="K304">
        <v>0</v>
      </c>
      <c r="L304">
        <v>1</v>
      </c>
    </row>
    <row r="305" spans="1:12" x14ac:dyDescent="0.35">
      <c r="A305">
        <v>2028</v>
      </c>
      <c r="B305" t="s">
        <v>13</v>
      </c>
      <c r="C305" t="s">
        <v>4</v>
      </c>
      <c r="D305" t="s">
        <v>18</v>
      </c>
      <c r="E305" t="s">
        <v>483</v>
      </c>
      <c r="F305" t="s">
        <v>86</v>
      </c>
      <c r="G305">
        <v>1182.9561420443069</v>
      </c>
      <c r="H305">
        <v>99735</v>
      </c>
      <c r="I305">
        <v>32912.550000000003</v>
      </c>
      <c r="J305">
        <v>0</v>
      </c>
      <c r="K305">
        <v>0</v>
      </c>
      <c r="L305">
        <v>1</v>
      </c>
    </row>
    <row r="306" spans="1:12" x14ac:dyDescent="0.35">
      <c r="A306">
        <v>2028</v>
      </c>
      <c r="B306" t="s">
        <v>13</v>
      </c>
      <c r="C306" t="s">
        <v>4</v>
      </c>
      <c r="D306" t="s">
        <v>18</v>
      </c>
      <c r="E306" t="s">
        <v>490</v>
      </c>
      <c r="F306" t="s">
        <v>82</v>
      </c>
      <c r="G306">
        <v>1182.9561420443069</v>
      </c>
      <c r="H306">
        <v>99735</v>
      </c>
      <c r="I306">
        <v>32912.550000000003</v>
      </c>
      <c r="J306">
        <v>0</v>
      </c>
      <c r="K306">
        <v>0</v>
      </c>
      <c r="L306">
        <v>1</v>
      </c>
    </row>
    <row r="307" spans="1:12" x14ac:dyDescent="0.35">
      <c r="A307">
        <v>2028</v>
      </c>
      <c r="B307" t="s">
        <v>13</v>
      </c>
      <c r="C307" t="s">
        <v>9</v>
      </c>
      <c r="D307" t="s">
        <v>16</v>
      </c>
      <c r="E307" t="s">
        <v>483</v>
      </c>
      <c r="F307" t="s">
        <v>80</v>
      </c>
      <c r="G307">
        <v>671.91452613806371</v>
      </c>
      <c r="H307">
        <v>0</v>
      </c>
      <c r="I307">
        <v>0</v>
      </c>
      <c r="J307">
        <v>671.91452613806371</v>
      </c>
      <c r="K307">
        <v>671.91452613806371</v>
      </c>
      <c r="L307">
        <v>1</v>
      </c>
    </row>
    <row r="308" spans="1:12" x14ac:dyDescent="0.35">
      <c r="A308">
        <v>2028</v>
      </c>
      <c r="B308" t="s">
        <v>13</v>
      </c>
      <c r="C308" t="s">
        <v>9</v>
      </c>
      <c r="D308" t="s">
        <v>16</v>
      </c>
      <c r="E308" t="s">
        <v>483</v>
      </c>
      <c r="F308" t="s">
        <v>81</v>
      </c>
      <c r="G308">
        <v>671.91452613806371</v>
      </c>
      <c r="H308">
        <v>0</v>
      </c>
      <c r="I308">
        <v>0</v>
      </c>
      <c r="J308">
        <v>671.91452613806371</v>
      </c>
      <c r="K308">
        <v>671.91452613806371</v>
      </c>
      <c r="L308">
        <v>1</v>
      </c>
    </row>
    <row r="309" spans="1:12" x14ac:dyDescent="0.35">
      <c r="A309">
        <v>2028</v>
      </c>
      <c r="B309" t="s">
        <v>13</v>
      </c>
      <c r="C309" t="s">
        <v>9</v>
      </c>
      <c r="D309" t="s">
        <v>18</v>
      </c>
      <c r="E309" t="s">
        <v>483</v>
      </c>
      <c r="F309" t="s">
        <v>85</v>
      </c>
      <c r="G309">
        <v>671.91452613806371</v>
      </c>
      <c r="H309">
        <v>99735</v>
      </c>
      <c r="I309">
        <v>32912.550000000003</v>
      </c>
      <c r="J309">
        <v>0</v>
      </c>
      <c r="K309">
        <v>0</v>
      </c>
      <c r="L309">
        <v>1</v>
      </c>
    </row>
    <row r="310" spans="1:12" x14ac:dyDescent="0.35">
      <c r="A310">
        <v>2028</v>
      </c>
      <c r="B310" t="s">
        <v>13</v>
      </c>
      <c r="C310" t="s">
        <v>9</v>
      </c>
      <c r="D310" t="s">
        <v>18</v>
      </c>
      <c r="E310" t="s">
        <v>483</v>
      </c>
      <c r="F310" t="s">
        <v>86</v>
      </c>
      <c r="G310">
        <v>671.91452613806371</v>
      </c>
      <c r="H310">
        <v>99735</v>
      </c>
      <c r="I310">
        <v>32912.550000000003</v>
      </c>
      <c r="J310">
        <v>0</v>
      </c>
      <c r="K310">
        <v>0</v>
      </c>
      <c r="L310">
        <v>1</v>
      </c>
    </row>
    <row r="311" spans="1:12" x14ac:dyDescent="0.35">
      <c r="A311">
        <v>2028</v>
      </c>
      <c r="B311" t="s">
        <v>13</v>
      </c>
      <c r="C311" t="s">
        <v>9</v>
      </c>
      <c r="D311" t="s">
        <v>18</v>
      </c>
      <c r="E311" t="s">
        <v>490</v>
      </c>
      <c r="F311" t="s">
        <v>82</v>
      </c>
      <c r="G311">
        <v>671.91452613806371</v>
      </c>
      <c r="H311">
        <v>99735</v>
      </c>
      <c r="I311">
        <v>32912.550000000003</v>
      </c>
      <c r="J311">
        <v>0</v>
      </c>
      <c r="K311">
        <v>0</v>
      </c>
      <c r="L311">
        <v>1</v>
      </c>
    </row>
    <row r="312" spans="1:12" x14ac:dyDescent="0.35">
      <c r="A312">
        <v>2028</v>
      </c>
      <c r="B312" t="s">
        <v>13</v>
      </c>
      <c r="C312" t="s">
        <v>10</v>
      </c>
      <c r="D312" t="s">
        <v>16</v>
      </c>
      <c r="E312" t="s">
        <v>483</v>
      </c>
      <c r="F312" t="s">
        <v>80</v>
      </c>
      <c r="G312">
        <v>1144.5393976176119</v>
      </c>
      <c r="H312">
        <v>0</v>
      </c>
      <c r="I312">
        <v>0</v>
      </c>
      <c r="J312">
        <v>1144.5393976176119</v>
      </c>
      <c r="K312">
        <v>1144.5393976176119</v>
      </c>
      <c r="L312">
        <v>1</v>
      </c>
    </row>
    <row r="313" spans="1:12" x14ac:dyDescent="0.35">
      <c r="A313">
        <v>2028</v>
      </c>
      <c r="B313" t="s">
        <v>13</v>
      </c>
      <c r="C313" t="s">
        <v>10</v>
      </c>
      <c r="D313" t="s">
        <v>16</v>
      </c>
      <c r="E313" t="s">
        <v>483</v>
      </c>
      <c r="F313" t="s">
        <v>81</v>
      </c>
      <c r="G313">
        <v>1144.5393976176119</v>
      </c>
      <c r="H313">
        <v>0</v>
      </c>
      <c r="I313">
        <v>0</v>
      </c>
      <c r="J313">
        <v>1144.5393976176119</v>
      </c>
      <c r="K313">
        <v>1144.5393976176119</v>
      </c>
      <c r="L313">
        <v>1</v>
      </c>
    </row>
    <row r="314" spans="1:12" x14ac:dyDescent="0.35">
      <c r="A314">
        <v>2028</v>
      </c>
      <c r="B314" t="s">
        <v>13</v>
      </c>
      <c r="C314" t="s">
        <v>10</v>
      </c>
      <c r="D314" t="s">
        <v>18</v>
      </c>
      <c r="E314" t="s">
        <v>483</v>
      </c>
      <c r="F314" t="s">
        <v>85</v>
      </c>
      <c r="G314">
        <v>1144.5393976176119</v>
      </c>
      <c r="H314">
        <v>99735</v>
      </c>
      <c r="I314">
        <v>32912.550000000003</v>
      </c>
      <c r="J314">
        <v>0</v>
      </c>
      <c r="K314">
        <v>0</v>
      </c>
      <c r="L314">
        <v>1</v>
      </c>
    </row>
    <row r="315" spans="1:12" x14ac:dyDescent="0.35">
      <c r="A315">
        <v>2028</v>
      </c>
      <c r="B315" t="s">
        <v>13</v>
      </c>
      <c r="C315" t="s">
        <v>10</v>
      </c>
      <c r="D315" t="s">
        <v>18</v>
      </c>
      <c r="E315" t="s">
        <v>483</v>
      </c>
      <c r="F315" t="s">
        <v>86</v>
      </c>
      <c r="G315">
        <v>1144.5393976176119</v>
      </c>
      <c r="H315">
        <v>99735</v>
      </c>
      <c r="I315">
        <v>32912.550000000003</v>
      </c>
      <c r="J315">
        <v>0</v>
      </c>
      <c r="K315">
        <v>0</v>
      </c>
      <c r="L315">
        <v>1</v>
      </c>
    </row>
    <row r="316" spans="1:12" x14ac:dyDescent="0.35">
      <c r="A316">
        <v>2028</v>
      </c>
      <c r="B316" t="s">
        <v>13</v>
      </c>
      <c r="C316" t="s">
        <v>10</v>
      </c>
      <c r="D316" t="s">
        <v>18</v>
      </c>
      <c r="E316" t="s">
        <v>490</v>
      </c>
      <c r="F316" t="s">
        <v>82</v>
      </c>
      <c r="G316">
        <v>1144.5393976176119</v>
      </c>
      <c r="H316">
        <v>99735</v>
      </c>
      <c r="I316">
        <v>32912.550000000003</v>
      </c>
      <c r="J316">
        <v>0</v>
      </c>
      <c r="K316">
        <v>0</v>
      </c>
      <c r="L316">
        <v>1</v>
      </c>
    </row>
    <row r="317" spans="1:12" x14ac:dyDescent="0.35">
      <c r="A317">
        <v>2028</v>
      </c>
      <c r="B317" t="s">
        <v>12</v>
      </c>
      <c r="C317" t="s">
        <v>4</v>
      </c>
      <c r="D317" t="s">
        <v>16</v>
      </c>
      <c r="E317" t="s">
        <v>483</v>
      </c>
      <c r="F317" t="s">
        <v>80</v>
      </c>
      <c r="G317">
        <v>18935.44383590906</v>
      </c>
      <c r="H317">
        <v>0</v>
      </c>
      <c r="I317">
        <v>0</v>
      </c>
      <c r="J317">
        <v>27082.728209493409</v>
      </c>
      <c r="K317">
        <v>18935.44383590906</v>
      </c>
      <c r="L317">
        <v>0.69917047091553897</v>
      </c>
    </row>
    <row r="318" spans="1:12" x14ac:dyDescent="0.35">
      <c r="A318">
        <v>2028</v>
      </c>
      <c r="B318" t="s">
        <v>12</v>
      </c>
      <c r="C318" t="s">
        <v>4</v>
      </c>
      <c r="D318" t="s">
        <v>16</v>
      </c>
      <c r="E318" t="s">
        <v>483</v>
      </c>
      <c r="F318" t="s">
        <v>81</v>
      </c>
      <c r="G318">
        <v>18935.44383590906</v>
      </c>
      <c r="H318">
        <v>40292</v>
      </c>
      <c r="I318">
        <v>28170.9766141289</v>
      </c>
      <c r="J318">
        <v>0</v>
      </c>
      <c r="K318">
        <v>0</v>
      </c>
      <c r="L318">
        <v>0.69917047091553897</v>
      </c>
    </row>
    <row r="319" spans="1:12" x14ac:dyDescent="0.35">
      <c r="A319">
        <v>2028</v>
      </c>
      <c r="B319" t="s">
        <v>12</v>
      </c>
      <c r="C319" t="s">
        <v>4</v>
      </c>
      <c r="D319" t="s">
        <v>18</v>
      </c>
      <c r="E319" t="s">
        <v>483</v>
      </c>
      <c r="F319" t="s">
        <v>85</v>
      </c>
      <c r="G319">
        <v>18935.44383590906</v>
      </c>
      <c r="H319">
        <v>162581</v>
      </c>
      <c r="I319">
        <v>113671.83433191929</v>
      </c>
      <c r="J319">
        <v>0</v>
      </c>
      <c r="K319">
        <v>0</v>
      </c>
      <c r="L319">
        <v>0.69917047091553897</v>
      </c>
    </row>
    <row r="320" spans="1:12" x14ac:dyDescent="0.35">
      <c r="A320">
        <v>2028</v>
      </c>
      <c r="B320" t="s">
        <v>12</v>
      </c>
      <c r="C320" t="s">
        <v>4</v>
      </c>
      <c r="D320" t="s">
        <v>18</v>
      </c>
      <c r="E320" t="s">
        <v>483</v>
      </c>
      <c r="F320" t="s">
        <v>86</v>
      </c>
      <c r="G320">
        <v>18935.44383590906</v>
      </c>
      <c r="H320">
        <v>162581</v>
      </c>
      <c r="I320">
        <v>113671.83433191929</v>
      </c>
      <c r="J320">
        <v>0</v>
      </c>
      <c r="K320">
        <v>0</v>
      </c>
      <c r="L320">
        <v>0.69917047091553897</v>
      </c>
    </row>
    <row r="321" spans="1:12" x14ac:dyDescent="0.35">
      <c r="A321">
        <v>2028</v>
      </c>
      <c r="B321" t="s">
        <v>12</v>
      </c>
      <c r="C321" t="s">
        <v>4</v>
      </c>
      <c r="D321" t="s">
        <v>18</v>
      </c>
      <c r="E321" t="s">
        <v>490</v>
      </c>
      <c r="F321" t="s">
        <v>82</v>
      </c>
      <c r="G321">
        <v>18935.44383590906</v>
      </c>
      <c r="H321">
        <v>162581</v>
      </c>
      <c r="I321">
        <v>113671.83433191929</v>
      </c>
      <c r="J321">
        <v>0</v>
      </c>
      <c r="K321">
        <v>0</v>
      </c>
      <c r="L321">
        <v>0.69917047091553897</v>
      </c>
    </row>
    <row r="322" spans="1:12" x14ac:dyDescent="0.35">
      <c r="A322">
        <v>2028</v>
      </c>
      <c r="B322" t="s">
        <v>12</v>
      </c>
      <c r="C322" t="s">
        <v>9</v>
      </c>
      <c r="D322" t="s">
        <v>16</v>
      </c>
      <c r="E322" t="s">
        <v>483</v>
      </c>
      <c r="F322" t="s">
        <v>80</v>
      </c>
      <c r="G322">
        <v>10755.25906669006</v>
      </c>
      <c r="H322">
        <v>0</v>
      </c>
      <c r="I322">
        <v>0</v>
      </c>
      <c r="J322">
        <v>15382.885167627899</v>
      </c>
      <c r="K322">
        <v>10755.25906669006</v>
      </c>
      <c r="L322">
        <v>0.69917047091553897</v>
      </c>
    </row>
    <row r="323" spans="1:12" x14ac:dyDescent="0.35">
      <c r="A323">
        <v>2028</v>
      </c>
      <c r="B323" t="s">
        <v>12</v>
      </c>
      <c r="C323" t="s">
        <v>9</v>
      </c>
      <c r="D323" t="s">
        <v>16</v>
      </c>
      <c r="E323" t="s">
        <v>483</v>
      </c>
      <c r="F323" t="s">
        <v>81</v>
      </c>
      <c r="G323">
        <v>10755.25906669006</v>
      </c>
      <c r="H323">
        <v>40292</v>
      </c>
      <c r="I323">
        <v>28170.9766141289</v>
      </c>
      <c r="J323">
        <v>0</v>
      </c>
      <c r="K323">
        <v>0</v>
      </c>
      <c r="L323">
        <v>0.69917047091553897</v>
      </c>
    </row>
    <row r="324" spans="1:12" x14ac:dyDescent="0.35">
      <c r="A324">
        <v>2028</v>
      </c>
      <c r="B324" t="s">
        <v>12</v>
      </c>
      <c r="C324" t="s">
        <v>9</v>
      </c>
      <c r="D324" t="s">
        <v>18</v>
      </c>
      <c r="E324" t="s">
        <v>483</v>
      </c>
      <c r="F324" t="s">
        <v>85</v>
      </c>
      <c r="G324">
        <v>10755.25906669006</v>
      </c>
      <c r="H324">
        <v>162581</v>
      </c>
      <c r="I324">
        <v>113671.83433191929</v>
      </c>
      <c r="J324">
        <v>0</v>
      </c>
      <c r="K324">
        <v>0</v>
      </c>
      <c r="L324">
        <v>0.69917047091553897</v>
      </c>
    </row>
    <row r="325" spans="1:12" x14ac:dyDescent="0.35">
      <c r="A325">
        <v>2028</v>
      </c>
      <c r="B325" t="s">
        <v>12</v>
      </c>
      <c r="C325" t="s">
        <v>9</v>
      </c>
      <c r="D325" t="s">
        <v>18</v>
      </c>
      <c r="E325" t="s">
        <v>483</v>
      </c>
      <c r="F325" t="s">
        <v>86</v>
      </c>
      <c r="G325">
        <v>10755.25906669006</v>
      </c>
      <c r="H325">
        <v>162581</v>
      </c>
      <c r="I325">
        <v>113671.83433191929</v>
      </c>
      <c r="J325">
        <v>0</v>
      </c>
      <c r="K325">
        <v>0</v>
      </c>
      <c r="L325">
        <v>0.69917047091553897</v>
      </c>
    </row>
    <row r="326" spans="1:12" x14ac:dyDescent="0.35">
      <c r="A326">
        <v>2028</v>
      </c>
      <c r="B326" t="s">
        <v>12</v>
      </c>
      <c r="C326" t="s">
        <v>9</v>
      </c>
      <c r="D326" t="s">
        <v>18</v>
      </c>
      <c r="E326" t="s">
        <v>490</v>
      </c>
      <c r="F326" t="s">
        <v>82</v>
      </c>
      <c r="G326">
        <v>10755.25906669006</v>
      </c>
      <c r="H326">
        <v>162581</v>
      </c>
      <c r="I326">
        <v>113671.83433191929</v>
      </c>
      <c r="J326">
        <v>0</v>
      </c>
      <c r="K326">
        <v>0</v>
      </c>
      <c r="L326">
        <v>0.69917047091553897</v>
      </c>
    </row>
    <row r="327" spans="1:12" x14ac:dyDescent="0.35">
      <c r="A327">
        <v>2028</v>
      </c>
      <c r="B327" t="s">
        <v>12</v>
      </c>
      <c r="C327" t="s">
        <v>10</v>
      </c>
      <c r="D327" t="s">
        <v>16</v>
      </c>
      <c r="E327" t="s">
        <v>483</v>
      </c>
      <c r="F327" t="s">
        <v>80</v>
      </c>
      <c r="G327">
        <v>18320.51139623878</v>
      </c>
      <c r="H327">
        <v>0</v>
      </c>
      <c r="I327">
        <v>0</v>
      </c>
      <c r="J327">
        <v>26203.211031279279</v>
      </c>
      <c r="K327">
        <v>18320.51139623878</v>
      </c>
      <c r="L327">
        <v>0.69917047091553897</v>
      </c>
    </row>
    <row r="328" spans="1:12" x14ac:dyDescent="0.35">
      <c r="A328">
        <v>2028</v>
      </c>
      <c r="B328" t="s">
        <v>12</v>
      </c>
      <c r="C328" t="s">
        <v>10</v>
      </c>
      <c r="D328" t="s">
        <v>16</v>
      </c>
      <c r="E328" t="s">
        <v>483</v>
      </c>
      <c r="F328" t="s">
        <v>81</v>
      </c>
      <c r="G328">
        <v>18320.51139623878</v>
      </c>
      <c r="H328">
        <v>40292</v>
      </c>
      <c r="I328">
        <v>28170.9766141289</v>
      </c>
      <c r="J328">
        <v>0</v>
      </c>
      <c r="K328">
        <v>0</v>
      </c>
      <c r="L328">
        <v>0.69917047091553897</v>
      </c>
    </row>
    <row r="329" spans="1:12" x14ac:dyDescent="0.35">
      <c r="A329">
        <v>2028</v>
      </c>
      <c r="B329" t="s">
        <v>12</v>
      </c>
      <c r="C329" t="s">
        <v>10</v>
      </c>
      <c r="D329" t="s">
        <v>18</v>
      </c>
      <c r="E329" t="s">
        <v>483</v>
      </c>
      <c r="F329" t="s">
        <v>85</v>
      </c>
      <c r="G329">
        <v>18320.51139623878</v>
      </c>
      <c r="H329">
        <v>162581</v>
      </c>
      <c r="I329">
        <v>113671.83433191929</v>
      </c>
      <c r="J329">
        <v>0</v>
      </c>
      <c r="K329">
        <v>0</v>
      </c>
      <c r="L329">
        <v>0.69917047091553897</v>
      </c>
    </row>
    <row r="330" spans="1:12" x14ac:dyDescent="0.35">
      <c r="A330">
        <v>2028</v>
      </c>
      <c r="B330" t="s">
        <v>12</v>
      </c>
      <c r="C330" t="s">
        <v>10</v>
      </c>
      <c r="D330" t="s">
        <v>18</v>
      </c>
      <c r="E330" t="s">
        <v>483</v>
      </c>
      <c r="F330" t="s">
        <v>86</v>
      </c>
      <c r="G330">
        <v>18320.51139623878</v>
      </c>
      <c r="H330">
        <v>162581</v>
      </c>
      <c r="I330">
        <v>113671.83433191929</v>
      </c>
      <c r="J330">
        <v>0</v>
      </c>
      <c r="K330">
        <v>0</v>
      </c>
      <c r="L330">
        <v>0.69917047091553897</v>
      </c>
    </row>
    <row r="331" spans="1:12" x14ac:dyDescent="0.35">
      <c r="A331">
        <v>2028</v>
      </c>
      <c r="B331" t="s">
        <v>12</v>
      </c>
      <c r="C331" t="s">
        <v>10</v>
      </c>
      <c r="D331" t="s">
        <v>18</v>
      </c>
      <c r="E331" t="s">
        <v>490</v>
      </c>
      <c r="F331" t="s">
        <v>82</v>
      </c>
      <c r="G331">
        <v>18320.51139623878</v>
      </c>
      <c r="H331">
        <v>162581</v>
      </c>
      <c r="I331">
        <v>113671.83433191929</v>
      </c>
      <c r="J331">
        <v>0</v>
      </c>
      <c r="K331">
        <v>0</v>
      </c>
      <c r="L331">
        <v>0.69917047091553897</v>
      </c>
    </row>
    <row r="332" spans="1:12" x14ac:dyDescent="0.35">
      <c r="A332">
        <v>2028</v>
      </c>
      <c r="B332" t="s">
        <v>11</v>
      </c>
      <c r="C332" t="s">
        <v>4</v>
      </c>
      <c r="D332" t="s">
        <v>16</v>
      </c>
      <c r="E332" t="s">
        <v>483</v>
      </c>
      <c r="F332" t="s">
        <v>80</v>
      </c>
      <c r="G332">
        <v>1263.9158077811819</v>
      </c>
      <c r="H332">
        <v>0</v>
      </c>
      <c r="I332">
        <v>0</v>
      </c>
      <c r="J332">
        <v>2111.6509219110799</v>
      </c>
      <c r="K332">
        <v>1263.9158077811819</v>
      </c>
      <c r="L332">
        <v>0.59854391398996798</v>
      </c>
    </row>
    <row r="333" spans="1:12" x14ac:dyDescent="0.35">
      <c r="A333">
        <v>2028</v>
      </c>
      <c r="B333" t="s">
        <v>11</v>
      </c>
      <c r="C333" t="s">
        <v>4</v>
      </c>
      <c r="D333" t="s">
        <v>16</v>
      </c>
      <c r="E333" t="s">
        <v>483</v>
      </c>
      <c r="F333" t="s">
        <v>81</v>
      </c>
      <c r="G333">
        <v>1263.9158077811819</v>
      </c>
      <c r="H333">
        <v>0</v>
      </c>
      <c r="I333">
        <v>0</v>
      </c>
      <c r="J333">
        <v>2111.6509219110799</v>
      </c>
      <c r="K333">
        <v>1263.9158077811819</v>
      </c>
      <c r="L333">
        <v>0.59854391398996798</v>
      </c>
    </row>
    <row r="334" spans="1:12" x14ac:dyDescent="0.35">
      <c r="A334">
        <v>2028</v>
      </c>
      <c r="B334" t="s">
        <v>11</v>
      </c>
      <c r="C334" t="s">
        <v>4</v>
      </c>
      <c r="D334" t="s">
        <v>18</v>
      </c>
      <c r="E334" t="s">
        <v>483</v>
      </c>
      <c r="F334" t="s">
        <v>85</v>
      </c>
      <c r="G334">
        <v>1263.9158077811819</v>
      </c>
      <c r="H334">
        <v>7.5582684386625987</v>
      </c>
      <c r="I334">
        <v>4.5239555742639546</v>
      </c>
      <c r="J334">
        <v>2104.0926534724172</v>
      </c>
      <c r="K334">
        <v>1259.391852206918</v>
      </c>
      <c r="L334">
        <v>0.59854391398996798</v>
      </c>
    </row>
    <row r="335" spans="1:12" x14ac:dyDescent="0.35">
      <c r="A335">
        <v>2028</v>
      </c>
      <c r="B335" t="s">
        <v>11</v>
      </c>
      <c r="C335" t="s">
        <v>4</v>
      </c>
      <c r="D335" t="s">
        <v>18</v>
      </c>
      <c r="E335" t="s">
        <v>483</v>
      </c>
      <c r="F335" t="s">
        <v>86</v>
      </c>
      <c r="G335">
        <v>1263.9158077811819</v>
      </c>
      <c r="H335">
        <v>7.5582684386625987</v>
      </c>
      <c r="I335">
        <v>4.5239555742639546</v>
      </c>
      <c r="J335">
        <v>2104.0926534724172</v>
      </c>
      <c r="K335">
        <v>1259.391852206918</v>
      </c>
      <c r="L335">
        <v>0.59854391398996798</v>
      </c>
    </row>
    <row r="336" spans="1:12" x14ac:dyDescent="0.35">
      <c r="A336">
        <v>2028</v>
      </c>
      <c r="B336" t="s">
        <v>11</v>
      </c>
      <c r="C336" t="s">
        <v>4</v>
      </c>
      <c r="D336" t="s">
        <v>18</v>
      </c>
      <c r="E336" t="s">
        <v>490</v>
      </c>
      <c r="F336" t="s">
        <v>82</v>
      </c>
      <c r="G336">
        <v>1263.9158077811819</v>
      </c>
      <c r="H336">
        <v>7.5582684386625987</v>
      </c>
      <c r="I336">
        <v>4.5239555742639546</v>
      </c>
      <c r="J336">
        <v>2104.0926534724172</v>
      </c>
      <c r="K336">
        <v>1259.391852206918</v>
      </c>
      <c r="L336">
        <v>0.59854391398996798</v>
      </c>
    </row>
    <row r="337" spans="1:12" x14ac:dyDescent="0.35">
      <c r="A337">
        <v>2028</v>
      </c>
      <c r="B337" t="s">
        <v>11</v>
      </c>
      <c r="C337" t="s">
        <v>9</v>
      </c>
      <c r="D337" t="s">
        <v>16</v>
      </c>
      <c r="E337" t="s">
        <v>483</v>
      </c>
      <c r="F337" t="s">
        <v>80</v>
      </c>
      <c r="G337">
        <v>617.02318900867328</v>
      </c>
      <c r="H337">
        <v>0</v>
      </c>
      <c r="I337">
        <v>0</v>
      </c>
      <c r="J337">
        <v>1030.8737163419139</v>
      </c>
      <c r="K337">
        <v>617.02318900867328</v>
      </c>
      <c r="L337">
        <v>0.59854391398996798</v>
      </c>
    </row>
    <row r="338" spans="1:12" x14ac:dyDescent="0.35">
      <c r="A338">
        <v>2028</v>
      </c>
      <c r="B338" t="s">
        <v>11</v>
      </c>
      <c r="C338" t="s">
        <v>9</v>
      </c>
      <c r="D338" t="s">
        <v>16</v>
      </c>
      <c r="E338" t="s">
        <v>483</v>
      </c>
      <c r="F338" t="s">
        <v>81</v>
      </c>
      <c r="G338">
        <v>617.02318900867328</v>
      </c>
      <c r="H338">
        <v>0</v>
      </c>
      <c r="I338">
        <v>0</v>
      </c>
      <c r="J338">
        <v>1030.8737163419139</v>
      </c>
      <c r="K338">
        <v>617.02318900867328</v>
      </c>
      <c r="L338">
        <v>0.59854391398996798</v>
      </c>
    </row>
    <row r="339" spans="1:12" x14ac:dyDescent="0.35">
      <c r="A339">
        <v>2028</v>
      </c>
      <c r="B339" t="s">
        <v>11</v>
      </c>
      <c r="C339" t="s">
        <v>9</v>
      </c>
      <c r="D339" t="s">
        <v>18</v>
      </c>
      <c r="E339" t="s">
        <v>483</v>
      </c>
      <c r="F339" t="s">
        <v>85</v>
      </c>
      <c r="G339">
        <v>617.02318900867328</v>
      </c>
      <c r="H339">
        <v>7.5582684386625987</v>
      </c>
      <c r="I339">
        <v>4.5239555742639546</v>
      </c>
      <c r="J339">
        <v>1023.315447903252</v>
      </c>
      <c r="K339">
        <v>612.49923343440935</v>
      </c>
      <c r="L339">
        <v>0.59854391398996798</v>
      </c>
    </row>
    <row r="340" spans="1:12" x14ac:dyDescent="0.35">
      <c r="A340">
        <v>2028</v>
      </c>
      <c r="B340" t="s">
        <v>11</v>
      </c>
      <c r="C340" t="s">
        <v>9</v>
      </c>
      <c r="D340" t="s">
        <v>18</v>
      </c>
      <c r="E340" t="s">
        <v>483</v>
      </c>
      <c r="F340" t="s">
        <v>86</v>
      </c>
      <c r="G340">
        <v>617.02318900867328</v>
      </c>
      <c r="H340">
        <v>7.5582684386625987</v>
      </c>
      <c r="I340">
        <v>4.5239555742639546</v>
      </c>
      <c r="J340">
        <v>1023.315447903252</v>
      </c>
      <c r="K340">
        <v>612.49923343440935</v>
      </c>
      <c r="L340">
        <v>0.59854391398996798</v>
      </c>
    </row>
    <row r="341" spans="1:12" x14ac:dyDescent="0.35">
      <c r="A341">
        <v>2028</v>
      </c>
      <c r="B341" t="s">
        <v>11</v>
      </c>
      <c r="C341" t="s">
        <v>9</v>
      </c>
      <c r="D341" t="s">
        <v>18</v>
      </c>
      <c r="E341" t="s">
        <v>490</v>
      </c>
      <c r="F341" t="s">
        <v>82</v>
      </c>
      <c r="G341">
        <v>617.02318900867328</v>
      </c>
      <c r="H341">
        <v>7.5582684386625987</v>
      </c>
      <c r="I341">
        <v>4.5239555742639546</v>
      </c>
      <c r="J341">
        <v>1023.315447903252</v>
      </c>
      <c r="K341">
        <v>612.49923343440935</v>
      </c>
      <c r="L341">
        <v>0.59854391398996798</v>
      </c>
    </row>
    <row r="342" spans="1:12" x14ac:dyDescent="0.35">
      <c r="A342">
        <v>2028</v>
      </c>
      <c r="B342" t="s">
        <v>11</v>
      </c>
      <c r="C342" t="s">
        <v>10</v>
      </c>
      <c r="D342" t="s">
        <v>16</v>
      </c>
      <c r="E342" t="s">
        <v>483</v>
      </c>
      <c r="F342" t="s">
        <v>80</v>
      </c>
      <c r="G342">
        <v>1228.637478119615</v>
      </c>
      <c r="H342">
        <v>0</v>
      </c>
      <c r="I342">
        <v>0</v>
      </c>
      <c r="J342">
        <v>2052.710669012346</v>
      </c>
      <c r="K342">
        <v>1228.637478119615</v>
      </c>
      <c r="L342">
        <v>0.59854391398996798</v>
      </c>
    </row>
    <row r="343" spans="1:12" x14ac:dyDescent="0.35">
      <c r="A343">
        <v>2028</v>
      </c>
      <c r="B343" t="s">
        <v>11</v>
      </c>
      <c r="C343" t="s">
        <v>10</v>
      </c>
      <c r="D343" t="s">
        <v>16</v>
      </c>
      <c r="E343" t="s">
        <v>483</v>
      </c>
      <c r="F343" t="s">
        <v>81</v>
      </c>
      <c r="G343">
        <v>1228.637478119615</v>
      </c>
      <c r="H343">
        <v>0</v>
      </c>
      <c r="I343">
        <v>0</v>
      </c>
      <c r="J343">
        <v>2052.710669012346</v>
      </c>
      <c r="K343">
        <v>1228.637478119615</v>
      </c>
      <c r="L343">
        <v>0.59854391398996798</v>
      </c>
    </row>
    <row r="344" spans="1:12" x14ac:dyDescent="0.35">
      <c r="A344">
        <v>2028</v>
      </c>
      <c r="B344" t="s">
        <v>11</v>
      </c>
      <c r="C344" t="s">
        <v>10</v>
      </c>
      <c r="D344" t="s">
        <v>18</v>
      </c>
      <c r="E344" t="s">
        <v>483</v>
      </c>
      <c r="F344" t="s">
        <v>85</v>
      </c>
      <c r="G344">
        <v>1228.637478119615</v>
      </c>
      <c r="H344">
        <v>7.5582684386625987</v>
      </c>
      <c r="I344">
        <v>4.5239555742639546</v>
      </c>
      <c r="J344">
        <v>2045.1524005736831</v>
      </c>
      <c r="K344">
        <v>1224.1135225453511</v>
      </c>
      <c r="L344">
        <v>0.59854391398996798</v>
      </c>
    </row>
    <row r="345" spans="1:12" x14ac:dyDescent="0.35">
      <c r="A345">
        <v>2028</v>
      </c>
      <c r="B345" t="s">
        <v>11</v>
      </c>
      <c r="C345" t="s">
        <v>10</v>
      </c>
      <c r="D345" t="s">
        <v>18</v>
      </c>
      <c r="E345" t="s">
        <v>483</v>
      </c>
      <c r="F345" t="s">
        <v>86</v>
      </c>
      <c r="G345">
        <v>1228.637478119615</v>
      </c>
      <c r="H345">
        <v>7.5582684386625987</v>
      </c>
      <c r="I345">
        <v>4.5239555742639546</v>
      </c>
      <c r="J345">
        <v>2045.1524005736831</v>
      </c>
      <c r="K345">
        <v>1224.1135225453511</v>
      </c>
      <c r="L345">
        <v>0.59854391398996798</v>
      </c>
    </row>
    <row r="346" spans="1:12" x14ac:dyDescent="0.35">
      <c r="A346">
        <v>2028</v>
      </c>
      <c r="B346" t="s">
        <v>11</v>
      </c>
      <c r="C346" t="s">
        <v>10</v>
      </c>
      <c r="D346" t="s">
        <v>18</v>
      </c>
      <c r="E346" t="s">
        <v>490</v>
      </c>
      <c r="F346" t="s">
        <v>82</v>
      </c>
      <c r="G346">
        <v>1228.637478119615</v>
      </c>
      <c r="H346">
        <v>7.5582684386625987</v>
      </c>
      <c r="I346">
        <v>4.5239555742639546</v>
      </c>
      <c r="J346">
        <v>2045.1524005736831</v>
      </c>
      <c r="K346">
        <v>1224.1135225453511</v>
      </c>
      <c r="L346">
        <v>0.59854391398996798</v>
      </c>
    </row>
    <row r="347" spans="1:12" x14ac:dyDescent="0.35">
      <c r="A347">
        <v>2028</v>
      </c>
      <c r="B347" t="s">
        <v>8</v>
      </c>
      <c r="C347" t="s">
        <v>4</v>
      </c>
      <c r="D347" t="s">
        <v>16</v>
      </c>
      <c r="E347" t="s">
        <v>483</v>
      </c>
      <c r="F347" t="s">
        <v>80</v>
      </c>
      <c r="G347">
        <v>51389.307268411161</v>
      </c>
      <c r="H347">
        <v>0</v>
      </c>
      <c r="I347">
        <v>0</v>
      </c>
      <c r="J347">
        <v>65251.706196362487</v>
      </c>
      <c r="K347">
        <v>51389.307268411161</v>
      </c>
      <c r="L347">
        <v>0.787554996857322</v>
      </c>
    </row>
    <row r="348" spans="1:12" x14ac:dyDescent="0.35">
      <c r="A348">
        <v>2028</v>
      </c>
      <c r="B348" t="s">
        <v>8</v>
      </c>
      <c r="C348" t="s">
        <v>4</v>
      </c>
      <c r="D348" t="s">
        <v>16</v>
      </c>
      <c r="E348" t="s">
        <v>483</v>
      </c>
      <c r="F348" t="s">
        <v>81</v>
      </c>
      <c r="G348">
        <v>51389.307268411161</v>
      </c>
      <c r="H348">
        <v>154764</v>
      </c>
      <c r="I348">
        <v>86804.038957444558</v>
      </c>
      <c r="J348">
        <v>0</v>
      </c>
      <c r="K348">
        <v>0</v>
      </c>
      <c r="L348">
        <v>0.787554996857322</v>
      </c>
    </row>
    <row r="349" spans="1:12" x14ac:dyDescent="0.35">
      <c r="A349">
        <v>2028</v>
      </c>
      <c r="B349" t="s">
        <v>8</v>
      </c>
      <c r="C349" t="s">
        <v>4</v>
      </c>
      <c r="D349" t="s">
        <v>18</v>
      </c>
      <c r="E349" t="s">
        <v>483</v>
      </c>
      <c r="F349" t="s">
        <v>85</v>
      </c>
      <c r="G349">
        <v>51389.307268411161</v>
      </c>
      <c r="H349">
        <v>210047</v>
      </c>
      <c r="I349">
        <v>117811.1703683955</v>
      </c>
      <c r="J349">
        <v>0</v>
      </c>
      <c r="K349">
        <v>0</v>
      </c>
      <c r="L349">
        <v>0.787554996857322</v>
      </c>
    </row>
    <row r="350" spans="1:12" x14ac:dyDescent="0.35">
      <c r="A350">
        <v>2028</v>
      </c>
      <c r="B350" t="s">
        <v>8</v>
      </c>
      <c r="C350" t="s">
        <v>4</v>
      </c>
      <c r="D350" t="s">
        <v>18</v>
      </c>
      <c r="E350" t="s">
        <v>483</v>
      </c>
      <c r="F350" t="s">
        <v>86</v>
      </c>
      <c r="G350">
        <v>51389.307268411161</v>
      </c>
      <c r="H350">
        <v>210047</v>
      </c>
      <c r="I350">
        <v>117811.1703683955</v>
      </c>
      <c r="J350">
        <v>0</v>
      </c>
      <c r="K350">
        <v>0</v>
      </c>
      <c r="L350">
        <v>0.787554996857322</v>
      </c>
    </row>
    <row r="351" spans="1:12" x14ac:dyDescent="0.35">
      <c r="A351">
        <v>2028</v>
      </c>
      <c r="B351" t="s">
        <v>8</v>
      </c>
      <c r="C351" t="s">
        <v>4</v>
      </c>
      <c r="D351" t="s">
        <v>18</v>
      </c>
      <c r="E351" t="s">
        <v>490</v>
      </c>
      <c r="F351" t="s">
        <v>82</v>
      </c>
      <c r="G351">
        <v>51389.307268411161</v>
      </c>
      <c r="H351">
        <v>210047</v>
      </c>
      <c r="I351">
        <v>165423.56442489001</v>
      </c>
      <c r="J351">
        <v>0</v>
      </c>
      <c r="K351">
        <v>0</v>
      </c>
      <c r="L351">
        <v>0.787554996857322</v>
      </c>
    </row>
    <row r="352" spans="1:12" x14ac:dyDescent="0.35">
      <c r="A352">
        <v>2028</v>
      </c>
      <c r="B352" t="s">
        <v>8</v>
      </c>
      <c r="C352" t="s">
        <v>9</v>
      </c>
      <c r="D352" t="s">
        <v>16</v>
      </c>
      <c r="E352" t="s">
        <v>483</v>
      </c>
      <c r="F352" t="s">
        <v>80</v>
      </c>
      <c r="G352">
        <v>32884.415205425117</v>
      </c>
      <c r="H352">
        <v>0</v>
      </c>
      <c r="I352">
        <v>0</v>
      </c>
      <c r="J352">
        <v>41755.07150186065</v>
      </c>
      <c r="K352">
        <v>32884.415205425117</v>
      </c>
      <c r="L352">
        <v>0.787554996857322</v>
      </c>
    </row>
    <row r="353" spans="1:12" x14ac:dyDescent="0.35">
      <c r="A353">
        <v>2028</v>
      </c>
      <c r="B353" t="s">
        <v>8</v>
      </c>
      <c r="C353" t="s">
        <v>9</v>
      </c>
      <c r="D353" t="s">
        <v>16</v>
      </c>
      <c r="E353" t="s">
        <v>483</v>
      </c>
      <c r="F353" t="s">
        <v>81</v>
      </c>
      <c r="G353">
        <v>32884.415205425117</v>
      </c>
      <c r="H353">
        <v>154764</v>
      </c>
      <c r="I353">
        <v>86804.038957444558</v>
      </c>
      <c r="J353">
        <v>0</v>
      </c>
      <c r="K353">
        <v>0</v>
      </c>
      <c r="L353">
        <v>0.787554996857322</v>
      </c>
    </row>
    <row r="354" spans="1:12" x14ac:dyDescent="0.35">
      <c r="A354">
        <v>2028</v>
      </c>
      <c r="B354" t="s">
        <v>8</v>
      </c>
      <c r="C354" t="s">
        <v>9</v>
      </c>
      <c r="D354" t="s">
        <v>18</v>
      </c>
      <c r="E354" t="s">
        <v>483</v>
      </c>
      <c r="F354" t="s">
        <v>85</v>
      </c>
      <c r="G354">
        <v>32884.415205425117</v>
      </c>
      <c r="H354">
        <v>210047</v>
      </c>
      <c r="I354">
        <v>117811.1703683955</v>
      </c>
      <c r="J354">
        <v>0</v>
      </c>
      <c r="K354">
        <v>0</v>
      </c>
      <c r="L354">
        <v>0.787554996857322</v>
      </c>
    </row>
    <row r="355" spans="1:12" x14ac:dyDescent="0.35">
      <c r="A355">
        <v>2028</v>
      </c>
      <c r="B355" t="s">
        <v>8</v>
      </c>
      <c r="C355" t="s">
        <v>9</v>
      </c>
      <c r="D355" t="s">
        <v>18</v>
      </c>
      <c r="E355" t="s">
        <v>483</v>
      </c>
      <c r="F355" t="s">
        <v>86</v>
      </c>
      <c r="G355">
        <v>32884.415205425117</v>
      </c>
      <c r="H355">
        <v>210047</v>
      </c>
      <c r="I355">
        <v>117811.1703683955</v>
      </c>
      <c r="J355">
        <v>0</v>
      </c>
      <c r="K355">
        <v>0</v>
      </c>
      <c r="L355">
        <v>0.787554996857322</v>
      </c>
    </row>
    <row r="356" spans="1:12" x14ac:dyDescent="0.35">
      <c r="A356">
        <v>2028</v>
      </c>
      <c r="B356" t="s">
        <v>8</v>
      </c>
      <c r="C356" t="s">
        <v>9</v>
      </c>
      <c r="D356" t="s">
        <v>18</v>
      </c>
      <c r="E356" t="s">
        <v>490</v>
      </c>
      <c r="F356" t="s">
        <v>82</v>
      </c>
      <c r="G356">
        <v>32884.415205425117</v>
      </c>
      <c r="H356">
        <v>210047</v>
      </c>
      <c r="I356">
        <v>165423.56442489001</v>
      </c>
      <c r="J356">
        <v>0</v>
      </c>
      <c r="K356">
        <v>0</v>
      </c>
      <c r="L356">
        <v>0.787554996857322</v>
      </c>
    </row>
    <row r="357" spans="1:12" x14ac:dyDescent="0.35">
      <c r="A357">
        <v>2028</v>
      </c>
      <c r="B357" t="s">
        <v>8</v>
      </c>
      <c r="C357" t="s">
        <v>10</v>
      </c>
      <c r="D357" t="s">
        <v>16</v>
      </c>
      <c r="E357" t="s">
        <v>483</v>
      </c>
      <c r="F357" t="s">
        <v>80</v>
      </c>
      <c r="G357">
        <v>49184.449113354851</v>
      </c>
      <c r="H357">
        <v>0</v>
      </c>
      <c r="I357">
        <v>0</v>
      </c>
      <c r="J357">
        <v>62452.081835073906</v>
      </c>
      <c r="K357">
        <v>49184.449113354851</v>
      </c>
      <c r="L357">
        <v>0.787554996857322</v>
      </c>
    </row>
    <row r="358" spans="1:12" x14ac:dyDescent="0.35">
      <c r="A358">
        <v>2028</v>
      </c>
      <c r="B358" t="s">
        <v>8</v>
      </c>
      <c r="C358" t="s">
        <v>10</v>
      </c>
      <c r="D358" t="s">
        <v>16</v>
      </c>
      <c r="E358" t="s">
        <v>483</v>
      </c>
      <c r="F358" t="s">
        <v>81</v>
      </c>
      <c r="G358">
        <v>49184.449113354851</v>
      </c>
      <c r="H358">
        <v>154764</v>
      </c>
      <c r="I358">
        <v>86804.038957444558</v>
      </c>
      <c r="J358">
        <v>0</v>
      </c>
      <c r="K358">
        <v>0</v>
      </c>
      <c r="L358">
        <v>0.787554996857322</v>
      </c>
    </row>
    <row r="359" spans="1:12" x14ac:dyDescent="0.35">
      <c r="A359">
        <v>2028</v>
      </c>
      <c r="B359" t="s">
        <v>8</v>
      </c>
      <c r="C359" t="s">
        <v>10</v>
      </c>
      <c r="D359" t="s">
        <v>18</v>
      </c>
      <c r="E359" t="s">
        <v>483</v>
      </c>
      <c r="F359" t="s">
        <v>85</v>
      </c>
      <c r="G359">
        <v>49184.449113354851</v>
      </c>
      <c r="H359">
        <v>210047</v>
      </c>
      <c r="I359">
        <v>117811.1703683955</v>
      </c>
      <c r="J359">
        <v>0</v>
      </c>
      <c r="K359">
        <v>0</v>
      </c>
      <c r="L359">
        <v>0.787554996857322</v>
      </c>
    </row>
    <row r="360" spans="1:12" x14ac:dyDescent="0.35">
      <c r="A360">
        <v>2028</v>
      </c>
      <c r="B360" t="s">
        <v>8</v>
      </c>
      <c r="C360" t="s">
        <v>10</v>
      </c>
      <c r="D360" t="s">
        <v>18</v>
      </c>
      <c r="E360" t="s">
        <v>483</v>
      </c>
      <c r="F360" t="s">
        <v>86</v>
      </c>
      <c r="G360">
        <v>49184.449113354851</v>
      </c>
      <c r="H360">
        <v>210047</v>
      </c>
      <c r="I360">
        <v>117811.1703683955</v>
      </c>
      <c r="J360">
        <v>0</v>
      </c>
      <c r="K360">
        <v>0</v>
      </c>
      <c r="L360">
        <v>0.787554996857322</v>
      </c>
    </row>
    <row r="361" spans="1:12" x14ac:dyDescent="0.35">
      <c r="A361">
        <v>2028</v>
      </c>
      <c r="B361" t="s">
        <v>8</v>
      </c>
      <c r="C361" t="s">
        <v>10</v>
      </c>
      <c r="D361" t="s">
        <v>18</v>
      </c>
      <c r="E361" t="s">
        <v>490</v>
      </c>
      <c r="F361" t="s">
        <v>82</v>
      </c>
      <c r="G361">
        <v>49184.449113354851</v>
      </c>
      <c r="H361">
        <v>210047</v>
      </c>
      <c r="I361">
        <v>165423.56442489001</v>
      </c>
      <c r="J361">
        <v>0</v>
      </c>
      <c r="K361">
        <v>0</v>
      </c>
      <c r="L361">
        <v>0.787554996857322</v>
      </c>
    </row>
    <row r="362" spans="1:12" x14ac:dyDescent="0.35">
      <c r="A362">
        <v>2029</v>
      </c>
      <c r="B362" t="s">
        <v>6</v>
      </c>
      <c r="C362" t="s">
        <v>4</v>
      </c>
      <c r="D362" t="s">
        <v>16</v>
      </c>
      <c r="E362" t="s">
        <v>483</v>
      </c>
      <c r="F362" t="s">
        <v>80</v>
      </c>
      <c r="G362">
        <v>45543.6522807039</v>
      </c>
      <c r="H362">
        <v>0</v>
      </c>
      <c r="I362">
        <v>0</v>
      </c>
      <c r="J362">
        <v>103662.2471590058</v>
      </c>
      <c r="K362">
        <v>45543.6522807039</v>
      </c>
      <c r="L362">
        <v>0.439346565686978</v>
      </c>
    </row>
    <row r="363" spans="1:12" x14ac:dyDescent="0.35">
      <c r="A363">
        <v>2029</v>
      </c>
      <c r="B363" t="s">
        <v>6</v>
      </c>
      <c r="C363" t="s">
        <v>4</v>
      </c>
      <c r="D363" t="s">
        <v>16</v>
      </c>
      <c r="E363" t="s">
        <v>483</v>
      </c>
      <c r="F363" t="s">
        <v>81</v>
      </c>
      <c r="G363">
        <v>45543.6522807039</v>
      </c>
      <c r="H363">
        <v>3861</v>
      </c>
      <c r="I363">
        <v>1637.7660393504759</v>
      </c>
      <c r="J363">
        <v>99801.247159005827</v>
      </c>
      <c r="K363">
        <v>43905.886241353423</v>
      </c>
      <c r="L363">
        <v>0.439346565686978</v>
      </c>
    </row>
    <row r="364" spans="1:12" x14ac:dyDescent="0.35">
      <c r="A364">
        <v>2029</v>
      </c>
      <c r="B364" t="s">
        <v>6</v>
      </c>
      <c r="C364" t="s">
        <v>4</v>
      </c>
      <c r="D364" t="s">
        <v>18</v>
      </c>
      <c r="E364" t="s">
        <v>483</v>
      </c>
      <c r="F364" t="s">
        <v>85</v>
      </c>
      <c r="G364">
        <v>45543.6522807039</v>
      </c>
      <c r="H364">
        <v>6719.1794773198644</v>
      </c>
      <c r="I364">
        <v>2850.1538358599209</v>
      </c>
      <c r="J364">
        <v>96943.067681685963</v>
      </c>
      <c r="K364">
        <v>42693.498444843979</v>
      </c>
      <c r="L364">
        <v>0.439346565686978</v>
      </c>
    </row>
    <row r="365" spans="1:12" x14ac:dyDescent="0.35">
      <c r="A365">
        <v>2029</v>
      </c>
      <c r="B365" t="s">
        <v>6</v>
      </c>
      <c r="C365" t="s">
        <v>4</v>
      </c>
      <c r="D365" t="s">
        <v>18</v>
      </c>
      <c r="E365" t="s">
        <v>483</v>
      </c>
      <c r="F365" t="s">
        <v>86</v>
      </c>
      <c r="G365">
        <v>45543.6522807039</v>
      </c>
      <c r="H365">
        <v>6719.1794773198644</v>
      </c>
      <c r="I365">
        <v>2850.1538358599209</v>
      </c>
      <c r="J365">
        <v>96943.067681685963</v>
      </c>
      <c r="K365">
        <v>42693.498444843979</v>
      </c>
      <c r="L365">
        <v>0.439346565686978</v>
      </c>
    </row>
    <row r="366" spans="1:12" x14ac:dyDescent="0.35">
      <c r="A366">
        <v>2029</v>
      </c>
      <c r="B366" t="s">
        <v>6</v>
      </c>
      <c r="C366" t="s">
        <v>4</v>
      </c>
      <c r="D366" t="s">
        <v>18</v>
      </c>
      <c r="E366" t="s">
        <v>490</v>
      </c>
      <c r="F366" t="s">
        <v>82</v>
      </c>
      <c r="G366">
        <v>45543.6522807039</v>
      </c>
      <c r="H366">
        <v>6719.1794773198644</v>
      </c>
      <c r="I366">
        <v>2952.0484275949088</v>
      </c>
      <c r="J366">
        <v>96943.067681685963</v>
      </c>
      <c r="K366">
        <v>42591.603853108987</v>
      </c>
      <c r="L366">
        <v>0.439346565686978</v>
      </c>
    </row>
    <row r="367" spans="1:12" x14ac:dyDescent="0.35">
      <c r="A367">
        <v>2029</v>
      </c>
      <c r="B367" t="s">
        <v>6</v>
      </c>
      <c r="C367" t="s">
        <v>9</v>
      </c>
      <c r="D367" t="s">
        <v>16</v>
      </c>
      <c r="E367" t="s">
        <v>483</v>
      </c>
      <c r="F367" t="s">
        <v>80</v>
      </c>
      <c r="G367">
        <v>23796.365693498821</v>
      </c>
      <c r="H367">
        <v>0</v>
      </c>
      <c r="I367">
        <v>0</v>
      </c>
      <c r="J367">
        <v>54163.085709546787</v>
      </c>
      <c r="K367">
        <v>23796.365693498821</v>
      </c>
      <c r="L367">
        <v>0.439346565686978</v>
      </c>
    </row>
    <row r="368" spans="1:12" x14ac:dyDescent="0.35">
      <c r="A368">
        <v>2029</v>
      </c>
      <c r="B368" t="s">
        <v>6</v>
      </c>
      <c r="C368" t="s">
        <v>9</v>
      </c>
      <c r="D368" t="s">
        <v>16</v>
      </c>
      <c r="E368" t="s">
        <v>483</v>
      </c>
      <c r="F368" t="s">
        <v>81</v>
      </c>
      <c r="G368">
        <v>23796.365693498821</v>
      </c>
      <c r="H368">
        <v>3861</v>
      </c>
      <c r="I368">
        <v>1637.7660393504759</v>
      </c>
      <c r="J368">
        <v>50302.085709546787</v>
      </c>
      <c r="K368">
        <v>22158.59965414834</v>
      </c>
      <c r="L368">
        <v>0.439346565686978</v>
      </c>
    </row>
    <row r="369" spans="1:12" x14ac:dyDescent="0.35">
      <c r="A369">
        <v>2029</v>
      </c>
      <c r="B369" t="s">
        <v>6</v>
      </c>
      <c r="C369" t="s">
        <v>9</v>
      </c>
      <c r="D369" t="s">
        <v>18</v>
      </c>
      <c r="E369" t="s">
        <v>483</v>
      </c>
      <c r="F369" t="s">
        <v>85</v>
      </c>
      <c r="G369">
        <v>23796.365693498821</v>
      </c>
      <c r="H369">
        <v>6719.1794773198644</v>
      </c>
      <c r="I369">
        <v>2850.1538358599209</v>
      </c>
      <c r="J369">
        <v>47443.906232226931</v>
      </c>
      <c r="K369">
        <v>20946.2118576389</v>
      </c>
      <c r="L369">
        <v>0.439346565686978</v>
      </c>
    </row>
    <row r="370" spans="1:12" x14ac:dyDescent="0.35">
      <c r="A370">
        <v>2029</v>
      </c>
      <c r="B370" t="s">
        <v>6</v>
      </c>
      <c r="C370" t="s">
        <v>9</v>
      </c>
      <c r="D370" t="s">
        <v>18</v>
      </c>
      <c r="E370" t="s">
        <v>483</v>
      </c>
      <c r="F370" t="s">
        <v>86</v>
      </c>
      <c r="G370">
        <v>23796.365693498821</v>
      </c>
      <c r="H370">
        <v>6719.1794773198644</v>
      </c>
      <c r="I370">
        <v>2850.1538358599209</v>
      </c>
      <c r="J370">
        <v>47443.906232226931</v>
      </c>
      <c r="K370">
        <v>20946.2118576389</v>
      </c>
      <c r="L370">
        <v>0.439346565686978</v>
      </c>
    </row>
    <row r="371" spans="1:12" x14ac:dyDescent="0.35">
      <c r="A371">
        <v>2029</v>
      </c>
      <c r="B371" t="s">
        <v>6</v>
      </c>
      <c r="C371" t="s">
        <v>9</v>
      </c>
      <c r="D371" t="s">
        <v>18</v>
      </c>
      <c r="E371" t="s">
        <v>490</v>
      </c>
      <c r="F371" t="s">
        <v>82</v>
      </c>
      <c r="G371">
        <v>23796.365693498821</v>
      </c>
      <c r="H371">
        <v>6719.1794773198644</v>
      </c>
      <c r="I371">
        <v>2952.0484275949088</v>
      </c>
      <c r="J371">
        <v>47443.906232226931</v>
      </c>
      <c r="K371">
        <v>20844.317265903908</v>
      </c>
      <c r="L371">
        <v>0.439346565686978</v>
      </c>
    </row>
    <row r="372" spans="1:12" x14ac:dyDescent="0.35">
      <c r="A372">
        <v>2029</v>
      </c>
      <c r="B372" t="s">
        <v>6</v>
      </c>
      <c r="C372" t="s">
        <v>10</v>
      </c>
      <c r="D372" t="s">
        <v>16</v>
      </c>
      <c r="E372" t="s">
        <v>483</v>
      </c>
      <c r="F372" t="s">
        <v>80</v>
      </c>
      <c r="G372">
        <v>43478.079891306123</v>
      </c>
      <c r="H372">
        <v>0</v>
      </c>
      <c r="I372">
        <v>0</v>
      </c>
      <c r="J372">
        <v>98960.782414043104</v>
      </c>
      <c r="K372">
        <v>43478.079891306123</v>
      </c>
      <c r="L372">
        <v>0.439346565686978</v>
      </c>
    </row>
    <row r="373" spans="1:12" x14ac:dyDescent="0.35">
      <c r="A373">
        <v>2029</v>
      </c>
      <c r="B373" t="s">
        <v>6</v>
      </c>
      <c r="C373" t="s">
        <v>10</v>
      </c>
      <c r="D373" t="s">
        <v>16</v>
      </c>
      <c r="E373" t="s">
        <v>483</v>
      </c>
      <c r="F373" t="s">
        <v>81</v>
      </c>
      <c r="G373">
        <v>43478.079891306123</v>
      </c>
      <c r="H373">
        <v>3861</v>
      </c>
      <c r="I373">
        <v>1637.7660393504759</v>
      </c>
      <c r="J373">
        <v>95099.782414043104</v>
      </c>
      <c r="K373">
        <v>41840.313851955652</v>
      </c>
      <c r="L373">
        <v>0.439346565686978</v>
      </c>
    </row>
    <row r="374" spans="1:12" x14ac:dyDescent="0.35">
      <c r="A374">
        <v>2029</v>
      </c>
      <c r="B374" t="s">
        <v>6</v>
      </c>
      <c r="C374" t="s">
        <v>10</v>
      </c>
      <c r="D374" t="s">
        <v>18</v>
      </c>
      <c r="E374" t="s">
        <v>483</v>
      </c>
      <c r="F374" t="s">
        <v>85</v>
      </c>
      <c r="G374">
        <v>43478.079891306123</v>
      </c>
      <c r="H374">
        <v>6719.1794773198644</v>
      </c>
      <c r="I374">
        <v>2850.1538358599209</v>
      </c>
      <c r="J374">
        <v>92241.60293672324</v>
      </c>
      <c r="K374">
        <v>40627.926055446202</v>
      </c>
      <c r="L374">
        <v>0.439346565686978</v>
      </c>
    </row>
    <row r="375" spans="1:12" x14ac:dyDescent="0.35">
      <c r="A375">
        <v>2029</v>
      </c>
      <c r="B375" t="s">
        <v>6</v>
      </c>
      <c r="C375" t="s">
        <v>10</v>
      </c>
      <c r="D375" t="s">
        <v>18</v>
      </c>
      <c r="E375" t="s">
        <v>483</v>
      </c>
      <c r="F375" t="s">
        <v>86</v>
      </c>
      <c r="G375">
        <v>43478.079891306123</v>
      </c>
      <c r="H375">
        <v>6719.1794773198644</v>
      </c>
      <c r="I375">
        <v>2850.1538358599209</v>
      </c>
      <c r="J375">
        <v>92241.60293672324</v>
      </c>
      <c r="K375">
        <v>40627.926055446202</v>
      </c>
      <c r="L375">
        <v>0.439346565686978</v>
      </c>
    </row>
    <row r="376" spans="1:12" x14ac:dyDescent="0.35">
      <c r="A376">
        <v>2029</v>
      </c>
      <c r="B376" t="s">
        <v>6</v>
      </c>
      <c r="C376" t="s">
        <v>10</v>
      </c>
      <c r="D376" t="s">
        <v>18</v>
      </c>
      <c r="E376" t="s">
        <v>490</v>
      </c>
      <c r="F376" t="s">
        <v>82</v>
      </c>
      <c r="G376">
        <v>43478.079891306123</v>
      </c>
      <c r="H376">
        <v>6719.1794773198644</v>
      </c>
      <c r="I376">
        <v>2952.0484275949088</v>
      </c>
      <c r="J376">
        <v>92241.60293672324</v>
      </c>
      <c r="K376">
        <v>40526.031463711217</v>
      </c>
      <c r="L376">
        <v>0.439346565686978</v>
      </c>
    </row>
    <row r="377" spans="1:12" x14ac:dyDescent="0.35">
      <c r="A377">
        <v>2029</v>
      </c>
      <c r="B377" t="s">
        <v>7</v>
      </c>
      <c r="C377" t="s">
        <v>4</v>
      </c>
      <c r="D377" t="s">
        <v>16</v>
      </c>
      <c r="E377" t="s">
        <v>483</v>
      </c>
      <c r="F377" t="s">
        <v>80</v>
      </c>
      <c r="G377">
        <v>955177.18715425662</v>
      </c>
      <c r="H377">
        <v>0</v>
      </c>
      <c r="I377">
        <v>0</v>
      </c>
      <c r="J377">
        <v>1144273.178519821</v>
      </c>
      <c r="K377">
        <v>955177.18715425662</v>
      </c>
      <c r="L377">
        <v>0.83474576271186396</v>
      </c>
    </row>
    <row r="378" spans="1:12" x14ac:dyDescent="0.35">
      <c r="A378">
        <v>2029</v>
      </c>
      <c r="B378" t="s">
        <v>7</v>
      </c>
      <c r="C378" t="s">
        <v>4</v>
      </c>
      <c r="D378" t="s">
        <v>16</v>
      </c>
      <c r="E378" t="s">
        <v>483</v>
      </c>
      <c r="F378" t="s">
        <v>81</v>
      </c>
      <c r="G378">
        <v>955177.18715425662</v>
      </c>
      <c r="H378">
        <v>348255</v>
      </c>
      <c r="I378">
        <v>183045.85345911881</v>
      </c>
      <c r="J378">
        <v>796018.17851982079</v>
      </c>
      <c r="K378">
        <v>772131.33369513787</v>
      </c>
      <c r="L378">
        <v>0.83474576271186396</v>
      </c>
    </row>
    <row r="379" spans="1:12" x14ac:dyDescent="0.35">
      <c r="A379">
        <v>2029</v>
      </c>
      <c r="B379" t="s">
        <v>7</v>
      </c>
      <c r="C379" t="s">
        <v>4</v>
      </c>
      <c r="D379" t="s">
        <v>18</v>
      </c>
      <c r="E379" t="s">
        <v>483</v>
      </c>
      <c r="F379" t="s">
        <v>85</v>
      </c>
      <c r="G379">
        <v>955177.18715425662</v>
      </c>
      <c r="H379">
        <v>652859.49048100598</v>
      </c>
      <c r="I379">
        <v>343148.61990202928</v>
      </c>
      <c r="J379">
        <v>491413.68803881481</v>
      </c>
      <c r="K379">
        <v>612028.56725222734</v>
      </c>
      <c r="L379">
        <v>0.83474576271186396</v>
      </c>
    </row>
    <row r="380" spans="1:12" x14ac:dyDescent="0.35">
      <c r="A380">
        <v>2029</v>
      </c>
      <c r="B380" t="s">
        <v>7</v>
      </c>
      <c r="C380" t="s">
        <v>4</v>
      </c>
      <c r="D380" t="s">
        <v>18</v>
      </c>
      <c r="E380" t="s">
        <v>483</v>
      </c>
      <c r="F380" t="s">
        <v>86</v>
      </c>
      <c r="G380">
        <v>955177.18715425662</v>
      </c>
      <c r="H380">
        <v>652859.49048100598</v>
      </c>
      <c r="I380">
        <v>343148.61990202928</v>
      </c>
      <c r="J380">
        <v>491413.68803881481</v>
      </c>
      <c r="K380">
        <v>612028.56725222734</v>
      </c>
      <c r="L380">
        <v>0.83474576271186396</v>
      </c>
    </row>
    <row r="381" spans="1:12" x14ac:dyDescent="0.35">
      <c r="A381">
        <v>2029</v>
      </c>
      <c r="B381" t="s">
        <v>7</v>
      </c>
      <c r="C381" t="s">
        <v>4</v>
      </c>
      <c r="D381" t="s">
        <v>18</v>
      </c>
      <c r="E381" t="s">
        <v>490</v>
      </c>
      <c r="F381" t="s">
        <v>82</v>
      </c>
      <c r="G381">
        <v>955177.18715425662</v>
      </c>
      <c r="H381">
        <v>652859.49048100598</v>
      </c>
      <c r="I381">
        <v>544971.69332524657</v>
      </c>
      <c r="J381">
        <v>491413.68803881481</v>
      </c>
      <c r="K381">
        <v>410205.49382901011</v>
      </c>
      <c r="L381">
        <v>0.83474576271186396</v>
      </c>
    </row>
    <row r="382" spans="1:12" x14ac:dyDescent="0.35">
      <c r="A382">
        <v>2029</v>
      </c>
      <c r="B382" t="s">
        <v>7</v>
      </c>
      <c r="C382" t="s">
        <v>9</v>
      </c>
      <c r="D382" t="s">
        <v>16</v>
      </c>
      <c r="E382" t="s">
        <v>483</v>
      </c>
      <c r="F382" t="s">
        <v>80</v>
      </c>
      <c r="G382">
        <v>914284.5211047167</v>
      </c>
      <c r="H382">
        <v>0</v>
      </c>
      <c r="I382">
        <v>0</v>
      </c>
      <c r="J382">
        <v>1095285.010054382</v>
      </c>
      <c r="K382">
        <v>914284.5211047167</v>
      </c>
      <c r="L382">
        <v>0.83474576271186396</v>
      </c>
    </row>
    <row r="383" spans="1:12" x14ac:dyDescent="0.35">
      <c r="A383">
        <v>2029</v>
      </c>
      <c r="B383" t="s">
        <v>7</v>
      </c>
      <c r="C383" t="s">
        <v>9</v>
      </c>
      <c r="D383" t="s">
        <v>16</v>
      </c>
      <c r="E383" t="s">
        <v>483</v>
      </c>
      <c r="F383" t="s">
        <v>81</v>
      </c>
      <c r="G383">
        <v>914284.5211047167</v>
      </c>
      <c r="H383">
        <v>348255</v>
      </c>
      <c r="I383">
        <v>183045.85345911881</v>
      </c>
      <c r="J383">
        <v>747030.01005438203</v>
      </c>
      <c r="K383">
        <v>731238.66764559783</v>
      </c>
      <c r="L383">
        <v>0.83474576271186396</v>
      </c>
    </row>
    <row r="384" spans="1:12" x14ac:dyDescent="0.35">
      <c r="A384">
        <v>2029</v>
      </c>
      <c r="B384" t="s">
        <v>7</v>
      </c>
      <c r="C384" t="s">
        <v>9</v>
      </c>
      <c r="D384" t="s">
        <v>18</v>
      </c>
      <c r="E384" t="s">
        <v>483</v>
      </c>
      <c r="F384" t="s">
        <v>85</v>
      </c>
      <c r="G384">
        <v>914284.5211047167</v>
      </c>
      <c r="H384">
        <v>652859.49048100598</v>
      </c>
      <c r="I384">
        <v>343148.61990202928</v>
      </c>
      <c r="J384">
        <v>442425.51957337599</v>
      </c>
      <c r="K384">
        <v>571135.90120268741</v>
      </c>
      <c r="L384">
        <v>0.83474576271186396</v>
      </c>
    </row>
    <row r="385" spans="1:12" x14ac:dyDescent="0.35">
      <c r="A385">
        <v>2029</v>
      </c>
      <c r="B385" t="s">
        <v>7</v>
      </c>
      <c r="C385" t="s">
        <v>9</v>
      </c>
      <c r="D385" t="s">
        <v>18</v>
      </c>
      <c r="E385" t="s">
        <v>483</v>
      </c>
      <c r="F385" t="s">
        <v>86</v>
      </c>
      <c r="G385">
        <v>914284.5211047167</v>
      </c>
      <c r="H385">
        <v>652859.49048100598</v>
      </c>
      <c r="I385">
        <v>343148.61990202928</v>
      </c>
      <c r="J385">
        <v>442425.51957337599</v>
      </c>
      <c r="K385">
        <v>571135.90120268741</v>
      </c>
      <c r="L385">
        <v>0.83474576271186396</v>
      </c>
    </row>
    <row r="386" spans="1:12" x14ac:dyDescent="0.35">
      <c r="A386">
        <v>2029</v>
      </c>
      <c r="B386" t="s">
        <v>7</v>
      </c>
      <c r="C386" t="s">
        <v>9</v>
      </c>
      <c r="D386" t="s">
        <v>18</v>
      </c>
      <c r="E386" t="s">
        <v>490</v>
      </c>
      <c r="F386" t="s">
        <v>82</v>
      </c>
      <c r="G386">
        <v>914284.5211047167</v>
      </c>
      <c r="H386">
        <v>652859.49048100598</v>
      </c>
      <c r="I386">
        <v>544971.69332524657</v>
      </c>
      <c r="J386">
        <v>442425.51957337599</v>
      </c>
      <c r="K386">
        <v>369312.82777947013</v>
      </c>
      <c r="L386">
        <v>0.83474576271186396</v>
      </c>
    </row>
    <row r="387" spans="1:12" x14ac:dyDescent="0.35">
      <c r="A387">
        <v>2029</v>
      </c>
      <c r="B387" t="s">
        <v>7</v>
      </c>
      <c r="C387" t="s">
        <v>10</v>
      </c>
      <c r="D387" t="s">
        <v>16</v>
      </c>
      <c r="E387" t="s">
        <v>483</v>
      </c>
      <c r="F387" t="s">
        <v>80</v>
      </c>
      <c r="G387">
        <v>930438.48177642538</v>
      </c>
      <c r="H387">
        <v>0</v>
      </c>
      <c r="I387">
        <v>0</v>
      </c>
      <c r="J387">
        <v>1114636.9629402871</v>
      </c>
      <c r="K387">
        <v>930438.48177642538</v>
      </c>
      <c r="L387">
        <v>0.83474576271186396</v>
      </c>
    </row>
    <row r="388" spans="1:12" x14ac:dyDescent="0.35">
      <c r="A388">
        <v>2029</v>
      </c>
      <c r="B388" t="s">
        <v>7</v>
      </c>
      <c r="C388" t="s">
        <v>10</v>
      </c>
      <c r="D388" t="s">
        <v>16</v>
      </c>
      <c r="E388" t="s">
        <v>483</v>
      </c>
      <c r="F388" t="s">
        <v>81</v>
      </c>
      <c r="G388">
        <v>930438.48177642538</v>
      </c>
      <c r="H388">
        <v>348255</v>
      </c>
      <c r="I388">
        <v>183045.85345911881</v>
      </c>
      <c r="J388">
        <v>766381.96294028684</v>
      </c>
      <c r="K388">
        <v>747392.62831730652</v>
      </c>
      <c r="L388">
        <v>0.83474576271186396</v>
      </c>
    </row>
    <row r="389" spans="1:12" x14ac:dyDescent="0.35">
      <c r="A389">
        <v>2029</v>
      </c>
      <c r="B389" t="s">
        <v>7</v>
      </c>
      <c r="C389" t="s">
        <v>10</v>
      </c>
      <c r="D389" t="s">
        <v>18</v>
      </c>
      <c r="E389" t="s">
        <v>483</v>
      </c>
      <c r="F389" t="s">
        <v>85</v>
      </c>
      <c r="G389">
        <v>930438.48177642538</v>
      </c>
      <c r="H389">
        <v>652859.49048100598</v>
      </c>
      <c r="I389">
        <v>343148.61990202928</v>
      </c>
      <c r="J389">
        <v>461777.47245928092</v>
      </c>
      <c r="K389">
        <v>587289.8618743961</v>
      </c>
      <c r="L389">
        <v>0.83474576271186396</v>
      </c>
    </row>
    <row r="390" spans="1:12" x14ac:dyDescent="0.35">
      <c r="A390">
        <v>2029</v>
      </c>
      <c r="B390" t="s">
        <v>7</v>
      </c>
      <c r="C390" t="s">
        <v>10</v>
      </c>
      <c r="D390" t="s">
        <v>18</v>
      </c>
      <c r="E390" t="s">
        <v>483</v>
      </c>
      <c r="F390" t="s">
        <v>86</v>
      </c>
      <c r="G390">
        <v>930438.48177642538</v>
      </c>
      <c r="H390">
        <v>652859.49048100598</v>
      </c>
      <c r="I390">
        <v>343148.61990202928</v>
      </c>
      <c r="J390">
        <v>461777.47245928092</v>
      </c>
      <c r="K390">
        <v>587289.8618743961</v>
      </c>
      <c r="L390">
        <v>0.83474576271186396</v>
      </c>
    </row>
    <row r="391" spans="1:12" x14ac:dyDescent="0.35">
      <c r="A391">
        <v>2029</v>
      </c>
      <c r="B391" t="s">
        <v>7</v>
      </c>
      <c r="C391" t="s">
        <v>10</v>
      </c>
      <c r="D391" t="s">
        <v>18</v>
      </c>
      <c r="E391" t="s">
        <v>490</v>
      </c>
      <c r="F391" t="s">
        <v>82</v>
      </c>
      <c r="G391">
        <v>930438.48177642538</v>
      </c>
      <c r="H391">
        <v>652859.49048100598</v>
      </c>
      <c r="I391">
        <v>544971.69332524657</v>
      </c>
      <c r="J391">
        <v>461777.47245928092</v>
      </c>
      <c r="K391">
        <v>385466.78845117881</v>
      </c>
      <c r="L391">
        <v>0.83474576271186396</v>
      </c>
    </row>
    <row r="392" spans="1:12" x14ac:dyDescent="0.35">
      <c r="A392">
        <v>2029</v>
      </c>
      <c r="B392" t="s">
        <v>13</v>
      </c>
      <c r="C392" t="s">
        <v>4</v>
      </c>
      <c r="D392" t="s">
        <v>16</v>
      </c>
      <c r="E392" t="s">
        <v>483</v>
      </c>
      <c r="F392" t="s">
        <v>80</v>
      </c>
      <c r="G392">
        <v>1524.695210353849</v>
      </c>
      <c r="H392">
        <v>0</v>
      </c>
      <c r="I392">
        <v>0</v>
      </c>
      <c r="J392">
        <v>1524.695210353849</v>
      </c>
      <c r="K392">
        <v>1524.695210353849</v>
      </c>
      <c r="L392">
        <v>1</v>
      </c>
    </row>
    <row r="393" spans="1:12" x14ac:dyDescent="0.35">
      <c r="A393">
        <v>2029</v>
      </c>
      <c r="B393" t="s">
        <v>13</v>
      </c>
      <c r="C393" t="s">
        <v>4</v>
      </c>
      <c r="D393" t="s">
        <v>16</v>
      </c>
      <c r="E393" t="s">
        <v>483</v>
      </c>
      <c r="F393" t="s">
        <v>81</v>
      </c>
      <c r="G393">
        <v>1524.695210353849</v>
      </c>
      <c r="H393">
        <v>0</v>
      </c>
      <c r="I393">
        <v>0</v>
      </c>
      <c r="J393">
        <v>1524.695210353849</v>
      </c>
      <c r="K393">
        <v>1524.695210353849</v>
      </c>
      <c r="L393">
        <v>1</v>
      </c>
    </row>
    <row r="394" spans="1:12" x14ac:dyDescent="0.35">
      <c r="A394">
        <v>2029</v>
      </c>
      <c r="B394" t="s">
        <v>13</v>
      </c>
      <c r="C394" t="s">
        <v>4</v>
      </c>
      <c r="D394" t="s">
        <v>18</v>
      </c>
      <c r="E394" t="s">
        <v>483</v>
      </c>
      <c r="F394" t="s">
        <v>85</v>
      </c>
      <c r="G394">
        <v>1524.695210353849</v>
      </c>
      <c r="H394">
        <v>99514</v>
      </c>
      <c r="I394">
        <v>32839.620000000003</v>
      </c>
      <c r="J394">
        <v>0</v>
      </c>
      <c r="K394">
        <v>0</v>
      </c>
      <c r="L394">
        <v>1</v>
      </c>
    </row>
    <row r="395" spans="1:12" x14ac:dyDescent="0.35">
      <c r="A395">
        <v>2029</v>
      </c>
      <c r="B395" t="s">
        <v>13</v>
      </c>
      <c r="C395" t="s">
        <v>4</v>
      </c>
      <c r="D395" t="s">
        <v>18</v>
      </c>
      <c r="E395" t="s">
        <v>483</v>
      </c>
      <c r="F395" t="s">
        <v>86</v>
      </c>
      <c r="G395">
        <v>1524.695210353849</v>
      </c>
      <c r="H395">
        <v>99514</v>
      </c>
      <c r="I395">
        <v>32839.620000000003</v>
      </c>
      <c r="J395">
        <v>0</v>
      </c>
      <c r="K395">
        <v>0</v>
      </c>
      <c r="L395">
        <v>1</v>
      </c>
    </row>
    <row r="396" spans="1:12" x14ac:dyDescent="0.35">
      <c r="A396">
        <v>2029</v>
      </c>
      <c r="B396" t="s">
        <v>13</v>
      </c>
      <c r="C396" t="s">
        <v>4</v>
      </c>
      <c r="D396" t="s">
        <v>18</v>
      </c>
      <c r="E396" t="s">
        <v>490</v>
      </c>
      <c r="F396" t="s">
        <v>82</v>
      </c>
      <c r="G396">
        <v>1524.695210353849</v>
      </c>
      <c r="H396">
        <v>99514</v>
      </c>
      <c r="I396">
        <v>32839.620000000003</v>
      </c>
      <c r="J396">
        <v>0</v>
      </c>
      <c r="K396">
        <v>0</v>
      </c>
      <c r="L396">
        <v>1</v>
      </c>
    </row>
    <row r="397" spans="1:12" x14ac:dyDescent="0.35">
      <c r="A397">
        <v>2029</v>
      </c>
      <c r="B397" t="s">
        <v>13</v>
      </c>
      <c r="C397" t="s">
        <v>9</v>
      </c>
      <c r="D397" t="s">
        <v>16</v>
      </c>
      <c r="E397" t="s">
        <v>483</v>
      </c>
      <c r="F397" t="s">
        <v>80</v>
      </c>
      <c r="G397">
        <v>774.14440896765586</v>
      </c>
      <c r="H397">
        <v>0</v>
      </c>
      <c r="I397">
        <v>0</v>
      </c>
      <c r="J397">
        <v>774.14440896765586</v>
      </c>
      <c r="K397">
        <v>774.14440896765586</v>
      </c>
      <c r="L397">
        <v>1</v>
      </c>
    </row>
    <row r="398" spans="1:12" x14ac:dyDescent="0.35">
      <c r="A398">
        <v>2029</v>
      </c>
      <c r="B398" t="s">
        <v>13</v>
      </c>
      <c r="C398" t="s">
        <v>9</v>
      </c>
      <c r="D398" t="s">
        <v>16</v>
      </c>
      <c r="E398" t="s">
        <v>483</v>
      </c>
      <c r="F398" t="s">
        <v>81</v>
      </c>
      <c r="G398">
        <v>774.14440896765586</v>
      </c>
      <c r="H398">
        <v>0</v>
      </c>
      <c r="I398">
        <v>0</v>
      </c>
      <c r="J398">
        <v>774.14440896765586</v>
      </c>
      <c r="K398">
        <v>774.14440896765586</v>
      </c>
      <c r="L398">
        <v>1</v>
      </c>
    </row>
    <row r="399" spans="1:12" x14ac:dyDescent="0.35">
      <c r="A399">
        <v>2029</v>
      </c>
      <c r="B399" t="s">
        <v>13</v>
      </c>
      <c r="C399" t="s">
        <v>9</v>
      </c>
      <c r="D399" t="s">
        <v>18</v>
      </c>
      <c r="E399" t="s">
        <v>483</v>
      </c>
      <c r="F399" t="s">
        <v>85</v>
      </c>
      <c r="G399">
        <v>774.14440896765586</v>
      </c>
      <c r="H399">
        <v>99514</v>
      </c>
      <c r="I399">
        <v>32839.620000000003</v>
      </c>
      <c r="J399">
        <v>0</v>
      </c>
      <c r="K399">
        <v>0</v>
      </c>
      <c r="L399">
        <v>1</v>
      </c>
    </row>
    <row r="400" spans="1:12" x14ac:dyDescent="0.35">
      <c r="A400">
        <v>2029</v>
      </c>
      <c r="B400" t="s">
        <v>13</v>
      </c>
      <c r="C400" t="s">
        <v>9</v>
      </c>
      <c r="D400" t="s">
        <v>18</v>
      </c>
      <c r="E400" t="s">
        <v>483</v>
      </c>
      <c r="F400" t="s">
        <v>86</v>
      </c>
      <c r="G400">
        <v>774.14440896765586</v>
      </c>
      <c r="H400">
        <v>99514</v>
      </c>
      <c r="I400">
        <v>32839.620000000003</v>
      </c>
      <c r="J400">
        <v>0</v>
      </c>
      <c r="K400">
        <v>0</v>
      </c>
      <c r="L400">
        <v>1</v>
      </c>
    </row>
    <row r="401" spans="1:12" x14ac:dyDescent="0.35">
      <c r="A401">
        <v>2029</v>
      </c>
      <c r="B401" t="s">
        <v>13</v>
      </c>
      <c r="C401" t="s">
        <v>9</v>
      </c>
      <c r="D401" t="s">
        <v>18</v>
      </c>
      <c r="E401" t="s">
        <v>490</v>
      </c>
      <c r="F401" t="s">
        <v>82</v>
      </c>
      <c r="G401">
        <v>774.14440896765586</v>
      </c>
      <c r="H401">
        <v>99514</v>
      </c>
      <c r="I401">
        <v>32839.620000000003</v>
      </c>
      <c r="J401">
        <v>0</v>
      </c>
      <c r="K401">
        <v>0</v>
      </c>
      <c r="L401">
        <v>1</v>
      </c>
    </row>
    <row r="402" spans="1:12" x14ac:dyDescent="0.35">
      <c r="A402">
        <v>2029</v>
      </c>
      <c r="B402" t="s">
        <v>13</v>
      </c>
      <c r="C402" t="s">
        <v>10</v>
      </c>
      <c r="D402" t="s">
        <v>16</v>
      </c>
      <c r="E402" t="s">
        <v>483</v>
      </c>
      <c r="F402" t="s">
        <v>80</v>
      </c>
      <c r="G402">
        <v>1460.140190208509</v>
      </c>
      <c r="H402">
        <v>0</v>
      </c>
      <c r="I402">
        <v>0</v>
      </c>
      <c r="J402">
        <v>1460.140190208509</v>
      </c>
      <c r="K402">
        <v>1460.140190208509</v>
      </c>
      <c r="L402">
        <v>1</v>
      </c>
    </row>
    <row r="403" spans="1:12" x14ac:dyDescent="0.35">
      <c r="A403">
        <v>2029</v>
      </c>
      <c r="B403" t="s">
        <v>13</v>
      </c>
      <c r="C403" t="s">
        <v>10</v>
      </c>
      <c r="D403" t="s">
        <v>16</v>
      </c>
      <c r="E403" t="s">
        <v>483</v>
      </c>
      <c r="F403" t="s">
        <v>81</v>
      </c>
      <c r="G403">
        <v>1460.140190208509</v>
      </c>
      <c r="H403">
        <v>0</v>
      </c>
      <c r="I403">
        <v>0</v>
      </c>
      <c r="J403">
        <v>1460.140190208509</v>
      </c>
      <c r="K403">
        <v>1460.140190208509</v>
      </c>
      <c r="L403">
        <v>1</v>
      </c>
    </row>
    <row r="404" spans="1:12" x14ac:dyDescent="0.35">
      <c r="A404">
        <v>2029</v>
      </c>
      <c r="B404" t="s">
        <v>13</v>
      </c>
      <c r="C404" t="s">
        <v>10</v>
      </c>
      <c r="D404" t="s">
        <v>18</v>
      </c>
      <c r="E404" t="s">
        <v>483</v>
      </c>
      <c r="F404" t="s">
        <v>85</v>
      </c>
      <c r="G404">
        <v>1460.140190208509</v>
      </c>
      <c r="H404">
        <v>99514</v>
      </c>
      <c r="I404">
        <v>32839.620000000003</v>
      </c>
      <c r="J404">
        <v>0</v>
      </c>
      <c r="K404">
        <v>0</v>
      </c>
      <c r="L404">
        <v>1</v>
      </c>
    </row>
    <row r="405" spans="1:12" x14ac:dyDescent="0.35">
      <c r="A405">
        <v>2029</v>
      </c>
      <c r="B405" t="s">
        <v>13</v>
      </c>
      <c r="C405" t="s">
        <v>10</v>
      </c>
      <c r="D405" t="s">
        <v>18</v>
      </c>
      <c r="E405" t="s">
        <v>483</v>
      </c>
      <c r="F405" t="s">
        <v>86</v>
      </c>
      <c r="G405">
        <v>1460.140190208509</v>
      </c>
      <c r="H405">
        <v>99514</v>
      </c>
      <c r="I405">
        <v>32839.620000000003</v>
      </c>
      <c r="J405">
        <v>0</v>
      </c>
      <c r="K405">
        <v>0</v>
      </c>
      <c r="L405">
        <v>1</v>
      </c>
    </row>
    <row r="406" spans="1:12" x14ac:dyDescent="0.35">
      <c r="A406">
        <v>2029</v>
      </c>
      <c r="B406" t="s">
        <v>13</v>
      </c>
      <c r="C406" t="s">
        <v>10</v>
      </c>
      <c r="D406" t="s">
        <v>18</v>
      </c>
      <c r="E406" t="s">
        <v>490</v>
      </c>
      <c r="F406" t="s">
        <v>82</v>
      </c>
      <c r="G406">
        <v>1460.140190208509</v>
      </c>
      <c r="H406">
        <v>99514</v>
      </c>
      <c r="I406">
        <v>32839.620000000003</v>
      </c>
      <c r="J406">
        <v>0</v>
      </c>
      <c r="K406">
        <v>0</v>
      </c>
      <c r="L406">
        <v>1</v>
      </c>
    </row>
    <row r="407" spans="1:12" x14ac:dyDescent="0.35">
      <c r="A407">
        <v>2029</v>
      </c>
      <c r="B407" t="s">
        <v>12</v>
      </c>
      <c r="C407" t="s">
        <v>4</v>
      </c>
      <c r="D407" t="s">
        <v>16</v>
      </c>
      <c r="E407" t="s">
        <v>483</v>
      </c>
      <c r="F407" t="s">
        <v>80</v>
      </c>
      <c r="G407">
        <v>24655.859039949839</v>
      </c>
      <c r="H407">
        <v>0</v>
      </c>
      <c r="I407">
        <v>0</v>
      </c>
      <c r="J407">
        <v>35264.44560460894</v>
      </c>
      <c r="K407">
        <v>24655.859039949839</v>
      </c>
      <c r="L407">
        <v>0.69917047091553897</v>
      </c>
    </row>
    <row r="408" spans="1:12" x14ac:dyDescent="0.35">
      <c r="A408">
        <v>2029</v>
      </c>
      <c r="B408" t="s">
        <v>12</v>
      </c>
      <c r="C408" t="s">
        <v>4</v>
      </c>
      <c r="D408" t="s">
        <v>16</v>
      </c>
      <c r="E408" t="s">
        <v>483</v>
      </c>
      <c r="F408" t="s">
        <v>81</v>
      </c>
      <c r="G408">
        <v>24655.859039949839</v>
      </c>
      <c r="H408">
        <v>37907</v>
      </c>
      <c r="I408">
        <v>26503.455040995341</v>
      </c>
      <c r="J408">
        <v>0</v>
      </c>
      <c r="K408">
        <v>0</v>
      </c>
      <c r="L408">
        <v>0.69917047091553897</v>
      </c>
    </row>
    <row r="409" spans="1:12" x14ac:dyDescent="0.35">
      <c r="A409">
        <v>2029</v>
      </c>
      <c r="B409" t="s">
        <v>12</v>
      </c>
      <c r="C409" t="s">
        <v>4</v>
      </c>
      <c r="D409" t="s">
        <v>18</v>
      </c>
      <c r="E409" t="s">
        <v>483</v>
      </c>
      <c r="F409" t="s">
        <v>85</v>
      </c>
      <c r="G409">
        <v>24655.859039949839</v>
      </c>
      <c r="H409">
        <v>152814</v>
      </c>
      <c r="I409">
        <v>106843.0363424872</v>
      </c>
      <c r="J409">
        <v>0</v>
      </c>
      <c r="K409">
        <v>0</v>
      </c>
      <c r="L409">
        <v>0.69917047091553897</v>
      </c>
    </row>
    <row r="410" spans="1:12" x14ac:dyDescent="0.35">
      <c r="A410">
        <v>2029</v>
      </c>
      <c r="B410" t="s">
        <v>12</v>
      </c>
      <c r="C410" t="s">
        <v>4</v>
      </c>
      <c r="D410" t="s">
        <v>18</v>
      </c>
      <c r="E410" t="s">
        <v>483</v>
      </c>
      <c r="F410" t="s">
        <v>86</v>
      </c>
      <c r="G410">
        <v>24655.859039949839</v>
      </c>
      <c r="H410">
        <v>152814</v>
      </c>
      <c r="I410">
        <v>106843.0363424872</v>
      </c>
      <c r="J410">
        <v>0</v>
      </c>
      <c r="K410">
        <v>0</v>
      </c>
      <c r="L410">
        <v>0.69917047091553897</v>
      </c>
    </row>
    <row r="411" spans="1:12" x14ac:dyDescent="0.35">
      <c r="A411">
        <v>2029</v>
      </c>
      <c r="B411" t="s">
        <v>12</v>
      </c>
      <c r="C411" t="s">
        <v>4</v>
      </c>
      <c r="D411" t="s">
        <v>18</v>
      </c>
      <c r="E411" t="s">
        <v>490</v>
      </c>
      <c r="F411" t="s">
        <v>82</v>
      </c>
      <c r="G411">
        <v>24655.859039949839</v>
      </c>
      <c r="H411">
        <v>152814</v>
      </c>
      <c r="I411">
        <v>106843.0363424872</v>
      </c>
      <c r="J411">
        <v>0</v>
      </c>
      <c r="K411">
        <v>0</v>
      </c>
      <c r="L411">
        <v>0.69917047091553897</v>
      </c>
    </row>
    <row r="412" spans="1:12" x14ac:dyDescent="0.35">
      <c r="A412">
        <v>2029</v>
      </c>
      <c r="B412" t="s">
        <v>12</v>
      </c>
      <c r="C412" t="s">
        <v>9</v>
      </c>
      <c r="D412" t="s">
        <v>16</v>
      </c>
      <c r="E412" t="s">
        <v>483</v>
      </c>
      <c r="F412" t="s">
        <v>80</v>
      </c>
      <c r="G412">
        <v>12518.69573305871</v>
      </c>
      <c r="H412">
        <v>0</v>
      </c>
      <c r="I412">
        <v>0</v>
      </c>
      <c r="J412">
        <v>17905.069298287039</v>
      </c>
      <c r="K412">
        <v>12518.69573305871</v>
      </c>
      <c r="L412">
        <v>0.69917047091553897</v>
      </c>
    </row>
    <row r="413" spans="1:12" x14ac:dyDescent="0.35">
      <c r="A413">
        <v>2029</v>
      </c>
      <c r="B413" t="s">
        <v>12</v>
      </c>
      <c r="C413" t="s">
        <v>9</v>
      </c>
      <c r="D413" t="s">
        <v>16</v>
      </c>
      <c r="E413" t="s">
        <v>483</v>
      </c>
      <c r="F413" t="s">
        <v>81</v>
      </c>
      <c r="G413">
        <v>12518.69573305871</v>
      </c>
      <c r="H413">
        <v>37907</v>
      </c>
      <c r="I413">
        <v>26503.455040995341</v>
      </c>
      <c r="J413">
        <v>0</v>
      </c>
      <c r="K413">
        <v>0</v>
      </c>
      <c r="L413">
        <v>0.69917047091553897</v>
      </c>
    </row>
    <row r="414" spans="1:12" x14ac:dyDescent="0.35">
      <c r="A414">
        <v>2029</v>
      </c>
      <c r="B414" t="s">
        <v>12</v>
      </c>
      <c r="C414" t="s">
        <v>9</v>
      </c>
      <c r="D414" t="s">
        <v>18</v>
      </c>
      <c r="E414" t="s">
        <v>483</v>
      </c>
      <c r="F414" t="s">
        <v>85</v>
      </c>
      <c r="G414">
        <v>12518.69573305871</v>
      </c>
      <c r="H414">
        <v>152814</v>
      </c>
      <c r="I414">
        <v>106843.0363424872</v>
      </c>
      <c r="J414">
        <v>0</v>
      </c>
      <c r="K414">
        <v>0</v>
      </c>
      <c r="L414">
        <v>0.69917047091553897</v>
      </c>
    </row>
    <row r="415" spans="1:12" x14ac:dyDescent="0.35">
      <c r="A415">
        <v>2029</v>
      </c>
      <c r="B415" t="s">
        <v>12</v>
      </c>
      <c r="C415" t="s">
        <v>9</v>
      </c>
      <c r="D415" t="s">
        <v>18</v>
      </c>
      <c r="E415" t="s">
        <v>483</v>
      </c>
      <c r="F415" t="s">
        <v>86</v>
      </c>
      <c r="G415">
        <v>12518.69573305871</v>
      </c>
      <c r="H415">
        <v>152814</v>
      </c>
      <c r="I415">
        <v>106843.0363424872</v>
      </c>
      <c r="J415">
        <v>0</v>
      </c>
      <c r="K415">
        <v>0</v>
      </c>
      <c r="L415">
        <v>0.69917047091553897</v>
      </c>
    </row>
    <row r="416" spans="1:12" x14ac:dyDescent="0.35">
      <c r="A416">
        <v>2029</v>
      </c>
      <c r="B416" t="s">
        <v>12</v>
      </c>
      <c r="C416" t="s">
        <v>9</v>
      </c>
      <c r="D416" t="s">
        <v>18</v>
      </c>
      <c r="E416" t="s">
        <v>490</v>
      </c>
      <c r="F416" t="s">
        <v>82</v>
      </c>
      <c r="G416">
        <v>12518.69573305871</v>
      </c>
      <c r="H416">
        <v>152814</v>
      </c>
      <c r="I416">
        <v>106843.0363424872</v>
      </c>
      <c r="J416">
        <v>0</v>
      </c>
      <c r="K416">
        <v>0</v>
      </c>
      <c r="L416">
        <v>0.69917047091553897</v>
      </c>
    </row>
    <row r="417" spans="1:12" x14ac:dyDescent="0.35">
      <c r="A417">
        <v>2029</v>
      </c>
      <c r="B417" t="s">
        <v>12</v>
      </c>
      <c r="C417" t="s">
        <v>10</v>
      </c>
      <c r="D417" t="s">
        <v>16</v>
      </c>
      <c r="E417" t="s">
        <v>483</v>
      </c>
      <c r="F417" t="s">
        <v>80</v>
      </c>
      <c r="G417">
        <v>23611.939267515339</v>
      </c>
      <c r="H417">
        <v>0</v>
      </c>
      <c r="I417">
        <v>0</v>
      </c>
      <c r="J417">
        <v>33771.362278209977</v>
      </c>
      <c r="K417">
        <v>23611.939267515339</v>
      </c>
      <c r="L417">
        <v>0.69917047091553897</v>
      </c>
    </row>
    <row r="418" spans="1:12" x14ac:dyDescent="0.35">
      <c r="A418">
        <v>2029</v>
      </c>
      <c r="B418" t="s">
        <v>12</v>
      </c>
      <c r="C418" t="s">
        <v>10</v>
      </c>
      <c r="D418" t="s">
        <v>16</v>
      </c>
      <c r="E418" t="s">
        <v>483</v>
      </c>
      <c r="F418" t="s">
        <v>81</v>
      </c>
      <c r="G418">
        <v>23611.939267515339</v>
      </c>
      <c r="H418">
        <v>37907</v>
      </c>
      <c r="I418">
        <v>26503.455040995341</v>
      </c>
      <c r="J418">
        <v>0</v>
      </c>
      <c r="K418">
        <v>0</v>
      </c>
      <c r="L418">
        <v>0.69917047091553897</v>
      </c>
    </row>
    <row r="419" spans="1:12" x14ac:dyDescent="0.35">
      <c r="A419">
        <v>2029</v>
      </c>
      <c r="B419" t="s">
        <v>12</v>
      </c>
      <c r="C419" t="s">
        <v>10</v>
      </c>
      <c r="D419" t="s">
        <v>18</v>
      </c>
      <c r="E419" t="s">
        <v>483</v>
      </c>
      <c r="F419" t="s">
        <v>85</v>
      </c>
      <c r="G419">
        <v>23611.939267515339</v>
      </c>
      <c r="H419">
        <v>152814</v>
      </c>
      <c r="I419">
        <v>106843.0363424872</v>
      </c>
      <c r="J419">
        <v>0</v>
      </c>
      <c r="K419">
        <v>0</v>
      </c>
      <c r="L419">
        <v>0.69917047091553897</v>
      </c>
    </row>
    <row r="420" spans="1:12" x14ac:dyDescent="0.35">
      <c r="A420">
        <v>2029</v>
      </c>
      <c r="B420" t="s">
        <v>12</v>
      </c>
      <c r="C420" t="s">
        <v>10</v>
      </c>
      <c r="D420" t="s">
        <v>18</v>
      </c>
      <c r="E420" t="s">
        <v>483</v>
      </c>
      <c r="F420" t="s">
        <v>86</v>
      </c>
      <c r="G420">
        <v>23611.939267515339</v>
      </c>
      <c r="H420">
        <v>152814</v>
      </c>
      <c r="I420">
        <v>106843.0363424872</v>
      </c>
      <c r="J420">
        <v>0</v>
      </c>
      <c r="K420">
        <v>0</v>
      </c>
      <c r="L420">
        <v>0.69917047091553897</v>
      </c>
    </row>
    <row r="421" spans="1:12" x14ac:dyDescent="0.35">
      <c r="A421">
        <v>2029</v>
      </c>
      <c r="B421" t="s">
        <v>12</v>
      </c>
      <c r="C421" t="s">
        <v>10</v>
      </c>
      <c r="D421" t="s">
        <v>18</v>
      </c>
      <c r="E421" t="s">
        <v>490</v>
      </c>
      <c r="F421" t="s">
        <v>82</v>
      </c>
      <c r="G421">
        <v>23611.939267515339</v>
      </c>
      <c r="H421">
        <v>152814</v>
      </c>
      <c r="I421">
        <v>106843.0363424872</v>
      </c>
      <c r="J421">
        <v>0</v>
      </c>
      <c r="K421">
        <v>0</v>
      </c>
      <c r="L421">
        <v>0.69917047091553897</v>
      </c>
    </row>
    <row r="422" spans="1:12" x14ac:dyDescent="0.35">
      <c r="A422">
        <v>2029</v>
      </c>
      <c r="B422" t="s">
        <v>11</v>
      </c>
      <c r="C422" t="s">
        <v>4</v>
      </c>
      <c r="D422" t="s">
        <v>16</v>
      </c>
      <c r="E422" t="s">
        <v>483</v>
      </c>
      <c r="F422" t="s">
        <v>80</v>
      </c>
      <c r="G422">
        <v>1697.8123851929049</v>
      </c>
      <c r="H422">
        <v>0</v>
      </c>
      <c r="I422">
        <v>0</v>
      </c>
      <c r="J422">
        <v>2836.5711278811218</v>
      </c>
      <c r="K422">
        <v>1697.8123851929049</v>
      </c>
      <c r="L422">
        <v>0.59854391398996798</v>
      </c>
    </row>
    <row r="423" spans="1:12" x14ac:dyDescent="0.35">
      <c r="A423">
        <v>2029</v>
      </c>
      <c r="B423" t="s">
        <v>11</v>
      </c>
      <c r="C423" t="s">
        <v>4</v>
      </c>
      <c r="D423" t="s">
        <v>16</v>
      </c>
      <c r="E423" t="s">
        <v>483</v>
      </c>
      <c r="F423" t="s">
        <v>81</v>
      </c>
      <c r="G423">
        <v>1697.8123851929049</v>
      </c>
      <c r="H423">
        <v>0</v>
      </c>
      <c r="I423">
        <v>0</v>
      </c>
      <c r="J423">
        <v>2836.5711278811218</v>
      </c>
      <c r="K423">
        <v>1697.8123851929049</v>
      </c>
      <c r="L423">
        <v>0.59854391398996798</v>
      </c>
    </row>
    <row r="424" spans="1:12" x14ac:dyDescent="0.35">
      <c r="A424">
        <v>2029</v>
      </c>
      <c r="B424" t="s">
        <v>11</v>
      </c>
      <c r="C424" t="s">
        <v>4</v>
      </c>
      <c r="D424" t="s">
        <v>18</v>
      </c>
      <c r="E424" t="s">
        <v>483</v>
      </c>
      <c r="F424" t="s">
        <v>85</v>
      </c>
      <c r="G424">
        <v>1697.8123851929049</v>
      </c>
      <c r="H424">
        <v>10.588294957512471</v>
      </c>
      <c r="I424">
        <v>6.3375595063497547</v>
      </c>
      <c r="J424">
        <v>2825.9828329236102</v>
      </c>
      <c r="K424">
        <v>1691.4748256865551</v>
      </c>
      <c r="L424">
        <v>0.59854391398996798</v>
      </c>
    </row>
    <row r="425" spans="1:12" x14ac:dyDescent="0.35">
      <c r="A425">
        <v>2029</v>
      </c>
      <c r="B425" t="s">
        <v>11</v>
      </c>
      <c r="C425" t="s">
        <v>4</v>
      </c>
      <c r="D425" t="s">
        <v>18</v>
      </c>
      <c r="E425" t="s">
        <v>483</v>
      </c>
      <c r="F425" t="s">
        <v>86</v>
      </c>
      <c r="G425">
        <v>1697.8123851929049</v>
      </c>
      <c r="H425">
        <v>10.588294957512471</v>
      </c>
      <c r="I425">
        <v>6.3375595063497547</v>
      </c>
      <c r="J425">
        <v>2825.9828329236102</v>
      </c>
      <c r="K425">
        <v>1691.4748256865551</v>
      </c>
      <c r="L425">
        <v>0.59854391398996798</v>
      </c>
    </row>
    <row r="426" spans="1:12" x14ac:dyDescent="0.35">
      <c r="A426">
        <v>2029</v>
      </c>
      <c r="B426" t="s">
        <v>11</v>
      </c>
      <c r="C426" t="s">
        <v>4</v>
      </c>
      <c r="D426" t="s">
        <v>18</v>
      </c>
      <c r="E426" t="s">
        <v>490</v>
      </c>
      <c r="F426" t="s">
        <v>82</v>
      </c>
      <c r="G426">
        <v>1697.8123851929049</v>
      </c>
      <c r="H426">
        <v>10.588294957512471</v>
      </c>
      <c r="I426">
        <v>6.3375595063497547</v>
      </c>
      <c r="J426">
        <v>2825.9828329236102</v>
      </c>
      <c r="K426">
        <v>1691.4748256865551</v>
      </c>
      <c r="L426">
        <v>0.59854391398996798</v>
      </c>
    </row>
    <row r="427" spans="1:12" x14ac:dyDescent="0.35">
      <c r="A427">
        <v>2029</v>
      </c>
      <c r="B427" t="s">
        <v>11</v>
      </c>
      <c r="C427" t="s">
        <v>9</v>
      </c>
      <c r="D427" t="s">
        <v>16</v>
      </c>
      <c r="E427" t="s">
        <v>483</v>
      </c>
      <c r="F427" t="s">
        <v>80</v>
      </c>
      <c r="G427">
        <v>741.81027247215718</v>
      </c>
      <c r="H427">
        <v>0</v>
      </c>
      <c r="I427">
        <v>0</v>
      </c>
      <c r="J427">
        <v>1239.358140870831</v>
      </c>
      <c r="K427">
        <v>741.81027247215718</v>
      </c>
      <c r="L427">
        <v>0.59854391398996798</v>
      </c>
    </row>
    <row r="428" spans="1:12" x14ac:dyDescent="0.35">
      <c r="A428">
        <v>2029</v>
      </c>
      <c r="B428" t="s">
        <v>11</v>
      </c>
      <c r="C428" t="s">
        <v>9</v>
      </c>
      <c r="D428" t="s">
        <v>16</v>
      </c>
      <c r="E428" t="s">
        <v>483</v>
      </c>
      <c r="F428" t="s">
        <v>81</v>
      </c>
      <c r="G428">
        <v>741.81027247215718</v>
      </c>
      <c r="H428">
        <v>0</v>
      </c>
      <c r="I428">
        <v>0</v>
      </c>
      <c r="J428">
        <v>1239.358140870831</v>
      </c>
      <c r="K428">
        <v>741.81027247215718</v>
      </c>
      <c r="L428">
        <v>0.59854391398996798</v>
      </c>
    </row>
    <row r="429" spans="1:12" x14ac:dyDescent="0.35">
      <c r="A429">
        <v>2029</v>
      </c>
      <c r="B429" t="s">
        <v>11</v>
      </c>
      <c r="C429" t="s">
        <v>9</v>
      </c>
      <c r="D429" t="s">
        <v>18</v>
      </c>
      <c r="E429" t="s">
        <v>483</v>
      </c>
      <c r="F429" t="s">
        <v>85</v>
      </c>
      <c r="G429">
        <v>741.81027247215718</v>
      </c>
      <c r="H429">
        <v>10.588294957512471</v>
      </c>
      <c r="I429">
        <v>6.3375595063497547</v>
      </c>
      <c r="J429">
        <v>1228.769845913318</v>
      </c>
      <c r="K429">
        <v>735.47271296580743</v>
      </c>
      <c r="L429">
        <v>0.59854391398996798</v>
      </c>
    </row>
    <row r="430" spans="1:12" x14ac:dyDescent="0.35">
      <c r="A430">
        <v>2029</v>
      </c>
      <c r="B430" t="s">
        <v>11</v>
      </c>
      <c r="C430" t="s">
        <v>9</v>
      </c>
      <c r="D430" t="s">
        <v>18</v>
      </c>
      <c r="E430" t="s">
        <v>483</v>
      </c>
      <c r="F430" t="s">
        <v>86</v>
      </c>
      <c r="G430">
        <v>741.81027247215718</v>
      </c>
      <c r="H430">
        <v>10.588294957512471</v>
      </c>
      <c r="I430">
        <v>6.3375595063497547</v>
      </c>
      <c r="J430">
        <v>1228.769845913318</v>
      </c>
      <c r="K430">
        <v>735.47271296580743</v>
      </c>
      <c r="L430">
        <v>0.59854391398996798</v>
      </c>
    </row>
    <row r="431" spans="1:12" x14ac:dyDescent="0.35">
      <c r="A431">
        <v>2029</v>
      </c>
      <c r="B431" t="s">
        <v>11</v>
      </c>
      <c r="C431" t="s">
        <v>9</v>
      </c>
      <c r="D431" t="s">
        <v>18</v>
      </c>
      <c r="E431" t="s">
        <v>490</v>
      </c>
      <c r="F431" t="s">
        <v>82</v>
      </c>
      <c r="G431">
        <v>741.81027247215718</v>
      </c>
      <c r="H431">
        <v>10.588294957512471</v>
      </c>
      <c r="I431">
        <v>6.3375595063497547</v>
      </c>
      <c r="J431">
        <v>1228.769845913318</v>
      </c>
      <c r="K431">
        <v>735.47271296580743</v>
      </c>
      <c r="L431">
        <v>0.59854391398996798</v>
      </c>
    </row>
    <row r="432" spans="1:12" x14ac:dyDescent="0.35">
      <c r="A432">
        <v>2029</v>
      </c>
      <c r="B432" t="s">
        <v>11</v>
      </c>
      <c r="C432" t="s">
        <v>10</v>
      </c>
      <c r="D432" t="s">
        <v>16</v>
      </c>
      <c r="E432" t="s">
        <v>483</v>
      </c>
      <c r="F432" t="s">
        <v>80</v>
      </c>
      <c r="G432">
        <v>1635.953671845974</v>
      </c>
      <c r="H432">
        <v>0</v>
      </c>
      <c r="I432">
        <v>0</v>
      </c>
      <c r="J432">
        <v>2733.222464731959</v>
      </c>
      <c r="K432">
        <v>1635.953671845974</v>
      </c>
      <c r="L432">
        <v>0.59854391398996798</v>
      </c>
    </row>
    <row r="433" spans="1:12" x14ac:dyDescent="0.35">
      <c r="A433">
        <v>2029</v>
      </c>
      <c r="B433" t="s">
        <v>11</v>
      </c>
      <c r="C433" t="s">
        <v>10</v>
      </c>
      <c r="D433" t="s">
        <v>16</v>
      </c>
      <c r="E433" t="s">
        <v>483</v>
      </c>
      <c r="F433" t="s">
        <v>81</v>
      </c>
      <c r="G433">
        <v>1635.953671845974</v>
      </c>
      <c r="H433">
        <v>0</v>
      </c>
      <c r="I433">
        <v>0</v>
      </c>
      <c r="J433">
        <v>2733.222464731959</v>
      </c>
      <c r="K433">
        <v>1635.953671845974</v>
      </c>
      <c r="L433">
        <v>0.59854391398996798</v>
      </c>
    </row>
    <row r="434" spans="1:12" x14ac:dyDescent="0.35">
      <c r="A434">
        <v>2029</v>
      </c>
      <c r="B434" t="s">
        <v>11</v>
      </c>
      <c r="C434" t="s">
        <v>10</v>
      </c>
      <c r="D434" t="s">
        <v>18</v>
      </c>
      <c r="E434" t="s">
        <v>483</v>
      </c>
      <c r="F434" t="s">
        <v>85</v>
      </c>
      <c r="G434">
        <v>1635.953671845974</v>
      </c>
      <c r="H434">
        <v>10.588294957512471</v>
      </c>
      <c r="I434">
        <v>6.3375595063497547</v>
      </c>
      <c r="J434">
        <v>2722.634169774446</v>
      </c>
      <c r="K434">
        <v>1629.6161123396239</v>
      </c>
      <c r="L434">
        <v>0.59854391398996798</v>
      </c>
    </row>
    <row r="435" spans="1:12" x14ac:dyDescent="0.35">
      <c r="A435">
        <v>2029</v>
      </c>
      <c r="B435" t="s">
        <v>11</v>
      </c>
      <c r="C435" t="s">
        <v>10</v>
      </c>
      <c r="D435" t="s">
        <v>18</v>
      </c>
      <c r="E435" t="s">
        <v>483</v>
      </c>
      <c r="F435" t="s">
        <v>86</v>
      </c>
      <c r="G435">
        <v>1635.953671845974</v>
      </c>
      <c r="H435">
        <v>10.588294957512471</v>
      </c>
      <c r="I435">
        <v>6.3375595063497547</v>
      </c>
      <c r="J435">
        <v>2722.634169774446</v>
      </c>
      <c r="K435">
        <v>1629.6161123396239</v>
      </c>
      <c r="L435">
        <v>0.59854391398996798</v>
      </c>
    </row>
    <row r="436" spans="1:12" x14ac:dyDescent="0.35">
      <c r="A436">
        <v>2029</v>
      </c>
      <c r="B436" t="s">
        <v>11</v>
      </c>
      <c r="C436" t="s">
        <v>10</v>
      </c>
      <c r="D436" t="s">
        <v>18</v>
      </c>
      <c r="E436" t="s">
        <v>490</v>
      </c>
      <c r="F436" t="s">
        <v>82</v>
      </c>
      <c r="G436">
        <v>1635.953671845974</v>
      </c>
      <c r="H436">
        <v>10.588294957512471</v>
      </c>
      <c r="I436">
        <v>6.3375595063497547</v>
      </c>
      <c r="J436">
        <v>2722.634169774446</v>
      </c>
      <c r="K436">
        <v>1629.6161123396239</v>
      </c>
      <c r="L436">
        <v>0.59854391398996798</v>
      </c>
    </row>
    <row r="437" spans="1:12" x14ac:dyDescent="0.35">
      <c r="A437">
        <v>2029</v>
      </c>
      <c r="B437" t="s">
        <v>8</v>
      </c>
      <c r="C437" t="s">
        <v>4</v>
      </c>
      <c r="D437" t="s">
        <v>16</v>
      </c>
      <c r="E437" t="s">
        <v>483</v>
      </c>
      <c r="F437" t="s">
        <v>80</v>
      </c>
      <c r="G437">
        <v>64370.502916696467</v>
      </c>
      <c r="H437">
        <v>0</v>
      </c>
      <c r="I437">
        <v>0</v>
      </c>
      <c r="J437">
        <v>81734.613041072735</v>
      </c>
      <c r="K437">
        <v>64370.502916696467</v>
      </c>
      <c r="L437">
        <v>0.787554996857322</v>
      </c>
    </row>
    <row r="438" spans="1:12" x14ac:dyDescent="0.35">
      <c r="A438">
        <v>2029</v>
      </c>
      <c r="B438" t="s">
        <v>8</v>
      </c>
      <c r="C438" t="s">
        <v>4</v>
      </c>
      <c r="D438" t="s">
        <v>16</v>
      </c>
      <c r="E438" t="s">
        <v>483</v>
      </c>
      <c r="F438" t="s">
        <v>81</v>
      </c>
      <c r="G438">
        <v>64370.502916696467</v>
      </c>
      <c r="H438">
        <v>152074</v>
      </c>
      <c r="I438">
        <v>85295.271642077118</v>
      </c>
      <c r="J438">
        <v>0</v>
      </c>
      <c r="K438">
        <v>0</v>
      </c>
      <c r="L438">
        <v>0.787554996857322</v>
      </c>
    </row>
    <row r="439" spans="1:12" x14ac:dyDescent="0.35">
      <c r="A439">
        <v>2029</v>
      </c>
      <c r="B439" t="s">
        <v>8</v>
      </c>
      <c r="C439" t="s">
        <v>4</v>
      </c>
      <c r="D439" t="s">
        <v>18</v>
      </c>
      <c r="E439" t="s">
        <v>483</v>
      </c>
      <c r="F439" t="s">
        <v>85</v>
      </c>
      <c r="G439">
        <v>64370.502916696467</v>
      </c>
      <c r="H439">
        <v>190724</v>
      </c>
      <c r="I439">
        <v>106973.2852996799</v>
      </c>
      <c r="J439">
        <v>0</v>
      </c>
      <c r="K439">
        <v>0</v>
      </c>
      <c r="L439">
        <v>0.787554996857322</v>
      </c>
    </row>
    <row r="440" spans="1:12" x14ac:dyDescent="0.35">
      <c r="A440">
        <v>2029</v>
      </c>
      <c r="B440" t="s">
        <v>8</v>
      </c>
      <c r="C440" t="s">
        <v>4</v>
      </c>
      <c r="D440" t="s">
        <v>18</v>
      </c>
      <c r="E440" t="s">
        <v>483</v>
      </c>
      <c r="F440" t="s">
        <v>86</v>
      </c>
      <c r="G440">
        <v>64370.502916696467</v>
      </c>
      <c r="H440">
        <v>190724</v>
      </c>
      <c r="I440">
        <v>106973.2852996799</v>
      </c>
      <c r="J440">
        <v>0</v>
      </c>
      <c r="K440">
        <v>0</v>
      </c>
      <c r="L440">
        <v>0.787554996857322</v>
      </c>
    </row>
    <row r="441" spans="1:12" x14ac:dyDescent="0.35">
      <c r="A441">
        <v>2029</v>
      </c>
      <c r="B441" t="s">
        <v>8</v>
      </c>
      <c r="C441" t="s">
        <v>4</v>
      </c>
      <c r="D441" t="s">
        <v>18</v>
      </c>
      <c r="E441" t="s">
        <v>490</v>
      </c>
      <c r="F441" t="s">
        <v>82</v>
      </c>
      <c r="G441">
        <v>64370.502916696467</v>
      </c>
      <c r="H441">
        <v>190724</v>
      </c>
      <c r="I441">
        <v>150205.63922061599</v>
      </c>
      <c r="J441">
        <v>0</v>
      </c>
      <c r="K441">
        <v>0</v>
      </c>
      <c r="L441">
        <v>0.787554996857322</v>
      </c>
    </row>
    <row r="442" spans="1:12" x14ac:dyDescent="0.35">
      <c r="A442">
        <v>2029</v>
      </c>
      <c r="B442" t="s">
        <v>8</v>
      </c>
      <c r="C442" t="s">
        <v>9</v>
      </c>
      <c r="D442" t="s">
        <v>16</v>
      </c>
      <c r="E442" t="s">
        <v>483</v>
      </c>
      <c r="F442" t="s">
        <v>80</v>
      </c>
      <c r="G442">
        <v>37163.881136711549</v>
      </c>
      <c r="H442">
        <v>0</v>
      </c>
      <c r="I442">
        <v>0</v>
      </c>
      <c r="J442">
        <v>47188.934468083084</v>
      </c>
      <c r="K442">
        <v>37163.881136711549</v>
      </c>
      <c r="L442">
        <v>0.787554996857322</v>
      </c>
    </row>
    <row r="443" spans="1:12" x14ac:dyDescent="0.35">
      <c r="A443">
        <v>2029</v>
      </c>
      <c r="B443" t="s">
        <v>8</v>
      </c>
      <c r="C443" t="s">
        <v>9</v>
      </c>
      <c r="D443" t="s">
        <v>16</v>
      </c>
      <c r="E443" t="s">
        <v>483</v>
      </c>
      <c r="F443" t="s">
        <v>81</v>
      </c>
      <c r="G443">
        <v>37163.881136711549</v>
      </c>
      <c r="H443">
        <v>152074</v>
      </c>
      <c r="I443">
        <v>85295.271642077118</v>
      </c>
      <c r="J443">
        <v>0</v>
      </c>
      <c r="K443">
        <v>0</v>
      </c>
      <c r="L443">
        <v>0.787554996857322</v>
      </c>
    </row>
    <row r="444" spans="1:12" x14ac:dyDescent="0.35">
      <c r="A444">
        <v>2029</v>
      </c>
      <c r="B444" t="s">
        <v>8</v>
      </c>
      <c r="C444" t="s">
        <v>9</v>
      </c>
      <c r="D444" t="s">
        <v>18</v>
      </c>
      <c r="E444" t="s">
        <v>483</v>
      </c>
      <c r="F444" t="s">
        <v>85</v>
      </c>
      <c r="G444">
        <v>37163.881136711549</v>
      </c>
      <c r="H444">
        <v>190724</v>
      </c>
      <c r="I444">
        <v>106973.2852996799</v>
      </c>
      <c r="J444">
        <v>0</v>
      </c>
      <c r="K444">
        <v>0</v>
      </c>
      <c r="L444">
        <v>0.787554996857322</v>
      </c>
    </row>
    <row r="445" spans="1:12" x14ac:dyDescent="0.35">
      <c r="A445">
        <v>2029</v>
      </c>
      <c r="B445" t="s">
        <v>8</v>
      </c>
      <c r="C445" t="s">
        <v>9</v>
      </c>
      <c r="D445" t="s">
        <v>18</v>
      </c>
      <c r="E445" t="s">
        <v>483</v>
      </c>
      <c r="F445" t="s">
        <v>86</v>
      </c>
      <c r="G445">
        <v>37163.881136711549</v>
      </c>
      <c r="H445">
        <v>190724</v>
      </c>
      <c r="I445">
        <v>106973.2852996799</v>
      </c>
      <c r="J445">
        <v>0</v>
      </c>
      <c r="K445">
        <v>0</v>
      </c>
      <c r="L445">
        <v>0.787554996857322</v>
      </c>
    </row>
    <row r="446" spans="1:12" x14ac:dyDescent="0.35">
      <c r="A446">
        <v>2029</v>
      </c>
      <c r="B446" t="s">
        <v>8</v>
      </c>
      <c r="C446" t="s">
        <v>9</v>
      </c>
      <c r="D446" t="s">
        <v>18</v>
      </c>
      <c r="E446" t="s">
        <v>490</v>
      </c>
      <c r="F446" t="s">
        <v>82</v>
      </c>
      <c r="G446">
        <v>37163.881136711549</v>
      </c>
      <c r="H446">
        <v>190724</v>
      </c>
      <c r="I446">
        <v>150205.63922061599</v>
      </c>
      <c r="J446">
        <v>0</v>
      </c>
      <c r="K446">
        <v>0</v>
      </c>
      <c r="L446">
        <v>0.787554996857322</v>
      </c>
    </row>
    <row r="447" spans="1:12" x14ac:dyDescent="0.35">
      <c r="A447">
        <v>2029</v>
      </c>
      <c r="B447" t="s">
        <v>8</v>
      </c>
      <c r="C447" t="s">
        <v>10</v>
      </c>
      <c r="D447" t="s">
        <v>16</v>
      </c>
      <c r="E447" t="s">
        <v>483</v>
      </c>
      <c r="F447" t="s">
        <v>80</v>
      </c>
      <c r="G447">
        <v>61092.529648571137</v>
      </c>
      <c r="H447">
        <v>0</v>
      </c>
      <c r="I447">
        <v>0</v>
      </c>
      <c r="J447">
        <v>77572.397981545684</v>
      </c>
      <c r="K447">
        <v>61092.529648571137</v>
      </c>
      <c r="L447">
        <v>0.787554996857322</v>
      </c>
    </row>
    <row r="448" spans="1:12" x14ac:dyDescent="0.35">
      <c r="A448">
        <v>2029</v>
      </c>
      <c r="B448" t="s">
        <v>8</v>
      </c>
      <c r="C448" t="s">
        <v>10</v>
      </c>
      <c r="D448" t="s">
        <v>16</v>
      </c>
      <c r="E448" t="s">
        <v>483</v>
      </c>
      <c r="F448" t="s">
        <v>81</v>
      </c>
      <c r="G448">
        <v>61092.529648571137</v>
      </c>
      <c r="H448">
        <v>152074</v>
      </c>
      <c r="I448">
        <v>85295.271642077118</v>
      </c>
      <c r="J448">
        <v>0</v>
      </c>
      <c r="K448">
        <v>0</v>
      </c>
      <c r="L448">
        <v>0.787554996857322</v>
      </c>
    </row>
    <row r="449" spans="1:12" x14ac:dyDescent="0.35">
      <c r="A449">
        <v>2029</v>
      </c>
      <c r="B449" t="s">
        <v>8</v>
      </c>
      <c r="C449" t="s">
        <v>10</v>
      </c>
      <c r="D449" t="s">
        <v>18</v>
      </c>
      <c r="E449" t="s">
        <v>483</v>
      </c>
      <c r="F449" t="s">
        <v>85</v>
      </c>
      <c r="G449">
        <v>61092.529648571137</v>
      </c>
      <c r="H449">
        <v>190724</v>
      </c>
      <c r="I449">
        <v>106973.2852996799</v>
      </c>
      <c r="J449">
        <v>0</v>
      </c>
      <c r="K449">
        <v>0</v>
      </c>
      <c r="L449">
        <v>0.787554996857322</v>
      </c>
    </row>
    <row r="450" spans="1:12" x14ac:dyDescent="0.35">
      <c r="A450">
        <v>2029</v>
      </c>
      <c r="B450" t="s">
        <v>8</v>
      </c>
      <c r="C450" t="s">
        <v>10</v>
      </c>
      <c r="D450" t="s">
        <v>18</v>
      </c>
      <c r="E450" t="s">
        <v>483</v>
      </c>
      <c r="F450" t="s">
        <v>86</v>
      </c>
      <c r="G450">
        <v>61092.529648571137</v>
      </c>
      <c r="H450">
        <v>190724</v>
      </c>
      <c r="I450">
        <v>106973.2852996799</v>
      </c>
      <c r="J450">
        <v>0</v>
      </c>
      <c r="K450">
        <v>0</v>
      </c>
      <c r="L450">
        <v>0.787554996857322</v>
      </c>
    </row>
    <row r="451" spans="1:12" x14ac:dyDescent="0.35">
      <c r="A451">
        <v>2029</v>
      </c>
      <c r="B451" t="s">
        <v>8</v>
      </c>
      <c r="C451" t="s">
        <v>10</v>
      </c>
      <c r="D451" t="s">
        <v>18</v>
      </c>
      <c r="E451" t="s">
        <v>490</v>
      </c>
      <c r="F451" t="s">
        <v>82</v>
      </c>
      <c r="G451">
        <v>61092.529648571137</v>
      </c>
      <c r="H451">
        <v>190724</v>
      </c>
      <c r="I451">
        <v>150205.63922061599</v>
      </c>
      <c r="J451">
        <v>0</v>
      </c>
      <c r="K451">
        <v>0</v>
      </c>
      <c r="L451">
        <v>0.787554996857322</v>
      </c>
    </row>
    <row r="452" spans="1:12" x14ac:dyDescent="0.35">
      <c r="A452">
        <v>2030</v>
      </c>
      <c r="B452" t="s">
        <v>6</v>
      </c>
      <c r="C452" t="s">
        <v>4</v>
      </c>
      <c r="D452" t="s">
        <v>16</v>
      </c>
      <c r="E452" t="s">
        <v>483</v>
      </c>
      <c r="F452" t="s">
        <v>80</v>
      </c>
      <c r="G452">
        <v>58753.881043988476</v>
      </c>
      <c r="H452">
        <v>0</v>
      </c>
      <c r="I452">
        <v>0</v>
      </c>
      <c r="J452">
        <v>133730.14752515199</v>
      </c>
      <c r="K452">
        <v>58753.881043988476</v>
      </c>
      <c r="L452">
        <v>0.439346565686978</v>
      </c>
    </row>
    <row r="453" spans="1:12" x14ac:dyDescent="0.35">
      <c r="A453">
        <v>2030</v>
      </c>
      <c r="B453" t="s">
        <v>6</v>
      </c>
      <c r="C453" t="s">
        <v>4</v>
      </c>
      <c r="D453" t="s">
        <v>16</v>
      </c>
      <c r="E453" t="s">
        <v>483</v>
      </c>
      <c r="F453" t="s">
        <v>81</v>
      </c>
      <c r="G453">
        <v>58753.881043988476</v>
      </c>
      <c r="H453">
        <v>3861</v>
      </c>
      <c r="I453">
        <v>1637.7660393504759</v>
      </c>
      <c r="J453">
        <v>129869.147525152</v>
      </c>
      <c r="K453">
        <v>57116.115004637999</v>
      </c>
      <c r="L453">
        <v>0.439346565686978</v>
      </c>
    </row>
    <row r="454" spans="1:12" x14ac:dyDescent="0.35">
      <c r="A454">
        <v>2030</v>
      </c>
      <c r="B454" t="s">
        <v>6</v>
      </c>
      <c r="C454" t="s">
        <v>4</v>
      </c>
      <c r="D454" t="s">
        <v>18</v>
      </c>
      <c r="E454" t="s">
        <v>483</v>
      </c>
      <c r="F454" t="s">
        <v>85</v>
      </c>
      <c r="G454">
        <v>58753.881043988476</v>
      </c>
      <c r="H454">
        <v>7722.69119676847</v>
      </c>
      <c r="I454">
        <v>3275.825271809967</v>
      </c>
      <c r="J454">
        <v>126007.4563283836</v>
      </c>
      <c r="K454">
        <v>55478.055772178508</v>
      </c>
      <c r="L454">
        <v>0.439346565686978</v>
      </c>
    </row>
    <row r="455" spans="1:12" x14ac:dyDescent="0.35">
      <c r="A455">
        <v>2030</v>
      </c>
      <c r="B455" t="s">
        <v>6</v>
      </c>
      <c r="C455" t="s">
        <v>4</v>
      </c>
      <c r="D455" t="s">
        <v>18</v>
      </c>
      <c r="E455" t="s">
        <v>483</v>
      </c>
      <c r="F455" t="s">
        <v>86</v>
      </c>
      <c r="G455">
        <v>58753.881043988476</v>
      </c>
      <c r="H455">
        <v>7722.69119676847</v>
      </c>
      <c r="I455">
        <v>3275.825271809967</v>
      </c>
      <c r="J455">
        <v>126007.4563283836</v>
      </c>
      <c r="K455">
        <v>55478.055772178508</v>
      </c>
      <c r="L455">
        <v>0.439346565686978</v>
      </c>
    </row>
    <row r="456" spans="1:12" x14ac:dyDescent="0.35">
      <c r="A456">
        <v>2030</v>
      </c>
      <c r="B456" t="s">
        <v>6</v>
      </c>
      <c r="C456" t="s">
        <v>4</v>
      </c>
      <c r="D456" t="s">
        <v>18</v>
      </c>
      <c r="E456" t="s">
        <v>490</v>
      </c>
      <c r="F456" t="s">
        <v>82</v>
      </c>
      <c r="G456">
        <v>58753.881043988476</v>
      </c>
      <c r="H456">
        <v>7722.69119676847</v>
      </c>
      <c r="I456">
        <v>3392.937855161289</v>
      </c>
      <c r="J456">
        <v>126007.4563283836</v>
      </c>
      <c r="K456">
        <v>55360.943188827187</v>
      </c>
      <c r="L456">
        <v>0.439346565686978</v>
      </c>
    </row>
    <row r="457" spans="1:12" x14ac:dyDescent="0.35">
      <c r="A457">
        <v>2030</v>
      </c>
      <c r="B457" t="s">
        <v>6</v>
      </c>
      <c r="C457" t="s">
        <v>9</v>
      </c>
      <c r="D457" t="s">
        <v>16</v>
      </c>
      <c r="E457" t="s">
        <v>483</v>
      </c>
      <c r="F457" t="s">
        <v>80</v>
      </c>
      <c r="G457">
        <v>28359.41743748487</v>
      </c>
      <c r="H457">
        <v>0</v>
      </c>
      <c r="I457">
        <v>0</v>
      </c>
      <c r="J457">
        <v>64549.081869209716</v>
      </c>
      <c r="K457">
        <v>28359.41743748487</v>
      </c>
      <c r="L457">
        <v>0.439346565686978</v>
      </c>
    </row>
    <row r="458" spans="1:12" x14ac:dyDescent="0.35">
      <c r="A458">
        <v>2030</v>
      </c>
      <c r="B458" t="s">
        <v>6</v>
      </c>
      <c r="C458" t="s">
        <v>9</v>
      </c>
      <c r="D458" t="s">
        <v>16</v>
      </c>
      <c r="E458" t="s">
        <v>483</v>
      </c>
      <c r="F458" t="s">
        <v>81</v>
      </c>
      <c r="G458">
        <v>28359.41743748487</v>
      </c>
      <c r="H458">
        <v>3861</v>
      </c>
      <c r="I458">
        <v>1637.7660393504759</v>
      </c>
      <c r="J458">
        <v>60688.081869209716</v>
      </c>
      <c r="K458">
        <v>26721.651398134389</v>
      </c>
      <c r="L458">
        <v>0.439346565686978</v>
      </c>
    </row>
    <row r="459" spans="1:12" x14ac:dyDescent="0.35">
      <c r="A459">
        <v>2030</v>
      </c>
      <c r="B459" t="s">
        <v>6</v>
      </c>
      <c r="C459" t="s">
        <v>9</v>
      </c>
      <c r="D459" t="s">
        <v>18</v>
      </c>
      <c r="E459" t="s">
        <v>483</v>
      </c>
      <c r="F459" t="s">
        <v>85</v>
      </c>
      <c r="G459">
        <v>28359.41743748487</v>
      </c>
      <c r="H459">
        <v>7722.69119676847</v>
      </c>
      <c r="I459">
        <v>3275.825271809967</v>
      </c>
      <c r="J459">
        <v>56826.390672441252</v>
      </c>
      <c r="K459">
        <v>25083.592165674901</v>
      </c>
      <c r="L459">
        <v>0.439346565686978</v>
      </c>
    </row>
    <row r="460" spans="1:12" x14ac:dyDescent="0.35">
      <c r="A460">
        <v>2030</v>
      </c>
      <c r="B460" t="s">
        <v>6</v>
      </c>
      <c r="C460" t="s">
        <v>9</v>
      </c>
      <c r="D460" t="s">
        <v>18</v>
      </c>
      <c r="E460" t="s">
        <v>483</v>
      </c>
      <c r="F460" t="s">
        <v>86</v>
      </c>
      <c r="G460">
        <v>28359.41743748487</v>
      </c>
      <c r="H460">
        <v>7722.69119676847</v>
      </c>
      <c r="I460">
        <v>3275.825271809967</v>
      </c>
      <c r="J460">
        <v>56826.390672441252</v>
      </c>
      <c r="K460">
        <v>25083.592165674901</v>
      </c>
      <c r="L460">
        <v>0.439346565686978</v>
      </c>
    </row>
    <row r="461" spans="1:12" x14ac:dyDescent="0.35">
      <c r="A461">
        <v>2030</v>
      </c>
      <c r="B461" t="s">
        <v>6</v>
      </c>
      <c r="C461" t="s">
        <v>9</v>
      </c>
      <c r="D461" t="s">
        <v>18</v>
      </c>
      <c r="E461" t="s">
        <v>490</v>
      </c>
      <c r="F461" t="s">
        <v>82</v>
      </c>
      <c r="G461">
        <v>28359.41743748487</v>
      </c>
      <c r="H461">
        <v>7722.69119676847</v>
      </c>
      <c r="I461">
        <v>3392.937855161289</v>
      </c>
      <c r="J461">
        <v>56826.390672441252</v>
      </c>
      <c r="K461">
        <v>24966.47958232358</v>
      </c>
      <c r="L461">
        <v>0.439346565686978</v>
      </c>
    </row>
    <row r="462" spans="1:12" x14ac:dyDescent="0.35">
      <c r="A462">
        <v>2030</v>
      </c>
      <c r="B462" t="s">
        <v>6</v>
      </c>
      <c r="C462" t="s">
        <v>10</v>
      </c>
      <c r="D462" t="s">
        <v>16</v>
      </c>
      <c r="E462" t="s">
        <v>483</v>
      </c>
      <c r="F462" t="s">
        <v>80</v>
      </c>
      <c r="G462">
        <v>55644.976100679487</v>
      </c>
      <c r="H462">
        <v>0</v>
      </c>
      <c r="I462">
        <v>0</v>
      </c>
      <c r="J462">
        <v>126653.9457607254</v>
      </c>
      <c r="K462">
        <v>55644.976100679487</v>
      </c>
      <c r="L462">
        <v>0.439346565686978</v>
      </c>
    </row>
    <row r="463" spans="1:12" x14ac:dyDescent="0.35">
      <c r="A463">
        <v>2030</v>
      </c>
      <c r="B463" t="s">
        <v>6</v>
      </c>
      <c r="C463" t="s">
        <v>10</v>
      </c>
      <c r="D463" t="s">
        <v>16</v>
      </c>
      <c r="E463" t="s">
        <v>483</v>
      </c>
      <c r="F463" t="s">
        <v>81</v>
      </c>
      <c r="G463">
        <v>55644.976100679487</v>
      </c>
      <c r="H463">
        <v>3861</v>
      </c>
      <c r="I463">
        <v>1637.7660393504759</v>
      </c>
      <c r="J463">
        <v>122792.9457607254</v>
      </c>
      <c r="K463">
        <v>54007.210061329009</v>
      </c>
      <c r="L463">
        <v>0.439346565686978</v>
      </c>
    </row>
    <row r="464" spans="1:12" x14ac:dyDescent="0.35">
      <c r="A464">
        <v>2030</v>
      </c>
      <c r="B464" t="s">
        <v>6</v>
      </c>
      <c r="C464" t="s">
        <v>10</v>
      </c>
      <c r="D464" t="s">
        <v>18</v>
      </c>
      <c r="E464" t="s">
        <v>483</v>
      </c>
      <c r="F464" t="s">
        <v>85</v>
      </c>
      <c r="G464">
        <v>55644.976100679487</v>
      </c>
      <c r="H464">
        <v>7722.69119676847</v>
      </c>
      <c r="I464">
        <v>3275.825271809967</v>
      </c>
      <c r="J464">
        <v>118931.2545639569</v>
      </c>
      <c r="K464">
        <v>52369.150828869519</v>
      </c>
      <c r="L464">
        <v>0.439346565686978</v>
      </c>
    </row>
    <row r="465" spans="1:12" x14ac:dyDescent="0.35">
      <c r="A465">
        <v>2030</v>
      </c>
      <c r="B465" t="s">
        <v>6</v>
      </c>
      <c r="C465" t="s">
        <v>10</v>
      </c>
      <c r="D465" t="s">
        <v>18</v>
      </c>
      <c r="E465" t="s">
        <v>483</v>
      </c>
      <c r="F465" t="s">
        <v>86</v>
      </c>
      <c r="G465">
        <v>55644.976100679487</v>
      </c>
      <c r="H465">
        <v>7722.69119676847</v>
      </c>
      <c r="I465">
        <v>3275.825271809967</v>
      </c>
      <c r="J465">
        <v>118931.2545639569</v>
      </c>
      <c r="K465">
        <v>52369.150828869519</v>
      </c>
      <c r="L465">
        <v>0.439346565686978</v>
      </c>
    </row>
    <row r="466" spans="1:12" x14ac:dyDescent="0.35">
      <c r="A466">
        <v>2030</v>
      </c>
      <c r="B466" t="s">
        <v>6</v>
      </c>
      <c r="C466" t="s">
        <v>10</v>
      </c>
      <c r="D466" t="s">
        <v>18</v>
      </c>
      <c r="E466" t="s">
        <v>490</v>
      </c>
      <c r="F466" t="s">
        <v>82</v>
      </c>
      <c r="G466">
        <v>55644.976100679487</v>
      </c>
      <c r="H466">
        <v>7722.69119676847</v>
      </c>
      <c r="I466">
        <v>3392.937855161289</v>
      </c>
      <c r="J466">
        <v>118931.2545639569</v>
      </c>
      <c r="K466">
        <v>52252.038245518197</v>
      </c>
      <c r="L466">
        <v>0.439346565686978</v>
      </c>
    </row>
    <row r="467" spans="1:12" x14ac:dyDescent="0.35">
      <c r="A467">
        <v>2030</v>
      </c>
      <c r="B467" t="s">
        <v>7</v>
      </c>
      <c r="C467" t="s">
        <v>4</v>
      </c>
      <c r="D467" t="s">
        <v>16</v>
      </c>
      <c r="E467" t="s">
        <v>483</v>
      </c>
      <c r="F467" t="s">
        <v>80</v>
      </c>
      <c r="G467">
        <v>999788.1668806962</v>
      </c>
      <c r="H467">
        <v>0</v>
      </c>
      <c r="I467">
        <v>0</v>
      </c>
      <c r="J467">
        <v>1197715.7735220529</v>
      </c>
      <c r="K467">
        <v>999788.1668806962</v>
      </c>
      <c r="L467">
        <v>0.83474576271186396</v>
      </c>
    </row>
    <row r="468" spans="1:12" x14ac:dyDescent="0.35">
      <c r="A468">
        <v>2030</v>
      </c>
      <c r="B468" t="s">
        <v>7</v>
      </c>
      <c r="C468" t="s">
        <v>4</v>
      </c>
      <c r="D468" t="s">
        <v>16</v>
      </c>
      <c r="E468" t="s">
        <v>483</v>
      </c>
      <c r="F468" t="s">
        <v>81</v>
      </c>
      <c r="G468">
        <v>999788.1668806962</v>
      </c>
      <c r="H468">
        <v>331738</v>
      </c>
      <c r="I468">
        <v>174364.3747679751</v>
      </c>
      <c r="J468">
        <v>865977.77352205291</v>
      </c>
      <c r="K468">
        <v>825423.79211272113</v>
      </c>
      <c r="L468">
        <v>0.83474576271186396</v>
      </c>
    </row>
    <row r="469" spans="1:12" x14ac:dyDescent="0.35">
      <c r="A469">
        <v>2030</v>
      </c>
      <c r="B469" t="s">
        <v>7</v>
      </c>
      <c r="C469" t="s">
        <v>4</v>
      </c>
      <c r="D469" t="s">
        <v>18</v>
      </c>
      <c r="E469" t="s">
        <v>483</v>
      </c>
      <c r="F469" t="s">
        <v>85</v>
      </c>
      <c r="G469">
        <v>999788.1668806962</v>
      </c>
      <c r="H469">
        <v>686257.18012875051</v>
      </c>
      <c r="I469">
        <v>360702.73572271859</v>
      </c>
      <c r="J469">
        <v>511458.59339330241</v>
      </c>
      <c r="K469">
        <v>639085.43115797755</v>
      </c>
      <c r="L469">
        <v>0.83474576271186396</v>
      </c>
    </row>
    <row r="470" spans="1:12" x14ac:dyDescent="0.35">
      <c r="A470">
        <v>2030</v>
      </c>
      <c r="B470" t="s">
        <v>7</v>
      </c>
      <c r="C470" t="s">
        <v>4</v>
      </c>
      <c r="D470" t="s">
        <v>18</v>
      </c>
      <c r="E470" t="s">
        <v>483</v>
      </c>
      <c r="F470" t="s">
        <v>86</v>
      </c>
      <c r="G470">
        <v>999788.1668806962</v>
      </c>
      <c r="H470">
        <v>686257.18012875051</v>
      </c>
      <c r="I470">
        <v>360702.73572271859</v>
      </c>
      <c r="J470">
        <v>511458.59339330241</v>
      </c>
      <c r="K470">
        <v>639085.43115797755</v>
      </c>
      <c r="L470">
        <v>0.83474576271186396</v>
      </c>
    </row>
    <row r="471" spans="1:12" x14ac:dyDescent="0.35">
      <c r="A471">
        <v>2030</v>
      </c>
      <c r="B471" t="s">
        <v>7</v>
      </c>
      <c r="C471" t="s">
        <v>4</v>
      </c>
      <c r="D471" t="s">
        <v>18</v>
      </c>
      <c r="E471" t="s">
        <v>490</v>
      </c>
      <c r="F471" t="s">
        <v>82</v>
      </c>
      <c r="G471">
        <v>999788.1668806962</v>
      </c>
      <c r="H471">
        <v>686257.18012875051</v>
      </c>
      <c r="I471">
        <v>572850.2732430672</v>
      </c>
      <c r="J471">
        <v>511458.59339330241</v>
      </c>
      <c r="K471">
        <v>426937.89363762899</v>
      </c>
      <c r="L471">
        <v>0.83474576271186396</v>
      </c>
    </row>
    <row r="472" spans="1:12" x14ac:dyDescent="0.35">
      <c r="A472">
        <v>2030</v>
      </c>
      <c r="B472" t="s">
        <v>7</v>
      </c>
      <c r="C472" t="s">
        <v>9</v>
      </c>
      <c r="D472" t="s">
        <v>16</v>
      </c>
      <c r="E472" t="s">
        <v>483</v>
      </c>
      <c r="F472" t="s">
        <v>80</v>
      </c>
      <c r="G472">
        <v>938553.71310400078</v>
      </c>
      <c r="H472">
        <v>0</v>
      </c>
      <c r="I472">
        <v>0</v>
      </c>
      <c r="J472">
        <v>1124358.762906316</v>
      </c>
      <c r="K472">
        <v>938553.71310400078</v>
      </c>
      <c r="L472">
        <v>0.83474576271186396</v>
      </c>
    </row>
    <row r="473" spans="1:12" x14ac:dyDescent="0.35">
      <c r="A473">
        <v>2030</v>
      </c>
      <c r="B473" t="s">
        <v>7</v>
      </c>
      <c r="C473" t="s">
        <v>9</v>
      </c>
      <c r="D473" t="s">
        <v>16</v>
      </c>
      <c r="E473" t="s">
        <v>483</v>
      </c>
      <c r="F473" t="s">
        <v>81</v>
      </c>
      <c r="G473">
        <v>938553.71310400078</v>
      </c>
      <c r="H473">
        <v>331738</v>
      </c>
      <c r="I473">
        <v>174364.3747679751</v>
      </c>
      <c r="J473">
        <v>792620.7629063162</v>
      </c>
      <c r="K473">
        <v>764189.33833602571</v>
      </c>
      <c r="L473">
        <v>0.83474576271186396</v>
      </c>
    </row>
    <row r="474" spans="1:12" x14ac:dyDescent="0.35">
      <c r="A474">
        <v>2030</v>
      </c>
      <c r="B474" t="s">
        <v>7</v>
      </c>
      <c r="C474" t="s">
        <v>9</v>
      </c>
      <c r="D474" t="s">
        <v>18</v>
      </c>
      <c r="E474" t="s">
        <v>483</v>
      </c>
      <c r="F474" t="s">
        <v>85</v>
      </c>
      <c r="G474">
        <v>938553.71310400078</v>
      </c>
      <c r="H474">
        <v>686257.18012875051</v>
      </c>
      <c r="I474">
        <v>360702.73572271859</v>
      </c>
      <c r="J474">
        <v>438101.58277756569</v>
      </c>
      <c r="K474">
        <v>577850.97738128214</v>
      </c>
      <c r="L474">
        <v>0.83474576271186396</v>
      </c>
    </row>
    <row r="475" spans="1:12" x14ac:dyDescent="0.35">
      <c r="A475">
        <v>2030</v>
      </c>
      <c r="B475" t="s">
        <v>7</v>
      </c>
      <c r="C475" t="s">
        <v>9</v>
      </c>
      <c r="D475" t="s">
        <v>18</v>
      </c>
      <c r="E475" t="s">
        <v>483</v>
      </c>
      <c r="F475" t="s">
        <v>86</v>
      </c>
      <c r="G475">
        <v>938553.71310400078</v>
      </c>
      <c r="H475">
        <v>686257.18012875051</v>
      </c>
      <c r="I475">
        <v>360702.73572271859</v>
      </c>
      <c r="J475">
        <v>438101.58277756569</v>
      </c>
      <c r="K475">
        <v>577850.97738128214</v>
      </c>
      <c r="L475">
        <v>0.83474576271186396</v>
      </c>
    </row>
    <row r="476" spans="1:12" x14ac:dyDescent="0.35">
      <c r="A476">
        <v>2030</v>
      </c>
      <c r="B476" t="s">
        <v>7</v>
      </c>
      <c r="C476" t="s">
        <v>9</v>
      </c>
      <c r="D476" t="s">
        <v>18</v>
      </c>
      <c r="E476" t="s">
        <v>490</v>
      </c>
      <c r="F476" t="s">
        <v>82</v>
      </c>
      <c r="G476">
        <v>938553.71310400078</v>
      </c>
      <c r="H476">
        <v>686257.18012875051</v>
      </c>
      <c r="I476">
        <v>572850.2732430672</v>
      </c>
      <c r="J476">
        <v>438101.58277756569</v>
      </c>
      <c r="K476">
        <v>365703.43986093358</v>
      </c>
      <c r="L476">
        <v>0.83474576271186396</v>
      </c>
    </row>
    <row r="477" spans="1:12" x14ac:dyDescent="0.35">
      <c r="A477">
        <v>2030</v>
      </c>
      <c r="B477" t="s">
        <v>7</v>
      </c>
      <c r="C477" t="s">
        <v>10</v>
      </c>
      <c r="D477" t="s">
        <v>16</v>
      </c>
      <c r="E477" t="s">
        <v>483</v>
      </c>
      <c r="F477" t="s">
        <v>80</v>
      </c>
      <c r="G477">
        <v>970850.53343822004</v>
      </c>
      <c r="H477">
        <v>0</v>
      </c>
      <c r="I477">
        <v>0</v>
      </c>
      <c r="J477">
        <v>1163049.3700072081</v>
      </c>
      <c r="K477">
        <v>970850.53343822004</v>
      </c>
      <c r="L477">
        <v>0.83474576271186396</v>
      </c>
    </row>
    <row r="478" spans="1:12" x14ac:dyDescent="0.35">
      <c r="A478">
        <v>2030</v>
      </c>
      <c r="B478" t="s">
        <v>7</v>
      </c>
      <c r="C478" t="s">
        <v>10</v>
      </c>
      <c r="D478" t="s">
        <v>16</v>
      </c>
      <c r="E478" t="s">
        <v>483</v>
      </c>
      <c r="F478" t="s">
        <v>81</v>
      </c>
      <c r="G478">
        <v>970850.53343822004</v>
      </c>
      <c r="H478">
        <v>331738</v>
      </c>
      <c r="I478">
        <v>174364.3747679751</v>
      </c>
      <c r="J478">
        <v>831311.37000720832</v>
      </c>
      <c r="K478">
        <v>796486.15867024497</v>
      </c>
      <c r="L478">
        <v>0.83474576271186396</v>
      </c>
    </row>
    <row r="479" spans="1:12" x14ac:dyDescent="0.35">
      <c r="A479">
        <v>2030</v>
      </c>
      <c r="B479" t="s">
        <v>7</v>
      </c>
      <c r="C479" t="s">
        <v>10</v>
      </c>
      <c r="D479" t="s">
        <v>18</v>
      </c>
      <c r="E479" t="s">
        <v>483</v>
      </c>
      <c r="F479" t="s">
        <v>85</v>
      </c>
      <c r="G479">
        <v>970850.53343822004</v>
      </c>
      <c r="H479">
        <v>686257.18012875051</v>
      </c>
      <c r="I479">
        <v>360702.73572271859</v>
      </c>
      <c r="J479">
        <v>476792.18987845781</v>
      </c>
      <c r="K479">
        <v>610147.79771550139</v>
      </c>
      <c r="L479">
        <v>0.83474576271186396</v>
      </c>
    </row>
    <row r="480" spans="1:12" x14ac:dyDescent="0.35">
      <c r="A480">
        <v>2030</v>
      </c>
      <c r="B480" t="s">
        <v>7</v>
      </c>
      <c r="C480" t="s">
        <v>10</v>
      </c>
      <c r="D480" t="s">
        <v>18</v>
      </c>
      <c r="E480" t="s">
        <v>483</v>
      </c>
      <c r="F480" t="s">
        <v>86</v>
      </c>
      <c r="G480">
        <v>970850.53343822004</v>
      </c>
      <c r="H480">
        <v>686257.18012875051</v>
      </c>
      <c r="I480">
        <v>360702.73572271859</v>
      </c>
      <c r="J480">
        <v>476792.18987845781</v>
      </c>
      <c r="K480">
        <v>610147.79771550139</v>
      </c>
      <c r="L480">
        <v>0.83474576271186396</v>
      </c>
    </row>
    <row r="481" spans="1:12" x14ac:dyDescent="0.35">
      <c r="A481">
        <v>2030</v>
      </c>
      <c r="B481" t="s">
        <v>7</v>
      </c>
      <c r="C481" t="s">
        <v>10</v>
      </c>
      <c r="D481" t="s">
        <v>18</v>
      </c>
      <c r="E481" t="s">
        <v>490</v>
      </c>
      <c r="F481" t="s">
        <v>82</v>
      </c>
      <c r="G481">
        <v>970850.53343822004</v>
      </c>
      <c r="H481">
        <v>686257.18012875051</v>
      </c>
      <c r="I481">
        <v>572850.2732430672</v>
      </c>
      <c r="J481">
        <v>476792.18987845781</v>
      </c>
      <c r="K481">
        <v>398000.26019515278</v>
      </c>
      <c r="L481">
        <v>0.83474576271186396</v>
      </c>
    </row>
    <row r="482" spans="1:12" x14ac:dyDescent="0.35">
      <c r="A482">
        <v>2030</v>
      </c>
      <c r="B482" t="s">
        <v>13</v>
      </c>
      <c r="C482" t="s">
        <v>4</v>
      </c>
      <c r="D482" t="s">
        <v>16</v>
      </c>
      <c r="E482" t="s">
        <v>483</v>
      </c>
      <c r="F482" t="s">
        <v>80</v>
      </c>
      <c r="G482">
        <v>1855.5643647638899</v>
      </c>
      <c r="H482">
        <v>0</v>
      </c>
      <c r="I482">
        <v>0</v>
      </c>
      <c r="J482">
        <v>1855.5643647638899</v>
      </c>
      <c r="K482">
        <v>1855.5643647638899</v>
      </c>
      <c r="L482">
        <v>1</v>
      </c>
    </row>
    <row r="483" spans="1:12" x14ac:dyDescent="0.35">
      <c r="A483">
        <v>2030</v>
      </c>
      <c r="B483" t="s">
        <v>13</v>
      </c>
      <c r="C483" t="s">
        <v>4</v>
      </c>
      <c r="D483" t="s">
        <v>16</v>
      </c>
      <c r="E483" t="s">
        <v>483</v>
      </c>
      <c r="F483" t="s">
        <v>81</v>
      </c>
      <c r="G483">
        <v>1855.5643647638899</v>
      </c>
      <c r="H483">
        <v>0</v>
      </c>
      <c r="I483">
        <v>0</v>
      </c>
      <c r="J483">
        <v>1855.5643647638899</v>
      </c>
      <c r="K483">
        <v>1855.5643647638899</v>
      </c>
      <c r="L483">
        <v>1</v>
      </c>
    </row>
    <row r="484" spans="1:12" x14ac:dyDescent="0.35">
      <c r="A484">
        <v>2030</v>
      </c>
      <c r="B484" t="s">
        <v>13</v>
      </c>
      <c r="C484" t="s">
        <v>4</v>
      </c>
      <c r="D484" t="s">
        <v>18</v>
      </c>
      <c r="E484" t="s">
        <v>483</v>
      </c>
      <c r="F484" t="s">
        <v>85</v>
      </c>
      <c r="G484">
        <v>1855.5643647638899</v>
      </c>
      <c r="H484">
        <v>99712</v>
      </c>
      <c r="I484">
        <v>32904.959999999999</v>
      </c>
      <c r="J484">
        <v>0</v>
      </c>
      <c r="K484">
        <v>0</v>
      </c>
      <c r="L484">
        <v>1</v>
      </c>
    </row>
    <row r="485" spans="1:12" x14ac:dyDescent="0.35">
      <c r="A485">
        <v>2030</v>
      </c>
      <c r="B485" t="s">
        <v>13</v>
      </c>
      <c r="C485" t="s">
        <v>4</v>
      </c>
      <c r="D485" t="s">
        <v>18</v>
      </c>
      <c r="E485" t="s">
        <v>483</v>
      </c>
      <c r="F485" t="s">
        <v>86</v>
      </c>
      <c r="G485">
        <v>1855.5643647638899</v>
      </c>
      <c r="H485">
        <v>99712</v>
      </c>
      <c r="I485">
        <v>32904.959999999999</v>
      </c>
      <c r="J485">
        <v>0</v>
      </c>
      <c r="K485">
        <v>0</v>
      </c>
      <c r="L485">
        <v>1</v>
      </c>
    </row>
    <row r="486" spans="1:12" x14ac:dyDescent="0.35">
      <c r="A486">
        <v>2030</v>
      </c>
      <c r="B486" t="s">
        <v>13</v>
      </c>
      <c r="C486" t="s">
        <v>4</v>
      </c>
      <c r="D486" t="s">
        <v>18</v>
      </c>
      <c r="E486" t="s">
        <v>490</v>
      </c>
      <c r="F486" t="s">
        <v>82</v>
      </c>
      <c r="G486">
        <v>1855.5643647638899</v>
      </c>
      <c r="H486">
        <v>99712</v>
      </c>
      <c r="I486">
        <v>32904.959999999999</v>
      </c>
      <c r="J486">
        <v>0</v>
      </c>
      <c r="K486">
        <v>0</v>
      </c>
      <c r="L486">
        <v>1</v>
      </c>
    </row>
    <row r="487" spans="1:12" x14ac:dyDescent="0.35">
      <c r="A487">
        <v>2030</v>
      </c>
      <c r="B487" t="s">
        <v>13</v>
      </c>
      <c r="C487" t="s">
        <v>9</v>
      </c>
      <c r="D487" t="s">
        <v>16</v>
      </c>
      <c r="E487" t="s">
        <v>483</v>
      </c>
      <c r="F487" t="s">
        <v>80</v>
      </c>
      <c r="G487">
        <v>872.97124354802133</v>
      </c>
      <c r="H487">
        <v>0</v>
      </c>
      <c r="I487">
        <v>0</v>
      </c>
      <c r="J487">
        <v>872.97124354802133</v>
      </c>
      <c r="K487">
        <v>872.97124354802133</v>
      </c>
      <c r="L487">
        <v>1</v>
      </c>
    </row>
    <row r="488" spans="1:12" x14ac:dyDescent="0.35">
      <c r="A488">
        <v>2030</v>
      </c>
      <c r="B488" t="s">
        <v>13</v>
      </c>
      <c r="C488" t="s">
        <v>9</v>
      </c>
      <c r="D488" t="s">
        <v>16</v>
      </c>
      <c r="E488" t="s">
        <v>483</v>
      </c>
      <c r="F488" t="s">
        <v>81</v>
      </c>
      <c r="G488">
        <v>872.97124354802133</v>
      </c>
      <c r="H488">
        <v>0</v>
      </c>
      <c r="I488">
        <v>0</v>
      </c>
      <c r="J488">
        <v>872.97124354802133</v>
      </c>
      <c r="K488">
        <v>872.97124354802133</v>
      </c>
      <c r="L488">
        <v>1</v>
      </c>
    </row>
    <row r="489" spans="1:12" x14ac:dyDescent="0.35">
      <c r="A489">
        <v>2030</v>
      </c>
      <c r="B489" t="s">
        <v>13</v>
      </c>
      <c r="C489" t="s">
        <v>9</v>
      </c>
      <c r="D489" t="s">
        <v>18</v>
      </c>
      <c r="E489" t="s">
        <v>483</v>
      </c>
      <c r="F489" t="s">
        <v>85</v>
      </c>
      <c r="G489">
        <v>872.97124354802133</v>
      </c>
      <c r="H489">
        <v>99712</v>
      </c>
      <c r="I489">
        <v>32904.959999999999</v>
      </c>
      <c r="J489">
        <v>0</v>
      </c>
      <c r="K489">
        <v>0</v>
      </c>
      <c r="L489">
        <v>1</v>
      </c>
    </row>
    <row r="490" spans="1:12" x14ac:dyDescent="0.35">
      <c r="A490">
        <v>2030</v>
      </c>
      <c r="B490" t="s">
        <v>13</v>
      </c>
      <c r="C490" t="s">
        <v>9</v>
      </c>
      <c r="D490" t="s">
        <v>18</v>
      </c>
      <c r="E490" t="s">
        <v>483</v>
      </c>
      <c r="F490" t="s">
        <v>86</v>
      </c>
      <c r="G490">
        <v>872.97124354802133</v>
      </c>
      <c r="H490">
        <v>99712</v>
      </c>
      <c r="I490">
        <v>32904.959999999999</v>
      </c>
      <c r="J490">
        <v>0</v>
      </c>
      <c r="K490">
        <v>0</v>
      </c>
      <c r="L490">
        <v>1</v>
      </c>
    </row>
    <row r="491" spans="1:12" x14ac:dyDescent="0.35">
      <c r="A491">
        <v>2030</v>
      </c>
      <c r="B491" t="s">
        <v>13</v>
      </c>
      <c r="C491" t="s">
        <v>9</v>
      </c>
      <c r="D491" t="s">
        <v>18</v>
      </c>
      <c r="E491" t="s">
        <v>490</v>
      </c>
      <c r="F491" t="s">
        <v>82</v>
      </c>
      <c r="G491">
        <v>872.97124354802133</v>
      </c>
      <c r="H491">
        <v>99712</v>
      </c>
      <c r="I491">
        <v>32904.959999999999</v>
      </c>
      <c r="J491">
        <v>0</v>
      </c>
      <c r="K491">
        <v>0</v>
      </c>
      <c r="L491">
        <v>1</v>
      </c>
    </row>
    <row r="492" spans="1:12" x14ac:dyDescent="0.35">
      <c r="A492">
        <v>2030</v>
      </c>
      <c r="B492" t="s">
        <v>13</v>
      </c>
      <c r="C492" t="s">
        <v>10</v>
      </c>
      <c r="D492" t="s">
        <v>16</v>
      </c>
      <c r="E492" t="s">
        <v>483</v>
      </c>
      <c r="F492" t="s">
        <v>80</v>
      </c>
      <c r="G492">
        <v>1761.827543456644</v>
      </c>
      <c r="H492">
        <v>0</v>
      </c>
      <c r="I492">
        <v>0</v>
      </c>
      <c r="J492">
        <v>1761.827543456644</v>
      </c>
      <c r="K492">
        <v>1761.827543456644</v>
      </c>
      <c r="L492">
        <v>1</v>
      </c>
    </row>
    <row r="493" spans="1:12" x14ac:dyDescent="0.35">
      <c r="A493">
        <v>2030</v>
      </c>
      <c r="B493" t="s">
        <v>13</v>
      </c>
      <c r="C493" t="s">
        <v>10</v>
      </c>
      <c r="D493" t="s">
        <v>16</v>
      </c>
      <c r="E493" t="s">
        <v>483</v>
      </c>
      <c r="F493" t="s">
        <v>81</v>
      </c>
      <c r="G493">
        <v>1761.827543456644</v>
      </c>
      <c r="H493">
        <v>0</v>
      </c>
      <c r="I493">
        <v>0</v>
      </c>
      <c r="J493">
        <v>1761.827543456644</v>
      </c>
      <c r="K493">
        <v>1761.827543456644</v>
      </c>
      <c r="L493">
        <v>1</v>
      </c>
    </row>
    <row r="494" spans="1:12" x14ac:dyDescent="0.35">
      <c r="A494">
        <v>2030</v>
      </c>
      <c r="B494" t="s">
        <v>13</v>
      </c>
      <c r="C494" t="s">
        <v>10</v>
      </c>
      <c r="D494" t="s">
        <v>18</v>
      </c>
      <c r="E494" t="s">
        <v>483</v>
      </c>
      <c r="F494" t="s">
        <v>85</v>
      </c>
      <c r="G494">
        <v>1761.827543456644</v>
      </c>
      <c r="H494">
        <v>99712</v>
      </c>
      <c r="I494">
        <v>32904.959999999999</v>
      </c>
      <c r="J494">
        <v>0</v>
      </c>
      <c r="K494">
        <v>0</v>
      </c>
      <c r="L494">
        <v>1</v>
      </c>
    </row>
    <row r="495" spans="1:12" x14ac:dyDescent="0.35">
      <c r="A495">
        <v>2030</v>
      </c>
      <c r="B495" t="s">
        <v>13</v>
      </c>
      <c r="C495" t="s">
        <v>10</v>
      </c>
      <c r="D495" t="s">
        <v>18</v>
      </c>
      <c r="E495" t="s">
        <v>483</v>
      </c>
      <c r="F495" t="s">
        <v>86</v>
      </c>
      <c r="G495">
        <v>1761.827543456644</v>
      </c>
      <c r="H495">
        <v>99712</v>
      </c>
      <c r="I495">
        <v>32904.959999999999</v>
      </c>
      <c r="J495">
        <v>0</v>
      </c>
      <c r="K495">
        <v>0</v>
      </c>
      <c r="L495">
        <v>1</v>
      </c>
    </row>
    <row r="496" spans="1:12" x14ac:dyDescent="0.35">
      <c r="A496">
        <v>2030</v>
      </c>
      <c r="B496" t="s">
        <v>13</v>
      </c>
      <c r="C496" t="s">
        <v>10</v>
      </c>
      <c r="D496" t="s">
        <v>18</v>
      </c>
      <c r="E496" t="s">
        <v>490</v>
      </c>
      <c r="F496" t="s">
        <v>82</v>
      </c>
      <c r="G496">
        <v>1761.827543456644</v>
      </c>
      <c r="H496">
        <v>99712</v>
      </c>
      <c r="I496">
        <v>32904.959999999999</v>
      </c>
      <c r="J496">
        <v>0</v>
      </c>
      <c r="K496">
        <v>0</v>
      </c>
      <c r="L496">
        <v>1</v>
      </c>
    </row>
    <row r="497" spans="1:12" x14ac:dyDescent="0.35">
      <c r="A497">
        <v>2030</v>
      </c>
      <c r="B497" t="s">
        <v>12</v>
      </c>
      <c r="C497" t="s">
        <v>4</v>
      </c>
      <c r="D497" t="s">
        <v>16</v>
      </c>
      <c r="E497" t="s">
        <v>483</v>
      </c>
      <c r="F497" t="s">
        <v>80</v>
      </c>
      <c r="G497">
        <v>30338.572462274031</v>
      </c>
      <c r="H497">
        <v>0</v>
      </c>
      <c r="I497">
        <v>0</v>
      </c>
      <c r="J497">
        <v>43392.23940986344</v>
      </c>
      <c r="K497">
        <v>30338.572462274031</v>
      </c>
      <c r="L497">
        <v>0.69917047091553897</v>
      </c>
    </row>
    <row r="498" spans="1:12" x14ac:dyDescent="0.35">
      <c r="A498">
        <v>2030</v>
      </c>
      <c r="B498" t="s">
        <v>12</v>
      </c>
      <c r="C498" t="s">
        <v>4</v>
      </c>
      <c r="D498" t="s">
        <v>16</v>
      </c>
      <c r="E498" t="s">
        <v>483</v>
      </c>
      <c r="F498" t="s">
        <v>81</v>
      </c>
      <c r="G498">
        <v>30338.572462274031</v>
      </c>
      <c r="H498">
        <v>38979</v>
      </c>
      <c r="I498">
        <v>27252.965785816788</v>
      </c>
      <c r="J498">
        <v>4413.2394098634404</v>
      </c>
      <c r="K498">
        <v>3085.6066764572388</v>
      </c>
      <c r="L498">
        <v>0.69917047091553897</v>
      </c>
    </row>
    <row r="499" spans="1:12" x14ac:dyDescent="0.35">
      <c r="A499">
        <v>2030</v>
      </c>
      <c r="B499" t="s">
        <v>12</v>
      </c>
      <c r="C499" t="s">
        <v>4</v>
      </c>
      <c r="D499" t="s">
        <v>18</v>
      </c>
      <c r="E499" t="s">
        <v>483</v>
      </c>
      <c r="F499" t="s">
        <v>85</v>
      </c>
      <c r="G499">
        <v>30338.572462274031</v>
      </c>
      <c r="H499">
        <v>146529</v>
      </c>
      <c r="I499">
        <v>102448.749932783</v>
      </c>
      <c r="J499">
        <v>0</v>
      </c>
      <c r="K499">
        <v>0</v>
      </c>
      <c r="L499">
        <v>0.69917047091553897</v>
      </c>
    </row>
    <row r="500" spans="1:12" x14ac:dyDescent="0.35">
      <c r="A500">
        <v>2030</v>
      </c>
      <c r="B500" t="s">
        <v>12</v>
      </c>
      <c r="C500" t="s">
        <v>4</v>
      </c>
      <c r="D500" t="s">
        <v>18</v>
      </c>
      <c r="E500" t="s">
        <v>483</v>
      </c>
      <c r="F500" t="s">
        <v>86</v>
      </c>
      <c r="G500">
        <v>30338.572462274031</v>
      </c>
      <c r="H500">
        <v>146529</v>
      </c>
      <c r="I500">
        <v>102448.749932783</v>
      </c>
      <c r="J500">
        <v>0</v>
      </c>
      <c r="K500">
        <v>0</v>
      </c>
      <c r="L500">
        <v>0.69917047091553897</v>
      </c>
    </row>
    <row r="501" spans="1:12" x14ac:dyDescent="0.35">
      <c r="A501">
        <v>2030</v>
      </c>
      <c r="B501" t="s">
        <v>12</v>
      </c>
      <c r="C501" t="s">
        <v>4</v>
      </c>
      <c r="D501" t="s">
        <v>18</v>
      </c>
      <c r="E501" t="s">
        <v>490</v>
      </c>
      <c r="F501" t="s">
        <v>82</v>
      </c>
      <c r="G501">
        <v>30338.572462274031</v>
      </c>
      <c r="H501">
        <v>146529</v>
      </c>
      <c r="I501">
        <v>102448.749932783</v>
      </c>
      <c r="J501">
        <v>0</v>
      </c>
      <c r="K501">
        <v>0</v>
      </c>
      <c r="L501">
        <v>0.69917047091553897</v>
      </c>
    </row>
    <row r="502" spans="1:12" x14ac:dyDescent="0.35">
      <c r="A502">
        <v>2030</v>
      </c>
      <c r="B502" t="s">
        <v>12</v>
      </c>
      <c r="C502" t="s">
        <v>9</v>
      </c>
      <c r="D502" t="s">
        <v>16</v>
      </c>
      <c r="E502" t="s">
        <v>483</v>
      </c>
      <c r="F502" t="s">
        <v>80</v>
      </c>
      <c r="G502">
        <v>14273.12457212076</v>
      </c>
      <c r="H502">
        <v>0</v>
      </c>
      <c r="I502">
        <v>0</v>
      </c>
      <c r="J502">
        <v>20414.369836630271</v>
      </c>
      <c r="K502">
        <v>14273.12457212076</v>
      </c>
      <c r="L502">
        <v>0.69917047091553897</v>
      </c>
    </row>
    <row r="503" spans="1:12" x14ac:dyDescent="0.35">
      <c r="A503">
        <v>2030</v>
      </c>
      <c r="B503" t="s">
        <v>12</v>
      </c>
      <c r="C503" t="s">
        <v>9</v>
      </c>
      <c r="D503" t="s">
        <v>16</v>
      </c>
      <c r="E503" t="s">
        <v>483</v>
      </c>
      <c r="F503" t="s">
        <v>81</v>
      </c>
      <c r="G503">
        <v>14273.12457212076</v>
      </c>
      <c r="H503">
        <v>38979</v>
      </c>
      <c r="I503">
        <v>27252.965785816788</v>
      </c>
      <c r="J503">
        <v>0</v>
      </c>
      <c r="K503">
        <v>0</v>
      </c>
      <c r="L503">
        <v>0.69917047091553897</v>
      </c>
    </row>
    <row r="504" spans="1:12" x14ac:dyDescent="0.35">
      <c r="A504">
        <v>2030</v>
      </c>
      <c r="B504" t="s">
        <v>12</v>
      </c>
      <c r="C504" t="s">
        <v>9</v>
      </c>
      <c r="D504" t="s">
        <v>18</v>
      </c>
      <c r="E504" t="s">
        <v>483</v>
      </c>
      <c r="F504" t="s">
        <v>85</v>
      </c>
      <c r="G504">
        <v>14273.12457212076</v>
      </c>
      <c r="H504">
        <v>146529</v>
      </c>
      <c r="I504">
        <v>102448.749932783</v>
      </c>
      <c r="J504">
        <v>0</v>
      </c>
      <c r="K504">
        <v>0</v>
      </c>
      <c r="L504">
        <v>0.69917047091553897</v>
      </c>
    </row>
    <row r="505" spans="1:12" x14ac:dyDescent="0.35">
      <c r="A505">
        <v>2030</v>
      </c>
      <c r="B505" t="s">
        <v>12</v>
      </c>
      <c r="C505" t="s">
        <v>9</v>
      </c>
      <c r="D505" t="s">
        <v>18</v>
      </c>
      <c r="E505" t="s">
        <v>483</v>
      </c>
      <c r="F505" t="s">
        <v>86</v>
      </c>
      <c r="G505">
        <v>14273.12457212076</v>
      </c>
      <c r="H505">
        <v>146529</v>
      </c>
      <c r="I505">
        <v>102448.749932783</v>
      </c>
      <c r="J505">
        <v>0</v>
      </c>
      <c r="K505">
        <v>0</v>
      </c>
      <c r="L505">
        <v>0.69917047091553897</v>
      </c>
    </row>
    <row r="506" spans="1:12" x14ac:dyDescent="0.35">
      <c r="A506">
        <v>2030</v>
      </c>
      <c r="B506" t="s">
        <v>12</v>
      </c>
      <c r="C506" t="s">
        <v>9</v>
      </c>
      <c r="D506" t="s">
        <v>18</v>
      </c>
      <c r="E506" t="s">
        <v>490</v>
      </c>
      <c r="F506" t="s">
        <v>82</v>
      </c>
      <c r="G506">
        <v>14273.12457212076</v>
      </c>
      <c r="H506">
        <v>146529</v>
      </c>
      <c r="I506">
        <v>102448.749932783</v>
      </c>
      <c r="J506">
        <v>0</v>
      </c>
      <c r="K506">
        <v>0</v>
      </c>
      <c r="L506">
        <v>0.69917047091553897</v>
      </c>
    </row>
    <row r="507" spans="1:12" x14ac:dyDescent="0.35">
      <c r="A507">
        <v>2030</v>
      </c>
      <c r="B507" t="s">
        <v>12</v>
      </c>
      <c r="C507" t="s">
        <v>10</v>
      </c>
      <c r="D507" t="s">
        <v>16</v>
      </c>
      <c r="E507" t="s">
        <v>483</v>
      </c>
      <c r="F507" t="s">
        <v>80</v>
      </c>
      <c r="G507">
        <v>28805.97062985264</v>
      </c>
      <c r="H507">
        <v>0</v>
      </c>
      <c r="I507">
        <v>0</v>
      </c>
      <c r="J507">
        <v>41200.210575444129</v>
      </c>
      <c r="K507">
        <v>28805.97062985264</v>
      </c>
      <c r="L507">
        <v>0.69917047091553897</v>
      </c>
    </row>
    <row r="508" spans="1:12" x14ac:dyDescent="0.35">
      <c r="A508">
        <v>2030</v>
      </c>
      <c r="B508" t="s">
        <v>12</v>
      </c>
      <c r="C508" t="s">
        <v>10</v>
      </c>
      <c r="D508" t="s">
        <v>16</v>
      </c>
      <c r="E508" t="s">
        <v>483</v>
      </c>
      <c r="F508" t="s">
        <v>81</v>
      </c>
      <c r="G508">
        <v>28805.97062985264</v>
      </c>
      <c r="H508">
        <v>38979</v>
      </c>
      <c r="I508">
        <v>27252.965785816788</v>
      </c>
      <c r="J508">
        <v>2221.2105754441291</v>
      </c>
      <c r="K508">
        <v>1553.004844035848</v>
      </c>
      <c r="L508">
        <v>0.69917047091553897</v>
      </c>
    </row>
    <row r="509" spans="1:12" x14ac:dyDescent="0.35">
      <c r="A509">
        <v>2030</v>
      </c>
      <c r="B509" t="s">
        <v>12</v>
      </c>
      <c r="C509" t="s">
        <v>10</v>
      </c>
      <c r="D509" t="s">
        <v>18</v>
      </c>
      <c r="E509" t="s">
        <v>483</v>
      </c>
      <c r="F509" t="s">
        <v>85</v>
      </c>
      <c r="G509">
        <v>28805.97062985264</v>
      </c>
      <c r="H509">
        <v>146529</v>
      </c>
      <c r="I509">
        <v>102448.749932783</v>
      </c>
      <c r="J509">
        <v>0</v>
      </c>
      <c r="K509">
        <v>0</v>
      </c>
      <c r="L509">
        <v>0.69917047091553897</v>
      </c>
    </row>
    <row r="510" spans="1:12" x14ac:dyDescent="0.35">
      <c r="A510">
        <v>2030</v>
      </c>
      <c r="B510" t="s">
        <v>12</v>
      </c>
      <c r="C510" t="s">
        <v>10</v>
      </c>
      <c r="D510" t="s">
        <v>18</v>
      </c>
      <c r="E510" t="s">
        <v>483</v>
      </c>
      <c r="F510" t="s">
        <v>86</v>
      </c>
      <c r="G510">
        <v>28805.97062985264</v>
      </c>
      <c r="H510">
        <v>146529</v>
      </c>
      <c r="I510">
        <v>102448.749932783</v>
      </c>
      <c r="J510">
        <v>0</v>
      </c>
      <c r="K510">
        <v>0</v>
      </c>
      <c r="L510">
        <v>0.69917047091553897</v>
      </c>
    </row>
    <row r="511" spans="1:12" x14ac:dyDescent="0.35">
      <c r="A511">
        <v>2030</v>
      </c>
      <c r="B511" t="s">
        <v>12</v>
      </c>
      <c r="C511" t="s">
        <v>10</v>
      </c>
      <c r="D511" t="s">
        <v>18</v>
      </c>
      <c r="E511" t="s">
        <v>490</v>
      </c>
      <c r="F511" t="s">
        <v>82</v>
      </c>
      <c r="G511">
        <v>28805.97062985264</v>
      </c>
      <c r="H511">
        <v>146529</v>
      </c>
      <c r="I511">
        <v>102448.749932783</v>
      </c>
      <c r="J511">
        <v>0</v>
      </c>
      <c r="K511">
        <v>0</v>
      </c>
      <c r="L511">
        <v>0.69917047091553897</v>
      </c>
    </row>
    <row r="512" spans="1:12" x14ac:dyDescent="0.35">
      <c r="A512">
        <v>2030</v>
      </c>
      <c r="B512" t="s">
        <v>11</v>
      </c>
      <c r="C512" t="s">
        <v>4</v>
      </c>
      <c r="D512" t="s">
        <v>16</v>
      </c>
      <c r="E512" t="s">
        <v>483</v>
      </c>
      <c r="F512" t="s">
        <v>80</v>
      </c>
      <c r="G512">
        <v>2154.8829337155262</v>
      </c>
      <c r="H512">
        <v>0</v>
      </c>
      <c r="I512">
        <v>0</v>
      </c>
      <c r="J512">
        <v>3600.2085784329661</v>
      </c>
      <c r="K512">
        <v>2154.8829337155262</v>
      </c>
      <c r="L512">
        <v>0.59854391398996798</v>
      </c>
    </row>
    <row r="513" spans="1:12" x14ac:dyDescent="0.35">
      <c r="A513">
        <v>2030</v>
      </c>
      <c r="B513" t="s">
        <v>11</v>
      </c>
      <c r="C513" t="s">
        <v>4</v>
      </c>
      <c r="D513" t="s">
        <v>16</v>
      </c>
      <c r="E513" t="s">
        <v>483</v>
      </c>
      <c r="F513" t="s">
        <v>81</v>
      </c>
      <c r="G513">
        <v>2154.8829337155262</v>
      </c>
      <c r="H513">
        <v>0</v>
      </c>
      <c r="I513">
        <v>0</v>
      </c>
      <c r="J513">
        <v>3600.2085784329661</v>
      </c>
      <c r="K513">
        <v>2154.8829337155262</v>
      </c>
      <c r="L513">
        <v>0.59854391398996798</v>
      </c>
    </row>
    <row r="514" spans="1:12" x14ac:dyDescent="0.35">
      <c r="A514">
        <v>2030</v>
      </c>
      <c r="B514" t="s">
        <v>11</v>
      </c>
      <c r="C514" t="s">
        <v>4</v>
      </c>
      <c r="D514" t="s">
        <v>18</v>
      </c>
      <c r="E514" t="s">
        <v>483</v>
      </c>
      <c r="F514" t="s">
        <v>85</v>
      </c>
      <c r="G514">
        <v>2154.8829337155262</v>
      </c>
      <c r="H514">
        <v>14.8330257144349</v>
      </c>
      <c r="I514">
        <v>8.878217267431701</v>
      </c>
      <c r="J514">
        <v>3585.3755527185308</v>
      </c>
      <c r="K514">
        <v>2146.0047164480939</v>
      </c>
      <c r="L514">
        <v>0.59854391398996798</v>
      </c>
    </row>
    <row r="515" spans="1:12" x14ac:dyDescent="0.35">
      <c r="A515">
        <v>2030</v>
      </c>
      <c r="B515" t="s">
        <v>11</v>
      </c>
      <c r="C515" t="s">
        <v>4</v>
      </c>
      <c r="D515" t="s">
        <v>18</v>
      </c>
      <c r="E515" t="s">
        <v>483</v>
      </c>
      <c r="F515" t="s">
        <v>86</v>
      </c>
      <c r="G515">
        <v>2154.8829337155262</v>
      </c>
      <c r="H515">
        <v>14.8330257144349</v>
      </c>
      <c r="I515">
        <v>8.878217267431701</v>
      </c>
      <c r="J515">
        <v>3585.3755527185308</v>
      </c>
      <c r="K515">
        <v>2146.0047164480939</v>
      </c>
      <c r="L515">
        <v>0.59854391398996798</v>
      </c>
    </row>
    <row r="516" spans="1:12" x14ac:dyDescent="0.35">
      <c r="A516">
        <v>2030</v>
      </c>
      <c r="B516" t="s">
        <v>11</v>
      </c>
      <c r="C516" t="s">
        <v>4</v>
      </c>
      <c r="D516" t="s">
        <v>18</v>
      </c>
      <c r="E516" t="s">
        <v>490</v>
      </c>
      <c r="F516" t="s">
        <v>82</v>
      </c>
      <c r="G516">
        <v>2154.8829337155262</v>
      </c>
      <c r="H516">
        <v>14.8330257144349</v>
      </c>
      <c r="I516">
        <v>8.878217267431701</v>
      </c>
      <c r="J516">
        <v>3585.3755527185308</v>
      </c>
      <c r="K516">
        <v>2146.0047164480939</v>
      </c>
      <c r="L516">
        <v>0.59854391398996798</v>
      </c>
    </row>
    <row r="517" spans="1:12" x14ac:dyDescent="0.35">
      <c r="A517">
        <v>2030</v>
      </c>
      <c r="B517" t="s">
        <v>11</v>
      </c>
      <c r="C517" t="s">
        <v>9</v>
      </c>
      <c r="D517" t="s">
        <v>16</v>
      </c>
      <c r="E517" t="s">
        <v>483</v>
      </c>
      <c r="F517" t="s">
        <v>80</v>
      </c>
      <c r="G517">
        <v>874.53250184739602</v>
      </c>
      <c r="H517">
        <v>0</v>
      </c>
      <c r="I517">
        <v>0</v>
      </c>
      <c r="J517">
        <v>1461.099981816963</v>
      </c>
      <c r="K517">
        <v>874.53250184739602</v>
      </c>
      <c r="L517">
        <v>0.59854391398996798</v>
      </c>
    </row>
    <row r="518" spans="1:12" x14ac:dyDescent="0.35">
      <c r="A518">
        <v>2030</v>
      </c>
      <c r="B518" t="s">
        <v>11</v>
      </c>
      <c r="C518" t="s">
        <v>9</v>
      </c>
      <c r="D518" t="s">
        <v>16</v>
      </c>
      <c r="E518" t="s">
        <v>483</v>
      </c>
      <c r="F518" t="s">
        <v>81</v>
      </c>
      <c r="G518">
        <v>874.53250184739602</v>
      </c>
      <c r="H518">
        <v>0</v>
      </c>
      <c r="I518">
        <v>0</v>
      </c>
      <c r="J518">
        <v>1461.099981816963</v>
      </c>
      <c r="K518">
        <v>874.53250184739602</v>
      </c>
      <c r="L518">
        <v>0.59854391398996798</v>
      </c>
    </row>
    <row r="519" spans="1:12" x14ac:dyDescent="0.35">
      <c r="A519">
        <v>2030</v>
      </c>
      <c r="B519" t="s">
        <v>11</v>
      </c>
      <c r="C519" t="s">
        <v>9</v>
      </c>
      <c r="D519" t="s">
        <v>18</v>
      </c>
      <c r="E519" t="s">
        <v>483</v>
      </c>
      <c r="F519" t="s">
        <v>85</v>
      </c>
      <c r="G519">
        <v>874.53250184739602</v>
      </c>
      <c r="H519">
        <v>14.8330257144349</v>
      </c>
      <c r="I519">
        <v>8.878217267431701</v>
      </c>
      <c r="J519">
        <v>1446.266956102528</v>
      </c>
      <c r="K519">
        <v>865.65428457996427</v>
      </c>
      <c r="L519">
        <v>0.59854391398996798</v>
      </c>
    </row>
    <row r="520" spans="1:12" x14ac:dyDescent="0.35">
      <c r="A520">
        <v>2030</v>
      </c>
      <c r="B520" t="s">
        <v>11</v>
      </c>
      <c r="C520" t="s">
        <v>9</v>
      </c>
      <c r="D520" t="s">
        <v>18</v>
      </c>
      <c r="E520" t="s">
        <v>483</v>
      </c>
      <c r="F520" t="s">
        <v>86</v>
      </c>
      <c r="G520">
        <v>874.53250184739602</v>
      </c>
      <c r="H520">
        <v>14.8330257144349</v>
      </c>
      <c r="I520">
        <v>8.878217267431701</v>
      </c>
      <c r="J520">
        <v>1446.266956102528</v>
      </c>
      <c r="K520">
        <v>865.65428457996427</v>
      </c>
      <c r="L520">
        <v>0.59854391398996798</v>
      </c>
    </row>
    <row r="521" spans="1:12" x14ac:dyDescent="0.35">
      <c r="A521">
        <v>2030</v>
      </c>
      <c r="B521" t="s">
        <v>11</v>
      </c>
      <c r="C521" t="s">
        <v>9</v>
      </c>
      <c r="D521" t="s">
        <v>18</v>
      </c>
      <c r="E521" t="s">
        <v>490</v>
      </c>
      <c r="F521" t="s">
        <v>82</v>
      </c>
      <c r="G521">
        <v>874.53250184739602</v>
      </c>
      <c r="H521">
        <v>14.8330257144349</v>
      </c>
      <c r="I521">
        <v>8.878217267431701</v>
      </c>
      <c r="J521">
        <v>1446.266956102528</v>
      </c>
      <c r="K521">
        <v>865.65428457996427</v>
      </c>
      <c r="L521">
        <v>0.59854391398996798</v>
      </c>
    </row>
    <row r="522" spans="1:12" x14ac:dyDescent="0.35">
      <c r="A522">
        <v>2030</v>
      </c>
      <c r="B522" t="s">
        <v>11</v>
      </c>
      <c r="C522" t="s">
        <v>10</v>
      </c>
      <c r="D522" t="s">
        <v>16</v>
      </c>
      <c r="E522" t="s">
        <v>483</v>
      </c>
      <c r="F522" t="s">
        <v>80</v>
      </c>
      <c r="G522">
        <v>2060.9784695548619</v>
      </c>
      <c r="H522">
        <v>0</v>
      </c>
      <c r="I522">
        <v>0</v>
      </c>
      <c r="J522">
        <v>3443.3204003631481</v>
      </c>
      <c r="K522">
        <v>2060.9784695548619</v>
      </c>
      <c r="L522">
        <v>0.59854391398996798</v>
      </c>
    </row>
    <row r="523" spans="1:12" x14ac:dyDescent="0.35">
      <c r="A523">
        <v>2030</v>
      </c>
      <c r="B523" t="s">
        <v>11</v>
      </c>
      <c r="C523" t="s">
        <v>10</v>
      </c>
      <c r="D523" t="s">
        <v>16</v>
      </c>
      <c r="E523" t="s">
        <v>483</v>
      </c>
      <c r="F523" t="s">
        <v>81</v>
      </c>
      <c r="G523">
        <v>2060.9784695548619</v>
      </c>
      <c r="H523">
        <v>0</v>
      </c>
      <c r="I523">
        <v>0</v>
      </c>
      <c r="J523">
        <v>3443.3204003631481</v>
      </c>
      <c r="K523">
        <v>2060.9784695548619</v>
      </c>
      <c r="L523">
        <v>0.59854391398996798</v>
      </c>
    </row>
    <row r="524" spans="1:12" x14ac:dyDescent="0.35">
      <c r="A524">
        <v>2030</v>
      </c>
      <c r="B524" t="s">
        <v>11</v>
      </c>
      <c r="C524" t="s">
        <v>10</v>
      </c>
      <c r="D524" t="s">
        <v>18</v>
      </c>
      <c r="E524" t="s">
        <v>483</v>
      </c>
      <c r="F524" t="s">
        <v>85</v>
      </c>
      <c r="G524">
        <v>2060.9784695548619</v>
      </c>
      <c r="H524">
        <v>14.8330257144349</v>
      </c>
      <c r="I524">
        <v>8.878217267431701</v>
      </c>
      <c r="J524">
        <v>3428.4873746487128</v>
      </c>
      <c r="K524">
        <v>2052.1002522874301</v>
      </c>
      <c r="L524">
        <v>0.59854391398996798</v>
      </c>
    </row>
    <row r="525" spans="1:12" x14ac:dyDescent="0.35">
      <c r="A525">
        <v>2030</v>
      </c>
      <c r="B525" t="s">
        <v>11</v>
      </c>
      <c r="C525" t="s">
        <v>10</v>
      </c>
      <c r="D525" t="s">
        <v>18</v>
      </c>
      <c r="E525" t="s">
        <v>483</v>
      </c>
      <c r="F525" t="s">
        <v>86</v>
      </c>
      <c r="G525">
        <v>2060.9784695548619</v>
      </c>
      <c r="H525">
        <v>14.8330257144349</v>
      </c>
      <c r="I525">
        <v>8.878217267431701</v>
      </c>
      <c r="J525">
        <v>3428.4873746487128</v>
      </c>
      <c r="K525">
        <v>2052.1002522874301</v>
      </c>
      <c r="L525">
        <v>0.59854391398996798</v>
      </c>
    </row>
    <row r="526" spans="1:12" x14ac:dyDescent="0.35">
      <c r="A526">
        <v>2030</v>
      </c>
      <c r="B526" t="s">
        <v>11</v>
      </c>
      <c r="C526" t="s">
        <v>10</v>
      </c>
      <c r="D526" t="s">
        <v>18</v>
      </c>
      <c r="E526" t="s">
        <v>490</v>
      </c>
      <c r="F526" t="s">
        <v>82</v>
      </c>
      <c r="G526">
        <v>2060.9784695548619</v>
      </c>
      <c r="H526">
        <v>14.8330257144349</v>
      </c>
      <c r="I526">
        <v>8.878217267431701</v>
      </c>
      <c r="J526">
        <v>3428.4873746487128</v>
      </c>
      <c r="K526">
        <v>2052.1002522874301</v>
      </c>
      <c r="L526">
        <v>0.59854391398996798</v>
      </c>
    </row>
    <row r="527" spans="1:12" x14ac:dyDescent="0.35">
      <c r="A527">
        <v>2030</v>
      </c>
      <c r="B527" t="s">
        <v>8</v>
      </c>
      <c r="C527" t="s">
        <v>4</v>
      </c>
      <c r="D527" t="s">
        <v>16</v>
      </c>
      <c r="E527" t="s">
        <v>483</v>
      </c>
      <c r="F527" t="s">
        <v>80</v>
      </c>
      <c r="G527">
        <v>78598.837813683815</v>
      </c>
      <c r="H527">
        <v>0</v>
      </c>
      <c r="I527">
        <v>0</v>
      </c>
      <c r="J527">
        <v>99801.07818162092</v>
      </c>
      <c r="K527">
        <v>78598.837813683815</v>
      </c>
      <c r="L527">
        <v>0.787554996857322</v>
      </c>
    </row>
    <row r="528" spans="1:12" x14ac:dyDescent="0.35">
      <c r="A528">
        <v>2030</v>
      </c>
      <c r="B528" t="s">
        <v>8</v>
      </c>
      <c r="C528" t="s">
        <v>4</v>
      </c>
      <c r="D528" t="s">
        <v>16</v>
      </c>
      <c r="E528" t="s">
        <v>483</v>
      </c>
      <c r="F528" t="s">
        <v>81</v>
      </c>
      <c r="G528">
        <v>78598.837813683815</v>
      </c>
      <c r="H528">
        <v>150184</v>
      </c>
      <c r="I528">
        <v>84235.208361019701</v>
      </c>
      <c r="J528">
        <v>0</v>
      </c>
      <c r="K528">
        <v>0</v>
      </c>
      <c r="L528">
        <v>0.787554996857322</v>
      </c>
    </row>
    <row r="529" spans="1:12" x14ac:dyDescent="0.35">
      <c r="A529">
        <v>2030</v>
      </c>
      <c r="B529" t="s">
        <v>8</v>
      </c>
      <c r="C529" t="s">
        <v>4</v>
      </c>
      <c r="D529" t="s">
        <v>18</v>
      </c>
      <c r="E529" t="s">
        <v>483</v>
      </c>
      <c r="F529" t="s">
        <v>85</v>
      </c>
      <c r="G529">
        <v>78598.837813683815</v>
      </c>
      <c r="H529">
        <v>193081</v>
      </c>
      <c r="I529">
        <v>108295.2795607657</v>
      </c>
      <c r="J529">
        <v>0</v>
      </c>
      <c r="K529">
        <v>0</v>
      </c>
      <c r="L529">
        <v>0.787554996857322</v>
      </c>
    </row>
    <row r="530" spans="1:12" x14ac:dyDescent="0.35">
      <c r="A530">
        <v>2030</v>
      </c>
      <c r="B530" t="s">
        <v>8</v>
      </c>
      <c r="C530" t="s">
        <v>4</v>
      </c>
      <c r="D530" t="s">
        <v>18</v>
      </c>
      <c r="E530" t="s">
        <v>483</v>
      </c>
      <c r="F530" t="s">
        <v>86</v>
      </c>
      <c r="G530">
        <v>78598.837813683815</v>
      </c>
      <c r="H530">
        <v>193081</v>
      </c>
      <c r="I530">
        <v>108295.2795607657</v>
      </c>
      <c r="J530">
        <v>0</v>
      </c>
      <c r="K530">
        <v>0</v>
      </c>
      <c r="L530">
        <v>0.787554996857322</v>
      </c>
    </row>
    <row r="531" spans="1:12" x14ac:dyDescent="0.35">
      <c r="A531">
        <v>2030</v>
      </c>
      <c r="B531" t="s">
        <v>8</v>
      </c>
      <c r="C531" t="s">
        <v>4</v>
      </c>
      <c r="D531" t="s">
        <v>18</v>
      </c>
      <c r="E531" t="s">
        <v>490</v>
      </c>
      <c r="F531" t="s">
        <v>82</v>
      </c>
      <c r="G531">
        <v>78598.837813683815</v>
      </c>
      <c r="H531">
        <v>193081</v>
      </c>
      <c r="I531">
        <v>152061.90634820869</v>
      </c>
      <c r="J531">
        <v>0</v>
      </c>
      <c r="K531">
        <v>0</v>
      </c>
      <c r="L531">
        <v>0.787554996857322</v>
      </c>
    </row>
    <row r="532" spans="1:12" x14ac:dyDescent="0.35">
      <c r="A532">
        <v>2030</v>
      </c>
      <c r="B532" t="s">
        <v>8</v>
      </c>
      <c r="C532" t="s">
        <v>9</v>
      </c>
      <c r="D532" t="s">
        <v>16</v>
      </c>
      <c r="E532" t="s">
        <v>483</v>
      </c>
      <c r="F532" t="s">
        <v>80</v>
      </c>
      <c r="G532">
        <v>41464.346616727722</v>
      </c>
      <c r="H532">
        <v>0</v>
      </c>
      <c r="I532">
        <v>0</v>
      </c>
      <c r="J532">
        <v>52649.461665773219</v>
      </c>
      <c r="K532">
        <v>41464.346616727722</v>
      </c>
      <c r="L532">
        <v>0.787554996857322</v>
      </c>
    </row>
    <row r="533" spans="1:12" x14ac:dyDescent="0.35">
      <c r="A533">
        <v>2030</v>
      </c>
      <c r="B533" t="s">
        <v>8</v>
      </c>
      <c r="C533" t="s">
        <v>9</v>
      </c>
      <c r="D533" t="s">
        <v>16</v>
      </c>
      <c r="E533" t="s">
        <v>483</v>
      </c>
      <c r="F533" t="s">
        <v>81</v>
      </c>
      <c r="G533">
        <v>41464.346616727722</v>
      </c>
      <c r="H533">
        <v>150184</v>
      </c>
      <c r="I533">
        <v>84235.208361019701</v>
      </c>
      <c r="J533">
        <v>0</v>
      </c>
      <c r="K533">
        <v>0</v>
      </c>
      <c r="L533">
        <v>0.787554996857322</v>
      </c>
    </row>
    <row r="534" spans="1:12" x14ac:dyDescent="0.35">
      <c r="A534">
        <v>2030</v>
      </c>
      <c r="B534" t="s">
        <v>8</v>
      </c>
      <c r="C534" t="s">
        <v>9</v>
      </c>
      <c r="D534" t="s">
        <v>18</v>
      </c>
      <c r="E534" t="s">
        <v>483</v>
      </c>
      <c r="F534" t="s">
        <v>85</v>
      </c>
      <c r="G534">
        <v>41464.346616727722</v>
      </c>
      <c r="H534">
        <v>193081</v>
      </c>
      <c r="I534">
        <v>108295.2795607657</v>
      </c>
      <c r="J534">
        <v>0</v>
      </c>
      <c r="K534">
        <v>0</v>
      </c>
      <c r="L534">
        <v>0.787554996857322</v>
      </c>
    </row>
    <row r="535" spans="1:12" x14ac:dyDescent="0.35">
      <c r="A535">
        <v>2030</v>
      </c>
      <c r="B535" t="s">
        <v>8</v>
      </c>
      <c r="C535" t="s">
        <v>9</v>
      </c>
      <c r="D535" t="s">
        <v>18</v>
      </c>
      <c r="E535" t="s">
        <v>483</v>
      </c>
      <c r="F535" t="s">
        <v>86</v>
      </c>
      <c r="G535">
        <v>41464.346616727722</v>
      </c>
      <c r="H535">
        <v>193081</v>
      </c>
      <c r="I535">
        <v>108295.2795607657</v>
      </c>
      <c r="J535">
        <v>0</v>
      </c>
      <c r="K535">
        <v>0</v>
      </c>
      <c r="L535">
        <v>0.787554996857322</v>
      </c>
    </row>
    <row r="536" spans="1:12" x14ac:dyDescent="0.35">
      <c r="A536">
        <v>2030</v>
      </c>
      <c r="B536" t="s">
        <v>8</v>
      </c>
      <c r="C536" t="s">
        <v>9</v>
      </c>
      <c r="D536" t="s">
        <v>18</v>
      </c>
      <c r="E536" t="s">
        <v>490</v>
      </c>
      <c r="F536" t="s">
        <v>82</v>
      </c>
      <c r="G536">
        <v>41464.346616727722</v>
      </c>
      <c r="H536">
        <v>193081</v>
      </c>
      <c r="I536">
        <v>152061.90634820869</v>
      </c>
      <c r="J536">
        <v>0</v>
      </c>
      <c r="K536">
        <v>0</v>
      </c>
      <c r="L536">
        <v>0.787554996857322</v>
      </c>
    </row>
    <row r="537" spans="1:12" x14ac:dyDescent="0.35">
      <c r="A537">
        <v>2030</v>
      </c>
      <c r="B537" t="s">
        <v>8</v>
      </c>
      <c r="C537" t="s">
        <v>10</v>
      </c>
      <c r="D537" t="s">
        <v>16</v>
      </c>
      <c r="E537" t="s">
        <v>483</v>
      </c>
      <c r="F537" t="s">
        <v>80</v>
      </c>
      <c r="G537">
        <v>74062.238097093548</v>
      </c>
      <c r="H537">
        <v>0</v>
      </c>
      <c r="I537">
        <v>0</v>
      </c>
      <c r="J537">
        <v>94040.718924561777</v>
      </c>
      <c r="K537">
        <v>74062.238097093548</v>
      </c>
      <c r="L537">
        <v>0.787554996857322</v>
      </c>
    </row>
    <row r="538" spans="1:12" x14ac:dyDescent="0.35">
      <c r="A538">
        <v>2030</v>
      </c>
      <c r="B538" t="s">
        <v>8</v>
      </c>
      <c r="C538" t="s">
        <v>10</v>
      </c>
      <c r="D538" t="s">
        <v>16</v>
      </c>
      <c r="E538" t="s">
        <v>483</v>
      </c>
      <c r="F538" t="s">
        <v>81</v>
      </c>
      <c r="G538">
        <v>74062.238097093548</v>
      </c>
      <c r="H538">
        <v>150184</v>
      </c>
      <c r="I538">
        <v>84235.208361019701</v>
      </c>
      <c r="J538">
        <v>0</v>
      </c>
      <c r="K538">
        <v>0</v>
      </c>
      <c r="L538">
        <v>0.787554996857322</v>
      </c>
    </row>
    <row r="539" spans="1:12" x14ac:dyDescent="0.35">
      <c r="A539">
        <v>2030</v>
      </c>
      <c r="B539" t="s">
        <v>8</v>
      </c>
      <c r="C539" t="s">
        <v>10</v>
      </c>
      <c r="D539" t="s">
        <v>18</v>
      </c>
      <c r="E539" t="s">
        <v>483</v>
      </c>
      <c r="F539" t="s">
        <v>85</v>
      </c>
      <c r="G539">
        <v>74062.238097093548</v>
      </c>
      <c r="H539">
        <v>193081</v>
      </c>
      <c r="I539">
        <v>108295.2795607657</v>
      </c>
      <c r="J539">
        <v>0</v>
      </c>
      <c r="K539">
        <v>0</v>
      </c>
      <c r="L539">
        <v>0.787554996857322</v>
      </c>
    </row>
    <row r="540" spans="1:12" x14ac:dyDescent="0.35">
      <c r="A540">
        <v>2030</v>
      </c>
      <c r="B540" t="s">
        <v>8</v>
      </c>
      <c r="C540" t="s">
        <v>10</v>
      </c>
      <c r="D540" t="s">
        <v>18</v>
      </c>
      <c r="E540" t="s">
        <v>483</v>
      </c>
      <c r="F540" t="s">
        <v>86</v>
      </c>
      <c r="G540">
        <v>74062.238097093548</v>
      </c>
      <c r="H540">
        <v>193081</v>
      </c>
      <c r="I540">
        <v>108295.2795607657</v>
      </c>
      <c r="J540">
        <v>0</v>
      </c>
      <c r="K540">
        <v>0</v>
      </c>
      <c r="L540">
        <v>0.787554996857322</v>
      </c>
    </row>
    <row r="541" spans="1:12" x14ac:dyDescent="0.35">
      <c r="A541">
        <v>2030</v>
      </c>
      <c r="B541" t="s">
        <v>8</v>
      </c>
      <c r="C541" t="s">
        <v>10</v>
      </c>
      <c r="D541" t="s">
        <v>18</v>
      </c>
      <c r="E541" t="s">
        <v>490</v>
      </c>
      <c r="F541" t="s">
        <v>82</v>
      </c>
      <c r="G541">
        <v>74062.238097093548</v>
      </c>
      <c r="H541">
        <v>193081</v>
      </c>
      <c r="I541">
        <v>152061.90634820869</v>
      </c>
      <c r="J541">
        <v>0</v>
      </c>
      <c r="K541">
        <v>0</v>
      </c>
      <c r="L541">
        <v>0.787554996857322</v>
      </c>
    </row>
    <row r="542" spans="1:12" x14ac:dyDescent="0.35">
      <c r="A542">
        <v>2031</v>
      </c>
      <c r="B542" t="s">
        <v>6</v>
      </c>
      <c r="C542" t="s">
        <v>4</v>
      </c>
      <c r="D542" t="s">
        <v>16</v>
      </c>
      <c r="E542" t="s">
        <v>483</v>
      </c>
      <c r="F542" t="s">
        <v>80</v>
      </c>
      <c r="G542">
        <v>74634.661248827935</v>
      </c>
      <c r="H542">
        <v>0</v>
      </c>
      <c r="I542">
        <v>0</v>
      </c>
      <c r="J542">
        <v>169876.50997596059</v>
      </c>
      <c r="K542">
        <v>74634.661248827935</v>
      </c>
      <c r="L542">
        <v>0.439346565686978</v>
      </c>
    </row>
    <row r="543" spans="1:12" x14ac:dyDescent="0.35">
      <c r="A543">
        <v>2031</v>
      </c>
      <c r="B543" t="s">
        <v>6</v>
      </c>
      <c r="C543" t="s">
        <v>4</v>
      </c>
      <c r="D543" t="s">
        <v>16</v>
      </c>
      <c r="E543" t="s">
        <v>483</v>
      </c>
      <c r="F543" t="s">
        <v>81</v>
      </c>
      <c r="G543">
        <v>74634.661248827935</v>
      </c>
      <c r="H543">
        <v>3707</v>
      </c>
      <c r="I543">
        <v>1572.4420377809411</v>
      </c>
      <c r="J543">
        <v>166169.50997596059</v>
      </c>
      <c r="K543">
        <v>73062.219211046991</v>
      </c>
      <c r="L543">
        <v>0.439346565686978</v>
      </c>
    </row>
    <row r="544" spans="1:12" x14ac:dyDescent="0.35">
      <c r="A544">
        <v>2031</v>
      </c>
      <c r="B544" t="s">
        <v>6</v>
      </c>
      <c r="C544" t="s">
        <v>4</v>
      </c>
      <c r="D544" t="s">
        <v>18</v>
      </c>
      <c r="E544" t="s">
        <v>483</v>
      </c>
      <c r="F544" t="s">
        <v>85</v>
      </c>
      <c r="G544">
        <v>74634.661248827935</v>
      </c>
      <c r="H544">
        <v>8876.0777297221903</v>
      </c>
      <c r="I544">
        <v>3765.070880179765</v>
      </c>
      <c r="J544">
        <v>161000.4322462384</v>
      </c>
      <c r="K544">
        <v>70869.590368648176</v>
      </c>
      <c r="L544">
        <v>0.439346565686978</v>
      </c>
    </row>
    <row r="545" spans="1:12" x14ac:dyDescent="0.35">
      <c r="A545">
        <v>2031</v>
      </c>
      <c r="B545" t="s">
        <v>6</v>
      </c>
      <c r="C545" t="s">
        <v>4</v>
      </c>
      <c r="D545" t="s">
        <v>18</v>
      </c>
      <c r="E545" t="s">
        <v>483</v>
      </c>
      <c r="F545" t="s">
        <v>86</v>
      </c>
      <c r="G545">
        <v>74634.661248827935</v>
      </c>
      <c r="H545">
        <v>8876.0777297221903</v>
      </c>
      <c r="I545">
        <v>3765.070880179765</v>
      </c>
      <c r="J545">
        <v>161000.4322462384</v>
      </c>
      <c r="K545">
        <v>70869.590368648176</v>
      </c>
      <c r="L545">
        <v>0.439346565686978</v>
      </c>
    </row>
    <row r="546" spans="1:12" x14ac:dyDescent="0.35">
      <c r="A546">
        <v>2031</v>
      </c>
      <c r="B546" t="s">
        <v>6</v>
      </c>
      <c r="C546" t="s">
        <v>4</v>
      </c>
      <c r="D546" t="s">
        <v>18</v>
      </c>
      <c r="E546" t="s">
        <v>490</v>
      </c>
      <c r="F546" t="s">
        <v>82</v>
      </c>
      <c r="G546">
        <v>74634.661248827935</v>
      </c>
      <c r="H546">
        <v>8876.0777297221903</v>
      </c>
      <c r="I546">
        <v>3899.674267324116</v>
      </c>
      <c r="J546">
        <v>161000.4322462384</v>
      </c>
      <c r="K546">
        <v>70734.986981503826</v>
      </c>
      <c r="L546">
        <v>0.439346565686978</v>
      </c>
    </row>
    <row r="547" spans="1:12" x14ac:dyDescent="0.35">
      <c r="A547">
        <v>2031</v>
      </c>
      <c r="B547" t="s">
        <v>6</v>
      </c>
      <c r="C547" t="s">
        <v>9</v>
      </c>
      <c r="D547" t="s">
        <v>16</v>
      </c>
      <c r="E547" t="s">
        <v>483</v>
      </c>
      <c r="F547" t="s">
        <v>80</v>
      </c>
      <c r="G547">
        <v>33266.833134093657</v>
      </c>
      <c r="H547">
        <v>0</v>
      </c>
      <c r="I547">
        <v>0</v>
      </c>
      <c r="J547">
        <v>75718.887393774086</v>
      </c>
      <c r="K547">
        <v>33266.833134093657</v>
      </c>
      <c r="L547">
        <v>0.439346565686978</v>
      </c>
    </row>
    <row r="548" spans="1:12" x14ac:dyDescent="0.35">
      <c r="A548">
        <v>2031</v>
      </c>
      <c r="B548" t="s">
        <v>6</v>
      </c>
      <c r="C548" t="s">
        <v>9</v>
      </c>
      <c r="D548" t="s">
        <v>16</v>
      </c>
      <c r="E548" t="s">
        <v>483</v>
      </c>
      <c r="F548" t="s">
        <v>81</v>
      </c>
      <c r="G548">
        <v>33266.833134093657</v>
      </c>
      <c r="H548">
        <v>3707</v>
      </c>
      <c r="I548">
        <v>1572.4420377809411</v>
      </c>
      <c r="J548">
        <v>72011.887393774086</v>
      </c>
      <c r="K548">
        <v>31694.39109631272</v>
      </c>
      <c r="L548">
        <v>0.439346565686978</v>
      </c>
    </row>
    <row r="549" spans="1:12" x14ac:dyDescent="0.35">
      <c r="A549">
        <v>2031</v>
      </c>
      <c r="B549" t="s">
        <v>6</v>
      </c>
      <c r="C549" t="s">
        <v>9</v>
      </c>
      <c r="D549" t="s">
        <v>18</v>
      </c>
      <c r="E549" t="s">
        <v>483</v>
      </c>
      <c r="F549" t="s">
        <v>85</v>
      </c>
      <c r="G549">
        <v>33266.833134093657</v>
      </c>
      <c r="H549">
        <v>8876.0777297221903</v>
      </c>
      <c r="I549">
        <v>3765.070880179765</v>
      </c>
      <c r="J549">
        <v>66842.809664051892</v>
      </c>
      <c r="K549">
        <v>29501.76225391389</v>
      </c>
      <c r="L549">
        <v>0.439346565686978</v>
      </c>
    </row>
    <row r="550" spans="1:12" x14ac:dyDescent="0.35">
      <c r="A550">
        <v>2031</v>
      </c>
      <c r="B550" t="s">
        <v>6</v>
      </c>
      <c r="C550" t="s">
        <v>9</v>
      </c>
      <c r="D550" t="s">
        <v>18</v>
      </c>
      <c r="E550" t="s">
        <v>483</v>
      </c>
      <c r="F550" t="s">
        <v>86</v>
      </c>
      <c r="G550">
        <v>33266.833134093657</v>
      </c>
      <c r="H550">
        <v>8876.0777297221903</v>
      </c>
      <c r="I550">
        <v>3765.070880179765</v>
      </c>
      <c r="J550">
        <v>66842.809664051892</v>
      </c>
      <c r="K550">
        <v>29501.76225391389</v>
      </c>
      <c r="L550">
        <v>0.439346565686978</v>
      </c>
    </row>
    <row r="551" spans="1:12" x14ac:dyDescent="0.35">
      <c r="A551">
        <v>2031</v>
      </c>
      <c r="B551" t="s">
        <v>6</v>
      </c>
      <c r="C551" t="s">
        <v>9</v>
      </c>
      <c r="D551" t="s">
        <v>18</v>
      </c>
      <c r="E551" t="s">
        <v>490</v>
      </c>
      <c r="F551" t="s">
        <v>82</v>
      </c>
      <c r="G551">
        <v>33266.833134093657</v>
      </c>
      <c r="H551">
        <v>8876.0777297221903</v>
      </c>
      <c r="I551">
        <v>3899.674267324116</v>
      </c>
      <c r="J551">
        <v>66842.809664051892</v>
      </c>
      <c r="K551">
        <v>29367.15886676954</v>
      </c>
      <c r="L551">
        <v>0.439346565686978</v>
      </c>
    </row>
    <row r="552" spans="1:12" x14ac:dyDescent="0.35">
      <c r="A552">
        <v>2031</v>
      </c>
      <c r="B552" t="s">
        <v>6</v>
      </c>
      <c r="C552" t="s">
        <v>10</v>
      </c>
      <c r="D552" t="s">
        <v>16</v>
      </c>
      <c r="E552" t="s">
        <v>483</v>
      </c>
      <c r="F552" t="s">
        <v>80</v>
      </c>
      <c r="G552">
        <v>70618.965487702415</v>
      </c>
      <c r="H552">
        <v>0</v>
      </c>
      <c r="I552">
        <v>0</v>
      </c>
      <c r="J552">
        <v>160736.35485753731</v>
      </c>
      <c r="K552">
        <v>70618.965487702415</v>
      </c>
      <c r="L552">
        <v>0.439346565686978</v>
      </c>
    </row>
    <row r="553" spans="1:12" x14ac:dyDescent="0.35">
      <c r="A553">
        <v>2031</v>
      </c>
      <c r="B553" t="s">
        <v>6</v>
      </c>
      <c r="C553" t="s">
        <v>10</v>
      </c>
      <c r="D553" t="s">
        <v>16</v>
      </c>
      <c r="E553" t="s">
        <v>483</v>
      </c>
      <c r="F553" t="s">
        <v>81</v>
      </c>
      <c r="G553">
        <v>70618.965487702415</v>
      </c>
      <c r="H553">
        <v>3707</v>
      </c>
      <c r="I553">
        <v>1572.4420377809411</v>
      </c>
      <c r="J553">
        <v>157029.35485753731</v>
      </c>
      <c r="K553">
        <v>69046.523449921471</v>
      </c>
      <c r="L553">
        <v>0.439346565686978</v>
      </c>
    </row>
    <row r="554" spans="1:12" x14ac:dyDescent="0.35">
      <c r="A554">
        <v>2031</v>
      </c>
      <c r="B554" t="s">
        <v>6</v>
      </c>
      <c r="C554" t="s">
        <v>10</v>
      </c>
      <c r="D554" t="s">
        <v>18</v>
      </c>
      <c r="E554" t="s">
        <v>483</v>
      </c>
      <c r="F554" t="s">
        <v>85</v>
      </c>
      <c r="G554">
        <v>70618.965487702415</v>
      </c>
      <c r="H554">
        <v>8876.0777297221903</v>
      </c>
      <c r="I554">
        <v>3765.070880179765</v>
      </c>
      <c r="J554">
        <v>151860.27712781509</v>
      </c>
      <c r="K554">
        <v>66853.894607522656</v>
      </c>
      <c r="L554">
        <v>0.439346565686978</v>
      </c>
    </row>
    <row r="555" spans="1:12" x14ac:dyDescent="0.35">
      <c r="A555">
        <v>2031</v>
      </c>
      <c r="B555" t="s">
        <v>6</v>
      </c>
      <c r="C555" t="s">
        <v>10</v>
      </c>
      <c r="D555" t="s">
        <v>18</v>
      </c>
      <c r="E555" t="s">
        <v>483</v>
      </c>
      <c r="F555" t="s">
        <v>86</v>
      </c>
      <c r="G555">
        <v>70618.965487702415</v>
      </c>
      <c r="H555">
        <v>8876.0777297221903</v>
      </c>
      <c r="I555">
        <v>3765.070880179765</v>
      </c>
      <c r="J555">
        <v>151860.27712781509</v>
      </c>
      <c r="K555">
        <v>66853.894607522656</v>
      </c>
      <c r="L555">
        <v>0.439346565686978</v>
      </c>
    </row>
    <row r="556" spans="1:12" x14ac:dyDescent="0.35">
      <c r="A556">
        <v>2031</v>
      </c>
      <c r="B556" t="s">
        <v>6</v>
      </c>
      <c r="C556" t="s">
        <v>10</v>
      </c>
      <c r="D556" t="s">
        <v>18</v>
      </c>
      <c r="E556" t="s">
        <v>490</v>
      </c>
      <c r="F556" t="s">
        <v>82</v>
      </c>
      <c r="G556">
        <v>70618.965487702415</v>
      </c>
      <c r="H556">
        <v>8876.0777297221903</v>
      </c>
      <c r="I556">
        <v>3899.674267324116</v>
      </c>
      <c r="J556">
        <v>151860.27712781509</v>
      </c>
      <c r="K556">
        <v>66719.291220378305</v>
      </c>
      <c r="L556">
        <v>0.439346565686978</v>
      </c>
    </row>
    <row r="557" spans="1:12" x14ac:dyDescent="0.35">
      <c r="A557">
        <v>2031</v>
      </c>
      <c r="B557" t="s">
        <v>7</v>
      </c>
      <c r="C557" t="s">
        <v>4</v>
      </c>
      <c r="D557" t="s">
        <v>16</v>
      </c>
      <c r="E557" t="s">
        <v>483</v>
      </c>
      <c r="F557" t="s">
        <v>80</v>
      </c>
      <c r="G557">
        <v>1075624.1200135939</v>
      </c>
      <c r="H557">
        <v>0</v>
      </c>
      <c r="I557">
        <v>0</v>
      </c>
      <c r="J557">
        <v>1288564.9356508041</v>
      </c>
      <c r="K557">
        <v>1075624.1200135939</v>
      </c>
      <c r="L557">
        <v>0.83474576271186396</v>
      </c>
    </row>
    <row r="558" spans="1:12" x14ac:dyDescent="0.35">
      <c r="A558">
        <v>2031</v>
      </c>
      <c r="B558" t="s">
        <v>7</v>
      </c>
      <c r="C558" t="s">
        <v>4</v>
      </c>
      <c r="D558" t="s">
        <v>16</v>
      </c>
      <c r="E558" t="s">
        <v>483</v>
      </c>
      <c r="F558" t="s">
        <v>81</v>
      </c>
      <c r="G558">
        <v>1075624.1200135939</v>
      </c>
      <c r="H558">
        <v>311145</v>
      </c>
      <c r="I558">
        <v>163540.51506665381</v>
      </c>
      <c r="J558">
        <v>977419.93565080361</v>
      </c>
      <c r="K558">
        <v>912083.60494694009</v>
      </c>
      <c r="L558">
        <v>0.83474576271186396</v>
      </c>
    </row>
    <row r="559" spans="1:12" x14ac:dyDescent="0.35">
      <c r="A559">
        <v>2031</v>
      </c>
      <c r="B559" t="s">
        <v>7</v>
      </c>
      <c r="C559" t="s">
        <v>4</v>
      </c>
      <c r="D559" t="s">
        <v>18</v>
      </c>
      <c r="E559" t="s">
        <v>483</v>
      </c>
      <c r="F559" t="s">
        <v>85</v>
      </c>
      <c r="G559">
        <v>1075624.1200135939</v>
      </c>
      <c r="H559">
        <v>721363.36247679312</v>
      </c>
      <c r="I559">
        <v>379154.85014918452</v>
      </c>
      <c r="J559">
        <v>567201.5731740105</v>
      </c>
      <c r="K559">
        <v>696469.26986440946</v>
      </c>
      <c r="L559">
        <v>0.83474576271186396</v>
      </c>
    </row>
    <row r="560" spans="1:12" x14ac:dyDescent="0.35">
      <c r="A560">
        <v>2031</v>
      </c>
      <c r="B560" t="s">
        <v>7</v>
      </c>
      <c r="C560" t="s">
        <v>4</v>
      </c>
      <c r="D560" t="s">
        <v>18</v>
      </c>
      <c r="E560" t="s">
        <v>483</v>
      </c>
      <c r="F560" t="s">
        <v>86</v>
      </c>
      <c r="G560">
        <v>1075624.1200135939</v>
      </c>
      <c r="H560">
        <v>721363.36247679312</v>
      </c>
      <c r="I560">
        <v>379154.85014918452</v>
      </c>
      <c r="J560">
        <v>567201.5731740105</v>
      </c>
      <c r="K560">
        <v>696469.26986440946</v>
      </c>
      <c r="L560">
        <v>0.83474576271186396</v>
      </c>
    </row>
    <row r="561" spans="1:12" x14ac:dyDescent="0.35">
      <c r="A561">
        <v>2031</v>
      </c>
      <c r="B561" t="s">
        <v>7</v>
      </c>
      <c r="C561" t="s">
        <v>4</v>
      </c>
      <c r="D561" t="s">
        <v>18</v>
      </c>
      <c r="E561" t="s">
        <v>490</v>
      </c>
      <c r="F561" t="s">
        <v>82</v>
      </c>
      <c r="G561">
        <v>1075624.1200135939</v>
      </c>
      <c r="H561">
        <v>721363.36247679312</v>
      </c>
      <c r="I561">
        <v>602155.01020308572</v>
      </c>
      <c r="J561">
        <v>567201.5731740105</v>
      </c>
      <c r="K561">
        <v>473469.10981050821</v>
      </c>
      <c r="L561">
        <v>0.83474576271186396</v>
      </c>
    </row>
    <row r="562" spans="1:12" x14ac:dyDescent="0.35">
      <c r="A562">
        <v>2031</v>
      </c>
      <c r="B562" t="s">
        <v>7</v>
      </c>
      <c r="C562" t="s">
        <v>9</v>
      </c>
      <c r="D562" t="s">
        <v>16</v>
      </c>
      <c r="E562" t="s">
        <v>483</v>
      </c>
      <c r="F562" t="s">
        <v>80</v>
      </c>
      <c r="G562">
        <v>961084.55032117816</v>
      </c>
      <c r="H562">
        <v>0</v>
      </c>
      <c r="I562">
        <v>0</v>
      </c>
      <c r="J562">
        <v>1151350.0196741021</v>
      </c>
      <c r="K562">
        <v>961084.55032117816</v>
      </c>
      <c r="L562">
        <v>0.83474576271186396</v>
      </c>
    </row>
    <row r="563" spans="1:12" x14ac:dyDescent="0.35">
      <c r="A563">
        <v>2031</v>
      </c>
      <c r="B563" t="s">
        <v>7</v>
      </c>
      <c r="C563" t="s">
        <v>9</v>
      </c>
      <c r="D563" t="s">
        <v>16</v>
      </c>
      <c r="E563" t="s">
        <v>483</v>
      </c>
      <c r="F563" t="s">
        <v>81</v>
      </c>
      <c r="G563">
        <v>961084.55032117816</v>
      </c>
      <c r="H563">
        <v>311145</v>
      </c>
      <c r="I563">
        <v>163540.51506665381</v>
      </c>
      <c r="J563">
        <v>840205.01967410231</v>
      </c>
      <c r="K563">
        <v>797544.03525452432</v>
      </c>
      <c r="L563">
        <v>0.83474576271186396</v>
      </c>
    </row>
    <row r="564" spans="1:12" x14ac:dyDescent="0.35">
      <c r="A564">
        <v>2031</v>
      </c>
      <c r="B564" t="s">
        <v>7</v>
      </c>
      <c r="C564" t="s">
        <v>9</v>
      </c>
      <c r="D564" t="s">
        <v>18</v>
      </c>
      <c r="E564" t="s">
        <v>483</v>
      </c>
      <c r="F564" t="s">
        <v>85</v>
      </c>
      <c r="G564">
        <v>961084.55032117816</v>
      </c>
      <c r="H564">
        <v>721363.36247679312</v>
      </c>
      <c r="I564">
        <v>379154.85014918452</v>
      </c>
      <c r="J564">
        <v>429986.65719730919</v>
      </c>
      <c r="K564">
        <v>581929.70017199358</v>
      </c>
      <c r="L564">
        <v>0.83474576271186396</v>
      </c>
    </row>
    <row r="565" spans="1:12" x14ac:dyDescent="0.35">
      <c r="A565">
        <v>2031</v>
      </c>
      <c r="B565" t="s">
        <v>7</v>
      </c>
      <c r="C565" t="s">
        <v>9</v>
      </c>
      <c r="D565" t="s">
        <v>18</v>
      </c>
      <c r="E565" t="s">
        <v>483</v>
      </c>
      <c r="F565" t="s">
        <v>86</v>
      </c>
      <c r="G565">
        <v>961084.55032117816</v>
      </c>
      <c r="H565">
        <v>721363.36247679312</v>
      </c>
      <c r="I565">
        <v>379154.85014918452</v>
      </c>
      <c r="J565">
        <v>429986.65719730919</v>
      </c>
      <c r="K565">
        <v>581929.70017199358</v>
      </c>
      <c r="L565">
        <v>0.83474576271186396</v>
      </c>
    </row>
    <row r="566" spans="1:12" x14ac:dyDescent="0.35">
      <c r="A566">
        <v>2031</v>
      </c>
      <c r="B566" t="s">
        <v>7</v>
      </c>
      <c r="C566" t="s">
        <v>9</v>
      </c>
      <c r="D566" t="s">
        <v>18</v>
      </c>
      <c r="E566" t="s">
        <v>490</v>
      </c>
      <c r="F566" t="s">
        <v>82</v>
      </c>
      <c r="G566">
        <v>961084.55032117816</v>
      </c>
      <c r="H566">
        <v>721363.36247679312</v>
      </c>
      <c r="I566">
        <v>602155.01020308572</v>
      </c>
      <c r="J566">
        <v>429986.65719730919</v>
      </c>
      <c r="K566">
        <v>358929.54011809238</v>
      </c>
      <c r="L566">
        <v>0.83474576271186396</v>
      </c>
    </row>
    <row r="567" spans="1:12" x14ac:dyDescent="0.35">
      <c r="A567">
        <v>2031</v>
      </c>
      <c r="B567" t="s">
        <v>7</v>
      </c>
      <c r="C567" t="s">
        <v>10</v>
      </c>
      <c r="D567" t="s">
        <v>16</v>
      </c>
      <c r="E567" t="s">
        <v>483</v>
      </c>
      <c r="F567" t="s">
        <v>80</v>
      </c>
      <c r="G567">
        <v>1040489.0683717401</v>
      </c>
      <c r="H567">
        <v>0</v>
      </c>
      <c r="I567">
        <v>0</v>
      </c>
      <c r="J567">
        <v>1246474.2138869581</v>
      </c>
      <c r="K567">
        <v>1040489.0683717401</v>
      </c>
      <c r="L567">
        <v>0.83474576271186396</v>
      </c>
    </row>
    <row r="568" spans="1:12" x14ac:dyDescent="0.35">
      <c r="A568">
        <v>2031</v>
      </c>
      <c r="B568" t="s">
        <v>7</v>
      </c>
      <c r="C568" t="s">
        <v>10</v>
      </c>
      <c r="D568" t="s">
        <v>16</v>
      </c>
      <c r="E568" t="s">
        <v>483</v>
      </c>
      <c r="F568" t="s">
        <v>81</v>
      </c>
      <c r="G568">
        <v>1040489.0683717401</v>
      </c>
      <c r="H568">
        <v>311145</v>
      </c>
      <c r="I568">
        <v>163540.51506665381</v>
      </c>
      <c r="J568">
        <v>935329.21388695831</v>
      </c>
      <c r="K568">
        <v>876948.55330508621</v>
      </c>
      <c r="L568">
        <v>0.83474576271186396</v>
      </c>
    </row>
    <row r="569" spans="1:12" x14ac:dyDescent="0.35">
      <c r="A569">
        <v>2031</v>
      </c>
      <c r="B569" t="s">
        <v>7</v>
      </c>
      <c r="C569" t="s">
        <v>10</v>
      </c>
      <c r="D569" t="s">
        <v>18</v>
      </c>
      <c r="E569" t="s">
        <v>483</v>
      </c>
      <c r="F569" t="s">
        <v>85</v>
      </c>
      <c r="G569">
        <v>1040489.0683717401</v>
      </c>
      <c r="H569">
        <v>721363.36247679312</v>
      </c>
      <c r="I569">
        <v>379154.85014918452</v>
      </c>
      <c r="J569">
        <v>525110.8514101652</v>
      </c>
      <c r="K569">
        <v>661334.21822255547</v>
      </c>
      <c r="L569">
        <v>0.83474576271186396</v>
      </c>
    </row>
    <row r="570" spans="1:12" x14ac:dyDescent="0.35">
      <c r="A570">
        <v>2031</v>
      </c>
      <c r="B570" t="s">
        <v>7</v>
      </c>
      <c r="C570" t="s">
        <v>10</v>
      </c>
      <c r="D570" t="s">
        <v>18</v>
      </c>
      <c r="E570" t="s">
        <v>483</v>
      </c>
      <c r="F570" t="s">
        <v>86</v>
      </c>
      <c r="G570">
        <v>1040489.0683717401</v>
      </c>
      <c r="H570">
        <v>721363.36247679312</v>
      </c>
      <c r="I570">
        <v>379154.85014918452</v>
      </c>
      <c r="J570">
        <v>525110.8514101652</v>
      </c>
      <c r="K570">
        <v>661334.21822255547</v>
      </c>
      <c r="L570">
        <v>0.83474576271186396</v>
      </c>
    </row>
    <row r="571" spans="1:12" x14ac:dyDescent="0.35">
      <c r="A571">
        <v>2031</v>
      </c>
      <c r="B571" t="s">
        <v>7</v>
      </c>
      <c r="C571" t="s">
        <v>10</v>
      </c>
      <c r="D571" t="s">
        <v>18</v>
      </c>
      <c r="E571" t="s">
        <v>490</v>
      </c>
      <c r="F571" t="s">
        <v>82</v>
      </c>
      <c r="G571">
        <v>1040489.0683717401</v>
      </c>
      <c r="H571">
        <v>721363.36247679312</v>
      </c>
      <c r="I571">
        <v>602155.01020308572</v>
      </c>
      <c r="J571">
        <v>525110.8514101652</v>
      </c>
      <c r="K571">
        <v>438334.05816865427</v>
      </c>
      <c r="L571">
        <v>0.83474576271186396</v>
      </c>
    </row>
    <row r="572" spans="1:12" x14ac:dyDescent="0.35">
      <c r="A572">
        <v>2031</v>
      </c>
      <c r="B572" t="s">
        <v>13</v>
      </c>
      <c r="C572" t="s">
        <v>4</v>
      </c>
      <c r="D572" t="s">
        <v>16</v>
      </c>
      <c r="E572" t="s">
        <v>483</v>
      </c>
      <c r="F572" t="s">
        <v>80</v>
      </c>
      <c r="G572">
        <v>2159.8800640851032</v>
      </c>
      <c r="H572">
        <v>0</v>
      </c>
      <c r="I572">
        <v>0</v>
      </c>
      <c r="J572">
        <v>2159.8800640851032</v>
      </c>
      <c r="K572">
        <v>2159.8800640851032</v>
      </c>
      <c r="L572">
        <v>1</v>
      </c>
    </row>
    <row r="573" spans="1:12" x14ac:dyDescent="0.35">
      <c r="A573">
        <v>2031</v>
      </c>
      <c r="B573" t="s">
        <v>13</v>
      </c>
      <c r="C573" t="s">
        <v>4</v>
      </c>
      <c r="D573" t="s">
        <v>16</v>
      </c>
      <c r="E573" t="s">
        <v>483</v>
      </c>
      <c r="F573" t="s">
        <v>81</v>
      </c>
      <c r="G573">
        <v>2159.8800640851032</v>
      </c>
      <c r="H573">
        <v>0</v>
      </c>
      <c r="I573">
        <v>0</v>
      </c>
      <c r="J573">
        <v>2159.8800640851032</v>
      </c>
      <c r="K573">
        <v>2159.8800640851032</v>
      </c>
      <c r="L573">
        <v>1</v>
      </c>
    </row>
    <row r="574" spans="1:12" x14ac:dyDescent="0.35">
      <c r="A574">
        <v>2031</v>
      </c>
      <c r="B574" t="s">
        <v>13</v>
      </c>
      <c r="C574" t="s">
        <v>4</v>
      </c>
      <c r="D574" t="s">
        <v>18</v>
      </c>
      <c r="E574" t="s">
        <v>483</v>
      </c>
      <c r="F574" t="s">
        <v>85</v>
      </c>
      <c r="G574">
        <v>2159.8800640851032</v>
      </c>
      <c r="H574">
        <v>99848</v>
      </c>
      <c r="I574">
        <v>32949.839999999997</v>
      </c>
      <c r="J574">
        <v>0</v>
      </c>
      <c r="K574">
        <v>0</v>
      </c>
      <c r="L574">
        <v>1</v>
      </c>
    </row>
    <row r="575" spans="1:12" x14ac:dyDescent="0.35">
      <c r="A575">
        <v>2031</v>
      </c>
      <c r="B575" t="s">
        <v>13</v>
      </c>
      <c r="C575" t="s">
        <v>4</v>
      </c>
      <c r="D575" t="s">
        <v>18</v>
      </c>
      <c r="E575" t="s">
        <v>483</v>
      </c>
      <c r="F575" t="s">
        <v>86</v>
      </c>
      <c r="G575">
        <v>2159.8800640851032</v>
      </c>
      <c r="H575">
        <v>99848</v>
      </c>
      <c r="I575">
        <v>32949.839999999997</v>
      </c>
      <c r="J575">
        <v>0</v>
      </c>
      <c r="K575">
        <v>0</v>
      </c>
      <c r="L575">
        <v>1</v>
      </c>
    </row>
    <row r="576" spans="1:12" x14ac:dyDescent="0.35">
      <c r="A576">
        <v>2031</v>
      </c>
      <c r="B576" t="s">
        <v>13</v>
      </c>
      <c r="C576" t="s">
        <v>4</v>
      </c>
      <c r="D576" t="s">
        <v>18</v>
      </c>
      <c r="E576" t="s">
        <v>490</v>
      </c>
      <c r="F576" t="s">
        <v>82</v>
      </c>
      <c r="G576">
        <v>2159.8800640851032</v>
      </c>
      <c r="H576">
        <v>99848</v>
      </c>
      <c r="I576">
        <v>32949.839999999997</v>
      </c>
      <c r="J576">
        <v>0</v>
      </c>
      <c r="K576">
        <v>0</v>
      </c>
      <c r="L576">
        <v>1</v>
      </c>
    </row>
    <row r="577" spans="1:12" x14ac:dyDescent="0.35">
      <c r="A577">
        <v>2031</v>
      </c>
      <c r="B577" t="s">
        <v>13</v>
      </c>
      <c r="C577" t="s">
        <v>9</v>
      </c>
      <c r="D577" t="s">
        <v>16</v>
      </c>
      <c r="E577" t="s">
        <v>483</v>
      </c>
      <c r="F577" t="s">
        <v>80</v>
      </c>
      <c r="G577">
        <v>939.76655065013301</v>
      </c>
      <c r="H577">
        <v>0</v>
      </c>
      <c r="I577">
        <v>0</v>
      </c>
      <c r="J577">
        <v>939.76655065013301</v>
      </c>
      <c r="K577">
        <v>939.76655065013301</v>
      </c>
      <c r="L577">
        <v>1</v>
      </c>
    </row>
    <row r="578" spans="1:12" x14ac:dyDescent="0.35">
      <c r="A578">
        <v>2031</v>
      </c>
      <c r="B578" t="s">
        <v>13</v>
      </c>
      <c r="C578" t="s">
        <v>9</v>
      </c>
      <c r="D578" t="s">
        <v>16</v>
      </c>
      <c r="E578" t="s">
        <v>483</v>
      </c>
      <c r="F578" t="s">
        <v>81</v>
      </c>
      <c r="G578">
        <v>939.76655065013301</v>
      </c>
      <c r="H578">
        <v>0</v>
      </c>
      <c r="I578">
        <v>0</v>
      </c>
      <c r="J578">
        <v>939.76655065013301</v>
      </c>
      <c r="K578">
        <v>939.76655065013301</v>
      </c>
      <c r="L578">
        <v>1</v>
      </c>
    </row>
    <row r="579" spans="1:12" x14ac:dyDescent="0.35">
      <c r="A579">
        <v>2031</v>
      </c>
      <c r="B579" t="s">
        <v>13</v>
      </c>
      <c r="C579" t="s">
        <v>9</v>
      </c>
      <c r="D579" t="s">
        <v>18</v>
      </c>
      <c r="E579" t="s">
        <v>483</v>
      </c>
      <c r="F579" t="s">
        <v>85</v>
      </c>
      <c r="G579">
        <v>939.76655065013301</v>
      </c>
      <c r="H579">
        <v>99848</v>
      </c>
      <c r="I579">
        <v>32949.839999999997</v>
      </c>
      <c r="J579">
        <v>0</v>
      </c>
      <c r="K579">
        <v>0</v>
      </c>
      <c r="L579">
        <v>1</v>
      </c>
    </row>
    <row r="580" spans="1:12" x14ac:dyDescent="0.35">
      <c r="A580">
        <v>2031</v>
      </c>
      <c r="B580" t="s">
        <v>13</v>
      </c>
      <c r="C580" t="s">
        <v>9</v>
      </c>
      <c r="D580" t="s">
        <v>18</v>
      </c>
      <c r="E580" t="s">
        <v>483</v>
      </c>
      <c r="F580" t="s">
        <v>86</v>
      </c>
      <c r="G580">
        <v>939.76655065013301</v>
      </c>
      <c r="H580">
        <v>99848</v>
      </c>
      <c r="I580">
        <v>32949.839999999997</v>
      </c>
      <c r="J580">
        <v>0</v>
      </c>
      <c r="K580">
        <v>0</v>
      </c>
      <c r="L580">
        <v>1</v>
      </c>
    </row>
    <row r="581" spans="1:12" x14ac:dyDescent="0.35">
      <c r="A581">
        <v>2031</v>
      </c>
      <c r="B581" t="s">
        <v>13</v>
      </c>
      <c r="C581" t="s">
        <v>9</v>
      </c>
      <c r="D581" t="s">
        <v>18</v>
      </c>
      <c r="E581" t="s">
        <v>490</v>
      </c>
      <c r="F581" t="s">
        <v>82</v>
      </c>
      <c r="G581">
        <v>939.76655065013301</v>
      </c>
      <c r="H581">
        <v>99848</v>
      </c>
      <c r="I581">
        <v>32949.839999999997</v>
      </c>
      <c r="J581">
        <v>0</v>
      </c>
      <c r="K581">
        <v>0</v>
      </c>
      <c r="L581">
        <v>1</v>
      </c>
    </row>
    <row r="582" spans="1:12" x14ac:dyDescent="0.35">
      <c r="A582">
        <v>2031</v>
      </c>
      <c r="B582" t="s">
        <v>13</v>
      </c>
      <c r="C582" t="s">
        <v>10</v>
      </c>
      <c r="D582" t="s">
        <v>16</v>
      </c>
      <c r="E582" t="s">
        <v>483</v>
      </c>
      <c r="F582" t="s">
        <v>80</v>
      </c>
      <c r="G582">
        <v>2047.251252746828</v>
      </c>
      <c r="H582">
        <v>0</v>
      </c>
      <c r="I582">
        <v>0</v>
      </c>
      <c r="J582">
        <v>2047.251252746828</v>
      </c>
      <c r="K582">
        <v>2047.251252746828</v>
      </c>
      <c r="L582">
        <v>1</v>
      </c>
    </row>
    <row r="583" spans="1:12" x14ac:dyDescent="0.35">
      <c r="A583">
        <v>2031</v>
      </c>
      <c r="B583" t="s">
        <v>13</v>
      </c>
      <c r="C583" t="s">
        <v>10</v>
      </c>
      <c r="D583" t="s">
        <v>16</v>
      </c>
      <c r="E583" t="s">
        <v>483</v>
      </c>
      <c r="F583" t="s">
        <v>81</v>
      </c>
      <c r="G583">
        <v>2047.251252746828</v>
      </c>
      <c r="H583">
        <v>0</v>
      </c>
      <c r="I583">
        <v>0</v>
      </c>
      <c r="J583">
        <v>2047.251252746828</v>
      </c>
      <c r="K583">
        <v>2047.251252746828</v>
      </c>
      <c r="L583">
        <v>1</v>
      </c>
    </row>
    <row r="584" spans="1:12" x14ac:dyDescent="0.35">
      <c r="A584">
        <v>2031</v>
      </c>
      <c r="B584" t="s">
        <v>13</v>
      </c>
      <c r="C584" t="s">
        <v>10</v>
      </c>
      <c r="D584" t="s">
        <v>18</v>
      </c>
      <c r="E584" t="s">
        <v>483</v>
      </c>
      <c r="F584" t="s">
        <v>85</v>
      </c>
      <c r="G584">
        <v>2047.251252746828</v>
      </c>
      <c r="H584">
        <v>99848</v>
      </c>
      <c r="I584">
        <v>32949.839999999997</v>
      </c>
      <c r="J584">
        <v>0</v>
      </c>
      <c r="K584">
        <v>0</v>
      </c>
      <c r="L584">
        <v>1</v>
      </c>
    </row>
    <row r="585" spans="1:12" x14ac:dyDescent="0.35">
      <c r="A585">
        <v>2031</v>
      </c>
      <c r="B585" t="s">
        <v>13</v>
      </c>
      <c r="C585" t="s">
        <v>10</v>
      </c>
      <c r="D585" t="s">
        <v>18</v>
      </c>
      <c r="E585" t="s">
        <v>483</v>
      </c>
      <c r="F585" t="s">
        <v>86</v>
      </c>
      <c r="G585">
        <v>2047.251252746828</v>
      </c>
      <c r="H585">
        <v>99848</v>
      </c>
      <c r="I585">
        <v>32949.839999999997</v>
      </c>
      <c r="J585">
        <v>0</v>
      </c>
      <c r="K585">
        <v>0</v>
      </c>
      <c r="L585">
        <v>1</v>
      </c>
    </row>
    <row r="586" spans="1:12" x14ac:dyDescent="0.35">
      <c r="A586">
        <v>2031</v>
      </c>
      <c r="B586" t="s">
        <v>13</v>
      </c>
      <c r="C586" t="s">
        <v>10</v>
      </c>
      <c r="D586" t="s">
        <v>18</v>
      </c>
      <c r="E586" t="s">
        <v>490</v>
      </c>
      <c r="F586" t="s">
        <v>82</v>
      </c>
      <c r="G586">
        <v>2047.251252746828</v>
      </c>
      <c r="H586">
        <v>99848</v>
      </c>
      <c r="I586">
        <v>32949.839999999997</v>
      </c>
      <c r="J586">
        <v>0</v>
      </c>
      <c r="K586">
        <v>0</v>
      </c>
      <c r="L586">
        <v>1</v>
      </c>
    </row>
    <row r="587" spans="1:12" x14ac:dyDescent="0.35">
      <c r="A587">
        <v>2031</v>
      </c>
      <c r="B587" t="s">
        <v>12</v>
      </c>
      <c r="C587" t="s">
        <v>4</v>
      </c>
      <c r="D587" t="s">
        <v>16</v>
      </c>
      <c r="E587" t="s">
        <v>483</v>
      </c>
      <c r="F587" t="s">
        <v>80</v>
      </c>
      <c r="G587">
        <v>36619.276210392578</v>
      </c>
      <c r="H587">
        <v>0</v>
      </c>
      <c r="I587">
        <v>0</v>
      </c>
      <c r="J587">
        <v>52375.318657896023</v>
      </c>
      <c r="K587">
        <v>36619.276210392578</v>
      </c>
      <c r="L587">
        <v>0.69917047091553897</v>
      </c>
    </row>
    <row r="588" spans="1:12" x14ac:dyDescent="0.35">
      <c r="A588">
        <v>2031</v>
      </c>
      <c r="B588" t="s">
        <v>12</v>
      </c>
      <c r="C588" t="s">
        <v>4</v>
      </c>
      <c r="D588" t="s">
        <v>16</v>
      </c>
      <c r="E588" t="s">
        <v>483</v>
      </c>
      <c r="F588" t="s">
        <v>81</v>
      </c>
      <c r="G588">
        <v>36619.276210392578</v>
      </c>
      <c r="H588">
        <v>38166</v>
      </c>
      <c r="I588">
        <v>26684.54019296246</v>
      </c>
      <c r="J588">
        <v>14209.318657896019</v>
      </c>
      <c r="K588">
        <v>9934.7360174301175</v>
      </c>
      <c r="L588">
        <v>0.69917047091553897</v>
      </c>
    </row>
    <row r="589" spans="1:12" x14ac:dyDescent="0.35">
      <c r="A589">
        <v>2031</v>
      </c>
      <c r="B589" t="s">
        <v>12</v>
      </c>
      <c r="C589" t="s">
        <v>4</v>
      </c>
      <c r="D589" t="s">
        <v>18</v>
      </c>
      <c r="E589" t="s">
        <v>483</v>
      </c>
      <c r="F589" t="s">
        <v>85</v>
      </c>
      <c r="G589">
        <v>36619.276210392578</v>
      </c>
      <c r="H589">
        <v>144924</v>
      </c>
      <c r="I589">
        <v>101326.5813269636</v>
      </c>
      <c r="J589">
        <v>0</v>
      </c>
      <c r="K589">
        <v>0</v>
      </c>
      <c r="L589">
        <v>0.69917047091553897</v>
      </c>
    </row>
    <row r="590" spans="1:12" x14ac:dyDescent="0.35">
      <c r="A590">
        <v>2031</v>
      </c>
      <c r="B590" t="s">
        <v>12</v>
      </c>
      <c r="C590" t="s">
        <v>4</v>
      </c>
      <c r="D590" t="s">
        <v>18</v>
      </c>
      <c r="E590" t="s">
        <v>483</v>
      </c>
      <c r="F590" t="s">
        <v>86</v>
      </c>
      <c r="G590">
        <v>36619.276210392578</v>
      </c>
      <c r="H590">
        <v>144924</v>
      </c>
      <c r="I590">
        <v>101326.5813269636</v>
      </c>
      <c r="J590">
        <v>0</v>
      </c>
      <c r="K590">
        <v>0</v>
      </c>
      <c r="L590">
        <v>0.69917047091553897</v>
      </c>
    </row>
    <row r="591" spans="1:12" x14ac:dyDescent="0.35">
      <c r="A591">
        <v>2031</v>
      </c>
      <c r="B591" t="s">
        <v>12</v>
      </c>
      <c r="C591" t="s">
        <v>4</v>
      </c>
      <c r="D591" t="s">
        <v>18</v>
      </c>
      <c r="E591" t="s">
        <v>490</v>
      </c>
      <c r="F591" t="s">
        <v>82</v>
      </c>
      <c r="G591">
        <v>36619.276210392578</v>
      </c>
      <c r="H591">
        <v>144924</v>
      </c>
      <c r="I591">
        <v>101326.5813269636</v>
      </c>
      <c r="J591">
        <v>0</v>
      </c>
      <c r="K591">
        <v>0</v>
      </c>
      <c r="L591">
        <v>0.69917047091553897</v>
      </c>
    </row>
    <row r="592" spans="1:12" x14ac:dyDescent="0.35">
      <c r="A592">
        <v>2031</v>
      </c>
      <c r="B592" t="s">
        <v>12</v>
      </c>
      <c r="C592" t="s">
        <v>9</v>
      </c>
      <c r="D592" t="s">
        <v>16</v>
      </c>
      <c r="E592" t="s">
        <v>483</v>
      </c>
      <c r="F592" t="s">
        <v>80</v>
      </c>
      <c r="G592">
        <v>15933.093445224329</v>
      </c>
      <c r="H592">
        <v>0</v>
      </c>
      <c r="I592">
        <v>0</v>
      </c>
      <c r="J592">
        <v>22788.56746389834</v>
      </c>
      <c r="K592">
        <v>15933.093445224329</v>
      </c>
      <c r="L592">
        <v>0.69917047091553897</v>
      </c>
    </row>
    <row r="593" spans="1:12" x14ac:dyDescent="0.35">
      <c r="A593">
        <v>2031</v>
      </c>
      <c r="B593" t="s">
        <v>12</v>
      </c>
      <c r="C593" t="s">
        <v>9</v>
      </c>
      <c r="D593" t="s">
        <v>16</v>
      </c>
      <c r="E593" t="s">
        <v>483</v>
      </c>
      <c r="F593" t="s">
        <v>81</v>
      </c>
      <c r="G593">
        <v>15933.093445224329</v>
      </c>
      <c r="H593">
        <v>38166</v>
      </c>
      <c r="I593">
        <v>26684.54019296246</v>
      </c>
      <c r="J593">
        <v>0</v>
      </c>
      <c r="K593">
        <v>0</v>
      </c>
      <c r="L593">
        <v>0.69917047091553897</v>
      </c>
    </row>
    <row r="594" spans="1:12" x14ac:dyDescent="0.35">
      <c r="A594">
        <v>2031</v>
      </c>
      <c r="B594" t="s">
        <v>12</v>
      </c>
      <c r="C594" t="s">
        <v>9</v>
      </c>
      <c r="D594" t="s">
        <v>18</v>
      </c>
      <c r="E594" t="s">
        <v>483</v>
      </c>
      <c r="F594" t="s">
        <v>85</v>
      </c>
      <c r="G594">
        <v>15933.093445224329</v>
      </c>
      <c r="H594">
        <v>144924</v>
      </c>
      <c r="I594">
        <v>101326.5813269636</v>
      </c>
      <c r="J594">
        <v>0</v>
      </c>
      <c r="K594">
        <v>0</v>
      </c>
      <c r="L594">
        <v>0.69917047091553897</v>
      </c>
    </row>
    <row r="595" spans="1:12" x14ac:dyDescent="0.35">
      <c r="A595">
        <v>2031</v>
      </c>
      <c r="B595" t="s">
        <v>12</v>
      </c>
      <c r="C595" t="s">
        <v>9</v>
      </c>
      <c r="D595" t="s">
        <v>18</v>
      </c>
      <c r="E595" t="s">
        <v>483</v>
      </c>
      <c r="F595" t="s">
        <v>86</v>
      </c>
      <c r="G595">
        <v>15933.093445224329</v>
      </c>
      <c r="H595">
        <v>144924</v>
      </c>
      <c r="I595">
        <v>101326.5813269636</v>
      </c>
      <c r="J595">
        <v>0</v>
      </c>
      <c r="K595">
        <v>0</v>
      </c>
      <c r="L595">
        <v>0.69917047091553897</v>
      </c>
    </row>
    <row r="596" spans="1:12" x14ac:dyDescent="0.35">
      <c r="A596">
        <v>2031</v>
      </c>
      <c r="B596" t="s">
        <v>12</v>
      </c>
      <c r="C596" t="s">
        <v>9</v>
      </c>
      <c r="D596" t="s">
        <v>18</v>
      </c>
      <c r="E596" t="s">
        <v>490</v>
      </c>
      <c r="F596" t="s">
        <v>82</v>
      </c>
      <c r="G596">
        <v>15933.093445224329</v>
      </c>
      <c r="H596">
        <v>144924</v>
      </c>
      <c r="I596">
        <v>101326.5813269636</v>
      </c>
      <c r="J596">
        <v>0</v>
      </c>
      <c r="K596">
        <v>0</v>
      </c>
      <c r="L596">
        <v>0.69917047091553897</v>
      </c>
    </row>
    <row r="597" spans="1:12" x14ac:dyDescent="0.35">
      <c r="A597">
        <v>2031</v>
      </c>
      <c r="B597" t="s">
        <v>12</v>
      </c>
      <c r="C597" t="s">
        <v>10</v>
      </c>
      <c r="D597" t="s">
        <v>16</v>
      </c>
      <c r="E597" t="s">
        <v>483</v>
      </c>
      <c r="F597" t="s">
        <v>80</v>
      </c>
      <c r="G597">
        <v>34709.732425890121</v>
      </c>
      <c r="H597">
        <v>0</v>
      </c>
      <c r="I597">
        <v>0</v>
      </c>
      <c r="J597">
        <v>49644.162432144702</v>
      </c>
      <c r="K597">
        <v>34709.732425890121</v>
      </c>
      <c r="L597">
        <v>0.69917047091553897</v>
      </c>
    </row>
    <row r="598" spans="1:12" x14ac:dyDescent="0.35">
      <c r="A598">
        <v>2031</v>
      </c>
      <c r="B598" t="s">
        <v>12</v>
      </c>
      <c r="C598" t="s">
        <v>10</v>
      </c>
      <c r="D598" t="s">
        <v>16</v>
      </c>
      <c r="E598" t="s">
        <v>483</v>
      </c>
      <c r="F598" t="s">
        <v>81</v>
      </c>
      <c r="G598">
        <v>34709.732425890121</v>
      </c>
      <c r="H598">
        <v>38166</v>
      </c>
      <c r="I598">
        <v>26684.54019296246</v>
      </c>
      <c r="J598">
        <v>11478.1624321447</v>
      </c>
      <c r="K598">
        <v>8025.1922329276604</v>
      </c>
      <c r="L598">
        <v>0.69917047091553897</v>
      </c>
    </row>
    <row r="599" spans="1:12" x14ac:dyDescent="0.35">
      <c r="A599">
        <v>2031</v>
      </c>
      <c r="B599" t="s">
        <v>12</v>
      </c>
      <c r="C599" t="s">
        <v>10</v>
      </c>
      <c r="D599" t="s">
        <v>18</v>
      </c>
      <c r="E599" t="s">
        <v>483</v>
      </c>
      <c r="F599" t="s">
        <v>85</v>
      </c>
      <c r="G599">
        <v>34709.732425890121</v>
      </c>
      <c r="H599">
        <v>144924</v>
      </c>
      <c r="I599">
        <v>101326.5813269636</v>
      </c>
      <c r="J599">
        <v>0</v>
      </c>
      <c r="K599">
        <v>0</v>
      </c>
      <c r="L599">
        <v>0.69917047091553897</v>
      </c>
    </row>
    <row r="600" spans="1:12" x14ac:dyDescent="0.35">
      <c r="A600">
        <v>2031</v>
      </c>
      <c r="B600" t="s">
        <v>12</v>
      </c>
      <c r="C600" t="s">
        <v>10</v>
      </c>
      <c r="D600" t="s">
        <v>18</v>
      </c>
      <c r="E600" t="s">
        <v>483</v>
      </c>
      <c r="F600" t="s">
        <v>86</v>
      </c>
      <c r="G600">
        <v>34709.732425890121</v>
      </c>
      <c r="H600">
        <v>144924</v>
      </c>
      <c r="I600">
        <v>101326.5813269636</v>
      </c>
      <c r="J600">
        <v>0</v>
      </c>
      <c r="K600">
        <v>0</v>
      </c>
      <c r="L600">
        <v>0.69917047091553897</v>
      </c>
    </row>
    <row r="601" spans="1:12" x14ac:dyDescent="0.35">
      <c r="A601">
        <v>2031</v>
      </c>
      <c r="B601" t="s">
        <v>12</v>
      </c>
      <c r="C601" t="s">
        <v>10</v>
      </c>
      <c r="D601" t="s">
        <v>18</v>
      </c>
      <c r="E601" t="s">
        <v>490</v>
      </c>
      <c r="F601" t="s">
        <v>82</v>
      </c>
      <c r="G601">
        <v>34709.732425890121</v>
      </c>
      <c r="H601">
        <v>144924</v>
      </c>
      <c r="I601">
        <v>101326.5813269636</v>
      </c>
      <c r="J601">
        <v>0</v>
      </c>
      <c r="K601">
        <v>0</v>
      </c>
      <c r="L601">
        <v>0.69917047091553897</v>
      </c>
    </row>
    <row r="602" spans="1:12" x14ac:dyDescent="0.35">
      <c r="A602">
        <v>2031</v>
      </c>
      <c r="B602" t="s">
        <v>11</v>
      </c>
      <c r="C602" t="s">
        <v>4</v>
      </c>
      <c r="D602" t="s">
        <v>16</v>
      </c>
      <c r="E602" t="s">
        <v>483</v>
      </c>
      <c r="F602" t="s">
        <v>80</v>
      </c>
      <c r="G602">
        <v>2673.374204195637</v>
      </c>
      <c r="H602">
        <v>0</v>
      </c>
      <c r="I602">
        <v>0</v>
      </c>
      <c r="J602">
        <v>4466.4629306387778</v>
      </c>
      <c r="K602">
        <v>2673.374204195637</v>
      </c>
      <c r="L602">
        <v>0.59854391398996798</v>
      </c>
    </row>
    <row r="603" spans="1:12" x14ac:dyDescent="0.35">
      <c r="A603">
        <v>2031</v>
      </c>
      <c r="B603" t="s">
        <v>11</v>
      </c>
      <c r="C603" t="s">
        <v>4</v>
      </c>
      <c r="D603" t="s">
        <v>16</v>
      </c>
      <c r="E603" t="s">
        <v>483</v>
      </c>
      <c r="F603" t="s">
        <v>81</v>
      </c>
      <c r="G603">
        <v>2673.374204195637</v>
      </c>
      <c r="H603">
        <v>0</v>
      </c>
      <c r="I603">
        <v>0</v>
      </c>
      <c r="J603">
        <v>4466.4629306387778</v>
      </c>
      <c r="K603">
        <v>2673.374204195637</v>
      </c>
      <c r="L603">
        <v>0.59854391398996798</v>
      </c>
    </row>
    <row r="604" spans="1:12" x14ac:dyDescent="0.35">
      <c r="A604">
        <v>2031</v>
      </c>
      <c r="B604" t="s">
        <v>11</v>
      </c>
      <c r="C604" t="s">
        <v>4</v>
      </c>
      <c r="D604" t="s">
        <v>18</v>
      </c>
      <c r="E604" t="s">
        <v>483</v>
      </c>
      <c r="F604" t="s">
        <v>85</v>
      </c>
      <c r="G604">
        <v>2673.374204195637</v>
      </c>
      <c r="H604">
        <v>20.77942225145344</v>
      </c>
      <c r="I604">
        <v>12.437396724835169</v>
      </c>
      <c r="J604">
        <v>4445.6835083873248</v>
      </c>
      <c r="K604">
        <v>2660.9368074708018</v>
      </c>
      <c r="L604">
        <v>0.59854391398996798</v>
      </c>
    </row>
    <row r="605" spans="1:12" x14ac:dyDescent="0.35">
      <c r="A605">
        <v>2031</v>
      </c>
      <c r="B605" t="s">
        <v>11</v>
      </c>
      <c r="C605" t="s">
        <v>4</v>
      </c>
      <c r="D605" t="s">
        <v>18</v>
      </c>
      <c r="E605" t="s">
        <v>483</v>
      </c>
      <c r="F605" t="s">
        <v>86</v>
      </c>
      <c r="G605">
        <v>2673.374204195637</v>
      </c>
      <c r="H605">
        <v>20.77942225145344</v>
      </c>
      <c r="I605">
        <v>12.437396724835169</v>
      </c>
      <c r="J605">
        <v>4445.6835083873248</v>
      </c>
      <c r="K605">
        <v>2660.9368074708018</v>
      </c>
      <c r="L605">
        <v>0.59854391398996798</v>
      </c>
    </row>
    <row r="606" spans="1:12" x14ac:dyDescent="0.35">
      <c r="A606">
        <v>2031</v>
      </c>
      <c r="B606" t="s">
        <v>11</v>
      </c>
      <c r="C606" t="s">
        <v>4</v>
      </c>
      <c r="D606" t="s">
        <v>18</v>
      </c>
      <c r="E606" t="s">
        <v>490</v>
      </c>
      <c r="F606" t="s">
        <v>82</v>
      </c>
      <c r="G606">
        <v>2673.374204195637</v>
      </c>
      <c r="H606">
        <v>20.77942225145344</v>
      </c>
      <c r="I606">
        <v>12.437396724835169</v>
      </c>
      <c r="J606">
        <v>4445.6835083873248</v>
      </c>
      <c r="K606">
        <v>2660.9368074708018</v>
      </c>
      <c r="L606">
        <v>0.59854391398996798</v>
      </c>
    </row>
    <row r="607" spans="1:12" x14ac:dyDescent="0.35">
      <c r="A607">
        <v>2031</v>
      </c>
      <c r="B607" t="s">
        <v>11</v>
      </c>
      <c r="C607" t="s">
        <v>9</v>
      </c>
      <c r="D607" t="s">
        <v>16</v>
      </c>
      <c r="E607" t="s">
        <v>483</v>
      </c>
      <c r="F607" t="s">
        <v>80</v>
      </c>
      <c r="G607">
        <v>995.76153396036739</v>
      </c>
      <c r="H607">
        <v>0</v>
      </c>
      <c r="I607">
        <v>0</v>
      </c>
      <c r="J607">
        <v>1663.6398945609481</v>
      </c>
      <c r="K607">
        <v>995.76153396036739</v>
      </c>
      <c r="L607">
        <v>0.59854391398996798</v>
      </c>
    </row>
    <row r="608" spans="1:12" x14ac:dyDescent="0.35">
      <c r="A608">
        <v>2031</v>
      </c>
      <c r="B608" t="s">
        <v>11</v>
      </c>
      <c r="C608" t="s">
        <v>9</v>
      </c>
      <c r="D608" t="s">
        <v>16</v>
      </c>
      <c r="E608" t="s">
        <v>483</v>
      </c>
      <c r="F608" t="s">
        <v>81</v>
      </c>
      <c r="G608">
        <v>995.76153396036739</v>
      </c>
      <c r="H608">
        <v>0</v>
      </c>
      <c r="I608">
        <v>0</v>
      </c>
      <c r="J608">
        <v>1663.6398945609481</v>
      </c>
      <c r="K608">
        <v>995.76153396036739</v>
      </c>
      <c r="L608">
        <v>0.59854391398996798</v>
      </c>
    </row>
    <row r="609" spans="1:12" x14ac:dyDescent="0.35">
      <c r="A609">
        <v>2031</v>
      </c>
      <c r="B609" t="s">
        <v>11</v>
      </c>
      <c r="C609" t="s">
        <v>9</v>
      </c>
      <c r="D609" t="s">
        <v>18</v>
      </c>
      <c r="E609" t="s">
        <v>483</v>
      </c>
      <c r="F609" t="s">
        <v>85</v>
      </c>
      <c r="G609">
        <v>995.76153396036739</v>
      </c>
      <c r="H609">
        <v>20.77942225145344</v>
      </c>
      <c r="I609">
        <v>12.437396724835169</v>
      </c>
      <c r="J609">
        <v>1642.8604723094941</v>
      </c>
      <c r="K609">
        <v>983.32413723553225</v>
      </c>
      <c r="L609">
        <v>0.59854391398996798</v>
      </c>
    </row>
    <row r="610" spans="1:12" x14ac:dyDescent="0.35">
      <c r="A610">
        <v>2031</v>
      </c>
      <c r="B610" t="s">
        <v>11</v>
      </c>
      <c r="C610" t="s">
        <v>9</v>
      </c>
      <c r="D610" t="s">
        <v>18</v>
      </c>
      <c r="E610" t="s">
        <v>483</v>
      </c>
      <c r="F610" t="s">
        <v>86</v>
      </c>
      <c r="G610">
        <v>995.76153396036739</v>
      </c>
      <c r="H610">
        <v>20.77942225145344</v>
      </c>
      <c r="I610">
        <v>12.437396724835169</v>
      </c>
      <c r="J610">
        <v>1642.8604723094941</v>
      </c>
      <c r="K610">
        <v>983.32413723553225</v>
      </c>
      <c r="L610">
        <v>0.59854391398996798</v>
      </c>
    </row>
    <row r="611" spans="1:12" x14ac:dyDescent="0.35">
      <c r="A611">
        <v>2031</v>
      </c>
      <c r="B611" t="s">
        <v>11</v>
      </c>
      <c r="C611" t="s">
        <v>9</v>
      </c>
      <c r="D611" t="s">
        <v>18</v>
      </c>
      <c r="E611" t="s">
        <v>490</v>
      </c>
      <c r="F611" t="s">
        <v>82</v>
      </c>
      <c r="G611">
        <v>995.76153396036739</v>
      </c>
      <c r="H611">
        <v>20.77942225145344</v>
      </c>
      <c r="I611">
        <v>12.437396724835169</v>
      </c>
      <c r="J611">
        <v>1642.8604723094941</v>
      </c>
      <c r="K611">
        <v>983.32413723553225</v>
      </c>
      <c r="L611">
        <v>0.59854391398996798</v>
      </c>
    </row>
    <row r="612" spans="1:12" x14ac:dyDescent="0.35">
      <c r="A612">
        <v>2031</v>
      </c>
      <c r="B612" t="s">
        <v>11</v>
      </c>
      <c r="C612" t="s">
        <v>10</v>
      </c>
      <c r="D612" t="s">
        <v>16</v>
      </c>
      <c r="E612" t="s">
        <v>483</v>
      </c>
      <c r="F612" t="s">
        <v>80</v>
      </c>
      <c r="G612">
        <v>2554.0345257736349</v>
      </c>
      <c r="H612">
        <v>0</v>
      </c>
      <c r="I612">
        <v>0</v>
      </c>
      <c r="J612">
        <v>4267.0796011409157</v>
      </c>
      <c r="K612">
        <v>2554.0345257736349</v>
      </c>
      <c r="L612">
        <v>0.59854391398996798</v>
      </c>
    </row>
    <row r="613" spans="1:12" x14ac:dyDescent="0.35">
      <c r="A613">
        <v>2031</v>
      </c>
      <c r="B613" t="s">
        <v>11</v>
      </c>
      <c r="C613" t="s">
        <v>10</v>
      </c>
      <c r="D613" t="s">
        <v>16</v>
      </c>
      <c r="E613" t="s">
        <v>483</v>
      </c>
      <c r="F613" t="s">
        <v>81</v>
      </c>
      <c r="G613">
        <v>2554.0345257736349</v>
      </c>
      <c r="H613">
        <v>0</v>
      </c>
      <c r="I613">
        <v>0</v>
      </c>
      <c r="J613">
        <v>4267.0796011409157</v>
      </c>
      <c r="K613">
        <v>2554.0345257736349</v>
      </c>
      <c r="L613">
        <v>0.59854391398996798</v>
      </c>
    </row>
    <row r="614" spans="1:12" x14ac:dyDescent="0.35">
      <c r="A614">
        <v>2031</v>
      </c>
      <c r="B614" t="s">
        <v>11</v>
      </c>
      <c r="C614" t="s">
        <v>10</v>
      </c>
      <c r="D614" t="s">
        <v>18</v>
      </c>
      <c r="E614" t="s">
        <v>483</v>
      </c>
      <c r="F614" t="s">
        <v>85</v>
      </c>
      <c r="G614">
        <v>2554.0345257736349</v>
      </c>
      <c r="H614">
        <v>20.77942225145344</v>
      </c>
      <c r="I614">
        <v>12.437396724835169</v>
      </c>
      <c r="J614">
        <v>4246.3001788894626</v>
      </c>
      <c r="K614">
        <v>2541.5971290488001</v>
      </c>
      <c r="L614">
        <v>0.59854391398996798</v>
      </c>
    </row>
    <row r="615" spans="1:12" x14ac:dyDescent="0.35">
      <c r="A615">
        <v>2031</v>
      </c>
      <c r="B615" t="s">
        <v>11</v>
      </c>
      <c r="C615" t="s">
        <v>10</v>
      </c>
      <c r="D615" t="s">
        <v>18</v>
      </c>
      <c r="E615" t="s">
        <v>483</v>
      </c>
      <c r="F615" t="s">
        <v>86</v>
      </c>
      <c r="G615">
        <v>2554.0345257736349</v>
      </c>
      <c r="H615">
        <v>20.77942225145344</v>
      </c>
      <c r="I615">
        <v>12.437396724835169</v>
      </c>
      <c r="J615">
        <v>4246.3001788894626</v>
      </c>
      <c r="K615">
        <v>2541.5971290488001</v>
      </c>
      <c r="L615">
        <v>0.59854391398996798</v>
      </c>
    </row>
    <row r="616" spans="1:12" x14ac:dyDescent="0.35">
      <c r="A616">
        <v>2031</v>
      </c>
      <c r="B616" t="s">
        <v>11</v>
      </c>
      <c r="C616" t="s">
        <v>10</v>
      </c>
      <c r="D616" t="s">
        <v>18</v>
      </c>
      <c r="E616" t="s">
        <v>490</v>
      </c>
      <c r="F616" t="s">
        <v>82</v>
      </c>
      <c r="G616">
        <v>2554.0345257736349</v>
      </c>
      <c r="H616">
        <v>20.77942225145344</v>
      </c>
      <c r="I616">
        <v>12.437396724835169</v>
      </c>
      <c r="J616">
        <v>4246.3001788894626</v>
      </c>
      <c r="K616">
        <v>2541.5971290488001</v>
      </c>
      <c r="L616">
        <v>0.59854391398996798</v>
      </c>
    </row>
    <row r="617" spans="1:12" x14ac:dyDescent="0.35">
      <c r="A617">
        <v>2031</v>
      </c>
      <c r="B617" t="s">
        <v>8</v>
      </c>
      <c r="C617" t="s">
        <v>4</v>
      </c>
      <c r="D617" t="s">
        <v>16</v>
      </c>
      <c r="E617" t="s">
        <v>483</v>
      </c>
      <c r="F617" t="s">
        <v>80</v>
      </c>
      <c r="G617">
        <v>93641.810348820844</v>
      </c>
      <c r="H617">
        <v>0</v>
      </c>
      <c r="I617">
        <v>0</v>
      </c>
      <c r="J617">
        <v>118901.9315761964</v>
      </c>
      <c r="K617">
        <v>93641.810348820844</v>
      </c>
      <c r="L617">
        <v>0.787554996857322</v>
      </c>
    </row>
    <row r="618" spans="1:12" x14ac:dyDescent="0.35">
      <c r="A618">
        <v>2031</v>
      </c>
      <c r="B618" t="s">
        <v>8</v>
      </c>
      <c r="C618" t="s">
        <v>4</v>
      </c>
      <c r="D618" t="s">
        <v>16</v>
      </c>
      <c r="E618" t="s">
        <v>483</v>
      </c>
      <c r="F618" t="s">
        <v>81</v>
      </c>
      <c r="G618">
        <v>93641.810348820844</v>
      </c>
      <c r="H618">
        <v>139278</v>
      </c>
      <c r="I618">
        <v>78118.250613288372</v>
      </c>
      <c r="J618">
        <v>0</v>
      </c>
      <c r="K618">
        <v>15523.55973553247</v>
      </c>
      <c r="L618">
        <v>0.787554996857322</v>
      </c>
    </row>
    <row r="619" spans="1:12" x14ac:dyDescent="0.35">
      <c r="A619">
        <v>2031</v>
      </c>
      <c r="B619" t="s">
        <v>8</v>
      </c>
      <c r="C619" t="s">
        <v>4</v>
      </c>
      <c r="D619" t="s">
        <v>18</v>
      </c>
      <c r="E619" t="s">
        <v>483</v>
      </c>
      <c r="F619" t="s">
        <v>85</v>
      </c>
      <c r="G619">
        <v>93641.810348820844</v>
      </c>
      <c r="H619">
        <v>192804</v>
      </c>
      <c r="I619">
        <v>108139.9157888859</v>
      </c>
      <c r="J619">
        <v>0</v>
      </c>
      <c r="K619">
        <v>0</v>
      </c>
      <c r="L619">
        <v>0.787554996857322</v>
      </c>
    </row>
    <row r="620" spans="1:12" x14ac:dyDescent="0.35">
      <c r="A620">
        <v>2031</v>
      </c>
      <c r="B620" t="s">
        <v>8</v>
      </c>
      <c r="C620" t="s">
        <v>4</v>
      </c>
      <c r="D620" t="s">
        <v>18</v>
      </c>
      <c r="E620" t="s">
        <v>483</v>
      </c>
      <c r="F620" t="s">
        <v>86</v>
      </c>
      <c r="G620">
        <v>93641.810348820844</v>
      </c>
      <c r="H620">
        <v>192804</v>
      </c>
      <c r="I620">
        <v>108139.9157888859</v>
      </c>
      <c r="J620">
        <v>0</v>
      </c>
      <c r="K620">
        <v>0</v>
      </c>
      <c r="L620">
        <v>0.787554996857322</v>
      </c>
    </row>
    <row r="621" spans="1:12" x14ac:dyDescent="0.35">
      <c r="A621">
        <v>2031</v>
      </c>
      <c r="B621" t="s">
        <v>8</v>
      </c>
      <c r="C621" t="s">
        <v>4</v>
      </c>
      <c r="D621" t="s">
        <v>18</v>
      </c>
      <c r="E621" t="s">
        <v>490</v>
      </c>
      <c r="F621" t="s">
        <v>82</v>
      </c>
      <c r="G621">
        <v>93641.810348820844</v>
      </c>
      <c r="H621">
        <v>192804</v>
      </c>
      <c r="I621">
        <v>151843.75361407921</v>
      </c>
      <c r="J621">
        <v>0</v>
      </c>
      <c r="K621">
        <v>0</v>
      </c>
      <c r="L621">
        <v>0.787554996857322</v>
      </c>
    </row>
    <row r="622" spans="1:12" x14ac:dyDescent="0.35">
      <c r="A622">
        <v>2031</v>
      </c>
      <c r="B622" t="s">
        <v>8</v>
      </c>
      <c r="C622" t="s">
        <v>9</v>
      </c>
      <c r="D622" t="s">
        <v>16</v>
      </c>
      <c r="E622" t="s">
        <v>483</v>
      </c>
      <c r="F622" t="s">
        <v>80</v>
      </c>
      <c r="G622">
        <v>45309.507358348303</v>
      </c>
      <c r="H622">
        <v>0</v>
      </c>
      <c r="I622">
        <v>0</v>
      </c>
      <c r="J622">
        <v>57531.864490927517</v>
      </c>
      <c r="K622">
        <v>45309.507358348303</v>
      </c>
      <c r="L622">
        <v>0.787554996857322</v>
      </c>
    </row>
    <row r="623" spans="1:12" x14ac:dyDescent="0.35">
      <c r="A623">
        <v>2031</v>
      </c>
      <c r="B623" t="s">
        <v>8</v>
      </c>
      <c r="C623" t="s">
        <v>9</v>
      </c>
      <c r="D623" t="s">
        <v>16</v>
      </c>
      <c r="E623" t="s">
        <v>483</v>
      </c>
      <c r="F623" t="s">
        <v>81</v>
      </c>
      <c r="G623">
        <v>45309.507358348303</v>
      </c>
      <c r="H623">
        <v>139278</v>
      </c>
      <c r="I623">
        <v>78118.250613288372</v>
      </c>
      <c r="J623">
        <v>0</v>
      </c>
      <c r="K623">
        <v>0</v>
      </c>
      <c r="L623">
        <v>0.787554996857322</v>
      </c>
    </row>
    <row r="624" spans="1:12" x14ac:dyDescent="0.35">
      <c r="A624">
        <v>2031</v>
      </c>
      <c r="B624" t="s">
        <v>8</v>
      </c>
      <c r="C624" t="s">
        <v>9</v>
      </c>
      <c r="D624" t="s">
        <v>18</v>
      </c>
      <c r="E624" t="s">
        <v>483</v>
      </c>
      <c r="F624" t="s">
        <v>85</v>
      </c>
      <c r="G624">
        <v>45309.507358348303</v>
      </c>
      <c r="H624">
        <v>192804</v>
      </c>
      <c r="I624">
        <v>108139.9157888859</v>
      </c>
      <c r="J624">
        <v>0</v>
      </c>
      <c r="K624">
        <v>0</v>
      </c>
      <c r="L624">
        <v>0.787554996857322</v>
      </c>
    </row>
    <row r="625" spans="1:12" x14ac:dyDescent="0.35">
      <c r="A625">
        <v>2031</v>
      </c>
      <c r="B625" t="s">
        <v>8</v>
      </c>
      <c r="C625" t="s">
        <v>9</v>
      </c>
      <c r="D625" t="s">
        <v>18</v>
      </c>
      <c r="E625" t="s">
        <v>483</v>
      </c>
      <c r="F625" t="s">
        <v>86</v>
      </c>
      <c r="G625">
        <v>45309.507358348303</v>
      </c>
      <c r="H625">
        <v>192804</v>
      </c>
      <c r="I625">
        <v>108139.9157888859</v>
      </c>
      <c r="J625">
        <v>0</v>
      </c>
      <c r="K625">
        <v>0</v>
      </c>
      <c r="L625">
        <v>0.787554996857322</v>
      </c>
    </row>
    <row r="626" spans="1:12" x14ac:dyDescent="0.35">
      <c r="A626">
        <v>2031</v>
      </c>
      <c r="B626" t="s">
        <v>8</v>
      </c>
      <c r="C626" t="s">
        <v>9</v>
      </c>
      <c r="D626" t="s">
        <v>18</v>
      </c>
      <c r="E626" t="s">
        <v>490</v>
      </c>
      <c r="F626" t="s">
        <v>82</v>
      </c>
      <c r="G626">
        <v>45309.507358348303</v>
      </c>
      <c r="H626">
        <v>192804</v>
      </c>
      <c r="I626">
        <v>151843.75361407921</v>
      </c>
      <c r="J626">
        <v>0</v>
      </c>
      <c r="K626">
        <v>0</v>
      </c>
      <c r="L626">
        <v>0.787554996857322</v>
      </c>
    </row>
    <row r="627" spans="1:12" x14ac:dyDescent="0.35">
      <c r="A627">
        <v>2031</v>
      </c>
      <c r="B627" t="s">
        <v>8</v>
      </c>
      <c r="C627" t="s">
        <v>10</v>
      </c>
      <c r="D627" t="s">
        <v>16</v>
      </c>
      <c r="E627" t="s">
        <v>483</v>
      </c>
      <c r="F627" t="s">
        <v>80</v>
      </c>
      <c r="G627">
        <v>88691.707094776124</v>
      </c>
      <c r="H627">
        <v>0</v>
      </c>
      <c r="I627">
        <v>0</v>
      </c>
      <c r="J627">
        <v>112616.5251299193</v>
      </c>
      <c r="K627">
        <v>88691.707094776124</v>
      </c>
      <c r="L627">
        <v>0.787554996857322</v>
      </c>
    </row>
    <row r="628" spans="1:12" x14ac:dyDescent="0.35">
      <c r="A628">
        <v>2031</v>
      </c>
      <c r="B628" t="s">
        <v>8</v>
      </c>
      <c r="C628" t="s">
        <v>10</v>
      </c>
      <c r="D628" t="s">
        <v>16</v>
      </c>
      <c r="E628" t="s">
        <v>483</v>
      </c>
      <c r="F628" t="s">
        <v>81</v>
      </c>
      <c r="G628">
        <v>88691.707094776124</v>
      </c>
      <c r="H628">
        <v>139278</v>
      </c>
      <c r="I628">
        <v>78118.250613288372</v>
      </c>
      <c r="J628">
        <v>0</v>
      </c>
      <c r="K628">
        <v>10573.45648148775</v>
      </c>
      <c r="L628">
        <v>0.787554996857322</v>
      </c>
    </row>
    <row r="629" spans="1:12" x14ac:dyDescent="0.35">
      <c r="A629">
        <v>2031</v>
      </c>
      <c r="B629" t="s">
        <v>8</v>
      </c>
      <c r="C629" t="s">
        <v>10</v>
      </c>
      <c r="D629" t="s">
        <v>18</v>
      </c>
      <c r="E629" t="s">
        <v>483</v>
      </c>
      <c r="F629" t="s">
        <v>85</v>
      </c>
      <c r="G629">
        <v>88691.707094776124</v>
      </c>
      <c r="H629">
        <v>192804</v>
      </c>
      <c r="I629">
        <v>108139.9157888859</v>
      </c>
      <c r="J629">
        <v>0</v>
      </c>
      <c r="K629">
        <v>0</v>
      </c>
      <c r="L629">
        <v>0.787554996857322</v>
      </c>
    </row>
    <row r="630" spans="1:12" x14ac:dyDescent="0.35">
      <c r="A630">
        <v>2031</v>
      </c>
      <c r="B630" t="s">
        <v>8</v>
      </c>
      <c r="C630" t="s">
        <v>10</v>
      </c>
      <c r="D630" t="s">
        <v>18</v>
      </c>
      <c r="E630" t="s">
        <v>483</v>
      </c>
      <c r="F630" t="s">
        <v>86</v>
      </c>
      <c r="G630">
        <v>88691.707094776124</v>
      </c>
      <c r="H630">
        <v>192804</v>
      </c>
      <c r="I630">
        <v>108139.9157888859</v>
      </c>
      <c r="J630">
        <v>0</v>
      </c>
      <c r="K630">
        <v>0</v>
      </c>
      <c r="L630">
        <v>0.787554996857322</v>
      </c>
    </row>
    <row r="631" spans="1:12" x14ac:dyDescent="0.35">
      <c r="A631">
        <v>2031</v>
      </c>
      <c r="B631" t="s">
        <v>8</v>
      </c>
      <c r="C631" t="s">
        <v>10</v>
      </c>
      <c r="D631" t="s">
        <v>18</v>
      </c>
      <c r="E631" t="s">
        <v>490</v>
      </c>
      <c r="F631" t="s">
        <v>82</v>
      </c>
      <c r="G631">
        <v>88691.707094776124</v>
      </c>
      <c r="H631">
        <v>192804</v>
      </c>
      <c r="I631">
        <v>151843.75361407921</v>
      </c>
      <c r="J631">
        <v>0</v>
      </c>
      <c r="K631">
        <v>0</v>
      </c>
      <c r="L631">
        <v>0.787554996857322</v>
      </c>
    </row>
    <row r="632" spans="1:12" x14ac:dyDescent="0.35">
      <c r="A632">
        <v>2032</v>
      </c>
      <c r="B632" t="s">
        <v>6</v>
      </c>
      <c r="C632" t="s">
        <v>4</v>
      </c>
      <c r="D632" t="s">
        <v>16</v>
      </c>
      <c r="E632" t="s">
        <v>483</v>
      </c>
      <c r="F632" t="s">
        <v>80</v>
      </c>
      <c r="G632">
        <v>92402.4738250386</v>
      </c>
      <c r="H632">
        <v>0</v>
      </c>
      <c r="I632">
        <v>0</v>
      </c>
      <c r="J632">
        <v>210317.9609030397</v>
      </c>
      <c r="K632">
        <v>92402.4738250386</v>
      </c>
      <c r="L632">
        <v>0.439346565686978</v>
      </c>
    </row>
    <row r="633" spans="1:12" x14ac:dyDescent="0.35">
      <c r="A633">
        <v>2032</v>
      </c>
      <c r="B633" t="s">
        <v>6</v>
      </c>
      <c r="C633" t="s">
        <v>4</v>
      </c>
      <c r="D633" t="s">
        <v>16</v>
      </c>
      <c r="E633" t="s">
        <v>483</v>
      </c>
      <c r="F633" t="s">
        <v>81</v>
      </c>
      <c r="G633">
        <v>92402.4738250386</v>
      </c>
      <c r="H633">
        <v>3392</v>
      </c>
      <c r="I633">
        <v>1438.824761843257</v>
      </c>
      <c r="J633">
        <v>206925.9609030397</v>
      </c>
      <c r="K633">
        <v>90963.649063195349</v>
      </c>
      <c r="L633">
        <v>0.439346565686978</v>
      </c>
    </row>
    <row r="634" spans="1:12" x14ac:dyDescent="0.35">
      <c r="A634">
        <v>2032</v>
      </c>
      <c r="B634" t="s">
        <v>6</v>
      </c>
      <c r="C634" t="s">
        <v>4</v>
      </c>
      <c r="D634" t="s">
        <v>18</v>
      </c>
      <c r="E634" t="s">
        <v>483</v>
      </c>
      <c r="F634" t="s">
        <v>85</v>
      </c>
      <c r="G634">
        <v>92402.4738250386</v>
      </c>
      <c r="H634">
        <v>10201.72293008911</v>
      </c>
      <c r="I634">
        <v>4327.3854850460966</v>
      </c>
      <c r="J634">
        <v>200116.23797295059</v>
      </c>
      <c r="K634">
        <v>88075.088339992508</v>
      </c>
      <c r="L634">
        <v>0.439346565686978</v>
      </c>
    </row>
    <row r="635" spans="1:12" x14ac:dyDescent="0.35">
      <c r="A635">
        <v>2032</v>
      </c>
      <c r="B635" t="s">
        <v>6</v>
      </c>
      <c r="C635" t="s">
        <v>4</v>
      </c>
      <c r="D635" t="s">
        <v>18</v>
      </c>
      <c r="E635" t="s">
        <v>483</v>
      </c>
      <c r="F635" t="s">
        <v>86</v>
      </c>
      <c r="G635">
        <v>92402.4738250386</v>
      </c>
      <c r="H635">
        <v>10201.72293008911</v>
      </c>
      <c r="I635">
        <v>4327.3854850460966</v>
      </c>
      <c r="J635">
        <v>200116.23797295059</v>
      </c>
      <c r="K635">
        <v>88075.088339992508</v>
      </c>
      <c r="L635">
        <v>0.439346565686978</v>
      </c>
    </row>
    <row r="636" spans="1:12" x14ac:dyDescent="0.35">
      <c r="A636">
        <v>2032</v>
      </c>
      <c r="B636" t="s">
        <v>6</v>
      </c>
      <c r="C636" t="s">
        <v>4</v>
      </c>
      <c r="D636" t="s">
        <v>18</v>
      </c>
      <c r="E636" t="s">
        <v>490</v>
      </c>
      <c r="F636" t="s">
        <v>82</v>
      </c>
      <c r="G636">
        <v>92402.4738250386</v>
      </c>
      <c r="H636">
        <v>10201.72293008911</v>
      </c>
      <c r="I636">
        <v>4482.0919334247501</v>
      </c>
      <c r="J636">
        <v>200116.23797295059</v>
      </c>
      <c r="K636">
        <v>87920.381891613855</v>
      </c>
      <c r="L636">
        <v>0.439346565686978</v>
      </c>
    </row>
    <row r="637" spans="1:12" x14ac:dyDescent="0.35">
      <c r="A637">
        <v>2032</v>
      </c>
      <c r="B637" t="s">
        <v>6</v>
      </c>
      <c r="C637" t="s">
        <v>9</v>
      </c>
      <c r="D637" t="s">
        <v>16</v>
      </c>
      <c r="E637" t="s">
        <v>483</v>
      </c>
      <c r="F637" t="s">
        <v>80</v>
      </c>
      <c r="G637">
        <v>38753.635859275622</v>
      </c>
      <c r="H637">
        <v>0</v>
      </c>
      <c r="I637">
        <v>0</v>
      </c>
      <c r="J637">
        <v>88207.440061990812</v>
      </c>
      <c r="K637">
        <v>38753.635859275622</v>
      </c>
      <c r="L637">
        <v>0.439346565686978</v>
      </c>
    </row>
    <row r="638" spans="1:12" x14ac:dyDescent="0.35">
      <c r="A638">
        <v>2032</v>
      </c>
      <c r="B638" t="s">
        <v>6</v>
      </c>
      <c r="C638" t="s">
        <v>9</v>
      </c>
      <c r="D638" t="s">
        <v>16</v>
      </c>
      <c r="E638" t="s">
        <v>483</v>
      </c>
      <c r="F638" t="s">
        <v>81</v>
      </c>
      <c r="G638">
        <v>38753.635859275622</v>
      </c>
      <c r="H638">
        <v>3392</v>
      </c>
      <c r="I638">
        <v>1438.824761843257</v>
      </c>
      <c r="J638">
        <v>84815.440061990812</v>
      </c>
      <c r="K638">
        <v>37314.811097432357</v>
      </c>
      <c r="L638">
        <v>0.439346565686978</v>
      </c>
    </row>
    <row r="639" spans="1:12" x14ac:dyDescent="0.35">
      <c r="A639">
        <v>2032</v>
      </c>
      <c r="B639" t="s">
        <v>6</v>
      </c>
      <c r="C639" t="s">
        <v>9</v>
      </c>
      <c r="D639" t="s">
        <v>18</v>
      </c>
      <c r="E639" t="s">
        <v>483</v>
      </c>
      <c r="F639" t="s">
        <v>85</v>
      </c>
      <c r="G639">
        <v>38753.635859275622</v>
      </c>
      <c r="H639">
        <v>10201.72293008911</v>
      </c>
      <c r="I639">
        <v>4327.3854850460966</v>
      </c>
      <c r="J639">
        <v>78005.717131901707</v>
      </c>
      <c r="K639">
        <v>34426.250374229523</v>
      </c>
      <c r="L639">
        <v>0.439346565686978</v>
      </c>
    </row>
    <row r="640" spans="1:12" x14ac:dyDescent="0.35">
      <c r="A640">
        <v>2032</v>
      </c>
      <c r="B640" t="s">
        <v>6</v>
      </c>
      <c r="C640" t="s">
        <v>9</v>
      </c>
      <c r="D640" t="s">
        <v>18</v>
      </c>
      <c r="E640" t="s">
        <v>483</v>
      </c>
      <c r="F640" t="s">
        <v>86</v>
      </c>
      <c r="G640">
        <v>38753.635859275622</v>
      </c>
      <c r="H640">
        <v>10201.72293008911</v>
      </c>
      <c r="I640">
        <v>4327.3854850460966</v>
      </c>
      <c r="J640">
        <v>78005.717131901707</v>
      </c>
      <c r="K640">
        <v>34426.250374229523</v>
      </c>
      <c r="L640">
        <v>0.439346565686978</v>
      </c>
    </row>
    <row r="641" spans="1:12" x14ac:dyDescent="0.35">
      <c r="A641">
        <v>2032</v>
      </c>
      <c r="B641" t="s">
        <v>6</v>
      </c>
      <c r="C641" t="s">
        <v>9</v>
      </c>
      <c r="D641" t="s">
        <v>18</v>
      </c>
      <c r="E641" t="s">
        <v>490</v>
      </c>
      <c r="F641" t="s">
        <v>82</v>
      </c>
      <c r="G641">
        <v>38753.635859275622</v>
      </c>
      <c r="H641">
        <v>10201.72293008911</v>
      </c>
      <c r="I641">
        <v>4482.0919334247501</v>
      </c>
      <c r="J641">
        <v>78005.717131901707</v>
      </c>
      <c r="K641">
        <v>34271.54392585087</v>
      </c>
      <c r="L641">
        <v>0.439346565686978</v>
      </c>
    </row>
    <row r="642" spans="1:12" x14ac:dyDescent="0.35">
      <c r="A642">
        <v>2032</v>
      </c>
      <c r="B642" t="s">
        <v>6</v>
      </c>
      <c r="C642" t="s">
        <v>10</v>
      </c>
      <c r="D642" t="s">
        <v>16</v>
      </c>
      <c r="E642" t="s">
        <v>483</v>
      </c>
      <c r="F642" t="s">
        <v>80</v>
      </c>
      <c r="G642">
        <v>87567.768233932453</v>
      </c>
      <c r="H642">
        <v>0</v>
      </c>
      <c r="I642">
        <v>0</v>
      </c>
      <c r="J642">
        <v>199313.6513927413</v>
      </c>
      <c r="K642">
        <v>87567.768233932453</v>
      </c>
      <c r="L642">
        <v>0.439346565686978</v>
      </c>
    </row>
    <row r="643" spans="1:12" x14ac:dyDescent="0.35">
      <c r="A643">
        <v>2032</v>
      </c>
      <c r="B643" t="s">
        <v>6</v>
      </c>
      <c r="C643" t="s">
        <v>10</v>
      </c>
      <c r="D643" t="s">
        <v>16</v>
      </c>
      <c r="E643" t="s">
        <v>483</v>
      </c>
      <c r="F643" t="s">
        <v>81</v>
      </c>
      <c r="G643">
        <v>87567.768233932453</v>
      </c>
      <c r="H643">
        <v>3392</v>
      </c>
      <c r="I643">
        <v>1438.824761843257</v>
      </c>
      <c r="J643">
        <v>195921.6513927413</v>
      </c>
      <c r="K643">
        <v>86128.943472089202</v>
      </c>
      <c r="L643">
        <v>0.439346565686978</v>
      </c>
    </row>
    <row r="644" spans="1:12" x14ac:dyDescent="0.35">
      <c r="A644">
        <v>2032</v>
      </c>
      <c r="B644" t="s">
        <v>6</v>
      </c>
      <c r="C644" t="s">
        <v>10</v>
      </c>
      <c r="D644" t="s">
        <v>18</v>
      </c>
      <c r="E644" t="s">
        <v>483</v>
      </c>
      <c r="F644" t="s">
        <v>85</v>
      </c>
      <c r="G644">
        <v>87567.768233932453</v>
      </c>
      <c r="H644">
        <v>10201.72293008911</v>
      </c>
      <c r="I644">
        <v>4327.3854850460966</v>
      </c>
      <c r="J644">
        <v>189111.9284626522</v>
      </c>
      <c r="K644">
        <v>83240.382748886361</v>
      </c>
      <c r="L644">
        <v>0.439346565686978</v>
      </c>
    </row>
    <row r="645" spans="1:12" x14ac:dyDescent="0.35">
      <c r="A645">
        <v>2032</v>
      </c>
      <c r="B645" t="s">
        <v>6</v>
      </c>
      <c r="C645" t="s">
        <v>10</v>
      </c>
      <c r="D645" t="s">
        <v>18</v>
      </c>
      <c r="E645" t="s">
        <v>483</v>
      </c>
      <c r="F645" t="s">
        <v>86</v>
      </c>
      <c r="G645">
        <v>87567.768233932453</v>
      </c>
      <c r="H645">
        <v>10201.72293008911</v>
      </c>
      <c r="I645">
        <v>4327.3854850460966</v>
      </c>
      <c r="J645">
        <v>189111.9284626522</v>
      </c>
      <c r="K645">
        <v>83240.382748886361</v>
      </c>
      <c r="L645">
        <v>0.439346565686978</v>
      </c>
    </row>
    <row r="646" spans="1:12" x14ac:dyDescent="0.35">
      <c r="A646">
        <v>2032</v>
      </c>
      <c r="B646" t="s">
        <v>6</v>
      </c>
      <c r="C646" t="s">
        <v>10</v>
      </c>
      <c r="D646" t="s">
        <v>18</v>
      </c>
      <c r="E646" t="s">
        <v>490</v>
      </c>
      <c r="F646" t="s">
        <v>82</v>
      </c>
      <c r="G646">
        <v>87567.768233932453</v>
      </c>
      <c r="H646">
        <v>10201.72293008911</v>
      </c>
      <c r="I646">
        <v>4482.0919334247501</v>
      </c>
      <c r="J646">
        <v>189111.9284626522</v>
      </c>
      <c r="K646">
        <v>83085.676300507708</v>
      </c>
      <c r="L646">
        <v>0.439346565686978</v>
      </c>
    </row>
    <row r="647" spans="1:12" x14ac:dyDescent="0.35">
      <c r="A647">
        <v>2032</v>
      </c>
      <c r="B647" t="s">
        <v>7</v>
      </c>
      <c r="C647" t="s">
        <v>4</v>
      </c>
      <c r="D647" t="s">
        <v>16</v>
      </c>
      <c r="E647" t="s">
        <v>483</v>
      </c>
      <c r="F647" t="s">
        <v>80</v>
      </c>
      <c r="G647">
        <v>1157294.299877228</v>
      </c>
      <c r="H647">
        <v>0</v>
      </c>
      <c r="I647">
        <v>0</v>
      </c>
      <c r="J647">
        <v>1386403.323710792</v>
      </c>
      <c r="K647">
        <v>1157294.299877228</v>
      </c>
      <c r="L647">
        <v>0.83474576271186396</v>
      </c>
    </row>
    <row r="648" spans="1:12" x14ac:dyDescent="0.35">
      <c r="A648">
        <v>2032</v>
      </c>
      <c r="B648" t="s">
        <v>7</v>
      </c>
      <c r="C648" t="s">
        <v>4</v>
      </c>
      <c r="D648" t="s">
        <v>16</v>
      </c>
      <c r="E648" t="s">
        <v>483</v>
      </c>
      <c r="F648" t="s">
        <v>81</v>
      </c>
      <c r="G648">
        <v>1157294.299877228</v>
      </c>
      <c r="H648">
        <v>309453</v>
      </c>
      <c r="I648">
        <v>162651.1851674339</v>
      </c>
      <c r="J648">
        <v>1076950.323710792</v>
      </c>
      <c r="K648">
        <v>994643.11470979406</v>
      </c>
      <c r="L648">
        <v>0.83474576271186396</v>
      </c>
    </row>
    <row r="649" spans="1:12" x14ac:dyDescent="0.35">
      <c r="A649">
        <v>2032</v>
      </c>
      <c r="B649" t="s">
        <v>7</v>
      </c>
      <c r="C649" t="s">
        <v>4</v>
      </c>
      <c r="D649" t="s">
        <v>18</v>
      </c>
      <c r="E649" t="s">
        <v>483</v>
      </c>
      <c r="F649" t="s">
        <v>85</v>
      </c>
      <c r="G649">
        <v>1157294.299877228</v>
      </c>
      <c r="H649">
        <v>758265.43720270914</v>
      </c>
      <c r="I649">
        <v>398550.90121124388</v>
      </c>
      <c r="J649">
        <v>628137.88650808239</v>
      </c>
      <c r="K649">
        <v>758743.39866598404</v>
      </c>
      <c r="L649">
        <v>0.83474576271186396</v>
      </c>
    </row>
    <row r="650" spans="1:12" x14ac:dyDescent="0.35">
      <c r="A650">
        <v>2032</v>
      </c>
      <c r="B650" t="s">
        <v>7</v>
      </c>
      <c r="C650" t="s">
        <v>4</v>
      </c>
      <c r="D650" t="s">
        <v>18</v>
      </c>
      <c r="E650" t="s">
        <v>483</v>
      </c>
      <c r="F650" t="s">
        <v>86</v>
      </c>
      <c r="G650">
        <v>1157294.299877228</v>
      </c>
      <c r="H650">
        <v>758265.43720270914</v>
      </c>
      <c r="I650">
        <v>398550.90121124388</v>
      </c>
      <c r="J650">
        <v>628137.88650808239</v>
      </c>
      <c r="K650">
        <v>758743.39866598404</v>
      </c>
      <c r="L650">
        <v>0.83474576271186396</v>
      </c>
    </row>
    <row r="651" spans="1:12" x14ac:dyDescent="0.35">
      <c r="A651">
        <v>2032</v>
      </c>
      <c r="B651" t="s">
        <v>7</v>
      </c>
      <c r="C651" t="s">
        <v>4</v>
      </c>
      <c r="D651" t="s">
        <v>18</v>
      </c>
      <c r="E651" t="s">
        <v>490</v>
      </c>
      <c r="F651" t="s">
        <v>82</v>
      </c>
      <c r="G651">
        <v>1157294.299877228</v>
      </c>
      <c r="H651">
        <v>758265.43720270914</v>
      </c>
      <c r="I651">
        <v>632958.8607158208</v>
      </c>
      <c r="J651">
        <v>628137.88650808239</v>
      </c>
      <c r="K651">
        <v>524335.43916140718</v>
      </c>
      <c r="L651">
        <v>0.83474576271186396</v>
      </c>
    </row>
    <row r="652" spans="1:12" x14ac:dyDescent="0.35">
      <c r="A652">
        <v>2032</v>
      </c>
      <c r="B652" t="s">
        <v>7</v>
      </c>
      <c r="C652" t="s">
        <v>9</v>
      </c>
      <c r="D652" t="s">
        <v>16</v>
      </c>
      <c r="E652" t="s">
        <v>483</v>
      </c>
      <c r="F652" t="s">
        <v>80</v>
      </c>
      <c r="G652">
        <v>989816.62019349821</v>
      </c>
      <c r="H652">
        <v>0</v>
      </c>
      <c r="I652">
        <v>0</v>
      </c>
      <c r="J652">
        <v>1185770.164292719</v>
      </c>
      <c r="K652">
        <v>989816.62019349821</v>
      </c>
      <c r="L652">
        <v>0.83474576271186396</v>
      </c>
    </row>
    <row r="653" spans="1:12" x14ac:dyDescent="0.35">
      <c r="A653">
        <v>2032</v>
      </c>
      <c r="B653" t="s">
        <v>7</v>
      </c>
      <c r="C653" t="s">
        <v>9</v>
      </c>
      <c r="D653" t="s">
        <v>16</v>
      </c>
      <c r="E653" t="s">
        <v>483</v>
      </c>
      <c r="F653" t="s">
        <v>81</v>
      </c>
      <c r="G653">
        <v>989816.62019349821</v>
      </c>
      <c r="H653">
        <v>309453</v>
      </c>
      <c r="I653">
        <v>162651.1851674339</v>
      </c>
      <c r="J653">
        <v>876317.16429271922</v>
      </c>
      <c r="K653">
        <v>827165.43502606428</v>
      </c>
      <c r="L653">
        <v>0.83474576271186396</v>
      </c>
    </row>
    <row r="654" spans="1:12" x14ac:dyDescent="0.35">
      <c r="A654">
        <v>2032</v>
      </c>
      <c r="B654" t="s">
        <v>7</v>
      </c>
      <c r="C654" t="s">
        <v>9</v>
      </c>
      <c r="D654" t="s">
        <v>18</v>
      </c>
      <c r="E654" t="s">
        <v>483</v>
      </c>
      <c r="F654" t="s">
        <v>85</v>
      </c>
      <c r="G654">
        <v>989816.62019349821</v>
      </c>
      <c r="H654">
        <v>758265.43720270914</v>
      </c>
      <c r="I654">
        <v>398550.90121124388</v>
      </c>
      <c r="J654">
        <v>427504.72709001013</v>
      </c>
      <c r="K654">
        <v>591265.71898225427</v>
      </c>
      <c r="L654">
        <v>0.83474576271186396</v>
      </c>
    </row>
    <row r="655" spans="1:12" x14ac:dyDescent="0.35">
      <c r="A655">
        <v>2032</v>
      </c>
      <c r="B655" t="s">
        <v>7</v>
      </c>
      <c r="C655" t="s">
        <v>9</v>
      </c>
      <c r="D655" t="s">
        <v>18</v>
      </c>
      <c r="E655" t="s">
        <v>483</v>
      </c>
      <c r="F655" t="s">
        <v>86</v>
      </c>
      <c r="G655">
        <v>989816.62019349821</v>
      </c>
      <c r="H655">
        <v>758265.43720270914</v>
      </c>
      <c r="I655">
        <v>398550.90121124388</v>
      </c>
      <c r="J655">
        <v>427504.72709001013</v>
      </c>
      <c r="K655">
        <v>591265.71898225427</v>
      </c>
      <c r="L655">
        <v>0.83474576271186396</v>
      </c>
    </row>
    <row r="656" spans="1:12" x14ac:dyDescent="0.35">
      <c r="A656">
        <v>2032</v>
      </c>
      <c r="B656" t="s">
        <v>7</v>
      </c>
      <c r="C656" t="s">
        <v>9</v>
      </c>
      <c r="D656" t="s">
        <v>18</v>
      </c>
      <c r="E656" t="s">
        <v>490</v>
      </c>
      <c r="F656" t="s">
        <v>82</v>
      </c>
      <c r="G656">
        <v>989816.62019349821</v>
      </c>
      <c r="H656">
        <v>758265.43720270914</v>
      </c>
      <c r="I656">
        <v>632958.8607158208</v>
      </c>
      <c r="J656">
        <v>427504.72709001013</v>
      </c>
      <c r="K656">
        <v>356857.75947767741</v>
      </c>
      <c r="L656">
        <v>0.83474576271186396</v>
      </c>
    </row>
    <row r="657" spans="1:12" x14ac:dyDescent="0.35">
      <c r="A657">
        <v>2032</v>
      </c>
      <c r="B657" t="s">
        <v>7</v>
      </c>
      <c r="C657" t="s">
        <v>10</v>
      </c>
      <c r="D657" t="s">
        <v>16</v>
      </c>
      <c r="E657" t="s">
        <v>483</v>
      </c>
      <c r="F657" t="s">
        <v>80</v>
      </c>
      <c r="G657">
        <v>1117400.391829256</v>
      </c>
      <c r="H657">
        <v>0</v>
      </c>
      <c r="I657">
        <v>0</v>
      </c>
      <c r="J657">
        <v>1338611.636912206</v>
      </c>
      <c r="K657">
        <v>1117400.391829256</v>
      </c>
      <c r="L657">
        <v>0.83474576271186396</v>
      </c>
    </row>
    <row r="658" spans="1:12" x14ac:dyDescent="0.35">
      <c r="A658">
        <v>2032</v>
      </c>
      <c r="B658" t="s">
        <v>7</v>
      </c>
      <c r="C658" t="s">
        <v>10</v>
      </c>
      <c r="D658" t="s">
        <v>16</v>
      </c>
      <c r="E658" t="s">
        <v>483</v>
      </c>
      <c r="F658" t="s">
        <v>81</v>
      </c>
      <c r="G658">
        <v>1117400.391829256</v>
      </c>
      <c r="H658">
        <v>309453</v>
      </c>
      <c r="I658">
        <v>162651.1851674339</v>
      </c>
      <c r="J658">
        <v>1029158.636912206</v>
      </c>
      <c r="K658">
        <v>954749.20666182204</v>
      </c>
      <c r="L658">
        <v>0.83474576271186396</v>
      </c>
    </row>
    <row r="659" spans="1:12" x14ac:dyDescent="0.35">
      <c r="A659">
        <v>2032</v>
      </c>
      <c r="B659" t="s">
        <v>7</v>
      </c>
      <c r="C659" t="s">
        <v>10</v>
      </c>
      <c r="D659" t="s">
        <v>18</v>
      </c>
      <c r="E659" t="s">
        <v>483</v>
      </c>
      <c r="F659" t="s">
        <v>85</v>
      </c>
      <c r="G659">
        <v>1117400.391829256</v>
      </c>
      <c r="H659">
        <v>758265.43720270914</v>
      </c>
      <c r="I659">
        <v>398550.90121124388</v>
      </c>
      <c r="J659">
        <v>580346.19970949658</v>
      </c>
      <c r="K659">
        <v>718849.49061801203</v>
      </c>
      <c r="L659">
        <v>0.83474576271186396</v>
      </c>
    </row>
    <row r="660" spans="1:12" x14ac:dyDescent="0.35">
      <c r="A660">
        <v>2032</v>
      </c>
      <c r="B660" t="s">
        <v>7</v>
      </c>
      <c r="C660" t="s">
        <v>10</v>
      </c>
      <c r="D660" t="s">
        <v>18</v>
      </c>
      <c r="E660" t="s">
        <v>483</v>
      </c>
      <c r="F660" t="s">
        <v>86</v>
      </c>
      <c r="G660">
        <v>1117400.391829256</v>
      </c>
      <c r="H660">
        <v>758265.43720270914</v>
      </c>
      <c r="I660">
        <v>398550.90121124388</v>
      </c>
      <c r="J660">
        <v>580346.19970949658</v>
      </c>
      <c r="K660">
        <v>718849.49061801203</v>
      </c>
      <c r="L660">
        <v>0.83474576271186396</v>
      </c>
    </row>
    <row r="661" spans="1:12" x14ac:dyDescent="0.35">
      <c r="A661">
        <v>2032</v>
      </c>
      <c r="B661" t="s">
        <v>7</v>
      </c>
      <c r="C661" t="s">
        <v>10</v>
      </c>
      <c r="D661" t="s">
        <v>18</v>
      </c>
      <c r="E661" t="s">
        <v>490</v>
      </c>
      <c r="F661" t="s">
        <v>82</v>
      </c>
      <c r="G661">
        <v>1117400.391829256</v>
      </c>
      <c r="H661">
        <v>758265.43720270914</v>
      </c>
      <c r="I661">
        <v>632958.8607158208</v>
      </c>
      <c r="J661">
        <v>580346.19970949658</v>
      </c>
      <c r="K661">
        <v>484441.53111343522</v>
      </c>
      <c r="L661">
        <v>0.83474576271186396</v>
      </c>
    </row>
    <row r="662" spans="1:12" x14ac:dyDescent="0.35">
      <c r="A662">
        <v>2032</v>
      </c>
      <c r="B662" t="s">
        <v>13</v>
      </c>
      <c r="C662" t="s">
        <v>4</v>
      </c>
      <c r="D662" t="s">
        <v>16</v>
      </c>
      <c r="E662" t="s">
        <v>483</v>
      </c>
      <c r="F662" t="s">
        <v>80</v>
      </c>
      <c r="G662">
        <v>2450.943187437073</v>
      </c>
      <c r="H662">
        <v>0</v>
      </c>
      <c r="I662">
        <v>0</v>
      </c>
      <c r="J662">
        <v>2450.943187437073</v>
      </c>
      <c r="K662">
        <v>2450.943187437073</v>
      </c>
      <c r="L662">
        <v>1</v>
      </c>
    </row>
    <row r="663" spans="1:12" x14ac:dyDescent="0.35">
      <c r="A663">
        <v>2032</v>
      </c>
      <c r="B663" t="s">
        <v>13</v>
      </c>
      <c r="C663" t="s">
        <v>4</v>
      </c>
      <c r="D663" t="s">
        <v>16</v>
      </c>
      <c r="E663" t="s">
        <v>483</v>
      </c>
      <c r="F663" t="s">
        <v>81</v>
      </c>
      <c r="G663">
        <v>2450.943187437073</v>
      </c>
      <c r="H663">
        <v>0</v>
      </c>
      <c r="I663">
        <v>0</v>
      </c>
      <c r="J663">
        <v>2450.943187437073</v>
      </c>
      <c r="K663">
        <v>2450.943187437073</v>
      </c>
      <c r="L663">
        <v>1</v>
      </c>
    </row>
    <row r="664" spans="1:12" x14ac:dyDescent="0.35">
      <c r="A664">
        <v>2032</v>
      </c>
      <c r="B664" t="s">
        <v>13</v>
      </c>
      <c r="C664" t="s">
        <v>4</v>
      </c>
      <c r="D664" t="s">
        <v>18</v>
      </c>
      <c r="E664" t="s">
        <v>483</v>
      </c>
      <c r="F664" t="s">
        <v>85</v>
      </c>
      <c r="G664">
        <v>2450.943187437073</v>
      </c>
      <c r="H664">
        <v>88936.044742334896</v>
      </c>
      <c r="I664">
        <v>29348.894764970519</v>
      </c>
      <c r="J664">
        <v>0</v>
      </c>
      <c r="K664">
        <v>0</v>
      </c>
      <c r="L664">
        <v>1</v>
      </c>
    </row>
    <row r="665" spans="1:12" x14ac:dyDescent="0.35">
      <c r="A665">
        <v>2032</v>
      </c>
      <c r="B665" t="s">
        <v>13</v>
      </c>
      <c r="C665" t="s">
        <v>4</v>
      </c>
      <c r="D665" t="s">
        <v>18</v>
      </c>
      <c r="E665" t="s">
        <v>483</v>
      </c>
      <c r="F665" t="s">
        <v>86</v>
      </c>
      <c r="G665">
        <v>2450.943187437073</v>
      </c>
      <c r="H665">
        <v>88936.044742334896</v>
      </c>
      <c r="I665">
        <v>29348.894764970519</v>
      </c>
      <c r="J665">
        <v>0</v>
      </c>
      <c r="K665">
        <v>0</v>
      </c>
      <c r="L665">
        <v>1</v>
      </c>
    </row>
    <row r="666" spans="1:12" x14ac:dyDescent="0.35">
      <c r="A666">
        <v>2032</v>
      </c>
      <c r="B666" t="s">
        <v>13</v>
      </c>
      <c r="C666" t="s">
        <v>4</v>
      </c>
      <c r="D666" t="s">
        <v>18</v>
      </c>
      <c r="E666" t="s">
        <v>490</v>
      </c>
      <c r="F666" t="s">
        <v>82</v>
      </c>
      <c r="G666">
        <v>2450.943187437073</v>
      </c>
      <c r="H666">
        <v>88936.044742334896</v>
      </c>
      <c r="I666">
        <v>29348.894764970519</v>
      </c>
      <c r="J666">
        <v>0</v>
      </c>
      <c r="K666">
        <v>0</v>
      </c>
      <c r="L666">
        <v>1</v>
      </c>
    </row>
    <row r="667" spans="1:12" x14ac:dyDescent="0.35">
      <c r="A667">
        <v>2032</v>
      </c>
      <c r="B667" t="s">
        <v>13</v>
      </c>
      <c r="C667" t="s">
        <v>9</v>
      </c>
      <c r="D667" t="s">
        <v>16</v>
      </c>
      <c r="E667" t="s">
        <v>483</v>
      </c>
      <c r="F667" t="s">
        <v>80</v>
      </c>
      <c r="G667">
        <v>1004.026198286667</v>
      </c>
      <c r="H667">
        <v>0</v>
      </c>
      <c r="I667">
        <v>0</v>
      </c>
      <c r="J667">
        <v>1004.026198286667</v>
      </c>
      <c r="K667">
        <v>1004.026198286667</v>
      </c>
      <c r="L667">
        <v>1</v>
      </c>
    </row>
    <row r="668" spans="1:12" x14ac:dyDescent="0.35">
      <c r="A668">
        <v>2032</v>
      </c>
      <c r="B668" t="s">
        <v>13</v>
      </c>
      <c r="C668" t="s">
        <v>9</v>
      </c>
      <c r="D668" t="s">
        <v>16</v>
      </c>
      <c r="E668" t="s">
        <v>483</v>
      </c>
      <c r="F668" t="s">
        <v>81</v>
      </c>
      <c r="G668">
        <v>1004.026198286667</v>
      </c>
      <c r="H668">
        <v>0</v>
      </c>
      <c r="I668">
        <v>0</v>
      </c>
      <c r="J668">
        <v>1004.026198286667</v>
      </c>
      <c r="K668">
        <v>1004.026198286667</v>
      </c>
      <c r="L668">
        <v>1</v>
      </c>
    </row>
    <row r="669" spans="1:12" x14ac:dyDescent="0.35">
      <c r="A669">
        <v>2032</v>
      </c>
      <c r="B669" t="s">
        <v>13</v>
      </c>
      <c r="C669" t="s">
        <v>9</v>
      </c>
      <c r="D669" t="s">
        <v>18</v>
      </c>
      <c r="E669" t="s">
        <v>483</v>
      </c>
      <c r="F669" t="s">
        <v>85</v>
      </c>
      <c r="G669">
        <v>1004.026198286667</v>
      </c>
      <c r="H669">
        <v>88936.044742334896</v>
      </c>
      <c r="I669">
        <v>29348.894764970519</v>
      </c>
      <c r="J669">
        <v>0</v>
      </c>
      <c r="K669">
        <v>0</v>
      </c>
      <c r="L669">
        <v>1</v>
      </c>
    </row>
    <row r="670" spans="1:12" x14ac:dyDescent="0.35">
      <c r="A670">
        <v>2032</v>
      </c>
      <c r="B670" t="s">
        <v>13</v>
      </c>
      <c r="C670" t="s">
        <v>9</v>
      </c>
      <c r="D670" t="s">
        <v>18</v>
      </c>
      <c r="E670" t="s">
        <v>483</v>
      </c>
      <c r="F670" t="s">
        <v>86</v>
      </c>
      <c r="G670">
        <v>1004.026198286667</v>
      </c>
      <c r="H670">
        <v>88936.044742334896</v>
      </c>
      <c r="I670">
        <v>29348.894764970519</v>
      </c>
      <c r="J670">
        <v>0</v>
      </c>
      <c r="K670">
        <v>0</v>
      </c>
      <c r="L670">
        <v>1</v>
      </c>
    </row>
    <row r="671" spans="1:12" x14ac:dyDescent="0.35">
      <c r="A671">
        <v>2032</v>
      </c>
      <c r="B671" t="s">
        <v>13</v>
      </c>
      <c r="C671" t="s">
        <v>9</v>
      </c>
      <c r="D671" t="s">
        <v>18</v>
      </c>
      <c r="E671" t="s">
        <v>490</v>
      </c>
      <c r="F671" t="s">
        <v>82</v>
      </c>
      <c r="G671">
        <v>1004.026198286667</v>
      </c>
      <c r="H671">
        <v>88936.044742334896</v>
      </c>
      <c r="I671">
        <v>29348.894764970519</v>
      </c>
      <c r="J671">
        <v>0</v>
      </c>
      <c r="K671">
        <v>0</v>
      </c>
      <c r="L671">
        <v>1</v>
      </c>
    </row>
    <row r="672" spans="1:12" x14ac:dyDescent="0.35">
      <c r="A672">
        <v>2032</v>
      </c>
      <c r="B672" t="s">
        <v>13</v>
      </c>
      <c r="C672" t="s">
        <v>10</v>
      </c>
      <c r="D672" t="s">
        <v>16</v>
      </c>
      <c r="E672" t="s">
        <v>483</v>
      </c>
      <c r="F672" t="s">
        <v>80</v>
      </c>
      <c r="G672">
        <v>2325.6357382728388</v>
      </c>
      <c r="H672">
        <v>0</v>
      </c>
      <c r="I672">
        <v>0</v>
      </c>
      <c r="J672">
        <v>2325.6357382728388</v>
      </c>
      <c r="K672">
        <v>2325.6357382728388</v>
      </c>
      <c r="L672">
        <v>1</v>
      </c>
    </row>
    <row r="673" spans="1:12" x14ac:dyDescent="0.35">
      <c r="A673">
        <v>2032</v>
      </c>
      <c r="B673" t="s">
        <v>13</v>
      </c>
      <c r="C673" t="s">
        <v>10</v>
      </c>
      <c r="D673" t="s">
        <v>16</v>
      </c>
      <c r="E673" t="s">
        <v>483</v>
      </c>
      <c r="F673" t="s">
        <v>81</v>
      </c>
      <c r="G673">
        <v>2325.6357382728388</v>
      </c>
      <c r="H673">
        <v>0</v>
      </c>
      <c r="I673">
        <v>0</v>
      </c>
      <c r="J673">
        <v>2325.6357382728388</v>
      </c>
      <c r="K673">
        <v>2325.6357382728388</v>
      </c>
      <c r="L673">
        <v>1</v>
      </c>
    </row>
    <row r="674" spans="1:12" x14ac:dyDescent="0.35">
      <c r="A674">
        <v>2032</v>
      </c>
      <c r="B674" t="s">
        <v>13</v>
      </c>
      <c r="C674" t="s">
        <v>10</v>
      </c>
      <c r="D674" t="s">
        <v>18</v>
      </c>
      <c r="E674" t="s">
        <v>483</v>
      </c>
      <c r="F674" t="s">
        <v>85</v>
      </c>
      <c r="G674">
        <v>2325.6357382728388</v>
      </c>
      <c r="H674">
        <v>88936.044742334896</v>
      </c>
      <c r="I674">
        <v>29348.894764970519</v>
      </c>
      <c r="J674">
        <v>0</v>
      </c>
      <c r="K674">
        <v>0</v>
      </c>
      <c r="L674">
        <v>1</v>
      </c>
    </row>
    <row r="675" spans="1:12" x14ac:dyDescent="0.35">
      <c r="A675">
        <v>2032</v>
      </c>
      <c r="B675" t="s">
        <v>13</v>
      </c>
      <c r="C675" t="s">
        <v>10</v>
      </c>
      <c r="D675" t="s">
        <v>18</v>
      </c>
      <c r="E675" t="s">
        <v>483</v>
      </c>
      <c r="F675" t="s">
        <v>86</v>
      </c>
      <c r="G675">
        <v>2325.6357382728388</v>
      </c>
      <c r="H675">
        <v>88936.044742334896</v>
      </c>
      <c r="I675">
        <v>29348.894764970519</v>
      </c>
      <c r="J675">
        <v>0</v>
      </c>
      <c r="K675">
        <v>0</v>
      </c>
      <c r="L675">
        <v>1</v>
      </c>
    </row>
    <row r="676" spans="1:12" x14ac:dyDescent="0.35">
      <c r="A676">
        <v>2032</v>
      </c>
      <c r="B676" t="s">
        <v>13</v>
      </c>
      <c r="C676" t="s">
        <v>10</v>
      </c>
      <c r="D676" t="s">
        <v>18</v>
      </c>
      <c r="E676" t="s">
        <v>490</v>
      </c>
      <c r="F676" t="s">
        <v>82</v>
      </c>
      <c r="G676">
        <v>2325.6357382728388</v>
      </c>
      <c r="H676">
        <v>88936.044742334896</v>
      </c>
      <c r="I676">
        <v>29348.894764970519</v>
      </c>
      <c r="J676">
        <v>0</v>
      </c>
      <c r="K676">
        <v>0</v>
      </c>
      <c r="L676">
        <v>1</v>
      </c>
    </row>
    <row r="677" spans="1:12" x14ac:dyDescent="0.35">
      <c r="A677">
        <v>2032</v>
      </c>
      <c r="B677" t="s">
        <v>12</v>
      </c>
      <c r="C677" t="s">
        <v>4</v>
      </c>
      <c r="D677" t="s">
        <v>16</v>
      </c>
      <c r="E677" t="s">
        <v>483</v>
      </c>
      <c r="F677" t="s">
        <v>80</v>
      </c>
      <c r="G677">
        <v>43216.40196908595</v>
      </c>
      <c r="H677">
        <v>0</v>
      </c>
      <c r="I677">
        <v>0</v>
      </c>
      <c r="J677">
        <v>61810.965661200767</v>
      </c>
      <c r="K677">
        <v>43216.40196908595</v>
      </c>
      <c r="L677">
        <v>0.69917047091553897</v>
      </c>
    </row>
    <row r="678" spans="1:12" x14ac:dyDescent="0.35">
      <c r="A678">
        <v>2032</v>
      </c>
      <c r="B678" t="s">
        <v>12</v>
      </c>
      <c r="C678" t="s">
        <v>4</v>
      </c>
      <c r="D678" t="s">
        <v>16</v>
      </c>
      <c r="E678" t="s">
        <v>483</v>
      </c>
      <c r="F678" t="s">
        <v>81</v>
      </c>
      <c r="G678">
        <v>43216.40196908595</v>
      </c>
      <c r="H678">
        <v>40610</v>
      </c>
      <c r="I678">
        <v>28393.312823880038</v>
      </c>
      <c r="J678">
        <v>21200.965661200771</v>
      </c>
      <c r="K678">
        <v>14823.08914520591</v>
      </c>
      <c r="L678">
        <v>0.69917047091553897</v>
      </c>
    </row>
    <row r="679" spans="1:12" x14ac:dyDescent="0.35">
      <c r="A679">
        <v>2032</v>
      </c>
      <c r="B679" t="s">
        <v>12</v>
      </c>
      <c r="C679" t="s">
        <v>4</v>
      </c>
      <c r="D679" t="s">
        <v>18</v>
      </c>
      <c r="E679" t="s">
        <v>483</v>
      </c>
      <c r="F679" t="s">
        <v>85</v>
      </c>
      <c r="G679">
        <v>43216.40196908595</v>
      </c>
      <c r="H679">
        <v>147257</v>
      </c>
      <c r="I679">
        <v>102957.7460356095</v>
      </c>
      <c r="J679">
        <v>0</v>
      </c>
      <c r="K679">
        <v>0</v>
      </c>
      <c r="L679">
        <v>0.69917047091553897</v>
      </c>
    </row>
    <row r="680" spans="1:12" x14ac:dyDescent="0.35">
      <c r="A680">
        <v>2032</v>
      </c>
      <c r="B680" t="s">
        <v>12</v>
      </c>
      <c r="C680" t="s">
        <v>4</v>
      </c>
      <c r="D680" t="s">
        <v>18</v>
      </c>
      <c r="E680" t="s">
        <v>483</v>
      </c>
      <c r="F680" t="s">
        <v>86</v>
      </c>
      <c r="G680">
        <v>43216.40196908595</v>
      </c>
      <c r="H680">
        <v>147257</v>
      </c>
      <c r="I680">
        <v>102957.7460356095</v>
      </c>
      <c r="J680">
        <v>0</v>
      </c>
      <c r="K680">
        <v>0</v>
      </c>
      <c r="L680">
        <v>0.69917047091553897</v>
      </c>
    </row>
    <row r="681" spans="1:12" x14ac:dyDescent="0.35">
      <c r="A681">
        <v>2032</v>
      </c>
      <c r="B681" t="s">
        <v>12</v>
      </c>
      <c r="C681" t="s">
        <v>4</v>
      </c>
      <c r="D681" t="s">
        <v>18</v>
      </c>
      <c r="E681" t="s">
        <v>490</v>
      </c>
      <c r="F681" t="s">
        <v>82</v>
      </c>
      <c r="G681">
        <v>43216.40196908595</v>
      </c>
      <c r="H681">
        <v>147257</v>
      </c>
      <c r="I681">
        <v>102957.7460356095</v>
      </c>
      <c r="J681">
        <v>0</v>
      </c>
      <c r="K681">
        <v>0</v>
      </c>
      <c r="L681">
        <v>0.69917047091553897</v>
      </c>
    </row>
    <row r="682" spans="1:12" x14ac:dyDescent="0.35">
      <c r="A682">
        <v>2032</v>
      </c>
      <c r="B682" t="s">
        <v>12</v>
      </c>
      <c r="C682" t="s">
        <v>9</v>
      </c>
      <c r="D682" t="s">
        <v>16</v>
      </c>
      <c r="E682" t="s">
        <v>483</v>
      </c>
      <c r="F682" t="s">
        <v>80</v>
      </c>
      <c r="G682">
        <v>17703.55183876073</v>
      </c>
      <c r="H682">
        <v>0</v>
      </c>
      <c r="I682">
        <v>0</v>
      </c>
      <c r="J682">
        <v>25320.794534669862</v>
      </c>
      <c r="K682">
        <v>17703.55183876073</v>
      </c>
      <c r="L682">
        <v>0.69917047091553897</v>
      </c>
    </row>
    <row r="683" spans="1:12" x14ac:dyDescent="0.35">
      <c r="A683">
        <v>2032</v>
      </c>
      <c r="B683" t="s">
        <v>12</v>
      </c>
      <c r="C683" t="s">
        <v>9</v>
      </c>
      <c r="D683" t="s">
        <v>16</v>
      </c>
      <c r="E683" t="s">
        <v>483</v>
      </c>
      <c r="F683" t="s">
        <v>81</v>
      </c>
      <c r="G683">
        <v>17703.55183876073</v>
      </c>
      <c r="H683">
        <v>40610</v>
      </c>
      <c r="I683">
        <v>28393.312823880038</v>
      </c>
      <c r="J683">
        <v>0</v>
      </c>
      <c r="K683">
        <v>0</v>
      </c>
      <c r="L683">
        <v>0.69917047091553897</v>
      </c>
    </row>
    <row r="684" spans="1:12" x14ac:dyDescent="0.35">
      <c r="A684">
        <v>2032</v>
      </c>
      <c r="B684" t="s">
        <v>12</v>
      </c>
      <c r="C684" t="s">
        <v>9</v>
      </c>
      <c r="D684" t="s">
        <v>18</v>
      </c>
      <c r="E684" t="s">
        <v>483</v>
      </c>
      <c r="F684" t="s">
        <v>85</v>
      </c>
      <c r="G684">
        <v>17703.55183876073</v>
      </c>
      <c r="H684">
        <v>147257</v>
      </c>
      <c r="I684">
        <v>102957.7460356095</v>
      </c>
      <c r="J684">
        <v>0</v>
      </c>
      <c r="K684">
        <v>0</v>
      </c>
      <c r="L684">
        <v>0.69917047091553897</v>
      </c>
    </row>
    <row r="685" spans="1:12" x14ac:dyDescent="0.35">
      <c r="A685">
        <v>2032</v>
      </c>
      <c r="B685" t="s">
        <v>12</v>
      </c>
      <c r="C685" t="s">
        <v>9</v>
      </c>
      <c r="D685" t="s">
        <v>18</v>
      </c>
      <c r="E685" t="s">
        <v>483</v>
      </c>
      <c r="F685" t="s">
        <v>86</v>
      </c>
      <c r="G685">
        <v>17703.55183876073</v>
      </c>
      <c r="H685">
        <v>147257</v>
      </c>
      <c r="I685">
        <v>102957.7460356095</v>
      </c>
      <c r="J685">
        <v>0</v>
      </c>
      <c r="K685">
        <v>0</v>
      </c>
      <c r="L685">
        <v>0.69917047091553897</v>
      </c>
    </row>
    <row r="686" spans="1:12" x14ac:dyDescent="0.35">
      <c r="A686">
        <v>2032</v>
      </c>
      <c r="B686" t="s">
        <v>12</v>
      </c>
      <c r="C686" t="s">
        <v>9</v>
      </c>
      <c r="D686" t="s">
        <v>18</v>
      </c>
      <c r="E686" t="s">
        <v>490</v>
      </c>
      <c r="F686" t="s">
        <v>82</v>
      </c>
      <c r="G686">
        <v>17703.55183876073</v>
      </c>
      <c r="H686">
        <v>147257</v>
      </c>
      <c r="I686">
        <v>102957.7460356095</v>
      </c>
      <c r="J686">
        <v>0</v>
      </c>
      <c r="K686">
        <v>0</v>
      </c>
      <c r="L686">
        <v>0.69917047091553897</v>
      </c>
    </row>
    <row r="687" spans="1:12" x14ac:dyDescent="0.35">
      <c r="A687">
        <v>2032</v>
      </c>
      <c r="B687" t="s">
        <v>12</v>
      </c>
      <c r="C687" t="s">
        <v>10</v>
      </c>
      <c r="D687" t="s">
        <v>16</v>
      </c>
      <c r="E687" t="s">
        <v>483</v>
      </c>
      <c r="F687" t="s">
        <v>80</v>
      </c>
      <c r="G687">
        <v>41006.910896196001</v>
      </c>
      <c r="H687">
        <v>0</v>
      </c>
      <c r="I687">
        <v>0</v>
      </c>
      <c r="J687">
        <v>58650.804921007177</v>
      </c>
      <c r="K687">
        <v>41006.910896196001</v>
      </c>
      <c r="L687">
        <v>0.69917047091553897</v>
      </c>
    </row>
    <row r="688" spans="1:12" x14ac:dyDescent="0.35">
      <c r="A688">
        <v>2032</v>
      </c>
      <c r="B688" t="s">
        <v>12</v>
      </c>
      <c r="C688" t="s">
        <v>10</v>
      </c>
      <c r="D688" t="s">
        <v>16</v>
      </c>
      <c r="E688" t="s">
        <v>483</v>
      </c>
      <c r="F688" t="s">
        <v>81</v>
      </c>
      <c r="G688">
        <v>41006.910896196001</v>
      </c>
      <c r="H688">
        <v>40610</v>
      </c>
      <c r="I688">
        <v>28393.312823880038</v>
      </c>
      <c r="J688">
        <v>18040.80492100718</v>
      </c>
      <c r="K688">
        <v>12613.598072315959</v>
      </c>
      <c r="L688">
        <v>0.69917047091553897</v>
      </c>
    </row>
    <row r="689" spans="1:12" x14ac:dyDescent="0.35">
      <c r="A689">
        <v>2032</v>
      </c>
      <c r="B689" t="s">
        <v>12</v>
      </c>
      <c r="C689" t="s">
        <v>10</v>
      </c>
      <c r="D689" t="s">
        <v>18</v>
      </c>
      <c r="E689" t="s">
        <v>483</v>
      </c>
      <c r="F689" t="s">
        <v>85</v>
      </c>
      <c r="G689">
        <v>41006.910896196001</v>
      </c>
      <c r="H689">
        <v>147257</v>
      </c>
      <c r="I689">
        <v>102957.7460356095</v>
      </c>
      <c r="J689">
        <v>0</v>
      </c>
      <c r="K689">
        <v>0</v>
      </c>
      <c r="L689">
        <v>0.69917047091553897</v>
      </c>
    </row>
    <row r="690" spans="1:12" x14ac:dyDescent="0.35">
      <c r="A690">
        <v>2032</v>
      </c>
      <c r="B690" t="s">
        <v>12</v>
      </c>
      <c r="C690" t="s">
        <v>10</v>
      </c>
      <c r="D690" t="s">
        <v>18</v>
      </c>
      <c r="E690" t="s">
        <v>483</v>
      </c>
      <c r="F690" t="s">
        <v>86</v>
      </c>
      <c r="G690">
        <v>41006.910896196001</v>
      </c>
      <c r="H690">
        <v>147257</v>
      </c>
      <c r="I690">
        <v>102957.7460356095</v>
      </c>
      <c r="J690">
        <v>0</v>
      </c>
      <c r="K690">
        <v>0</v>
      </c>
      <c r="L690">
        <v>0.69917047091553897</v>
      </c>
    </row>
    <row r="691" spans="1:12" x14ac:dyDescent="0.35">
      <c r="A691">
        <v>2032</v>
      </c>
      <c r="B691" t="s">
        <v>12</v>
      </c>
      <c r="C691" t="s">
        <v>10</v>
      </c>
      <c r="D691" t="s">
        <v>18</v>
      </c>
      <c r="E691" t="s">
        <v>490</v>
      </c>
      <c r="F691" t="s">
        <v>82</v>
      </c>
      <c r="G691">
        <v>41006.910896196001</v>
      </c>
      <c r="H691">
        <v>147257</v>
      </c>
      <c r="I691">
        <v>102957.7460356095</v>
      </c>
      <c r="J691">
        <v>0</v>
      </c>
      <c r="K691">
        <v>0</v>
      </c>
      <c r="L691">
        <v>0.69917047091553897</v>
      </c>
    </row>
    <row r="692" spans="1:12" x14ac:dyDescent="0.35">
      <c r="A692">
        <v>2032</v>
      </c>
      <c r="B692" t="s">
        <v>11</v>
      </c>
      <c r="C692" t="s">
        <v>4</v>
      </c>
      <c r="D692" t="s">
        <v>16</v>
      </c>
      <c r="E692" t="s">
        <v>483</v>
      </c>
      <c r="F692" t="s">
        <v>80</v>
      </c>
      <c r="G692">
        <v>3229.5787882307568</v>
      </c>
      <c r="H692">
        <v>0</v>
      </c>
      <c r="I692">
        <v>0</v>
      </c>
      <c r="J692">
        <v>5395.725714930395</v>
      </c>
      <c r="K692">
        <v>3229.5787882307568</v>
      </c>
      <c r="L692">
        <v>0.59854391398996798</v>
      </c>
    </row>
    <row r="693" spans="1:12" x14ac:dyDescent="0.35">
      <c r="A693">
        <v>2032</v>
      </c>
      <c r="B693" t="s">
        <v>11</v>
      </c>
      <c r="C693" t="s">
        <v>4</v>
      </c>
      <c r="D693" t="s">
        <v>16</v>
      </c>
      <c r="E693" t="s">
        <v>483</v>
      </c>
      <c r="F693" t="s">
        <v>81</v>
      </c>
      <c r="G693">
        <v>3229.5787882307568</v>
      </c>
      <c r="H693">
        <v>0</v>
      </c>
      <c r="I693">
        <v>0</v>
      </c>
      <c r="J693">
        <v>5395.725714930395</v>
      </c>
      <c r="K693">
        <v>3229.5787882307568</v>
      </c>
      <c r="L693">
        <v>0.59854391398996798</v>
      </c>
    </row>
    <row r="694" spans="1:12" x14ac:dyDescent="0.35">
      <c r="A694">
        <v>2032</v>
      </c>
      <c r="B694" t="s">
        <v>11</v>
      </c>
      <c r="C694" t="s">
        <v>4</v>
      </c>
      <c r="D694" t="s">
        <v>18</v>
      </c>
      <c r="E694" t="s">
        <v>483</v>
      </c>
      <c r="F694" t="s">
        <v>85</v>
      </c>
      <c r="G694">
        <v>3229.5787882307568</v>
      </c>
      <c r="H694">
        <v>29.109663626080231</v>
      </c>
      <c r="I694">
        <v>17.42341200168546</v>
      </c>
      <c r="J694">
        <v>5366.6160513043151</v>
      </c>
      <c r="K694">
        <v>3212.155376229071</v>
      </c>
      <c r="L694">
        <v>0.59854391398996798</v>
      </c>
    </row>
    <row r="695" spans="1:12" x14ac:dyDescent="0.35">
      <c r="A695">
        <v>2032</v>
      </c>
      <c r="B695" t="s">
        <v>11</v>
      </c>
      <c r="C695" t="s">
        <v>4</v>
      </c>
      <c r="D695" t="s">
        <v>18</v>
      </c>
      <c r="E695" t="s">
        <v>483</v>
      </c>
      <c r="F695" t="s">
        <v>86</v>
      </c>
      <c r="G695">
        <v>3229.5787882307568</v>
      </c>
      <c r="H695">
        <v>29.109663626080231</v>
      </c>
      <c r="I695">
        <v>17.42341200168546</v>
      </c>
      <c r="J695">
        <v>5366.6160513043151</v>
      </c>
      <c r="K695">
        <v>3212.155376229071</v>
      </c>
      <c r="L695">
        <v>0.59854391398996798</v>
      </c>
    </row>
    <row r="696" spans="1:12" x14ac:dyDescent="0.35">
      <c r="A696">
        <v>2032</v>
      </c>
      <c r="B696" t="s">
        <v>11</v>
      </c>
      <c r="C696" t="s">
        <v>4</v>
      </c>
      <c r="D696" t="s">
        <v>18</v>
      </c>
      <c r="E696" t="s">
        <v>490</v>
      </c>
      <c r="F696" t="s">
        <v>82</v>
      </c>
      <c r="G696">
        <v>3229.5787882307568</v>
      </c>
      <c r="H696">
        <v>29.109663626080231</v>
      </c>
      <c r="I696">
        <v>17.42341200168546</v>
      </c>
      <c r="J696">
        <v>5366.6160513043151</v>
      </c>
      <c r="K696">
        <v>3212.155376229071</v>
      </c>
      <c r="L696">
        <v>0.59854391398996798</v>
      </c>
    </row>
    <row r="697" spans="1:12" x14ac:dyDescent="0.35">
      <c r="A697">
        <v>2032</v>
      </c>
      <c r="B697" t="s">
        <v>11</v>
      </c>
      <c r="C697" t="s">
        <v>9</v>
      </c>
      <c r="D697" t="s">
        <v>16</v>
      </c>
      <c r="E697" t="s">
        <v>483</v>
      </c>
      <c r="F697" t="s">
        <v>80</v>
      </c>
      <c r="G697">
        <v>1128.9836988018969</v>
      </c>
      <c r="H697">
        <v>0</v>
      </c>
      <c r="I697">
        <v>0</v>
      </c>
      <c r="J697">
        <v>1886.2169882840369</v>
      </c>
      <c r="K697">
        <v>1128.9836988018969</v>
      </c>
      <c r="L697">
        <v>0.59854391398996798</v>
      </c>
    </row>
    <row r="698" spans="1:12" x14ac:dyDescent="0.35">
      <c r="A698">
        <v>2032</v>
      </c>
      <c r="B698" t="s">
        <v>11</v>
      </c>
      <c r="C698" t="s">
        <v>9</v>
      </c>
      <c r="D698" t="s">
        <v>16</v>
      </c>
      <c r="E698" t="s">
        <v>483</v>
      </c>
      <c r="F698" t="s">
        <v>81</v>
      </c>
      <c r="G698">
        <v>1128.9836988018969</v>
      </c>
      <c r="H698">
        <v>0</v>
      </c>
      <c r="I698">
        <v>0</v>
      </c>
      <c r="J698">
        <v>1886.2169882840369</v>
      </c>
      <c r="K698">
        <v>1128.9836988018969</v>
      </c>
      <c r="L698">
        <v>0.59854391398996798</v>
      </c>
    </row>
    <row r="699" spans="1:12" x14ac:dyDescent="0.35">
      <c r="A699">
        <v>2032</v>
      </c>
      <c r="B699" t="s">
        <v>11</v>
      </c>
      <c r="C699" t="s">
        <v>9</v>
      </c>
      <c r="D699" t="s">
        <v>18</v>
      </c>
      <c r="E699" t="s">
        <v>483</v>
      </c>
      <c r="F699" t="s">
        <v>85</v>
      </c>
      <c r="G699">
        <v>1128.9836988018969</v>
      </c>
      <c r="H699">
        <v>29.109663626080231</v>
      </c>
      <c r="I699">
        <v>17.42341200168546</v>
      </c>
      <c r="J699">
        <v>1857.107324657956</v>
      </c>
      <c r="K699">
        <v>1111.560286800212</v>
      </c>
      <c r="L699">
        <v>0.59854391398996798</v>
      </c>
    </row>
    <row r="700" spans="1:12" x14ac:dyDescent="0.35">
      <c r="A700">
        <v>2032</v>
      </c>
      <c r="B700" t="s">
        <v>11</v>
      </c>
      <c r="C700" t="s">
        <v>9</v>
      </c>
      <c r="D700" t="s">
        <v>18</v>
      </c>
      <c r="E700" t="s">
        <v>483</v>
      </c>
      <c r="F700" t="s">
        <v>86</v>
      </c>
      <c r="G700">
        <v>1128.9836988018969</v>
      </c>
      <c r="H700">
        <v>29.109663626080231</v>
      </c>
      <c r="I700">
        <v>17.42341200168546</v>
      </c>
      <c r="J700">
        <v>1857.107324657956</v>
      </c>
      <c r="K700">
        <v>1111.560286800212</v>
      </c>
      <c r="L700">
        <v>0.59854391398996798</v>
      </c>
    </row>
    <row r="701" spans="1:12" x14ac:dyDescent="0.35">
      <c r="A701">
        <v>2032</v>
      </c>
      <c r="B701" t="s">
        <v>11</v>
      </c>
      <c r="C701" t="s">
        <v>9</v>
      </c>
      <c r="D701" t="s">
        <v>18</v>
      </c>
      <c r="E701" t="s">
        <v>490</v>
      </c>
      <c r="F701" t="s">
        <v>82</v>
      </c>
      <c r="G701">
        <v>1128.9836988018969</v>
      </c>
      <c r="H701">
        <v>29.109663626080231</v>
      </c>
      <c r="I701">
        <v>17.42341200168546</v>
      </c>
      <c r="J701">
        <v>1857.107324657956</v>
      </c>
      <c r="K701">
        <v>1111.560286800212</v>
      </c>
      <c r="L701">
        <v>0.59854391398996798</v>
      </c>
    </row>
    <row r="702" spans="1:12" x14ac:dyDescent="0.35">
      <c r="A702">
        <v>2032</v>
      </c>
      <c r="B702" t="s">
        <v>11</v>
      </c>
      <c r="C702" t="s">
        <v>10</v>
      </c>
      <c r="D702" t="s">
        <v>16</v>
      </c>
      <c r="E702" t="s">
        <v>483</v>
      </c>
      <c r="F702" t="s">
        <v>80</v>
      </c>
      <c r="G702">
        <v>3088.6760232568031</v>
      </c>
      <c r="H702">
        <v>0</v>
      </c>
      <c r="I702">
        <v>0</v>
      </c>
      <c r="J702">
        <v>5160.3164798173384</v>
      </c>
      <c r="K702">
        <v>3088.6760232568031</v>
      </c>
      <c r="L702">
        <v>0.59854391398996798</v>
      </c>
    </row>
    <row r="703" spans="1:12" x14ac:dyDescent="0.35">
      <c r="A703">
        <v>2032</v>
      </c>
      <c r="B703" t="s">
        <v>11</v>
      </c>
      <c r="C703" t="s">
        <v>10</v>
      </c>
      <c r="D703" t="s">
        <v>16</v>
      </c>
      <c r="E703" t="s">
        <v>483</v>
      </c>
      <c r="F703" t="s">
        <v>81</v>
      </c>
      <c r="G703">
        <v>3088.6760232568031</v>
      </c>
      <c r="H703">
        <v>0</v>
      </c>
      <c r="I703">
        <v>0</v>
      </c>
      <c r="J703">
        <v>5160.3164798173384</v>
      </c>
      <c r="K703">
        <v>3088.6760232568031</v>
      </c>
      <c r="L703">
        <v>0.59854391398996798</v>
      </c>
    </row>
    <row r="704" spans="1:12" x14ac:dyDescent="0.35">
      <c r="A704">
        <v>2032</v>
      </c>
      <c r="B704" t="s">
        <v>11</v>
      </c>
      <c r="C704" t="s">
        <v>10</v>
      </c>
      <c r="D704" t="s">
        <v>18</v>
      </c>
      <c r="E704" t="s">
        <v>483</v>
      </c>
      <c r="F704" t="s">
        <v>85</v>
      </c>
      <c r="G704">
        <v>3088.6760232568031</v>
      </c>
      <c r="H704">
        <v>29.109663626080231</v>
      </c>
      <c r="I704">
        <v>17.42341200168546</v>
      </c>
      <c r="J704">
        <v>5131.2068161912584</v>
      </c>
      <c r="K704">
        <v>3071.2526112551182</v>
      </c>
      <c r="L704">
        <v>0.59854391398996798</v>
      </c>
    </row>
    <row r="705" spans="1:12" x14ac:dyDescent="0.35">
      <c r="A705">
        <v>2032</v>
      </c>
      <c r="B705" t="s">
        <v>11</v>
      </c>
      <c r="C705" t="s">
        <v>10</v>
      </c>
      <c r="D705" t="s">
        <v>18</v>
      </c>
      <c r="E705" t="s">
        <v>483</v>
      </c>
      <c r="F705" t="s">
        <v>86</v>
      </c>
      <c r="G705">
        <v>3088.6760232568031</v>
      </c>
      <c r="H705">
        <v>29.109663626080231</v>
      </c>
      <c r="I705">
        <v>17.42341200168546</v>
      </c>
      <c r="J705">
        <v>5131.2068161912584</v>
      </c>
      <c r="K705">
        <v>3071.2526112551182</v>
      </c>
      <c r="L705">
        <v>0.59854391398996798</v>
      </c>
    </row>
    <row r="706" spans="1:12" x14ac:dyDescent="0.35">
      <c r="A706">
        <v>2032</v>
      </c>
      <c r="B706" t="s">
        <v>11</v>
      </c>
      <c r="C706" t="s">
        <v>10</v>
      </c>
      <c r="D706" t="s">
        <v>18</v>
      </c>
      <c r="E706" t="s">
        <v>490</v>
      </c>
      <c r="F706" t="s">
        <v>82</v>
      </c>
      <c r="G706">
        <v>3088.6760232568031</v>
      </c>
      <c r="H706">
        <v>29.109663626080231</v>
      </c>
      <c r="I706">
        <v>17.42341200168546</v>
      </c>
      <c r="J706">
        <v>5131.2068161912584</v>
      </c>
      <c r="K706">
        <v>3071.2526112551182</v>
      </c>
      <c r="L706">
        <v>0.59854391398996798</v>
      </c>
    </row>
    <row r="707" spans="1:12" x14ac:dyDescent="0.35">
      <c r="A707">
        <v>2032</v>
      </c>
      <c r="B707" t="s">
        <v>8</v>
      </c>
      <c r="C707" t="s">
        <v>4</v>
      </c>
      <c r="D707" t="s">
        <v>16</v>
      </c>
      <c r="E707" t="s">
        <v>483</v>
      </c>
      <c r="F707" t="s">
        <v>80</v>
      </c>
      <c r="G707">
        <v>108954.6041363616</v>
      </c>
      <c r="H707">
        <v>0</v>
      </c>
      <c r="I707">
        <v>0</v>
      </c>
      <c r="J707">
        <v>138345.391205867</v>
      </c>
      <c r="K707">
        <v>108954.6041363616</v>
      </c>
      <c r="L707">
        <v>0.787554996857322</v>
      </c>
    </row>
    <row r="708" spans="1:12" x14ac:dyDescent="0.35">
      <c r="A708">
        <v>2032</v>
      </c>
      <c r="B708" t="s">
        <v>8</v>
      </c>
      <c r="C708" t="s">
        <v>4</v>
      </c>
      <c r="D708" t="s">
        <v>16</v>
      </c>
      <c r="E708" t="s">
        <v>483</v>
      </c>
      <c r="F708" t="s">
        <v>81</v>
      </c>
      <c r="G708">
        <v>108954.6041363616</v>
      </c>
      <c r="H708">
        <v>139278</v>
      </c>
      <c r="I708">
        <v>78118.250613288372</v>
      </c>
      <c r="J708">
        <v>0</v>
      </c>
      <c r="K708">
        <v>30836.35352307322</v>
      </c>
      <c r="L708">
        <v>0.787554996857322</v>
      </c>
    </row>
    <row r="709" spans="1:12" x14ac:dyDescent="0.35">
      <c r="A709">
        <v>2032</v>
      </c>
      <c r="B709" t="s">
        <v>8</v>
      </c>
      <c r="C709" t="s">
        <v>4</v>
      </c>
      <c r="D709" t="s">
        <v>18</v>
      </c>
      <c r="E709" t="s">
        <v>483</v>
      </c>
      <c r="F709" t="s">
        <v>85</v>
      </c>
      <c r="G709">
        <v>108954.6041363616</v>
      </c>
      <c r="H709">
        <v>197582.18962964119</v>
      </c>
      <c r="I709">
        <v>110819.9069932838</v>
      </c>
      <c r="J709">
        <v>0</v>
      </c>
      <c r="K709">
        <v>0</v>
      </c>
      <c r="L709">
        <v>0.787554996857322</v>
      </c>
    </row>
    <row r="710" spans="1:12" x14ac:dyDescent="0.35">
      <c r="A710">
        <v>2032</v>
      </c>
      <c r="B710" t="s">
        <v>8</v>
      </c>
      <c r="C710" t="s">
        <v>4</v>
      </c>
      <c r="D710" t="s">
        <v>18</v>
      </c>
      <c r="E710" t="s">
        <v>483</v>
      </c>
      <c r="F710" t="s">
        <v>86</v>
      </c>
      <c r="G710">
        <v>108954.6041363616</v>
      </c>
      <c r="H710">
        <v>197582.18962964119</v>
      </c>
      <c r="I710">
        <v>110819.9069932838</v>
      </c>
      <c r="J710">
        <v>0</v>
      </c>
      <c r="K710">
        <v>0</v>
      </c>
      <c r="L710">
        <v>0.787554996857322</v>
      </c>
    </row>
    <row r="711" spans="1:12" x14ac:dyDescent="0.35">
      <c r="A711">
        <v>2032</v>
      </c>
      <c r="B711" t="s">
        <v>8</v>
      </c>
      <c r="C711" t="s">
        <v>4</v>
      </c>
      <c r="D711" t="s">
        <v>18</v>
      </c>
      <c r="E711" t="s">
        <v>490</v>
      </c>
      <c r="F711" t="s">
        <v>82</v>
      </c>
      <c r="G711">
        <v>108954.6041363616</v>
      </c>
      <c r="H711">
        <v>197582.18962964119</v>
      </c>
      <c r="I711">
        <v>155606.84073283491</v>
      </c>
      <c r="J711">
        <v>0</v>
      </c>
      <c r="K711">
        <v>0</v>
      </c>
      <c r="L711">
        <v>0.787554996857322</v>
      </c>
    </row>
    <row r="712" spans="1:12" x14ac:dyDescent="0.35">
      <c r="A712">
        <v>2032</v>
      </c>
      <c r="B712" t="s">
        <v>8</v>
      </c>
      <c r="C712" t="s">
        <v>9</v>
      </c>
      <c r="D712" t="s">
        <v>16</v>
      </c>
      <c r="E712" t="s">
        <v>483</v>
      </c>
      <c r="F712" t="s">
        <v>80</v>
      </c>
      <c r="G712">
        <v>49277.628426306859</v>
      </c>
      <c r="H712">
        <v>0</v>
      </c>
      <c r="I712">
        <v>0</v>
      </c>
      <c r="J712">
        <v>62570.396509380887</v>
      </c>
      <c r="K712">
        <v>49277.628426306859</v>
      </c>
      <c r="L712">
        <v>0.787554996857322</v>
      </c>
    </row>
    <row r="713" spans="1:12" x14ac:dyDescent="0.35">
      <c r="A713">
        <v>2032</v>
      </c>
      <c r="B713" t="s">
        <v>8</v>
      </c>
      <c r="C713" t="s">
        <v>9</v>
      </c>
      <c r="D713" t="s">
        <v>16</v>
      </c>
      <c r="E713" t="s">
        <v>483</v>
      </c>
      <c r="F713" t="s">
        <v>81</v>
      </c>
      <c r="G713">
        <v>49277.628426306859</v>
      </c>
      <c r="H713">
        <v>139278</v>
      </c>
      <c r="I713">
        <v>78118.250613288372</v>
      </c>
      <c r="J713">
        <v>0</v>
      </c>
      <c r="K713">
        <v>0</v>
      </c>
      <c r="L713">
        <v>0.787554996857322</v>
      </c>
    </row>
    <row r="714" spans="1:12" x14ac:dyDescent="0.35">
      <c r="A714">
        <v>2032</v>
      </c>
      <c r="B714" t="s">
        <v>8</v>
      </c>
      <c r="C714" t="s">
        <v>9</v>
      </c>
      <c r="D714" t="s">
        <v>18</v>
      </c>
      <c r="E714" t="s">
        <v>483</v>
      </c>
      <c r="F714" t="s">
        <v>85</v>
      </c>
      <c r="G714">
        <v>49277.628426306859</v>
      </c>
      <c r="H714">
        <v>197582.18962964119</v>
      </c>
      <c r="I714">
        <v>110819.9069932838</v>
      </c>
      <c r="J714">
        <v>0</v>
      </c>
      <c r="K714">
        <v>0</v>
      </c>
      <c r="L714">
        <v>0.787554996857322</v>
      </c>
    </row>
    <row r="715" spans="1:12" x14ac:dyDescent="0.35">
      <c r="A715">
        <v>2032</v>
      </c>
      <c r="B715" t="s">
        <v>8</v>
      </c>
      <c r="C715" t="s">
        <v>9</v>
      </c>
      <c r="D715" t="s">
        <v>18</v>
      </c>
      <c r="E715" t="s">
        <v>483</v>
      </c>
      <c r="F715" t="s">
        <v>86</v>
      </c>
      <c r="G715">
        <v>49277.628426306859</v>
      </c>
      <c r="H715">
        <v>197582.18962964119</v>
      </c>
      <c r="I715">
        <v>110819.9069932838</v>
      </c>
      <c r="J715">
        <v>0</v>
      </c>
      <c r="K715">
        <v>0</v>
      </c>
      <c r="L715">
        <v>0.787554996857322</v>
      </c>
    </row>
    <row r="716" spans="1:12" x14ac:dyDescent="0.35">
      <c r="A716">
        <v>2032</v>
      </c>
      <c r="B716" t="s">
        <v>8</v>
      </c>
      <c r="C716" t="s">
        <v>9</v>
      </c>
      <c r="D716" t="s">
        <v>18</v>
      </c>
      <c r="E716" t="s">
        <v>490</v>
      </c>
      <c r="F716" t="s">
        <v>82</v>
      </c>
      <c r="G716">
        <v>49277.628426306859</v>
      </c>
      <c r="H716">
        <v>197582.18962964119</v>
      </c>
      <c r="I716">
        <v>155606.84073283491</v>
      </c>
      <c r="J716">
        <v>0</v>
      </c>
      <c r="K716">
        <v>0</v>
      </c>
      <c r="L716">
        <v>0.787554996857322</v>
      </c>
    </row>
    <row r="717" spans="1:12" x14ac:dyDescent="0.35">
      <c r="A717">
        <v>2032</v>
      </c>
      <c r="B717" t="s">
        <v>8</v>
      </c>
      <c r="C717" t="s">
        <v>10</v>
      </c>
      <c r="D717" t="s">
        <v>16</v>
      </c>
      <c r="E717" t="s">
        <v>483</v>
      </c>
      <c r="F717" t="s">
        <v>80</v>
      </c>
      <c r="G717">
        <v>103780.1262842799</v>
      </c>
      <c r="H717">
        <v>0</v>
      </c>
      <c r="I717">
        <v>0</v>
      </c>
      <c r="J717">
        <v>131775.0845317553</v>
      </c>
      <c r="K717">
        <v>103780.1262842799</v>
      </c>
      <c r="L717">
        <v>0.787554996857322</v>
      </c>
    </row>
    <row r="718" spans="1:12" x14ac:dyDescent="0.35">
      <c r="A718">
        <v>2032</v>
      </c>
      <c r="B718" t="s">
        <v>8</v>
      </c>
      <c r="C718" t="s">
        <v>10</v>
      </c>
      <c r="D718" t="s">
        <v>16</v>
      </c>
      <c r="E718" t="s">
        <v>483</v>
      </c>
      <c r="F718" t="s">
        <v>81</v>
      </c>
      <c r="G718">
        <v>103780.1262842799</v>
      </c>
      <c r="H718">
        <v>139278</v>
      </c>
      <c r="I718">
        <v>78118.250613288372</v>
      </c>
      <c r="J718">
        <v>0</v>
      </c>
      <c r="K718">
        <v>25661.875670991529</v>
      </c>
      <c r="L718">
        <v>0.787554996857322</v>
      </c>
    </row>
    <row r="719" spans="1:12" x14ac:dyDescent="0.35">
      <c r="A719">
        <v>2032</v>
      </c>
      <c r="B719" t="s">
        <v>8</v>
      </c>
      <c r="C719" t="s">
        <v>10</v>
      </c>
      <c r="D719" t="s">
        <v>18</v>
      </c>
      <c r="E719" t="s">
        <v>483</v>
      </c>
      <c r="F719" t="s">
        <v>85</v>
      </c>
      <c r="G719">
        <v>103780.1262842799</v>
      </c>
      <c r="H719">
        <v>197582.18962964119</v>
      </c>
      <c r="I719">
        <v>110819.9069932838</v>
      </c>
      <c r="J719">
        <v>0</v>
      </c>
      <c r="K719">
        <v>0</v>
      </c>
      <c r="L719">
        <v>0.787554996857322</v>
      </c>
    </row>
    <row r="720" spans="1:12" x14ac:dyDescent="0.35">
      <c r="A720">
        <v>2032</v>
      </c>
      <c r="B720" t="s">
        <v>8</v>
      </c>
      <c r="C720" t="s">
        <v>10</v>
      </c>
      <c r="D720" t="s">
        <v>18</v>
      </c>
      <c r="E720" t="s">
        <v>483</v>
      </c>
      <c r="F720" t="s">
        <v>86</v>
      </c>
      <c r="G720">
        <v>103780.1262842799</v>
      </c>
      <c r="H720">
        <v>197582.18962964119</v>
      </c>
      <c r="I720">
        <v>110819.9069932838</v>
      </c>
      <c r="J720">
        <v>0</v>
      </c>
      <c r="K720">
        <v>0</v>
      </c>
      <c r="L720">
        <v>0.787554996857322</v>
      </c>
    </row>
    <row r="721" spans="1:12" x14ac:dyDescent="0.35">
      <c r="A721">
        <v>2032</v>
      </c>
      <c r="B721" t="s">
        <v>8</v>
      </c>
      <c r="C721" t="s">
        <v>10</v>
      </c>
      <c r="D721" t="s">
        <v>18</v>
      </c>
      <c r="E721" t="s">
        <v>490</v>
      </c>
      <c r="F721" t="s">
        <v>82</v>
      </c>
      <c r="G721">
        <v>103780.1262842799</v>
      </c>
      <c r="H721">
        <v>197582.18962964119</v>
      </c>
      <c r="I721">
        <v>155606.84073283491</v>
      </c>
      <c r="J721">
        <v>0</v>
      </c>
      <c r="K721">
        <v>0</v>
      </c>
      <c r="L721">
        <v>0.787554996857322</v>
      </c>
    </row>
    <row r="722" spans="1:12" x14ac:dyDescent="0.35">
      <c r="A722">
        <v>2033</v>
      </c>
      <c r="B722" t="s">
        <v>6</v>
      </c>
      <c r="C722" t="s">
        <v>4</v>
      </c>
      <c r="D722" t="s">
        <v>16</v>
      </c>
      <c r="E722" t="s">
        <v>483</v>
      </c>
      <c r="F722" t="s">
        <v>80</v>
      </c>
      <c r="G722">
        <v>111767.924194804</v>
      </c>
      <c r="H722">
        <v>0</v>
      </c>
      <c r="I722">
        <v>0</v>
      </c>
      <c r="J722">
        <v>254395.8071460959</v>
      </c>
      <c r="K722">
        <v>111767.924194804</v>
      </c>
      <c r="L722">
        <v>0.439346565686978</v>
      </c>
    </row>
    <row r="723" spans="1:12" x14ac:dyDescent="0.35">
      <c r="A723">
        <v>2033</v>
      </c>
      <c r="B723" t="s">
        <v>6</v>
      </c>
      <c r="C723" t="s">
        <v>4</v>
      </c>
      <c r="D723" t="s">
        <v>16</v>
      </c>
      <c r="E723" t="s">
        <v>483</v>
      </c>
      <c r="F723" t="s">
        <v>81</v>
      </c>
      <c r="G723">
        <v>111767.924194804</v>
      </c>
      <c r="H723">
        <v>3079</v>
      </c>
      <c r="I723">
        <v>1306.05584956232</v>
      </c>
      <c r="J723">
        <v>251316.8071460959</v>
      </c>
      <c r="K723">
        <v>110461.8683452417</v>
      </c>
      <c r="L723">
        <v>0.439346565686978</v>
      </c>
    </row>
    <row r="724" spans="1:12" x14ac:dyDescent="0.35">
      <c r="A724">
        <v>2033</v>
      </c>
      <c r="B724" t="s">
        <v>6</v>
      </c>
      <c r="C724" t="s">
        <v>4</v>
      </c>
      <c r="D724" t="s">
        <v>18</v>
      </c>
      <c r="E724" t="s">
        <v>483</v>
      </c>
      <c r="F724" t="s">
        <v>85</v>
      </c>
      <c r="G724">
        <v>111767.924194804</v>
      </c>
      <c r="H724">
        <v>11725.35368790235</v>
      </c>
      <c r="I724">
        <v>4973.6819656615726</v>
      </c>
      <c r="J724">
        <v>242670.45345819349</v>
      </c>
      <c r="K724">
        <v>106794.2422291424</v>
      </c>
      <c r="L724">
        <v>0.439346565686978</v>
      </c>
    </row>
    <row r="725" spans="1:12" x14ac:dyDescent="0.35">
      <c r="A725">
        <v>2033</v>
      </c>
      <c r="B725" t="s">
        <v>6</v>
      </c>
      <c r="C725" t="s">
        <v>4</v>
      </c>
      <c r="D725" t="s">
        <v>18</v>
      </c>
      <c r="E725" t="s">
        <v>483</v>
      </c>
      <c r="F725" t="s">
        <v>86</v>
      </c>
      <c r="G725">
        <v>111767.924194804</v>
      </c>
      <c r="H725">
        <v>11725.35368790235</v>
      </c>
      <c r="I725">
        <v>4973.6819656615726</v>
      </c>
      <c r="J725">
        <v>242670.45345819349</v>
      </c>
      <c r="K725">
        <v>106794.2422291424</v>
      </c>
      <c r="L725">
        <v>0.439346565686978</v>
      </c>
    </row>
    <row r="726" spans="1:12" x14ac:dyDescent="0.35">
      <c r="A726">
        <v>2033</v>
      </c>
      <c r="B726" t="s">
        <v>6</v>
      </c>
      <c r="C726" t="s">
        <v>4</v>
      </c>
      <c r="D726" t="s">
        <v>18</v>
      </c>
      <c r="E726" t="s">
        <v>490</v>
      </c>
      <c r="F726" t="s">
        <v>82</v>
      </c>
      <c r="G726">
        <v>111767.924194804</v>
      </c>
      <c r="H726">
        <v>11725.35368790235</v>
      </c>
      <c r="I726">
        <v>5151.4938742450449</v>
      </c>
      <c r="J726">
        <v>242670.45345819349</v>
      </c>
      <c r="K726">
        <v>106616.430320559</v>
      </c>
      <c r="L726">
        <v>0.439346565686978</v>
      </c>
    </row>
    <row r="727" spans="1:12" x14ac:dyDescent="0.35">
      <c r="A727">
        <v>2033</v>
      </c>
      <c r="B727" t="s">
        <v>6</v>
      </c>
      <c r="C727" t="s">
        <v>9</v>
      </c>
      <c r="D727" t="s">
        <v>16</v>
      </c>
      <c r="E727" t="s">
        <v>483</v>
      </c>
      <c r="F727" t="s">
        <v>80</v>
      </c>
      <c r="G727">
        <v>44810.916790988493</v>
      </c>
      <c r="H727">
        <v>0</v>
      </c>
      <c r="I727">
        <v>0</v>
      </c>
      <c r="J727">
        <v>101994.46243746221</v>
      </c>
      <c r="K727">
        <v>44810.916790988493</v>
      </c>
      <c r="L727">
        <v>0.439346565686978</v>
      </c>
    </row>
    <row r="728" spans="1:12" x14ac:dyDescent="0.35">
      <c r="A728">
        <v>2033</v>
      </c>
      <c r="B728" t="s">
        <v>6</v>
      </c>
      <c r="C728" t="s">
        <v>9</v>
      </c>
      <c r="D728" t="s">
        <v>16</v>
      </c>
      <c r="E728" t="s">
        <v>483</v>
      </c>
      <c r="F728" t="s">
        <v>81</v>
      </c>
      <c r="G728">
        <v>44810.916790988493</v>
      </c>
      <c r="H728">
        <v>3079</v>
      </c>
      <c r="I728">
        <v>1306.05584956232</v>
      </c>
      <c r="J728">
        <v>98915.462437462193</v>
      </c>
      <c r="K728">
        <v>43504.860941426166</v>
      </c>
      <c r="L728">
        <v>0.439346565686978</v>
      </c>
    </row>
    <row r="729" spans="1:12" x14ac:dyDescent="0.35">
      <c r="A729">
        <v>2033</v>
      </c>
      <c r="B729" t="s">
        <v>6</v>
      </c>
      <c r="C729" t="s">
        <v>9</v>
      </c>
      <c r="D729" t="s">
        <v>18</v>
      </c>
      <c r="E729" t="s">
        <v>483</v>
      </c>
      <c r="F729" t="s">
        <v>85</v>
      </c>
      <c r="G729">
        <v>44810.916790988493</v>
      </c>
      <c r="H729">
        <v>11725.35368790235</v>
      </c>
      <c r="I729">
        <v>4973.6819656615726</v>
      </c>
      <c r="J729">
        <v>90269.108749559848</v>
      </c>
      <c r="K729">
        <v>39837.234825326923</v>
      </c>
      <c r="L729">
        <v>0.439346565686978</v>
      </c>
    </row>
    <row r="730" spans="1:12" x14ac:dyDescent="0.35">
      <c r="A730">
        <v>2033</v>
      </c>
      <c r="B730" t="s">
        <v>6</v>
      </c>
      <c r="C730" t="s">
        <v>9</v>
      </c>
      <c r="D730" t="s">
        <v>18</v>
      </c>
      <c r="E730" t="s">
        <v>483</v>
      </c>
      <c r="F730" t="s">
        <v>86</v>
      </c>
      <c r="G730">
        <v>44810.916790988493</v>
      </c>
      <c r="H730">
        <v>11725.35368790235</v>
      </c>
      <c r="I730">
        <v>4973.6819656615726</v>
      </c>
      <c r="J730">
        <v>90269.108749559848</v>
      </c>
      <c r="K730">
        <v>39837.234825326923</v>
      </c>
      <c r="L730">
        <v>0.439346565686978</v>
      </c>
    </row>
    <row r="731" spans="1:12" x14ac:dyDescent="0.35">
      <c r="A731">
        <v>2033</v>
      </c>
      <c r="B731" t="s">
        <v>6</v>
      </c>
      <c r="C731" t="s">
        <v>9</v>
      </c>
      <c r="D731" t="s">
        <v>18</v>
      </c>
      <c r="E731" t="s">
        <v>490</v>
      </c>
      <c r="F731" t="s">
        <v>82</v>
      </c>
      <c r="G731">
        <v>44810.916790988493</v>
      </c>
      <c r="H731">
        <v>11725.35368790235</v>
      </c>
      <c r="I731">
        <v>5151.4938742450449</v>
      </c>
      <c r="J731">
        <v>90269.108749559848</v>
      </c>
      <c r="K731">
        <v>39659.422916743453</v>
      </c>
      <c r="L731">
        <v>0.439346565686978</v>
      </c>
    </row>
    <row r="732" spans="1:12" x14ac:dyDescent="0.35">
      <c r="A732">
        <v>2033</v>
      </c>
      <c r="B732" t="s">
        <v>6</v>
      </c>
      <c r="C732" t="s">
        <v>10</v>
      </c>
      <c r="D732" t="s">
        <v>16</v>
      </c>
      <c r="E732" t="s">
        <v>483</v>
      </c>
      <c r="F732" t="s">
        <v>80</v>
      </c>
      <c r="G732">
        <v>106145.67716186729</v>
      </c>
      <c r="H732">
        <v>0</v>
      </c>
      <c r="I732">
        <v>0</v>
      </c>
      <c r="J732">
        <v>241598.96867725399</v>
      </c>
      <c r="K732">
        <v>106145.67716186729</v>
      </c>
      <c r="L732">
        <v>0.439346565686978</v>
      </c>
    </row>
    <row r="733" spans="1:12" x14ac:dyDescent="0.35">
      <c r="A733">
        <v>2033</v>
      </c>
      <c r="B733" t="s">
        <v>6</v>
      </c>
      <c r="C733" t="s">
        <v>10</v>
      </c>
      <c r="D733" t="s">
        <v>16</v>
      </c>
      <c r="E733" t="s">
        <v>483</v>
      </c>
      <c r="F733" t="s">
        <v>81</v>
      </c>
      <c r="G733">
        <v>106145.67716186729</v>
      </c>
      <c r="H733">
        <v>3079</v>
      </c>
      <c r="I733">
        <v>1306.05584956232</v>
      </c>
      <c r="J733">
        <v>238519.96867725399</v>
      </c>
      <c r="K733">
        <v>104839.621312305</v>
      </c>
      <c r="L733">
        <v>0.439346565686978</v>
      </c>
    </row>
    <row r="734" spans="1:12" x14ac:dyDescent="0.35">
      <c r="A734">
        <v>2033</v>
      </c>
      <c r="B734" t="s">
        <v>6</v>
      </c>
      <c r="C734" t="s">
        <v>10</v>
      </c>
      <c r="D734" t="s">
        <v>18</v>
      </c>
      <c r="E734" t="s">
        <v>483</v>
      </c>
      <c r="F734" t="s">
        <v>85</v>
      </c>
      <c r="G734">
        <v>106145.67716186729</v>
      </c>
      <c r="H734">
        <v>11725.35368790235</v>
      </c>
      <c r="I734">
        <v>4973.6819656615726</v>
      </c>
      <c r="J734">
        <v>229873.6149893516</v>
      </c>
      <c r="K734">
        <v>101171.99519620569</v>
      </c>
      <c r="L734">
        <v>0.439346565686978</v>
      </c>
    </row>
    <row r="735" spans="1:12" x14ac:dyDescent="0.35">
      <c r="A735">
        <v>2033</v>
      </c>
      <c r="B735" t="s">
        <v>6</v>
      </c>
      <c r="C735" t="s">
        <v>10</v>
      </c>
      <c r="D735" t="s">
        <v>18</v>
      </c>
      <c r="E735" t="s">
        <v>483</v>
      </c>
      <c r="F735" t="s">
        <v>86</v>
      </c>
      <c r="G735">
        <v>106145.67716186729</v>
      </c>
      <c r="H735">
        <v>11725.35368790235</v>
      </c>
      <c r="I735">
        <v>4973.6819656615726</v>
      </c>
      <c r="J735">
        <v>229873.6149893516</v>
      </c>
      <c r="K735">
        <v>101171.99519620569</v>
      </c>
      <c r="L735">
        <v>0.439346565686978</v>
      </c>
    </row>
    <row r="736" spans="1:12" x14ac:dyDescent="0.35">
      <c r="A736">
        <v>2033</v>
      </c>
      <c r="B736" t="s">
        <v>6</v>
      </c>
      <c r="C736" t="s">
        <v>10</v>
      </c>
      <c r="D736" t="s">
        <v>18</v>
      </c>
      <c r="E736" t="s">
        <v>490</v>
      </c>
      <c r="F736" t="s">
        <v>82</v>
      </c>
      <c r="G736">
        <v>106145.67716186729</v>
      </c>
      <c r="H736">
        <v>11725.35368790235</v>
      </c>
      <c r="I736">
        <v>5151.4938742450449</v>
      </c>
      <c r="J736">
        <v>229873.6149893516</v>
      </c>
      <c r="K736">
        <v>100994.1832876222</v>
      </c>
      <c r="L736">
        <v>0.439346565686978</v>
      </c>
    </row>
    <row r="737" spans="1:12" x14ac:dyDescent="0.35">
      <c r="A737">
        <v>2033</v>
      </c>
      <c r="B737" t="s">
        <v>7</v>
      </c>
      <c r="C737" t="s">
        <v>4</v>
      </c>
      <c r="D737" t="s">
        <v>16</v>
      </c>
      <c r="E737" t="s">
        <v>483</v>
      </c>
      <c r="F737" t="s">
        <v>80</v>
      </c>
      <c r="G737">
        <v>1239302.9775620999</v>
      </c>
      <c r="H737">
        <v>0</v>
      </c>
      <c r="I737">
        <v>0</v>
      </c>
      <c r="J737">
        <v>1484647.2218510441</v>
      </c>
      <c r="K737">
        <v>1239302.9775620999</v>
      </c>
      <c r="L737">
        <v>0.83474576271186396</v>
      </c>
    </row>
    <row r="738" spans="1:12" x14ac:dyDescent="0.35">
      <c r="A738">
        <v>2033</v>
      </c>
      <c r="B738" t="s">
        <v>7</v>
      </c>
      <c r="C738" t="s">
        <v>4</v>
      </c>
      <c r="D738" t="s">
        <v>16</v>
      </c>
      <c r="E738" t="s">
        <v>483</v>
      </c>
      <c r="F738" t="s">
        <v>81</v>
      </c>
      <c r="G738">
        <v>1239302.9775620999</v>
      </c>
      <c r="H738">
        <v>276878</v>
      </c>
      <c r="I738">
        <v>145529.48217270081</v>
      </c>
      <c r="J738">
        <v>1207769.2218510441</v>
      </c>
      <c r="K738">
        <v>1093773.4953893989</v>
      </c>
      <c r="L738">
        <v>0.83474576271186396</v>
      </c>
    </row>
    <row r="739" spans="1:12" x14ac:dyDescent="0.35">
      <c r="A739">
        <v>2033</v>
      </c>
      <c r="B739" t="s">
        <v>7</v>
      </c>
      <c r="C739" t="s">
        <v>4</v>
      </c>
      <c r="D739" t="s">
        <v>18</v>
      </c>
      <c r="E739" t="s">
        <v>483</v>
      </c>
      <c r="F739" t="s">
        <v>85</v>
      </c>
      <c r="G739">
        <v>1239302.9775620999</v>
      </c>
      <c r="H739">
        <v>797055.2750032586</v>
      </c>
      <c r="I739">
        <v>418939.17694523872</v>
      </c>
      <c r="J739">
        <v>687591.94684778573</v>
      </c>
      <c r="K739">
        <v>820363.8006168612</v>
      </c>
      <c r="L739">
        <v>0.83474576271186396</v>
      </c>
    </row>
    <row r="740" spans="1:12" x14ac:dyDescent="0.35">
      <c r="A740">
        <v>2033</v>
      </c>
      <c r="B740" t="s">
        <v>7</v>
      </c>
      <c r="C740" t="s">
        <v>4</v>
      </c>
      <c r="D740" t="s">
        <v>18</v>
      </c>
      <c r="E740" t="s">
        <v>483</v>
      </c>
      <c r="F740" t="s">
        <v>86</v>
      </c>
      <c r="G740">
        <v>1239302.9775620999</v>
      </c>
      <c r="H740">
        <v>797055.2750032586</v>
      </c>
      <c r="I740">
        <v>418939.17694523872</v>
      </c>
      <c r="J740">
        <v>687591.94684778573</v>
      </c>
      <c r="K740">
        <v>820363.8006168612</v>
      </c>
      <c r="L740">
        <v>0.83474576271186396</v>
      </c>
    </row>
    <row r="741" spans="1:12" x14ac:dyDescent="0.35">
      <c r="A741">
        <v>2033</v>
      </c>
      <c r="B741" t="s">
        <v>7</v>
      </c>
      <c r="C741" t="s">
        <v>4</v>
      </c>
      <c r="D741" t="s">
        <v>18</v>
      </c>
      <c r="E741" t="s">
        <v>490</v>
      </c>
      <c r="F741" t="s">
        <v>82</v>
      </c>
      <c r="G741">
        <v>1239302.9775620999</v>
      </c>
      <c r="H741">
        <v>797055.2750032586</v>
      </c>
      <c r="I741">
        <v>665338.51345610991</v>
      </c>
      <c r="J741">
        <v>687591.94684778573</v>
      </c>
      <c r="K741">
        <v>573964.46410599002</v>
      </c>
      <c r="L741">
        <v>0.83474576271186396</v>
      </c>
    </row>
    <row r="742" spans="1:12" x14ac:dyDescent="0.35">
      <c r="A742">
        <v>2033</v>
      </c>
      <c r="B742" t="s">
        <v>7</v>
      </c>
      <c r="C742" t="s">
        <v>9</v>
      </c>
      <c r="D742" t="s">
        <v>16</v>
      </c>
      <c r="E742" t="s">
        <v>483</v>
      </c>
      <c r="F742" t="s">
        <v>80</v>
      </c>
      <c r="G742">
        <v>1017419.138443246</v>
      </c>
      <c r="H742">
        <v>0</v>
      </c>
      <c r="I742">
        <v>0</v>
      </c>
      <c r="J742">
        <v>1218837.1404700819</v>
      </c>
      <c r="K742">
        <v>1017419.138443246</v>
      </c>
      <c r="L742">
        <v>0.83474576271186396</v>
      </c>
    </row>
    <row r="743" spans="1:12" x14ac:dyDescent="0.35">
      <c r="A743">
        <v>2033</v>
      </c>
      <c r="B743" t="s">
        <v>7</v>
      </c>
      <c r="C743" t="s">
        <v>9</v>
      </c>
      <c r="D743" t="s">
        <v>16</v>
      </c>
      <c r="E743" t="s">
        <v>483</v>
      </c>
      <c r="F743" t="s">
        <v>81</v>
      </c>
      <c r="G743">
        <v>1017419.138443246</v>
      </c>
      <c r="H743">
        <v>276878</v>
      </c>
      <c r="I743">
        <v>145529.48217270081</v>
      </c>
      <c r="J743">
        <v>941959.14047008217</v>
      </c>
      <c r="K743">
        <v>871889.65627054521</v>
      </c>
      <c r="L743">
        <v>0.83474576271186396</v>
      </c>
    </row>
    <row r="744" spans="1:12" x14ac:dyDescent="0.35">
      <c r="A744">
        <v>2033</v>
      </c>
      <c r="B744" t="s">
        <v>7</v>
      </c>
      <c r="C744" t="s">
        <v>9</v>
      </c>
      <c r="D744" t="s">
        <v>18</v>
      </c>
      <c r="E744" t="s">
        <v>483</v>
      </c>
      <c r="F744" t="s">
        <v>85</v>
      </c>
      <c r="G744">
        <v>1017419.138443246</v>
      </c>
      <c r="H744">
        <v>797055.2750032586</v>
      </c>
      <c r="I744">
        <v>418939.17694523872</v>
      </c>
      <c r="J744">
        <v>421781.86546682363</v>
      </c>
      <c r="K744">
        <v>598479.96149800729</v>
      </c>
      <c r="L744">
        <v>0.83474576271186396</v>
      </c>
    </row>
    <row r="745" spans="1:12" x14ac:dyDescent="0.35">
      <c r="A745">
        <v>2033</v>
      </c>
      <c r="B745" t="s">
        <v>7</v>
      </c>
      <c r="C745" t="s">
        <v>9</v>
      </c>
      <c r="D745" t="s">
        <v>18</v>
      </c>
      <c r="E745" t="s">
        <v>483</v>
      </c>
      <c r="F745" t="s">
        <v>86</v>
      </c>
      <c r="G745">
        <v>1017419.138443246</v>
      </c>
      <c r="H745">
        <v>797055.2750032586</v>
      </c>
      <c r="I745">
        <v>418939.17694523872</v>
      </c>
      <c r="J745">
        <v>421781.86546682363</v>
      </c>
      <c r="K745">
        <v>598479.96149800729</v>
      </c>
      <c r="L745">
        <v>0.83474576271186396</v>
      </c>
    </row>
    <row r="746" spans="1:12" x14ac:dyDescent="0.35">
      <c r="A746">
        <v>2033</v>
      </c>
      <c r="B746" t="s">
        <v>7</v>
      </c>
      <c r="C746" t="s">
        <v>9</v>
      </c>
      <c r="D746" t="s">
        <v>18</v>
      </c>
      <c r="E746" t="s">
        <v>490</v>
      </c>
      <c r="F746" t="s">
        <v>82</v>
      </c>
      <c r="G746">
        <v>1017419.138443246</v>
      </c>
      <c r="H746">
        <v>797055.2750032586</v>
      </c>
      <c r="I746">
        <v>665338.51345610991</v>
      </c>
      <c r="J746">
        <v>421781.86546682363</v>
      </c>
      <c r="K746">
        <v>352080.62498713611</v>
      </c>
      <c r="L746">
        <v>0.83474576271186396</v>
      </c>
    </row>
    <row r="747" spans="1:12" x14ac:dyDescent="0.35">
      <c r="A747">
        <v>2033</v>
      </c>
      <c r="B747" t="s">
        <v>7</v>
      </c>
      <c r="C747" t="s">
        <v>10</v>
      </c>
      <c r="D747" t="s">
        <v>16</v>
      </c>
      <c r="E747" t="s">
        <v>483</v>
      </c>
      <c r="F747" t="s">
        <v>80</v>
      </c>
      <c r="G747">
        <v>1193828.75003416</v>
      </c>
      <c r="H747">
        <v>0</v>
      </c>
      <c r="I747">
        <v>0</v>
      </c>
      <c r="J747">
        <v>1430170.4822744259</v>
      </c>
      <c r="K747">
        <v>1193828.75003416</v>
      </c>
      <c r="L747">
        <v>0.83474576271186396</v>
      </c>
    </row>
    <row r="748" spans="1:12" x14ac:dyDescent="0.35">
      <c r="A748">
        <v>2033</v>
      </c>
      <c r="B748" t="s">
        <v>7</v>
      </c>
      <c r="C748" t="s">
        <v>10</v>
      </c>
      <c r="D748" t="s">
        <v>16</v>
      </c>
      <c r="E748" t="s">
        <v>483</v>
      </c>
      <c r="F748" t="s">
        <v>81</v>
      </c>
      <c r="G748">
        <v>1193828.75003416</v>
      </c>
      <c r="H748">
        <v>276878</v>
      </c>
      <c r="I748">
        <v>145529.48217270081</v>
      </c>
      <c r="J748">
        <v>1153292.4822744259</v>
      </c>
      <c r="K748">
        <v>1048299.2678614591</v>
      </c>
      <c r="L748">
        <v>0.83474576271186396</v>
      </c>
    </row>
    <row r="749" spans="1:12" x14ac:dyDescent="0.35">
      <c r="A749">
        <v>2033</v>
      </c>
      <c r="B749" t="s">
        <v>7</v>
      </c>
      <c r="C749" t="s">
        <v>10</v>
      </c>
      <c r="D749" t="s">
        <v>18</v>
      </c>
      <c r="E749" t="s">
        <v>483</v>
      </c>
      <c r="F749" t="s">
        <v>85</v>
      </c>
      <c r="G749">
        <v>1193828.75003416</v>
      </c>
      <c r="H749">
        <v>797055.2750032586</v>
      </c>
      <c r="I749">
        <v>418939.17694523872</v>
      </c>
      <c r="J749">
        <v>633115.20727116731</v>
      </c>
      <c r="K749">
        <v>774889.57308892126</v>
      </c>
      <c r="L749">
        <v>0.83474576271186396</v>
      </c>
    </row>
    <row r="750" spans="1:12" x14ac:dyDescent="0.35">
      <c r="A750">
        <v>2033</v>
      </c>
      <c r="B750" t="s">
        <v>7</v>
      </c>
      <c r="C750" t="s">
        <v>10</v>
      </c>
      <c r="D750" t="s">
        <v>18</v>
      </c>
      <c r="E750" t="s">
        <v>483</v>
      </c>
      <c r="F750" t="s">
        <v>86</v>
      </c>
      <c r="G750">
        <v>1193828.75003416</v>
      </c>
      <c r="H750">
        <v>797055.2750032586</v>
      </c>
      <c r="I750">
        <v>418939.17694523872</v>
      </c>
      <c r="J750">
        <v>633115.20727116731</v>
      </c>
      <c r="K750">
        <v>774889.57308892126</v>
      </c>
      <c r="L750">
        <v>0.83474576271186396</v>
      </c>
    </row>
    <row r="751" spans="1:12" x14ac:dyDescent="0.35">
      <c r="A751">
        <v>2033</v>
      </c>
      <c r="B751" t="s">
        <v>7</v>
      </c>
      <c r="C751" t="s">
        <v>10</v>
      </c>
      <c r="D751" t="s">
        <v>18</v>
      </c>
      <c r="E751" t="s">
        <v>490</v>
      </c>
      <c r="F751" t="s">
        <v>82</v>
      </c>
      <c r="G751">
        <v>1193828.75003416</v>
      </c>
      <c r="H751">
        <v>797055.2750032586</v>
      </c>
      <c r="I751">
        <v>665338.51345610991</v>
      </c>
      <c r="J751">
        <v>633115.20727116731</v>
      </c>
      <c r="K751">
        <v>528490.23657805007</v>
      </c>
      <c r="L751">
        <v>0.83474576271186396</v>
      </c>
    </row>
    <row r="752" spans="1:12" x14ac:dyDescent="0.35">
      <c r="A752">
        <v>2033</v>
      </c>
      <c r="B752" t="s">
        <v>13</v>
      </c>
      <c r="C752" t="s">
        <v>4</v>
      </c>
      <c r="D752" t="s">
        <v>16</v>
      </c>
      <c r="E752" t="s">
        <v>483</v>
      </c>
      <c r="F752" t="s">
        <v>80</v>
      </c>
      <c r="G752">
        <v>2712.6977060483359</v>
      </c>
      <c r="H752">
        <v>0</v>
      </c>
      <c r="I752">
        <v>0</v>
      </c>
      <c r="J752">
        <v>2712.6977060483359</v>
      </c>
      <c r="K752">
        <v>2712.6977060483359</v>
      </c>
      <c r="L752">
        <v>1</v>
      </c>
    </row>
    <row r="753" spans="1:12" x14ac:dyDescent="0.35">
      <c r="A753">
        <v>2033</v>
      </c>
      <c r="B753" t="s">
        <v>13</v>
      </c>
      <c r="C753" t="s">
        <v>4</v>
      </c>
      <c r="D753" t="s">
        <v>16</v>
      </c>
      <c r="E753" t="s">
        <v>483</v>
      </c>
      <c r="F753" t="s">
        <v>81</v>
      </c>
      <c r="G753">
        <v>2712.6977060483359</v>
      </c>
      <c r="H753">
        <v>0</v>
      </c>
      <c r="I753">
        <v>0</v>
      </c>
      <c r="J753">
        <v>2712.6977060483359</v>
      </c>
      <c r="K753">
        <v>2712.6977060483359</v>
      </c>
      <c r="L753">
        <v>1</v>
      </c>
    </row>
    <row r="754" spans="1:12" x14ac:dyDescent="0.35">
      <c r="A754">
        <v>2033</v>
      </c>
      <c r="B754" t="s">
        <v>13</v>
      </c>
      <c r="C754" t="s">
        <v>4</v>
      </c>
      <c r="D754" t="s">
        <v>18</v>
      </c>
      <c r="E754" t="s">
        <v>483</v>
      </c>
      <c r="F754" t="s">
        <v>85</v>
      </c>
      <c r="G754">
        <v>2712.6977060483359</v>
      </c>
      <c r="H754">
        <v>107337.13919856019</v>
      </c>
      <c r="I754">
        <v>35421.255935524867</v>
      </c>
      <c r="J754">
        <v>0</v>
      </c>
      <c r="K754">
        <v>0</v>
      </c>
      <c r="L754">
        <v>1</v>
      </c>
    </row>
    <row r="755" spans="1:12" x14ac:dyDescent="0.35">
      <c r="A755">
        <v>2033</v>
      </c>
      <c r="B755" t="s">
        <v>13</v>
      </c>
      <c r="C755" t="s">
        <v>4</v>
      </c>
      <c r="D755" t="s">
        <v>18</v>
      </c>
      <c r="E755" t="s">
        <v>483</v>
      </c>
      <c r="F755" t="s">
        <v>86</v>
      </c>
      <c r="G755">
        <v>2712.6977060483359</v>
      </c>
      <c r="H755">
        <v>107337.13919856019</v>
      </c>
      <c r="I755">
        <v>35421.255935524867</v>
      </c>
      <c r="J755">
        <v>0</v>
      </c>
      <c r="K755">
        <v>0</v>
      </c>
      <c r="L755">
        <v>1</v>
      </c>
    </row>
    <row r="756" spans="1:12" x14ac:dyDescent="0.35">
      <c r="A756">
        <v>2033</v>
      </c>
      <c r="B756" t="s">
        <v>13</v>
      </c>
      <c r="C756" t="s">
        <v>4</v>
      </c>
      <c r="D756" t="s">
        <v>18</v>
      </c>
      <c r="E756" t="s">
        <v>490</v>
      </c>
      <c r="F756" t="s">
        <v>82</v>
      </c>
      <c r="G756">
        <v>2712.6977060483359</v>
      </c>
      <c r="H756">
        <v>107337.13919856019</v>
      </c>
      <c r="I756">
        <v>35421.255935524867</v>
      </c>
      <c r="J756">
        <v>0</v>
      </c>
      <c r="K756">
        <v>0</v>
      </c>
      <c r="L756">
        <v>1</v>
      </c>
    </row>
    <row r="757" spans="1:12" x14ac:dyDescent="0.35">
      <c r="A757">
        <v>2033</v>
      </c>
      <c r="B757" t="s">
        <v>13</v>
      </c>
      <c r="C757" t="s">
        <v>9</v>
      </c>
      <c r="D757" t="s">
        <v>16</v>
      </c>
      <c r="E757" t="s">
        <v>483</v>
      </c>
      <c r="F757" t="s">
        <v>80</v>
      </c>
      <c r="G757">
        <v>1062.914972515613</v>
      </c>
      <c r="H757">
        <v>0</v>
      </c>
      <c r="I757">
        <v>0</v>
      </c>
      <c r="J757">
        <v>1062.914972515613</v>
      </c>
      <c r="K757">
        <v>1062.914972515613</v>
      </c>
      <c r="L757">
        <v>1</v>
      </c>
    </row>
    <row r="758" spans="1:12" x14ac:dyDescent="0.35">
      <c r="A758">
        <v>2033</v>
      </c>
      <c r="B758" t="s">
        <v>13</v>
      </c>
      <c r="C758" t="s">
        <v>9</v>
      </c>
      <c r="D758" t="s">
        <v>16</v>
      </c>
      <c r="E758" t="s">
        <v>483</v>
      </c>
      <c r="F758" t="s">
        <v>81</v>
      </c>
      <c r="G758">
        <v>1062.914972515613</v>
      </c>
      <c r="H758">
        <v>0</v>
      </c>
      <c r="I758">
        <v>0</v>
      </c>
      <c r="J758">
        <v>1062.914972515613</v>
      </c>
      <c r="K758">
        <v>1062.914972515613</v>
      </c>
      <c r="L758">
        <v>1</v>
      </c>
    </row>
    <row r="759" spans="1:12" x14ac:dyDescent="0.35">
      <c r="A759">
        <v>2033</v>
      </c>
      <c r="B759" t="s">
        <v>13</v>
      </c>
      <c r="C759" t="s">
        <v>9</v>
      </c>
      <c r="D759" t="s">
        <v>18</v>
      </c>
      <c r="E759" t="s">
        <v>483</v>
      </c>
      <c r="F759" t="s">
        <v>85</v>
      </c>
      <c r="G759">
        <v>1062.914972515613</v>
      </c>
      <c r="H759">
        <v>107337.13919856019</v>
      </c>
      <c r="I759">
        <v>35421.255935524867</v>
      </c>
      <c r="J759">
        <v>0</v>
      </c>
      <c r="K759">
        <v>0</v>
      </c>
      <c r="L759">
        <v>1</v>
      </c>
    </row>
    <row r="760" spans="1:12" x14ac:dyDescent="0.35">
      <c r="A760">
        <v>2033</v>
      </c>
      <c r="B760" t="s">
        <v>13</v>
      </c>
      <c r="C760" t="s">
        <v>9</v>
      </c>
      <c r="D760" t="s">
        <v>18</v>
      </c>
      <c r="E760" t="s">
        <v>483</v>
      </c>
      <c r="F760" t="s">
        <v>86</v>
      </c>
      <c r="G760">
        <v>1062.914972515613</v>
      </c>
      <c r="H760">
        <v>107337.13919856019</v>
      </c>
      <c r="I760">
        <v>35421.255935524867</v>
      </c>
      <c r="J760">
        <v>0</v>
      </c>
      <c r="K760">
        <v>0</v>
      </c>
      <c r="L760">
        <v>1</v>
      </c>
    </row>
    <row r="761" spans="1:12" x14ac:dyDescent="0.35">
      <c r="A761">
        <v>2033</v>
      </c>
      <c r="B761" t="s">
        <v>13</v>
      </c>
      <c r="C761" t="s">
        <v>9</v>
      </c>
      <c r="D761" t="s">
        <v>18</v>
      </c>
      <c r="E761" t="s">
        <v>490</v>
      </c>
      <c r="F761" t="s">
        <v>82</v>
      </c>
      <c r="G761">
        <v>1062.914972515613</v>
      </c>
      <c r="H761">
        <v>107337.13919856019</v>
      </c>
      <c r="I761">
        <v>35421.255935524867</v>
      </c>
      <c r="J761">
        <v>0</v>
      </c>
      <c r="K761">
        <v>0</v>
      </c>
      <c r="L761">
        <v>1</v>
      </c>
    </row>
    <row r="762" spans="1:12" x14ac:dyDescent="0.35">
      <c r="A762">
        <v>2033</v>
      </c>
      <c r="B762" t="s">
        <v>13</v>
      </c>
      <c r="C762" t="s">
        <v>10</v>
      </c>
      <c r="D762" t="s">
        <v>16</v>
      </c>
      <c r="E762" t="s">
        <v>483</v>
      </c>
      <c r="F762" t="s">
        <v>80</v>
      </c>
      <c r="G762">
        <v>2578.831941326835</v>
      </c>
      <c r="H762">
        <v>0</v>
      </c>
      <c r="I762">
        <v>0</v>
      </c>
      <c r="J762">
        <v>2578.831941326835</v>
      </c>
      <c r="K762">
        <v>2578.831941326835</v>
      </c>
      <c r="L762">
        <v>1</v>
      </c>
    </row>
    <row r="763" spans="1:12" x14ac:dyDescent="0.35">
      <c r="A763">
        <v>2033</v>
      </c>
      <c r="B763" t="s">
        <v>13</v>
      </c>
      <c r="C763" t="s">
        <v>10</v>
      </c>
      <c r="D763" t="s">
        <v>16</v>
      </c>
      <c r="E763" t="s">
        <v>483</v>
      </c>
      <c r="F763" t="s">
        <v>81</v>
      </c>
      <c r="G763">
        <v>2578.831941326835</v>
      </c>
      <c r="H763">
        <v>0</v>
      </c>
      <c r="I763">
        <v>0</v>
      </c>
      <c r="J763">
        <v>2578.831941326835</v>
      </c>
      <c r="K763">
        <v>2578.831941326835</v>
      </c>
      <c r="L763">
        <v>1</v>
      </c>
    </row>
    <row r="764" spans="1:12" x14ac:dyDescent="0.35">
      <c r="A764">
        <v>2033</v>
      </c>
      <c r="B764" t="s">
        <v>13</v>
      </c>
      <c r="C764" t="s">
        <v>10</v>
      </c>
      <c r="D764" t="s">
        <v>18</v>
      </c>
      <c r="E764" t="s">
        <v>483</v>
      </c>
      <c r="F764" t="s">
        <v>85</v>
      </c>
      <c r="G764">
        <v>2578.831941326835</v>
      </c>
      <c r="H764">
        <v>107337.13919856019</v>
      </c>
      <c r="I764">
        <v>35421.255935524867</v>
      </c>
      <c r="J764">
        <v>0</v>
      </c>
      <c r="K764">
        <v>0</v>
      </c>
      <c r="L764">
        <v>1</v>
      </c>
    </row>
    <row r="765" spans="1:12" x14ac:dyDescent="0.35">
      <c r="A765">
        <v>2033</v>
      </c>
      <c r="B765" t="s">
        <v>13</v>
      </c>
      <c r="C765" t="s">
        <v>10</v>
      </c>
      <c r="D765" t="s">
        <v>18</v>
      </c>
      <c r="E765" t="s">
        <v>483</v>
      </c>
      <c r="F765" t="s">
        <v>86</v>
      </c>
      <c r="G765">
        <v>2578.831941326835</v>
      </c>
      <c r="H765">
        <v>107337.13919856019</v>
      </c>
      <c r="I765">
        <v>35421.255935524867</v>
      </c>
      <c r="J765">
        <v>0</v>
      </c>
      <c r="K765">
        <v>0</v>
      </c>
      <c r="L765">
        <v>1</v>
      </c>
    </row>
    <row r="766" spans="1:12" x14ac:dyDescent="0.35">
      <c r="A766">
        <v>2033</v>
      </c>
      <c r="B766" t="s">
        <v>13</v>
      </c>
      <c r="C766" t="s">
        <v>10</v>
      </c>
      <c r="D766" t="s">
        <v>18</v>
      </c>
      <c r="E766" t="s">
        <v>490</v>
      </c>
      <c r="F766" t="s">
        <v>82</v>
      </c>
      <c r="G766">
        <v>2578.831941326835</v>
      </c>
      <c r="H766">
        <v>107337.13919856019</v>
      </c>
      <c r="I766">
        <v>35421.255935524867</v>
      </c>
      <c r="J766">
        <v>0</v>
      </c>
      <c r="K766">
        <v>0</v>
      </c>
      <c r="L766">
        <v>1</v>
      </c>
    </row>
    <row r="767" spans="1:12" x14ac:dyDescent="0.35">
      <c r="A767">
        <v>2033</v>
      </c>
      <c r="B767" t="s">
        <v>12</v>
      </c>
      <c r="C767" t="s">
        <v>4</v>
      </c>
      <c r="D767" t="s">
        <v>16</v>
      </c>
      <c r="E767" t="s">
        <v>483</v>
      </c>
      <c r="F767" t="s">
        <v>80</v>
      </c>
      <c r="G767">
        <v>49911.675533361398</v>
      </c>
      <c r="H767">
        <v>0</v>
      </c>
      <c r="I767">
        <v>0</v>
      </c>
      <c r="J767">
        <v>71386.990168511882</v>
      </c>
      <c r="K767">
        <v>49911.675533361398</v>
      </c>
      <c r="L767">
        <v>0.69917047091553897</v>
      </c>
    </row>
    <row r="768" spans="1:12" x14ac:dyDescent="0.35">
      <c r="A768">
        <v>2033</v>
      </c>
      <c r="B768" t="s">
        <v>12</v>
      </c>
      <c r="C768" t="s">
        <v>4</v>
      </c>
      <c r="D768" t="s">
        <v>16</v>
      </c>
      <c r="E768" t="s">
        <v>483</v>
      </c>
      <c r="F768" t="s">
        <v>81</v>
      </c>
      <c r="G768">
        <v>49911.675533361398</v>
      </c>
      <c r="H768">
        <v>37831</v>
      </c>
      <c r="I768">
        <v>26450.318085205759</v>
      </c>
      <c r="J768">
        <v>33555.990168511882</v>
      </c>
      <c r="K768">
        <v>23461.357448155639</v>
      </c>
      <c r="L768">
        <v>0.69917047091553897</v>
      </c>
    </row>
    <row r="769" spans="1:12" x14ac:dyDescent="0.35">
      <c r="A769">
        <v>2033</v>
      </c>
      <c r="B769" t="s">
        <v>12</v>
      </c>
      <c r="C769" t="s">
        <v>4</v>
      </c>
      <c r="D769" t="s">
        <v>18</v>
      </c>
      <c r="E769" t="s">
        <v>483</v>
      </c>
      <c r="F769" t="s">
        <v>85</v>
      </c>
      <c r="G769">
        <v>49911.675533361398</v>
      </c>
      <c r="H769">
        <v>137096</v>
      </c>
      <c r="I769">
        <v>95853.474880636728</v>
      </c>
      <c r="J769">
        <v>0</v>
      </c>
      <c r="K769">
        <v>0</v>
      </c>
      <c r="L769">
        <v>0.69917047091553897</v>
      </c>
    </row>
    <row r="770" spans="1:12" x14ac:dyDescent="0.35">
      <c r="A770">
        <v>2033</v>
      </c>
      <c r="B770" t="s">
        <v>12</v>
      </c>
      <c r="C770" t="s">
        <v>4</v>
      </c>
      <c r="D770" t="s">
        <v>18</v>
      </c>
      <c r="E770" t="s">
        <v>483</v>
      </c>
      <c r="F770" t="s">
        <v>86</v>
      </c>
      <c r="G770">
        <v>49911.675533361398</v>
      </c>
      <c r="H770">
        <v>137096</v>
      </c>
      <c r="I770">
        <v>95853.474880636728</v>
      </c>
      <c r="J770">
        <v>0</v>
      </c>
      <c r="K770">
        <v>0</v>
      </c>
      <c r="L770">
        <v>0.69917047091553897</v>
      </c>
    </row>
    <row r="771" spans="1:12" x14ac:dyDescent="0.35">
      <c r="A771">
        <v>2033</v>
      </c>
      <c r="B771" t="s">
        <v>12</v>
      </c>
      <c r="C771" t="s">
        <v>4</v>
      </c>
      <c r="D771" t="s">
        <v>18</v>
      </c>
      <c r="E771" t="s">
        <v>490</v>
      </c>
      <c r="F771" t="s">
        <v>82</v>
      </c>
      <c r="G771">
        <v>49911.675533361398</v>
      </c>
      <c r="H771">
        <v>137096</v>
      </c>
      <c r="I771">
        <v>95853.474880636728</v>
      </c>
      <c r="J771">
        <v>0</v>
      </c>
      <c r="K771">
        <v>0</v>
      </c>
      <c r="L771">
        <v>0.69917047091553897</v>
      </c>
    </row>
    <row r="772" spans="1:12" x14ac:dyDescent="0.35">
      <c r="A772">
        <v>2033</v>
      </c>
      <c r="B772" t="s">
        <v>12</v>
      </c>
      <c r="C772" t="s">
        <v>9</v>
      </c>
      <c r="D772" t="s">
        <v>16</v>
      </c>
      <c r="E772" t="s">
        <v>483</v>
      </c>
      <c r="F772" t="s">
        <v>80</v>
      </c>
      <c r="G772">
        <v>19556.866623754038</v>
      </c>
      <c r="H772">
        <v>0</v>
      </c>
      <c r="I772">
        <v>0</v>
      </c>
      <c r="J772">
        <v>27971.52831432514</v>
      </c>
      <c r="K772">
        <v>19556.866623754038</v>
      </c>
      <c r="L772">
        <v>0.69917047091553897</v>
      </c>
    </row>
    <row r="773" spans="1:12" x14ac:dyDescent="0.35">
      <c r="A773">
        <v>2033</v>
      </c>
      <c r="B773" t="s">
        <v>12</v>
      </c>
      <c r="C773" t="s">
        <v>9</v>
      </c>
      <c r="D773" t="s">
        <v>16</v>
      </c>
      <c r="E773" t="s">
        <v>483</v>
      </c>
      <c r="F773" t="s">
        <v>81</v>
      </c>
      <c r="G773">
        <v>19556.866623754038</v>
      </c>
      <c r="H773">
        <v>37831</v>
      </c>
      <c r="I773">
        <v>26450.318085205759</v>
      </c>
      <c r="J773">
        <v>0</v>
      </c>
      <c r="K773">
        <v>0</v>
      </c>
      <c r="L773">
        <v>0.69917047091553897</v>
      </c>
    </row>
    <row r="774" spans="1:12" x14ac:dyDescent="0.35">
      <c r="A774">
        <v>2033</v>
      </c>
      <c r="B774" t="s">
        <v>12</v>
      </c>
      <c r="C774" t="s">
        <v>9</v>
      </c>
      <c r="D774" t="s">
        <v>18</v>
      </c>
      <c r="E774" t="s">
        <v>483</v>
      </c>
      <c r="F774" t="s">
        <v>85</v>
      </c>
      <c r="G774">
        <v>19556.866623754038</v>
      </c>
      <c r="H774">
        <v>137096</v>
      </c>
      <c r="I774">
        <v>95853.474880636728</v>
      </c>
      <c r="J774">
        <v>0</v>
      </c>
      <c r="K774">
        <v>0</v>
      </c>
      <c r="L774">
        <v>0.69917047091553897</v>
      </c>
    </row>
    <row r="775" spans="1:12" x14ac:dyDescent="0.35">
      <c r="A775">
        <v>2033</v>
      </c>
      <c r="B775" t="s">
        <v>12</v>
      </c>
      <c r="C775" t="s">
        <v>9</v>
      </c>
      <c r="D775" t="s">
        <v>18</v>
      </c>
      <c r="E775" t="s">
        <v>483</v>
      </c>
      <c r="F775" t="s">
        <v>86</v>
      </c>
      <c r="G775">
        <v>19556.866623754038</v>
      </c>
      <c r="H775">
        <v>137096</v>
      </c>
      <c r="I775">
        <v>95853.474880636728</v>
      </c>
      <c r="J775">
        <v>0</v>
      </c>
      <c r="K775">
        <v>0</v>
      </c>
      <c r="L775">
        <v>0.69917047091553897</v>
      </c>
    </row>
    <row r="776" spans="1:12" x14ac:dyDescent="0.35">
      <c r="A776">
        <v>2033</v>
      </c>
      <c r="B776" t="s">
        <v>12</v>
      </c>
      <c r="C776" t="s">
        <v>9</v>
      </c>
      <c r="D776" t="s">
        <v>18</v>
      </c>
      <c r="E776" t="s">
        <v>490</v>
      </c>
      <c r="F776" t="s">
        <v>82</v>
      </c>
      <c r="G776">
        <v>19556.866623754038</v>
      </c>
      <c r="H776">
        <v>137096</v>
      </c>
      <c r="I776">
        <v>95853.474880636728</v>
      </c>
      <c r="J776">
        <v>0</v>
      </c>
      <c r="K776">
        <v>0</v>
      </c>
      <c r="L776">
        <v>0.69917047091553897</v>
      </c>
    </row>
    <row r="777" spans="1:12" x14ac:dyDescent="0.35">
      <c r="A777">
        <v>2033</v>
      </c>
      <c r="B777" t="s">
        <v>12</v>
      </c>
      <c r="C777" t="s">
        <v>10</v>
      </c>
      <c r="D777" t="s">
        <v>16</v>
      </c>
      <c r="E777" t="s">
        <v>483</v>
      </c>
      <c r="F777" t="s">
        <v>80</v>
      </c>
      <c r="G777">
        <v>47448.642295670557</v>
      </c>
      <c r="H777">
        <v>0</v>
      </c>
      <c r="I777">
        <v>0</v>
      </c>
      <c r="J777">
        <v>67864.196600777839</v>
      </c>
      <c r="K777">
        <v>47448.642295670557</v>
      </c>
      <c r="L777">
        <v>0.69917047091553897</v>
      </c>
    </row>
    <row r="778" spans="1:12" x14ac:dyDescent="0.35">
      <c r="A778">
        <v>2033</v>
      </c>
      <c r="B778" t="s">
        <v>12</v>
      </c>
      <c r="C778" t="s">
        <v>10</v>
      </c>
      <c r="D778" t="s">
        <v>16</v>
      </c>
      <c r="E778" t="s">
        <v>483</v>
      </c>
      <c r="F778" t="s">
        <v>81</v>
      </c>
      <c r="G778">
        <v>47448.642295670557</v>
      </c>
      <c r="H778">
        <v>37831</v>
      </c>
      <c r="I778">
        <v>26450.318085205759</v>
      </c>
      <c r="J778">
        <v>30033.196600777839</v>
      </c>
      <c r="K778">
        <v>20998.324210464802</v>
      </c>
      <c r="L778">
        <v>0.69917047091553897</v>
      </c>
    </row>
    <row r="779" spans="1:12" x14ac:dyDescent="0.35">
      <c r="A779">
        <v>2033</v>
      </c>
      <c r="B779" t="s">
        <v>12</v>
      </c>
      <c r="C779" t="s">
        <v>10</v>
      </c>
      <c r="D779" t="s">
        <v>18</v>
      </c>
      <c r="E779" t="s">
        <v>483</v>
      </c>
      <c r="F779" t="s">
        <v>85</v>
      </c>
      <c r="G779">
        <v>47448.642295670557</v>
      </c>
      <c r="H779">
        <v>137096</v>
      </c>
      <c r="I779">
        <v>95853.474880636728</v>
      </c>
      <c r="J779">
        <v>0</v>
      </c>
      <c r="K779">
        <v>0</v>
      </c>
      <c r="L779">
        <v>0.69917047091553897</v>
      </c>
    </row>
    <row r="780" spans="1:12" x14ac:dyDescent="0.35">
      <c r="A780">
        <v>2033</v>
      </c>
      <c r="B780" t="s">
        <v>12</v>
      </c>
      <c r="C780" t="s">
        <v>10</v>
      </c>
      <c r="D780" t="s">
        <v>18</v>
      </c>
      <c r="E780" t="s">
        <v>483</v>
      </c>
      <c r="F780" t="s">
        <v>86</v>
      </c>
      <c r="G780">
        <v>47448.642295670557</v>
      </c>
      <c r="H780">
        <v>137096</v>
      </c>
      <c r="I780">
        <v>95853.474880636728</v>
      </c>
      <c r="J780">
        <v>0</v>
      </c>
      <c r="K780">
        <v>0</v>
      </c>
      <c r="L780">
        <v>0.69917047091553897</v>
      </c>
    </row>
    <row r="781" spans="1:12" x14ac:dyDescent="0.35">
      <c r="A781">
        <v>2033</v>
      </c>
      <c r="B781" t="s">
        <v>12</v>
      </c>
      <c r="C781" t="s">
        <v>10</v>
      </c>
      <c r="D781" t="s">
        <v>18</v>
      </c>
      <c r="E781" t="s">
        <v>490</v>
      </c>
      <c r="F781" t="s">
        <v>82</v>
      </c>
      <c r="G781">
        <v>47448.642295670557</v>
      </c>
      <c r="H781">
        <v>137096</v>
      </c>
      <c r="I781">
        <v>95853.474880636728</v>
      </c>
      <c r="J781">
        <v>0</v>
      </c>
      <c r="K781">
        <v>0</v>
      </c>
      <c r="L781">
        <v>0.69917047091553897</v>
      </c>
    </row>
    <row r="782" spans="1:12" x14ac:dyDescent="0.35">
      <c r="A782">
        <v>2033</v>
      </c>
      <c r="B782" t="s">
        <v>11</v>
      </c>
      <c r="C782" t="s">
        <v>4</v>
      </c>
      <c r="D782" t="s">
        <v>16</v>
      </c>
      <c r="E782" t="s">
        <v>483</v>
      </c>
      <c r="F782" t="s">
        <v>80</v>
      </c>
      <c r="G782">
        <v>3811.6436184189829</v>
      </c>
      <c r="H782">
        <v>0</v>
      </c>
      <c r="I782">
        <v>0</v>
      </c>
      <c r="J782">
        <v>6368.1937604378827</v>
      </c>
      <c r="K782">
        <v>3811.6436184189829</v>
      </c>
      <c r="L782">
        <v>0.59854391398996798</v>
      </c>
    </row>
    <row r="783" spans="1:12" x14ac:dyDescent="0.35">
      <c r="A783">
        <v>2033</v>
      </c>
      <c r="B783" t="s">
        <v>11</v>
      </c>
      <c r="C783" t="s">
        <v>4</v>
      </c>
      <c r="D783" t="s">
        <v>16</v>
      </c>
      <c r="E783" t="s">
        <v>483</v>
      </c>
      <c r="F783" t="s">
        <v>81</v>
      </c>
      <c r="G783">
        <v>3811.6436184189829</v>
      </c>
      <c r="H783">
        <v>0</v>
      </c>
      <c r="I783">
        <v>0</v>
      </c>
      <c r="J783">
        <v>6368.1937604378827</v>
      </c>
      <c r="K783">
        <v>3811.6436184189829</v>
      </c>
      <c r="L783">
        <v>0.59854391398996798</v>
      </c>
    </row>
    <row r="784" spans="1:12" x14ac:dyDescent="0.35">
      <c r="A784">
        <v>2033</v>
      </c>
      <c r="B784" t="s">
        <v>11</v>
      </c>
      <c r="C784" t="s">
        <v>4</v>
      </c>
      <c r="D784" t="s">
        <v>18</v>
      </c>
      <c r="E784" t="s">
        <v>483</v>
      </c>
      <c r="F784" t="s">
        <v>85</v>
      </c>
      <c r="G784">
        <v>3811.6436184189829</v>
      </c>
      <c r="H784">
        <v>40.779406961821003</v>
      </c>
      <c r="I784">
        <v>24.408265853118081</v>
      </c>
      <c r="J784">
        <v>6327.4143534760606</v>
      </c>
      <c r="K784">
        <v>3787.235352565865</v>
      </c>
      <c r="L784">
        <v>0.59854391398996798</v>
      </c>
    </row>
    <row r="785" spans="1:12" x14ac:dyDescent="0.35">
      <c r="A785">
        <v>2033</v>
      </c>
      <c r="B785" t="s">
        <v>11</v>
      </c>
      <c r="C785" t="s">
        <v>4</v>
      </c>
      <c r="D785" t="s">
        <v>18</v>
      </c>
      <c r="E785" t="s">
        <v>483</v>
      </c>
      <c r="F785" t="s">
        <v>86</v>
      </c>
      <c r="G785">
        <v>3811.6436184189829</v>
      </c>
      <c r="H785">
        <v>40.779406961821003</v>
      </c>
      <c r="I785">
        <v>24.408265853118081</v>
      </c>
      <c r="J785">
        <v>6327.4143534760606</v>
      </c>
      <c r="K785">
        <v>3787.235352565865</v>
      </c>
      <c r="L785">
        <v>0.59854391398996798</v>
      </c>
    </row>
    <row r="786" spans="1:12" x14ac:dyDescent="0.35">
      <c r="A786">
        <v>2033</v>
      </c>
      <c r="B786" t="s">
        <v>11</v>
      </c>
      <c r="C786" t="s">
        <v>4</v>
      </c>
      <c r="D786" t="s">
        <v>18</v>
      </c>
      <c r="E786" t="s">
        <v>490</v>
      </c>
      <c r="F786" t="s">
        <v>82</v>
      </c>
      <c r="G786">
        <v>3811.6436184189829</v>
      </c>
      <c r="H786">
        <v>40.779406961821003</v>
      </c>
      <c r="I786">
        <v>24.408265853118081</v>
      </c>
      <c r="J786">
        <v>6327.4143534760606</v>
      </c>
      <c r="K786">
        <v>3787.235352565865</v>
      </c>
      <c r="L786">
        <v>0.59854391398996798</v>
      </c>
    </row>
    <row r="787" spans="1:12" x14ac:dyDescent="0.35">
      <c r="A787">
        <v>2033</v>
      </c>
      <c r="B787" t="s">
        <v>11</v>
      </c>
      <c r="C787" t="s">
        <v>9</v>
      </c>
      <c r="D787" t="s">
        <v>16</v>
      </c>
      <c r="E787" t="s">
        <v>483</v>
      </c>
      <c r="F787" t="s">
        <v>80</v>
      </c>
      <c r="G787">
        <v>1273.1494864569349</v>
      </c>
      <c r="H787">
        <v>0</v>
      </c>
      <c r="I787">
        <v>0</v>
      </c>
      <c r="J787">
        <v>2127.0778245324768</v>
      </c>
      <c r="K787">
        <v>1273.1494864569349</v>
      </c>
      <c r="L787">
        <v>0.59854391398996798</v>
      </c>
    </row>
    <row r="788" spans="1:12" x14ac:dyDescent="0.35">
      <c r="A788">
        <v>2033</v>
      </c>
      <c r="B788" t="s">
        <v>11</v>
      </c>
      <c r="C788" t="s">
        <v>9</v>
      </c>
      <c r="D788" t="s">
        <v>16</v>
      </c>
      <c r="E788" t="s">
        <v>483</v>
      </c>
      <c r="F788" t="s">
        <v>81</v>
      </c>
      <c r="G788">
        <v>1273.1494864569349</v>
      </c>
      <c r="H788">
        <v>0</v>
      </c>
      <c r="I788">
        <v>0</v>
      </c>
      <c r="J788">
        <v>2127.0778245324768</v>
      </c>
      <c r="K788">
        <v>1273.1494864569349</v>
      </c>
      <c r="L788">
        <v>0.59854391398996798</v>
      </c>
    </row>
    <row r="789" spans="1:12" x14ac:dyDescent="0.35">
      <c r="A789">
        <v>2033</v>
      </c>
      <c r="B789" t="s">
        <v>11</v>
      </c>
      <c r="C789" t="s">
        <v>9</v>
      </c>
      <c r="D789" t="s">
        <v>18</v>
      </c>
      <c r="E789" t="s">
        <v>483</v>
      </c>
      <c r="F789" t="s">
        <v>85</v>
      </c>
      <c r="G789">
        <v>1273.1494864569349</v>
      </c>
      <c r="H789">
        <v>40.779406961821003</v>
      </c>
      <c r="I789">
        <v>24.408265853118081</v>
      </c>
      <c r="J789">
        <v>2086.2984175706561</v>
      </c>
      <c r="K789">
        <v>1248.7412206038171</v>
      </c>
      <c r="L789">
        <v>0.59854391398996798</v>
      </c>
    </row>
    <row r="790" spans="1:12" x14ac:dyDescent="0.35">
      <c r="A790">
        <v>2033</v>
      </c>
      <c r="B790" t="s">
        <v>11</v>
      </c>
      <c r="C790" t="s">
        <v>9</v>
      </c>
      <c r="D790" t="s">
        <v>18</v>
      </c>
      <c r="E790" t="s">
        <v>483</v>
      </c>
      <c r="F790" t="s">
        <v>86</v>
      </c>
      <c r="G790">
        <v>1273.1494864569349</v>
      </c>
      <c r="H790">
        <v>40.779406961821003</v>
      </c>
      <c r="I790">
        <v>24.408265853118081</v>
      </c>
      <c r="J790">
        <v>2086.2984175706561</v>
      </c>
      <c r="K790">
        <v>1248.7412206038171</v>
      </c>
      <c r="L790">
        <v>0.59854391398996798</v>
      </c>
    </row>
    <row r="791" spans="1:12" x14ac:dyDescent="0.35">
      <c r="A791">
        <v>2033</v>
      </c>
      <c r="B791" t="s">
        <v>11</v>
      </c>
      <c r="C791" t="s">
        <v>9</v>
      </c>
      <c r="D791" t="s">
        <v>18</v>
      </c>
      <c r="E791" t="s">
        <v>490</v>
      </c>
      <c r="F791" t="s">
        <v>82</v>
      </c>
      <c r="G791">
        <v>1273.1494864569349</v>
      </c>
      <c r="H791">
        <v>40.779406961821003</v>
      </c>
      <c r="I791">
        <v>24.408265853118081</v>
      </c>
      <c r="J791">
        <v>2086.2984175706561</v>
      </c>
      <c r="K791">
        <v>1248.7412206038171</v>
      </c>
      <c r="L791">
        <v>0.59854391398996798</v>
      </c>
    </row>
    <row r="792" spans="1:12" x14ac:dyDescent="0.35">
      <c r="A792">
        <v>2033</v>
      </c>
      <c r="B792" t="s">
        <v>11</v>
      </c>
      <c r="C792" t="s">
        <v>10</v>
      </c>
      <c r="D792" t="s">
        <v>16</v>
      </c>
      <c r="E792" t="s">
        <v>483</v>
      </c>
      <c r="F792" t="s">
        <v>80</v>
      </c>
      <c r="G792">
        <v>3651.300473373256</v>
      </c>
      <c r="H792">
        <v>0</v>
      </c>
      <c r="I792">
        <v>0</v>
      </c>
      <c r="J792">
        <v>6100.3050704053339</v>
      </c>
      <c r="K792">
        <v>3651.300473373256</v>
      </c>
      <c r="L792">
        <v>0.59854391398996798</v>
      </c>
    </row>
    <row r="793" spans="1:12" x14ac:dyDescent="0.35">
      <c r="A793">
        <v>2033</v>
      </c>
      <c r="B793" t="s">
        <v>11</v>
      </c>
      <c r="C793" t="s">
        <v>10</v>
      </c>
      <c r="D793" t="s">
        <v>16</v>
      </c>
      <c r="E793" t="s">
        <v>483</v>
      </c>
      <c r="F793" t="s">
        <v>81</v>
      </c>
      <c r="G793">
        <v>3651.300473373256</v>
      </c>
      <c r="H793">
        <v>0</v>
      </c>
      <c r="I793">
        <v>0</v>
      </c>
      <c r="J793">
        <v>6100.3050704053339</v>
      </c>
      <c r="K793">
        <v>3651.300473373256</v>
      </c>
      <c r="L793">
        <v>0.59854391398996798</v>
      </c>
    </row>
    <row r="794" spans="1:12" x14ac:dyDescent="0.35">
      <c r="A794">
        <v>2033</v>
      </c>
      <c r="B794" t="s">
        <v>11</v>
      </c>
      <c r="C794" t="s">
        <v>10</v>
      </c>
      <c r="D794" t="s">
        <v>18</v>
      </c>
      <c r="E794" t="s">
        <v>483</v>
      </c>
      <c r="F794" t="s">
        <v>85</v>
      </c>
      <c r="G794">
        <v>3651.300473373256</v>
      </c>
      <c r="H794">
        <v>40.779406961821003</v>
      </c>
      <c r="I794">
        <v>24.408265853118081</v>
      </c>
      <c r="J794">
        <v>6059.5256634435127</v>
      </c>
      <c r="K794">
        <v>3626.8922075201381</v>
      </c>
      <c r="L794">
        <v>0.59854391398996798</v>
      </c>
    </row>
    <row r="795" spans="1:12" x14ac:dyDescent="0.35">
      <c r="A795">
        <v>2033</v>
      </c>
      <c r="B795" t="s">
        <v>11</v>
      </c>
      <c r="C795" t="s">
        <v>10</v>
      </c>
      <c r="D795" t="s">
        <v>18</v>
      </c>
      <c r="E795" t="s">
        <v>483</v>
      </c>
      <c r="F795" t="s">
        <v>86</v>
      </c>
      <c r="G795">
        <v>3651.300473373256</v>
      </c>
      <c r="H795">
        <v>40.779406961821003</v>
      </c>
      <c r="I795">
        <v>24.408265853118081</v>
      </c>
      <c r="J795">
        <v>6059.5256634435127</v>
      </c>
      <c r="K795">
        <v>3626.8922075201381</v>
      </c>
      <c r="L795">
        <v>0.59854391398996798</v>
      </c>
    </row>
    <row r="796" spans="1:12" x14ac:dyDescent="0.35">
      <c r="A796">
        <v>2033</v>
      </c>
      <c r="B796" t="s">
        <v>11</v>
      </c>
      <c r="C796" t="s">
        <v>10</v>
      </c>
      <c r="D796" t="s">
        <v>18</v>
      </c>
      <c r="E796" t="s">
        <v>490</v>
      </c>
      <c r="F796" t="s">
        <v>82</v>
      </c>
      <c r="G796">
        <v>3651.300473373256</v>
      </c>
      <c r="H796">
        <v>40.779406961821003</v>
      </c>
      <c r="I796">
        <v>24.408265853118081</v>
      </c>
      <c r="J796">
        <v>6059.5256634435127</v>
      </c>
      <c r="K796">
        <v>3626.8922075201381</v>
      </c>
      <c r="L796">
        <v>0.59854391398996798</v>
      </c>
    </row>
    <row r="797" spans="1:12" x14ac:dyDescent="0.35">
      <c r="A797">
        <v>2033</v>
      </c>
      <c r="B797" t="s">
        <v>8</v>
      </c>
      <c r="C797" t="s">
        <v>4</v>
      </c>
      <c r="D797" t="s">
        <v>16</v>
      </c>
      <c r="E797" t="s">
        <v>483</v>
      </c>
      <c r="F797" t="s">
        <v>80</v>
      </c>
      <c r="G797">
        <v>124090.4972141906</v>
      </c>
      <c r="H797">
        <v>0</v>
      </c>
      <c r="I797">
        <v>0</v>
      </c>
      <c r="J797">
        <v>157564.23070054059</v>
      </c>
      <c r="K797">
        <v>124090.4972141906</v>
      </c>
      <c r="L797">
        <v>0.787554996857322</v>
      </c>
    </row>
    <row r="798" spans="1:12" x14ac:dyDescent="0.35">
      <c r="A798">
        <v>2033</v>
      </c>
      <c r="B798" t="s">
        <v>8</v>
      </c>
      <c r="C798" t="s">
        <v>4</v>
      </c>
      <c r="D798" t="s">
        <v>16</v>
      </c>
      <c r="E798" t="s">
        <v>483</v>
      </c>
      <c r="F798" t="s">
        <v>81</v>
      </c>
      <c r="G798">
        <v>124090.4972141906</v>
      </c>
      <c r="H798">
        <v>120288</v>
      </c>
      <c r="I798">
        <v>67467.138598854319</v>
      </c>
      <c r="J798">
        <v>37276.230700540589</v>
      </c>
      <c r="K798">
        <v>56623.358615336278</v>
      </c>
      <c r="L798">
        <v>0.787554996857322</v>
      </c>
    </row>
    <row r="799" spans="1:12" x14ac:dyDescent="0.35">
      <c r="A799">
        <v>2033</v>
      </c>
      <c r="B799" t="s">
        <v>8</v>
      </c>
      <c r="C799" t="s">
        <v>4</v>
      </c>
      <c r="D799" t="s">
        <v>18</v>
      </c>
      <c r="E799" t="s">
        <v>483</v>
      </c>
      <c r="F799" t="s">
        <v>85</v>
      </c>
      <c r="G799">
        <v>124090.4972141906</v>
      </c>
      <c r="H799">
        <v>206578.6229524189</v>
      </c>
      <c r="I799">
        <v>115865.8269011981</v>
      </c>
      <c r="J799">
        <v>0</v>
      </c>
      <c r="K799">
        <v>8224.6703129925299</v>
      </c>
      <c r="L799">
        <v>0.787554996857322</v>
      </c>
    </row>
    <row r="800" spans="1:12" x14ac:dyDescent="0.35">
      <c r="A800">
        <v>2033</v>
      </c>
      <c r="B800" t="s">
        <v>8</v>
      </c>
      <c r="C800" t="s">
        <v>4</v>
      </c>
      <c r="D800" t="s">
        <v>18</v>
      </c>
      <c r="E800" t="s">
        <v>483</v>
      </c>
      <c r="F800" t="s">
        <v>86</v>
      </c>
      <c r="G800">
        <v>124090.4972141906</v>
      </c>
      <c r="H800">
        <v>206578.6229524189</v>
      </c>
      <c r="I800">
        <v>115865.8269011981</v>
      </c>
      <c r="J800">
        <v>0</v>
      </c>
      <c r="K800">
        <v>8224.6703129925299</v>
      </c>
      <c r="L800">
        <v>0.787554996857322</v>
      </c>
    </row>
    <row r="801" spans="1:12" x14ac:dyDescent="0.35">
      <c r="A801">
        <v>2033</v>
      </c>
      <c r="B801" t="s">
        <v>8</v>
      </c>
      <c r="C801" t="s">
        <v>4</v>
      </c>
      <c r="D801" t="s">
        <v>18</v>
      </c>
      <c r="E801" t="s">
        <v>490</v>
      </c>
      <c r="F801" t="s">
        <v>82</v>
      </c>
      <c r="G801">
        <v>124090.4972141906</v>
      </c>
      <c r="H801">
        <v>206578.6229524189</v>
      </c>
      <c r="I801">
        <v>162692.0267500823</v>
      </c>
      <c r="J801">
        <v>0</v>
      </c>
      <c r="K801">
        <v>0</v>
      </c>
      <c r="L801">
        <v>0.787554996857322</v>
      </c>
    </row>
    <row r="802" spans="1:12" x14ac:dyDescent="0.35">
      <c r="A802">
        <v>2033</v>
      </c>
      <c r="B802" t="s">
        <v>8</v>
      </c>
      <c r="C802" t="s">
        <v>9</v>
      </c>
      <c r="D802" t="s">
        <v>16</v>
      </c>
      <c r="E802" t="s">
        <v>483</v>
      </c>
      <c r="F802" t="s">
        <v>80</v>
      </c>
      <c r="G802">
        <v>53307.585959490927</v>
      </c>
      <c r="H802">
        <v>0</v>
      </c>
      <c r="I802">
        <v>0</v>
      </c>
      <c r="J802">
        <v>67687.445539944223</v>
      </c>
      <c r="K802">
        <v>53307.585959490927</v>
      </c>
      <c r="L802">
        <v>0.787554996857322</v>
      </c>
    </row>
    <row r="803" spans="1:12" x14ac:dyDescent="0.35">
      <c r="A803">
        <v>2033</v>
      </c>
      <c r="B803" t="s">
        <v>8</v>
      </c>
      <c r="C803" t="s">
        <v>9</v>
      </c>
      <c r="D803" t="s">
        <v>16</v>
      </c>
      <c r="E803" t="s">
        <v>483</v>
      </c>
      <c r="F803" t="s">
        <v>81</v>
      </c>
      <c r="G803">
        <v>53307.585959490927</v>
      </c>
      <c r="H803">
        <v>120288</v>
      </c>
      <c r="I803">
        <v>67467.138598854319</v>
      </c>
      <c r="J803">
        <v>0</v>
      </c>
      <c r="K803">
        <v>0</v>
      </c>
      <c r="L803">
        <v>0.787554996857322</v>
      </c>
    </row>
    <row r="804" spans="1:12" x14ac:dyDescent="0.35">
      <c r="A804">
        <v>2033</v>
      </c>
      <c r="B804" t="s">
        <v>8</v>
      </c>
      <c r="C804" t="s">
        <v>9</v>
      </c>
      <c r="D804" t="s">
        <v>18</v>
      </c>
      <c r="E804" t="s">
        <v>483</v>
      </c>
      <c r="F804" t="s">
        <v>85</v>
      </c>
      <c r="G804">
        <v>53307.585959490927</v>
      </c>
      <c r="H804">
        <v>206578.6229524189</v>
      </c>
      <c r="I804">
        <v>115865.8269011981</v>
      </c>
      <c r="J804">
        <v>0</v>
      </c>
      <c r="K804">
        <v>0</v>
      </c>
      <c r="L804">
        <v>0.787554996857322</v>
      </c>
    </row>
    <row r="805" spans="1:12" x14ac:dyDescent="0.35">
      <c r="A805">
        <v>2033</v>
      </c>
      <c r="B805" t="s">
        <v>8</v>
      </c>
      <c r="C805" t="s">
        <v>9</v>
      </c>
      <c r="D805" t="s">
        <v>18</v>
      </c>
      <c r="E805" t="s">
        <v>483</v>
      </c>
      <c r="F805" t="s">
        <v>86</v>
      </c>
      <c r="G805">
        <v>53307.585959490927</v>
      </c>
      <c r="H805">
        <v>206578.6229524189</v>
      </c>
      <c r="I805">
        <v>115865.8269011981</v>
      </c>
      <c r="J805">
        <v>0</v>
      </c>
      <c r="K805">
        <v>0</v>
      </c>
      <c r="L805">
        <v>0.787554996857322</v>
      </c>
    </row>
    <row r="806" spans="1:12" x14ac:dyDescent="0.35">
      <c r="A806">
        <v>2033</v>
      </c>
      <c r="B806" t="s">
        <v>8</v>
      </c>
      <c r="C806" t="s">
        <v>9</v>
      </c>
      <c r="D806" t="s">
        <v>18</v>
      </c>
      <c r="E806" t="s">
        <v>490</v>
      </c>
      <c r="F806" t="s">
        <v>82</v>
      </c>
      <c r="G806">
        <v>53307.585959490927</v>
      </c>
      <c r="H806">
        <v>206578.6229524189</v>
      </c>
      <c r="I806">
        <v>162692.0267500823</v>
      </c>
      <c r="J806">
        <v>0</v>
      </c>
      <c r="K806">
        <v>0</v>
      </c>
      <c r="L806">
        <v>0.787554996857322</v>
      </c>
    </row>
    <row r="807" spans="1:12" x14ac:dyDescent="0.35">
      <c r="A807">
        <v>2033</v>
      </c>
      <c r="B807" t="s">
        <v>8</v>
      </c>
      <c r="C807" t="s">
        <v>10</v>
      </c>
      <c r="D807" t="s">
        <v>16</v>
      </c>
      <c r="E807" t="s">
        <v>483</v>
      </c>
      <c r="F807" t="s">
        <v>80</v>
      </c>
      <c r="G807">
        <v>118786.33724341739</v>
      </c>
      <c r="H807">
        <v>0</v>
      </c>
      <c r="I807">
        <v>0</v>
      </c>
      <c r="J807">
        <v>150829.25981985411</v>
      </c>
      <c r="K807">
        <v>118786.33724341739</v>
      </c>
      <c r="L807">
        <v>0.787554996857322</v>
      </c>
    </row>
    <row r="808" spans="1:12" x14ac:dyDescent="0.35">
      <c r="A808">
        <v>2033</v>
      </c>
      <c r="B808" t="s">
        <v>8</v>
      </c>
      <c r="C808" t="s">
        <v>10</v>
      </c>
      <c r="D808" t="s">
        <v>16</v>
      </c>
      <c r="E808" t="s">
        <v>483</v>
      </c>
      <c r="F808" t="s">
        <v>81</v>
      </c>
      <c r="G808">
        <v>118786.33724341739</v>
      </c>
      <c r="H808">
        <v>120288</v>
      </c>
      <c r="I808">
        <v>67467.138598854319</v>
      </c>
      <c r="J808">
        <v>30541.25981985408</v>
      </c>
      <c r="K808">
        <v>51319.198644563083</v>
      </c>
      <c r="L808">
        <v>0.787554996857322</v>
      </c>
    </row>
    <row r="809" spans="1:12" x14ac:dyDescent="0.35">
      <c r="A809">
        <v>2033</v>
      </c>
      <c r="B809" t="s">
        <v>8</v>
      </c>
      <c r="C809" t="s">
        <v>10</v>
      </c>
      <c r="D809" t="s">
        <v>18</v>
      </c>
      <c r="E809" t="s">
        <v>483</v>
      </c>
      <c r="F809" t="s">
        <v>85</v>
      </c>
      <c r="G809">
        <v>118786.33724341739</v>
      </c>
      <c r="H809">
        <v>206578.6229524189</v>
      </c>
      <c r="I809">
        <v>115865.8269011981</v>
      </c>
      <c r="J809">
        <v>0</v>
      </c>
      <c r="K809">
        <v>2920.510342219321</v>
      </c>
      <c r="L809">
        <v>0.787554996857322</v>
      </c>
    </row>
    <row r="810" spans="1:12" x14ac:dyDescent="0.35">
      <c r="A810">
        <v>2033</v>
      </c>
      <c r="B810" t="s">
        <v>8</v>
      </c>
      <c r="C810" t="s">
        <v>10</v>
      </c>
      <c r="D810" t="s">
        <v>18</v>
      </c>
      <c r="E810" t="s">
        <v>483</v>
      </c>
      <c r="F810" t="s">
        <v>86</v>
      </c>
      <c r="G810">
        <v>118786.33724341739</v>
      </c>
      <c r="H810">
        <v>206578.6229524189</v>
      </c>
      <c r="I810">
        <v>115865.8269011981</v>
      </c>
      <c r="J810">
        <v>0</v>
      </c>
      <c r="K810">
        <v>2920.510342219321</v>
      </c>
      <c r="L810">
        <v>0.787554996857322</v>
      </c>
    </row>
    <row r="811" spans="1:12" x14ac:dyDescent="0.35">
      <c r="A811">
        <v>2033</v>
      </c>
      <c r="B811" t="s">
        <v>8</v>
      </c>
      <c r="C811" t="s">
        <v>10</v>
      </c>
      <c r="D811" t="s">
        <v>18</v>
      </c>
      <c r="E811" t="s">
        <v>490</v>
      </c>
      <c r="F811" t="s">
        <v>82</v>
      </c>
      <c r="G811">
        <v>118786.33724341739</v>
      </c>
      <c r="H811">
        <v>206578.6229524189</v>
      </c>
      <c r="I811">
        <v>162692.0267500823</v>
      </c>
      <c r="J811">
        <v>0</v>
      </c>
      <c r="K811">
        <v>0</v>
      </c>
      <c r="L811">
        <v>0.787554996857322</v>
      </c>
    </row>
    <row r="812" spans="1:12" x14ac:dyDescent="0.35">
      <c r="A812">
        <v>2034</v>
      </c>
      <c r="B812" t="s">
        <v>6</v>
      </c>
      <c r="C812" t="s">
        <v>4</v>
      </c>
      <c r="D812" t="s">
        <v>16</v>
      </c>
      <c r="E812" t="s">
        <v>483</v>
      </c>
      <c r="F812" t="s">
        <v>80</v>
      </c>
      <c r="G812">
        <v>132521.50263586891</v>
      </c>
      <c r="H812">
        <v>0</v>
      </c>
      <c r="I812">
        <v>0</v>
      </c>
      <c r="J812">
        <v>301633.18206130399</v>
      </c>
      <c r="K812">
        <v>132521.50263586891</v>
      </c>
      <c r="L812">
        <v>0.439346565686978</v>
      </c>
    </row>
    <row r="813" spans="1:12" x14ac:dyDescent="0.35">
      <c r="A813">
        <v>2034</v>
      </c>
      <c r="B813" t="s">
        <v>6</v>
      </c>
      <c r="C813" t="s">
        <v>4</v>
      </c>
      <c r="D813" t="s">
        <v>16</v>
      </c>
      <c r="E813" t="s">
        <v>483</v>
      </c>
      <c r="F813" t="s">
        <v>81</v>
      </c>
      <c r="G813">
        <v>132521.50263586891</v>
      </c>
      <c r="H813">
        <v>3079</v>
      </c>
      <c r="I813">
        <v>1306.05584956232</v>
      </c>
      <c r="J813">
        <v>298554.18206130399</v>
      </c>
      <c r="K813">
        <v>131215.44678630659</v>
      </c>
      <c r="L813">
        <v>0.439346565686978</v>
      </c>
    </row>
    <row r="814" spans="1:12" x14ac:dyDescent="0.35">
      <c r="A814">
        <v>2034</v>
      </c>
      <c r="B814" t="s">
        <v>6</v>
      </c>
      <c r="C814" t="s">
        <v>4</v>
      </c>
      <c r="D814" t="s">
        <v>18</v>
      </c>
      <c r="E814" t="s">
        <v>483</v>
      </c>
      <c r="F814" t="s">
        <v>85</v>
      </c>
      <c r="G814">
        <v>132521.50263586891</v>
      </c>
      <c r="H814">
        <v>13476.53921289199</v>
      </c>
      <c r="I814">
        <v>5716.5030434730606</v>
      </c>
      <c r="J814">
        <v>288156.64284841198</v>
      </c>
      <c r="K814">
        <v>126804.9995923958</v>
      </c>
      <c r="L814">
        <v>0.439346565686978</v>
      </c>
    </row>
    <row r="815" spans="1:12" x14ac:dyDescent="0.35">
      <c r="A815">
        <v>2034</v>
      </c>
      <c r="B815" t="s">
        <v>6</v>
      </c>
      <c r="C815" t="s">
        <v>4</v>
      </c>
      <c r="D815" t="s">
        <v>18</v>
      </c>
      <c r="E815" t="s">
        <v>483</v>
      </c>
      <c r="F815" t="s">
        <v>86</v>
      </c>
      <c r="G815">
        <v>132521.50263586891</v>
      </c>
      <c r="H815">
        <v>13476.53921289199</v>
      </c>
      <c r="I815">
        <v>5716.5030434730606</v>
      </c>
      <c r="J815">
        <v>288156.64284841198</v>
      </c>
      <c r="K815">
        <v>126804.9995923958</v>
      </c>
      <c r="L815">
        <v>0.439346565686978</v>
      </c>
    </row>
    <row r="816" spans="1:12" x14ac:dyDescent="0.35">
      <c r="A816">
        <v>2034</v>
      </c>
      <c r="B816" t="s">
        <v>6</v>
      </c>
      <c r="C816" t="s">
        <v>4</v>
      </c>
      <c r="D816" t="s">
        <v>18</v>
      </c>
      <c r="E816" t="s">
        <v>490</v>
      </c>
      <c r="F816" t="s">
        <v>82</v>
      </c>
      <c r="G816">
        <v>132521.50263586891</v>
      </c>
      <c r="H816">
        <v>13476.53921289199</v>
      </c>
      <c r="I816">
        <v>5920.8712205299889</v>
      </c>
      <c r="J816">
        <v>288156.64284841198</v>
      </c>
      <c r="K816">
        <v>126600.6314153389</v>
      </c>
      <c r="L816">
        <v>0.439346565686978</v>
      </c>
    </row>
    <row r="817" spans="1:12" x14ac:dyDescent="0.35">
      <c r="A817">
        <v>2034</v>
      </c>
      <c r="B817" t="s">
        <v>6</v>
      </c>
      <c r="C817" t="s">
        <v>9</v>
      </c>
      <c r="D817" t="s">
        <v>16</v>
      </c>
      <c r="E817" t="s">
        <v>483</v>
      </c>
      <c r="F817" t="s">
        <v>80</v>
      </c>
      <c r="G817">
        <v>51454.423936662723</v>
      </c>
      <c r="H817">
        <v>0</v>
      </c>
      <c r="I817">
        <v>0</v>
      </c>
      <c r="J817">
        <v>117115.79867753549</v>
      </c>
      <c r="K817">
        <v>51454.423936662723</v>
      </c>
      <c r="L817">
        <v>0.439346565686978</v>
      </c>
    </row>
    <row r="818" spans="1:12" x14ac:dyDescent="0.35">
      <c r="A818">
        <v>2034</v>
      </c>
      <c r="B818" t="s">
        <v>6</v>
      </c>
      <c r="C818" t="s">
        <v>9</v>
      </c>
      <c r="D818" t="s">
        <v>16</v>
      </c>
      <c r="E818" t="s">
        <v>483</v>
      </c>
      <c r="F818" t="s">
        <v>81</v>
      </c>
      <c r="G818">
        <v>51454.423936662723</v>
      </c>
      <c r="H818">
        <v>3079</v>
      </c>
      <c r="I818">
        <v>1306.05584956232</v>
      </c>
      <c r="J818">
        <v>114036.79867753549</v>
      </c>
      <c r="K818">
        <v>50148.368087100403</v>
      </c>
      <c r="L818">
        <v>0.439346565686978</v>
      </c>
    </row>
    <row r="819" spans="1:12" x14ac:dyDescent="0.35">
      <c r="A819">
        <v>2034</v>
      </c>
      <c r="B819" t="s">
        <v>6</v>
      </c>
      <c r="C819" t="s">
        <v>9</v>
      </c>
      <c r="D819" t="s">
        <v>18</v>
      </c>
      <c r="E819" t="s">
        <v>483</v>
      </c>
      <c r="F819" t="s">
        <v>85</v>
      </c>
      <c r="G819">
        <v>51454.423936662723</v>
      </c>
      <c r="H819">
        <v>13476.53921289199</v>
      </c>
      <c r="I819">
        <v>5716.5030434730606</v>
      </c>
      <c r="J819">
        <v>103639.2594646435</v>
      </c>
      <c r="K819">
        <v>45737.920893189657</v>
      </c>
      <c r="L819">
        <v>0.439346565686978</v>
      </c>
    </row>
    <row r="820" spans="1:12" x14ac:dyDescent="0.35">
      <c r="A820">
        <v>2034</v>
      </c>
      <c r="B820" t="s">
        <v>6</v>
      </c>
      <c r="C820" t="s">
        <v>9</v>
      </c>
      <c r="D820" t="s">
        <v>18</v>
      </c>
      <c r="E820" t="s">
        <v>483</v>
      </c>
      <c r="F820" t="s">
        <v>86</v>
      </c>
      <c r="G820">
        <v>51454.423936662723</v>
      </c>
      <c r="H820">
        <v>13476.53921289199</v>
      </c>
      <c r="I820">
        <v>5716.5030434730606</v>
      </c>
      <c r="J820">
        <v>103639.2594646435</v>
      </c>
      <c r="K820">
        <v>45737.920893189657</v>
      </c>
      <c r="L820">
        <v>0.439346565686978</v>
      </c>
    </row>
    <row r="821" spans="1:12" x14ac:dyDescent="0.35">
      <c r="A821">
        <v>2034</v>
      </c>
      <c r="B821" t="s">
        <v>6</v>
      </c>
      <c r="C821" t="s">
        <v>9</v>
      </c>
      <c r="D821" t="s">
        <v>18</v>
      </c>
      <c r="E821" t="s">
        <v>490</v>
      </c>
      <c r="F821" t="s">
        <v>82</v>
      </c>
      <c r="G821">
        <v>51454.423936662723</v>
      </c>
      <c r="H821">
        <v>13476.53921289199</v>
      </c>
      <c r="I821">
        <v>5920.8712205299889</v>
      </c>
      <c r="J821">
        <v>103639.2594646435</v>
      </c>
      <c r="K821">
        <v>45533.552716132734</v>
      </c>
      <c r="L821">
        <v>0.439346565686978</v>
      </c>
    </row>
    <row r="822" spans="1:12" x14ac:dyDescent="0.35">
      <c r="A822">
        <v>2034</v>
      </c>
      <c r="B822" t="s">
        <v>6</v>
      </c>
      <c r="C822" t="s">
        <v>10</v>
      </c>
      <c r="D822" t="s">
        <v>16</v>
      </c>
      <c r="E822" t="s">
        <v>483</v>
      </c>
      <c r="F822" t="s">
        <v>80</v>
      </c>
      <c r="G822">
        <v>125925.583305996</v>
      </c>
      <c r="H822">
        <v>0</v>
      </c>
      <c r="I822">
        <v>0</v>
      </c>
      <c r="J822">
        <v>286620.16080424859</v>
      </c>
      <c r="K822">
        <v>125925.583305996</v>
      </c>
      <c r="L822">
        <v>0.439346565686978</v>
      </c>
    </row>
    <row r="823" spans="1:12" x14ac:dyDescent="0.35">
      <c r="A823">
        <v>2034</v>
      </c>
      <c r="B823" t="s">
        <v>6</v>
      </c>
      <c r="C823" t="s">
        <v>10</v>
      </c>
      <c r="D823" t="s">
        <v>16</v>
      </c>
      <c r="E823" t="s">
        <v>483</v>
      </c>
      <c r="F823" t="s">
        <v>81</v>
      </c>
      <c r="G823">
        <v>125925.583305996</v>
      </c>
      <c r="H823">
        <v>3079</v>
      </c>
      <c r="I823">
        <v>1306.05584956232</v>
      </c>
      <c r="J823">
        <v>283541.16080424859</v>
      </c>
      <c r="K823">
        <v>124619.5274564337</v>
      </c>
      <c r="L823">
        <v>0.439346565686978</v>
      </c>
    </row>
    <row r="824" spans="1:12" x14ac:dyDescent="0.35">
      <c r="A824">
        <v>2034</v>
      </c>
      <c r="B824" t="s">
        <v>6</v>
      </c>
      <c r="C824" t="s">
        <v>10</v>
      </c>
      <c r="D824" t="s">
        <v>18</v>
      </c>
      <c r="E824" t="s">
        <v>483</v>
      </c>
      <c r="F824" t="s">
        <v>85</v>
      </c>
      <c r="G824">
        <v>125925.583305996</v>
      </c>
      <c r="H824">
        <v>13476.53921289199</v>
      </c>
      <c r="I824">
        <v>5716.5030434730606</v>
      </c>
      <c r="J824">
        <v>273143.62159135658</v>
      </c>
      <c r="K824">
        <v>120209.0802625229</v>
      </c>
      <c r="L824">
        <v>0.439346565686978</v>
      </c>
    </row>
    <row r="825" spans="1:12" x14ac:dyDescent="0.35">
      <c r="A825">
        <v>2034</v>
      </c>
      <c r="B825" t="s">
        <v>6</v>
      </c>
      <c r="C825" t="s">
        <v>10</v>
      </c>
      <c r="D825" t="s">
        <v>18</v>
      </c>
      <c r="E825" t="s">
        <v>483</v>
      </c>
      <c r="F825" t="s">
        <v>86</v>
      </c>
      <c r="G825">
        <v>125925.583305996</v>
      </c>
      <c r="H825">
        <v>13476.53921289199</v>
      </c>
      <c r="I825">
        <v>5716.5030434730606</v>
      </c>
      <c r="J825">
        <v>273143.62159135658</v>
      </c>
      <c r="K825">
        <v>120209.0802625229</v>
      </c>
      <c r="L825">
        <v>0.439346565686978</v>
      </c>
    </row>
    <row r="826" spans="1:12" x14ac:dyDescent="0.35">
      <c r="A826">
        <v>2034</v>
      </c>
      <c r="B826" t="s">
        <v>6</v>
      </c>
      <c r="C826" t="s">
        <v>10</v>
      </c>
      <c r="D826" t="s">
        <v>18</v>
      </c>
      <c r="E826" t="s">
        <v>490</v>
      </c>
      <c r="F826" t="s">
        <v>82</v>
      </c>
      <c r="G826">
        <v>125925.583305996</v>
      </c>
      <c r="H826">
        <v>13476.53921289199</v>
      </c>
      <c r="I826">
        <v>5920.8712205299889</v>
      </c>
      <c r="J826">
        <v>273143.62159135658</v>
      </c>
      <c r="K826">
        <v>120004.712085466</v>
      </c>
      <c r="L826">
        <v>0.439346565686978</v>
      </c>
    </row>
    <row r="827" spans="1:12" x14ac:dyDescent="0.35">
      <c r="A827">
        <v>2034</v>
      </c>
      <c r="B827" t="s">
        <v>7</v>
      </c>
      <c r="C827" t="s">
        <v>4</v>
      </c>
      <c r="D827" t="s">
        <v>16</v>
      </c>
      <c r="E827" t="s">
        <v>483</v>
      </c>
      <c r="F827" t="s">
        <v>80</v>
      </c>
      <c r="G827">
        <v>1323318.734939687</v>
      </c>
      <c r="H827">
        <v>0</v>
      </c>
      <c r="I827">
        <v>0</v>
      </c>
      <c r="J827">
        <v>1585295.5403338389</v>
      </c>
      <c r="K827">
        <v>1323318.734939687</v>
      </c>
      <c r="L827">
        <v>0.83474576271186396</v>
      </c>
    </row>
    <row r="828" spans="1:12" x14ac:dyDescent="0.35">
      <c r="A828">
        <v>2034</v>
      </c>
      <c r="B828" t="s">
        <v>7</v>
      </c>
      <c r="C828" t="s">
        <v>4</v>
      </c>
      <c r="D828" t="s">
        <v>16</v>
      </c>
      <c r="E828" t="s">
        <v>483</v>
      </c>
      <c r="F828" t="s">
        <v>81</v>
      </c>
      <c r="G828">
        <v>1323318.734939687</v>
      </c>
      <c r="H828">
        <v>265778</v>
      </c>
      <c r="I828">
        <v>139695.22574164809</v>
      </c>
      <c r="J828">
        <v>1319517.5403338389</v>
      </c>
      <c r="K828">
        <v>1183623.5091980391</v>
      </c>
      <c r="L828">
        <v>0.83474576271186396</v>
      </c>
    </row>
    <row r="829" spans="1:12" x14ac:dyDescent="0.35">
      <c r="A829">
        <v>2034</v>
      </c>
      <c r="B829" t="s">
        <v>7</v>
      </c>
      <c r="C829" t="s">
        <v>4</v>
      </c>
      <c r="D829" t="s">
        <v>18</v>
      </c>
      <c r="E829" t="s">
        <v>483</v>
      </c>
      <c r="F829" t="s">
        <v>85</v>
      </c>
      <c r="G829">
        <v>1323318.734939687</v>
      </c>
      <c r="H829">
        <v>837829.44631390914</v>
      </c>
      <c r="I829">
        <v>440370.43561100482</v>
      </c>
      <c r="J829">
        <v>747466.09401992999</v>
      </c>
      <c r="K829">
        <v>882948.29932868225</v>
      </c>
      <c r="L829">
        <v>0.83474576271186396</v>
      </c>
    </row>
    <row r="830" spans="1:12" x14ac:dyDescent="0.35">
      <c r="A830">
        <v>2034</v>
      </c>
      <c r="B830" t="s">
        <v>7</v>
      </c>
      <c r="C830" t="s">
        <v>4</v>
      </c>
      <c r="D830" t="s">
        <v>18</v>
      </c>
      <c r="E830" t="s">
        <v>483</v>
      </c>
      <c r="F830" t="s">
        <v>86</v>
      </c>
      <c r="G830">
        <v>1323318.734939687</v>
      </c>
      <c r="H830">
        <v>837829.44631390914</v>
      </c>
      <c r="I830">
        <v>440370.43561100482</v>
      </c>
      <c r="J830">
        <v>747466.09401992999</v>
      </c>
      <c r="K830">
        <v>882948.29932868225</v>
      </c>
      <c r="L830">
        <v>0.83474576271186396</v>
      </c>
    </row>
    <row r="831" spans="1:12" x14ac:dyDescent="0.35">
      <c r="A831">
        <v>2034</v>
      </c>
      <c r="B831" t="s">
        <v>7</v>
      </c>
      <c r="C831" t="s">
        <v>4</v>
      </c>
      <c r="D831" t="s">
        <v>18</v>
      </c>
      <c r="E831" t="s">
        <v>490</v>
      </c>
      <c r="F831" t="s">
        <v>82</v>
      </c>
      <c r="G831">
        <v>1323318.734939687</v>
      </c>
      <c r="H831">
        <v>837829.44631390914</v>
      </c>
      <c r="I831">
        <v>699374.58018576319</v>
      </c>
      <c r="J831">
        <v>747466.09401992999</v>
      </c>
      <c r="K831">
        <v>623944.15475392377</v>
      </c>
      <c r="L831">
        <v>0.83474576271186396</v>
      </c>
    </row>
    <row r="832" spans="1:12" x14ac:dyDescent="0.35">
      <c r="A832">
        <v>2034</v>
      </c>
      <c r="B832" t="s">
        <v>7</v>
      </c>
      <c r="C832" t="s">
        <v>9</v>
      </c>
      <c r="D832" t="s">
        <v>16</v>
      </c>
      <c r="E832" t="s">
        <v>483</v>
      </c>
      <c r="F832" t="s">
        <v>80</v>
      </c>
      <c r="G832">
        <v>1047087.032620052</v>
      </c>
      <c r="H832">
        <v>0</v>
      </c>
      <c r="I832">
        <v>0</v>
      </c>
      <c r="J832">
        <v>1254378.3741032099</v>
      </c>
      <c r="K832">
        <v>1047087.032620052</v>
      </c>
      <c r="L832">
        <v>0.83474576271186396</v>
      </c>
    </row>
    <row r="833" spans="1:12" x14ac:dyDescent="0.35">
      <c r="A833">
        <v>2034</v>
      </c>
      <c r="B833" t="s">
        <v>7</v>
      </c>
      <c r="C833" t="s">
        <v>9</v>
      </c>
      <c r="D833" t="s">
        <v>16</v>
      </c>
      <c r="E833" t="s">
        <v>483</v>
      </c>
      <c r="F833" t="s">
        <v>81</v>
      </c>
      <c r="G833">
        <v>1047087.032620052</v>
      </c>
      <c r="H833">
        <v>265778</v>
      </c>
      <c r="I833">
        <v>139695.22574164809</v>
      </c>
      <c r="J833">
        <v>988600.37410321017</v>
      </c>
      <c r="K833">
        <v>907391.80687840388</v>
      </c>
      <c r="L833">
        <v>0.83474576271186396</v>
      </c>
    </row>
    <row r="834" spans="1:12" x14ac:dyDescent="0.35">
      <c r="A834">
        <v>2034</v>
      </c>
      <c r="B834" t="s">
        <v>7</v>
      </c>
      <c r="C834" t="s">
        <v>9</v>
      </c>
      <c r="D834" t="s">
        <v>18</v>
      </c>
      <c r="E834" t="s">
        <v>483</v>
      </c>
      <c r="F834" t="s">
        <v>85</v>
      </c>
      <c r="G834">
        <v>1047087.032620052</v>
      </c>
      <c r="H834">
        <v>837829.44631390914</v>
      </c>
      <c r="I834">
        <v>440370.43561100482</v>
      </c>
      <c r="J834">
        <v>416548.92778930097</v>
      </c>
      <c r="K834">
        <v>606716.59700904717</v>
      </c>
      <c r="L834">
        <v>0.83474576271186396</v>
      </c>
    </row>
    <row r="835" spans="1:12" x14ac:dyDescent="0.35">
      <c r="A835">
        <v>2034</v>
      </c>
      <c r="B835" t="s">
        <v>7</v>
      </c>
      <c r="C835" t="s">
        <v>9</v>
      </c>
      <c r="D835" t="s">
        <v>18</v>
      </c>
      <c r="E835" t="s">
        <v>483</v>
      </c>
      <c r="F835" t="s">
        <v>86</v>
      </c>
      <c r="G835">
        <v>1047087.032620052</v>
      </c>
      <c r="H835">
        <v>837829.44631390914</v>
      </c>
      <c r="I835">
        <v>440370.43561100482</v>
      </c>
      <c r="J835">
        <v>416548.92778930097</v>
      </c>
      <c r="K835">
        <v>606716.59700904717</v>
      </c>
      <c r="L835">
        <v>0.83474576271186396</v>
      </c>
    </row>
    <row r="836" spans="1:12" x14ac:dyDescent="0.35">
      <c r="A836">
        <v>2034</v>
      </c>
      <c r="B836" t="s">
        <v>7</v>
      </c>
      <c r="C836" t="s">
        <v>9</v>
      </c>
      <c r="D836" t="s">
        <v>18</v>
      </c>
      <c r="E836" t="s">
        <v>490</v>
      </c>
      <c r="F836" t="s">
        <v>82</v>
      </c>
      <c r="G836">
        <v>1047087.032620052</v>
      </c>
      <c r="H836">
        <v>837829.44631390914</v>
      </c>
      <c r="I836">
        <v>699374.58018576319</v>
      </c>
      <c r="J836">
        <v>416548.92778930097</v>
      </c>
      <c r="K836">
        <v>347712.4524342888</v>
      </c>
      <c r="L836">
        <v>0.83474576271186396</v>
      </c>
    </row>
    <row r="837" spans="1:12" x14ac:dyDescent="0.35">
      <c r="A837">
        <v>2034</v>
      </c>
      <c r="B837" t="s">
        <v>7</v>
      </c>
      <c r="C837" t="s">
        <v>10</v>
      </c>
      <c r="D837" t="s">
        <v>16</v>
      </c>
      <c r="E837" t="s">
        <v>483</v>
      </c>
      <c r="F837" t="s">
        <v>80</v>
      </c>
      <c r="G837">
        <v>1272164.6516711509</v>
      </c>
      <c r="H837">
        <v>0</v>
      </c>
      <c r="I837">
        <v>0</v>
      </c>
      <c r="J837">
        <v>1524014.5065705171</v>
      </c>
      <c r="K837">
        <v>1272164.6516711509</v>
      </c>
      <c r="L837">
        <v>0.83474576271186396</v>
      </c>
    </row>
    <row r="838" spans="1:12" x14ac:dyDescent="0.35">
      <c r="A838">
        <v>2034</v>
      </c>
      <c r="B838" t="s">
        <v>7</v>
      </c>
      <c r="C838" t="s">
        <v>10</v>
      </c>
      <c r="D838" t="s">
        <v>16</v>
      </c>
      <c r="E838" t="s">
        <v>483</v>
      </c>
      <c r="F838" t="s">
        <v>81</v>
      </c>
      <c r="G838">
        <v>1272164.6516711509</v>
      </c>
      <c r="H838">
        <v>265778</v>
      </c>
      <c r="I838">
        <v>139695.22574164809</v>
      </c>
      <c r="J838">
        <v>1258236.5065705171</v>
      </c>
      <c r="K838">
        <v>1132469.425929503</v>
      </c>
      <c r="L838">
        <v>0.83474576271186396</v>
      </c>
    </row>
    <row r="839" spans="1:12" x14ac:dyDescent="0.35">
      <c r="A839">
        <v>2034</v>
      </c>
      <c r="B839" t="s">
        <v>7</v>
      </c>
      <c r="C839" t="s">
        <v>10</v>
      </c>
      <c r="D839" t="s">
        <v>18</v>
      </c>
      <c r="E839" t="s">
        <v>483</v>
      </c>
      <c r="F839" t="s">
        <v>85</v>
      </c>
      <c r="G839">
        <v>1272164.6516711509</v>
      </c>
      <c r="H839">
        <v>837829.44631390914</v>
      </c>
      <c r="I839">
        <v>440370.43561100482</v>
      </c>
      <c r="J839">
        <v>686185.06025660748</v>
      </c>
      <c r="K839">
        <v>831794.21606014622</v>
      </c>
      <c r="L839">
        <v>0.83474576271186396</v>
      </c>
    </row>
    <row r="840" spans="1:12" x14ac:dyDescent="0.35">
      <c r="A840">
        <v>2034</v>
      </c>
      <c r="B840" t="s">
        <v>7</v>
      </c>
      <c r="C840" t="s">
        <v>10</v>
      </c>
      <c r="D840" t="s">
        <v>18</v>
      </c>
      <c r="E840" t="s">
        <v>483</v>
      </c>
      <c r="F840" t="s">
        <v>86</v>
      </c>
      <c r="G840">
        <v>1272164.6516711509</v>
      </c>
      <c r="H840">
        <v>837829.44631390914</v>
      </c>
      <c r="I840">
        <v>440370.43561100482</v>
      </c>
      <c r="J840">
        <v>686185.06025660748</v>
      </c>
      <c r="K840">
        <v>831794.21606014622</v>
      </c>
      <c r="L840">
        <v>0.83474576271186396</v>
      </c>
    </row>
    <row r="841" spans="1:12" x14ac:dyDescent="0.35">
      <c r="A841">
        <v>2034</v>
      </c>
      <c r="B841" t="s">
        <v>7</v>
      </c>
      <c r="C841" t="s">
        <v>10</v>
      </c>
      <c r="D841" t="s">
        <v>18</v>
      </c>
      <c r="E841" t="s">
        <v>490</v>
      </c>
      <c r="F841" t="s">
        <v>82</v>
      </c>
      <c r="G841">
        <v>1272164.6516711509</v>
      </c>
      <c r="H841">
        <v>837829.44631390914</v>
      </c>
      <c r="I841">
        <v>699374.58018576319</v>
      </c>
      <c r="J841">
        <v>686185.06025660748</v>
      </c>
      <c r="K841">
        <v>572790.07148538774</v>
      </c>
      <c r="L841">
        <v>0.83474576271186396</v>
      </c>
    </row>
    <row r="842" spans="1:12" x14ac:dyDescent="0.35">
      <c r="A842">
        <v>2034</v>
      </c>
      <c r="B842" t="s">
        <v>13</v>
      </c>
      <c r="C842" t="s">
        <v>4</v>
      </c>
      <c r="D842" t="s">
        <v>16</v>
      </c>
      <c r="E842" t="s">
        <v>483</v>
      </c>
      <c r="F842" t="s">
        <v>80</v>
      </c>
      <c r="G842">
        <v>2934.8364470711022</v>
      </c>
      <c r="H842">
        <v>0</v>
      </c>
      <c r="I842">
        <v>0</v>
      </c>
      <c r="J842">
        <v>2934.8364470711022</v>
      </c>
      <c r="K842">
        <v>2934.8364470711022</v>
      </c>
      <c r="L842">
        <v>1</v>
      </c>
    </row>
    <row r="843" spans="1:12" x14ac:dyDescent="0.35">
      <c r="A843">
        <v>2034</v>
      </c>
      <c r="B843" t="s">
        <v>13</v>
      </c>
      <c r="C843" t="s">
        <v>4</v>
      </c>
      <c r="D843" t="s">
        <v>16</v>
      </c>
      <c r="E843" t="s">
        <v>483</v>
      </c>
      <c r="F843" t="s">
        <v>81</v>
      </c>
      <c r="G843">
        <v>2934.8364470711022</v>
      </c>
      <c r="H843">
        <v>0</v>
      </c>
      <c r="I843">
        <v>0</v>
      </c>
      <c r="J843">
        <v>2934.8364470711022</v>
      </c>
      <c r="K843">
        <v>2934.8364470711022</v>
      </c>
      <c r="L843">
        <v>1</v>
      </c>
    </row>
    <row r="844" spans="1:12" x14ac:dyDescent="0.35">
      <c r="A844">
        <v>2034</v>
      </c>
      <c r="B844" t="s">
        <v>13</v>
      </c>
      <c r="C844" t="s">
        <v>4</v>
      </c>
      <c r="D844" t="s">
        <v>18</v>
      </c>
      <c r="E844" t="s">
        <v>483</v>
      </c>
      <c r="F844" t="s">
        <v>85</v>
      </c>
      <c r="G844">
        <v>2934.8364470711022</v>
      </c>
      <c r="H844">
        <v>129545.46702307749</v>
      </c>
      <c r="I844">
        <v>42750.004117615557</v>
      </c>
      <c r="J844">
        <v>0</v>
      </c>
      <c r="K844">
        <v>0</v>
      </c>
      <c r="L844">
        <v>1</v>
      </c>
    </row>
    <row r="845" spans="1:12" x14ac:dyDescent="0.35">
      <c r="A845">
        <v>2034</v>
      </c>
      <c r="B845" t="s">
        <v>13</v>
      </c>
      <c r="C845" t="s">
        <v>4</v>
      </c>
      <c r="D845" t="s">
        <v>18</v>
      </c>
      <c r="E845" t="s">
        <v>483</v>
      </c>
      <c r="F845" t="s">
        <v>86</v>
      </c>
      <c r="G845">
        <v>2934.8364470711022</v>
      </c>
      <c r="H845">
        <v>129545.46702307749</v>
      </c>
      <c r="I845">
        <v>42750.004117615557</v>
      </c>
      <c r="J845">
        <v>0</v>
      </c>
      <c r="K845">
        <v>0</v>
      </c>
      <c r="L845">
        <v>1</v>
      </c>
    </row>
    <row r="846" spans="1:12" x14ac:dyDescent="0.35">
      <c r="A846">
        <v>2034</v>
      </c>
      <c r="B846" t="s">
        <v>13</v>
      </c>
      <c r="C846" t="s">
        <v>4</v>
      </c>
      <c r="D846" t="s">
        <v>18</v>
      </c>
      <c r="E846" t="s">
        <v>490</v>
      </c>
      <c r="F846" t="s">
        <v>82</v>
      </c>
      <c r="G846">
        <v>2934.8364470711022</v>
      </c>
      <c r="H846">
        <v>129545.46702307749</v>
      </c>
      <c r="I846">
        <v>42750.004117615557</v>
      </c>
      <c r="J846">
        <v>0</v>
      </c>
      <c r="K846">
        <v>0</v>
      </c>
      <c r="L846">
        <v>1</v>
      </c>
    </row>
    <row r="847" spans="1:12" x14ac:dyDescent="0.35">
      <c r="A847">
        <v>2034</v>
      </c>
      <c r="B847" t="s">
        <v>13</v>
      </c>
      <c r="C847" t="s">
        <v>9</v>
      </c>
      <c r="D847" t="s">
        <v>16</v>
      </c>
      <c r="E847" t="s">
        <v>483</v>
      </c>
      <c r="F847" t="s">
        <v>80</v>
      </c>
      <c r="G847">
        <v>1114.482036875012</v>
      </c>
      <c r="H847">
        <v>0</v>
      </c>
      <c r="I847">
        <v>0</v>
      </c>
      <c r="J847">
        <v>1114.482036875012</v>
      </c>
      <c r="K847">
        <v>1114.482036875012</v>
      </c>
      <c r="L847">
        <v>1</v>
      </c>
    </row>
    <row r="848" spans="1:12" x14ac:dyDescent="0.35">
      <c r="A848">
        <v>2034</v>
      </c>
      <c r="B848" t="s">
        <v>13</v>
      </c>
      <c r="C848" t="s">
        <v>9</v>
      </c>
      <c r="D848" t="s">
        <v>16</v>
      </c>
      <c r="E848" t="s">
        <v>483</v>
      </c>
      <c r="F848" t="s">
        <v>81</v>
      </c>
      <c r="G848">
        <v>1114.482036875012</v>
      </c>
      <c r="H848">
        <v>0</v>
      </c>
      <c r="I848">
        <v>0</v>
      </c>
      <c r="J848">
        <v>1114.482036875012</v>
      </c>
      <c r="K848">
        <v>1114.482036875012</v>
      </c>
      <c r="L848">
        <v>1</v>
      </c>
    </row>
    <row r="849" spans="1:12" x14ac:dyDescent="0.35">
      <c r="A849">
        <v>2034</v>
      </c>
      <c r="B849" t="s">
        <v>13</v>
      </c>
      <c r="C849" t="s">
        <v>9</v>
      </c>
      <c r="D849" t="s">
        <v>18</v>
      </c>
      <c r="E849" t="s">
        <v>483</v>
      </c>
      <c r="F849" t="s">
        <v>85</v>
      </c>
      <c r="G849">
        <v>1114.482036875012</v>
      </c>
      <c r="H849">
        <v>129545.46702307749</v>
      </c>
      <c r="I849">
        <v>42750.004117615557</v>
      </c>
      <c r="J849">
        <v>0</v>
      </c>
      <c r="K849">
        <v>0</v>
      </c>
      <c r="L849">
        <v>1</v>
      </c>
    </row>
    <row r="850" spans="1:12" x14ac:dyDescent="0.35">
      <c r="A850">
        <v>2034</v>
      </c>
      <c r="B850" t="s">
        <v>13</v>
      </c>
      <c r="C850" t="s">
        <v>9</v>
      </c>
      <c r="D850" t="s">
        <v>18</v>
      </c>
      <c r="E850" t="s">
        <v>483</v>
      </c>
      <c r="F850" t="s">
        <v>86</v>
      </c>
      <c r="G850">
        <v>1114.482036875012</v>
      </c>
      <c r="H850">
        <v>129545.46702307749</v>
      </c>
      <c r="I850">
        <v>42750.004117615557</v>
      </c>
      <c r="J850">
        <v>0</v>
      </c>
      <c r="K850">
        <v>0</v>
      </c>
      <c r="L850">
        <v>1</v>
      </c>
    </row>
    <row r="851" spans="1:12" x14ac:dyDescent="0.35">
      <c r="A851">
        <v>2034</v>
      </c>
      <c r="B851" t="s">
        <v>13</v>
      </c>
      <c r="C851" t="s">
        <v>9</v>
      </c>
      <c r="D851" t="s">
        <v>18</v>
      </c>
      <c r="E851" t="s">
        <v>490</v>
      </c>
      <c r="F851" t="s">
        <v>82</v>
      </c>
      <c r="G851">
        <v>1114.482036875012</v>
      </c>
      <c r="H851">
        <v>129545.46702307749</v>
      </c>
      <c r="I851">
        <v>42750.004117615557</v>
      </c>
      <c r="J851">
        <v>0</v>
      </c>
      <c r="K851">
        <v>0</v>
      </c>
      <c r="L851">
        <v>1</v>
      </c>
    </row>
    <row r="852" spans="1:12" x14ac:dyDescent="0.35">
      <c r="A852">
        <v>2034</v>
      </c>
      <c r="B852" t="s">
        <v>13</v>
      </c>
      <c r="C852" t="s">
        <v>10</v>
      </c>
      <c r="D852" t="s">
        <v>16</v>
      </c>
      <c r="E852" t="s">
        <v>483</v>
      </c>
      <c r="F852" t="s">
        <v>80</v>
      </c>
      <c r="G852">
        <v>2790.9424655241191</v>
      </c>
      <c r="H852">
        <v>0</v>
      </c>
      <c r="I852">
        <v>0</v>
      </c>
      <c r="J852">
        <v>2790.9424655241191</v>
      </c>
      <c r="K852">
        <v>2790.9424655241191</v>
      </c>
      <c r="L852">
        <v>1</v>
      </c>
    </row>
    <row r="853" spans="1:12" x14ac:dyDescent="0.35">
      <c r="A853">
        <v>2034</v>
      </c>
      <c r="B853" t="s">
        <v>13</v>
      </c>
      <c r="C853" t="s">
        <v>10</v>
      </c>
      <c r="D853" t="s">
        <v>16</v>
      </c>
      <c r="E853" t="s">
        <v>483</v>
      </c>
      <c r="F853" t="s">
        <v>81</v>
      </c>
      <c r="G853">
        <v>2790.9424655241191</v>
      </c>
      <c r="H853">
        <v>0</v>
      </c>
      <c r="I853">
        <v>0</v>
      </c>
      <c r="J853">
        <v>2790.9424655241191</v>
      </c>
      <c r="K853">
        <v>2790.9424655241191</v>
      </c>
      <c r="L853">
        <v>1</v>
      </c>
    </row>
    <row r="854" spans="1:12" x14ac:dyDescent="0.35">
      <c r="A854">
        <v>2034</v>
      </c>
      <c r="B854" t="s">
        <v>13</v>
      </c>
      <c r="C854" t="s">
        <v>10</v>
      </c>
      <c r="D854" t="s">
        <v>18</v>
      </c>
      <c r="E854" t="s">
        <v>483</v>
      </c>
      <c r="F854" t="s">
        <v>85</v>
      </c>
      <c r="G854">
        <v>2790.9424655241191</v>
      </c>
      <c r="H854">
        <v>129545.46702307749</v>
      </c>
      <c r="I854">
        <v>42750.004117615557</v>
      </c>
      <c r="J854">
        <v>0</v>
      </c>
      <c r="K854">
        <v>0</v>
      </c>
      <c r="L854">
        <v>1</v>
      </c>
    </row>
    <row r="855" spans="1:12" x14ac:dyDescent="0.35">
      <c r="A855">
        <v>2034</v>
      </c>
      <c r="B855" t="s">
        <v>13</v>
      </c>
      <c r="C855" t="s">
        <v>10</v>
      </c>
      <c r="D855" t="s">
        <v>18</v>
      </c>
      <c r="E855" t="s">
        <v>483</v>
      </c>
      <c r="F855" t="s">
        <v>86</v>
      </c>
      <c r="G855">
        <v>2790.9424655241191</v>
      </c>
      <c r="H855">
        <v>129545.46702307749</v>
      </c>
      <c r="I855">
        <v>42750.004117615557</v>
      </c>
      <c r="J855">
        <v>0</v>
      </c>
      <c r="K855">
        <v>0</v>
      </c>
      <c r="L855">
        <v>1</v>
      </c>
    </row>
    <row r="856" spans="1:12" x14ac:dyDescent="0.35">
      <c r="A856">
        <v>2034</v>
      </c>
      <c r="B856" t="s">
        <v>13</v>
      </c>
      <c r="C856" t="s">
        <v>10</v>
      </c>
      <c r="D856" t="s">
        <v>18</v>
      </c>
      <c r="E856" t="s">
        <v>490</v>
      </c>
      <c r="F856" t="s">
        <v>82</v>
      </c>
      <c r="G856">
        <v>2790.9424655241191</v>
      </c>
      <c r="H856">
        <v>129545.46702307749</v>
      </c>
      <c r="I856">
        <v>42750.004117615557</v>
      </c>
      <c r="J856">
        <v>0</v>
      </c>
      <c r="K856">
        <v>0</v>
      </c>
      <c r="L856">
        <v>1</v>
      </c>
    </row>
    <row r="857" spans="1:12" x14ac:dyDescent="0.35">
      <c r="A857">
        <v>2034</v>
      </c>
      <c r="B857" t="s">
        <v>12</v>
      </c>
      <c r="C857" t="s">
        <v>4</v>
      </c>
      <c r="D857" t="s">
        <v>16</v>
      </c>
      <c r="E857" t="s">
        <v>483</v>
      </c>
      <c r="F857" t="s">
        <v>80</v>
      </c>
      <c r="G857">
        <v>56563.036479032307</v>
      </c>
      <c r="H857">
        <v>0</v>
      </c>
      <c r="I857">
        <v>0</v>
      </c>
      <c r="J857">
        <v>80900.207934933263</v>
      </c>
      <c r="K857">
        <v>56563.036479032307</v>
      </c>
      <c r="L857">
        <v>0.69917047091553897</v>
      </c>
    </row>
    <row r="858" spans="1:12" x14ac:dyDescent="0.35">
      <c r="A858">
        <v>2034</v>
      </c>
      <c r="B858" t="s">
        <v>12</v>
      </c>
      <c r="C858" t="s">
        <v>4</v>
      </c>
      <c r="D858" t="s">
        <v>16</v>
      </c>
      <c r="E858" t="s">
        <v>483</v>
      </c>
      <c r="F858" t="s">
        <v>81</v>
      </c>
      <c r="G858">
        <v>56563.036479032307</v>
      </c>
      <c r="H858">
        <v>39773</v>
      </c>
      <c r="I858">
        <v>27808.107139723728</v>
      </c>
      <c r="J858">
        <v>41127.207934933263</v>
      </c>
      <c r="K858">
        <v>28754.929339308579</v>
      </c>
      <c r="L858">
        <v>0.69917047091553897</v>
      </c>
    </row>
    <row r="859" spans="1:12" x14ac:dyDescent="0.35">
      <c r="A859">
        <v>2034</v>
      </c>
      <c r="B859" t="s">
        <v>12</v>
      </c>
      <c r="C859" t="s">
        <v>4</v>
      </c>
      <c r="D859" t="s">
        <v>18</v>
      </c>
      <c r="E859" t="s">
        <v>483</v>
      </c>
      <c r="F859" t="s">
        <v>85</v>
      </c>
      <c r="G859">
        <v>56563.036479032307</v>
      </c>
      <c r="H859">
        <v>142859</v>
      </c>
      <c r="I859">
        <v>99882.794304522977</v>
      </c>
      <c r="J859">
        <v>0</v>
      </c>
      <c r="K859">
        <v>0</v>
      </c>
      <c r="L859">
        <v>0.69917047091553897</v>
      </c>
    </row>
    <row r="860" spans="1:12" x14ac:dyDescent="0.35">
      <c r="A860">
        <v>2034</v>
      </c>
      <c r="B860" t="s">
        <v>12</v>
      </c>
      <c r="C860" t="s">
        <v>4</v>
      </c>
      <c r="D860" t="s">
        <v>18</v>
      </c>
      <c r="E860" t="s">
        <v>483</v>
      </c>
      <c r="F860" t="s">
        <v>86</v>
      </c>
      <c r="G860">
        <v>56563.036479032307</v>
      </c>
      <c r="H860">
        <v>142859</v>
      </c>
      <c r="I860">
        <v>99882.794304522977</v>
      </c>
      <c r="J860">
        <v>0</v>
      </c>
      <c r="K860">
        <v>0</v>
      </c>
      <c r="L860">
        <v>0.69917047091553897</v>
      </c>
    </row>
    <row r="861" spans="1:12" x14ac:dyDescent="0.35">
      <c r="A861">
        <v>2034</v>
      </c>
      <c r="B861" t="s">
        <v>12</v>
      </c>
      <c r="C861" t="s">
        <v>4</v>
      </c>
      <c r="D861" t="s">
        <v>18</v>
      </c>
      <c r="E861" t="s">
        <v>490</v>
      </c>
      <c r="F861" t="s">
        <v>82</v>
      </c>
      <c r="G861">
        <v>56563.036479032307</v>
      </c>
      <c r="H861">
        <v>142859</v>
      </c>
      <c r="I861">
        <v>99882.794304522977</v>
      </c>
      <c r="J861">
        <v>0</v>
      </c>
      <c r="K861">
        <v>0</v>
      </c>
      <c r="L861">
        <v>0.69917047091553897</v>
      </c>
    </row>
    <row r="862" spans="1:12" x14ac:dyDescent="0.35">
      <c r="A862">
        <v>2034</v>
      </c>
      <c r="B862" t="s">
        <v>12</v>
      </c>
      <c r="C862" t="s">
        <v>9</v>
      </c>
      <c r="D862" t="s">
        <v>16</v>
      </c>
      <c r="E862" t="s">
        <v>483</v>
      </c>
      <c r="F862" t="s">
        <v>80</v>
      </c>
      <c r="G862">
        <v>21479.387094942951</v>
      </c>
      <c r="H862">
        <v>0</v>
      </c>
      <c r="I862">
        <v>0</v>
      </c>
      <c r="J862">
        <v>30721.24465842565</v>
      </c>
      <c r="K862">
        <v>21479.387094942951</v>
      </c>
      <c r="L862">
        <v>0.69917047091553897</v>
      </c>
    </row>
    <row r="863" spans="1:12" x14ac:dyDescent="0.35">
      <c r="A863">
        <v>2034</v>
      </c>
      <c r="B863" t="s">
        <v>12</v>
      </c>
      <c r="C863" t="s">
        <v>9</v>
      </c>
      <c r="D863" t="s">
        <v>16</v>
      </c>
      <c r="E863" t="s">
        <v>483</v>
      </c>
      <c r="F863" t="s">
        <v>81</v>
      </c>
      <c r="G863">
        <v>21479.387094942951</v>
      </c>
      <c r="H863">
        <v>39773</v>
      </c>
      <c r="I863">
        <v>27808.107139723728</v>
      </c>
      <c r="J863">
        <v>0</v>
      </c>
      <c r="K863">
        <v>0</v>
      </c>
      <c r="L863">
        <v>0.69917047091553897</v>
      </c>
    </row>
    <row r="864" spans="1:12" x14ac:dyDescent="0.35">
      <c r="A864">
        <v>2034</v>
      </c>
      <c r="B864" t="s">
        <v>12</v>
      </c>
      <c r="C864" t="s">
        <v>9</v>
      </c>
      <c r="D864" t="s">
        <v>18</v>
      </c>
      <c r="E864" t="s">
        <v>483</v>
      </c>
      <c r="F864" t="s">
        <v>85</v>
      </c>
      <c r="G864">
        <v>21479.387094942951</v>
      </c>
      <c r="H864">
        <v>142859</v>
      </c>
      <c r="I864">
        <v>99882.794304522977</v>
      </c>
      <c r="J864">
        <v>0</v>
      </c>
      <c r="K864">
        <v>0</v>
      </c>
      <c r="L864">
        <v>0.69917047091553897</v>
      </c>
    </row>
    <row r="865" spans="1:12" x14ac:dyDescent="0.35">
      <c r="A865">
        <v>2034</v>
      </c>
      <c r="B865" t="s">
        <v>12</v>
      </c>
      <c r="C865" t="s">
        <v>9</v>
      </c>
      <c r="D865" t="s">
        <v>18</v>
      </c>
      <c r="E865" t="s">
        <v>483</v>
      </c>
      <c r="F865" t="s">
        <v>86</v>
      </c>
      <c r="G865">
        <v>21479.387094942951</v>
      </c>
      <c r="H865">
        <v>142859</v>
      </c>
      <c r="I865">
        <v>99882.794304522977</v>
      </c>
      <c r="J865">
        <v>0</v>
      </c>
      <c r="K865">
        <v>0</v>
      </c>
      <c r="L865">
        <v>0.69917047091553897</v>
      </c>
    </row>
    <row r="866" spans="1:12" x14ac:dyDescent="0.35">
      <c r="A866">
        <v>2034</v>
      </c>
      <c r="B866" t="s">
        <v>12</v>
      </c>
      <c r="C866" t="s">
        <v>9</v>
      </c>
      <c r="D866" t="s">
        <v>18</v>
      </c>
      <c r="E866" t="s">
        <v>490</v>
      </c>
      <c r="F866" t="s">
        <v>82</v>
      </c>
      <c r="G866">
        <v>21479.387094942951</v>
      </c>
      <c r="H866">
        <v>142859</v>
      </c>
      <c r="I866">
        <v>99882.794304522977</v>
      </c>
      <c r="J866">
        <v>0</v>
      </c>
      <c r="K866">
        <v>0</v>
      </c>
      <c r="L866">
        <v>0.69917047091553897</v>
      </c>
    </row>
    <row r="867" spans="1:12" x14ac:dyDescent="0.35">
      <c r="A867">
        <v>2034</v>
      </c>
      <c r="B867" t="s">
        <v>12</v>
      </c>
      <c r="C867" t="s">
        <v>10</v>
      </c>
      <c r="D867" t="s">
        <v>16</v>
      </c>
      <c r="E867" t="s">
        <v>483</v>
      </c>
      <c r="F867" t="s">
        <v>80</v>
      </c>
      <c r="G867">
        <v>53789.771026547613</v>
      </c>
      <c r="H867">
        <v>0</v>
      </c>
      <c r="I867">
        <v>0</v>
      </c>
      <c r="J867">
        <v>76933.699668568399</v>
      </c>
      <c r="K867">
        <v>53789.771026547613</v>
      </c>
      <c r="L867">
        <v>0.69917047091553897</v>
      </c>
    </row>
    <row r="868" spans="1:12" x14ac:dyDescent="0.35">
      <c r="A868">
        <v>2034</v>
      </c>
      <c r="B868" t="s">
        <v>12</v>
      </c>
      <c r="C868" t="s">
        <v>10</v>
      </c>
      <c r="D868" t="s">
        <v>16</v>
      </c>
      <c r="E868" t="s">
        <v>483</v>
      </c>
      <c r="F868" t="s">
        <v>81</v>
      </c>
      <c r="G868">
        <v>53789.771026547613</v>
      </c>
      <c r="H868">
        <v>39773</v>
      </c>
      <c r="I868">
        <v>27808.107139723728</v>
      </c>
      <c r="J868">
        <v>37160.699668568399</v>
      </c>
      <c r="K868">
        <v>25981.663886823881</v>
      </c>
      <c r="L868">
        <v>0.69917047091553897</v>
      </c>
    </row>
    <row r="869" spans="1:12" x14ac:dyDescent="0.35">
      <c r="A869">
        <v>2034</v>
      </c>
      <c r="B869" t="s">
        <v>12</v>
      </c>
      <c r="C869" t="s">
        <v>10</v>
      </c>
      <c r="D869" t="s">
        <v>18</v>
      </c>
      <c r="E869" t="s">
        <v>483</v>
      </c>
      <c r="F869" t="s">
        <v>85</v>
      </c>
      <c r="G869">
        <v>53789.771026547613</v>
      </c>
      <c r="H869">
        <v>142859</v>
      </c>
      <c r="I869">
        <v>99882.794304522977</v>
      </c>
      <c r="J869">
        <v>0</v>
      </c>
      <c r="K869">
        <v>0</v>
      </c>
      <c r="L869">
        <v>0.69917047091553897</v>
      </c>
    </row>
    <row r="870" spans="1:12" x14ac:dyDescent="0.35">
      <c r="A870">
        <v>2034</v>
      </c>
      <c r="B870" t="s">
        <v>12</v>
      </c>
      <c r="C870" t="s">
        <v>10</v>
      </c>
      <c r="D870" t="s">
        <v>18</v>
      </c>
      <c r="E870" t="s">
        <v>483</v>
      </c>
      <c r="F870" t="s">
        <v>86</v>
      </c>
      <c r="G870">
        <v>53789.771026547613</v>
      </c>
      <c r="H870">
        <v>142859</v>
      </c>
      <c r="I870">
        <v>99882.794304522977</v>
      </c>
      <c r="J870">
        <v>0</v>
      </c>
      <c r="K870">
        <v>0</v>
      </c>
      <c r="L870">
        <v>0.69917047091553897</v>
      </c>
    </row>
    <row r="871" spans="1:12" x14ac:dyDescent="0.35">
      <c r="A871">
        <v>2034</v>
      </c>
      <c r="B871" t="s">
        <v>12</v>
      </c>
      <c r="C871" t="s">
        <v>10</v>
      </c>
      <c r="D871" t="s">
        <v>18</v>
      </c>
      <c r="E871" t="s">
        <v>490</v>
      </c>
      <c r="F871" t="s">
        <v>82</v>
      </c>
      <c r="G871">
        <v>53789.771026547613</v>
      </c>
      <c r="H871">
        <v>142859</v>
      </c>
      <c r="I871">
        <v>99882.794304522977</v>
      </c>
      <c r="J871">
        <v>0</v>
      </c>
      <c r="K871">
        <v>0</v>
      </c>
      <c r="L871">
        <v>0.69917047091553897</v>
      </c>
    </row>
    <row r="872" spans="1:12" x14ac:dyDescent="0.35">
      <c r="A872">
        <v>2034</v>
      </c>
      <c r="B872" t="s">
        <v>11</v>
      </c>
      <c r="C872" t="s">
        <v>4</v>
      </c>
      <c r="D872" t="s">
        <v>16</v>
      </c>
      <c r="E872" t="s">
        <v>483</v>
      </c>
      <c r="F872" t="s">
        <v>80</v>
      </c>
      <c r="G872">
        <v>4411.7741331532143</v>
      </c>
      <c r="H872">
        <v>0</v>
      </c>
      <c r="I872">
        <v>0</v>
      </c>
      <c r="J872">
        <v>7370.8445279207344</v>
      </c>
      <c r="K872">
        <v>4411.7741331532143</v>
      </c>
      <c r="L872">
        <v>0.59854391398996798</v>
      </c>
    </row>
    <row r="873" spans="1:12" x14ac:dyDescent="0.35">
      <c r="A873">
        <v>2034</v>
      </c>
      <c r="B873" t="s">
        <v>11</v>
      </c>
      <c r="C873" t="s">
        <v>4</v>
      </c>
      <c r="D873" t="s">
        <v>16</v>
      </c>
      <c r="E873" t="s">
        <v>483</v>
      </c>
      <c r="F873" t="s">
        <v>81</v>
      </c>
      <c r="G873">
        <v>4411.7741331532143</v>
      </c>
      <c r="H873">
        <v>0</v>
      </c>
      <c r="I873">
        <v>0</v>
      </c>
      <c r="J873">
        <v>7370.8445279207344</v>
      </c>
      <c r="K873">
        <v>4411.7741331532143</v>
      </c>
      <c r="L873">
        <v>0.59854391398996798</v>
      </c>
    </row>
    <row r="874" spans="1:12" x14ac:dyDescent="0.35">
      <c r="A874">
        <v>2034</v>
      </c>
      <c r="B874" t="s">
        <v>11</v>
      </c>
      <c r="C874" t="s">
        <v>4</v>
      </c>
      <c r="D874" t="s">
        <v>18</v>
      </c>
      <c r="E874" t="s">
        <v>483</v>
      </c>
      <c r="F874" t="s">
        <v>85</v>
      </c>
      <c r="G874">
        <v>4411.7741331532143</v>
      </c>
      <c r="H874">
        <v>57.127421790883162</v>
      </c>
      <c r="I874">
        <v>34.193270634870977</v>
      </c>
      <c r="J874">
        <v>7313.7171061298513</v>
      </c>
      <c r="K874">
        <v>4377.5808625183436</v>
      </c>
      <c r="L874">
        <v>0.59854391398996798</v>
      </c>
    </row>
    <row r="875" spans="1:12" x14ac:dyDescent="0.35">
      <c r="A875">
        <v>2034</v>
      </c>
      <c r="B875" t="s">
        <v>11</v>
      </c>
      <c r="C875" t="s">
        <v>4</v>
      </c>
      <c r="D875" t="s">
        <v>18</v>
      </c>
      <c r="E875" t="s">
        <v>483</v>
      </c>
      <c r="F875" t="s">
        <v>86</v>
      </c>
      <c r="G875">
        <v>4411.7741331532143</v>
      </c>
      <c r="H875">
        <v>57.127421790883162</v>
      </c>
      <c r="I875">
        <v>34.193270634870977</v>
      </c>
      <c r="J875">
        <v>7313.7171061298513</v>
      </c>
      <c r="K875">
        <v>4377.5808625183436</v>
      </c>
      <c r="L875">
        <v>0.59854391398996798</v>
      </c>
    </row>
    <row r="876" spans="1:12" x14ac:dyDescent="0.35">
      <c r="A876">
        <v>2034</v>
      </c>
      <c r="B876" t="s">
        <v>11</v>
      </c>
      <c r="C876" t="s">
        <v>4</v>
      </c>
      <c r="D876" t="s">
        <v>18</v>
      </c>
      <c r="E876" t="s">
        <v>490</v>
      </c>
      <c r="F876" t="s">
        <v>82</v>
      </c>
      <c r="G876">
        <v>4411.7741331532143</v>
      </c>
      <c r="H876">
        <v>57.127421790883162</v>
      </c>
      <c r="I876">
        <v>34.193270634870977</v>
      </c>
      <c r="J876">
        <v>7313.7171061298513</v>
      </c>
      <c r="K876">
        <v>4377.5808625183436</v>
      </c>
      <c r="L876">
        <v>0.59854391398996798</v>
      </c>
    </row>
    <row r="877" spans="1:12" x14ac:dyDescent="0.35">
      <c r="A877">
        <v>2034</v>
      </c>
      <c r="B877" t="s">
        <v>11</v>
      </c>
      <c r="C877" t="s">
        <v>9</v>
      </c>
      <c r="D877" t="s">
        <v>16</v>
      </c>
      <c r="E877" t="s">
        <v>483</v>
      </c>
      <c r="F877" t="s">
        <v>80</v>
      </c>
      <c r="G877">
        <v>1428.0497040707919</v>
      </c>
      <c r="H877">
        <v>0</v>
      </c>
      <c r="I877">
        <v>0</v>
      </c>
      <c r="J877">
        <v>2385.8729003712278</v>
      </c>
      <c r="K877">
        <v>1428.0497040707919</v>
      </c>
      <c r="L877">
        <v>0.59854391398996798</v>
      </c>
    </row>
    <row r="878" spans="1:12" x14ac:dyDescent="0.35">
      <c r="A878">
        <v>2034</v>
      </c>
      <c r="B878" t="s">
        <v>11</v>
      </c>
      <c r="C878" t="s">
        <v>9</v>
      </c>
      <c r="D878" t="s">
        <v>16</v>
      </c>
      <c r="E878" t="s">
        <v>483</v>
      </c>
      <c r="F878" t="s">
        <v>81</v>
      </c>
      <c r="G878">
        <v>1428.0497040707919</v>
      </c>
      <c r="H878">
        <v>0</v>
      </c>
      <c r="I878">
        <v>0</v>
      </c>
      <c r="J878">
        <v>2385.8729003712278</v>
      </c>
      <c r="K878">
        <v>1428.0497040707919</v>
      </c>
      <c r="L878">
        <v>0.59854391398996798</v>
      </c>
    </row>
    <row r="879" spans="1:12" x14ac:dyDescent="0.35">
      <c r="A879">
        <v>2034</v>
      </c>
      <c r="B879" t="s">
        <v>11</v>
      </c>
      <c r="C879" t="s">
        <v>9</v>
      </c>
      <c r="D879" t="s">
        <v>18</v>
      </c>
      <c r="E879" t="s">
        <v>483</v>
      </c>
      <c r="F879" t="s">
        <v>85</v>
      </c>
      <c r="G879">
        <v>1428.0497040707919</v>
      </c>
      <c r="H879">
        <v>57.127421790883162</v>
      </c>
      <c r="I879">
        <v>34.193270634870977</v>
      </c>
      <c r="J879">
        <v>2328.7454785803452</v>
      </c>
      <c r="K879">
        <v>1393.856433435921</v>
      </c>
      <c r="L879">
        <v>0.59854391398996798</v>
      </c>
    </row>
    <row r="880" spans="1:12" x14ac:dyDescent="0.35">
      <c r="A880">
        <v>2034</v>
      </c>
      <c r="B880" t="s">
        <v>11</v>
      </c>
      <c r="C880" t="s">
        <v>9</v>
      </c>
      <c r="D880" t="s">
        <v>18</v>
      </c>
      <c r="E880" t="s">
        <v>483</v>
      </c>
      <c r="F880" t="s">
        <v>86</v>
      </c>
      <c r="G880">
        <v>1428.0497040707919</v>
      </c>
      <c r="H880">
        <v>57.127421790883162</v>
      </c>
      <c r="I880">
        <v>34.193270634870977</v>
      </c>
      <c r="J880">
        <v>2328.7454785803452</v>
      </c>
      <c r="K880">
        <v>1393.856433435921</v>
      </c>
      <c r="L880">
        <v>0.59854391398996798</v>
      </c>
    </row>
    <row r="881" spans="1:12" x14ac:dyDescent="0.35">
      <c r="A881">
        <v>2034</v>
      </c>
      <c r="B881" t="s">
        <v>11</v>
      </c>
      <c r="C881" t="s">
        <v>9</v>
      </c>
      <c r="D881" t="s">
        <v>18</v>
      </c>
      <c r="E881" t="s">
        <v>490</v>
      </c>
      <c r="F881" t="s">
        <v>82</v>
      </c>
      <c r="G881">
        <v>1428.0497040707919</v>
      </c>
      <c r="H881">
        <v>57.127421790883162</v>
      </c>
      <c r="I881">
        <v>34.193270634870977</v>
      </c>
      <c r="J881">
        <v>2328.7454785803452</v>
      </c>
      <c r="K881">
        <v>1393.856433435921</v>
      </c>
      <c r="L881">
        <v>0.59854391398996798</v>
      </c>
    </row>
    <row r="882" spans="1:12" x14ac:dyDescent="0.35">
      <c r="A882">
        <v>2034</v>
      </c>
      <c r="B882" t="s">
        <v>11</v>
      </c>
      <c r="C882" t="s">
        <v>10</v>
      </c>
      <c r="D882" t="s">
        <v>16</v>
      </c>
      <c r="E882" t="s">
        <v>483</v>
      </c>
      <c r="F882" t="s">
        <v>80</v>
      </c>
      <c r="G882">
        <v>4227.3945281288607</v>
      </c>
      <c r="H882">
        <v>0</v>
      </c>
      <c r="I882">
        <v>0</v>
      </c>
      <c r="J882">
        <v>7062.7976148792904</v>
      </c>
      <c r="K882">
        <v>4227.3945281288607</v>
      </c>
      <c r="L882">
        <v>0.59854391398996798</v>
      </c>
    </row>
    <row r="883" spans="1:12" x14ac:dyDescent="0.35">
      <c r="A883">
        <v>2034</v>
      </c>
      <c r="B883" t="s">
        <v>11</v>
      </c>
      <c r="C883" t="s">
        <v>10</v>
      </c>
      <c r="D883" t="s">
        <v>16</v>
      </c>
      <c r="E883" t="s">
        <v>483</v>
      </c>
      <c r="F883" t="s">
        <v>81</v>
      </c>
      <c r="G883">
        <v>4227.3945281288607</v>
      </c>
      <c r="H883">
        <v>0</v>
      </c>
      <c r="I883">
        <v>0</v>
      </c>
      <c r="J883">
        <v>7062.7976148792904</v>
      </c>
      <c r="K883">
        <v>4227.3945281288607</v>
      </c>
      <c r="L883">
        <v>0.59854391398996798</v>
      </c>
    </row>
    <row r="884" spans="1:12" x14ac:dyDescent="0.35">
      <c r="A884">
        <v>2034</v>
      </c>
      <c r="B884" t="s">
        <v>11</v>
      </c>
      <c r="C884" t="s">
        <v>10</v>
      </c>
      <c r="D884" t="s">
        <v>18</v>
      </c>
      <c r="E884" t="s">
        <v>483</v>
      </c>
      <c r="F884" t="s">
        <v>85</v>
      </c>
      <c r="G884">
        <v>4227.3945281288607</v>
      </c>
      <c r="H884">
        <v>57.127421790883162</v>
      </c>
      <c r="I884">
        <v>34.193270634870977</v>
      </c>
      <c r="J884">
        <v>7005.6701930884064</v>
      </c>
      <c r="K884">
        <v>4193.2012574939899</v>
      </c>
      <c r="L884">
        <v>0.59854391398996798</v>
      </c>
    </row>
    <row r="885" spans="1:12" x14ac:dyDescent="0.35">
      <c r="A885">
        <v>2034</v>
      </c>
      <c r="B885" t="s">
        <v>11</v>
      </c>
      <c r="C885" t="s">
        <v>10</v>
      </c>
      <c r="D885" t="s">
        <v>18</v>
      </c>
      <c r="E885" t="s">
        <v>483</v>
      </c>
      <c r="F885" t="s">
        <v>86</v>
      </c>
      <c r="G885">
        <v>4227.3945281288607</v>
      </c>
      <c r="H885">
        <v>57.127421790883162</v>
      </c>
      <c r="I885">
        <v>34.193270634870977</v>
      </c>
      <c r="J885">
        <v>7005.6701930884064</v>
      </c>
      <c r="K885">
        <v>4193.2012574939899</v>
      </c>
      <c r="L885">
        <v>0.59854391398996798</v>
      </c>
    </row>
    <row r="886" spans="1:12" x14ac:dyDescent="0.35">
      <c r="A886">
        <v>2034</v>
      </c>
      <c r="B886" t="s">
        <v>11</v>
      </c>
      <c r="C886" t="s">
        <v>10</v>
      </c>
      <c r="D886" t="s">
        <v>18</v>
      </c>
      <c r="E886" t="s">
        <v>490</v>
      </c>
      <c r="F886" t="s">
        <v>82</v>
      </c>
      <c r="G886">
        <v>4227.3945281288607</v>
      </c>
      <c r="H886">
        <v>57.127421790883162</v>
      </c>
      <c r="I886">
        <v>34.193270634870977</v>
      </c>
      <c r="J886">
        <v>7005.6701930884064</v>
      </c>
      <c r="K886">
        <v>4193.2012574939899</v>
      </c>
      <c r="L886">
        <v>0.59854391398996798</v>
      </c>
    </row>
    <row r="887" spans="1:12" x14ac:dyDescent="0.35">
      <c r="A887">
        <v>2034</v>
      </c>
      <c r="B887" t="s">
        <v>8</v>
      </c>
      <c r="C887" t="s">
        <v>4</v>
      </c>
      <c r="D887" t="s">
        <v>16</v>
      </c>
      <c r="E887" t="s">
        <v>483</v>
      </c>
      <c r="F887" t="s">
        <v>80</v>
      </c>
      <c r="G887">
        <v>138718.89695700069</v>
      </c>
      <c r="H887">
        <v>0</v>
      </c>
      <c r="I887">
        <v>0</v>
      </c>
      <c r="J887">
        <v>176138.6792167504</v>
      </c>
      <c r="K887">
        <v>138718.89695700069</v>
      </c>
      <c r="L887">
        <v>0.787554996857322</v>
      </c>
    </row>
    <row r="888" spans="1:12" x14ac:dyDescent="0.35">
      <c r="A888">
        <v>2034</v>
      </c>
      <c r="B888" t="s">
        <v>8</v>
      </c>
      <c r="C888" t="s">
        <v>4</v>
      </c>
      <c r="D888" t="s">
        <v>16</v>
      </c>
      <c r="E888" t="s">
        <v>483</v>
      </c>
      <c r="F888" t="s">
        <v>81</v>
      </c>
      <c r="G888">
        <v>138718.89695700069</v>
      </c>
      <c r="H888">
        <v>118000</v>
      </c>
      <c r="I888">
        <v>66183.845060727675</v>
      </c>
      <c r="J888">
        <v>58138.679216750374</v>
      </c>
      <c r="K888">
        <v>72535.051896273013</v>
      </c>
      <c r="L888">
        <v>0.787554996857322</v>
      </c>
    </row>
    <row r="889" spans="1:12" x14ac:dyDescent="0.35">
      <c r="A889">
        <v>2034</v>
      </c>
      <c r="B889" t="s">
        <v>8</v>
      </c>
      <c r="C889" t="s">
        <v>4</v>
      </c>
      <c r="D889" t="s">
        <v>18</v>
      </c>
      <c r="E889" t="s">
        <v>483</v>
      </c>
      <c r="F889" t="s">
        <v>85</v>
      </c>
      <c r="G889">
        <v>138718.89695700069</v>
      </c>
      <c r="H889">
        <v>215984.6873896351</v>
      </c>
      <c r="I889">
        <v>121141.5007261467</v>
      </c>
      <c r="J889">
        <v>0</v>
      </c>
      <c r="K889">
        <v>17577.396230853959</v>
      </c>
      <c r="L889">
        <v>0.787554996857322</v>
      </c>
    </row>
    <row r="890" spans="1:12" x14ac:dyDescent="0.35">
      <c r="A890">
        <v>2034</v>
      </c>
      <c r="B890" t="s">
        <v>8</v>
      </c>
      <c r="C890" t="s">
        <v>4</v>
      </c>
      <c r="D890" t="s">
        <v>18</v>
      </c>
      <c r="E890" t="s">
        <v>483</v>
      </c>
      <c r="F890" t="s">
        <v>86</v>
      </c>
      <c r="G890">
        <v>138718.89695700069</v>
      </c>
      <c r="H890">
        <v>215984.6873896351</v>
      </c>
      <c r="I890">
        <v>121141.5007261467</v>
      </c>
      <c r="J890">
        <v>0</v>
      </c>
      <c r="K890">
        <v>17577.396230853959</v>
      </c>
      <c r="L890">
        <v>0.787554996857322</v>
      </c>
    </row>
    <row r="891" spans="1:12" x14ac:dyDescent="0.35">
      <c r="A891">
        <v>2034</v>
      </c>
      <c r="B891" t="s">
        <v>8</v>
      </c>
      <c r="C891" t="s">
        <v>4</v>
      </c>
      <c r="D891" t="s">
        <v>18</v>
      </c>
      <c r="E891" t="s">
        <v>490</v>
      </c>
      <c r="F891" t="s">
        <v>82</v>
      </c>
      <c r="G891">
        <v>138718.89695700069</v>
      </c>
      <c r="H891">
        <v>215984.6873896351</v>
      </c>
      <c r="I891">
        <v>170099.81979837391</v>
      </c>
      <c r="J891">
        <v>0</v>
      </c>
      <c r="K891">
        <v>0</v>
      </c>
      <c r="L891">
        <v>0.787554996857322</v>
      </c>
    </row>
    <row r="892" spans="1:12" x14ac:dyDescent="0.35">
      <c r="A892">
        <v>2034</v>
      </c>
      <c r="B892" t="s">
        <v>8</v>
      </c>
      <c r="C892" t="s">
        <v>9</v>
      </c>
      <c r="D892" t="s">
        <v>16</v>
      </c>
      <c r="E892" t="s">
        <v>483</v>
      </c>
      <c r="F892" t="s">
        <v>80</v>
      </c>
      <c r="G892">
        <v>57371.149375960449</v>
      </c>
      <c r="H892">
        <v>0</v>
      </c>
      <c r="I892">
        <v>0</v>
      </c>
      <c r="J892">
        <v>72847.165727975356</v>
      </c>
      <c r="K892">
        <v>57371.149375960449</v>
      </c>
      <c r="L892">
        <v>0.787554996857322</v>
      </c>
    </row>
    <row r="893" spans="1:12" x14ac:dyDescent="0.35">
      <c r="A893">
        <v>2034</v>
      </c>
      <c r="B893" t="s">
        <v>8</v>
      </c>
      <c r="C893" t="s">
        <v>9</v>
      </c>
      <c r="D893" t="s">
        <v>16</v>
      </c>
      <c r="E893" t="s">
        <v>483</v>
      </c>
      <c r="F893" t="s">
        <v>81</v>
      </c>
      <c r="G893">
        <v>57371.149375960449</v>
      </c>
      <c r="H893">
        <v>118000</v>
      </c>
      <c r="I893">
        <v>66183.845060727675</v>
      </c>
      <c r="J893">
        <v>0</v>
      </c>
      <c r="K893">
        <v>0</v>
      </c>
      <c r="L893">
        <v>0.787554996857322</v>
      </c>
    </row>
    <row r="894" spans="1:12" x14ac:dyDescent="0.35">
      <c r="A894">
        <v>2034</v>
      </c>
      <c r="B894" t="s">
        <v>8</v>
      </c>
      <c r="C894" t="s">
        <v>9</v>
      </c>
      <c r="D894" t="s">
        <v>18</v>
      </c>
      <c r="E894" t="s">
        <v>483</v>
      </c>
      <c r="F894" t="s">
        <v>85</v>
      </c>
      <c r="G894">
        <v>57371.149375960449</v>
      </c>
      <c r="H894">
        <v>215984.6873896351</v>
      </c>
      <c r="I894">
        <v>121141.5007261467</v>
      </c>
      <c r="J894">
        <v>0</v>
      </c>
      <c r="K894">
        <v>0</v>
      </c>
      <c r="L894">
        <v>0.787554996857322</v>
      </c>
    </row>
    <row r="895" spans="1:12" x14ac:dyDescent="0.35">
      <c r="A895">
        <v>2034</v>
      </c>
      <c r="B895" t="s">
        <v>8</v>
      </c>
      <c r="C895" t="s">
        <v>9</v>
      </c>
      <c r="D895" t="s">
        <v>18</v>
      </c>
      <c r="E895" t="s">
        <v>483</v>
      </c>
      <c r="F895" t="s">
        <v>86</v>
      </c>
      <c r="G895">
        <v>57371.149375960449</v>
      </c>
      <c r="H895">
        <v>215984.6873896351</v>
      </c>
      <c r="I895">
        <v>121141.5007261467</v>
      </c>
      <c r="J895">
        <v>0</v>
      </c>
      <c r="K895">
        <v>0</v>
      </c>
      <c r="L895">
        <v>0.787554996857322</v>
      </c>
    </row>
    <row r="896" spans="1:12" x14ac:dyDescent="0.35">
      <c r="A896">
        <v>2034</v>
      </c>
      <c r="B896" t="s">
        <v>8</v>
      </c>
      <c r="C896" t="s">
        <v>9</v>
      </c>
      <c r="D896" t="s">
        <v>18</v>
      </c>
      <c r="E896" t="s">
        <v>490</v>
      </c>
      <c r="F896" t="s">
        <v>82</v>
      </c>
      <c r="G896">
        <v>57371.149375960449</v>
      </c>
      <c r="H896">
        <v>215984.6873896351</v>
      </c>
      <c r="I896">
        <v>170099.81979837391</v>
      </c>
      <c r="J896">
        <v>0</v>
      </c>
      <c r="K896">
        <v>0</v>
      </c>
      <c r="L896">
        <v>0.787554996857322</v>
      </c>
    </row>
    <row r="897" spans="1:12" x14ac:dyDescent="0.35">
      <c r="A897">
        <v>2034</v>
      </c>
      <c r="B897" t="s">
        <v>8</v>
      </c>
      <c r="C897" t="s">
        <v>10</v>
      </c>
      <c r="D897" t="s">
        <v>16</v>
      </c>
      <c r="E897" t="s">
        <v>483</v>
      </c>
      <c r="F897" t="s">
        <v>80</v>
      </c>
      <c r="G897">
        <v>133155.21418504749</v>
      </c>
      <c r="H897">
        <v>0</v>
      </c>
      <c r="I897">
        <v>0</v>
      </c>
      <c r="J897">
        <v>169074.17858612191</v>
      </c>
      <c r="K897">
        <v>133155.21418504749</v>
      </c>
      <c r="L897">
        <v>0.787554996857322</v>
      </c>
    </row>
    <row r="898" spans="1:12" x14ac:dyDescent="0.35">
      <c r="A898">
        <v>2034</v>
      </c>
      <c r="B898" t="s">
        <v>8</v>
      </c>
      <c r="C898" t="s">
        <v>10</v>
      </c>
      <c r="D898" t="s">
        <v>16</v>
      </c>
      <c r="E898" t="s">
        <v>483</v>
      </c>
      <c r="F898" t="s">
        <v>81</v>
      </c>
      <c r="G898">
        <v>133155.21418504749</v>
      </c>
      <c r="H898">
        <v>118000</v>
      </c>
      <c r="I898">
        <v>66183.845060727675</v>
      </c>
      <c r="J898">
        <v>51074.178586121852</v>
      </c>
      <c r="K898">
        <v>66971.369124319812</v>
      </c>
      <c r="L898">
        <v>0.787554996857322</v>
      </c>
    </row>
    <row r="899" spans="1:12" x14ac:dyDescent="0.35">
      <c r="A899">
        <v>2034</v>
      </c>
      <c r="B899" t="s">
        <v>8</v>
      </c>
      <c r="C899" t="s">
        <v>10</v>
      </c>
      <c r="D899" t="s">
        <v>18</v>
      </c>
      <c r="E899" t="s">
        <v>483</v>
      </c>
      <c r="F899" t="s">
        <v>85</v>
      </c>
      <c r="G899">
        <v>133155.21418504749</v>
      </c>
      <c r="H899">
        <v>215984.6873896351</v>
      </c>
      <c r="I899">
        <v>121141.5007261467</v>
      </c>
      <c r="J899">
        <v>0</v>
      </c>
      <c r="K899">
        <v>12013.71345890076</v>
      </c>
      <c r="L899">
        <v>0.787554996857322</v>
      </c>
    </row>
    <row r="900" spans="1:12" x14ac:dyDescent="0.35">
      <c r="A900">
        <v>2034</v>
      </c>
      <c r="B900" t="s">
        <v>8</v>
      </c>
      <c r="C900" t="s">
        <v>10</v>
      </c>
      <c r="D900" t="s">
        <v>18</v>
      </c>
      <c r="E900" t="s">
        <v>483</v>
      </c>
      <c r="F900" t="s">
        <v>86</v>
      </c>
      <c r="G900">
        <v>133155.21418504749</v>
      </c>
      <c r="H900">
        <v>215984.6873896351</v>
      </c>
      <c r="I900">
        <v>121141.5007261467</v>
      </c>
      <c r="J900">
        <v>0</v>
      </c>
      <c r="K900">
        <v>12013.71345890076</v>
      </c>
      <c r="L900">
        <v>0.787554996857322</v>
      </c>
    </row>
    <row r="901" spans="1:12" x14ac:dyDescent="0.35">
      <c r="A901">
        <v>2034</v>
      </c>
      <c r="B901" t="s">
        <v>8</v>
      </c>
      <c r="C901" t="s">
        <v>10</v>
      </c>
      <c r="D901" t="s">
        <v>18</v>
      </c>
      <c r="E901" t="s">
        <v>490</v>
      </c>
      <c r="F901" t="s">
        <v>82</v>
      </c>
      <c r="G901">
        <v>133155.21418504749</v>
      </c>
      <c r="H901">
        <v>215984.6873896351</v>
      </c>
      <c r="I901">
        <v>170099.81979837391</v>
      </c>
      <c r="J901">
        <v>0</v>
      </c>
      <c r="K901">
        <v>0</v>
      </c>
      <c r="L901">
        <v>0.787554996857322</v>
      </c>
    </row>
    <row r="902" spans="1:12" x14ac:dyDescent="0.35">
      <c r="A902">
        <v>2035</v>
      </c>
      <c r="B902" t="s">
        <v>6</v>
      </c>
      <c r="C902" t="s">
        <v>4</v>
      </c>
      <c r="D902" t="s">
        <v>16</v>
      </c>
      <c r="E902" t="s">
        <v>483</v>
      </c>
      <c r="F902" t="s">
        <v>80</v>
      </c>
      <c r="G902">
        <v>152437.6873521794</v>
      </c>
      <c r="H902">
        <v>0</v>
      </c>
      <c r="I902">
        <v>0</v>
      </c>
      <c r="J902">
        <v>346964.55886441813</v>
      </c>
      <c r="K902">
        <v>152437.6873521794</v>
      </c>
      <c r="L902">
        <v>0.439346565686978</v>
      </c>
    </row>
    <row r="903" spans="1:12" x14ac:dyDescent="0.35">
      <c r="A903">
        <v>2035</v>
      </c>
      <c r="B903" t="s">
        <v>6</v>
      </c>
      <c r="C903" t="s">
        <v>4</v>
      </c>
      <c r="D903" t="s">
        <v>16</v>
      </c>
      <c r="E903" t="s">
        <v>483</v>
      </c>
      <c r="F903" t="s">
        <v>81</v>
      </c>
      <c r="G903">
        <v>152437.6873521794</v>
      </c>
      <c r="H903">
        <v>3079</v>
      </c>
      <c r="I903">
        <v>1306.05584956232</v>
      </c>
      <c r="J903">
        <v>343885.55886441813</v>
      </c>
      <c r="K903">
        <v>151131.63150261709</v>
      </c>
      <c r="L903">
        <v>0.439346565686978</v>
      </c>
    </row>
    <row r="904" spans="1:12" x14ac:dyDescent="0.35">
      <c r="A904">
        <v>2035</v>
      </c>
      <c r="B904" t="s">
        <v>6</v>
      </c>
      <c r="C904" t="s">
        <v>4</v>
      </c>
      <c r="D904" t="s">
        <v>18</v>
      </c>
      <c r="E904" t="s">
        <v>483</v>
      </c>
      <c r="F904" t="s">
        <v>85</v>
      </c>
      <c r="G904">
        <v>152437.6873521794</v>
      </c>
      <c r="H904">
        <v>15489.26488622676</v>
      </c>
      <c r="I904">
        <v>6570.2646996026942</v>
      </c>
      <c r="J904">
        <v>331475.29397819127</v>
      </c>
      <c r="K904">
        <v>145867.4226525767</v>
      </c>
      <c r="L904">
        <v>0.439346565686978</v>
      </c>
    </row>
    <row r="905" spans="1:12" x14ac:dyDescent="0.35">
      <c r="A905">
        <v>2035</v>
      </c>
      <c r="B905" t="s">
        <v>6</v>
      </c>
      <c r="C905" t="s">
        <v>4</v>
      </c>
      <c r="D905" t="s">
        <v>18</v>
      </c>
      <c r="E905" t="s">
        <v>483</v>
      </c>
      <c r="F905" t="s">
        <v>86</v>
      </c>
      <c r="G905">
        <v>152437.6873521794</v>
      </c>
      <c r="H905">
        <v>15489.26488622676</v>
      </c>
      <c r="I905">
        <v>6570.2646996026942</v>
      </c>
      <c r="J905">
        <v>331475.29397819127</v>
      </c>
      <c r="K905">
        <v>145867.4226525767</v>
      </c>
      <c r="L905">
        <v>0.439346565686978</v>
      </c>
    </row>
    <row r="906" spans="1:12" x14ac:dyDescent="0.35">
      <c r="A906">
        <v>2035</v>
      </c>
      <c r="B906" t="s">
        <v>6</v>
      </c>
      <c r="C906" t="s">
        <v>4</v>
      </c>
      <c r="D906" t="s">
        <v>18</v>
      </c>
      <c r="E906" t="s">
        <v>490</v>
      </c>
      <c r="F906" t="s">
        <v>82</v>
      </c>
      <c r="G906">
        <v>152437.6873521794</v>
      </c>
      <c r="H906">
        <v>15489.26488622676</v>
      </c>
      <c r="I906">
        <v>6805.1553327796337</v>
      </c>
      <c r="J906">
        <v>331475.29397819127</v>
      </c>
      <c r="K906">
        <v>145632.5320193998</v>
      </c>
      <c r="L906">
        <v>0.439346565686978</v>
      </c>
    </row>
    <row r="907" spans="1:12" x14ac:dyDescent="0.35">
      <c r="A907">
        <v>2035</v>
      </c>
      <c r="B907" t="s">
        <v>6</v>
      </c>
      <c r="C907" t="s">
        <v>9</v>
      </c>
      <c r="D907" t="s">
        <v>16</v>
      </c>
      <c r="E907" t="s">
        <v>483</v>
      </c>
      <c r="F907" t="s">
        <v>80</v>
      </c>
      <c r="G907">
        <v>58674.162846282037</v>
      </c>
      <c r="H907">
        <v>0</v>
      </c>
      <c r="I907">
        <v>0</v>
      </c>
      <c r="J907">
        <v>133548.70033987181</v>
      </c>
      <c r="K907">
        <v>58674.162846282037</v>
      </c>
      <c r="L907">
        <v>0.439346565686978</v>
      </c>
    </row>
    <row r="908" spans="1:12" x14ac:dyDescent="0.35">
      <c r="A908">
        <v>2035</v>
      </c>
      <c r="B908" t="s">
        <v>6</v>
      </c>
      <c r="C908" t="s">
        <v>9</v>
      </c>
      <c r="D908" t="s">
        <v>16</v>
      </c>
      <c r="E908" t="s">
        <v>483</v>
      </c>
      <c r="F908" t="s">
        <v>81</v>
      </c>
      <c r="G908">
        <v>58674.162846282037</v>
      </c>
      <c r="H908">
        <v>3079</v>
      </c>
      <c r="I908">
        <v>1306.05584956232</v>
      </c>
      <c r="J908">
        <v>130469.70033987179</v>
      </c>
      <c r="K908">
        <v>57368.106996719718</v>
      </c>
      <c r="L908">
        <v>0.439346565686978</v>
      </c>
    </row>
    <row r="909" spans="1:12" x14ac:dyDescent="0.35">
      <c r="A909">
        <v>2035</v>
      </c>
      <c r="B909" t="s">
        <v>6</v>
      </c>
      <c r="C909" t="s">
        <v>9</v>
      </c>
      <c r="D909" t="s">
        <v>18</v>
      </c>
      <c r="E909" t="s">
        <v>483</v>
      </c>
      <c r="F909" t="s">
        <v>85</v>
      </c>
      <c r="G909">
        <v>58674.162846282037</v>
      </c>
      <c r="H909">
        <v>15489.26488622676</v>
      </c>
      <c r="I909">
        <v>6570.2646996026942</v>
      </c>
      <c r="J909">
        <v>118059.4354536451</v>
      </c>
      <c r="K909">
        <v>52103.898146679341</v>
      </c>
      <c r="L909">
        <v>0.439346565686978</v>
      </c>
    </row>
    <row r="910" spans="1:12" x14ac:dyDescent="0.35">
      <c r="A910">
        <v>2035</v>
      </c>
      <c r="B910" t="s">
        <v>6</v>
      </c>
      <c r="C910" t="s">
        <v>9</v>
      </c>
      <c r="D910" t="s">
        <v>18</v>
      </c>
      <c r="E910" t="s">
        <v>483</v>
      </c>
      <c r="F910" t="s">
        <v>86</v>
      </c>
      <c r="G910">
        <v>58674.162846282037</v>
      </c>
      <c r="H910">
        <v>15489.26488622676</v>
      </c>
      <c r="I910">
        <v>6570.2646996026942</v>
      </c>
      <c r="J910">
        <v>118059.4354536451</v>
      </c>
      <c r="K910">
        <v>52103.898146679341</v>
      </c>
      <c r="L910">
        <v>0.439346565686978</v>
      </c>
    </row>
    <row r="911" spans="1:12" x14ac:dyDescent="0.35">
      <c r="A911">
        <v>2035</v>
      </c>
      <c r="B911" t="s">
        <v>6</v>
      </c>
      <c r="C911" t="s">
        <v>9</v>
      </c>
      <c r="D911" t="s">
        <v>18</v>
      </c>
      <c r="E911" t="s">
        <v>490</v>
      </c>
      <c r="F911" t="s">
        <v>82</v>
      </c>
      <c r="G911">
        <v>58674.162846282037</v>
      </c>
      <c r="H911">
        <v>15489.26488622676</v>
      </c>
      <c r="I911">
        <v>6805.1553327796337</v>
      </c>
      <c r="J911">
        <v>118059.4354536451</v>
      </c>
      <c r="K911">
        <v>51869.007513502402</v>
      </c>
      <c r="L911">
        <v>0.439346565686978</v>
      </c>
    </row>
    <row r="912" spans="1:12" x14ac:dyDescent="0.35">
      <c r="A912">
        <v>2035</v>
      </c>
      <c r="B912" t="s">
        <v>6</v>
      </c>
      <c r="C912" t="s">
        <v>10</v>
      </c>
      <c r="D912" t="s">
        <v>16</v>
      </c>
      <c r="E912" t="s">
        <v>483</v>
      </c>
      <c r="F912" t="s">
        <v>80</v>
      </c>
      <c r="G912">
        <v>144963.80013112261</v>
      </c>
      <c r="H912">
        <v>0</v>
      </c>
      <c r="I912">
        <v>0</v>
      </c>
      <c r="J912">
        <v>329953.18833197659</v>
      </c>
      <c r="K912">
        <v>144963.80013112261</v>
      </c>
      <c r="L912">
        <v>0.439346565686978</v>
      </c>
    </row>
    <row r="913" spans="1:12" x14ac:dyDescent="0.35">
      <c r="A913">
        <v>2035</v>
      </c>
      <c r="B913" t="s">
        <v>6</v>
      </c>
      <c r="C913" t="s">
        <v>10</v>
      </c>
      <c r="D913" t="s">
        <v>16</v>
      </c>
      <c r="E913" t="s">
        <v>483</v>
      </c>
      <c r="F913" t="s">
        <v>81</v>
      </c>
      <c r="G913">
        <v>144963.80013112261</v>
      </c>
      <c r="H913">
        <v>3079</v>
      </c>
      <c r="I913">
        <v>1306.05584956232</v>
      </c>
      <c r="J913">
        <v>326874.18833197659</v>
      </c>
      <c r="K913">
        <v>143657.7442815603</v>
      </c>
      <c r="L913">
        <v>0.439346565686978</v>
      </c>
    </row>
    <row r="914" spans="1:12" x14ac:dyDescent="0.35">
      <c r="A914">
        <v>2035</v>
      </c>
      <c r="B914" t="s">
        <v>6</v>
      </c>
      <c r="C914" t="s">
        <v>10</v>
      </c>
      <c r="D914" t="s">
        <v>18</v>
      </c>
      <c r="E914" t="s">
        <v>483</v>
      </c>
      <c r="F914" t="s">
        <v>85</v>
      </c>
      <c r="G914">
        <v>144963.80013112261</v>
      </c>
      <c r="H914">
        <v>15489.26488622676</v>
      </c>
      <c r="I914">
        <v>6570.2646996026942</v>
      </c>
      <c r="J914">
        <v>314463.92344574991</v>
      </c>
      <c r="K914">
        <v>138393.53543151991</v>
      </c>
      <c r="L914">
        <v>0.439346565686978</v>
      </c>
    </row>
    <row r="915" spans="1:12" x14ac:dyDescent="0.35">
      <c r="A915">
        <v>2035</v>
      </c>
      <c r="B915" t="s">
        <v>6</v>
      </c>
      <c r="C915" t="s">
        <v>10</v>
      </c>
      <c r="D915" t="s">
        <v>18</v>
      </c>
      <c r="E915" t="s">
        <v>483</v>
      </c>
      <c r="F915" t="s">
        <v>86</v>
      </c>
      <c r="G915">
        <v>144963.80013112261</v>
      </c>
      <c r="H915">
        <v>15489.26488622676</v>
      </c>
      <c r="I915">
        <v>6570.2646996026942</v>
      </c>
      <c r="J915">
        <v>314463.92344574991</v>
      </c>
      <c r="K915">
        <v>138393.53543151991</v>
      </c>
      <c r="L915">
        <v>0.439346565686978</v>
      </c>
    </row>
    <row r="916" spans="1:12" x14ac:dyDescent="0.35">
      <c r="A916">
        <v>2035</v>
      </c>
      <c r="B916" t="s">
        <v>6</v>
      </c>
      <c r="C916" t="s">
        <v>10</v>
      </c>
      <c r="D916" t="s">
        <v>18</v>
      </c>
      <c r="E916" t="s">
        <v>490</v>
      </c>
      <c r="F916" t="s">
        <v>82</v>
      </c>
      <c r="G916">
        <v>144963.80013112261</v>
      </c>
      <c r="H916">
        <v>15489.26488622676</v>
      </c>
      <c r="I916">
        <v>6805.1553327796337</v>
      </c>
      <c r="J916">
        <v>314463.92344574991</v>
      </c>
      <c r="K916">
        <v>138158.64479834301</v>
      </c>
      <c r="L916">
        <v>0.439346565686978</v>
      </c>
    </row>
    <row r="917" spans="1:12" x14ac:dyDescent="0.35">
      <c r="A917">
        <v>2035</v>
      </c>
      <c r="B917" t="s">
        <v>7</v>
      </c>
      <c r="C917" t="s">
        <v>4</v>
      </c>
      <c r="D917" t="s">
        <v>16</v>
      </c>
      <c r="E917" t="s">
        <v>483</v>
      </c>
      <c r="F917" t="s">
        <v>80</v>
      </c>
      <c r="G917">
        <v>1380748.71092915</v>
      </c>
      <c r="H917">
        <v>0</v>
      </c>
      <c r="I917">
        <v>0</v>
      </c>
      <c r="J917">
        <v>1654094.9024328911</v>
      </c>
      <c r="K917">
        <v>1380748.71092915</v>
      </c>
      <c r="L917">
        <v>0.83474576271186396</v>
      </c>
    </row>
    <row r="918" spans="1:12" x14ac:dyDescent="0.35">
      <c r="A918">
        <v>2035</v>
      </c>
      <c r="B918" t="s">
        <v>7</v>
      </c>
      <c r="C918" t="s">
        <v>4</v>
      </c>
      <c r="D918" t="s">
        <v>16</v>
      </c>
      <c r="E918" t="s">
        <v>483</v>
      </c>
      <c r="F918" t="s">
        <v>81</v>
      </c>
      <c r="G918">
        <v>1380748.71092915</v>
      </c>
      <c r="H918">
        <v>268899</v>
      </c>
      <c r="I918">
        <v>141335.65045528009</v>
      </c>
      <c r="J918">
        <v>1385195.9024328911</v>
      </c>
      <c r="K918">
        <v>1239413.06047387</v>
      </c>
      <c r="L918">
        <v>0.83474576271186396</v>
      </c>
    </row>
    <row r="919" spans="1:12" x14ac:dyDescent="0.35">
      <c r="A919">
        <v>2035</v>
      </c>
      <c r="B919" t="s">
        <v>7</v>
      </c>
      <c r="C919" t="s">
        <v>4</v>
      </c>
      <c r="D919" t="s">
        <v>18</v>
      </c>
      <c r="E919" t="s">
        <v>483</v>
      </c>
      <c r="F919" t="s">
        <v>85</v>
      </c>
      <c r="G919">
        <v>1380748.71092915</v>
      </c>
      <c r="H919">
        <v>880689.46172873862</v>
      </c>
      <c r="I919">
        <v>462898.03205866081</v>
      </c>
      <c r="J919">
        <v>773405.44070415269</v>
      </c>
      <c r="K919">
        <v>917850.67887048912</v>
      </c>
      <c r="L919">
        <v>0.83474576271186396</v>
      </c>
    </row>
    <row r="920" spans="1:12" x14ac:dyDescent="0.35">
      <c r="A920">
        <v>2035</v>
      </c>
      <c r="B920" t="s">
        <v>7</v>
      </c>
      <c r="C920" t="s">
        <v>4</v>
      </c>
      <c r="D920" t="s">
        <v>18</v>
      </c>
      <c r="E920" t="s">
        <v>483</v>
      </c>
      <c r="F920" t="s">
        <v>86</v>
      </c>
      <c r="G920">
        <v>1380748.71092915</v>
      </c>
      <c r="H920">
        <v>880689.46172873862</v>
      </c>
      <c r="I920">
        <v>462898.03205866081</v>
      </c>
      <c r="J920">
        <v>773405.44070415269</v>
      </c>
      <c r="K920">
        <v>917850.67887048912</v>
      </c>
      <c r="L920">
        <v>0.83474576271186396</v>
      </c>
    </row>
    <row r="921" spans="1:12" x14ac:dyDescent="0.35">
      <c r="A921">
        <v>2035</v>
      </c>
      <c r="B921" t="s">
        <v>7</v>
      </c>
      <c r="C921" t="s">
        <v>4</v>
      </c>
      <c r="D921" t="s">
        <v>18</v>
      </c>
      <c r="E921" t="s">
        <v>490</v>
      </c>
      <c r="F921" t="s">
        <v>82</v>
      </c>
      <c r="G921">
        <v>1380748.71092915</v>
      </c>
      <c r="H921">
        <v>880689.46172873862</v>
      </c>
      <c r="I921">
        <v>735151.79644305725</v>
      </c>
      <c r="J921">
        <v>773405.44070415269</v>
      </c>
      <c r="K921">
        <v>645596.91448609275</v>
      </c>
      <c r="L921">
        <v>0.83474576271186396</v>
      </c>
    </row>
    <row r="922" spans="1:12" x14ac:dyDescent="0.35">
      <c r="A922">
        <v>2035</v>
      </c>
      <c r="B922" t="s">
        <v>7</v>
      </c>
      <c r="C922" t="s">
        <v>9</v>
      </c>
      <c r="D922" t="s">
        <v>16</v>
      </c>
      <c r="E922" t="s">
        <v>483</v>
      </c>
      <c r="F922" t="s">
        <v>80</v>
      </c>
      <c r="G922">
        <v>1076342.608390369</v>
      </c>
      <c r="H922">
        <v>0</v>
      </c>
      <c r="I922">
        <v>0</v>
      </c>
      <c r="J922">
        <v>1289425.6628432849</v>
      </c>
      <c r="K922">
        <v>1076342.608390369</v>
      </c>
      <c r="L922">
        <v>0.83474576271186396</v>
      </c>
    </row>
    <row r="923" spans="1:12" x14ac:dyDescent="0.35">
      <c r="A923">
        <v>2035</v>
      </c>
      <c r="B923" t="s">
        <v>7</v>
      </c>
      <c r="C923" t="s">
        <v>9</v>
      </c>
      <c r="D923" t="s">
        <v>16</v>
      </c>
      <c r="E923" t="s">
        <v>483</v>
      </c>
      <c r="F923" t="s">
        <v>81</v>
      </c>
      <c r="G923">
        <v>1076342.608390369</v>
      </c>
      <c r="H923">
        <v>268899</v>
      </c>
      <c r="I923">
        <v>141335.65045528009</v>
      </c>
      <c r="J923">
        <v>1020526.662843285</v>
      </c>
      <c r="K923">
        <v>935006.95793508878</v>
      </c>
      <c r="L923">
        <v>0.83474576271186396</v>
      </c>
    </row>
    <row r="924" spans="1:12" x14ac:dyDescent="0.35">
      <c r="A924">
        <v>2035</v>
      </c>
      <c r="B924" t="s">
        <v>7</v>
      </c>
      <c r="C924" t="s">
        <v>9</v>
      </c>
      <c r="D924" t="s">
        <v>18</v>
      </c>
      <c r="E924" t="s">
        <v>483</v>
      </c>
      <c r="F924" t="s">
        <v>85</v>
      </c>
      <c r="G924">
        <v>1076342.608390369</v>
      </c>
      <c r="H924">
        <v>880689.46172873862</v>
      </c>
      <c r="I924">
        <v>462898.03205866081</v>
      </c>
      <c r="J924">
        <v>408736.20111454668</v>
      </c>
      <c r="K924">
        <v>613444.57633170811</v>
      </c>
      <c r="L924">
        <v>0.83474576271186396</v>
      </c>
    </row>
    <row r="925" spans="1:12" x14ac:dyDescent="0.35">
      <c r="A925">
        <v>2035</v>
      </c>
      <c r="B925" t="s">
        <v>7</v>
      </c>
      <c r="C925" t="s">
        <v>9</v>
      </c>
      <c r="D925" t="s">
        <v>18</v>
      </c>
      <c r="E925" t="s">
        <v>483</v>
      </c>
      <c r="F925" t="s">
        <v>86</v>
      </c>
      <c r="G925">
        <v>1076342.608390369</v>
      </c>
      <c r="H925">
        <v>880689.46172873862</v>
      </c>
      <c r="I925">
        <v>462898.03205866081</v>
      </c>
      <c r="J925">
        <v>408736.20111454668</v>
      </c>
      <c r="K925">
        <v>613444.57633170811</v>
      </c>
      <c r="L925">
        <v>0.83474576271186396</v>
      </c>
    </row>
    <row r="926" spans="1:12" x14ac:dyDescent="0.35">
      <c r="A926">
        <v>2035</v>
      </c>
      <c r="B926" t="s">
        <v>7</v>
      </c>
      <c r="C926" t="s">
        <v>9</v>
      </c>
      <c r="D926" t="s">
        <v>18</v>
      </c>
      <c r="E926" t="s">
        <v>490</v>
      </c>
      <c r="F926" t="s">
        <v>82</v>
      </c>
      <c r="G926">
        <v>1076342.608390369</v>
      </c>
      <c r="H926">
        <v>880689.46172873862</v>
      </c>
      <c r="I926">
        <v>735151.79644305725</v>
      </c>
      <c r="J926">
        <v>408736.20111454668</v>
      </c>
      <c r="K926">
        <v>341190.81194731168</v>
      </c>
      <c r="L926">
        <v>0.83474576271186396</v>
      </c>
    </row>
    <row r="927" spans="1:12" x14ac:dyDescent="0.35">
      <c r="A927">
        <v>2035</v>
      </c>
      <c r="B927" t="s">
        <v>7</v>
      </c>
      <c r="C927" t="s">
        <v>10</v>
      </c>
      <c r="D927" t="s">
        <v>16</v>
      </c>
      <c r="E927" t="s">
        <v>483</v>
      </c>
      <c r="F927" t="s">
        <v>80</v>
      </c>
      <c r="G927">
        <v>1323110.8219487551</v>
      </c>
      <c r="H927">
        <v>0</v>
      </c>
      <c r="I927">
        <v>0</v>
      </c>
      <c r="J927">
        <v>1585046.4669030779</v>
      </c>
      <c r="K927">
        <v>1323110.8219487551</v>
      </c>
      <c r="L927">
        <v>0.83474576271186396</v>
      </c>
    </row>
    <row r="928" spans="1:12" x14ac:dyDescent="0.35">
      <c r="A928">
        <v>2035</v>
      </c>
      <c r="B928" t="s">
        <v>7</v>
      </c>
      <c r="C928" t="s">
        <v>10</v>
      </c>
      <c r="D928" t="s">
        <v>16</v>
      </c>
      <c r="E928" t="s">
        <v>483</v>
      </c>
      <c r="F928" t="s">
        <v>81</v>
      </c>
      <c r="G928">
        <v>1323110.8219487551</v>
      </c>
      <c r="H928">
        <v>268899</v>
      </c>
      <c r="I928">
        <v>141335.65045528009</v>
      </c>
      <c r="J928">
        <v>1316147.4669030779</v>
      </c>
      <c r="K928">
        <v>1181775.1714934751</v>
      </c>
      <c r="L928">
        <v>0.83474576271186396</v>
      </c>
    </row>
    <row r="929" spans="1:12" x14ac:dyDescent="0.35">
      <c r="A929">
        <v>2035</v>
      </c>
      <c r="B929" t="s">
        <v>7</v>
      </c>
      <c r="C929" t="s">
        <v>10</v>
      </c>
      <c r="D929" t="s">
        <v>18</v>
      </c>
      <c r="E929" t="s">
        <v>483</v>
      </c>
      <c r="F929" t="s">
        <v>85</v>
      </c>
      <c r="G929">
        <v>1323110.8219487551</v>
      </c>
      <c r="H929">
        <v>880689.46172873862</v>
      </c>
      <c r="I929">
        <v>462898.03205866081</v>
      </c>
      <c r="J929">
        <v>704357.00517433928</v>
      </c>
      <c r="K929">
        <v>860212.78989009419</v>
      </c>
      <c r="L929">
        <v>0.83474576271186396</v>
      </c>
    </row>
    <row r="930" spans="1:12" x14ac:dyDescent="0.35">
      <c r="A930">
        <v>2035</v>
      </c>
      <c r="B930" t="s">
        <v>7</v>
      </c>
      <c r="C930" t="s">
        <v>10</v>
      </c>
      <c r="D930" t="s">
        <v>18</v>
      </c>
      <c r="E930" t="s">
        <v>483</v>
      </c>
      <c r="F930" t="s">
        <v>86</v>
      </c>
      <c r="G930">
        <v>1323110.8219487551</v>
      </c>
      <c r="H930">
        <v>880689.46172873862</v>
      </c>
      <c r="I930">
        <v>462898.03205866081</v>
      </c>
      <c r="J930">
        <v>704357.00517433928</v>
      </c>
      <c r="K930">
        <v>860212.78989009419</v>
      </c>
      <c r="L930">
        <v>0.83474576271186396</v>
      </c>
    </row>
    <row r="931" spans="1:12" x14ac:dyDescent="0.35">
      <c r="A931">
        <v>2035</v>
      </c>
      <c r="B931" t="s">
        <v>7</v>
      </c>
      <c r="C931" t="s">
        <v>10</v>
      </c>
      <c r="D931" t="s">
        <v>18</v>
      </c>
      <c r="E931" t="s">
        <v>490</v>
      </c>
      <c r="F931" t="s">
        <v>82</v>
      </c>
      <c r="G931">
        <v>1323110.8219487551</v>
      </c>
      <c r="H931">
        <v>880689.46172873862</v>
      </c>
      <c r="I931">
        <v>735151.79644305725</v>
      </c>
      <c r="J931">
        <v>704357.00517433928</v>
      </c>
      <c r="K931">
        <v>587959.02550569782</v>
      </c>
      <c r="L931">
        <v>0.83474576271186396</v>
      </c>
    </row>
    <row r="932" spans="1:12" x14ac:dyDescent="0.35">
      <c r="A932">
        <v>2035</v>
      </c>
      <c r="B932" t="s">
        <v>13</v>
      </c>
      <c r="C932" t="s">
        <v>4</v>
      </c>
      <c r="D932" t="s">
        <v>16</v>
      </c>
      <c r="E932" t="s">
        <v>483</v>
      </c>
      <c r="F932" t="s">
        <v>80</v>
      </c>
      <c r="G932">
        <v>3066.2923431360991</v>
      </c>
      <c r="H932">
        <v>0</v>
      </c>
      <c r="I932">
        <v>0</v>
      </c>
      <c r="J932">
        <v>3066.2923431360991</v>
      </c>
      <c r="K932">
        <v>3066.2923431360991</v>
      </c>
      <c r="L932">
        <v>1</v>
      </c>
    </row>
    <row r="933" spans="1:12" x14ac:dyDescent="0.35">
      <c r="A933">
        <v>2035</v>
      </c>
      <c r="B933" t="s">
        <v>13</v>
      </c>
      <c r="C933" t="s">
        <v>4</v>
      </c>
      <c r="D933" t="s">
        <v>16</v>
      </c>
      <c r="E933" t="s">
        <v>483</v>
      </c>
      <c r="F933" t="s">
        <v>81</v>
      </c>
      <c r="G933">
        <v>3066.2923431360991</v>
      </c>
      <c r="H933">
        <v>0</v>
      </c>
      <c r="I933">
        <v>0</v>
      </c>
      <c r="J933">
        <v>3066.2923431360991</v>
      </c>
      <c r="K933">
        <v>3066.2923431360991</v>
      </c>
      <c r="L933">
        <v>1</v>
      </c>
    </row>
    <row r="934" spans="1:12" x14ac:dyDescent="0.35">
      <c r="A934">
        <v>2035</v>
      </c>
      <c r="B934" t="s">
        <v>13</v>
      </c>
      <c r="C934" t="s">
        <v>4</v>
      </c>
      <c r="D934" t="s">
        <v>18</v>
      </c>
      <c r="E934" t="s">
        <v>483</v>
      </c>
      <c r="F934" t="s">
        <v>85</v>
      </c>
      <c r="G934">
        <v>3066.2923431360991</v>
      </c>
      <c r="H934">
        <v>156348.75450875031</v>
      </c>
      <c r="I934">
        <v>51595.088987887611</v>
      </c>
      <c r="J934">
        <v>0</v>
      </c>
      <c r="K934">
        <v>0</v>
      </c>
      <c r="L934">
        <v>1</v>
      </c>
    </row>
    <row r="935" spans="1:12" x14ac:dyDescent="0.35">
      <c r="A935">
        <v>2035</v>
      </c>
      <c r="B935" t="s">
        <v>13</v>
      </c>
      <c r="C935" t="s">
        <v>4</v>
      </c>
      <c r="D935" t="s">
        <v>18</v>
      </c>
      <c r="E935" t="s">
        <v>483</v>
      </c>
      <c r="F935" t="s">
        <v>86</v>
      </c>
      <c r="G935">
        <v>3066.2923431360991</v>
      </c>
      <c r="H935">
        <v>156348.75450875031</v>
      </c>
      <c r="I935">
        <v>51595.088987887611</v>
      </c>
      <c r="J935">
        <v>0</v>
      </c>
      <c r="K935">
        <v>0</v>
      </c>
      <c r="L935">
        <v>1</v>
      </c>
    </row>
    <row r="936" spans="1:12" x14ac:dyDescent="0.35">
      <c r="A936">
        <v>2035</v>
      </c>
      <c r="B936" t="s">
        <v>13</v>
      </c>
      <c r="C936" t="s">
        <v>4</v>
      </c>
      <c r="D936" t="s">
        <v>18</v>
      </c>
      <c r="E936" t="s">
        <v>490</v>
      </c>
      <c r="F936" t="s">
        <v>82</v>
      </c>
      <c r="G936">
        <v>3066.2923431360991</v>
      </c>
      <c r="H936">
        <v>156348.75450875031</v>
      </c>
      <c r="I936">
        <v>51595.088987887611</v>
      </c>
      <c r="J936">
        <v>0</v>
      </c>
      <c r="K936">
        <v>0</v>
      </c>
      <c r="L936">
        <v>1</v>
      </c>
    </row>
    <row r="937" spans="1:12" x14ac:dyDescent="0.35">
      <c r="A937">
        <v>2035</v>
      </c>
      <c r="B937" t="s">
        <v>13</v>
      </c>
      <c r="C937" t="s">
        <v>9</v>
      </c>
      <c r="D937" t="s">
        <v>16</v>
      </c>
      <c r="E937" t="s">
        <v>483</v>
      </c>
      <c r="F937" t="s">
        <v>80</v>
      </c>
      <c r="G937">
        <v>1155.663795288184</v>
      </c>
      <c r="H937">
        <v>0</v>
      </c>
      <c r="I937">
        <v>0</v>
      </c>
      <c r="J937">
        <v>1155.663795288184</v>
      </c>
      <c r="K937">
        <v>1155.663795288184</v>
      </c>
      <c r="L937">
        <v>1</v>
      </c>
    </row>
    <row r="938" spans="1:12" x14ac:dyDescent="0.35">
      <c r="A938">
        <v>2035</v>
      </c>
      <c r="B938" t="s">
        <v>13</v>
      </c>
      <c r="C938" t="s">
        <v>9</v>
      </c>
      <c r="D938" t="s">
        <v>16</v>
      </c>
      <c r="E938" t="s">
        <v>483</v>
      </c>
      <c r="F938" t="s">
        <v>81</v>
      </c>
      <c r="G938">
        <v>1155.663795288184</v>
      </c>
      <c r="H938">
        <v>0</v>
      </c>
      <c r="I938">
        <v>0</v>
      </c>
      <c r="J938">
        <v>1155.663795288184</v>
      </c>
      <c r="K938">
        <v>1155.663795288184</v>
      </c>
      <c r="L938">
        <v>1</v>
      </c>
    </row>
    <row r="939" spans="1:12" x14ac:dyDescent="0.35">
      <c r="A939">
        <v>2035</v>
      </c>
      <c r="B939" t="s">
        <v>13</v>
      </c>
      <c r="C939" t="s">
        <v>9</v>
      </c>
      <c r="D939" t="s">
        <v>18</v>
      </c>
      <c r="E939" t="s">
        <v>483</v>
      </c>
      <c r="F939" t="s">
        <v>85</v>
      </c>
      <c r="G939">
        <v>1155.663795288184</v>
      </c>
      <c r="H939">
        <v>156348.75450875031</v>
      </c>
      <c r="I939">
        <v>51595.088987887611</v>
      </c>
      <c r="J939">
        <v>0</v>
      </c>
      <c r="K939">
        <v>0</v>
      </c>
      <c r="L939">
        <v>1</v>
      </c>
    </row>
    <row r="940" spans="1:12" x14ac:dyDescent="0.35">
      <c r="A940">
        <v>2035</v>
      </c>
      <c r="B940" t="s">
        <v>13</v>
      </c>
      <c r="C940" t="s">
        <v>9</v>
      </c>
      <c r="D940" t="s">
        <v>18</v>
      </c>
      <c r="E940" t="s">
        <v>483</v>
      </c>
      <c r="F940" t="s">
        <v>86</v>
      </c>
      <c r="G940">
        <v>1155.663795288184</v>
      </c>
      <c r="H940">
        <v>156348.75450875031</v>
      </c>
      <c r="I940">
        <v>51595.088987887611</v>
      </c>
      <c r="J940">
        <v>0</v>
      </c>
      <c r="K940">
        <v>0</v>
      </c>
      <c r="L940">
        <v>1</v>
      </c>
    </row>
    <row r="941" spans="1:12" x14ac:dyDescent="0.35">
      <c r="A941">
        <v>2035</v>
      </c>
      <c r="B941" t="s">
        <v>13</v>
      </c>
      <c r="C941" t="s">
        <v>9</v>
      </c>
      <c r="D941" t="s">
        <v>18</v>
      </c>
      <c r="E941" t="s">
        <v>490</v>
      </c>
      <c r="F941" t="s">
        <v>82</v>
      </c>
      <c r="G941">
        <v>1155.663795288184</v>
      </c>
      <c r="H941">
        <v>156348.75450875031</v>
      </c>
      <c r="I941">
        <v>51595.088987887611</v>
      </c>
      <c r="J941">
        <v>0</v>
      </c>
      <c r="K941">
        <v>0</v>
      </c>
      <c r="L941">
        <v>1</v>
      </c>
    </row>
    <row r="942" spans="1:12" x14ac:dyDescent="0.35">
      <c r="A942">
        <v>2035</v>
      </c>
      <c r="B942" t="s">
        <v>13</v>
      </c>
      <c r="C942" t="s">
        <v>10</v>
      </c>
      <c r="D942" t="s">
        <v>16</v>
      </c>
      <c r="E942" t="s">
        <v>483</v>
      </c>
      <c r="F942" t="s">
        <v>80</v>
      </c>
      <c r="G942">
        <v>2917.7788379064118</v>
      </c>
      <c r="H942">
        <v>0</v>
      </c>
      <c r="I942">
        <v>0</v>
      </c>
      <c r="J942">
        <v>2917.7788379064118</v>
      </c>
      <c r="K942">
        <v>2917.7788379064118</v>
      </c>
      <c r="L942">
        <v>1</v>
      </c>
    </row>
    <row r="943" spans="1:12" x14ac:dyDescent="0.35">
      <c r="A943">
        <v>2035</v>
      </c>
      <c r="B943" t="s">
        <v>13</v>
      </c>
      <c r="C943" t="s">
        <v>10</v>
      </c>
      <c r="D943" t="s">
        <v>16</v>
      </c>
      <c r="E943" t="s">
        <v>483</v>
      </c>
      <c r="F943" t="s">
        <v>81</v>
      </c>
      <c r="G943">
        <v>2917.7788379064118</v>
      </c>
      <c r="H943">
        <v>0</v>
      </c>
      <c r="I943">
        <v>0</v>
      </c>
      <c r="J943">
        <v>2917.7788379064118</v>
      </c>
      <c r="K943">
        <v>2917.7788379064118</v>
      </c>
      <c r="L943">
        <v>1</v>
      </c>
    </row>
    <row r="944" spans="1:12" x14ac:dyDescent="0.35">
      <c r="A944">
        <v>2035</v>
      </c>
      <c r="B944" t="s">
        <v>13</v>
      </c>
      <c r="C944" t="s">
        <v>10</v>
      </c>
      <c r="D944" t="s">
        <v>18</v>
      </c>
      <c r="E944" t="s">
        <v>483</v>
      </c>
      <c r="F944" t="s">
        <v>85</v>
      </c>
      <c r="G944">
        <v>2917.7788379064118</v>
      </c>
      <c r="H944">
        <v>156348.75450875031</v>
      </c>
      <c r="I944">
        <v>51595.088987887611</v>
      </c>
      <c r="J944">
        <v>0</v>
      </c>
      <c r="K944">
        <v>0</v>
      </c>
      <c r="L944">
        <v>1</v>
      </c>
    </row>
    <row r="945" spans="1:12" x14ac:dyDescent="0.35">
      <c r="A945">
        <v>2035</v>
      </c>
      <c r="B945" t="s">
        <v>13</v>
      </c>
      <c r="C945" t="s">
        <v>10</v>
      </c>
      <c r="D945" t="s">
        <v>18</v>
      </c>
      <c r="E945" t="s">
        <v>483</v>
      </c>
      <c r="F945" t="s">
        <v>86</v>
      </c>
      <c r="G945">
        <v>2917.7788379064118</v>
      </c>
      <c r="H945">
        <v>156348.75450875031</v>
      </c>
      <c r="I945">
        <v>51595.088987887611</v>
      </c>
      <c r="J945">
        <v>0</v>
      </c>
      <c r="K945">
        <v>0</v>
      </c>
      <c r="L945">
        <v>1</v>
      </c>
    </row>
    <row r="946" spans="1:12" x14ac:dyDescent="0.35">
      <c r="A946">
        <v>2035</v>
      </c>
      <c r="B946" t="s">
        <v>13</v>
      </c>
      <c r="C946" t="s">
        <v>10</v>
      </c>
      <c r="D946" t="s">
        <v>18</v>
      </c>
      <c r="E946" t="s">
        <v>490</v>
      </c>
      <c r="F946" t="s">
        <v>82</v>
      </c>
      <c r="G946">
        <v>2917.7788379064118</v>
      </c>
      <c r="H946">
        <v>156348.75450875031</v>
      </c>
      <c r="I946">
        <v>51595.088987887611</v>
      </c>
      <c r="J946">
        <v>0</v>
      </c>
      <c r="K946">
        <v>0</v>
      </c>
      <c r="L946">
        <v>1</v>
      </c>
    </row>
    <row r="947" spans="1:12" x14ac:dyDescent="0.35">
      <c r="A947">
        <v>2035</v>
      </c>
      <c r="B947" t="s">
        <v>12</v>
      </c>
      <c r="C947" t="s">
        <v>4</v>
      </c>
      <c r="D947" t="s">
        <v>16</v>
      </c>
      <c r="E947" t="s">
        <v>483</v>
      </c>
      <c r="F947" t="s">
        <v>80</v>
      </c>
      <c r="G947">
        <v>62177.458189905767</v>
      </c>
      <c r="H947">
        <v>0</v>
      </c>
      <c r="I947">
        <v>0</v>
      </c>
      <c r="J947">
        <v>88930.326403068175</v>
      </c>
      <c r="K947">
        <v>62177.458189905767</v>
      </c>
      <c r="L947">
        <v>0.69917047091553897</v>
      </c>
    </row>
    <row r="948" spans="1:12" x14ac:dyDescent="0.35">
      <c r="A948">
        <v>2035</v>
      </c>
      <c r="B948" t="s">
        <v>12</v>
      </c>
      <c r="C948" t="s">
        <v>4</v>
      </c>
      <c r="D948" t="s">
        <v>16</v>
      </c>
      <c r="E948" t="s">
        <v>483</v>
      </c>
      <c r="F948" t="s">
        <v>81</v>
      </c>
      <c r="G948">
        <v>62177.458189905767</v>
      </c>
      <c r="H948">
        <v>40453</v>
      </c>
      <c r="I948">
        <v>28283.5430599463</v>
      </c>
      <c r="J948">
        <v>48477.326403068168</v>
      </c>
      <c r="K948">
        <v>33893.915129959467</v>
      </c>
      <c r="L948">
        <v>0.69917047091553897</v>
      </c>
    </row>
    <row r="949" spans="1:12" x14ac:dyDescent="0.35">
      <c r="A949">
        <v>2035</v>
      </c>
      <c r="B949" t="s">
        <v>12</v>
      </c>
      <c r="C949" t="s">
        <v>4</v>
      </c>
      <c r="D949" t="s">
        <v>18</v>
      </c>
      <c r="E949" t="s">
        <v>483</v>
      </c>
      <c r="F949" t="s">
        <v>85</v>
      </c>
      <c r="G949">
        <v>62177.458189905767</v>
      </c>
      <c r="H949">
        <v>146121.35070949371</v>
      </c>
      <c r="I949">
        <v>102163.73358637129</v>
      </c>
      <c r="J949">
        <v>0</v>
      </c>
      <c r="K949">
        <v>0</v>
      </c>
      <c r="L949">
        <v>0.69917047091553897</v>
      </c>
    </row>
    <row r="950" spans="1:12" x14ac:dyDescent="0.35">
      <c r="A950">
        <v>2035</v>
      </c>
      <c r="B950" t="s">
        <v>12</v>
      </c>
      <c r="C950" t="s">
        <v>4</v>
      </c>
      <c r="D950" t="s">
        <v>18</v>
      </c>
      <c r="E950" t="s">
        <v>483</v>
      </c>
      <c r="F950" t="s">
        <v>86</v>
      </c>
      <c r="G950">
        <v>62177.458189905767</v>
      </c>
      <c r="H950">
        <v>146121.35070949371</v>
      </c>
      <c r="I950">
        <v>102163.73358637129</v>
      </c>
      <c r="J950">
        <v>0</v>
      </c>
      <c r="K950">
        <v>0</v>
      </c>
      <c r="L950">
        <v>0.69917047091553897</v>
      </c>
    </row>
    <row r="951" spans="1:12" x14ac:dyDescent="0.35">
      <c r="A951">
        <v>2035</v>
      </c>
      <c r="B951" t="s">
        <v>12</v>
      </c>
      <c r="C951" t="s">
        <v>4</v>
      </c>
      <c r="D951" t="s">
        <v>18</v>
      </c>
      <c r="E951" t="s">
        <v>490</v>
      </c>
      <c r="F951" t="s">
        <v>82</v>
      </c>
      <c r="G951">
        <v>62177.458189905767</v>
      </c>
      <c r="H951">
        <v>146121.35070949371</v>
      </c>
      <c r="I951">
        <v>102163.73358637129</v>
      </c>
      <c r="J951">
        <v>0</v>
      </c>
      <c r="K951">
        <v>0</v>
      </c>
      <c r="L951">
        <v>0.69917047091553897</v>
      </c>
    </row>
    <row r="952" spans="1:12" x14ac:dyDescent="0.35">
      <c r="A952">
        <v>2035</v>
      </c>
      <c r="B952" t="s">
        <v>12</v>
      </c>
      <c r="C952" t="s">
        <v>9</v>
      </c>
      <c r="D952" t="s">
        <v>16</v>
      </c>
      <c r="E952" t="s">
        <v>483</v>
      </c>
      <c r="F952" t="s">
        <v>80</v>
      </c>
      <c r="G952">
        <v>23434.242163494011</v>
      </c>
      <c r="H952">
        <v>0</v>
      </c>
      <c r="I952">
        <v>0</v>
      </c>
      <c r="J952">
        <v>33517.208089191328</v>
      </c>
      <c r="K952">
        <v>23434.242163494011</v>
      </c>
      <c r="L952">
        <v>0.69917047091553897</v>
      </c>
    </row>
    <row r="953" spans="1:12" x14ac:dyDescent="0.35">
      <c r="A953">
        <v>2035</v>
      </c>
      <c r="B953" t="s">
        <v>12</v>
      </c>
      <c r="C953" t="s">
        <v>9</v>
      </c>
      <c r="D953" t="s">
        <v>16</v>
      </c>
      <c r="E953" t="s">
        <v>483</v>
      </c>
      <c r="F953" t="s">
        <v>81</v>
      </c>
      <c r="G953">
        <v>23434.242163494011</v>
      </c>
      <c r="H953">
        <v>40453</v>
      </c>
      <c r="I953">
        <v>28283.5430599463</v>
      </c>
      <c r="J953">
        <v>0</v>
      </c>
      <c r="K953">
        <v>0</v>
      </c>
      <c r="L953">
        <v>0.69917047091553897</v>
      </c>
    </row>
    <row r="954" spans="1:12" x14ac:dyDescent="0.35">
      <c r="A954">
        <v>2035</v>
      </c>
      <c r="B954" t="s">
        <v>12</v>
      </c>
      <c r="C954" t="s">
        <v>9</v>
      </c>
      <c r="D954" t="s">
        <v>18</v>
      </c>
      <c r="E954" t="s">
        <v>483</v>
      </c>
      <c r="F954" t="s">
        <v>85</v>
      </c>
      <c r="G954">
        <v>23434.242163494011</v>
      </c>
      <c r="H954">
        <v>146121.35070949371</v>
      </c>
      <c r="I954">
        <v>102163.73358637129</v>
      </c>
      <c r="J954">
        <v>0</v>
      </c>
      <c r="K954">
        <v>0</v>
      </c>
      <c r="L954">
        <v>0.69917047091553897</v>
      </c>
    </row>
    <row r="955" spans="1:12" x14ac:dyDescent="0.35">
      <c r="A955">
        <v>2035</v>
      </c>
      <c r="B955" t="s">
        <v>12</v>
      </c>
      <c r="C955" t="s">
        <v>9</v>
      </c>
      <c r="D955" t="s">
        <v>18</v>
      </c>
      <c r="E955" t="s">
        <v>483</v>
      </c>
      <c r="F955" t="s">
        <v>86</v>
      </c>
      <c r="G955">
        <v>23434.242163494011</v>
      </c>
      <c r="H955">
        <v>146121.35070949371</v>
      </c>
      <c r="I955">
        <v>102163.73358637129</v>
      </c>
      <c r="J955">
        <v>0</v>
      </c>
      <c r="K955">
        <v>0</v>
      </c>
      <c r="L955">
        <v>0.69917047091553897</v>
      </c>
    </row>
    <row r="956" spans="1:12" x14ac:dyDescent="0.35">
      <c r="A956">
        <v>2035</v>
      </c>
      <c r="B956" t="s">
        <v>12</v>
      </c>
      <c r="C956" t="s">
        <v>9</v>
      </c>
      <c r="D956" t="s">
        <v>18</v>
      </c>
      <c r="E956" t="s">
        <v>490</v>
      </c>
      <c r="F956" t="s">
        <v>82</v>
      </c>
      <c r="G956">
        <v>23434.242163494011</v>
      </c>
      <c r="H956">
        <v>146121.35070949371</v>
      </c>
      <c r="I956">
        <v>102163.73358637129</v>
      </c>
      <c r="J956">
        <v>0</v>
      </c>
      <c r="K956">
        <v>0</v>
      </c>
      <c r="L956">
        <v>0.69917047091553897</v>
      </c>
    </row>
    <row r="957" spans="1:12" x14ac:dyDescent="0.35">
      <c r="A957">
        <v>2035</v>
      </c>
      <c r="B957" t="s">
        <v>12</v>
      </c>
      <c r="C957" t="s">
        <v>10</v>
      </c>
      <c r="D957" t="s">
        <v>16</v>
      </c>
      <c r="E957" t="s">
        <v>483</v>
      </c>
      <c r="F957" t="s">
        <v>80</v>
      </c>
      <c r="G957">
        <v>59165.940947355157</v>
      </c>
      <c r="H957">
        <v>0</v>
      </c>
      <c r="I957">
        <v>0</v>
      </c>
      <c r="J957">
        <v>84623.054617680653</v>
      </c>
      <c r="K957">
        <v>59165.940947355157</v>
      </c>
      <c r="L957">
        <v>0.69917047091553897</v>
      </c>
    </row>
    <row r="958" spans="1:12" x14ac:dyDescent="0.35">
      <c r="A958">
        <v>2035</v>
      </c>
      <c r="B958" t="s">
        <v>12</v>
      </c>
      <c r="C958" t="s">
        <v>10</v>
      </c>
      <c r="D958" t="s">
        <v>16</v>
      </c>
      <c r="E958" t="s">
        <v>483</v>
      </c>
      <c r="F958" t="s">
        <v>81</v>
      </c>
      <c r="G958">
        <v>59165.940947355157</v>
      </c>
      <c r="H958">
        <v>40453</v>
      </c>
      <c r="I958">
        <v>28283.5430599463</v>
      </c>
      <c r="J958">
        <v>44170.054617680653</v>
      </c>
      <c r="K958">
        <v>30882.397887408861</v>
      </c>
      <c r="L958">
        <v>0.69917047091553897</v>
      </c>
    </row>
    <row r="959" spans="1:12" x14ac:dyDescent="0.35">
      <c r="A959">
        <v>2035</v>
      </c>
      <c r="B959" t="s">
        <v>12</v>
      </c>
      <c r="C959" t="s">
        <v>10</v>
      </c>
      <c r="D959" t="s">
        <v>18</v>
      </c>
      <c r="E959" t="s">
        <v>483</v>
      </c>
      <c r="F959" t="s">
        <v>85</v>
      </c>
      <c r="G959">
        <v>59165.940947355157</v>
      </c>
      <c r="H959">
        <v>146121.35070949371</v>
      </c>
      <c r="I959">
        <v>102163.73358637129</v>
      </c>
      <c r="J959">
        <v>0</v>
      </c>
      <c r="K959">
        <v>0</v>
      </c>
      <c r="L959">
        <v>0.69917047091553897</v>
      </c>
    </row>
    <row r="960" spans="1:12" x14ac:dyDescent="0.35">
      <c r="A960">
        <v>2035</v>
      </c>
      <c r="B960" t="s">
        <v>12</v>
      </c>
      <c r="C960" t="s">
        <v>10</v>
      </c>
      <c r="D960" t="s">
        <v>18</v>
      </c>
      <c r="E960" t="s">
        <v>483</v>
      </c>
      <c r="F960" t="s">
        <v>86</v>
      </c>
      <c r="G960">
        <v>59165.940947355157</v>
      </c>
      <c r="H960">
        <v>146121.35070949371</v>
      </c>
      <c r="I960">
        <v>102163.73358637129</v>
      </c>
      <c r="J960">
        <v>0</v>
      </c>
      <c r="K960">
        <v>0</v>
      </c>
      <c r="L960">
        <v>0.69917047091553897</v>
      </c>
    </row>
    <row r="961" spans="1:12" x14ac:dyDescent="0.35">
      <c r="A961">
        <v>2035</v>
      </c>
      <c r="B961" t="s">
        <v>12</v>
      </c>
      <c r="C961" t="s">
        <v>10</v>
      </c>
      <c r="D961" t="s">
        <v>18</v>
      </c>
      <c r="E961" t="s">
        <v>490</v>
      </c>
      <c r="F961" t="s">
        <v>82</v>
      </c>
      <c r="G961">
        <v>59165.940947355157</v>
      </c>
      <c r="H961">
        <v>146121.35070949371</v>
      </c>
      <c r="I961">
        <v>102163.73358637129</v>
      </c>
      <c r="J961">
        <v>0</v>
      </c>
      <c r="K961">
        <v>0</v>
      </c>
      <c r="L961">
        <v>0.69917047091553897</v>
      </c>
    </row>
    <row r="962" spans="1:12" x14ac:dyDescent="0.35">
      <c r="A962">
        <v>2035</v>
      </c>
      <c r="B962" t="s">
        <v>11</v>
      </c>
      <c r="C962" t="s">
        <v>4</v>
      </c>
      <c r="D962" t="s">
        <v>16</v>
      </c>
      <c r="E962" t="s">
        <v>483</v>
      </c>
      <c r="F962" t="s">
        <v>80</v>
      </c>
      <c r="G962">
        <v>4963.692314413418</v>
      </c>
      <c r="H962">
        <v>0</v>
      </c>
      <c r="I962">
        <v>0</v>
      </c>
      <c r="J962">
        <v>8292.9459282692042</v>
      </c>
      <c r="K962">
        <v>4963.692314413418</v>
      </c>
      <c r="L962">
        <v>0.59854391398996798</v>
      </c>
    </row>
    <row r="963" spans="1:12" x14ac:dyDescent="0.35">
      <c r="A963">
        <v>2035</v>
      </c>
      <c r="B963" t="s">
        <v>11</v>
      </c>
      <c r="C963" t="s">
        <v>4</v>
      </c>
      <c r="D963" t="s">
        <v>16</v>
      </c>
      <c r="E963" t="s">
        <v>483</v>
      </c>
      <c r="F963" t="s">
        <v>81</v>
      </c>
      <c r="G963">
        <v>4963.692314413418</v>
      </c>
      <c r="H963">
        <v>0</v>
      </c>
      <c r="I963">
        <v>0</v>
      </c>
      <c r="J963">
        <v>8292.9459282692042</v>
      </c>
      <c r="K963">
        <v>4963.692314413418</v>
      </c>
      <c r="L963">
        <v>0.59854391398996798</v>
      </c>
    </row>
    <row r="964" spans="1:12" x14ac:dyDescent="0.35">
      <c r="A964">
        <v>2035</v>
      </c>
      <c r="B964" t="s">
        <v>11</v>
      </c>
      <c r="C964" t="s">
        <v>4</v>
      </c>
      <c r="D964" t="s">
        <v>18</v>
      </c>
      <c r="E964" t="s">
        <v>483</v>
      </c>
      <c r="F964" t="s">
        <v>85</v>
      </c>
      <c r="G964">
        <v>4963.692314413418</v>
      </c>
      <c r="H964">
        <v>80.029175596616852</v>
      </c>
      <c r="I964">
        <v>47.900975994989473</v>
      </c>
      <c r="J964">
        <v>8212.9167526725869</v>
      </c>
      <c r="K964">
        <v>4915.7913384184276</v>
      </c>
      <c r="L964">
        <v>0.59854391398996798</v>
      </c>
    </row>
    <row r="965" spans="1:12" x14ac:dyDescent="0.35">
      <c r="A965">
        <v>2035</v>
      </c>
      <c r="B965" t="s">
        <v>11</v>
      </c>
      <c r="C965" t="s">
        <v>4</v>
      </c>
      <c r="D965" t="s">
        <v>18</v>
      </c>
      <c r="E965" t="s">
        <v>483</v>
      </c>
      <c r="F965" t="s">
        <v>86</v>
      </c>
      <c r="G965">
        <v>4963.692314413418</v>
      </c>
      <c r="H965">
        <v>80.029175596616852</v>
      </c>
      <c r="I965">
        <v>47.900975994989473</v>
      </c>
      <c r="J965">
        <v>8212.9167526725869</v>
      </c>
      <c r="K965">
        <v>4915.7913384184276</v>
      </c>
      <c r="L965">
        <v>0.59854391398996798</v>
      </c>
    </row>
    <row r="966" spans="1:12" x14ac:dyDescent="0.35">
      <c r="A966">
        <v>2035</v>
      </c>
      <c r="B966" t="s">
        <v>11</v>
      </c>
      <c r="C966" t="s">
        <v>4</v>
      </c>
      <c r="D966" t="s">
        <v>18</v>
      </c>
      <c r="E966" t="s">
        <v>490</v>
      </c>
      <c r="F966" t="s">
        <v>82</v>
      </c>
      <c r="G966">
        <v>4963.692314413418</v>
      </c>
      <c r="H966">
        <v>80.029175596616852</v>
      </c>
      <c r="I966">
        <v>47.900975994989473</v>
      </c>
      <c r="J966">
        <v>8212.9167526725869</v>
      </c>
      <c r="K966">
        <v>4915.7913384184276</v>
      </c>
      <c r="L966">
        <v>0.59854391398996798</v>
      </c>
    </row>
    <row r="967" spans="1:12" x14ac:dyDescent="0.35">
      <c r="A967">
        <v>2035</v>
      </c>
      <c r="B967" t="s">
        <v>11</v>
      </c>
      <c r="C967" t="s">
        <v>9</v>
      </c>
      <c r="D967" t="s">
        <v>16</v>
      </c>
      <c r="E967" t="s">
        <v>483</v>
      </c>
      <c r="F967" t="s">
        <v>80</v>
      </c>
      <c r="G967">
        <v>1591.879620066579</v>
      </c>
      <c r="H967">
        <v>0</v>
      </c>
      <c r="I967">
        <v>0</v>
      </c>
      <c r="J967">
        <v>2659.587012513271</v>
      </c>
      <c r="K967">
        <v>1591.879620066579</v>
      </c>
      <c r="L967">
        <v>0.59854391398996798</v>
      </c>
    </row>
    <row r="968" spans="1:12" x14ac:dyDescent="0.35">
      <c r="A968">
        <v>2035</v>
      </c>
      <c r="B968" t="s">
        <v>11</v>
      </c>
      <c r="C968" t="s">
        <v>9</v>
      </c>
      <c r="D968" t="s">
        <v>16</v>
      </c>
      <c r="E968" t="s">
        <v>483</v>
      </c>
      <c r="F968" t="s">
        <v>81</v>
      </c>
      <c r="G968">
        <v>1591.879620066579</v>
      </c>
      <c r="H968">
        <v>0</v>
      </c>
      <c r="I968">
        <v>0</v>
      </c>
      <c r="J968">
        <v>2659.587012513271</v>
      </c>
      <c r="K968">
        <v>1591.879620066579</v>
      </c>
      <c r="L968">
        <v>0.59854391398996798</v>
      </c>
    </row>
    <row r="969" spans="1:12" x14ac:dyDescent="0.35">
      <c r="A969">
        <v>2035</v>
      </c>
      <c r="B969" t="s">
        <v>11</v>
      </c>
      <c r="C969" t="s">
        <v>9</v>
      </c>
      <c r="D969" t="s">
        <v>18</v>
      </c>
      <c r="E969" t="s">
        <v>483</v>
      </c>
      <c r="F969" t="s">
        <v>85</v>
      </c>
      <c r="G969">
        <v>1591.879620066579</v>
      </c>
      <c r="H969">
        <v>80.029175596616852</v>
      </c>
      <c r="I969">
        <v>47.900975994989473</v>
      </c>
      <c r="J969">
        <v>2579.5578369166542</v>
      </c>
      <c r="K969">
        <v>1543.97864407159</v>
      </c>
      <c r="L969">
        <v>0.59854391398996798</v>
      </c>
    </row>
    <row r="970" spans="1:12" x14ac:dyDescent="0.35">
      <c r="A970">
        <v>2035</v>
      </c>
      <c r="B970" t="s">
        <v>11</v>
      </c>
      <c r="C970" t="s">
        <v>9</v>
      </c>
      <c r="D970" t="s">
        <v>18</v>
      </c>
      <c r="E970" t="s">
        <v>483</v>
      </c>
      <c r="F970" t="s">
        <v>86</v>
      </c>
      <c r="G970">
        <v>1591.879620066579</v>
      </c>
      <c r="H970">
        <v>80.029175596616852</v>
      </c>
      <c r="I970">
        <v>47.900975994989473</v>
      </c>
      <c r="J970">
        <v>2579.5578369166542</v>
      </c>
      <c r="K970">
        <v>1543.97864407159</v>
      </c>
      <c r="L970">
        <v>0.59854391398996798</v>
      </c>
    </row>
    <row r="971" spans="1:12" x14ac:dyDescent="0.35">
      <c r="A971">
        <v>2035</v>
      </c>
      <c r="B971" t="s">
        <v>11</v>
      </c>
      <c r="C971" t="s">
        <v>9</v>
      </c>
      <c r="D971" t="s">
        <v>18</v>
      </c>
      <c r="E971" t="s">
        <v>490</v>
      </c>
      <c r="F971" t="s">
        <v>82</v>
      </c>
      <c r="G971">
        <v>1591.879620066579</v>
      </c>
      <c r="H971">
        <v>80.029175596616852</v>
      </c>
      <c r="I971">
        <v>47.900975994989473</v>
      </c>
      <c r="J971">
        <v>2579.5578369166542</v>
      </c>
      <c r="K971">
        <v>1543.97864407159</v>
      </c>
      <c r="L971">
        <v>0.59854391398996798</v>
      </c>
    </row>
    <row r="972" spans="1:12" x14ac:dyDescent="0.35">
      <c r="A972">
        <v>2035</v>
      </c>
      <c r="B972" t="s">
        <v>11</v>
      </c>
      <c r="C972" t="s">
        <v>10</v>
      </c>
      <c r="D972" t="s">
        <v>16</v>
      </c>
      <c r="E972" t="s">
        <v>483</v>
      </c>
      <c r="F972" t="s">
        <v>80</v>
      </c>
      <c r="G972">
        <v>4759.1210340430353</v>
      </c>
      <c r="H972">
        <v>0</v>
      </c>
      <c r="I972">
        <v>0</v>
      </c>
      <c r="J972">
        <v>7951.1643553739341</v>
      </c>
      <c r="K972">
        <v>4759.1210340430353</v>
      </c>
      <c r="L972">
        <v>0.59854391398996798</v>
      </c>
    </row>
    <row r="973" spans="1:12" x14ac:dyDescent="0.35">
      <c r="A973">
        <v>2035</v>
      </c>
      <c r="B973" t="s">
        <v>11</v>
      </c>
      <c r="C973" t="s">
        <v>10</v>
      </c>
      <c r="D973" t="s">
        <v>16</v>
      </c>
      <c r="E973" t="s">
        <v>483</v>
      </c>
      <c r="F973" t="s">
        <v>81</v>
      </c>
      <c r="G973">
        <v>4759.1210340430353</v>
      </c>
      <c r="H973">
        <v>0</v>
      </c>
      <c r="I973">
        <v>0</v>
      </c>
      <c r="J973">
        <v>7951.1643553739341</v>
      </c>
      <c r="K973">
        <v>4759.1210340430353</v>
      </c>
      <c r="L973">
        <v>0.59854391398996798</v>
      </c>
    </row>
    <row r="974" spans="1:12" x14ac:dyDescent="0.35">
      <c r="A974">
        <v>2035</v>
      </c>
      <c r="B974" t="s">
        <v>11</v>
      </c>
      <c r="C974" t="s">
        <v>10</v>
      </c>
      <c r="D974" t="s">
        <v>18</v>
      </c>
      <c r="E974" t="s">
        <v>483</v>
      </c>
      <c r="F974" t="s">
        <v>85</v>
      </c>
      <c r="G974">
        <v>4759.1210340430353</v>
      </c>
      <c r="H974">
        <v>80.029175596616852</v>
      </c>
      <c r="I974">
        <v>47.900975994989473</v>
      </c>
      <c r="J974">
        <v>7871.1351797773168</v>
      </c>
      <c r="K974">
        <v>4711.2200580480458</v>
      </c>
      <c r="L974">
        <v>0.59854391398996798</v>
      </c>
    </row>
    <row r="975" spans="1:12" x14ac:dyDescent="0.35">
      <c r="A975">
        <v>2035</v>
      </c>
      <c r="B975" t="s">
        <v>11</v>
      </c>
      <c r="C975" t="s">
        <v>10</v>
      </c>
      <c r="D975" t="s">
        <v>18</v>
      </c>
      <c r="E975" t="s">
        <v>483</v>
      </c>
      <c r="F975" t="s">
        <v>86</v>
      </c>
      <c r="G975">
        <v>4759.1210340430353</v>
      </c>
      <c r="H975">
        <v>80.029175596616852</v>
      </c>
      <c r="I975">
        <v>47.900975994989473</v>
      </c>
      <c r="J975">
        <v>7871.1351797773168</v>
      </c>
      <c r="K975">
        <v>4711.2200580480458</v>
      </c>
      <c r="L975">
        <v>0.59854391398996798</v>
      </c>
    </row>
    <row r="976" spans="1:12" x14ac:dyDescent="0.35">
      <c r="A976">
        <v>2035</v>
      </c>
      <c r="B976" t="s">
        <v>11</v>
      </c>
      <c r="C976" t="s">
        <v>10</v>
      </c>
      <c r="D976" t="s">
        <v>18</v>
      </c>
      <c r="E976" t="s">
        <v>490</v>
      </c>
      <c r="F976" t="s">
        <v>82</v>
      </c>
      <c r="G976">
        <v>4759.1210340430353</v>
      </c>
      <c r="H976">
        <v>80.029175596616852</v>
      </c>
      <c r="I976">
        <v>47.900975994989473</v>
      </c>
      <c r="J976">
        <v>7871.1351797773168</v>
      </c>
      <c r="K976">
        <v>4711.2200580480458</v>
      </c>
      <c r="L976">
        <v>0.59854391398996798</v>
      </c>
    </row>
    <row r="977" spans="1:12" x14ac:dyDescent="0.35">
      <c r="A977">
        <v>2035</v>
      </c>
      <c r="B977" t="s">
        <v>8</v>
      </c>
      <c r="C977" t="s">
        <v>4</v>
      </c>
      <c r="D977" t="s">
        <v>16</v>
      </c>
      <c r="E977" t="s">
        <v>483</v>
      </c>
      <c r="F977" t="s">
        <v>80</v>
      </c>
      <c r="G977">
        <v>152962.0504872179</v>
      </c>
      <c r="H977">
        <v>0</v>
      </c>
      <c r="I977">
        <v>0</v>
      </c>
      <c r="J977">
        <v>194223.9603552784</v>
      </c>
      <c r="K977">
        <v>152962.0504872179</v>
      </c>
      <c r="L977">
        <v>0.787554996857322</v>
      </c>
    </row>
    <row r="978" spans="1:12" x14ac:dyDescent="0.35">
      <c r="A978">
        <v>2035</v>
      </c>
      <c r="B978" t="s">
        <v>8</v>
      </c>
      <c r="C978" t="s">
        <v>4</v>
      </c>
      <c r="D978" t="s">
        <v>16</v>
      </c>
      <c r="E978" t="s">
        <v>483</v>
      </c>
      <c r="F978" t="s">
        <v>81</v>
      </c>
      <c r="G978">
        <v>152962.0504872179</v>
      </c>
      <c r="H978">
        <v>118000</v>
      </c>
      <c r="I978">
        <v>66183.845060727675</v>
      </c>
      <c r="J978">
        <v>76223.960355278396</v>
      </c>
      <c r="K978">
        <v>86778.205426490225</v>
      </c>
      <c r="L978">
        <v>0.787554996857322</v>
      </c>
    </row>
    <row r="979" spans="1:12" x14ac:dyDescent="0.35">
      <c r="A979">
        <v>2035</v>
      </c>
      <c r="B979" t="s">
        <v>8</v>
      </c>
      <c r="C979" t="s">
        <v>4</v>
      </c>
      <c r="D979" t="s">
        <v>18</v>
      </c>
      <c r="E979" t="s">
        <v>483</v>
      </c>
      <c r="F979" t="s">
        <v>85</v>
      </c>
      <c r="G979">
        <v>152962.0504872179</v>
      </c>
      <c r="H979">
        <v>225819.03451618581</v>
      </c>
      <c r="I979">
        <v>126657.3897642572</v>
      </c>
      <c r="J979">
        <v>0</v>
      </c>
      <c r="K979">
        <v>26304.66072296066</v>
      </c>
      <c r="L979">
        <v>0.787554996857322</v>
      </c>
    </row>
    <row r="980" spans="1:12" x14ac:dyDescent="0.35">
      <c r="A980">
        <v>2035</v>
      </c>
      <c r="B980" t="s">
        <v>8</v>
      </c>
      <c r="C980" t="s">
        <v>4</v>
      </c>
      <c r="D980" t="s">
        <v>18</v>
      </c>
      <c r="E980" t="s">
        <v>483</v>
      </c>
      <c r="F980" t="s">
        <v>86</v>
      </c>
      <c r="G980">
        <v>152962.0504872179</v>
      </c>
      <c r="H980">
        <v>225819.03451618581</v>
      </c>
      <c r="I980">
        <v>126657.3897642572</v>
      </c>
      <c r="J980">
        <v>0</v>
      </c>
      <c r="K980">
        <v>26304.66072296066</v>
      </c>
      <c r="L980">
        <v>0.787554996857322</v>
      </c>
    </row>
    <row r="981" spans="1:12" x14ac:dyDescent="0.35">
      <c r="A981">
        <v>2035</v>
      </c>
      <c r="B981" t="s">
        <v>8</v>
      </c>
      <c r="C981" t="s">
        <v>4</v>
      </c>
      <c r="D981" t="s">
        <v>18</v>
      </c>
      <c r="E981" t="s">
        <v>490</v>
      </c>
      <c r="F981" t="s">
        <v>82</v>
      </c>
      <c r="G981">
        <v>152962.0504872179</v>
      </c>
      <c r="H981">
        <v>225819.03451618581</v>
      </c>
      <c r="I981">
        <v>177844.90901871829</v>
      </c>
      <c r="J981">
        <v>0</v>
      </c>
      <c r="K981">
        <v>0</v>
      </c>
      <c r="L981">
        <v>0.787554996857322</v>
      </c>
    </row>
    <row r="982" spans="1:12" x14ac:dyDescent="0.35">
      <c r="A982">
        <v>2035</v>
      </c>
      <c r="B982" t="s">
        <v>8</v>
      </c>
      <c r="C982" t="s">
        <v>9</v>
      </c>
      <c r="D982" t="s">
        <v>16</v>
      </c>
      <c r="E982" t="s">
        <v>483</v>
      </c>
      <c r="F982" t="s">
        <v>80</v>
      </c>
      <c r="G982">
        <v>61354.521533229788</v>
      </c>
      <c r="H982">
        <v>0</v>
      </c>
      <c r="I982">
        <v>0</v>
      </c>
      <c r="J982">
        <v>77905.062856638979</v>
      </c>
      <c r="K982">
        <v>61354.521533229788</v>
      </c>
      <c r="L982">
        <v>0.787554996857322</v>
      </c>
    </row>
    <row r="983" spans="1:12" x14ac:dyDescent="0.35">
      <c r="A983">
        <v>2035</v>
      </c>
      <c r="B983" t="s">
        <v>8</v>
      </c>
      <c r="C983" t="s">
        <v>9</v>
      </c>
      <c r="D983" t="s">
        <v>16</v>
      </c>
      <c r="E983" t="s">
        <v>483</v>
      </c>
      <c r="F983" t="s">
        <v>81</v>
      </c>
      <c r="G983">
        <v>61354.521533229788</v>
      </c>
      <c r="H983">
        <v>118000</v>
      </c>
      <c r="I983">
        <v>66183.845060727675</v>
      </c>
      <c r="J983">
        <v>0</v>
      </c>
      <c r="K983">
        <v>0</v>
      </c>
      <c r="L983">
        <v>0.787554996857322</v>
      </c>
    </row>
    <row r="984" spans="1:12" x14ac:dyDescent="0.35">
      <c r="A984">
        <v>2035</v>
      </c>
      <c r="B984" t="s">
        <v>8</v>
      </c>
      <c r="C984" t="s">
        <v>9</v>
      </c>
      <c r="D984" t="s">
        <v>18</v>
      </c>
      <c r="E984" t="s">
        <v>483</v>
      </c>
      <c r="F984" t="s">
        <v>85</v>
      </c>
      <c r="G984">
        <v>61354.521533229788</v>
      </c>
      <c r="H984">
        <v>225819.03451618581</v>
      </c>
      <c r="I984">
        <v>126657.3897642572</v>
      </c>
      <c r="J984">
        <v>0</v>
      </c>
      <c r="K984">
        <v>0</v>
      </c>
      <c r="L984">
        <v>0.787554996857322</v>
      </c>
    </row>
    <row r="985" spans="1:12" x14ac:dyDescent="0.35">
      <c r="A985">
        <v>2035</v>
      </c>
      <c r="B985" t="s">
        <v>8</v>
      </c>
      <c r="C985" t="s">
        <v>9</v>
      </c>
      <c r="D985" t="s">
        <v>18</v>
      </c>
      <c r="E985" t="s">
        <v>483</v>
      </c>
      <c r="F985" t="s">
        <v>86</v>
      </c>
      <c r="G985">
        <v>61354.521533229788</v>
      </c>
      <c r="H985">
        <v>225819.03451618581</v>
      </c>
      <c r="I985">
        <v>126657.3897642572</v>
      </c>
      <c r="J985">
        <v>0</v>
      </c>
      <c r="K985">
        <v>0</v>
      </c>
      <c r="L985">
        <v>0.787554996857322</v>
      </c>
    </row>
    <row r="986" spans="1:12" x14ac:dyDescent="0.35">
      <c r="A986">
        <v>2035</v>
      </c>
      <c r="B986" t="s">
        <v>8</v>
      </c>
      <c r="C986" t="s">
        <v>9</v>
      </c>
      <c r="D986" t="s">
        <v>18</v>
      </c>
      <c r="E986" t="s">
        <v>490</v>
      </c>
      <c r="F986" t="s">
        <v>82</v>
      </c>
      <c r="G986">
        <v>61354.521533229788</v>
      </c>
      <c r="H986">
        <v>225819.03451618581</v>
      </c>
      <c r="I986">
        <v>177844.90901871829</v>
      </c>
      <c r="J986">
        <v>0</v>
      </c>
      <c r="K986">
        <v>0</v>
      </c>
      <c r="L986">
        <v>0.787554996857322</v>
      </c>
    </row>
    <row r="987" spans="1:12" x14ac:dyDescent="0.35">
      <c r="A987">
        <v>2035</v>
      </c>
      <c r="B987" t="s">
        <v>8</v>
      </c>
      <c r="C987" t="s">
        <v>10</v>
      </c>
      <c r="D987" t="s">
        <v>16</v>
      </c>
      <c r="E987" t="s">
        <v>483</v>
      </c>
      <c r="F987" t="s">
        <v>80</v>
      </c>
      <c r="G987">
        <v>147281.28047052419</v>
      </c>
      <c r="H987">
        <v>0</v>
      </c>
      <c r="I987">
        <v>0</v>
      </c>
      <c r="J987">
        <v>187010.7878919426</v>
      </c>
      <c r="K987">
        <v>147281.28047052419</v>
      </c>
      <c r="L987">
        <v>0.787554996857322</v>
      </c>
    </row>
    <row r="988" spans="1:12" x14ac:dyDescent="0.35">
      <c r="A988">
        <v>2035</v>
      </c>
      <c r="B988" t="s">
        <v>8</v>
      </c>
      <c r="C988" t="s">
        <v>10</v>
      </c>
      <c r="D988" t="s">
        <v>16</v>
      </c>
      <c r="E988" t="s">
        <v>483</v>
      </c>
      <c r="F988" t="s">
        <v>81</v>
      </c>
      <c r="G988">
        <v>147281.28047052419</v>
      </c>
      <c r="H988">
        <v>118000</v>
      </c>
      <c r="I988">
        <v>66183.845060727675</v>
      </c>
      <c r="J988">
        <v>69010.787891942629</v>
      </c>
      <c r="K988">
        <v>81097.435409796512</v>
      </c>
      <c r="L988">
        <v>0.787554996857322</v>
      </c>
    </row>
    <row r="989" spans="1:12" x14ac:dyDescent="0.35">
      <c r="A989">
        <v>2035</v>
      </c>
      <c r="B989" t="s">
        <v>8</v>
      </c>
      <c r="C989" t="s">
        <v>10</v>
      </c>
      <c r="D989" t="s">
        <v>18</v>
      </c>
      <c r="E989" t="s">
        <v>483</v>
      </c>
      <c r="F989" t="s">
        <v>85</v>
      </c>
      <c r="G989">
        <v>147281.28047052419</v>
      </c>
      <c r="H989">
        <v>225819.03451618581</v>
      </c>
      <c r="I989">
        <v>126657.3897642572</v>
      </c>
      <c r="J989">
        <v>0</v>
      </c>
      <c r="K989">
        <v>20623.89070626695</v>
      </c>
      <c r="L989">
        <v>0.787554996857322</v>
      </c>
    </row>
    <row r="990" spans="1:12" x14ac:dyDescent="0.35">
      <c r="A990">
        <v>2035</v>
      </c>
      <c r="B990" t="s">
        <v>8</v>
      </c>
      <c r="C990" t="s">
        <v>10</v>
      </c>
      <c r="D990" t="s">
        <v>18</v>
      </c>
      <c r="E990" t="s">
        <v>483</v>
      </c>
      <c r="F990" t="s">
        <v>86</v>
      </c>
      <c r="G990">
        <v>147281.28047052419</v>
      </c>
      <c r="H990">
        <v>225819.03451618581</v>
      </c>
      <c r="I990">
        <v>126657.3897642572</v>
      </c>
      <c r="J990">
        <v>0</v>
      </c>
      <c r="K990">
        <v>20623.89070626695</v>
      </c>
      <c r="L990">
        <v>0.787554996857322</v>
      </c>
    </row>
    <row r="991" spans="1:12" x14ac:dyDescent="0.35">
      <c r="A991">
        <v>2035</v>
      </c>
      <c r="B991" t="s">
        <v>8</v>
      </c>
      <c r="C991" t="s">
        <v>10</v>
      </c>
      <c r="D991" t="s">
        <v>18</v>
      </c>
      <c r="E991" t="s">
        <v>490</v>
      </c>
      <c r="F991" t="s">
        <v>82</v>
      </c>
      <c r="G991">
        <v>147281.28047052419</v>
      </c>
      <c r="H991">
        <v>225819.03451618581</v>
      </c>
      <c r="I991">
        <v>177844.90901871829</v>
      </c>
      <c r="J991">
        <v>0</v>
      </c>
      <c r="K991">
        <v>0</v>
      </c>
      <c r="L991">
        <v>0.787554996857322</v>
      </c>
    </row>
    <row r="992" spans="1:12" x14ac:dyDescent="0.35">
      <c r="A992">
        <v>2036</v>
      </c>
      <c r="B992" t="s">
        <v>6</v>
      </c>
      <c r="C992" t="s">
        <v>4</v>
      </c>
      <c r="D992" t="s">
        <v>16</v>
      </c>
      <c r="E992" t="s">
        <v>483</v>
      </c>
      <c r="F992" t="s">
        <v>80</v>
      </c>
      <c r="G992">
        <v>173899.7327411345</v>
      </c>
      <c r="H992">
        <v>0</v>
      </c>
      <c r="I992">
        <v>0</v>
      </c>
      <c r="J992">
        <v>395814.48069183988</v>
      </c>
      <c r="K992">
        <v>173899.7327411345</v>
      </c>
      <c r="L992">
        <v>0.439346565686978</v>
      </c>
    </row>
    <row r="993" spans="1:12" x14ac:dyDescent="0.35">
      <c r="A993">
        <v>2036</v>
      </c>
      <c r="B993" t="s">
        <v>6</v>
      </c>
      <c r="C993" t="s">
        <v>4</v>
      </c>
      <c r="D993" t="s">
        <v>16</v>
      </c>
      <c r="E993" t="s">
        <v>483</v>
      </c>
      <c r="F993" t="s">
        <v>81</v>
      </c>
      <c r="G993">
        <v>173899.7327411345</v>
      </c>
      <c r="H993">
        <v>2837</v>
      </c>
      <c r="I993">
        <v>1203.4038470959081</v>
      </c>
      <c r="J993">
        <v>392977.48069183988</v>
      </c>
      <c r="K993">
        <v>172696.3288940386</v>
      </c>
      <c r="L993">
        <v>0.439346565686978</v>
      </c>
    </row>
    <row r="994" spans="1:12" x14ac:dyDescent="0.35">
      <c r="A994">
        <v>2036</v>
      </c>
      <c r="B994" t="s">
        <v>6</v>
      </c>
      <c r="C994" t="s">
        <v>4</v>
      </c>
      <c r="D994" t="s">
        <v>18</v>
      </c>
      <c r="E994" t="s">
        <v>483</v>
      </c>
      <c r="F994" t="s">
        <v>85</v>
      </c>
      <c r="G994">
        <v>173899.7327411345</v>
      </c>
      <c r="H994">
        <v>17802.59181720679</v>
      </c>
      <c r="I994">
        <v>7551.5359468116967</v>
      </c>
      <c r="J994">
        <v>378011.88887463312</v>
      </c>
      <c r="K994">
        <v>166348.19679432281</v>
      </c>
      <c r="L994">
        <v>0.439346565686978</v>
      </c>
    </row>
    <row r="995" spans="1:12" x14ac:dyDescent="0.35">
      <c r="A995">
        <v>2036</v>
      </c>
      <c r="B995" t="s">
        <v>6</v>
      </c>
      <c r="C995" t="s">
        <v>4</v>
      </c>
      <c r="D995" t="s">
        <v>18</v>
      </c>
      <c r="E995" t="s">
        <v>483</v>
      </c>
      <c r="F995" t="s">
        <v>86</v>
      </c>
      <c r="G995">
        <v>173899.7327411345</v>
      </c>
      <c r="H995">
        <v>17802.59181720679</v>
      </c>
      <c r="I995">
        <v>7551.5359468116967</v>
      </c>
      <c r="J995">
        <v>378011.88887463312</v>
      </c>
      <c r="K995">
        <v>166348.19679432281</v>
      </c>
      <c r="L995">
        <v>0.439346565686978</v>
      </c>
    </row>
    <row r="996" spans="1:12" x14ac:dyDescent="0.35">
      <c r="A996">
        <v>2036</v>
      </c>
      <c r="B996" t="s">
        <v>6</v>
      </c>
      <c r="C996" t="s">
        <v>4</v>
      </c>
      <c r="D996" t="s">
        <v>18</v>
      </c>
      <c r="E996" t="s">
        <v>490</v>
      </c>
      <c r="F996" t="s">
        <v>82</v>
      </c>
      <c r="G996">
        <v>173899.7327411345</v>
      </c>
      <c r="H996">
        <v>17802.59181720679</v>
      </c>
      <c r="I996">
        <v>7821.5075752169087</v>
      </c>
      <c r="J996">
        <v>378011.88887463312</v>
      </c>
      <c r="K996">
        <v>166078.2251659176</v>
      </c>
      <c r="L996">
        <v>0.439346565686978</v>
      </c>
    </row>
    <row r="997" spans="1:12" x14ac:dyDescent="0.35">
      <c r="A997">
        <v>2036</v>
      </c>
      <c r="B997" t="s">
        <v>6</v>
      </c>
      <c r="C997" t="s">
        <v>9</v>
      </c>
      <c r="D997" t="s">
        <v>16</v>
      </c>
      <c r="E997" t="s">
        <v>483</v>
      </c>
      <c r="F997" t="s">
        <v>80</v>
      </c>
      <c r="G997">
        <v>65955.730277636801</v>
      </c>
      <c r="H997">
        <v>0</v>
      </c>
      <c r="I997">
        <v>0</v>
      </c>
      <c r="J997">
        <v>150122.33036237821</v>
      </c>
      <c r="K997">
        <v>65955.730277636801</v>
      </c>
      <c r="L997">
        <v>0.439346565686978</v>
      </c>
    </row>
    <row r="998" spans="1:12" x14ac:dyDescent="0.35">
      <c r="A998">
        <v>2036</v>
      </c>
      <c r="B998" t="s">
        <v>6</v>
      </c>
      <c r="C998" t="s">
        <v>9</v>
      </c>
      <c r="D998" t="s">
        <v>16</v>
      </c>
      <c r="E998" t="s">
        <v>483</v>
      </c>
      <c r="F998" t="s">
        <v>81</v>
      </c>
      <c r="G998">
        <v>65955.730277636801</v>
      </c>
      <c r="H998">
        <v>2837</v>
      </c>
      <c r="I998">
        <v>1203.4038470959081</v>
      </c>
      <c r="J998">
        <v>147285.33036237821</v>
      </c>
      <c r="K998">
        <v>64752.326430540903</v>
      </c>
      <c r="L998">
        <v>0.439346565686978</v>
      </c>
    </row>
    <row r="999" spans="1:12" x14ac:dyDescent="0.35">
      <c r="A999">
        <v>2036</v>
      </c>
      <c r="B999" t="s">
        <v>6</v>
      </c>
      <c r="C999" t="s">
        <v>9</v>
      </c>
      <c r="D999" t="s">
        <v>18</v>
      </c>
      <c r="E999" t="s">
        <v>483</v>
      </c>
      <c r="F999" t="s">
        <v>85</v>
      </c>
      <c r="G999">
        <v>65955.730277636801</v>
      </c>
      <c r="H999">
        <v>17802.59181720679</v>
      </c>
      <c r="I999">
        <v>7551.5359468116967</v>
      </c>
      <c r="J999">
        <v>132319.73854517139</v>
      </c>
      <c r="K999">
        <v>58404.194330825107</v>
      </c>
      <c r="L999">
        <v>0.439346565686978</v>
      </c>
    </row>
    <row r="1000" spans="1:12" x14ac:dyDescent="0.35">
      <c r="A1000">
        <v>2036</v>
      </c>
      <c r="B1000" t="s">
        <v>6</v>
      </c>
      <c r="C1000" t="s">
        <v>9</v>
      </c>
      <c r="D1000" t="s">
        <v>18</v>
      </c>
      <c r="E1000" t="s">
        <v>483</v>
      </c>
      <c r="F1000" t="s">
        <v>86</v>
      </c>
      <c r="G1000">
        <v>65955.730277636801</v>
      </c>
      <c r="H1000">
        <v>17802.59181720679</v>
      </c>
      <c r="I1000">
        <v>7551.5359468116967</v>
      </c>
      <c r="J1000">
        <v>132319.73854517139</v>
      </c>
      <c r="K1000">
        <v>58404.194330825107</v>
      </c>
      <c r="L1000">
        <v>0.439346565686978</v>
      </c>
    </row>
    <row r="1001" spans="1:12" x14ac:dyDescent="0.35">
      <c r="A1001">
        <v>2036</v>
      </c>
      <c r="B1001" t="s">
        <v>6</v>
      </c>
      <c r="C1001" t="s">
        <v>9</v>
      </c>
      <c r="D1001" t="s">
        <v>18</v>
      </c>
      <c r="E1001" t="s">
        <v>490</v>
      </c>
      <c r="F1001" t="s">
        <v>82</v>
      </c>
      <c r="G1001">
        <v>65955.730277636801</v>
      </c>
      <c r="H1001">
        <v>17802.59181720679</v>
      </c>
      <c r="I1001">
        <v>7821.5075752169087</v>
      </c>
      <c r="J1001">
        <v>132319.73854517139</v>
      </c>
      <c r="K1001">
        <v>58134.222702419887</v>
      </c>
      <c r="L1001">
        <v>0.439346565686978</v>
      </c>
    </row>
    <row r="1002" spans="1:12" x14ac:dyDescent="0.35">
      <c r="A1002">
        <v>2036</v>
      </c>
      <c r="B1002" t="s">
        <v>6</v>
      </c>
      <c r="C1002" t="s">
        <v>10</v>
      </c>
      <c r="D1002" t="s">
        <v>16</v>
      </c>
      <c r="E1002" t="s">
        <v>483</v>
      </c>
      <c r="F1002" t="s">
        <v>80</v>
      </c>
      <c r="G1002">
        <v>165496.51829818229</v>
      </c>
      <c r="H1002">
        <v>0</v>
      </c>
      <c r="I1002">
        <v>0</v>
      </c>
      <c r="J1002">
        <v>376687.86152773502</v>
      </c>
      <c r="K1002">
        <v>165496.51829818229</v>
      </c>
      <c r="L1002">
        <v>0.439346565686978</v>
      </c>
    </row>
    <row r="1003" spans="1:12" x14ac:dyDescent="0.35">
      <c r="A1003">
        <v>2036</v>
      </c>
      <c r="B1003" t="s">
        <v>6</v>
      </c>
      <c r="C1003" t="s">
        <v>10</v>
      </c>
      <c r="D1003" t="s">
        <v>16</v>
      </c>
      <c r="E1003" t="s">
        <v>483</v>
      </c>
      <c r="F1003" t="s">
        <v>81</v>
      </c>
      <c r="G1003">
        <v>165496.51829818229</v>
      </c>
      <c r="H1003">
        <v>2837</v>
      </c>
      <c r="I1003">
        <v>1203.4038470959081</v>
      </c>
      <c r="J1003">
        <v>373850.86152773502</v>
      </c>
      <c r="K1003">
        <v>164293.11445108641</v>
      </c>
      <c r="L1003">
        <v>0.439346565686978</v>
      </c>
    </row>
    <row r="1004" spans="1:12" x14ac:dyDescent="0.35">
      <c r="A1004">
        <v>2036</v>
      </c>
      <c r="B1004" t="s">
        <v>6</v>
      </c>
      <c r="C1004" t="s">
        <v>10</v>
      </c>
      <c r="D1004" t="s">
        <v>18</v>
      </c>
      <c r="E1004" t="s">
        <v>483</v>
      </c>
      <c r="F1004" t="s">
        <v>85</v>
      </c>
      <c r="G1004">
        <v>165496.51829818229</v>
      </c>
      <c r="H1004">
        <v>17802.59181720679</v>
      </c>
      <c r="I1004">
        <v>7551.5359468116967</v>
      </c>
      <c r="J1004">
        <v>358885.26971052808</v>
      </c>
      <c r="K1004">
        <v>157944.98235137059</v>
      </c>
      <c r="L1004">
        <v>0.439346565686978</v>
      </c>
    </row>
    <row r="1005" spans="1:12" x14ac:dyDescent="0.35">
      <c r="A1005">
        <v>2036</v>
      </c>
      <c r="B1005" t="s">
        <v>6</v>
      </c>
      <c r="C1005" t="s">
        <v>10</v>
      </c>
      <c r="D1005" t="s">
        <v>18</v>
      </c>
      <c r="E1005" t="s">
        <v>483</v>
      </c>
      <c r="F1005" t="s">
        <v>86</v>
      </c>
      <c r="G1005">
        <v>165496.51829818229</v>
      </c>
      <c r="H1005">
        <v>17802.59181720679</v>
      </c>
      <c r="I1005">
        <v>7551.5359468116967</v>
      </c>
      <c r="J1005">
        <v>358885.26971052808</v>
      </c>
      <c r="K1005">
        <v>157944.98235137059</v>
      </c>
      <c r="L1005">
        <v>0.439346565686978</v>
      </c>
    </row>
    <row r="1006" spans="1:12" x14ac:dyDescent="0.35">
      <c r="A1006">
        <v>2036</v>
      </c>
      <c r="B1006" t="s">
        <v>6</v>
      </c>
      <c r="C1006" t="s">
        <v>10</v>
      </c>
      <c r="D1006" t="s">
        <v>18</v>
      </c>
      <c r="E1006" t="s">
        <v>490</v>
      </c>
      <c r="F1006" t="s">
        <v>82</v>
      </c>
      <c r="G1006">
        <v>165496.51829818229</v>
      </c>
      <c r="H1006">
        <v>17802.59181720679</v>
      </c>
      <c r="I1006">
        <v>7821.5075752169087</v>
      </c>
      <c r="J1006">
        <v>358885.26971052808</v>
      </c>
      <c r="K1006">
        <v>157675.01072296541</v>
      </c>
      <c r="L1006">
        <v>0.439346565686978</v>
      </c>
    </row>
    <row r="1007" spans="1:12" x14ac:dyDescent="0.35">
      <c r="A1007">
        <v>2036</v>
      </c>
      <c r="B1007" t="s">
        <v>7</v>
      </c>
      <c r="C1007" t="s">
        <v>4</v>
      </c>
      <c r="D1007" t="s">
        <v>16</v>
      </c>
      <c r="E1007" t="s">
        <v>483</v>
      </c>
      <c r="F1007" t="s">
        <v>80</v>
      </c>
      <c r="G1007">
        <v>1427841.619496794</v>
      </c>
      <c r="H1007">
        <v>0</v>
      </c>
      <c r="I1007">
        <v>0</v>
      </c>
      <c r="J1007">
        <v>1710510.772595145</v>
      </c>
      <c r="K1007">
        <v>1427841.619496794</v>
      </c>
      <c r="L1007">
        <v>0.83474576271186396</v>
      </c>
    </row>
    <row r="1008" spans="1:12" x14ac:dyDescent="0.35">
      <c r="A1008">
        <v>2036</v>
      </c>
      <c r="B1008" t="s">
        <v>7</v>
      </c>
      <c r="C1008" t="s">
        <v>4</v>
      </c>
      <c r="D1008" t="s">
        <v>16</v>
      </c>
      <c r="E1008" t="s">
        <v>483</v>
      </c>
      <c r="F1008" t="s">
        <v>81</v>
      </c>
      <c r="G1008">
        <v>1427841.619496794</v>
      </c>
      <c r="H1008">
        <v>260859</v>
      </c>
      <c r="I1008">
        <v>137109.7566079231</v>
      </c>
      <c r="J1008">
        <v>1449651.772595145</v>
      </c>
      <c r="K1008">
        <v>1290731.862888871</v>
      </c>
      <c r="L1008">
        <v>0.83474576271186396</v>
      </c>
    </row>
    <row r="1009" spans="1:12" x14ac:dyDescent="0.35">
      <c r="A1009">
        <v>2036</v>
      </c>
      <c r="B1009" t="s">
        <v>7</v>
      </c>
      <c r="C1009" t="s">
        <v>4</v>
      </c>
      <c r="D1009" t="s">
        <v>18</v>
      </c>
      <c r="E1009" t="s">
        <v>483</v>
      </c>
      <c r="F1009" t="s">
        <v>85</v>
      </c>
      <c r="G1009">
        <v>1427841.619496794</v>
      </c>
      <c r="H1009">
        <v>925742.0247192611</v>
      </c>
      <c r="I1009">
        <v>486578.05055981921</v>
      </c>
      <c r="J1009">
        <v>784768.74787588394</v>
      </c>
      <c r="K1009">
        <v>941263.56893697474</v>
      </c>
      <c r="L1009">
        <v>0.83474576271186396</v>
      </c>
    </row>
    <row r="1010" spans="1:12" x14ac:dyDescent="0.35">
      <c r="A1010">
        <v>2036</v>
      </c>
      <c r="B1010" t="s">
        <v>7</v>
      </c>
      <c r="C1010" t="s">
        <v>4</v>
      </c>
      <c r="D1010" t="s">
        <v>18</v>
      </c>
      <c r="E1010" t="s">
        <v>483</v>
      </c>
      <c r="F1010" t="s">
        <v>86</v>
      </c>
      <c r="G1010">
        <v>1427841.619496794</v>
      </c>
      <c r="H1010">
        <v>925742.0247192611</v>
      </c>
      <c r="I1010">
        <v>486578.05055981921</v>
      </c>
      <c r="J1010">
        <v>784768.74787588394</v>
      </c>
      <c r="K1010">
        <v>941263.56893697474</v>
      </c>
      <c r="L1010">
        <v>0.83474576271186396</v>
      </c>
    </row>
    <row r="1011" spans="1:12" x14ac:dyDescent="0.35">
      <c r="A1011">
        <v>2036</v>
      </c>
      <c r="B1011" t="s">
        <v>7</v>
      </c>
      <c r="C1011" t="s">
        <v>4</v>
      </c>
      <c r="D1011" t="s">
        <v>18</v>
      </c>
      <c r="E1011" t="s">
        <v>490</v>
      </c>
      <c r="F1011" t="s">
        <v>82</v>
      </c>
      <c r="G1011">
        <v>1427841.619496794</v>
      </c>
      <c r="H1011">
        <v>925742.0247192611</v>
      </c>
      <c r="I1011">
        <v>772759.23249870527</v>
      </c>
      <c r="J1011">
        <v>784768.74787588394</v>
      </c>
      <c r="K1011">
        <v>655082.38699808868</v>
      </c>
      <c r="L1011">
        <v>0.83474576271186396</v>
      </c>
    </row>
    <row r="1012" spans="1:12" x14ac:dyDescent="0.35">
      <c r="A1012">
        <v>2036</v>
      </c>
      <c r="B1012" t="s">
        <v>7</v>
      </c>
      <c r="C1012" t="s">
        <v>9</v>
      </c>
      <c r="D1012" t="s">
        <v>16</v>
      </c>
      <c r="E1012" t="s">
        <v>483</v>
      </c>
      <c r="F1012" t="s">
        <v>80</v>
      </c>
      <c r="G1012">
        <v>1101195.4808659849</v>
      </c>
      <c r="H1012">
        <v>0</v>
      </c>
      <c r="I1012">
        <v>0</v>
      </c>
      <c r="J1012">
        <v>1319198.647128795</v>
      </c>
      <c r="K1012">
        <v>1101195.4808659849</v>
      </c>
      <c r="L1012">
        <v>0.83474576271186396</v>
      </c>
    </row>
    <row r="1013" spans="1:12" x14ac:dyDescent="0.35">
      <c r="A1013">
        <v>2036</v>
      </c>
      <c r="B1013" t="s">
        <v>7</v>
      </c>
      <c r="C1013" t="s">
        <v>9</v>
      </c>
      <c r="D1013" t="s">
        <v>16</v>
      </c>
      <c r="E1013" t="s">
        <v>483</v>
      </c>
      <c r="F1013" t="s">
        <v>81</v>
      </c>
      <c r="G1013">
        <v>1101195.4808659849</v>
      </c>
      <c r="H1013">
        <v>260859</v>
      </c>
      <c r="I1013">
        <v>137109.7566079231</v>
      </c>
      <c r="J1013">
        <v>1058339.647128795</v>
      </c>
      <c r="K1013">
        <v>964085.72425806173</v>
      </c>
      <c r="L1013">
        <v>0.83474576271186396</v>
      </c>
    </row>
    <row r="1014" spans="1:12" x14ac:dyDescent="0.35">
      <c r="A1014">
        <v>2036</v>
      </c>
      <c r="B1014" t="s">
        <v>7</v>
      </c>
      <c r="C1014" t="s">
        <v>9</v>
      </c>
      <c r="D1014" t="s">
        <v>18</v>
      </c>
      <c r="E1014" t="s">
        <v>483</v>
      </c>
      <c r="F1014" t="s">
        <v>85</v>
      </c>
      <c r="G1014">
        <v>1101195.4808659849</v>
      </c>
      <c r="H1014">
        <v>925742.0247192611</v>
      </c>
      <c r="I1014">
        <v>486578.05055981921</v>
      </c>
      <c r="J1014">
        <v>393456.62240953371</v>
      </c>
      <c r="K1014">
        <v>614617.43030616571</v>
      </c>
      <c r="L1014">
        <v>0.83474576271186396</v>
      </c>
    </row>
    <row r="1015" spans="1:12" x14ac:dyDescent="0.35">
      <c r="A1015">
        <v>2036</v>
      </c>
      <c r="B1015" t="s">
        <v>7</v>
      </c>
      <c r="C1015" t="s">
        <v>9</v>
      </c>
      <c r="D1015" t="s">
        <v>18</v>
      </c>
      <c r="E1015" t="s">
        <v>483</v>
      </c>
      <c r="F1015" t="s">
        <v>86</v>
      </c>
      <c r="G1015">
        <v>1101195.4808659849</v>
      </c>
      <c r="H1015">
        <v>925742.0247192611</v>
      </c>
      <c r="I1015">
        <v>486578.05055981921</v>
      </c>
      <c r="J1015">
        <v>393456.62240953371</v>
      </c>
      <c r="K1015">
        <v>614617.43030616571</v>
      </c>
      <c r="L1015">
        <v>0.83474576271186396</v>
      </c>
    </row>
    <row r="1016" spans="1:12" x14ac:dyDescent="0.35">
      <c r="A1016">
        <v>2036</v>
      </c>
      <c r="B1016" t="s">
        <v>7</v>
      </c>
      <c r="C1016" t="s">
        <v>9</v>
      </c>
      <c r="D1016" t="s">
        <v>18</v>
      </c>
      <c r="E1016" t="s">
        <v>490</v>
      </c>
      <c r="F1016" t="s">
        <v>82</v>
      </c>
      <c r="G1016">
        <v>1101195.4808659849</v>
      </c>
      <c r="H1016">
        <v>925742.0247192611</v>
      </c>
      <c r="I1016">
        <v>772759.23249870527</v>
      </c>
      <c r="J1016">
        <v>393456.62240953371</v>
      </c>
      <c r="K1016">
        <v>328436.24836727971</v>
      </c>
      <c r="L1016">
        <v>0.83474576271186396</v>
      </c>
    </row>
    <row r="1017" spans="1:12" x14ac:dyDescent="0.35">
      <c r="A1017">
        <v>2036</v>
      </c>
      <c r="B1017" t="s">
        <v>7</v>
      </c>
      <c r="C1017" t="s">
        <v>10</v>
      </c>
      <c r="D1017" t="s">
        <v>16</v>
      </c>
      <c r="E1017" t="s">
        <v>483</v>
      </c>
      <c r="F1017" t="s">
        <v>80</v>
      </c>
      <c r="G1017">
        <v>1361946.7246063449</v>
      </c>
      <c r="H1017">
        <v>0</v>
      </c>
      <c r="I1017">
        <v>0</v>
      </c>
      <c r="J1017">
        <v>1631570.6954675</v>
      </c>
      <c r="K1017">
        <v>1361946.7246063449</v>
      </c>
      <c r="L1017">
        <v>0.83474576271186396</v>
      </c>
    </row>
    <row r="1018" spans="1:12" x14ac:dyDescent="0.35">
      <c r="A1018">
        <v>2036</v>
      </c>
      <c r="B1018" t="s">
        <v>7</v>
      </c>
      <c r="C1018" t="s">
        <v>10</v>
      </c>
      <c r="D1018" t="s">
        <v>16</v>
      </c>
      <c r="E1018" t="s">
        <v>483</v>
      </c>
      <c r="F1018" t="s">
        <v>81</v>
      </c>
      <c r="G1018">
        <v>1361946.7246063449</v>
      </c>
      <c r="H1018">
        <v>260859</v>
      </c>
      <c r="I1018">
        <v>137109.7566079231</v>
      </c>
      <c r="J1018">
        <v>1370711.6954675</v>
      </c>
      <c r="K1018">
        <v>1224836.967998422</v>
      </c>
      <c r="L1018">
        <v>0.83474576271186396</v>
      </c>
    </row>
    <row r="1019" spans="1:12" x14ac:dyDescent="0.35">
      <c r="A1019">
        <v>2036</v>
      </c>
      <c r="B1019" t="s">
        <v>7</v>
      </c>
      <c r="C1019" t="s">
        <v>10</v>
      </c>
      <c r="D1019" t="s">
        <v>18</v>
      </c>
      <c r="E1019" t="s">
        <v>483</v>
      </c>
      <c r="F1019" t="s">
        <v>85</v>
      </c>
      <c r="G1019">
        <v>1361946.7246063449</v>
      </c>
      <c r="H1019">
        <v>925742.0247192611</v>
      </c>
      <c r="I1019">
        <v>486578.05055981921</v>
      </c>
      <c r="J1019">
        <v>705828.67074823938</v>
      </c>
      <c r="K1019">
        <v>875368.67404652573</v>
      </c>
      <c r="L1019">
        <v>0.83474576271186396</v>
      </c>
    </row>
    <row r="1020" spans="1:12" x14ac:dyDescent="0.35">
      <c r="A1020">
        <v>2036</v>
      </c>
      <c r="B1020" t="s">
        <v>7</v>
      </c>
      <c r="C1020" t="s">
        <v>10</v>
      </c>
      <c r="D1020" t="s">
        <v>18</v>
      </c>
      <c r="E1020" t="s">
        <v>483</v>
      </c>
      <c r="F1020" t="s">
        <v>86</v>
      </c>
      <c r="G1020">
        <v>1361946.7246063449</v>
      </c>
      <c r="H1020">
        <v>925742.0247192611</v>
      </c>
      <c r="I1020">
        <v>486578.05055981921</v>
      </c>
      <c r="J1020">
        <v>705828.67074823938</v>
      </c>
      <c r="K1020">
        <v>875368.67404652573</v>
      </c>
      <c r="L1020">
        <v>0.83474576271186396</v>
      </c>
    </row>
    <row r="1021" spans="1:12" x14ac:dyDescent="0.35">
      <c r="A1021">
        <v>2036</v>
      </c>
      <c r="B1021" t="s">
        <v>7</v>
      </c>
      <c r="C1021" t="s">
        <v>10</v>
      </c>
      <c r="D1021" t="s">
        <v>18</v>
      </c>
      <c r="E1021" t="s">
        <v>490</v>
      </c>
      <c r="F1021" t="s">
        <v>82</v>
      </c>
      <c r="G1021">
        <v>1361946.7246063449</v>
      </c>
      <c r="H1021">
        <v>925742.0247192611</v>
      </c>
      <c r="I1021">
        <v>772759.23249870527</v>
      </c>
      <c r="J1021">
        <v>705828.67074823938</v>
      </c>
      <c r="K1021">
        <v>589187.49210763967</v>
      </c>
      <c r="L1021">
        <v>0.83474576271186396</v>
      </c>
    </row>
    <row r="1022" spans="1:12" x14ac:dyDescent="0.35">
      <c r="A1022">
        <v>2036</v>
      </c>
      <c r="B1022" t="s">
        <v>13</v>
      </c>
      <c r="C1022" t="s">
        <v>4</v>
      </c>
      <c r="D1022" t="s">
        <v>16</v>
      </c>
      <c r="E1022" t="s">
        <v>483</v>
      </c>
      <c r="F1022" t="s">
        <v>80</v>
      </c>
      <c r="G1022">
        <v>3178.982459798764</v>
      </c>
      <c r="H1022">
        <v>0</v>
      </c>
      <c r="I1022">
        <v>0</v>
      </c>
      <c r="J1022">
        <v>3178.982459798764</v>
      </c>
      <c r="K1022">
        <v>3178.982459798764</v>
      </c>
      <c r="L1022">
        <v>1</v>
      </c>
    </row>
    <row r="1023" spans="1:12" x14ac:dyDescent="0.35">
      <c r="A1023">
        <v>2036</v>
      </c>
      <c r="B1023" t="s">
        <v>13</v>
      </c>
      <c r="C1023" t="s">
        <v>4</v>
      </c>
      <c r="D1023" t="s">
        <v>16</v>
      </c>
      <c r="E1023" t="s">
        <v>483</v>
      </c>
      <c r="F1023" t="s">
        <v>81</v>
      </c>
      <c r="G1023">
        <v>3178.982459798764</v>
      </c>
      <c r="H1023">
        <v>0</v>
      </c>
      <c r="I1023">
        <v>0</v>
      </c>
      <c r="J1023">
        <v>3178.982459798764</v>
      </c>
      <c r="K1023">
        <v>3178.982459798764</v>
      </c>
      <c r="L1023">
        <v>1</v>
      </c>
    </row>
    <row r="1024" spans="1:12" x14ac:dyDescent="0.35">
      <c r="A1024">
        <v>2036</v>
      </c>
      <c r="B1024" t="s">
        <v>13</v>
      </c>
      <c r="C1024" t="s">
        <v>4</v>
      </c>
      <c r="D1024" t="s">
        <v>18</v>
      </c>
      <c r="E1024" t="s">
        <v>483</v>
      </c>
      <c r="F1024" t="s">
        <v>85</v>
      </c>
      <c r="G1024">
        <v>3178.982459798764</v>
      </c>
      <c r="H1024">
        <v>188697.71052724539</v>
      </c>
      <c r="I1024">
        <v>62270.24447399097</v>
      </c>
      <c r="J1024">
        <v>0</v>
      </c>
      <c r="K1024">
        <v>0</v>
      </c>
      <c r="L1024">
        <v>1</v>
      </c>
    </row>
    <row r="1025" spans="1:12" x14ac:dyDescent="0.35">
      <c r="A1025">
        <v>2036</v>
      </c>
      <c r="B1025" t="s">
        <v>13</v>
      </c>
      <c r="C1025" t="s">
        <v>4</v>
      </c>
      <c r="D1025" t="s">
        <v>18</v>
      </c>
      <c r="E1025" t="s">
        <v>483</v>
      </c>
      <c r="F1025" t="s">
        <v>86</v>
      </c>
      <c r="G1025">
        <v>3178.982459798764</v>
      </c>
      <c r="H1025">
        <v>188697.71052724539</v>
      </c>
      <c r="I1025">
        <v>62270.24447399097</v>
      </c>
      <c r="J1025">
        <v>0</v>
      </c>
      <c r="K1025">
        <v>0</v>
      </c>
      <c r="L1025">
        <v>1</v>
      </c>
    </row>
    <row r="1026" spans="1:12" x14ac:dyDescent="0.35">
      <c r="A1026">
        <v>2036</v>
      </c>
      <c r="B1026" t="s">
        <v>13</v>
      </c>
      <c r="C1026" t="s">
        <v>4</v>
      </c>
      <c r="D1026" t="s">
        <v>18</v>
      </c>
      <c r="E1026" t="s">
        <v>490</v>
      </c>
      <c r="F1026" t="s">
        <v>82</v>
      </c>
      <c r="G1026">
        <v>3178.982459798764</v>
      </c>
      <c r="H1026">
        <v>188697.71052724539</v>
      </c>
      <c r="I1026">
        <v>62270.24447399097</v>
      </c>
      <c r="J1026">
        <v>0</v>
      </c>
      <c r="K1026">
        <v>0</v>
      </c>
      <c r="L1026">
        <v>1</v>
      </c>
    </row>
    <row r="1027" spans="1:12" x14ac:dyDescent="0.35">
      <c r="A1027">
        <v>2036</v>
      </c>
      <c r="B1027" t="s">
        <v>13</v>
      </c>
      <c r="C1027" t="s">
        <v>9</v>
      </c>
      <c r="D1027" t="s">
        <v>16</v>
      </c>
      <c r="E1027" t="s">
        <v>483</v>
      </c>
      <c r="F1027" t="s">
        <v>80</v>
      </c>
      <c r="G1027">
        <v>1181.081330457198</v>
      </c>
      <c r="H1027">
        <v>0</v>
      </c>
      <c r="I1027">
        <v>0</v>
      </c>
      <c r="J1027">
        <v>1181.081330457198</v>
      </c>
      <c r="K1027">
        <v>1181.081330457198</v>
      </c>
      <c r="L1027">
        <v>1</v>
      </c>
    </row>
    <row r="1028" spans="1:12" x14ac:dyDescent="0.35">
      <c r="A1028">
        <v>2036</v>
      </c>
      <c r="B1028" t="s">
        <v>13</v>
      </c>
      <c r="C1028" t="s">
        <v>9</v>
      </c>
      <c r="D1028" t="s">
        <v>16</v>
      </c>
      <c r="E1028" t="s">
        <v>483</v>
      </c>
      <c r="F1028" t="s">
        <v>81</v>
      </c>
      <c r="G1028">
        <v>1181.081330457198</v>
      </c>
      <c r="H1028">
        <v>0</v>
      </c>
      <c r="I1028">
        <v>0</v>
      </c>
      <c r="J1028">
        <v>1181.081330457198</v>
      </c>
      <c r="K1028">
        <v>1181.081330457198</v>
      </c>
      <c r="L1028">
        <v>1</v>
      </c>
    </row>
    <row r="1029" spans="1:12" x14ac:dyDescent="0.35">
      <c r="A1029">
        <v>2036</v>
      </c>
      <c r="B1029" t="s">
        <v>13</v>
      </c>
      <c r="C1029" t="s">
        <v>9</v>
      </c>
      <c r="D1029" t="s">
        <v>18</v>
      </c>
      <c r="E1029" t="s">
        <v>483</v>
      </c>
      <c r="F1029" t="s">
        <v>85</v>
      </c>
      <c r="G1029">
        <v>1181.081330457198</v>
      </c>
      <c r="H1029">
        <v>188697.71052724539</v>
      </c>
      <c r="I1029">
        <v>62270.24447399097</v>
      </c>
      <c r="J1029">
        <v>0</v>
      </c>
      <c r="K1029">
        <v>0</v>
      </c>
      <c r="L1029">
        <v>1</v>
      </c>
    </row>
    <row r="1030" spans="1:12" x14ac:dyDescent="0.35">
      <c r="A1030">
        <v>2036</v>
      </c>
      <c r="B1030" t="s">
        <v>13</v>
      </c>
      <c r="C1030" t="s">
        <v>9</v>
      </c>
      <c r="D1030" t="s">
        <v>18</v>
      </c>
      <c r="E1030" t="s">
        <v>483</v>
      </c>
      <c r="F1030" t="s">
        <v>86</v>
      </c>
      <c r="G1030">
        <v>1181.081330457198</v>
      </c>
      <c r="H1030">
        <v>188697.71052724539</v>
      </c>
      <c r="I1030">
        <v>62270.24447399097</v>
      </c>
      <c r="J1030">
        <v>0</v>
      </c>
      <c r="K1030">
        <v>0</v>
      </c>
      <c r="L1030">
        <v>1</v>
      </c>
    </row>
    <row r="1031" spans="1:12" x14ac:dyDescent="0.35">
      <c r="A1031">
        <v>2036</v>
      </c>
      <c r="B1031" t="s">
        <v>13</v>
      </c>
      <c r="C1031" t="s">
        <v>9</v>
      </c>
      <c r="D1031" t="s">
        <v>18</v>
      </c>
      <c r="E1031" t="s">
        <v>490</v>
      </c>
      <c r="F1031" t="s">
        <v>82</v>
      </c>
      <c r="G1031">
        <v>1181.081330457198</v>
      </c>
      <c r="H1031">
        <v>188697.71052724539</v>
      </c>
      <c r="I1031">
        <v>62270.24447399097</v>
      </c>
      <c r="J1031">
        <v>0</v>
      </c>
      <c r="K1031">
        <v>0</v>
      </c>
      <c r="L1031">
        <v>1</v>
      </c>
    </row>
    <row r="1032" spans="1:12" x14ac:dyDescent="0.35">
      <c r="A1032">
        <v>2036</v>
      </c>
      <c r="B1032" t="s">
        <v>13</v>
      </c>
      <c r="C1032" t="s">
        <v>10</v>
      </c>
      <c r="D1032" t="s">
        <v>16</v>
      </c>
      <c r="E1032" t="s">
        <v>483</v>
      </c>
      <c r="F1032" t="s">
        <v>80</v>
      </c>
      <c r="G1032">
        <v>3028.4346514382819</v>
      </c>
      <c r="H1032">
        <v>0</v>
      </c>
      <c r="I1032">
        <v>0</v>
      </c>
      <c r="J1032">
        <v>3028.4346514382819</v>
      </c>
      <c r="K1032">
        <v>3028.4346514382819</v>
      </c>
      <c r="L1032">
        <v>1</v>
      </c>
    </row>
    <row r="1033" spans="1:12" x14ac:dyDescent="0.35">
      <c r="A1033">
        <v>2036</v>
      </c>
      <c r="B1033" t="s">
        <v>13</v>
      </c>
      <c r="C1033" t="s">
        <v>10</v>
      </c>
      <c r="D1033" t="s">
        <v>16</v>
      </c>
      <c r="E1033" t="s">
        <v>483</v>
      </c>
      <c r="F1033" t="s">
        <v>81</v>
      </c>
      <c r="G1033">
        <v>3028.4346514382819</v>
      </c>
      <c r="H1033">
        <v>0</v>
      </c>
      <c r="I1033">
        <v>0</v>
      </c>
      <c r="J1033">
        <v>3028.4346514382819</v>
      </c>
      <c r="K1033">
        <v>3028.4346514382819</v>
      </c>
      <c r="L1033">
        <v>1</v>
      </c>
    </row>
    <row r="1034" spans="1:12" x14ac:dyDescent="0.35">
      <c r="A1034">
        <v>2036</v>
      </c>
      <c r="B1034" t="s">
        <v>13</v>
      </c>
      <c r="C1034" t="s">
        <v>10</v>
      </c>
      <c r="D1034" t="s">
        <v>18</v>
      </c>
      <c r="E1034" t="s">
        <v>483</v>
      </c>
      <c r="F1034" t="s">
        <v>85</v>
      </c>
      <c r="G1034">
        <v>3028.4346514382819</v>
      </c>
      <c r="H1034">
        <v>188697.71052724539</v>
      </c>
      <c r="I1034">
        <v>62270.24447399097</v>
      </c>
      <c r="J1034">
        <v>0</v>
      </c>
      <c r="K1034">
        <v>0</v>
      </c>
      <c r="L1034">
        <v>1</v>
      </c>
    </row>
    <row r="1035" spans="1:12" x14ac:dyDescent="0.35">
      <c r="A1035">
        <v>2036</v>
      </c>
      <c r="B1035" t="s">
        <v>13</v>
      </c>
      <c r="C1035" t="s">
        <v>10</v>
      </c>
      <c r="D1035" t="s">
        <v>18</v>
      </c>
      <c r="E1035" t="s">
        <v>483</v>
      </c>
      <c r="F1035" t="s">
        <v>86</v>
      </c>
      <c r="G1035">
        <v>3028.4346514382819</v>
      </c>
      <c r="H1035">
        <v>188697.71052724539</v>
      </c>
      <c r="I1035">
        <v>62270.24447399097</v>
      </c>
      <c r="J1035">
        <v>0</v>
      </c>
      <c r="K1035">
        <v>0</v>
      </c>
      <c r="L1035">
        <v>1</v>
      </c>
    </row>
    <row r="1036" spans="1:12" x14ac:dyDescent="0.35">
      <c r="A1036">
        <v>2036</v>
      </c>
      <c r="B1036" t="s">
        <v>13</v>
      </c>
      <c r="C1036" t="s">
        <v>10</v>
      </c>
      <c r="D1036" t="s">
        <v>18</v>
      </c>
      <c r="E1036" t="s">
        <v>490</v>
      </c>
      <c r="F1036" t="s">
        <v>82</v>
      </c>
      <c r="G1036">
        <v>3028.4346514382819</v>
      </c>
      <c r="H1036">
        <v>188697.71052724539</v>
      </c>
      <c r="I1036">
        <v>62270.24447399097</v>
      </c>
      <c r="J1036">
        <v>0</v>
      </c>
      <c r="K1036">
        <v>0</v>
      </c>
      <c r="L1036">
        <v>1</v>
      </c>
    </row>
    <row r="1037" spans="1:12" x14ac:dyDescent="0.35">
      <c r="A1037">
        <v>2036</v>
      </c>
      <c r="B1037" t="s">
        <v>12</v>
      </c>
      <c r="C1037" t="s">
        <v>4</v>
      </c>
      <c r="D1037" t="s">
        <v>16</v>
      </c>
      <c r="E1037" t="s">
        <v>483</v>
      </c>
      <c r="F1037" t="s">
        <v>80</v>
      </c>
      <c r="G1037">
        <v>68174.621934206763</v>
      </c>
      <c r="H1037">
        <v>0</v>
      </c>
      <c r="I1037">
        <v>0</v>
      </c>
      <c r="J1037">
        <v>97507.867923733269</v>
      </c>
      <c r="K1037">
        <v>68174.621934206763</v>
      </c>
      <c r="L1037">
        <v>0.69917047091553897</v>
      </c>
    </row>
    <row r="1038" spans="1:12" x14ac:dyDescent="0.35">
      <c r="A1038">
        <v>2036</v>
      </c>
      <c r="B1038" t="s">
        <v>12</v>
      </c>
      <c r="C1038" t="s">
        <v>4</v>
      </c>
      <c r="D1038" t="s">
        <v>16</v>
      </c>
      <c r="E1038" t="s">
        <v>483</v>
      </c>
      <c r="F1038" t="s">
        <v>81</v>
      </c>
      <c r="G1038">
        <v>68174.621934206763</v>
      </c>
      <c r="H1038">
        <v>37189</v>
      </c>
      <c r="I1038">
        <v>26001.450642877979</v>
      </c>
      <c r="J1038">
        <v>60318.867923733269</v>
      </c>
      <c r="K1038">
        <v>42173.171291328777</v>
      </c>
      <c r="L1038">
        <v>0.69917047091553897</v>
      </c>
    </row>
    <row r="1039" spans="1:12" x14ac:dyDescent="0.35">
      <c r="A1039">
        <v>2036</v>
      </c>
      <c r="B1039" t="s">
        <v>12</v>
      </c>
      <c r="C1039" t="s">
        <v>4</v>
      </c>
      <c r="D1039" t="s">
        <v>18</v>
      </c>
      <c r="E1039" t="s">
        <v>483</v>
      </c>
      <c r="F1039" t="s">
        <v>85</v>
      </c>
      <c r="G1039">
        <v>68174.621934206763</v>
      </c>
      <c r="H1039">
        <v>194813.12210065019</v>
      </c>
      <c r="I1039">
        <v>136207.58231963799</v>
      </c>
      <c r="J1039">
        <v>0</v>
      </c>
      <c r="K1039">
        <v>0</v>
      </c>
      <c r="L1039">
        <v>0.69917047091553897</v>
      </c>
    </row>
    <row r="1040" spans="1:12" x14ac:dyDescent="0.35">
      <c r="A1040">
        <v>2036</v>
      </c>
      <c r="B1040" t="s">
        <v>12</v>
      </c>
      <c r="C1040" t="s">
        <v>4</v>
      </c>
      <c r="D1040" t="s">
        <v>18</v>
      </c>
      <c r="E1040" t="s">
        <v>483</v>
      </c>
      <c r="F1040" t="s">
        <v>86</v>
      </c>
      <c r="G1040">
        <v>68174.621934206763</v>
      </c>
      <c r="H1040">
        <v>194813.12210065019</v>
      </c>
      <c r="I1040">
        <v>136207.58231963799</v>
      </c>
      <c r="J1040">
        <v>0</v>
      </c>
      <c r="K1040">
        <v>0</v>
      </c>
      <c r="L1040">
        <v>0.69917047091553897</v>
      </c>
    </row>
    <row r="1041" spans="1:12" x14ac:dyDescent="0.35">
      <c r="A1041">
        <v>2036</v>
      </c>
      <c r="B1041" t="s">
        <v>12</v>
      </c>
      <c r="C1041" t="s">
        <v>4</v>
      </c>
      <c r="D1041" t="s">
        <v>18</v>
      </c>
      <c r="E1041" t="s">
        <v>490</v>
      </c>
      <c r="F1041" t="s">
        <v>82</v>
      </c>
      <c r="G1041">
        <v>68174.621934206763</v>
      </c>
      <c r="H1041">
        <v>194813.12210065019</v>
      </c>
      <c r="I1041">
        <v>136207.58231963799</v>
      </c>
      <c r="J1041">
        <v>0</v>
      </c>
      <c r="K1041">
        <v>0</v>
      </c>
      <c r="L1041">
        <v>0.69917047091553897</v>
      </c>
    </row>
    <row r="1042" spans="1:12" x14ac:dyDescent="0.35">
      <c r="A1042">
        <v>2036</v>
      </c>
      <c r="B1042" t="s">
        <v>12</v>
      </c>
      <c r="C1042" t="s">
        <v>9</v>
      </c>
      <c r="D1042" t="s">
        <v>16</v>
      </c>
      <c r="E1042" t="s">
        <v>483</v>
      </c>
      <c r="F1042" t="s">
        <v>80</v>
      </c>
      <c r="G1042">
        <v>25328.788125042582</v>
      </c>
      <c r="H1042">
        <v>0</v>
      </c>
      <c r="I1042">
        <v>0</v>
      </c>
      <c r="J1042">
        <v>36226.913433394053</v>
      </c>
      <c r="K1042">
        <v>25328.788125042582</v>
      </c>
      <c r="L1042">
        <v>0.69917047091553897</v>
      </c>
    </row>
    <row r="1043" spans="1:12" x14ac:dyDescent="0.35">
      <c r="A1043">
        <v>2036</v>
      </c>
      <c r="B1043" t="s">
        <v>12</v>
      </c>
      <c r="C1043" t="s">
        <v>9</v>
      </c>
      <c r="D1043" t="s">
        <v>16</v>
      </c>
      <c r="E1043" t="s">
        <v>483</v>
      </c>
      <c r="F1043" t="s">
        <v>81</v>
      </c>
      <c r="G1043">
        <v>25328.788125042582</v>
      </c>
      <c r="H1043">
        <v>37189</v>
      </c>
      <c r="I1043">
        <v>26001.450642877979</v>
      </c>
      <c r="J1043">
        <v>0</v>
      </c>
      <c r="K1043">
        <v>0</v>
      </c>
      <c r="L1043">
        <v>0.69917047091553897</v>
      </c>
    </row>
    <row r="1044" spans="1:12" x14ac:dyDescent="0.35">
      <c r="A1044">
        <v>2036</v>
      </c>
      <c r="B1044" t="s">
        <v>12</v>
      </c>
      <c r="C1044" t="s">
        <v>9</v>
      </c>
      <c r="D1044" t="s">
        <v>18</v>
      </c>
      <c r="E1044" t="s">
        <v>483</v>
      </c>
      <c r="F1044" t="s">
        <v>85</v>
      </c>
      <c r="G1044">
        <v>25328.788125042582</v>
      </c>
      <c r="H1044">
        <v>194813.12210065019</v>
      </c>
      <c r="I1044">
        <v>136207.58231963799</v>
      </c>
      <c r="J1044">
        <v>0</v>
      </c>
      <c r="K1044">
        <v>0</v>
      </c>
      <c r="L1044">
        <v>0.69917047091553897</v>
      </c>
    </row>
    <row r="1045" spans="1:12" x14ac:dyDescent="0.35">
      <c r="A1045">
        <v>2036</v>
      </c>
      <c r="B1045" t="s">
        <v>12</v>
      </c>
      <c r="C1045" t="s">
        <v>9</v>
      </c>
      <c r="D1045" t="s">
        <v>18</v>
      </c>
      <c r="E1045" t="s">
        <v>483</v>
      </c>
      <c r="F1045" t="s">
        <v>86</v>
      </c>
      <c r="G1045">
        <v>25328.788125042582</v>
      </c>
      <c r="H1045">
        <v>194813.12210065019</v>
      </c>
      <c r="I1045">
        <v>136207.58231963799</v>
      </c>
      <c r="J1045">
        <v>0</v>
      </c>
      <c r="K1045">
        <v>0</v>
      </c>
      <c r="L1045">
        <v>0.69917047091553897</v>
      </c>
    </row>
    <row r="1046" spans="1:12" x14ac:dyDescent="0.35">
      <c r="A1046">
        <v>2036</v>
      </c>
      <c r="B1046" t="s">
        <v>12</v>
      </c>
      <c r="C1046" t="s">
        <v>9</v>
      </c>
      <c r="D1046" t="s">
        <v>18</v>
      </c>
      <c r="E1046" t="s">
        <v>490</v>
      </c>
      <c r="F1046" t="s">
        <v>82</v>
      </c>
      <c r="G1046">
        <v>25328.788125042582</v>
      </c>
      <c r="H1046">
        <v>194813.12210065019</v>
      </c>
      <c r="I1046">
        <v>136207.58231963799</v>
      </c>
      <c r="J1046">
        <v>0</v>
      </c>
      <c r="K1046">
        <v>0</v>
      </c>
      <c r="L1046">
        <v>0.69917047091553897</v>
      </c>
    </row>
    <row r="1047" spans="1:12" x14ac:dyDescent="0.35">
      <c r="A1047">
        <v>2036</v>
      </c>
      <c r="B1047" t="s">
        <v>12</v>
      </c>
      <c r="C1047" t="s">
        <v>10</v>
      </c>
      <c r="D1047" t="s">
        <v>16</v>
      </c>
      <c r="E1047" t="s">
        <v>483</v>
      </c>
      <c r="F1047" t="s">
        <v>80</v>
      </c>
      <c r="G1047">
        <v>64946.06057918453</v>
      </c>
      <c r="H1047">
        <v>0</v>
      </c>
      <c r="I1047">
        <v>0</v>
      </c>
      <c r="J1047">
        <v>92890.16524702475</v>
      </c>
      <c r="K1047">
        <v>64946.06057918453</v>
      </c>
      <c r="L1047">
        <v>0.69917047091553897</v>
      </c>
    </row>
    <row r="1048" spans="1:12" x14ac:dyDescent="0.35">
      <c r="A1048">
        <v>2036</v>
      </c>
      <c r="B1048" t="s">
        <v>12</v>
      </c>
      <c r="C1048" t="s">
        <v>10</v>
      </c>
      <c r="D1048" t="s">
        <v>16</v>
      </c>
      <c r="E1048" t="s">
        <v>483</v>
      </c>
      <c r="F1048" t="s">
        <v>81</v>
      </c>
      <c r="G1048">
        <v>64946.06057918453</v>
      </c>
      <c r="H1048">
        <v>37189</v>
      </c>
      <c r="I1048">
        <v>26001.450642877979</v>
      </c>
      <c r="J1048">
        <v>55701.16524702475</v>
      </c>
      <c r="K1048">
        <v>38944.609936306551</v>
      </c>
      <c r="L1048">
        <v>0.69917047091553897</v>
      </c>
    </row>
    <row r="1049" spans="1:12" x14ac:dyDescent="0.35">
      <c r="A1049">
        <v>2036</v>
      </c>
      <c r="B1049" t="s">
        <v>12</v>
      </c>
      <c r="C1049" t="s">
        <v>10</v>
      </c>
      <c r="D1049" t="s">
        <v>18</v>
      </c>
      <c r="E1049" t="s">
        <v>483</v>
      </c>
      <c r="F1049" t="s">
        <v>85</v>
      </c>
      <c r="G1049">
        <v>64946.06057918453</v>
      </c>
      <c r="H1049">
        <v>194813.12210065019</v>
      </c>
      <c r="I1049">
        <v>136207.58231963799</v>
      </c>
      <c r="J1049">
        <v>0</v>
      </c>
      <c r="K1049">
        <v>0</v>
      </c>
      <c r="L1049">
        <v>0.69917047091553897</v>
      </c>
    </row>
    <row r="1050" spans="1:12" x14ac:dyDescent="0.35">
      <c r="A1050">
        <v>2036</v>
      </c>
      <c r="B1050" t="s">
        <v>12</v>
      </c>
      <c r="C1050" t="s">
        <v>10</v>
      </c>
      <c r="D1050" t="s">
        <v>18</v>
      </c>
      <c r="E1050" t="s">
        <v>483</v>
      </c>
      <c r="F1050" t="s">
        <v>86</v>
      </c>
      <c r="G1050">
        <v>64946.06057918453</v>
      </c>
      <c r="H1050">
        <v>194813.12210065019</v>
      </c>
      <c r="I1050">
        <v>136207.58231963799</v>
      </c>
      <c r="J1050">
        <v>0</v>
      </c>
      <c r="K1050">
        <v>0</v>
      </c>
      <c r="L1050">
        <v>0.69917047091553897</v>
      </c>
    </row>
    <row r="1051" spans="1:12" x14ac:dyDescent="0.35">
      <c r="A1051">
        <v>2036</v>
      </c>
      <c r="B1051" t="s">
        <v>12</v>
      </c>
      <c r="C1051" t="s">
        <v>10</v>
      </c>
      <c r="D1051" t="s">
        <v>18</v>
      </c>
      <c r="E1051" t="s">
        <v>490</v>
      </c>
      <c r="F1051" t="s">
        <v>82</v>
      </c>
      <c r="G1051">
        <v>64946.06057918453</v>
      </c>
      <c r="H1051">
        <v>194813.12210065019</v>
      </c>
      <c r="I1051">
        <v>136207.58231963799</v>
      </c>
      <c r="J1051">
        <v>0</v>
      </c>
      <c r="K1051">
        <v>0</v>
      </c>
      <c r="L1051">
        <v>0.69917047091553897</v>
      </c>
    </row>
    <row r="1052" spans="1:12" x14ac:dyDescent="0.35">
      <c r="A1052">
        <v>2036</v>
      </c>
      <c r="B1052" t="s">
        <v>11</v>
      </c>
      <c r="C1052" t="s">
        <v>4</v>
      </c>
      <c r="D1052" t="s">
        <v>16</v>
      </c>
      <c r="E1052" t="s">
        <v>483</v>
      </c>
      <c r="F1052" t="s">
        <v>80</v>
      </c>
      <c r="G1052">
        <v>5473.9657750696551</v>
      </c>
      <c r="H1052">
        <v>0</v>
      </c>
      <c r="I1052">
        <v>0</v>
      </c>
      <c r="J1052">
        <v>9145.4706114702931</v>
      </c>
      <c r="K1052">
        <v>5473.9657750696551</v>
      </c>
      <c r="L1052">
        <v>0.59854391398996798</v>
      </c>
    </row>
    <row r="1053" spans="1:12" x14ac:dyDescent="0.35">
      <c r="A1053">
        <v>2036</v>
      </c>
      <c r="B1053" t="s">
        <v>11</v>
      </c>
      <c r="C1053" t="s">
        <v>4</v>
      </c>
      <c r="D1053" t="s">
        <v>16</v>
      </c>
      <c r="E1053" t="s">
        <v>483</v>
      </c>
      <c r="F1053" t="s">
        <v>81</v>
      </c>
      <c r="G1053">
        <v>5473.9657750696551</v>
      </c>
      <c r="H1053">
        <v>0</v>
      </c>
      <c r="I1053">
        <v>0</v>
      </c>
      <c r="J1053">
        <v>9145.4706114702931</v>
      </c>
      <c r="K1053">
        <v>5473.9657750696551</v>
      </c>
      <c r="L1053">
        <v>0.59854391398996798</v>
      </c>
    </row>
    <row r="1054" spans="1:12" x14ac:dyDescent="0.35">
      <c r="A1054">
        <v>2036</v>
      </c>
      <c r="B1054" t="s">
        <v>11</v>
      </c>
      <c r="C1054" t="s">
        <v>4</v>
      </c>
      <c r="D1054" t="s">
        <v>18</v>
      </c>
      <c r="E1054" t="s">
        <v>483</v>
      </c>
      <c r="F1054" t="s">
        <v>85</v>
      </c>
      <c r="G1054">
        <v>5473.9657750696551</v>
      </c>
      <c r="H1054">
        <v>112.111990107284</v>
      </c>
      <c r="I1054">
        <v>67.10394936401832</v>
      </c>
      <c r="J1054">
        <v>9033.3586213630097</v>
      </c>
      <c r="K1054">
        <v>5406.8618257056369</v>
      </c>
      <c r="L1054">
        <v>0.59854391398996798</v>
      </c>
    </row>
    <row r="1055" spans="1:12" x14ac:dyDescent="0.35">
      <c r="A1055">
        <v>2036</v>
      </c>
      <c r="B1055" t="s">
        <v>11</v>
      </c>
      <c r="C1055" t="s">
        <v>4</v>
      </c>
      <c r="D1055" t="s">
        <v>18</v>
      </c>
      <c r="E1055" t="s">
        <v>483</v>
      </c>
      <c r="F1055" t="s">
        <v>86</v>
      </c>
      <c r="G1055">
        <v>5473.9657750696551</v>
      </c>
      <c r="H1055">
        <v>112.111990107284</v>
      </c>
      <c r="I1055">
        <v>67.10394936401832</v>
      </c>
      <c r="J1055">
        <v>9033.3586213630097</v>
      </c>
      <c r="K1055">
        <v>5406.8618257056369</v>
      </c>
      <c r="L1055">
        <v>0.59854391398996798</v>
      </c>
    </row>
    <row r="1056" spans="1:12" x14ac:dyDescent="0.35">
      <c r="A1056">
        <v>2036</v>
      </c>
      <c r="B1056" t="s">
        <v>11</v>
      </c>
      <c r="C1056" t="s">
        <v>4</v>
      </c>
      <c r="D1056" t="s">
        <v>18</v>
      </c>
      <c r="E1056" t="s">
        <v>490</v>
      </c>
      <c r="F1056" t="s">
        <v>82</v>
      </c>
      <c r="G1056">
        <v>5473.9657750696551</v>
      </c>
      <c r="H1056">
        <v>112.111990107284</v>
      </c>
      <c r="I1056">
        <v>67.10394936401832</v>
      </c>
      <c r="J1056">
        <v>9033.3586213630097</v>
      </c>
      <c r="K1056">
        <v>5406.8618257056369</v>
      </c>
      <c r="L1056">
        <v>0.59854391398996798</v>
      </c>
    </row>
    <row r="1057" spans="1:12" x14ac:dyDescent="0.35">
      <c r="A1057">
        <v>2036</v>
      </c>
      <c r="B1057" t="s">
        <v>11</v>
      </c>
      <c r="C1057" t="s">
        <v>9</v>
      </c>
      <c r="D1057" t="s">
        <v>16</v>
      </c>
      <c r="E1057" t="s">
        <v>483</v>
      </c>
      <c r="F1057" t="s">
        <v>80</v>
      </c>
      <c r="G1057">
        <v>1758.8013355418279</v>
      </c>
      <c r="H1057">
        <v>0</v>
      </c>
      <c r="I1057">
        <v>0</v>
      </c>
      <c r="J1057">
        <v>2938.4666595595968</v>
      </c>
      <c r="K1057">
        <v>1758.8013355418279</v>
      </c>
      <c r="L1057">
        <v>0.59854391398996798</v>
      </c>
    </row>
    <row r="1058" spans="1:12" x14ac:dyDescent="0.35">
      <c r="A1058">
        <v>2036</v>
      </c>
      <c r="B1058" t="s">
        <v>11</v>
      </c>
      <c r="C1058" t="s">
        <v>9</v>
      </c>
      <c r="D1058" t="s">
        <v>16</v>
      </c>
      <c r="E1058" t="s">
        <v>483</v>
      </c>
      <c r="F1058" t="s">
        <v>81</v>
      </c>
      <c r="G1058">
        <v>1758.8013355418279</v>
      </c>
      <c r="H1058">
        <v>0</v>
      </c>
      <c r="I1058">
        <v>0</v>
      </c>
      <c r="J1058">
        <v>2938.4666595595968</v>
      </c>
      <c r="K1058">
        <v>1758.8013355418279</v>
      </c>
      <c r="L1058">
        <v>0.59854391398996798</v>
      </c>
    </row>
    <row r="1059" spans="1:12" x14ac:dyDescent="0.35">
      <c r="A1059">
        <v>2036</v>
      </c>
      <c r="B1059" t="s">
        <v>11</v>
      </c>
      <c r="C1059" t="s">
        <v>9</v>
      </c>
      <c r="D1059" t="s">
        <v>18</v>
      </c>
      <c r="E1059" t="s">
        <v>483</v>
      </c>
      <c r="F1059" t="s">
        <v>85</v>
      </c>
      <c r="G1059">
        <v>1758.8013355418279</v>
      </c>
      <c r="H1059">
        <v>112.111990107284</v>
      </c>
      <c r="I1059">
        <v>67.10394936401832</v>
      </c>
      <c r="J1059">
        <v>2826.3546694523129</v>
      </c>
      <c r="K1059">
        <v>1691.6973861778099</v>
      </c>
      <c r="L1059">
        <v>0.59854391398996798</v>
      </c>
    </row>
    <row r="1060" spans="1:12" x14ac:dyDescent="0.35">
      <c r="A1060">
        <v>2036</v>
      </c>
      <c r="B1060" t="s">
        <v>11</v>
      </c>
      <c r="C1060" t="s">
        <v>9</v>
      </c>
      <c r="D1060" t="s">
        <v>18</v>
      </c>
      <c r="E1060" t="s">
        <v>483</v>
      </c>
      <c r="F1060" t="s">
        <v>86</v>
      </c>
      <c r="G1060">
        <v>1758.8013355418279</v>
      </c>
      <c r="H1060">
        <v>112.111990107284</v>
      </c>
      <c r="I1060">
        <v>67.10394936401832</v>
      </c>
      <c r="J1060">
        <v>2826.3546694523129</v>
      </c>
      <c r="K1060">
        <v>1691.6973861778099</v>
      </c>
      <c r="L1060">
        <v>0.59854391398996798</v>
      </c>
    </row>
    <row r="1061" spans="1:12" x14ac:dyDescent="0.35">
      <c r="A1061">
        <v>2036</v>
      </c>
      <c r="B1061" t="s">
        <v>11</v>
      </c>
      <c r="C1061" t="s">
        <v>9</v>
      </c>
      <c r="D1061" t="s">
        <v>18</v>
      </c>
      <c r="E1061" t="s">
        <v>490</v>
      </c>
      <c r="F1061" t="s">
        <v>82</v>
      </c>
      <c r="G1061">
        <v>1758.8013355418279</v>
      </c>
      <c r="H1061">
        <v>112.111990107284</v>
      </c>
      <c r="I1061">
        <v>67.10394936401832</v>
      </c>
      <c r="J1061">
        <v>2826.3546694523129</v>
      </c>
      <c r="K1061">
        <v>1691.6973861778099</v>
      </c>
      <c r="L1061">
        <v>0.59854391398996798</v>
      </c>
    </row>
    <row r="1062" spans="1:12" x14ac:dyDescent="0.35">
      <c r="A1062">
        <v>2036</v>
      </c>
      <c r="B1062" t="s">
        <v>11</v>
      </c>
      <c r="C1062" t="s">
        <v>10</v>
      </c>
      <c r="D1062" t="s">
        <v>16</v>
      </c>
      <c r="E1062" t="s">
        <v>483</v>
      </c>
      <c r="F1062" t="s">
        <v>80</v>
      </c>
      <c r="G1062">
        <v>5249.778261831415</v>
      </c>
      <c r="H1062">
        <v>0</v>
      </c>
      <c r="I1062">
        <v>0</v>
      </c>
      <c r="J1062">
        <v>8770.9157826628652</v>
      </c>
      <c r="K1062">
        <v>5249.778261831415</v>
      </c>
      <c r="L1062">
        <v>0.59854391398996798</v>
      </c>
    </row>
    <row r="1063" spans="1:12" x14ac:dyDescent="0.35">
      <c r="A1063">
        <v>2036</v>
      </c>
      <c r="B1063" t="s">
        <v>11</v>
      </c>
      <c r="C1063" t="s">
        <v>10</v>
      </c>
      <c r="D1063" t="s">
        <v>16</v>
      </c>
      <c r="E1063" t="s">
        <v>483</v>
      </c>
      <c r="F1063" t="s">
        <v>81</v>
      </c>
      <c r="G1063">
        <v>5249.778261831415</v>
      </c>
      <c r="H1063">
        <v>0</v>
      </c>
      <c r="I1063">
        <v>0</v>
      </c>
      <c r="J1063">
        <v>8770.9157826628652</v>
      </c>
      <c r="K1063">
        <v>5249.778261831415</v>
      </c>
      <c r="L1063">
        <v>0.59854391398996798</v>
      </c>
    </row>
    <row r="1064" spans="1:12" x14ac:dyDescent="0.35">
      <c r="A1064">
        <v>2036</v>
      </c>
      <c r="B1064" t="s">
        <v>11</v>
      </c>
      <c r="C1064" t="s">
        <v>10</v>
      </c>
      <c r="D1064" t="s">
        <v>18</v>
      </c>
      <c r="E1064" t="s">
        <v>483</v>
      </c>
      <c r="F1064" t="s">
        <v>85</v>
      </c>
      <c r="G1064">
        <v>5249.778261831415</v>
      </c>
      <c r="H1064">
        <v>112.111990107284</v>
      </c>
      <c r="I1064">
        <v>67.10394936401832</v>
      </c>
      <c r="J1064">
        <v>8658.8037925555818</v>
      </c>
      <c r="K1064">
        <v>5182.6743124673967</v>
      </c>
      <c r="L1064">
        <v>0.59854391398996798</v>
      </c>
    </row>
    <row r="1065" spans="1:12" x14ac:dyDescent="0.35">
      <c r="A1065">
        <v>2036</v>
      </c>
      <c r="B1065" t="s">
        <v>11</v>
      </c>
      <c r="C1065" t="s">
        <v>10</v>
      </c>
      <c r="D1065" t="s">
        <v>18</v>
      </c>
      <c r="E1065" t="s">
        <v>483</v>
      </c>
      <c r="F1065" t="s">
        <v>86</v>
      </c>
      <c r="G1065">
        <v>5249.778261831415</v>
      </c>
      <c r="H1065">
        <v>112.111990107284</v>
      </c>
      <c r="I1065">
        <v>67.10394936401832</v>
      </c>
      <c r="J1065">
        <v>8658.8037925555818</v>
      </c>
      <c r="K1065">
        <v>5182.6743124673967</v>
      </c>
      <c r="L1065">
        <v>0.59854391398996798</v>
      </c>
    </row>
    <row r="1066" spans="1:12" x14ac:dyDescent="0.35">
      <c r="A1066">
        <v>2036</v>
      </c>
      <c r="B1066" t="s">
        <v>11</v>
      </c>
      <c r="C1066" t="s">
        <v>10</v>
      </c>
      <c r="D1066" t="s">
        <v>18</v>
      </c>
      <c r="E1066" t="s">
        <v>490</v>
      </c>
      <c r="F1066" t="s">
        <v>82</v>
      </c>
      <c r="G1066">
        <v>5249.778261831415</v>
      </c>
      <c r="H1066">
        <v>112.111990107284</v>
      </c>
      <c r="I1066">
        <v>67.10394936401832</v>
      </c>
      <c r="J1066">
        <v>8658.8037925555818</v>
      </c>
      <c r="K1066">
        <v>5182.6743124673967</v>
      </c>
      <c r="L1066">
        <v>0.59854391398996798</v>
      </c>
    </row>
    <row r="1067" spans="1:12" x14ac:dyDescent="0.35">
      <c r="A1067">
        <v>2036</v>
      </c>
      <c r="B1067" t="s">
        <v>8</v>
      </c>
      <c r="C1067" t="s">
        <v>4</v>
      </c>
      <c r="D1067" t="s">
        <v>16</v>
      </c>
      <c r="E1067" t="s">
        <v>483</v>
      </c>
      <c r="F1067" t="s">
        <v>80</v>
      </c>
      <c r="G1067">
        <v>165843.46419653171</v>
      </c>
      <c r="H1067">
        <v>0</v>
      </c>
      <c r="I1067">
        <v>0</v>
      </c>
      <c r="J1067">
        <v>210580.16882416769</v>
      </c>
      <c r="K1067">
        <v>165843.46419653171</v>
      </c>
      <c r="L1067">
        <v>0.787554996857322</v>
      </c>
    </row>
    <row r="1068" spans="1:12" x14ac:dyDescent="0.35">
      <c r="A1068">
        <v>2036</v>
      </c>
      <c r="B1068" t="s">
        <v>8</v>
      </c>
      <c r="C1068" t="s">
        <v>4</v>
      </c>
      <c r="D1068" t="s">
        <v>16</v>
      </c>
      <c r="E1068" t="s">
        <v>483</v>
      </c>
      <c r="F1068" t="s">
        <v>81</v>
      </c>
      <c r="G1068">
        <v>165843.46419653171</v>
      </c>
      <c r="H1068">
        <v>116680</v>
      </c>
      <c r="I1068">
        <v>65443.483404116138</v>
      </c>
      <c r="J1068">
        <v>93900.168824167689</v>
      </c>
      <c r="K1068">
        <v>100399.9807924156</v>
      </c>
      <c r="L1068">
        <v>0.787554996857322</v>
      </c>
    </row>
    <row r="1069" spans="1:12" x14ac:dyDescent="0.35">
      <c r="A1069">
        <v>2036</v>
      </c>
      <c r="B1069" t="s">
        <v>8</v>
      </c>
      <c r="C1069" t="s">
        <v>4</v>
      </c>
      <c r="D1069" t="s">
        <v>18</v>
      </c>
      <c r="E1069" t="s">
        <v>483</v>
      </c>
      <c r="F1069" t="s">
        <v>85</v>
      </c>
      <c r="G1069">
        <v>165843.46419653171</v>
      </c>
      <c r="H1069">
        <v>236101.16516190339</v>
      </c>
      <c r="I1069">
        <v>132424.43164180251</v>
      </c>
      <c r="J1069">
        <v>0</v>
      </c>
      <c r="K1069">
        <v>33419.03255472926</v>
      </c>
      <c r="L1069">
        <v>0.787554996857322</v>
      </c>
    </row>
    <row r="1070" spans="1:12" x14ac:dyDescent="0.35">
      <c r="A1070">
        <v>2036</v>
      </c>
      <c r="B1070" t="s">
        <v>8</v>
      </c>
      <c r="C1070" t="s">
        <v>4</v>
      </c>
      <c r="D1070" t="s">
        <v>18</v>
      </c>
      <c r="E1070" t="s">
        <v>483</v>
      </c>
      <c r="F1070" t="s">
        <v>86</v>
      </c>
      <c r="G1070">
        <v>165843.46419653171</v>
      </c>
      <c r="H1070">
        <v>236101.16516190339</v>
      </c>
      <c r="I1070">
        <v>132424.43164180251</v>
      </c>
      <c r="J1070">
        <v>0</v>
      </c>
      <c r="K1070">
        <v>33419.03255472926</v>
      </c>
      <c r="L1070">
        <v>0.787554996857322</v>
      </c>
    </row>
    <row r="1071" spans="1:12" x14ac:dyDescent="0.35">
      <c r="A1071">
        <v>2036</v>
      </c>
      <c r="B1071" t="s">
        <v>8</v>
      </c>
      <c r="C1071" t="s">
        <v>4</v>
      </c>
      <c r="D1071" t="s">
        <v>18</v>
      </c>
      <c r="E1071" t="s">
        <v>490</v>
      </c>
      <c r="F1071" t="s">
        <v>82</v>
      </c>
      <c r="G1071">
        <v>165843.46419653171</v>
      </c>
      <c r="H1071">
        <v>236101.16516190339</v>
      </c>
      <c r="I1071">
        <v>185942.652387093</v>
      </c>
      <c r="J1071">
        <v>0</v>
      </c>
      <c r="K1071">
        <v>0</v>
      </c>
      <c r="L1071">
        <v>0.787554996857322</v>
      </c>
    </row>
    <row r="1072" spans="1:12" x14ac:dyDescent="0.35">
      <c r="A1072">
        <v>2036</v>
      </c>
      <c r="B1072" t="s">
        <v>8</v>
      </c>
      <c r="C1072" t="s">
        <v>9</v>
      </c>
      <c r="D1072" t="s">
        <v>16</v>
      </c>
      <c r="E1072" t="s">
        <v>483</v>
      </c>
      <c r="F1072" t="s">
        <v>80</v>
      </c>
      <c r="G1072">
        <v>65540.179703389193</v>
      </c>
      <c r="H1072">
        <v>0</v>
      </c>
      <c r="I1072">
        <v>0</v>
      </c>
      <c r="J1072">
        <v>83219.813174854164</v>
      </c>
      <c r="K1072">
        <v>65540.179703389193</v>
      </c>
      <c r="L1072">
        <v>0.787554996857322</v>
      </c>
    </row>
    <row r="1073" spans="1:12" x14ac:dyDescent="0.35">
      <c r="A1073">
        <v>2036</v>
      </c>
      <c r="B1073" t="s">
        <v>8</v>
      </c>
      <c r="C1073" t="s">
        <v>9</v>
      </c>
      <c r="D1073" t="s">
        <v>16</v>
      </c>
      <c r="E1073" t="s">
        <v>483</v>
      </c>
      <c r="F1073" t="s">
        <v>81</v>
      </c>
      <c r="G1073">
        <v>65540.179703389193</v>
      </c>
      <c r="H1073">
        <v>116680</v>
      </c>
      <c r="I1073">
        <v>65443.483404116138</v>
      </c>
      <c r="J1073">
        <v>0</v>
      </c>
      <c r="K1073">
        <v>96.696299273055047</v>
      </c>
      <c r="L1073">
        <v>0.787554996857322</v>
      </c>
    </row>
    <row r="1074" spans="1:12" x14ac:dyDescent="0.35">
      <c r="A1074">
        <v>2036</v>
      </c>
      <c r="B1074" t="s">
        <v>8</v>
      </c>
      <c r="C1074" t="s">
        <v>9</v>
      </c>
      <c r="D1074" t="s">
        <v>18</v>
      </c>
      <c r="E1074" t="s">
        <v>483</v>
      </c>
      <c r="F1074" t="s">
        <v>85</v>
      </c>
      <c r="G1074">
        <v>65540.179703389193</v>
      </c>
      <c r="H1074">
        <v>236101.16516190339</v>
      </c>
      <c r="I1074">
        <v>132424.43164180251</v>
      </c>
      <c r="J1074">
        <v>0</v>
      </c>
      <c r="K1074">
        <v>0</v>
      </c>
      <c r="L1074">
        <v>0.787554996857322</v>
      </c>
    </row>
    <row r="1075" spans="1:12" x14ac:dyDescent="0.35">
      <c r="A1075">
        <v>2036</v>
      </c>
      <c r="B1075" t="s">
        <v>8</v>
      </c>
      <c r="C1075" t="s">
        <v>9</v>
      </c>
      <c r="D1075" t="s">
        <v>18</v>
      </c>
      <c r="E1075" t="s">
        <v>483</v>
      </c>
      <c r="F1075" t="s">
        <v>86</v>
      </c>
      <c r="G1075">
        <v>65540.179703389193</v>
      </c>
      <c r="H1075">
        <v>236101.16516190339</v>
      </c>
      <c r="I1075">
        <v>132424.43164180251</v>
      </c>
      <c r="J1075">
        <v>0</v>
      </c>
      <c r="K1075">
        <v>0</v>
      </c>
      <c r="L1075">
        <v>0.787554996857322</v>
      </c>
    </row>
    <row r="1076" spans="1:12" x14ac:dyDescent="0.35">
      <c r="A1076">
        <v>2036</v>
      </c>
      <c r="B1076" t="s">
        <v>8</v>
      </c>
      <c r="C1076" t="s">
        <v>9</v>
      </c>
      <c r="D1076" t="s">
        <v>18</v>
      </c>
      <c r="E1076" t="s">
        <v>490</v>
      </c>
      <c r="F1076" t="s">
        <v>82</v>
      </c>
      <c r="G1076">
        <v>65540.179703389193</v>
      </c>
      <c r="H1076">
        <v>236101.16516190339</v>
      </c>
      <c r="I1076">
        <v>185942.652387093</v>
      </c>
      <c r="J1076">
        <v>0</v>
      </c>
      <c r="K1076">
        <v>0</v>
      </c>
      <c r="L1076">
        <v>0.787554996857322</v>
      </c>
    </row>
    <row r="1077" spans="1:12" x14ac:dyDescent="0.35">
      <c r="A1077">
        <v>2036</v>
      </c>
      <c r="B1077" t="s">
        <v>8</v>
      </c>
      <c r="C1077" t="s">
        <v>10</v>
      </c>
      <c r="D1077" t="s">
        <v>16</v>
      </c>
      <c r="E1077" t="s">
        <v>483</v>
      </c>
      <c r="F1077" t="s">
        <v>80</v>
      </c>
      <c r="G1077">
        <v>159552.34537882611</v>
      </c>
      <c r="H1077">
        <v>0</v>
      </c>
      <c r="I1077">
        <v>0</v>
      </c>
      <c r="J1077">
        <v>202592.00438763961</v>
      </c>
      <c r="K1077">
        <v>159552.34537882611</v>
      </c>
      <c r="L1077">
        <v>0.787554996857322</v>
      </c>
    </row>
    <row r="1078" spans="1:12" x14ac:dyDescent="0.35">
      <c r="A1078">
        <v>2036</v>
      </c>
      <c r="B1078" t="s">
        <v>8</v>
      </c>
      <c r="C1078" t="s">
        <v>10</v>
      </c>
      <c r="D1078" t="s">
        <v>16</v>
      </c>
      <c r="E1078" t="s">
        <v>483</v>
      </c>
      <c r="F1078" t="s">
        <v>81</v>
      </c>
      <c r="G1078">
        <v>159552.34537882611</v>
      </c>
      <c r="H1078">
        <v>116680</v>
      </c>
      <c r="I1078">
        <v>65443.483404116138</v>
      </c>
      <c r="J1078">
        <v>85912.004387639638</v>
      </c>
      <c r="K1078">
        <v>94108.861974709973</v>
      </c>
      <c r="L1078">
        <v>0.787554996857322</v>
      </c>
    </row>
    <row r="1079" spans="1:12" x14ac:dyDescent="0.35">
      <c r="A1079">
        <v>2036</v>
      </c>
      <c r="B1079" t="s">
        <v>8</v>
      </c>
      <c r="C1079" t="s">
        <v>10</v>
      </c>
      <c r="D1079" t="s">
        <v>18</v>
      </c>
      <c r="E1079" t="s">
        <v>483</v>
      </c>
      <c r="F1079" t="s">
        <v>85</v>
      </c>
      <c r="G1079">
        <v>159552.34537882611</v>
      </c>
      <c r="H1079">
        <v>236101.16516190339</v>
      </c>
      <c r="I1079">
        <v>132424.43164180251</v>
      </c>
      <c r="J1079">
        <v>0</v>
      </c>
      <c r="K1079">
        <v>27127.91373702366</v>
      </c>
      <c r="L1079">
        <v>0.787554996857322</v>
      </c>
    </row>
    <row r="1080" spans="1:12" x14ac:dyDescent="0.35">
      <c r="A1080">
        <v>2036</v>
      </c>
      <c r="B1080" t="s">
        <v>8</v>
      </c>
      <c r="C1080" t="s">
        <v>10</v>
      </c>
      <c r="D1080" t="s">
        <v>18</v>
      </c>
      <c r="E1080" t="s">
        <v>483</v>
      </c>
      <c r="F1080" t="s">
        <v>86</v>
      </c>
      <c r="G1080">
        <v>159552.34537882611</v>
      </c>
      <c r="H1080">
        <v>236101.16516190339</v>
      </c>
      <c r="I1080">
        <v>132424.43164180251</v>
      </c>
      <c r="J1080">
        <v>0</v>
      </c>
      <c r="K1080">
        <v>27127.91373702366</v>
      </c>
      <c r="L1080">
        <v>0.787554996857322</v>
      </c>
    </row>
    <row r="1081" spans="1:12" x14ac:dyDescent="0.35">
      <c r="A1081">
        <v>2036</v>
      </c>
      <c r="B1081" t="s">
        <v>8</v>
      </c>
      <c r="C1081" t="s">
        <v>10</v>
      </c>
      <c r="D1081" t="s">
        <v>18</v>
      </c>
      <c r="E1081" t="s">
        <v>490</v>
      </c>
      <c r="F1081" t="s">
        <v>82</v>
      </c>
      <c r="G1081">
        <v>159552.34537882611</v>
      </c>
      <c r="H1081">
        <v>236101.16516190339</v>
      </c>
      <c r="I1081">
        <v>185942.652387093</v>
      </c>
      <c r="J1081">
        <v>0</v>
      </c>
      <c r="K1081">
        <v>0</v>
      </c>
      <c r="L1081">
        <v>0.787554996857322</v>
      </c>
    </row>
    <row r="1082" spans="1:12" x14ac:dyDescent="0.35">
      <c r="A1082">
        <v>2037</v>
      </c>
      <c r="B1082" t="s">
        <v>6</v>
      </c>
      <c r="C1082" t="s">
        <v>4</v>
      </c>
      <c r="D1082" t="s">
        <v>16</v>
      </c>
      <c r="E1082" t="s">
        <v>483</v>
      </c>
      <c r="F1082" t="s">
        <v>80</v>
      </c>
      <c r="G1082">
        <v>195842.1780346538</v>
      </c>
      <c r="H1082">
        <v>0</v>
      </c>
      <c r="I1082">
        <v>0</v>
      </c>
      <c r="J1082">
        <v>445757.84433054109</v>
      </c>
      <c r="K1082">
        <v>195842.1780346538</v>
      </c>
      <c r="L1082">
        <v>0.439346565686978</v>
      </c>
    </row>
    <row r="1083" spans="1:12" x14ac:dyDescent="0.35">
      <c r="A1083">
        <v>2037</v>
      </c>
      <c r="B1083" t="s">
        <v>6</v>
      </c>
      <c r="C1083" t="s">
        <v>4</v>
      </c>
      <c r="D1083" t="s">
        <v>16</v>
      </c>
      <c r="E1083" t="s">
        <v>483</v>
      </c>
      <c r="F1083" t="s">
        <v>81</v>
      </c>
      <c r="G1083">
        <v>195842.1780346538</v>
      </c>
      <c r="H1083">
        <v>947</v>
      </c>
      <c r="I1083">
        <v>401.70019146980081</v>
      </c>
      <c r="J1083">
        <v>444810.84433054109</v>
      </c>
      <c r="K1083">
        <v>195440.47784318399</v>
      </c>
      <c r="L1083">
        <v>0.439346565686978</v>
      </c>
    </row>
    <row r="1084" spans="1:12" x14ac:dyDescent="0.35">
      <c r="A1084">
        <v>2037</v>
      </c>
      <c r="B1084" t="s">
        <v>6</v>
      </c>
      <c r="C1084" t="s">
        <v>4</v>
      </c>
      <c r="D1084" t="s">
        <v>18</v>
      </c>
      <c r="E1084" t="s">
        <v>483</v>
      </c>
      <c r="F1084" t="s">
        <v>85</v>
      </c>
      <c r="G1084">
        <v>195842.1780346538</v>
      </c>
      <c r="H1084">
        <v>20461.41490497061</v>
      </c>
      <c r="I1084">
        <v>8679.3603855012989</v>
      </c>
      <c r="J1084">
        <v>425296.42942557047</v>
      </c>
      <c r="K1084">
        <v>187162.81764915251</v>
      </c>
      <c r="L1084">
        <v>0.439346565686978</v>
      </c>
    </row>
    <row r="1085" spans="1:12" x14ac:dyDescent="0.35">
      <c r="A1085">
        <v>2037</v>
      </c>
      <c r="B1085" t="s">
        <v>6</v>
      </c>
      <c r="C1085" t="s">
        <v>4</v>
      </c>
      <c r="D1085" t="s">
        <v>18</v>
      </c>
      <c r="E1085" t="s">
        <v>483</v>
      </c>
      <c r="F1085" t="s">
        <v>86</v>
      </c>
      <c r="G1085">
        <v>195842.1780346538</v>
      </c>
      <c r="H1085">
        <v>20461.41490497061</v>
      </c>
      <c r="I1085">
        <v>8679.3603855012989</v>
      </c>
      <c r="J1085">
        <v>425296.42942557047</v>
      </c>
      <c r="K1085">
        <v>187162.81764915251</v>
      </c>
      <c r="L1085">
        <v>0.439346565686978</v>
      </c>
    </row>
    <row r="1086" spans="1:12" x14ac:dyDescent="0.35">
      <c r="A1086">
        <v>2037</v>
      </c>
      <c r="B1086" t="s">
        <v>6</v>
      </c>
      <c r="C1086" t="s">
        <v>4</v>
      </c>
      <c r="D1086" t="s">
        <v>18</v>
      </c>
      <c r="E1086" t="s">
        <v>490</v>
      </c>
      <c r="F1086" t="s">
        <v>82</v>
      </c>
      <c r="G1086">
        <v>195842.1780346538</v>
      </c>
      <c r="H1086">
        <v>20461.41490497061</v>
      </c>
      <c r="I1086">
        <v>8989.6523675951903</v>
      </c>
      <c r="J1086">
        <v>425296.42942557047</v>
      </c>
      <c r="K1086">
        <v>186852.52566705859</v>
      </c>
      <c r="L1086">
        <v>0.439346565686978</v>
      </c>
    </row>
    <row r="1087" spans="1:12" x14ac:dyDescent="0.35">
      <c r="A1087">
        <v>2037</v>
      </c>
      <c r="B1087" t="s">
        <v>6</v>
      </c>
      <c r="C1087" t="s">
        <v>9</v>
      </c>
      <c r="D1087" t="s">
        <v>16</v>
      </c>
      <c r="E1087" t="s">
        <v>483</v>
      </c>
      <c r="F1087" t="s">
        <v>80</v>
      </c>
      <c r="G1087">
        <v>73598.891657163113</v>
      </c>
      <c r="H1087">
        <v>0</v>
      </c>
      <c r="I1087">
        <v>0</v>
      </c>
      <c r="J1087">
        <v>167518.98707135959</v>
      </c>
      <c r="K1087">
        <v>73598.891657163113</v>
      </c>
      <c r="L1087">
        <v>0.439346565686978</v>
      </c>
    </row>
    <row r="1088" spans="1:12" x14ac:dyDescent="0.35">
      <c r="A1088">
        <v>2037</v>
      </c>
      <c r="B1088" t="s">
        <v>6</v>
      </c>
      <c r="C1088" t="s">
        <v>9</v>
      </c>
      <c r="D1088" t="s">
        <v>16</v>
      </c>
      <c r="E1088" t="s">
        <v>483</v>
      </c>
      <c r="F1088" t="s">
        <v>81</v>
      </c>
      <c r="G1088">
        <v>73598.891657163113</v>
      </c>
      <c r="H1088">
        <v>947</v>
      </c>
      <c r="I1088">
        <v>401.70019146980081</v>
      </c>
      <c r="J1088">
        <v>166571.98707135959</v>
      </c>
      <c r="K1088">
        <v>73197.191465693308</v>
      </c>
      <c r="L1088">
        <v>0.439346565686978</v>
      </c>
    </row>
    <row r="1089" spans="1:12" x14ac:dyDescent="0.35">
      <c r="A1089">
        <v>2037</v>
      </c>
      <c r="B1089" t="s">
        <v>6</v>
      </c>
      <c r="C1089" t="s">
        <v>9</v>
      </c>
      <c r="D1089" t="s">
        <v>18</v>
      </c>
      <c r="E1089" t="s">
        <v>483</v>
      </c>
      <c r="F1089" t="s">
        <v>85</v>
      </c>
      <c r="G1089">
        <v>73598.891657163113</v>
      </c>
      <c r="H1089">
        <v>20461.41490497061</v>
      </c>
      <c r="I1089">
        <v>8679.3603855012989</v>
      </c>
      <c r="J1089">
        <v>147057.572166389</v>
      </c>
      <c r="K1089">
        <v>64919.531271661806</v>
      </c>
      <c r="L1089">
        <v>0.439346565686978</v>
      </c>
    </row>
    <row r="1090" spans="1:12" x14ac:dyDescent="0.35">
      <c r="A1090">
        <v>2037</v>
      </c>
      <c r="B1090" t="s">
        <v>6</v>
      </c>
      <c r="C1090" t="s">
        <v>9</v>
      </c>
      <c r="D1090" t="s">
        <v>18</v>
      </c>
      <c r="E1090" t="s">
        <v>483</v>
      </c>
      <c r="F1090" t="s">
        <v>86</v>
      </c>
      <c r="G1090">
        <v>73598.891657163113</v>
      </c>
      <c r="H1090">
        <v>20461.41490497061</v>
      </c>
      <c r="I1090">
        <v>8679.3603855012989</v>
      </c>
      <c r="J1090">
        <v>147057.572166389</v>
      </c>
      <c r="K1090">
        <v>64919.531271661806</v>
      </c>
      <c r="L1090">
        <v>0.439346565686978</v>
      </c>
    </row>
    <row r="1091" spans="1:12" x14ac:dyDescent="0.35">
      <c r="A1091">
        <v>2037</v>
      </c>
      <c r="B1091" t="s">
        <v>6</v>
      </c>
      <c r="C1091" t="s">
        <v>9</v>
      </c>
      <c r="D1091" t="s">
        <v>18</v>
      </c>
      <c r="E1091" t="s">
        <v>490</v>
      </c>
      <c r="F1091" t="s">
        <v>82</v>
      </c>
      <c r="G1091">
        <v>73598.891657163113</v>
      </c>
      <c r="H1091">
        <v>20461.41490497061</v>
      </c>
      <c r="I1091">
        <v>8989.6523675951903</v>
      </c>
      <c r="J1091">
        <v>147057.572166389</v>
      </c>
      <c r="K1091">
        <v>64609.239289567922</v>
      </c>
      <c r="L1091">
        <v>0.439346565686978</v>
      </c>
    </row>
    <row r="1092" spans="1:12" x14ac:dyDescent="0.35">
      <c r="A1092">
        <v>2037</v>
      </c>
      <c r="B1092" t="s">
        <v>6</v>
      </c>
      <c r="C1092" t="s">
        <v>10</v>
      </c>
      <c r="D1092" t="s">
        <v>16</v>
      </c>
      <c r="E1092" t="s">
        <v>483</v>
      </c>
      <c r="F1092" t="s">
        <v>80</v>
      </c>
      <c r="G1092">
        <v>186507.43822649619</v>
      </c>
      <c r="H1092">
        <v>0</v>
      </c>
      <c r="I1092">
        <v>0</v>
      </c>
      <c r="J1092">
        <v>424510.97332436522</v>
      </c>
      <c r="K1092">
        <v>186507.43822649619</v>
      </c>
      <c r="L1092">
        <v>0.439346565686978</v>
      </c>
    </row>
    <row r="1093" spans="1:12" x14ac:dyDescent="0.35">
      <c r="A1093">
        <v>2037</v>
      </c>
      <c r="B1093" t="s">
        <v>6</v>
      </c>
      <c r="C1093" t="s">
        <v>10</v>
      </c>
      <c r="D1093" t="s">
        <v>16</v>
      </c>
      <c r="E1093" t="s">
        <v>483</v>
      </c>
      <c r="F1093" t="s">
        <v>81</v>
      </c>
      <c r="G1093">
        <v>186507.43822649619</v>
      </c>
      <c r="H1093">
        <v>947</v>
      </c>
      <c r="I1093">
        <v>401.70019146980081</v>
      </c>
      <c r="J1093">
        <v>423563.97332436522</v>
      </c>
      <c r="K1093">
        <v>186105.73803502641</v>
      </c>
      <c r="L1093">
        <v>0.439346565686978</v>
      </c>
    </row>
    <row r="1094" spans="1:12" x14ac:dyDescent="0.35">
      <c r="A1094">
        <v>2037</v>
      </c>
      <c r="B1094" t="s">
        <v>6</v>
      </c>
      <c r="C1094" t="s">
        <v>10</v>
      </c>
      <c r="D1094" t="s">
        <v>18</v>
      </c>
      <c r="E1094" t="s">
        <v>483</v>
      </c>
      <c r="F1094" t="s">
        <v>85</v>
      </c>
      <c r="G1094">
        <v>186507.43822649619</v>
      </c>
      <c r="H1094">
        <v>20461.41490497061</v>
      </c>
      <c r="I1094">
        <v>8679.3603855012989</v>
      </c>
      <c r="J1094">
        <v>404049.5584193946</v>
      </c>
      <c r="K1094">
        <v>177828.0778409949</v>
      </c>
      <c r="L1094">
        <v>0.439346565686978</v>
      </c>
    </row>
    <row r="1095" spans="1:12" x14ac:dyDescent="0.35">
      <c r="A1095">
        <v>2037</v>
      </c>
      <c r="B1095" t="s">
        <v>6</v>
      </c>
      <c r="C1095" t="s">
        <v>10</v>
      </c>
      <c r="D1095" t="s">
        <v>18</v>
      </c>
      <c r="E1095" t="s">
        <v>483</v>
      </c>
      <c r="F1095" t="s">
        <v>86</v>
      </c>
      <c r="G1095">
        <v>186507.43822649619</v>
      </c>
      <c r="H1095">
        <v>20461.41490497061</v>
      </c>
      <c r="I1095">
        <v>8679.3603855012989</v>
      </c>
      <c r="J1095">
        <v>404049.5584193946</v>
      </c>
      <c r="K1095">
        <v>177828.0778409949</v>
      </c>
      <c r="L1095">
        <v>0.439346565686978</v>
      </c>
    </row>
    <row r="1096" spans="1:12" x14ac:dyDescent="0.35">
      <c r="A1096">
        <v>2037</v>
      </c>
      <c r="B1096" t="s">
        <v>6</v>
      </c>
      <c r="C1096" t="s">
        <v>10</v>
      </c>
      <c r="D1096" t="s">
        <v>18</v>
      </c>
      <c r="E1096" t="s">
        <v>490</v>
      </c>
      <c r="F1096" t="s">
        <v>82</v>
      </c>
      <c r="G1096">
        <v>186507.43822649619</v>
      </c>
      <c r="H1096">
        <v>20461.41490497061</v>
      </c>
      <c r="I1096">
        <v>8989.6523675951903</v>
      </c>
      <c r="J1096">
        <v>404049.5584193946</v>
      </c>
      <c r="K1096">
        <v>177517.78585890101</v>
      </c>
      <c r="L1096">
        <v>0.439346565686978</v>
      </c>
    </row>
    <row r="1097" spans="1:12" x14ac:dyDescent="0.35">
      <c r="A1097">
        <v>2037</v>
      </c>
      <c r="B1097" t="s">
        <v>7</v>
      </c>
      <c r="C1097" t="s">
        <v>4</v>
      </c>
      <c r="D1097" t="s">
        <v>16</v>
      </c>
      <c r="E1097" t="s">
        <v>483</v>
      </c>
      <c r="F1097" t="s">
        <v>80</v>
      </c>
      <c r="G1097">
        <v>1478036.3950053221</v>
      </c>
      <c r="H1097">
        <v>0</v>
      </c>
      <c r="I1097">
        <v>0</v>
      </c>
      <c r="J1097">
        <v>1770642.5848794731</v>
      </c>
      <c r="K1097">
        <v>1478036.3950053221</v>
      </c>
      <c r="L1097">
        <v>0.83474576271186396</v>
      </c>
    </row>
    <row r="1098" spans="1:12" x14ac:dyDescent="0.35">
      <c r="A1098">
        <v>2037</v>
      </c>
      <c r="B1098" t="s">
        <v>7</v>
      </c>
      <c r="C1098" t="s">
        <v>4</v>
      </c>
      <c r="D1098" t="s">
        <v>16</v>
      </c>
      <c r="E1098" t="s">
        <v>483</v>
      </c>
      <c r="F1098" t="s">
        <v>81</v>
      </c>
      <c r="G1098">
        <v>1478036.3950053221</v>
      </c>
      <c r="H1098">
        <v>216675</v>
      </c>
      <c r="I1098">
        <v>113886.262360209</v>
      </c>
      <c r="J1098">
        <v>1553967.5848794731</v>
      </c>
      <c r="K1098">
        <v>1364150.1326451129</v>
      </c>
      <c r="L1098">
        <v>0.83474576271186396</v>
      </c>
    </row>
    <row r="1099" spans="1:12" x14ac:dyDescent="0.35">
      <c r="A1099">
        <v>2037</v>
      </c>
      <c r="B1099" t="s">
        <v>7</v>
      </c>
      <c r="C1099" t="s">
        <v>4</v>
      </c>
      <c r="D1099" t="s">
        <v>18</v>
      </c>
      <c r="E1099" t="s">
        <v>483</v>
      </c>
      <c r="F1099" t="s">
        <v>85</v>
      </c>
      <c r="G1099">
        <v>1478036.3950053221</v>
      </c>
      <c r="H1099">
        <v>973099.29728133942</v>
      </c>
      <c r="I1099">
        <v>511469.4444339106</v>
      </c>
      <c r="J1099">
        <v>797543.28759813367</v>
      </c>
      <c r="K1099">
        <v>966566.95057141152</v>
      </c>
      <c r="L1099">
        <v>0.83474576271186396</v>
      </c>
    </row>
    <row r="1100" spans="1:12" x14ac:dyDescent="0.35">
      <c r="A1100">
        <v>2037</v>
      </c>
      <c r="B1100" t="s">
        <v>7</v>
      </c>
      <c r="C1100" t="s">
        <v>4</v>
      </c>
      <c r="D1100" t="s">
        <v>18</v>
      </c>
      <c r="E1100" t="s">
        <v>483</v>
      </c>
      <c r="F1100" t="s">
        <v>86</v>
      </c>
      <c r="G1100">
        <v>1478036.3950053221</v>
      </c>
      <c r="H1100">
        <v>973099.29728133942</v>
      </c>
      <c r="I1100">
        <v>511469.4444339106</v>
      </c>
      <c r="J1100">
        <v>797543.28759813367</v>
      </c>
      <c r="K1100">
        <v>966566.95057141152</v>
      </c>
      <c r="L1100">
        <v>0.83474576271186396</v>
      </c>
    </row>
    <row r="1101" spans="1:12" x14ac:dyDescent="0.35">
      <c r="A1101">
        <v>2037</v>
      </c>
      <c r="B1101" t="s">
        <v>7</v>
      </c>
      <c r="C1101" t="s">
        <v>4</v>
      </c>
      <c r="D1101" t="s">
        <v>18</v>
      </c>
      <c r="E1101" t="s">
        <v>490</v>
      </c>
      <c r="F1101" t="s">
        <v>82</v>
      </c>
      <c r="G1101">
        <v>1478036.3950053221</v>
      </c>
      <c r="H1101">
        <v>973099.29728133942</v>
      </c>
      <c r="I1101">
        <v>812290.51510349091</v>
      </c>
      <c r="J1101">
        <v>797543.28759813367</v>
      </c>
      <c r="K1101">
        <v>665745.87990183115</v>
      </c>
      <c r="L1101">
        <v>0.83474576271186396</v>
      </c>
    </row>
    <row r="1102" spans="1:12" x14ac:dyDescent="0.35">
      <c r="A1102">
        <v>2037</v>
      </c>
      <c r="B1102" t="s">
        <v>7</v>
      </c>
      <c r="C1102" t="s">
        <v>9</v>
      </c>
      <c r="D1102" t="s">
        <v>16</v>
      </c>
      <c r="E1102" t="s">
        <v>483</v>
      </c>
      <c r="F1102" t="s">
        <v>80</v>
      </c>
      <c r="G1102">
        <v>1130192.3701368021</v>
      </c>
      <c r="H1102">
        <v>0</v>
      </c>
      <c r="I1102">
        <v>0</v>
      </c>
      <c r="J1102">
        <v>1353936.037321246</v>
      </c>
      <c r="K1102">
        <v>1130192.3701368021</v>
      </c>
      <c r="L1102">
        <v>0.83474576271186396</v>
      </c>
    </row>
    <row r="1103" spans="1:12" x14ac:dyDescent="0.35">
      <c r="A1103">
        <v>2037</v>
      </c>
      <c r="B1103" t="s">
        <v>7</v>
      </c>
      <c r="C1103" t="s">
        <v>9</v>
      </c>
      <c r="D1103" t="s">
        <v>16</v>
      </c>
      <c r="E1103" t="s">
        <v>483</v>
      </c>
      <c r="F1103" t="s">
        <v>81</v>
      </c>
      <c r="G1103">
        <v>1130192.3701368021</v>
      </c>
      <c r="H1103">
        <v>216675</v>
      </c>
      <c r="I1103">
        <v>113886.262360209</v>
      </c>
      <c r="J1103">
        <v>1137261.037321246</v>
      </c>
      <c r="K1103">
        <v>1016306.107776593</v>
      </c>
      <c r="L1103">
        <v>0.83474576271186396</v>
      </c>
    </row>
    <row r="1104" spans="1:12" x14ac:dyDescent="0.35">
      <c r="A1104">
        <v>2037</v>
      </c>
      <c r="B1104" t="s">
        <v>7</v>
      </c>
      <c r="C1104" t="s">
        <v>9</v>
      </c>
      <c r="D1104" t="s">
        <v>18</v>
      </c>
      <c r="E1104" t="s">
        <v>483</v>
      </c>
      <c r="F1104" t="s">
        <v>85</v>
      </c>
      <c r="G1104">
        <v>1130192.3701368021</v>
      </c>
      <c r="H1104">
        <v>973099.29728133942</v>
      </c>
      <c r="I1104">
        <v>511469.4444339106</v>
      </c>
      <c r="J1104">
        <v>380836.74003990629</v>
      </c>
      <c r="K1104">
        <v>618722.92570289155</v>
      </c>
      <c r="L1104">
        <v>0.83474576271186396</v>
      </c>
    </row>
    <row r="1105" spans="1:12" x14ac:dyDescent="0.35">
      <c r="A1105">
        <v>2037</v>
      </c>
      <c r="B1105" t="s">
        <v>7</v>
      </c>
      <c r="C1105" t="s">
        <v>9</v>
      </c>
      <c r="D1105" t="s">
        <v>18</v>
      </c>
      <c r="E1105" t="s">
        <v>483</v>
      </c>
      <c r="F1105" t="s">
        <v>86</v>
      </c>
      <c r="G1105">
        <v>1130192.3701368021</v>
      </c>
      <c r="H1105">
        <v>973099.29728133942</v>
      </c>
      <c r="I1105">
        <v>511469.4444339106</v>
      </c>
      <c r="J1105">
        <v>380836.74003990629</v>
      </c>
      <c r="K1105">
        <v>618722.92570289155</v>
      </c>
      <c r="L1105">
        <v>0.83474576271186396</v>
      </c>
    </row>
    <row r="1106" spans="1:12" x14ac:dyDescent="0.35">
      <c r="A1106">
        <v>2037</v>
      </c>
      <c r="B1106" t="s">
        <v>7</v>
      </c>
      <c r="C1106" t="s">
        <v>9</v>
      </c>
      <c r="D1106" t="s">
        <v>18</v>
      </c>
      <c r="E1106" t="s">
        <v>490</v>
      </c>
      <c r="F1106" t="s">
        <v>82</v>
      </c>
      <c r="G1106">
        <v>1130192.3701368021</v>
      </c>
      <c r="H1106">
        <v>973099.29728133942</v>
      </c>
      <c r="I1106">
        <v>812290.51510349091</v>
      </c>
      <c r="J1106">
        <v>380836.74003990629</v>
      </c>
      <c r="K1106">
        <v>317901.85503331118</v>
      </c>
      <c r="L1106">
        <v>0.83474576271186396</v>
      </c>
    </row>
    <row r="1107" spans="1:12" x14ac:dyDescent="0.35">
      <c r="A1107">
        <v>2037</v>
      </c>
      <c r="B1107" t="s">
        <v>7</v>
      </c>
      <c r="C1107" t="s">
        <v>10</v>
      </c>
      <c r="D1107" t="s">
        <v>16</v>
      </c>
      <c r="E1107" t="s">
        <v>483</v>
      </c>
      <c r="F1107" t="s">
        <v>80</v>
      </c>
      <c r="G1107">
        <v>1402619.85449987</v>
      </c>
      <c r="H1107">
        <v>0</v>
      </c>
      <c r="I1107">
        <v>0</v>
      </c>
      <c r="J1107">
        <v>1680295.8663044141</v>
      </c>
      <c r="K1107">
        <v>1402619.85449987</v>
      </c>
      <c r="L1107">
        <v>0.83474576271186396</v>
      </c>
    </row>
    <row r="1108" spans="1:12" x14ac:dyDescent="0.35">
      <c r="A1108">
        <v>2037</v>
      </c>
      <c r="B1108" t="s">
        <v>7</v>
      </c>
      <c r="C1108" t="s">
        <v>10</v>
      </c>
      <c r="D1108" t="s">
        <v>16</v>
      </c>
      <c r="E1108" t="s">
        <v>483</v>
      </c>
      <c r="F1108" t="s">
        <v>81</v>
      </c>
      <c r="G1108">
        <v>1402619.85449987</v>
      </c>
      <c r="H1108">
        <v>216675</v>
      </c>
      <c r="I1108">
        <v>113886.262360209</v>
      </c>
      <c r="J1108">
        <v>1463620.8663044141</v>
      </c>
      <c r="K1108">
        <v>1288733.5921396611</v>
      </c>
      <c r="L1108">
        <v>0.83474576271186396</v>
      </c>
    </row>
    <row r="1109" spans="1:12" x14ac:dyDescent="0.35">
      <c r="A1109">
        <v>2037</v>
      </c>
      <c r="B1109" t="s">
        <v>7</v>
      </c>
      <c r="C1109" t="s">
        <v>10</v>
      </c>
      <c r="D1109" t="s">
        <v>18</v>
      </c>
      <c r="E1109" t="s">
        <v>483</v>
      </c>
      <c r="F1109" t="s">
        <v>85</v>
      </c>
      <c r="G1109">
        <v>1402619.85449987</v>
      </c>
      <c r="H1109">
        <v>973099.29728133942</v>
      </c>
      <c r="I1109">
        <v>511469.4444339106</v>
      </c>
      <c r="J1109">
        <v>707196.56902307423</v>
      </c>
      <c r="K1109">
        <v>891150.41006595944</v>
      </c>
      <c r="L1109">
        <v>0.83474576271186396</v>
      </c>
    </row>
    <row r="1110" spans="1:12" x14ac:dyDescent="0.35">
      <c r="A1110">
        <v>2037</v>
      </c>
      <c r="B1110" t="s">
        <v>7</v>
      </c>
      <c r="C1110" t="s">
        <v>10</v>
      </c>
      <c r="D1110" t="s">
        <v>18</v>
      </c>
      <c r="E1110" t="s">
        <v>483</v>
      </c>
      <c r="F1110" t="s">
        <v>86</v>
      </c>
      <c r="G1110">
        <v>1402619.85449987</v>
      </c>
      <c r="H1110">
        <v>973099.29728133942</v>
      </c>
      <c r="I1110">
        <v>511469.4444339106</v>
      </c>
      <c r="J1110">
        <v>707196.56902307423</v>
      </c>
      <c r="K1110">
        <v>891150.41006595944</v>
      </c>
      <c r="L1110">
        <v>0.83474576271186396</v>
      </c>
    </row>
    <row r="1111" spans="1:12" x14ac:dyDescent="0.35">
      <c r="A1111">
        <v>2037</v>
      </c>
      <c r="B1111" t="s">
        <v>7</v>
      </c>
      <c r="C1111" t="s">
        <v>10</v>
      </c>
      <c r="D1111" t="s">
        <v>18</v>
      </c>
      <c r="E1111" t="s">
        <v>490</v>
      </c>
      <c r="F1111" t="s">
        <v>82</v>
      </c>
      <c r="G1111">
        <v>1402619.85449987</v>
      </c>
      <c r="H1111">
        <v>973099.29728133942</v>
      </c>
      <c r="I1111">
        <v>812290.51510349091</v>
      </c>
      <c r="J1111">
        <v>707196.56902307423</v>
      </c>
      <c r="K1111">
        <v>590329.33939637907</v>
      </c>
      <c r="L1111">
        <v>0.83474576271186396</v>
      </c>
    </row>
    <row r="1112" spans="1:12" x14ac:dyDescent="0.35">
      <c r="A1112">
        <v>2037</v>
      </c>
      <c r="B1112" t="s">
        <v>13</v>
      </c>
      <c r="C1112" t="s">
        <v>4</v>
      </c>
      <c r="D1112" t="s">
        <v>16</v>
      </c>
      <c r="E1112" t="s">
        <v>483</v>
      </c>
      <c r="F1112" t="s">
        <v>80</v>
      </c>
      <c r="G1112">
        <v>3230.4798003226651</v>
      </c>
      <c r="H1112">
        <v>0</v>
      </c>
      <c r="I1112">
        <v>0</v>
      </c>
      <c r="J1112">
        <v>3230.4798003226651</v>
      </c>
      <c r="K1112">
        <v>3230.4798003226651</v>
      </c>
      <c r="L1112">
        <v>1</v>
      </c>
    </row>
    <row r="1113" spans="1:12" x14ac:dyDescent="0.35">
      <c r="A1113">
        <v>2037</v>
      </c>
      <c r="B1113" t="s">
        <v>13</v>
      </c>
      <c r="C1113" t="s">
        <v>4</v>
      </c>
      <c r="D1113" t="s">
        <v>16</v>
      </c>
      <c r="E1113" t="s">
        <v>483</v>
      </c>
      <c r="F1113" t="s">
        <v>81</v>
      </c>
      <c r="G1113">
        <v>3230.4798003226651</v>
      </c>
      <c r="H1113">
        <v>0</v>
      </c>
      <c r="I1113">
        <v>0</v>
      </c>
      <c r="J1113">
        <v>3230.4798003226651</v>
      </c>
      <c r="K1113">
        <v>3230.4798003226651</v>
      </c>
      <c r="L1113">
        <v>1</v>
      </c>
    </row>
    <row r="1114" spans="1:12" x14ac:dyDescent="0.35">
      <c r="A1114">
        <v>2037</v>
      </c>
      <c r="B1114" t="s">
        <v>13</v>
      </c>
      <c r="C1114" t="s">
        <v>4</v>
      </c>
      <c r="D1114" t="s">
        <v>18</v>
      </c>
      <c r="E1114" t="s">
        <v>483</v>
      </c>
      <c r="F1114" t="s">
        <v>85</v>
      </c>
      <c r="G1114">
        <v>3230.4798003226651</v>
      </c>
      <c r="H1114">
        <v>227739.74804021401</v>
      </c>
      <c r="I1114">
        <v>75154.116853270636</v>
      </c>
      <c r="J1114">
        <v>0</v>
      </c>
      <c r="K1114">
        <v>0</v>
      </c>
      <c r="L1114">
        <v>1</v>
      </c>
    </row>
    <row r="1115" spans="1:12" x14ac:dyDescent="0.35">
      <c r="A1115">
        <v>2037</v>
      </c>
      <c r="B1115" t="s">
        <v>13</v>
      </c>
      <c r="C1115" t="s">
        <v>4</v>
      </c>
      <c r="D1115" t="s">
        <v>18</v>
      </c>
      <c r="E1115" t="s">
        <v>483</v>
      </c>
      <c r="F1115" t="s">
        <v>86</v>
      </c>
      <c r="G1115">
        <v>3230.4798003226651</v>
      </c>
      <c r="H1115">
        <v>227739.74804021401</v>
      </c>
      <c r="I1115">
        <v>75154.116853270636</v>
      </c>
      <c r="J1115">
        <v>0</v>
      </c>
      <c r="K1115">
        <v>0</v>
      </c>
      <c r="L1115">
        <v>1</v>
      </c>
    </row>
    <row r="1116" spans="1:12" x14ac:dyDescent="0.35">
      <c r="A1116">
        <v>2037</v>
      </c>
      <c r="B1116" t="s">
        <v>13</v>
      </c>
      <c r="C1116" t="s">
        <v>4</v>
      </c>
      <c r="D1116" t="s">
        <v>18</v>
      </c>
      <c r="E1116" t="s">
        <v>490</v>
      </c>
      <c r="F1116" t="s">
        <v>82</v>
      </c>
      <c r="G1116">
        <v>3230.4798003226651</v>
      </c>
      <c r="H1116">
        <v>227739.74804021401</v>
      </c>
      <c r="I1116">
        <v>75154.116853270636</v>
      </c>
      <c r="J1116">
        <v>0</v>
      </c>
      <c r="K1116">
        <v>0</v>
      </c>
      <c r="L1116">
        <v>1</v>
      </c>
    </row>
    <row r="1117" spans="1:12" x14ac:dyDescent="0.35">
      <c r="A1117">
        <v>2037</v>
      </c>
      <c r="B1117" t="s">
        <v>13</v>
      </c>
      <c r="C1117" t="s">
        <v>9</v>
      </c>
      <c r="D1117" t="s">
        <v>16</v>
      </c>
      <c r="E1117" t="s">
        <v>483</v>
      </c>
      <c r="F1117" t="s">
        <v>80</v>
      </c>
      <c r="G1117">
        <v>1189.986753633372</v>
      </c>
      <c r="H1117">
        <v>0</v>
      </c>
      <c r="I1117">
        <v>0</v>
      </c>
      <c r="J1117">
        <v>1189.986753633372</v>
      </c>
      <c r="K1117">
        <v>1189.986753633372</v>
      </c>
      <c r="L1117">
        <v>1</v>
      </c>
    </row>
    <row r="1118" spans="1:12" x14ac:dyDescent="0.35">
      <c r="A1118">
        <v>2037</v>
      </c>
      <c r="B1118" t="s">
        <v>13</v>
      </c>
      <c r="C1118" t="s">
        <v>9</v>
      </c>
      <c r="D1118" t="s">
        <v>16</v>
      </c>
      <c r="E1118" t="s">
        <v>483</v>
      </c>
      <c r="F1118" t="s">
        <v>81</v>
      </c>
      <c r="G1118">
        <v>1189.986753633372</v>
      </c>
      <c r="H1118">
        <v>0</v>
      </c>
      <c r="I1118">
        <v>0</v>
      </c>
      <c r="J1118">
        <v>1189.986753633372</v>
      </c>
      <c r="K1118">
        <v>1189.986753633372</v>
      </c>
      <c r="L1118">
        <v>1</v>
      </c>
    </row>
    <row r="1119" spans="1:12" x14ac:dyDescent="0.35">
      <c r="A1119">
        <v>2037</v>
      </c>
      <c r="B1119" t="s">
        <v>13</v>
      </c>
      <c r="C1119" t="s">
        <v>9</v>
      </c>
      <c r="D1119" t="s">
        <v>18</v>
      </c>
      <c r="E1119" t="s">
        <v>483</v>
      </c>
      <c r="F1119" t="s">
        <v>85</v>
      </c>
      <c r="G1119">
        <v>1189.986753633372</v>
      </c>
      <c r="H1119">
        <v>227739.74804021401</v>
      </c>
      <c r="I1119">
        <v>75154.116853270636</v>
      </c>
      <c r="J1119">
        <v>0</v>
      </c>
      <c r="K1119">
        <v>0</v>
      </c>
      <c r="L1119">
        <v>1</v>
      </c>
    </row>
    <row r="1120" spans="1:12" x14ac:dyDescent="0.35">
      <c r="A1120">
        <v>2037</v>
      </c>
      <c r="B1120" t="s">
        <v>13</v>
      </c>
      <c r="C1120" t="s">
        <v>9</v>
      </c>
      <c r="D1120" t="s">
        <v>18</v>
      </c>
      <c r="E1120" t="s">
        <v>483</v>
      </c>
      <c r="F1120" t="s">
        <v>86</v>
      </c>
      <c r="G1120">
        <v>1189.986753633372</v>
      </c>
      <c r="H1120">
        <v>227739.74804021401</v>
      </c>
      <c r="I1120">
        <v>75154.116853270636</v>
      </c>
      <c r="J1120">
        <v>0</v>
      </c>
      <c r="K1120">
        <v>0</v>
      </c>
      <c r="L1120">
        <v>1</v>
      </c>
    </row>
    <row r="1121" spans="1:12" x14ac:dyDescent="0.35">
      <c r="A1121">
        <v>2037</v>
      </c>
      <c r="B1121" t="s">
        <v>13</v>
      </c>
      <c r="C1121" t="s">
        <v>9</v>
      </c>
      <c r="D1121" t="s">
        <v>18</v>
      </c>
      <c r="E1121" t="s">
        <v>490</v>
      </c>
      <c r="F1121" t="s">
        <v>82</v>
      </c>
      <c r="G1121">
        <v>1189.986753633372</v>
      </c>
      <c r="H1121">
        <v>227739.74804021401</v>
      </c>
      <c r="I1121">
        <v>75154.116853270636</v>
      </c>
      <c r="J1121">
        <v>0</v>
      </c>
      <c r="K1121">
        <v>0</v>
      </c>
      <c r="L1121">
        <v>1</v>
      </c>
    </row>
    <row r="1122" spans="1:12" x14ac:dyDescent="0.35">
      <c r="A1122">
        <v>2037</v>
      </c>
      <c r="B1122" t="s">
        <v>13</v>
      </c>
      <c r="C1122" t="s">
        <v>10</v>
      </c>
      <c r="D1122" t="s">
        <v>16</v>
      </c>
      <c r="E1122" t="s">
        <v>483</v>
      </c>
      <c r="F1122" t="s">
        <v>80</v>
      </c>
      <c r="G1122">
        <v>3080.4826094202749</v>
      </c>
      <c r="H1122">
        <v>0</v>
      </c>
      <c r="I1122">
        <v>0</v>
      </c>
      <c r="J1122">
        <v>3080.4826094202749</v>
      </c>
      <c r="K1122">
        <v>3080.4826094202749</v>
      </c>
      <c r="L1122">
        <v>1</v>
      </c>
    </row>
    <row r="1123" spans="1:12" x14ac:dyDescent="0.35">
      <c r="A1123">
        <v>2037</v>
      </c>
      <c r="B1123" t="s">
        <v>13</v>
      </c>
      <c r="C1123" t="s">
        <v>10</v>
      </c>
      <c r="D1123" t="s">
        <v>16</v>
      </c>
      <c r="E1123" t="s">
        <v>483</v>
      </c>
      <c r="F1123" t="s">
        <v>81</v>
      </c>
      <c r="G1123">
        <v>3080.4826094202749</v>
      </c>
      <c r="H1123">
        <v>0</v>
      </c>
      <c r="I1123">
        <v>0</v>
      </c>
      <c r="J1123">
        <v>3080.4826094202749</v>
      </c>
      <c r="K1123">
        <v>3080.4826094202749</v>
      </c>
      <c r="L1123">
        <v>1</v>
      </c>
    </row>
    <row r="1124" spans="1:12" x14ac:dyDescent="0.35">
      <c r="A1124">
        <v>2037</v>
      </c>
      <c r="B1124" t="s">
        <v>13</v>
      </c>
      <c r="C1124" t="s">
        <v>10</v>
      </c>
      <c r="D1124" t="s">
        <v>18</v>
      </c>
      <c r="E1124" t="s">
        <v>483</v>
      </c>
      <c r="F1124" t="s">
        <v>85</v>
      </c>
      <c r="G1124">
        <v>3080.4826094202749</v>
      </c>
      <c r="H1124">
        <v>227739.74804021401</v>
      </c>
      <c r="I1124">
        <v>75154.116853270636</v>
      </c>
      <c r="J1124">
        <v>0</v>
      </c>
      <c r="K1124">
        <v>0</v>
      </c>
      <c r="L1124">
        <v>1</v>
      </c>
    </row>
    <row r="1125" spans="1:12" x14ac:dyDescent="0.35">
      <c r="A1125">
        <v>2037</v>
      </c>
      <c r="B1125" t="s">
        <v>13</v>
      </c>
      <c r="C1125" t="s">
        <v>10</v>
      </c>
      <c r="D1125" t="s">
        <v>18</v>
      </c>
      <c r="E1125" t="s">
        <v>483</v>
      </c>
      <c r="F1125" t="s">
        <v>86</v>
      </c>
      <c r="G1125">
        <v>3080.4826094202749</v>
      </c>
      <c r="H1125">
        <v>227739.74804021401</v>
      </c>
      <c r="I1125">
        <v>75154.116853270636</v>
      </c>
      <c r="J1125">
        <v>0</v>
      </c>
      <c r="K1125">
        <v>0</v>
      </c>
      <c r="L1125">
        <v>1</v>
      </c>
    </row>
    <row r="1126" spans="1:12" x14ac:dyDescent="0.35">
      <c r="A1126">
        <v>2037</v>
      </c>
      <c r="B1126" t="s">
        <v>13</v>
      </c>
      <c r="C1126" t="s">
        <v>10</v>
      </c>
      <c r="D1126" t="s">
        <v>18</v>
      </c>
      <c r="E1126" t="s">
        <v>490</v>
      </c>
      <c r="F1126" t="s">
        <v>82</v>
      </c>
      <c r="G1126">
        <v>3080.4826094202749</v>
      </c>
      <c r="H1126">
        <v>227739.74804021401</v>
      </c>
      <c r="I1126">
        <v>75154.116853270636</v>
      </c>
      <c r="J1126">
        <v>0</v>
      </c>
      <c r="K1126">
        <v>0</v>
      </c>
      <c r="L1126">
        <v>1</v>
      </c>
    </row>
    <row r="1127" spans="1:12" x14ac:dyDescent="0.35">
      <c r="A1127">
        <v>2037</v>
      </c>
      <c r="B1127" t="s">
        <v>12</v>
      </c>
      <c r="C1127" t="s">
        <v>4</v>
      </c>
      <c r="D1127" t="s">
        <v>16</v>
      </c>
      <c r="E1127" t="s">
        <v>483</v>
      </c>
      <c r="F1127" t="s">
        <v>80</v>
      </c>
      <c r="G1127">
        <v>73716.882405397235</v>
      </c>
      <c r="H1127">
        <v>0</v>
      </c>
      <c r="I1127">
        <v>0</v>
      </c>
      <c r="J1127">
        <v>105434.77659871359</v>
      </c>
      <c r="K1127">
        <v>73716.882405397235</v>
      </c>
      <c r="L1127">
        <v>0.69917047091553897</v>
      </c>
    </row>
    <row r="1128" spans="1:12" x14ac:dyDescent="0.35">
      <c r="A1128">
        <v>2037</v>
      </c>
      <c r="B1128" t="s">
        <v>12</v>
      </c>
      <c r="C1128" t="s">
        <v>4</v>
      </c>
      <c r="D1128" t="s">
        <v>16</v>
      </c>
      <c r="E1128" t="s">
        <v>483</v>
      </c>
      <c r="F1128" t="s">
        <v>81</v>
      </c>
      <c r="G1128">
        <v>73716.882405397235</v>
      </c>
      <c r="H1128">
        <v>39270</v>
      </c>
      <c r="I1128">
        <v>27456.42439285322</v>
      </c>
      <c r="J1128">
        <v>66164.776598713594</v>
      </c>
      <c r="K1128">
        <v>46260.458012544019</v>
      </c>
      <c r="L1128">
        <v>0.69917047091553897</v>
      </c>
    </row>
    <row r="1129" spans="1:12" x14ac:dyDescent="0.35">
      <c r="A1129">
        <v>2037</v>
      </c>
      <c r="B1129" t="s">
        <v>12</v>
      </c>
      <c r="C1129" t="s">
        <v>4</v>
      </c>
      <c r="D1129" t="s">
        <v>18</v>
      </c>
      <c r="E1129" t="s">
        <v>483</v>
      </c>
      <c r="F1129" t="s">
        <v>85</v>
      </c>
      <c r="G1129">
        <v>73716.882405397235</v>
      </c>
      <c r="H1129">
        <v>259730.37039642569</v>
      </c>
      <c r="I1129">
        <v>181595.80538113631</v>
      </c>
      <c r="J1129">
        <v>0</v>
      </c>
      <c r="K1129">
        <v>0</v>
      </c>
      <c r="L1129">
        <v>0.69917047091553897</v>
      </c>
    </row>
    <row r="1130" spans="1:12" x14ac:dyDescent="0.35">
      <c r="A1130">
        <v>2037</v>
      </c>
      <c r="B1130" t="s">
        <v>12</v>
      </c>
      <c r="C1130" t="s">
        <v>4</v>
      </c>
      <c r="D1130" t="s">
        <v>18</v>
      </c>
      <c r="E1130" t="s">
        <v>483</v>
      </c>
      <c r="F1130" t="s">
        <v>86</v>
      </c>
      <c r="G1130">
        <v>73716.882405397235</v>
      </c>
      <c r="H1130">
        <v>259730.37039642569</v>
      </c>
      <c r="I1130">
        <v>181595.80538113631</v>
      </c>
      <c r="J1130">
        <v>0</v>
      </c>
      <c r="K1130">
        <v>0</v>
      </c>
      <c r="L1130">
        <v>0.69917047091553897</v>
      </c>
    </row>
    <row r="1131" spans="1:12" x14ac:dyDescent="0.35">
      <c r="A1131">
        <v>2037</v>
      </c>
      <c r="B1131" t="s">
        <v>12</v>
      </c>
      <c r="C1131" t="s">
        <v>4</v>
      </c>
      <c r="D1131" t="s">
        <v>18</v>
      </c>
      <c r="E1131" t="s">
        <v>490</v>
      </c>
      <c r="F1131" t="s">
        <v>82</v>
      </c>
      <c r="G1131">
        <v>73716.882405397235</v>
      </c>
      <c r="H1131">
        <v>259730.37039642569</v>
      </c>
      <c r="I1131">
        <v>181595.80538113631</v>
      </c>
      <c r="J1131">
        <v>0</v>
      </c>
      <c r="K1131">
        <v>0</v>
      </c>
      <c r="L1131">
        <v>0.69917047091553897</v>
      </c>
    </row>
    <row r="1132" spans="1:12" x14ac:dyDescent="0.35">
      <c r="A1132">
        <v>2037</v>
      </c>
      <c r="B1132" t="s">
        <v>12</v>
      </c>
      <c r="C1132" t="s">
        <v>9</v>
      </c>
      <c r="D1132" t="s">
        <v>16</v>
      </c>
      <c r="E1132" t="s">
        <v>483</v>
      </c>
      <c r="F1132" t="s">
        <v>80</v>
      </c>
      <c r="G1132">
        <v>27154.51542919709</v>
      </c>
      <c r="H1132">
        <v>0</v>
      </c>
      <c r="I1132">
        <v>0</v>
      </c>
      <c r="J1132">
        <v>38838.189767424257</v>
      </c>
      <c r="K1132">
        <v>27154.51542919709</v>
      </c>
      <c r="L1132">
        <v>0.69917047091553897</v>
      </c>
    </row>
    <row r="1133" spans="1:12" x14ac:dyDescent="0.35">
      <c r="A1133">
        <v>2037</v>
      </c>
      <c r="B1133" t="s">
        <v>12</v>
      </c>
      <c r="C1133" t="s">
        <v>9</v>
      </c>
      <c r="D1133" t="s">
        <v>16</v>
      </c>
      <c r="E1133" t="s">
        <v>483</v>
      </c>
      <c r="F1133" t="s">
        <v>81</v>
      </c>
      <c r="G1133">
        <v>27154.51542919709</v>
      </c>
      <c r="H1133">
        <v>39270</v>
      </c>
      <c r="I1133">
        <v>27456.42439285322</v>
      </c>
      <c r="J1133">
        <v>0</v>
      </c>
      <c r="K1133">
        <v>0</v>
      </c>
      <c r="L1133">
        <v>0.69917047091553897</v>
      </c>
    </row>
    <row r="1134" spans="1:12" x14ac:dyDescent="0.35">
      <c r="A1134">
        <v>2037</v>
      </c>
      <c r="B1134" t="s">
        <v>12</v>
      </c>
      <c r="C1134" t="s">
        <v>9</v>
      </c>
      <c r="D1134" t="s">
        <v>18</v>
      </c>
      <c r="E1134" t="s">
        <v>483</v>
      </c>
      <c r="F1134" t="s">
        <v>85</v>
      </c>
      <c r="G1134">
        <v>27154.51542919709</v>
      </c>
      <c r="H1134">
        <v>259730.37039642569</v>
      </c>
      <c r="I1134">
        <v>181595.80538113631</v>
      </c>
      <c r="J1134">
        <v>0</v>
      </c>
      <c r="K1134">
        <v>0</v>
      </c>
      <c r="L1134">
        <v>0.69917047091553897</v>
      </c>
    </row>
    <row r="1135" spans="1:12" x14ac:dyDescent="0.35">
      <c r="A1135">
        <v>2037</v>
      </c>
      <c r="B1135" t="s">
        <v>12</v>
      </c>
      <c r="C1135" t="s">
        <v>9</v>
      </c>
      <c r="D1135" t="s">
        <v>18</v>
      </c>
      <c r="E1135" t="s">
        <v>483</v>
      </c>
      <c r="F1135" t="s">
        <v>86</v>
      </c>
      <c r="G1135">
        <v>27154.51542919709</v>
      </c>
      <c r="H1135">
        <v>259730.37039642569</v>
      </c>
      <c r="I1135">
        <v>181595.80538113631</v>
      </c>
      <c r="J1135">
        <v>0</v>
      </c>
      <c r="K1135">
        <v>0</v>
      </c>
      <c r="L1135">
        <v>0.69917047091553897</v>
      </c>
    </row>
    <row r="1136" spans="1:12" x14ac:dyDescent="0.35">
      <c r="A1136">
        <v>2037</v>
      </c>
      <c r="B1136" t="s">
        <v>12</v>
      </c>
      <c r="C1136" t="s">
        <v>9</v>
      </c>
      <c r="D1136" t="s">
        <v>18</v>
      </c>
      <c r="E1136" t="s">
        <v>490</v>
      </c>
      <c r="F1136" t="s">
        <v>82</v>
      </c>
      <c r="G1136">
        <v>27154.51542919709</v>
      </c>
      <c r="H1136">
        <v>259730.37039642569</v>
      </c>
      <c r="I1136">
        <v>181595.80538113631</v>
      </c>
      <c r="J1136">
        <v>0</v>
      </c>
      <c r="K1136">
        <v>0</v>
      </c>
      <c r="L1136">
        <v>0.69917047091553897</v>
      </c>
    </row>
    <row r="1137" spans="1:12" x14ac:dyDescent="0.35">
      <c r="A1137">
        <v>2037</v>
      </c>
      <c r="B1137" t="s">
        <v>12</v>
      </c>
      <c r="C1137" t="s">
        <v>10</v>
      </c>
      <c r="D1137" t="s">
        <v>16</v>
      </c>
      <c r="E1137" t="s">
        <v>483</v>
      </c>
      <c r="F1137" t="s">
        <v>80</v>
      </c>
      <c r="G1137">
        <v>70294.070325969486</v>
      </c>
      <c r="H1137">
        <v>0</v>
      </c>
      <c r="I1137">
        <v>0</v>
      </c>
      <c r="J1137">
        <v>100539.24364672021</v>
      </c>
      <c r="K1137">
        <v>70294.070325969486</v>
      </c>
      <c r="L1137">
        <v>0.69917047091553897</v>
      </c>
    </row>
    <row r="1138" spans="1:12" x14ac:dyDescent="0.35">
      <c r="A1138">
        <v>2037</v>
      </c>
      <c r="B1138" t="s">
        <v>12</v>
      </c>
      <c r="C1138" t="s">
        <v>10</v>
      </c>
      <c r="D1138" t="s">
        <v>16</v>
      </c>
      <c r="E1138" t="s">
        <v>483</v>
      </c>
      <c r="F1138" t="s">
        <v>81</v>
      </c>
      <c r="G1138">
        <v>70294.070325969486</v>
      </c>
      <c r="H1138">
        <v>39270</v>
      </c>
      <c r="I1138">
        <v>27456.42439285322</v>
      </c>
      <c r="J1138">
        <v>61269.243646720221</v>
      </c>
      <c r="K1138">
        <v>42837.64593311627</v>
      </c>
      <c r="L1138">
        <v>0.69917047091553897</v>
      </c>
    </row>
    <row r="1139" spans="1:12" x14ac:dyDescent="0.35">
      <c r="A1139">
        <v>2037</v>
      </c>
      <c r="B1139" t="s">
        <v>12</v>
      </c>
      <c r="C1139" t="s">
        <v>10</v>
      </c>
      <c r="D1139" t="s">
        <v>18</v>
      </c>
      <c r="E1139" t="s">
        <v>483</v>
      </c>
      <c r="F1139" t="s">
        <v>85</v>
      </c>
      <c r="G1139">
        <v>70294.070325969486</v>
      </c>
      <c r="H1139">
        <v>259730.37039642569</v>
      </c>
      <c r="I1139">
        <v>181595.80538113631</v>
      </c>
      <c r="J1139">
        <v>0</v>
      </c>
      <c r="K1139">
        <v>0</v>
      </c>
      <c r="L1139">
        <v>0.69917047091553897</v>
      </c>
    </row>
    <row r="1140" spans="1:12" x14ac:dyDescent="0.35">
      <c r="A1140">
        <v>2037</v>
      </c>
      <c r="B1140" t="s">
        <v>12</v>
      </c>
      <c r="C1140" t="s">
        <v>10</v>
      </c>
      <c r="D1140" t="s">
        <v>18</v>
      </c>
      <c r="E1140" t="s">
        <v>483</v>
      </c>
      <c r="F1140" t="s">
        <v>86</v>
      </c>
      <c r="G1140">
        <v>70294.070325969486</v>
      </c>
      <c r="H1140">
        <v>259730.37039642569</v>
      </c>
      <c r="I1140">
        <v>181595.80538113631</v>
      </c>
      <c r="J1140">
        <v>0</v>
      </c>
      <c r="K1140">
        <v>0</v>
      </c>
      <c r="L1140">
        <v>0.69917047091553897</v>
      </c>
    </row>
    <row r="1141" spans="1:12" x14ac:dyDescent="0.35">
      <c r="A1141">
        <v>2037</v>
      </c>
      <c r="B1141" t="s">
        <v>12</v>
      </c>
      <c r="C1141" t="s">
        <v>10</v>
      </c>
      <c r="D1141" t="s">
        <v>18</v>
      </c>
      <c r="E1141" t="s">
        <v>490</v>
      </c>
      <c r="F1141" t="s">
        <v>82</v>
      </c>
      <c r="G1141">
        <v>70294.070325969486</v>
      </c>
      <c r="H1141">
        <v>259730.37039642569</v>
      </c>
      <c r="I1141">
        <v>181595.80538113631</v>
      </c>
      <c r="J1141">
        <v>0</v>
      </c>
      <c r="K1141">
        <v>0</v>
      </c>
      <c r="L1141">
        <v>0.69917047091553897</v>
      </c>
    </row>
    <row r="1142" spans="1:12" x14ac:dyDescent="0.35">
      <c r="A1142">
        <v>2037</v>
      </c>
      <c r="B1142" t="s">
        <v>11</v>
      </c>
      <c r="C1142" t="s">
        <v>4</v>
      </c>
      <c r="D1142" t="s">
        <v>16</v>
      </c>
      <c r="E1142" t="s">
        <v>483</v>
      </c>
      <c r="F1142" t="s">
        <v>80</v>
      </c>
      <c r="G1142">
        <v>5975.1221443033437</v>
      </c>
      <c r="H1142">
        <v>0</v>
      </c>
      <c r="I1142">
        <v>0</v>
      </c>
      <c r="J1142">
        <v>9982.7631768443498</v>
      </c>
      <c r="K1142">
        <v>5975.1221443033437</v>
      </c>
      <c r="L1142">
        <v>0.59854391398996798</v>
      </c>
    </row>
    <row r="1143" spans="1:12" x14ac:dyDescent="0.35">
      <c r="A1143">
        <v>2037</v>
      </c>
      <c r="B1143" t="s">
        <v>11</v>
      </c>
      <c r="C1143" t="s">
        <v>4</v>
      </c>
      <c r="D1143" t="s">
        <v>16</v>
      </c>
      <c r="E1143" t="s">
        <v>483</v>
      </c>
      <c r="F1143" t="s">
        <v>81</v>
      </c>
      <c r="G1143">
        <v>5975.1221443033437</v>
      </c>
      <c r="H1143">
        <v>0</v>
      </c>
      <c r="I1143">
        <v>0</v>
      </c>
      <c r="J1143">
        <v>9982.7631768443498</v>
      </c>
      <c r="K1143">
        <v>5975.1221443033437</v>
      </c>
      <c r="L1143">
        <v>0.59854391398996798</v>
      </c>
    </row>
    <row r="1144" spans="1:12" x14ac:dyDescent="0.35">
      <c r="A1144">
        <v>2037</v>
      </c>
      <c r="B1144" t="s">
        <v>11</v>
      </c>
      <c r="C1144" t="s">
        <v>4</v>
      </c>
      <c r="D1144" t="s">
        <v>18</v>
      </c>
      <c r="E1144" t="s">
        <v>483</v>
      </c>
      <c r="F1144" t="s">
        <v>85</v>
      </c>
      <c r="G1144">
        <v>5975.1221443033437</v>
      </c>
      <c r="H1144">
        <v>157.05645137680381</v>
      </c>
      <c r="I1144">
        <v>94.005183124447228</v>
      </c>
      <c r="J1144">
        <v>9825.7067254675458</v>
      </c>
      <c r="K1144">
        <v>5881.1169611788964</v>
      </c>
      <c r="L1144">
        <v>0.59854391398996798</v>
      </c>
    </row>
    <row r="1145" spans="1:12" x14ac:dyDescent="0.35">
      <c r="A1145">
        <v>2037</v>
      </c>
      <c r="B1145" t="s">
        <v>11</v>
      </c>
      <c r="C1145" t="s">
        <v>4</v>
      </c>
      <c r="D1145" t="s">
        <v>18</v>
      </c>
      <c r="E1145" t="s">
        <v>483</v>
      </c>
      <c r="F1145" t="s">
        <v>86</v>
      </c>
      <c r="G1145">
        <v>5975.1221443033437</v>
      </c>
      <c r="H1145">
        <v>157.05645137680381</v>
      </c>
      <c r="I1145">
        <v>94.005183124447228</v>
      </c>
      <c r="J1145">
        <v>9825.7067254675458</v>
      </c>
      <c r="K1145">
        <v>5881.1169611788964</v>
      </c>
      <c r="L1145">
        <v>0.59854391398996798</v>
      </c>
    </row>
    <row r="1146" spans="1:12" x14ac:dyDescent="0.35">
      <c r="A1146">
        <v>2037</v>
      </c>
      <c r="B1146" t="s">
        <v>11</v>
      </c>
      <c r="C1146" t="s">
        <v>4</v>
      </c>
      <c r="D1146" t="s">
        <v>18</v>
      </c>
      <c r="E1146" t="s">
        <v>490</v>
      </c>
      <c r="F1146" t="s">
        <v>82</v>
      </c>
      <c r="G1146">
        <v>5975.1221443033437</v>
      </c>
      <c r="H1146">
        <v>157.05645137680381</v>
      </c>
      <c r="I1146">
        <v>94.005183124447228</v>
      </c>
      <c r="J1146">
        <v>9825.7067254675458</v>
      </c>
      <c r="K1146">
        <v>5881.1169611788964</v>
      </c>
      <c r="L1146">
        <v>0.59854391398996798</v>
      </c>
    </row>
    <row r="1147" spans="1:12" x14ac:dyDescent="0.35">
      <c r="A1147">
        <v>2037</v>
      </c>
      <c r="B1147" t="s">
        <v>11</v>
      </c>
      <c r="C1147" t="s">
        <v>9</v>
      </c>
      <c r="D1147" t="s">
        <v>16</v>
      </c>
      <c r="E1147" t="s">
        <v>483</v>
      </c>
      <c r="F1147" t="s">
        <v>80</v>
      </c>
      <c r="G1147">
        <v>1928.421284278415</v>
      </c>
      <c r="H1147">
        <v>0</v>
      </c>
      <c r="I1147">
        <v>0</v>
      </c>
      <c r="J1147">
        <v>3221.8543020900829</v>
      </c>
      <c r="K1147">
        <v>1928.421284278415</v>
      </c>
      <c r="L1147">
        <v>0.59854391398996798</v>
      </c>
    </row>
    <row r="1148" spans="1:12" x14ac:dyDescent="0.35">
      <c r="A1148">
        <v>2037</v>
      </c>
      <c r="B1148" t="s">
        <v>11</v>
      </c>
      <c r="C1148" t="s">
        <v>9</v>
      </c>
      <c r="D1148" t="s">
        <v>16</v>
      </c>
      <c r="E1148" t="s">
        <v>483</v>
      </c>
      <c r="F1148" t="s">
        <v>81</v>
      </c>
      <c r="G1148">
        <v>1928.421284278415</v>
      </c>
      <c r="H1148">
        <v>0</v>
      </c>
      <c r="I1148">
        <v>0</v>
      </c>
      <c r="J1148">
        <v>3221.8543020900829</v>
      </c>
      <c r="K1148">
        <v>1928.421284278415</v>
      </c>
      <c r="L1148">
        <v>0.59854391398996798</v>
      </c>
    </row>
    <row r="1149" spans="1:12" x14ac:dyDescent="0.35">
      <c r="A1149">
        <v>2037</v>
      </c>
      <c r="B1149" t="s">
        <v>11</v>
      </c>
      <c r="C1149" t="s">
        <v>9</v>
      </c>
      <c r="D1149" t="s">
        <v>18</v>
      </c>
      <c r="E1149" t="s">
        <v>483</v>
      </c>
      <c r="F1149" t="s">
        <v>85</v>
      </c>
      <c r="G1149">
        <v>1928.421284278415</v>
      </c>
      <c r="H1149">
        <v>157.05645137680381</v>
      </c>
      <c r="I1149">
        <v>94.005183124447228</v>
      </c>
      <c r="J1149">
        <v>3064.7978507132789</v>
      </c>
      <c r="K1149">
        <v>1834.4161011539679</v>
      </c>
      <c r="L1149">
        <v>0.59854391398996798</v>
      </c>
    </row>
    <row r="1150" spans="1:12" x14ac:dyDescent="0.35">
      <c r="A1150">
        <v>2037</v>
      </c>
      <c r="B1150" t="s">
        <v>11</v>
      </c>
      <c r="C1150" t="s">
        <v>9</v>
      </c>
      <c r="D1150" t="s">
        <v>18</v>
      </c>
      <c r="E1150" t="s">
        <v>483</v>
      </c>
      <c r="F1150" t="s">
        <v>86</v>
      </c>
      <c r="G1150">
        <v>1928.421284278415</v>
      </c>
      <c r="H1150">
        <v>157.05645137680381</v>
      </c>
      <c r="I1150">
        <v>94.005183124447228</v>
      </c>
      <c r="J1150">
        <v>3064.7978507132789</v>
      </c>
      <c r="K1150">
        <v>1834.4161011539679</v>
      </c>
      <c r="L1150">
        <v>0.59854391398996798</v>
      </c>
    </row>
    <row r="1151" spans="1:12" x14ac:dyDescent="0.35">
      <c r="A1151">
        <v>2037</v>
      </c>
      <c r="B1151" t="s">
        <v>11</v>
      </c>
      <c r="C1151" t="s">
        <v>9</v>
      </c>
      <c r="D1151" t="s">
        <v>18</v>
      </c>
      <c r="E1151" t="s">
        <v>490</v>
      </c>
      <c r="F1151" t="s">
        <v>82</v>
      </c>
      <c r="G1151">
        <v>1928.421284278415</v>
      </c>
      <c r="H1151">
        <v>157.05645137680381</v>
      </c>
      <c r="I1151">
        <v>94.005183124447228</v>
      </c>
      <c r="J1151">
        <v>3064.7978507132789</v>
      </c>
      <c r="K1151">
        <v>1834.4161011539679</v>
      </c>
      <c r="L1151">
        <v>0.59854391398996798</v>
      </c>
    </row>
    <row r="1152" spans="1:12" x14ac:dyDescent="0.35">
      <c r="A1152">
        <v>2037</v>
      </c>
      <c r="B1152" t="s">
        <v>11</v>
      </c>
      <c r="C1152" t="s">
        <v>10</v>
      </c>
      <c r="D1152" t="s">
        <v>16</v>
      </c>
      <c r="E1152" t="s">
        <v>483</v>
      </c>
      <c r="F1152" t="s">
        <v>80</v>
      </c>
      <c r="G1152">
        <v>5732.0456775822131</v>
      </c>
      <c r="H1152">
        <v>0</v>
      </c>
      <c r="I1152">
        <v>0</v>
      </c>
      <c r="J1152">
        <v>9576.650173203976</v>
      </c>
      <c r="K1152">
        <v>5732.0456775822131</v>
      </c>
      <c r="L1152">
        <v>0.59854391398996798</v>
      </c>
    </row>
    <row r="1153" spans="1:12" x14ac:dyDescent="0.35">
      <c r="A1153">
        <v>2037</v>
      </c>
      <c r="B1153" t="s">
        <v>11</v>
      </c>
      <c r="C1153" t="s">
        <v>10</v>
      </c>
      <c r="D1153" t="s">
        <v>16</v>
      </c>
      <c r="E1153" t="s">
        <v>483</v>
      </c>
      <c r="F1153" t="s">
        <v>81</v>
      </c>
      <c r="G1153">
        <v>5732.0456775822131</v>
      </c>
      <c r="H1153">
        <v>0</v>
      </c>
      <c r="I1153">
        <v>0</v>
      </c>
      <c r="J1153">
        <v>9576.650173203976</v>
      </c>
      <c r="K1153">
        <v>5732.0456775822131</v>
      </c>
      <c r="L1153">
        <v>0.59854391398996798</v>
      </c>
    </row>
    <row r="1154" spans="1:12" x14ac:dyDescent="0.35">
      <c r="A1154">
        <v>2037</v>
      </c>
      <c r="B1154" t="s">
        <v>11</v>
      </c>
      <c r="C1154" t="s">
        <v>10</v>
      </c>
      <c r="D1154" t="s">
        <v>18</v>
      </c>
      <c r="E1154" t="s">
        <v>483</v>
      </c>
      <c r="F1154" t="s">
        <v>85</v>
      </c>
      <c r="G1154">
        <v>5732.0456775822131</v>
      </c>
      <c r="H1154">
        <v>157.05645137680381</v>
      </c>
      <c r="I1154">
        <v>94.005183124447228</v>
      </c>
      <c r="J1154">
        <v>9419.593721827172</v>
      </c>
      <c r="K1154">
        <v>5638.0404944577658</v>
      </c>
      <c r="L1154">
        <v>0.59854391398996798</v>
      </c>
    </row>
    <row r="1155" spans="1:12" x14ac:dyDescent="0.35">
      <c r="A1155">
        <v>2037</v>
      </c>
      <c r="B1155" t="s">
        <v>11</v>
      </c>
      <c r="C1155" t="s">
        <v>10</v>
      </c>
      <c r="D1155" t="s">
        <v>18</v>
      </c>
      <c r="E1155" t="s">
        <v>483</v>
      </c>
      <c r="F1155" t="s">
        <v>86</v>
      </c>
      <c r="G1155">
        <v>5732.0456775822131</v>
      </c>
      <c r="H1155">
        <v>157.05645137680381</v>
      </c>
      <c r="I1155">
        <v>94.005183124447228</v>
      </c>
      <c r="J1155">
        <v>9419.593721827172</v>
      </c>
      <c r="K1155">
        <v>5638.0404944577658</v>
      </c>
      <c r="L1155">
        <v>0.59854391398996798</v>
      </c>
    </row>
    <row r="1156" spans="1:12" x14ac:dyDescent="0.35">
      <c r="A1156">
        <v>2037</v>
      </c>
      <c r="B1156" t="s">
        <v>11</v>
      </c>
      <c r="C1156" t="s">
        <v>10</v>
      </c>
      <c r="D1156" t="s">
        <v>18</v>
      </c>
      <c r="E1156" t="s">
        <v>490</v>
      </c>
      <c r="F1156" t="s">
        <v>82</v>
      </c>
      <c r="G1156">
        <v>5732.0456775822131</v>
      </c>
      <c r="H1156">
        <v>157.05645137680381</v>
      </c>
      <c r="I1156">
        <v>94.005183124447228</v>
      </c>
      <c r="J1156">
        <v>9419.593721827172</v>
      </c>
      <c r="K1156">
        <v>5638.0404944577658</v>
      </c>
      <c r="L1156">
        <v>0.59854391398996798</v>
      </c>
    </row>
    <row r="1157" spans="1:12" x14ac:dyDescent="0.35">
      <c r="A1157">
        <v>2037</v>
      </c>
      <c r="B1157" t="s">
        <v>8</v>
      </c>
      <c r="C1157" t="s">
        <v>4</v>
      </c>
      <c r="D1157" t="s">
        <v>16</v>
      </c>
      <c r="E1157" t="s">
        <v>483</v>
      </c>
      <c r="F1157" t="s">
        <v>80</v>
      </c>
      <c r="G1157">
        <v>177436.22424093171</v>
      </c>
      <c r="H1157">
        <v>0</v>
      </c>
      <c r="I1157">
        <v>0</v>
      </c>
      <c r="J1157">
        <v>225300.10595955511</v>
      </c>
      <c r="K1157">
        <v>177436.22424093171</v>
      </c>
      <c r="L1157">
        <v>0.787554996857322</v>
      </c>
    </row>
    <row r="1158" spans="1:12" x14ac:dyDescent="0.35">
      <c r="A1158">
        <v>2037</v>
      </c>
      <c r="B1158" t="s">
        <v>8</v>
      </c>
      <c r="C1158" t="s">
        <v>4</v>
      </c>
      <c r="D1158" t="s">
        <v>16</v>
      </c>
      <c r="E1158" t="s">
        <v>483</v>
      </c>
      <c r="F1158" t="s">
        <v>81</v>
      </c>
      <c r="G1158">
        <v>177436.22424093171</v>
      </c>
      <c r="H1158">
        <v>82660</v>
      </c>
      <c r="I1158">
        <v>46362.344345082623</v>
      </c>
      <c r="J1158">
        <v>142640.10595955511</v>
      </c>
      <c r="K1158">
        <v>131073.8798958491</v>
      </c>
      <c r="L1158">
        <v>0.787554996857322</v>
      </c>
    </row>
    <row r="1159" spans="1:12" x14ac:dyDescent="0.35">
      <c r="A1159">
        <v>2037</v>
      </c>
      <c r="B1159" t="s">
        <v>8</v>
      </c>
      <c r="C1159" t="s">
        <v>4</v>
      </c>
      <c r="D1159" t="s">
        <v>18</v>
      </c>
      <c r="E1159" t="s">
        <v>483</v>
      </c>
      <c r="F1159" t="s">
        <v>85</v>
      </c>
      <c r="G1159">
        <v>177436.22424093171</v>
      </c>
      <c r="H1159">
        <v>246851.46808035299</v>
      </c>
      <c r="I1159">
        <v>138454.06200375629</v>
      </c>
      <c r="J1159">
        <v>0</v>
      </c>
      <c r="K1159">
        <v>38982.162237175391</v>
      </c>
      <c r="L1159">
        <v>0.787554996857322</v>
      </c>
    </row>
    <row r="1160" spans="1:12" x14ac:dyDescent="0.35">
      <c r="A1160">
        <v>2037</v>
      </c>
      <c r="B1160" t="s">
        <v>8</v>
      </c>
      <c r="C1160" t="s">
        <v>4</v>
      </c>
      <c r="D1160" t="s">
        <v>18</v>
      </c>
      <c r="E1160" t="s">
        <v>483</v>
      </c>
      <c r="F1160" t="s">
        <v>86</v>
      </c>
      <c r="G1160">
        <v>177436.22424093171</v>
      </c>
      <c r="H1160">
        <v>246851.46808035299</v>
      </c>
      <c r="I1160">
        <v>138454.06200375629</v>
      </c>
      <c r="J1160">
        <v>0</v>
      </c>
      <c r="K1160">
        <v>38982.162237175391</v>
      </c>
      <c r="L1160">
        <v>0.787554996857322</v>
      </c>
    </row>
    <row r="1161" spans="1:12" x14ac:dyDescent="0.35">
      <c r="A1161">
        <v>2037</v>
      </c>
      <c r="B1161" t="s">
        <v>8</v>
      </c>
      <c r="C1161" t="s">
        <v>4</v>
      </c>
      <c r="D1161" t="s">
        <v>18</v>
      </c>
      <c r="E1161" t="s">
        <v>490</v>
      </c>
      <c r="F1161" t="s">
        <v>82</v>
      </c>
      <c r="G1161">
        <v>177436.22424093171</v>
      </c>
      <c r="H1161">
        <v>246851.46808035299</v>
      </c>
      <c r="I1161">
        <v>194409.10716824781</v>
      </c>
      <c r="J1161">
        <v>0</v>
      </c>
      <c r="K1161">
        <v>0</v>
      </c>
      <c r="L1161">
        <v>0.787554996857322</v>
      </c>
    </row>
    <row r="1162" spans="1:12" x14ac:dyDescent="0.35">
      <c r="A1162">
        <v>2037</v>
      </c>
      <c r="B1162" t="s">
        <v>8</v>
      </c>
      <c r="C1162" t="s">
        <v>9</v>
      </c>
      <c r="D1162" t="s">
        <v>16</v>
      </c>
      <c r="E1162" t="s">
        <v>483</v>
      </c>
      <c r="F1162" t="s">
        <v>80</v>
      </c>
      <c r="G1162">
        <v>69481.842507553956</v>
      </c>
      <c r="H1162">
        <v>0</v>
      </c>
      <c r="I1162">
        <v>0</v>
      </c>
      <c r="J1162">
        <v>88224.749744228582</v>
      </c>
      <c r="K1162">
        <v>69481.842507553956</v>
      </c>
      <c r="L1162">
        <v>0.787554996857322</v>
      </c>
    </row>
    <row r="1163" spans="1:12" x14ac:dyDescent="0.35">
      <c r="A1163">
        <v>2037</v>
      </c>
      <c r="B1163" t="s">
        <v>8</v>
      </c>
      <c r="C1163" t="s">
        <v>9</v>
      </c>
      <c r="D1163" t="s">
        <v>16</v>
      </c>
      <c r="E1163" t="s">
        <v>483</v>
      </c>
      <c r="F1163" t="s">
        <v>81</v>
      </c>
      <c r="G1163">
        <v>69481.842507553956</v>
      </c>
      <c r="H1163">
        <v>82660</v>
      </c>
      <c r="I1163">
        <v>46362.344345082623</v>
      </c>
      <c r="J1163">
        <v>5564.7497442285821</v>
      </c>
      <c r="K1163">
        <v>23119.498162471329</v>
      </c>
      <c r="L1163">
        <v>0.787554996857322</v>
      </c>
    </row>
    <row r="1164" spans="1:12" x14ac:dyDescent="0.35">
      <c r="A1164">
        <v>2037</v>
      </c>
      <c r="B1164" t="s">
        <v>8</v>
      </c>
      <c r="C1164" t="s">
        <v>9</v>
      </c>
      <c r="D1164" t="s">
        <v>18</v>
      </c>
      <c r="E1164" t="s">
        <v>483</v>
      </c>
      <c r="F1164" t="s">
        <v>85</v>
      </c>
      <c r="G1164">
        <v>69481.842507553956</v>
      </c>
      <c r="H1164">
        <v>246851.46808035299</v>
      </c>
      <c r="I1164">
        <v>138454.06200375629</v>
      </c>
      <c r="J1164">
        <v>0</v>
      </c>
      <c r="K1164">
        <v>0</v>
      </c>
      <c r="L1164">
        <v>0.787554996857322</v>
      </c>
    </row>
    <row r="1165" spans="1:12" x14ac:dyDescent="0.35">
      <c r="A1165">
        <v>2037</v>
      </c>
      <c r="B1165" t="s">
        <v>8</v>
      </c>
      <c r="C1165" t="s">
        <v>9</v>
      </c>
      <c r="D1165" t="s">
        <v>18</v>
      </c>
      <c r="E1165" t="s">
        <v>483</v>
      </c>
      <c r="F1165" t="s">
        <v>86</v>
      </c>
      <c r="G1165">
        <v>69481.842507553956</v>
      </c>
      <c r="H1165">
        <v>246851.46808035299</v>
      </c>
      <c r="I1165">
        <v>138454.06200375629</v>
      </c>
      <c r="J1165">
        <v>0</v>
      </c>
      <c r="K1165">
        <v>0</v>
      </c>
      <c r="L1165">
        <v>0.787554996857322</v>
      </c>
    </row>
    <row r="1166" spans="1:12" x14ac:dyDescent="0.35">
      <c r="A1166">
        <v>2037</v>
      </c>
      <c r="B1166" t="s">
        <v>8</v>
      </c>
      <c r="C1166" t="s">
        <v>9</v>
      </c>
      <c r="D1166" t="s">
        <v>18</v>
      </c>
      <c r="E1166" t="s">
        <v>490</v>
      </c>
      <c r="F1166" t="s">
        <v>82</v>
      </c>
      <c r="G1166">
        <v>69481.842507553956</v>
      </c>
      <c r="H1166">
        <v>246851.46808035299</v>
      </c>
      <c r="I1166">
        <v>194409.10716824781</v>
      </c>
      <c r="J1166">
        <v>0</v>
      </c>
      <c r="K1166">
        <v>0</v>
      </c>
      <c r="L1166">
        <v>0.787554996857322</v>
      </c>
    </row>
    <row r="1167" spans="1:12" x14ac:dyDescent="0.35">
      <c r="A1167">
        <v>2037</v>
      </c>
      <c r="B1167" t="s">
        <v>8</v>
      </c>
      <c r="C1167" t="s">
        <v>10</v>
      </c>
      <c r="D1167" t="s">
        <v>16</v>
      </c>
      <c r="E1167" t="s">
        <v>483</v>
      </c>
      <c r="F1167" t="s">
        <v>80</v>
      </c>
      <c r="G1167">
        <v>170535.0212582692</v>
      </c>
      <c r="H1167">
        <v>0</v>
      </c>
      <c r="I1167">
        <v>0</v>
      </c>
      <c r="J1167">
        <v>216537.285572152</v>
      </c>
      <c r="K1167">
        <v>170535.0212582692</v>
      </c>
      <c r="L1167">
        <v>0.787554996857322</v>
      </c>
    </row>
    <row r="1168" spans="1:12" x14ac:dyDescent="0.35">
      <c r="A1168">
        <v>2037</v>
      </c>
      <c r="B1168" t="s">
        <v>8</v>
      </c>
      <c r="C1168" t="s">
        <v>10</v>
      </c>
      <c r="D1168" t="s">
        <v>16</v>
      </c>
      <c r="E1168" t="s">
        <v>483</v>
      </c>
      <c r="F1168" t="s">
        <v>81</v>
      </c>
      <c r="G1168">
        <v>170535.0212582692</v>
      </c>
      <c r="H1168">
        <v>82660</v>
      </c>
      <c r="I1168">
        <v>46362.344345082623</v>
      </c>
      <c r="J1168">
        <v>133877.285572152</v>
      </c>
      <c r="K1168">
        <v>124172.6769131866</v>
      </c>
      <c r="L1168">
        <v>0.787554996857322</v>
      </c>
    </row>
    <row r="1169" spans="1:12" x14ac:dyDescent="0.35">
      <c r="A1169">
        <v>2037</v>
      </c>
      <c r="B1169" t="s">
        <v>8</v>
      </c>
      <c r="C1169" t="s">
        <v>10</v>
      </c>
      <c r="D1169" t="s">
        <v>18</v>
      </c>
      <c r="E1169" t="s">
        <v>483</v>
      </c>
      <c r="F1169" t="s">
        <v>85</v>
      </c>
      <c r="G1169">
        <v>170535.0212582692</v>
      </c>
      <c r="H1169">
        <v>246851.46808035299</v>
      </c>
      <c r="I1169">
        <v>138454.06200375629</v>
      </c>
      <c r="J1169">
        <v>0</v>
      </c>
      <c r="K1169">
        <v>32080.95925451288</v>
      </c>
      <c r="L1169">
        <v>0.787554996857322</v>
      </c>
    </row>
    <row r="1170" spans="1:12" x14ac:dyDescent="0.35">
      <c r="A1170">
        <v>2037</v>
      </c>
      <c r="B1170" t="s">
        <v>8</v>
      </c>
      <c r="C1170" t="s">
        <v>10</v>
      </c>
      <c r="D1170" t="s">
        <v>18</v>
      </c>
      <c r="E1170" t="s">
        <v>483</v>
      </c>
      <c r="F1170" t="s">
        <v>86</v>
      </c>
      <c r="G1170">
        <v>170535.0212582692</v>
      </c>
      <c r="H1170">
        <v>246851.46808035299</v>
      </c>
      <c r="I1170">
        <v>138454.06200375629</v>
      </c>
      <c r="J1170">
        <v>0</v>
      </c>
      <c r="K1170">
        <v>32080.95925451288</v>
      </c>
      <c r="L1170">
        <v>0.787554996857322</v>
      </c>
    </row>
    <row r="1171" spans="1:12" x14ac:dyDescent="0.35">
      <c r="A1171">
        <v>2037</v>
      </c>
      <c r="B1171" t="s">
        <v>8</v>
      </c>
      <c r="C1171" t="s">
        <v>10</v>
      </c>
      <c r="D1171" t="s">
        <v>18</v>
      </c>
      <c r="E1171" t="s">
        <v>490</v>
      </c>
      <c r="F1171" t="s">
        <v>82</v>
      </c>
      <c r="G1171">
        <v>170535.0212582692</v>
      </c>
      <c r="H1171">
        <v>246851.46808035299</v>
      </c>
      <c r="I1171">
        <v>194409.10716824781</v>
      </c>
      <c r="J1171">
        <v>0</v>
      </c>
      <c r="K1171">
        <v>0</v>
      </c>
      <c r="L1171">
        <v>0.787554996857322</v>
      </c>
    </row>
    <row r="1172" spans="1:12" x14ac:dyDescent="0.35">
      <c r="A1172">
        <v>2038</v>
      </c>
      <c r="B1172" t="s">
        <v>6</v>
      </c>
      <c r="C1172" t="s">
        <v>4</v>
      </c>
      <c r="D1172" t="s">
        <v>16</v>
      </c>
      <c r="E1172" t="s">
        <v>483</v>
      </c>
      <c r="F1172" t="s">
        <v>80</v>
      </c>
      <c r="G1172">
        <v>217957.7461959504</v>
      </c>
      <c r="H1172">
        <v>0</v>
      </c>
      <c r="I1172">
        <v>0</v>
      </c>
      <c r="J1172">
        <v>496095.25422178698</v>
      </c>
      <c r="K1172">
        <v>217957.7461959504</v>
      </c>
      <c r="L1172">
        <v>0.439346565686978</v>
      </c>
    </row>
    <row r="1173" spans="1:12" x14ac:dyDescent="0.35">
      <c r="A1173">
        <v>2038</v>
      </c>
      <c r="B1173" t="s">
        <v>6</v>
      </c>
      <c r="C1173" t="s">
        <v>4</v>
      </c>
      <c r="D1173" t="s">
        <v>16</v>
      </c>
      <c r="E1173" t="s">
        <v>483</v>
      </c>
      <c r="F1173" t="s">
        <v>81</v>
      </c>
      <c r="G1173">
        <v>217957.7461959504</v>
      </c>
      <c r="H1173">
        <v>261</v>
      </c>
      <c r="I1173">
        <v>110.71145720551</v>
      </c>
      <c r="J1173">
        <v>495834.25422178698</v>
      </c>
      <c r="K1173">
        <v>217847.0347387449</v>
      </c>
      <c r="L1173">
        <v>0.439346565686978</v>
      </c>
    </row>
    <row r="1174" spans="1:12" x14ac:dyDescent="0.35">
      <c r="A1174">
        <v>2038</v>
      </c>
      <c r="B1174" t="s">
        <v>6</v>
      </c>
      <c r="C1174" t="s">
        <v>4</v>
      </c>
      <c r="D1174" t="s">
        <v>18</v>
      </c>
      <c r="E1174" t="s">
        <v>483</v>
      </c>
      <c r="F1174" t="s">
        <v>85</v>
      </c>
      <c r="G1174">
        <v>217957.7461959504</v>
      </c>
      <c r="H1174">
        <v>23517.33411697366</v>
      </c>
      <c r="I1174">
        <v>9975.625784210768</v>
      </c>
      <c r="J1174">
        <v>472577.92010481341</v>
      </c>
      <c r="K1174">
        <v>207982.1204117396</v>
      </c>
      <c r="L1174">
        <v>0.439346565686978</v>
      </c>
    </row>
    <row r="1175" spans="1:12" x14ac:dyDescent="0.35">
      <c r="A1175">
        <v>2038</v>
      </c>
      <c r="B1175" t="s">
        <v>6</v>
      </c>
      <c r="C1175" t="s">
        <v>4</v>
      </c>
      <c r="D1175" t="s">
        <v>18</v>
      </c>
      <c r="E1175" t="s">
        <v>483</v>
      </c>
      <c r="F1175" t="s">
        <v>86</v>
      </c>
      <c r="G1175">
        <v>217957.7461959504</v>
      </c>
      <c r="H1175">
        <v>23517.33411697366</v>
      </c>
      <c r="I1175">
        <v>9975.625784210768</v>
      </c>
      <c r="J1175">
        <v>472577.92010481341</v>
      </c>
      <c r="K1175">
        <v>207982.1204117396</v>
      </c>
      <c r="L1175">
        <v>0.439346565686978</v>
      </c>
    </row>
    <row r="1176" spans="1:12" x14ac:dyDescent="0.35">
      <c r="A1176">
        <v>2038</v>
      </c>
      <c r="B1176" t="s">
        <v>6</v>
      </c>
      <c r="C1176" t="s">
        <v>4</v>
      </c>
      <c r="D1176" t="s">
        <v>18</v>
      </c>
      <c r="E1176" t="s">
        <v>490</v>
      </c>
      <c r="F1176" t="s">
        <v>82</v>
      </c>
      <c r="G1176">
        <v>217957.7461959504</v>
      </c>
      <c r="H1176">
        <v>23517.33411697366</v>
      </c>
      <c r="I1176">
        <v>10332.259978405589</v>
      </c>
      <c r="J1176">
        <v>472577.92010481341</v>
      </c>
      <c r="K1176">
        <v>207625.48621754479</v>
      </c>
      <c r="L1176">
        <v>0.439346565686978</v>
      </c>
    </row>
    <row r="1177" spans="1:12" x14ac:dyDescent="0.35">
      <c r="A1177">
        <v>2038</v>
      </c>
      <c r="B1177" t="s">
        <v>6</v>
      </c>
      <c r="C1177" t="s">
        <v>9</v>
      </c>
      <c r="D1177" t="s">
        <v>16</v>
      </c>
      <c r="E1177" t="s">
        <v>483</v>
      </c>
      <c r="F1177" t="s">
        <v>80</v>
      </c>
      <c r="G1177">
        <v>81581.249659793117</v>
      </c>
      <c r="H1177">
        <v>0</v>
      </c>
      <c r="I1177">
        <v>0</v>
      </c>
      <c r="J1177">
        <v>185687.69174792519</v>
      </c>
      <c r="K1177">
        <v>81581.249659793117</v>
      </c>
      <c r="L1177">
        <v>0.439346565686978</v>
      </c>
    </row>
    <row r="1178" spans="1:12" x14ac:dyDescent="0.35">
      <c r="A1178">
        <v>2038</v>
      </c>
      <c r="B1178" t="s">
        <v>6</v>
      </c>
      <c r="C1178" t="s">
        <v>9</v>
      </c>
      <c r="D1178" t="s">
        <v>16</v>
      </c>
      <c r="E1178" t="s">
        <v>483</v>
      </c>
      <c r="F1178" t="s">
        <v>81</v>
      </c>
      <c r="G1178">
        <v>81581.249659793117</v>
      </c>
      <c r="H1178">
        <v>261</v>
      </c>
      <c r="I1178">
        <v>110.71145720551</v>
      </c>
      <c r="J1178">
        <v>185426.69174792519</v>
      </c>
      <c r="K1178">
        <v>81470.538202587602</v>
      </c>
      <c r="L1178">
        <v>0.439346565686978</v>
      </c>
    </row>
    <row r="1179" spans="1:12" x14ac:dyDescent="0.35">
      <c r="A1179">
        <v>2038</v>
      </c>
      <c r="B1179" t="s">
        <v>6</v>
      </c>
      <c r="C1179" t="s">
        <v>9</v>
      </c>
      <c r="D1179" t="s">
        <v>18</v>
      </c>
      <c r="E1179" t="s">
        <v>483</v>
      </c>
      <c r="F1179" t="s">
        <v>85</v>
      </c>
      <c r="G1179">
        <v>81581.249659793117</v>
      </c>
      <c r="H1179">
        <v>23517.33411697366</v>
      </c>
      <c r="I1179">
        <v>9975.625784210768</v>
      </c>
      <c r="J1179">
        <v>162170.3576309515</v>
      </c>
      <c r="K1179">
        <v>71605.623875582343</v>
      </c>
      <c r="L1179">
        <v>0.439346565686978</v>
      </c>
    </row>
    <row r="1180" spans="1:12" x14ac:dyDescent="0.35">
      <c r="A1180">
        <v>2038</v>
      </c>
      <c r="B1180" t="s">
        <v>6</v>
      </c>
      <c r="C1180" t="s">
        <v>9</v>
      </c>
      <c r="D1180" t="s">
        <v>18</v>
      </c>
      <c r="E1180" t="s">
        <v>483</v>
      </c>
      <c r="F1180" t="s">
        <v>86</v>
      </c>
      <c r="G1180">
        <v>81581.249659793117</v>
      </c>
      <c r="H1180">
        <v>23517.33411697366</v>
      </c>
      <c r="I1180">
        <v>9975.625784210768</v>
      </c>
      <c r="J1180">
        <v>162170.3576309515</v>
      </c>
      <c r="K1180">
        <v>71605.623875582343</v>
      </c>
      <c r="L1180">
        <v>0.439346565686978</v>
      </c>
    </row>
    <row r="1181" spans="1:12" x14ac:dyDescent="0.35">
      <c r="A1181">
        <v>2038</v>
      </c>
      <c r="B1181" t="s">
        <v>6</v>
      </c>
      <c r="C1181" t="s">
        <v>9</v>
      </c>
      <c r="D1181" t="s">
        <v>18</v>
      </c>
      <c r="E1181" t="s">
        <v>490</v>
      </c>
      <c r="F1181" t="s">
        <v>82</v>
      </c>
      <c r="G1181">
        <v>81581.249659793117</v>
      </c>
      <c r="H1181">
        <v>23517.33411697366</v>
      </c>
      <c r="I1181">
        <v>10332.259978405589</v>
      </c>
      <c r="J1181">
        <v>162170.3576309515</v>
      </c>
      <c r="K1181">
        <v>71248.989681387524</v>
      </c>
      <c r="L1181">
        <v>0.439346565686978</v>
      </c>
    </row>
    <row r="1182" spans="1:12" x14ac:dyDescent="0.35">
      <c r="A1182">
        <v>2038</v>
      </c>
      <c r="B1182" t="s">
        <v>6</v>
      </c>
      <c r="C1182" t="s">
        <v>10</v>
      </c>
      <c r="D1182" t="s">
        <v>16</v>
      </c>
      <c r="E1182" t="s">
        <v>483</v>
      </c>
      <c r="F1182" t="s">
        <v>80</v>
      </c>
      <c r="G1182">
        <v>207519.60886178669</v>
      </c>
      <c r="H1182">
        <v>0</v>
      </c>
      <c r="I1182">
        <v>0</v>
      </c>
      <c r="J1182">
        <v>472336.93186448747</v>
      </c>
      <c r="K1182">
        <v>207519.60886178669</v>
      </c>
      <c r="L1182">
        <v>0.439346565686978</v>
      </c>
    </row>
    <row r="1183" spans="1:12" x14ac:dyDescent="0.35">
      <c r="A1183">
        <v>2038</v>
      </c>
      <c r="B1183" t="s">
        <v>6</v>
      </c>
      <c r="C1183" t="s">
        <v>10</v>
      </c>
      <c r="D1183" t="s">
        <v>16</v>
      </c>
      <c r="E1183" t="s">
        <v>483</v>
      </c>
      <c r="F1183" t="s">
        <v>81</v>
      </c>
      <c r="G1183">
        <v>207519.60886178669</v>
      </c>
      <c r="H1183">
        <v>261</v>
      </c>
      <c r="I1183">
        <v>110.71145720551</v>
      </c>
      <c r="J1183">
        <v>472075.93186448747</v>
      </c>
      <c r="K1183">
        <v>207408.89740458119</v>
      </c>
      <c r="L1183">
        <v>0.439346565686978</v>
      </c>
    </row>
    <row r="1184" spans="1:12" x14ac:dyDescent="0.35">
      <c r="A1184">
        <v>2038</v>
      </c>
      <c r="B1184" t="s">
        <v>6</v>
      </c>
      <c r="C1184" t="s">
        <v>10</v>
      </c>
      <c r="D1184" t="s">
        <v>18</v>
      </c>
      <c r="E1184" t="s">
        <v>483</v>
      </c>
      <c r="F1184" t="s">
        <v>85</v>
      </c>
      <c r="G1184">
        <v>207519.60886178669</v>
      </c>
      <c r="H1184">
        <v>23517.33411697366</v>
      </c>
      <c r="I1184">
        <v>9975.625784210768</v>
      </c>
      <c r="J1184">
        <v>448819.59774751379</v>
      </c>
      <c r="K1184">
        <v>197543.98307757589</v>
      </c>
      <c r="L1184">
        <v>0.439346565686978</v>
      </c>
    </row>
    <row r="1185" spans="1:12" x14ac:dyDescent="0.35">
      <c r="A1185">
        <v>2038</v>
      </c>
      <c r="B1185" t="s">
        <v>6</v>
      </c>
      <c r="C1185" t="s">
        <v>10</v>
      </c>
      <c r="D1185" t="s">
        <v>18</v>
      </c>
      <c r="E1185" t="s">
        <v>483</v>
      </c>
      <c r="F1185" t="s">
        <v>86</v>
      </c>
      <c r="G1185">
        <v>207519.60886178669</v>
      </c>
      <c r="H1185">
        <v>23517.33411697366</v>
      </c>
      <c r="I1185">
        <v>9975.625784210768</v>
      </c>
      <c r="J1185">
        <v>448819.59774751379</v>
      </c>
      <c r="K1185">
        <v>197543.98307757589</v>
      </c>
      <c r="L1185">
        <v>0.439346565686978</v>
      </c>
    </row>
    <row r="1186" spans="1:12" x14ac:dyDescent="0.35">
      <c r="A1186">
        <v>2038</v>
      </c>
      <c r="B1186" t="s">
        <v>6</v>
      </c>
      <c r="C1186" t="s">
        <v>10</v>
      </c>
      <c r="D1186" t="s">
        <v>18</v>
      </c>
      <c r="E1186" t="s">
        <v>490</v>
      </c>
      <c r="F1186" t="s">
        <v>82</v>
      </c>
      <c r="G1186">
        <v>207519.60886178669</v>
      </c>
      <c r="H1186">
        <v>23517.33411697366</v>
      </c>
      <c r="I1186">
        <v>10332.259978405589</v>
      </c>
      <c r="J1186">
        <v>448819.59774751379</v>
      </c>
      <c r="K1186">
        <v>197187.34888338111</v>
      </c>
      <c r="L1186">
        <v>0.439346565686978</v>
      </c>
    </row>
    <row r="1187" spans="1:12" x14ac:dyDescent="0.35">
      <c r="A1187">
        <v>2038</v>
      </c>
      <c r="B1187" t="s">
        <v>7</v>
      </c>
      <c r="C1187" t="s">
        <v>4</v>
      </c>
      <c r="D1187" t="s">
        <v>16</v>
      </c>
      <c r="E1187" t="s">
        <v>483</v>
      </c>
      <c r="F1187" t="s">
        <v>80</v>
      </c>
      <c r="G1187">
        <v>1525342.03872534</v>
      </c>
      <c r="H1187">
        <v>0</v>
      </c>
      <c r="I1187">
        <v>0</v>
      </c>
      <c r="J1187">
        <v>1827313.3052750281</v>
      </c>
      <c r="K1187">
        <v>1525342.03872534</v>
      </c>
      <c r="L1187">
        <v>0.83474576271186396</v>
      </c>
    </row>
    <row r="1188" spans="1:12" x14ac:dyDescent="0.35">
      <c r="A1188">
        <v>2038</v>
      </c>
      <c r="B1188" t="s">
        <v>7</v>
      </c>
      <c r="C1188" t="s">
        <v>4</v>
      </c>
      <c r="D1188" t="s">
        <v>16</v>
      </c>
      <c r="E1188" t="s">
        <v>483</v>
      </c>
      <c r="F1188" t="s">
        <v>81</v>
      </c>
      <c r="G1188">
        <v>1525342.03872534</v>
      </c>
      <c r="H1188">
        <v>149633</v>
      </c>
      <c r="I1188">
        <v>78648.404734026277</v>
      </c>
      <c r="J1188">
        <v>1677680.3052750281</v>
      </c>
      <c r="K1188">
        <v>1446693.6339913141</v>
      </c>
      <c r="L1188">
        <v>0.83474576271186396</v>
      </c>
    </row>
    <row r="1189" spans="1:12" x14ac:dyDescent="0.35">
      <c r="A1189">
        <v>2038</v>
      </c>
      <c r="B1189" t="s">
        <v>7</v>
      </c>
      <c r="C1189" t="s">
        <v>4</v>
      </c>
      <c r="D1189" t="s">
        <v>18</v>
      </c>
      <c r="E1189" t="s">
        <v>483</v>
      </c>
      <c r="F1189" t="s">
        <v>85</v>
      </c>
      <c r="G1189">
        <v>1525342.03872534</v>
      </c>
      <c r="H1189">
        <v>1022879.179171539</v>
      </c>
      <c r="I1189">
        <v>537634.18281723827</v>
      </c>
      <c r="J1189">
        <v>804434.12610348838</v>
      </c>
      <c r="K1189">
        <v>987707.85590810177</v>
      </c>
      <c r="L1189">
        <v>0.83474576271186396</v>
      </c>
    </row>
    <row r="1190" spans="1:12" x14ac:dyDescent="0.35">
      <c r="A1190">
        <v>2038</v>
      </c>
      <c r="B1190" t="s">
        <v>7</v>
      </c>
      <c r="C1190" t="s">
        <v>4</v>
      </c>
      <c r="D1190" t="s">
        <v>18</v>
      </c>
      <c r="E1190" t="s">
        <v>483</v>
      </c>
      <c r="F1190" t="s">
        <v>86</v>
      </c>
      <c r="G1190">
        <v>1525342.03872534</v>
      </c>
      <c r="H1190">
        <v>1022879.179171539</v>
      </c>
      <c r="I1190">
        <v>537634.18281723827</v>
      </c>
      <c r="J1190">
        <v>804434.12610348838</v>
      </c>
      <c r="K1190">
        <v>987707.85590810177</v>
      </c>
      <c r="L1190">
        <v>0.83474576271186396</v>
      </c>
    </row>
    <row r="1191" spans="1:12" x14ac:dyDescent="0.35">
      <c r="A1191">
        <v>2038</v>
      </c>
      <c r="B1191" t="s">
        <v>7</v>
      </c>
      <c r="C1191" t="s">
        <v>4</v>
      </c>
      <c r="D1191" t="s">
        <v>18</v>
      </c>
      <c r="E1191" t="s">
        <v>490</v>
      </c>
      <c r="F1191" t="s">
        <v>82</v>
      </c>
      <c r="G1191">
        <v>1525342.03872534</v>
      </c>
      <c r="H1191">
        <v>1022879.179171539</v>
      </c>
      <c r="I1191">
        <v>853844.06057963229</v>
      </c>
      <c r="J1191">
        <v>804434.12610348838</v>
      </c>
      <c r="K1191">
        <v>671497.97814570775</v>
      </c>
      <c r="L1191">
        <v>0.83474576271186396</v>
      </c>
    </row>
    <row r="1192" spans="1:12" x14ac:dyDescent="0.35">
      <c r="A1192">
        <v>2038</v>
      </c>
      <c r="B1192" t="s">
        <v>7</v>
      </c>
      <c r="C1192" t="s">
        <v>9</v>
      </c>
      <c r="D1192" t="s">
        <v>16</v>
      </c>
      <c r="E1192" t="s">
        <v>483</v>
      </c>
      <c r="F1192" t="s">
        <v>80</v>
      </c>
      <c r="G1192">
        <v>1157581.233594937</v>
      </c>
      <c r="H1192">
        <v>0</v>
      </c>
      <c r="I1192">
        <v>0</v>
      </c>
      <c r="J1192">
        <v>1386747.0615655091</v>
      </c>
      <c r="K1192">
        <v>1157581.233594937</v>
      </c>
      <c r="L1192">
        <v>0.83474576271186396</v>
      </c>
    </row>
    <row r="1193" spans="1:12" x14ac:dyDescent="0.35">
      <c r="A1193">
        <v>2038</v>
      </c>
      <c r="B1193" t="s">
        <v>7</v>
      </c>
      <c r="C1193" t="s">
        <v>9</v>
      </c>
      <c r="D1193" t="s">
        <v>16</v>
      </c>
      <c r="E1193" t="s">
        <v>483</v>
      </c>
      <c r="F1193" t="s">
        <v>81</v>
      </c>
      <c r="G1193">
        <v>1157581.233594937</v>
      </c>
      <c r="H1193">
        <v>149633</v>
      </c>
      <c r="I1193">
        <v>78648.404734026277</v>
      </c>
      <c r="J1193">
        <v>1237114.0615655091</v>
      </c>
      <c r="K1193">
        <v>1078932.8288609111</v>
      </c>
      <c r="L1193">
        <v>0.83474576271186396</v>
      </c>
    </row>
    <row r="1194" spans="1:12" x14ac:dyDescent="0.35">
      <c r="A1194">
        <v>2038</v>
      </c>
      <c r="B1194" t="s">
        <v>7</v>
      </c>
      <c r="C1194" t="s">
        <v>9</v>
      </c>
      <c r="D1194" t="s">
        <v>18</v>
      </c>
      <c r="E1194" t="s">
        <v>483</v>
      </c>
      <c r="F1194" t="s">
        <v>85</v>
      </c>
      <c r="G1194">
        <v>1157581.233594937</v>
      </c>
      <c r="H1194">
        <v>1022879.179171539</v>
      </c>
      <c r="I1194">
        <v>537634.18281723827</v>
      </c>
      <c r="J1194">
        <v>363867.8823939698</v>
      </c>
      <c r="K1194">
        <v>619947.05077769875</v>
      </c>
      <c r="L1194">
        <v>0.83474576271186396</v>
      </c>
    </row>
    <row r="1195" spans="1:12" x14ac:dyDescent="0.35">
      <c r="A1195">
        <v>2038</v>
      </c>
      <c r="B1195" t="s">
        <v>7</v>
      </c>
      <c r="C1195" t="s">
        <v>9</v>
      </c>
      <c r="D1195" t="s">
        <v>18</v>
      </c>
      <c r="E1195" t="s">
        <v>483</v>
      </c>
      <c r="F1195" t="s">
        <v>86</v>
      </c>
      <c r="G1195">
        <v>1157581.233594937</v>
      </c>
      <c r="H1195">
        <v>1022879.179171539</v>
      </c>
      <c r="I1195">
        <v>537634.18281723827</v>
      </c>
      <c r="J1195">
        <v>363867.8823939698</v>
      </c>
      <c r="K1195">
        <v>619947.05077769875</v>
      </c>
      <c r="L1195">
        <v>0.83474576271186396</v>
      </c>
    </row>
    <row r="1196" spans="1:12" x14ac:dyDescent="0.35">
      <c r="A1196">
        <v>2038</v>
      </c>
      <c r="B1196" t="s">
        <v>7</v>
      </c>
      <c r="C1196" t="s">
        <v>9</v>
      </c>
      <c r="D1196" t="s">
        <v>18</v>
      </c>
      <c r="E1196" t="s">
        <v>490</v>
      </c>
      <c r="F1196" t="s">
        <v>82</v>
      </c>
      <c r="G1196">
        <v>1157581.233594937</v>
      </c>
      <c r="H1196">
        <v>1022879.179171539</v>
      </c>
      <c r="I1196">
        <v>853844.06057963229</v>
      </c>
      <c r="J1196">
        <v>363867.8823939698</v>
      </c>
      <c r="K1196">
        <v>303737.17301530472</v>
      </c>
      <c r="L1196">
        <v>0.83474576271186396</v>
      </c>
    </row>
    <row r="1197" spans="1:12" x14ac:dyDescent="0.35">
      <c r="A1197">
        <v>2038</v>
      </c>
      <c r="B1197" t="s">
        <v>7</v>
      </c>
      <c r="C1197" t="s">
        <v>10</v>
      </c>
      <c r="D1197" t="s">
        <v>16</v>
      </c>
      <c r="E1197" t="s">
        <v>483</v>
      </c>
      <c r="F1197" t="s">
        <v>80</v>
      </c>
      <c r="G1197">
        <v>1440730.5458499959</v>
      </c>
      <c r="H1197">
        <v>0</v>
      </c>
      <c r="I1197">
        <v>0</v>
      </c>
      <c r="J1197">
        <v>1725951.313810148</v>
      </c>
      <c r="K1197">
        <v>1440730.5458499959</v>
      </c>
      <c r="L1197">
        <v>0.83474576271186396</v>
      </c>
    </row>
    <row r="1198" spans="1:12" x14ac:dyDescent="0.35">
      <c r="A1198">
        <v>2038</v>
      </c>
      <c r="B1198" t="s">
        <v>7</v>
      </c>
      <c r="C1198" t="s">
        <v>10</v>
      </c>
      <c r="D1198" t="s">
        <v>16</v>
      </c>
      <c r="E1198" t="s">
        <v>483</v>
      </c>
      <c r="F1198" t="s">
        <v>81</v>
      </c>
      <c r="G1198">
        <v>1440730.5458499959</v>
      </c>
      <c r="H1198">
        <v>149633</v>
      </c>
      <c r="I1198">
        <v>78648.404734026277</v>
      </c>
      <c r="J1198">
        <v>1576318.313810148</v>
      </c>
      <c r="K1198">
        <v>1362082.14111597</v>
      </c>
      <c r="L1198">
        <v>0.83474576271186396</v>
      </c>
    </row>
    <row r="1199" spans="1:12" x14ac:dyDescent="0.35">
      <c r="A1199">
        <v>2038</v>
      </c>
      <c r="B1199" t="s">
        <v>7</v>
      </c>
      <c r="C1199" t="s">
        <v>10</v>
      </c>
      <c r="D1199" t="s">
        <v>18</v>
      </c>
      <c r="E1199" t="s">
        <v>483</v>
      </c>
      <c r="F1199" t="s">
        <v>85</v>
      </c>
      <c r="G1199">
        <v>1440730.5458499959</v>
      </c>
      <c r="H1199">
        <v>1022879.179171539</v>
      </c>
      <c r="I1199">
        <v>537634.18281723827</v>
      </c>
      <c r="J1199">
        <v>703072.13463860902</v>
      </c>
      <c r="K1199">
        <v>903096.36303275765</v>
      </c>
      <c r="L1199">
        <v>0.83474576271186396</v>
      </c>
    </row>
    <row r="1200" spans="1:12" x14ac:dyDescent="0.35">
      <c r="A1200">
        <v>2038</v>
      </c>
      <c r="B1200" t="s">
        <v>7</v>
      </c>
      <c r="C1200" t="s">
        <v>10</v>
      </c>
      <c r="D1200" t="s">
        <v>18</v>
      </c>
      <c r="E1200" t="s">
        <v>483</v>
      </c>
      <c r="F1200" t="s">
        <v>86</v>
      </c>
      <c r="G1200">
        <v>1440730.5458499959</v>
      </c>
      <c r="H1200">
        <v>1022879.179171539</v>
      </c>
      <c r="I1200">
        <v>537634.18281723827</v>
      </c>
      <c r="J1200">
        <v>703072.13463860902</v>
      </c>
      <c r="K1200">
        <v>903096.36303275765</v>
      </c>
      <c r="L1200">
        <v>0.83474576271186396</v>
      </c>
    </row>
    <row r="1201" spans="1:12" x14ac:dyDescent="0.35">
      <c r="A1201">
        <v>2038</v>
      </c>
      <c r="B1201" t="s">
        <v>7</v>
      </c>
      <c r="C1201" t="s">
        <v>10</v>
      </c>
      <c r="D1201" t="s">
        <v>18</v>
      </c>
      <c r="E1201" t="s">
        <v>490</v>
      </c>
      <c r="F1201" t="s">
        <v>82</v>
      </c>
      <c r="G1201">
        <v>1440730.5458499959</v>
      </c>
      <c r="H1201">
        <v>1022879.179171539</v>
      </c>
      <c r="I1201">
        <v>853844.06057963229</v>
      </c>
      <c r="J1201">
        <v>703072.13463860902</v>
      </c>
      <c r="K1201">
        <v>586886.48527036363</v>
      </c>
      <c r="L1201">
        <v>0.83474576271186396</v>
      </c>
    </row>
    <row r="1202" spans="1:12" x14ac:dyDescent="0.35">
      <c r="A1202">
        <v>2038</v>
      </c>
      <c r="B1202" t="s">
        <v>13</v>
      </c>
      <c r="C1202" t="s">
        <v>4</v>
      </c>
      <c r="D1202" t="s">
        <v>16</v>
      </c>
      <c r="E1202" t="s">
        <v>483</v>
      </c>
      <c r="F1202" t="s">
        <v>80</v>
      </c>
      <c r="G1202">
        <v>3217.8690369252022</v>
      </c>
      <c r="H1202">
        <v>0</v>
      </c>
      <c r="I1202">
        <v>0</v>
      </c>
      <c r="J1202">
        <v>3217.8690369252022</v>
      </c>
      <c r="K1202">
        <v>3217.8690369252022</v>
      </c>
      <c r="L1202">
        <v>1</v>
      </c>
    </row>
    <row r="1203" spans="1:12" x14ac:dyDescent="0.35">
      <c r="A1203">
        <v>2038</v>
      </c>
      <c r="B1203" t="s">
        <v>13</v>
      </c>
      <c r="C1203" t="s">
        <v>4</v>
      </c>
      <c r="D1203" t="s">
        <v>16</v>
      </c>
      <c r="E1203" t="s">
        <v>483</v>
      </c>
      <c r="F1203" t="s">
        <v>81</v>
      </c>
      <c r="G1203">
        <v>3217.8690369252022</v>
      </c>
      <c r="H1203">
        <v>0</v>
      </c>
      <c r="I1203">
        <v>0</v>
      </c>
      <c r="J1203">
        <v>3217.8690369252022</v>
      </c>
      <c r="K1203">
        <v>3217.8690369252022</v>
      </c>
      <c r="L1203">
        <v>1</v>
      </c>
    </row>
    <row r="1204" spans="1:12" x14ac:dyDescent="0.35">
      <c r="A1204">
        <v>2038</v>
      </c>
      <c r="B1204" t="s">
        <v>13</v>
      </c>
      <c r="C1204" t="s">
        <v>4</v>
      </c>
      <c r="D1204" t="s">
        <v>18</v>
      </c>
      <c r="E1204" t="s">
        <v>483</v>
      </c>
      <c r="F1204" t="s">
        <v>85</v>
      </c>
      <c r="G1204">
        <v>3217.8690369252022</v>
      </c>
      <c r="H1204">
        <v>274859.68267713313</v>
      </c>
      <c r="I1204">
        <v>90703.695283453941</v>
      </c>
      <c r="J1204">
        <v>0</v>
      </c>
      <c r="K1204">
        <v>0</v>
      </c>
      <c r="L1204">
        <v>1</v>
      </c>
    </row>
    <row r="1205" spans="1:12" x14ac:dyDescent="0.35">
      <c r="A1205">
        <v>2038</v>
      </c>
      <c r="B1205" t="s">
        <v>13</v>
      </c>
      <c r="C1205" t="s">
        <v>4</v>
      </c>
      <c r="D1205" t="s">
        <v>18</v>
      </c>
      <c r="E1205" t="s">
        <v>483</v>
      </c>
      <c r="F1205" t="s">
        <v>86</v>
      </c>
      <c r="G1205">
        <v>3217.8690369252022</v>
      </c>
      <c r="H1205">
        <v>274859.68267713313</v>
      </c>
      <c r="I1205">
        <v>90703.695283453941</v>
      </c>
      <c r="J1205">
        <v>0</v>
      </c>
      <c r="K1205">
        <v>0</v>
      </c>
      <c r="L1205">
        <v>1</v>
      </c>
    </row>
    <row r="1206" spans="1:12" x14ac:dyDescent="0.35">
      <c r="A1206">
        <v>2038</v>
      </c>
      <c r="B1206" t="s">
        <v>13</v>
      </c>
      <c r="C1206" t="s">
        <v>4</v>
      </c>
      <c r="D1206" t="s">
        <v>18</v>
      </c>
      <c r="E1206" t="s">
        <v>490</v>
      </c>
      <c r="F1206" t="s">
        <v>82</v>
      </c>
      <c r="G1206">
        <v>3217.8690369252022</v>
      </c>
      <c r="H1206">
        <v>274859.68267713313</v>
      </c>
      <c r="I1206">
        <v>90703.695283453941</v>
      </c>
      <c r="J1206">
        <v>0</v>
      </c>
      <c r="K1206">
        <v>0</v>
      </c>
      <c r="L1206">
        <v>1</v>
      </c>
    </row>
    <row r="1207" spans="1:12" x14ac:dyDescent="0.35">
      <c r="A1207">
        <v>2038</v>
      </c>
      <c r="B1207" t="s">
        <v>13</v>
      </c>
      <c r="C1207" t="s">
        <v>9</v>
      </c>
      <c r="D1207" t="s">
        <v>16</v>
      </c>
      <c r="E1207" t="s">
        <v>483</v>
      </c>
      <c r="F1207" t="s">
        <v>80</v>
      </c>
      <c r="G1207">
        <v>1181.563288191096</v>
      </c>
      <c r="H1207">
        <v>0</v>
      </c>
      <c r="I1207">
        <v>0</v>
      </c>
      <c r="J1207">
        <v>1181.563288191096</v>
      </c>
      <c r="K1207">
        <v>1181.563288191096</v>
      </c>
      <c r="L1207">
        <v>1</v>
      </c>
    </row>
    <row r="1208" spans="1:12" x14ac:dyDescent="0.35">
      <c r="A1208">
        <v>2038</v>
      </c>
      <c r="B1208" t="s">
        <v>13</v>
      </c>
      <c r="C1208" t="s">
        <v>9</v>
      </c>
      <c r="D1208" t="s">
        <v>16</v>
      </c>
      <c r="E1208" t="s">
        <v>483</v>
      </c>
      <c r="F1208" t="s">
        <v>81</v>
      </c>
      <c r="G1208">
        <v>1181.563288191096</v>
      </c>
      <c r="H1208">
        <v>0</v>
      </c>
      <c r="I1208">
        <v>0</v>
      </c>
      <c r="J1208">
        <v>1181.563288191096</v>
      </c>
      <c r="K1208">
        <v>1181.563288191096</v>
      </c>
      <c r="L1208">
        <v>1</v>
      </c>
    </row>
    <row r="1209" spans="1:12" x14ac:dyDescent="0.35">
      <c r="A1209">
        <v>2038</v>
      </c>
      <c r="B1209" t="s">
        <v>13</v>
      </c>
      <c r="C1209" t="s">
        <v>9</v>
      </c>
      <c r="D1209" t="s">
        <v>18</v>
      </c>
      <c r="E1209" t="s">
        <v>483</v>
      </c>
      <c r="F1209" t="s">
        <v>85</v>
      </c>
      <c r="G1209">
        <v>1181.563288191096</v>
      </c>
      <c r="H1209">
        <v>274859.68267713313</v>
      </c>
      <c r="I1209">
        <v>90703.695283453941</v>
      </c>
      <c r="J1209">
        <v>0</v>
      </c>
      <c r="K1209">
        <v>0</v>
      </c>
      <c r="L1209">
        <v>1</v>
      </c>
    </row>
    <row r="1210" spans="1:12" x14ac:dyDescent="0.35">
      <c r="A1210">
        <v>2038</v>
      </c>
      <c r="B1210" t="s">
        <v>13</v>
      </c>
      <c r="C1210" t="s">
        <v>9</v>
      </c>
      <c r="D1210" t="s">
        <v>18</v>
      </c>
      <c r="E1210" t="s">
        <v>483</v>
      </c>
      <c r="F1210" t="s">
        <v>86</v>
      </c>
      <c r="G1210">
        <v>1181.563288191096</v>
      </c>
      <c r="H1210">
        <v>274859.68267713313</v>
      </c>
      <c r="I1210">
        <v>90703.695283453941</v>
      </c>
      <c r="J1210">
        <v>0</v>
      </c>
      <c r="K1210">
        <v>0</v>
      </c>
      <c r="L1210">
        <v>1</v>
      </c>
    </row>
    <row r="1211" spans="1:12" x14ac:dyDescent="0.35">
      <c r="A1211">
        <v>2038</v>
      </c>
      <c r="B1211" t="s">
        <v>13</v>
      </c>
      <c r="C1211" t="s">
        <v>9</v>
      </c>
      <c r="D1211" t="s">
        <v>18</v>
      </c>
      <c r="E1211" t="s">
        <v>490</v>
      </c>
      <c r="F1211" t="s">
        <v>82</v>
      </c>
      <c r="G1211">
        <v>1181.563288191096</v>
      </c>
      <c r="H1211">
        <v>274859.68267713313</v>
      </c>
      <c r="I1211">
        <v>90703.695283453941</v>
      </c>
      <c r="J1211">
        <v>0</v>
      </c>
      <c r="K1211">
        <v>0</v>
      </c>
      <c r="L1211">
        <v>1</v>
      </c>
    </row>
    <row r="1212" spans="1:12" x14ac:dyDescent="0.35">
      <c r="A1212">
        <v>2038</v>
      </c>
      <c r="B1212" t="s">
        <v>13</v>
      </c>
      <c r="C1212" t="s">
        <v>10</v>
      </c>
      <c r="D1212" t="s">
        <v>16</v>
      </c>
      <c r="E1212" t="s">
        <v>483</v>
      </c>
      <c r="F1212" t="s">
        <v>80</v>
      </c>
      <c r="G1212">
        <v>3068.3631462626749</v>
      </c>
      <c r="H1212">
        <v>0</v>
      </c>
      <c r="I1212">
        <v>0</v>
      </c>
      <c r="J1212">
        <v>3068.3631462626749</v>
      </c>
      <c r="K1212">
        <v>3068.3631462626749</v>
      </c>
      <c r="L1212">
        <v>1</v>
      </c>
    </row>
    <row r="1213" spans="1:12" x14ac:dyDescent="0.35">
      <c r="A1213">
        <v>2038</v>
      </c>
      <c r="B1213" t="s">
        <v>13</v>
      </c>
      <c r="C1213" t="s">
        <v>10</v>
      </c>
      <c r="D1213" t="s">
        <v>16</v>
      </c>
      <c r="E1213" t="s">
        <v>483</v>
      </c>
      <c r="F1213" t="s">
        <v>81</v>
      </c>
      <c r="G1213">
        <v>3068.3631462626749</v>
      </c>
      <c r="H1213">
        <v>0</v>
      </c>
      <c r="I1213">
        <v>0</v>
      </c>
      <c r="J1213">
        <v>3068.3631462626749</v>
      </c>
      <c r="K1213">
        <v>3068.3631462626749</v>
      </c>
      <c r="L1213">
        <v>1</v>
      </c>
    </row>
    <row r="1214" spans="1:12" x14ac:dyDescent="0.35">
      <c r="A1214">
        <v>2038</v>
      </c>
      <c r="B1214" t="s">
        <v>13</v>
      </c>
      <c r="C1214" t="s">
        <v>10</v>
      </c>
      <c r="D1214" t="s">
        <v>18</v>
      </c>
      <c r="E1214" t="s">
        <v>483</v>
      </c>
      <c r="F1214" t="s">
        <v>85</v>
      </c>
      <c r="G1214">
        <v>3068.3631462626749</v>
      </c>
      <c r="H1214">
        <v>274859.68267713313</v>
      </c>
      <c r="I1214">
        <v>90703.695283453941</v>
      </c>
      <c r="J1214">
        <v>0</v>
      </c>
      <c r="K1214">
        <v>0</v>
      </c>
      <c r="L1214">
        <v>1</v>
      </c>
    </row>
    <row r="1215" spans="1:12" x14ac:dyDescent="0.35">
      <c r="A1215">
        <v>2038</v>
      </c>
      <c r="B1215" t="s">
        <v>13</v>
      </c>
      <c r="C1215" t="s">
        <v>10</v>
      </c>
      <c r="D1215" t="s">
        <v>18</v>
      </c>
      <c r="E1215" t="s">
        <v>483</v>
      </c>
      <c r="F1215" t="s">
        <v>86</v>
      </c>
      <c r="G1215">
        <v>3068.3631462626749</v>
      </c>
      <c r="H1215">
        <v>274859.68267713313</v>
      </c>
      <c r="I1215">
        <v>90703.695283453941</v>
      </c>
      <c r="J1215">
        <v>0</v>
      </c>
      <c r="K1215">
        <v>0</v>
      </c>
      <c r="L1215">
        <v>1</v>
      </c>
    </row>
    <row r="1216" spans="1:12" x14ac:dyDescent="0.35">
      <c r="A1216">
        <v>2038</v>
      </c>
      <c r="B1216" t="s">
        <v>13</v>
      </c>
      <c r="C1216" t="s">
        <v>10</v>
      </c>
      <c r="D1216" t="s">
        <v>18</v>
      </c>
      <c r="E1216" t="s">
        <v>490</v>
      </c>
      <c r="F1216" t="s">
        <v>82</v>
      </c>
      <c r="G1216">
        <v>3068.3631462626749</v>
      </c>
      <c r="H1216">
        <v>274859.68267713313</v>
      </c>
      <c r="I1216">
        <v>90703.695283453941</v>
      </c>
      <c r="J1216">
        <v>0</v>
      </c>
      <c r="K1216">
        <v>0</v>
      </c>
      <c r="L1216">
        <v>1</v>
      </c>
    </row>
    <row r="1217" spans="1:12" x14ac:dyDescent="0.35">
      <c r="A1217">
        <v>2038</v>
      </c>
      <c r="B1217" t="s">
        <v>12</v>
      </c>
      <c r="C1217" t="s">
        <v>4</v>
      </c>
      <c r="D1217" t="s">
        <v>16</v>
      </c>
      <c r="E1217" t="s">
        <v>483</v>
      </c>
      <c r="F1217" t="s">
        <v>80</v>
      </c>
      <c r="G1217">
        <v>78705.260511419096</v>
      </c>
      <c r="H1217">
        <v>0</v>
      </c>
      <c r="I1217">
        <v>0</v>
      </c>
      <c r="J1217">
        <v>112569.485962926</v>
      </c>
      <c r="K1217">
        <v>78705.260511419096</v>
      </c>
      <c r="L1217">
        <v>0.69917047091553897</v>
      </c>
    </row>
    <row r="1218" spans="1:12" x14ac:dyDescent="0.35">
      <c r="A1218">
        <v>2038</v>
      </c>
      <c r="B1218" t="s">
        <v>12</v>
      </c>
      <c r="C1218" t="s">
        <v>4</v>
      </c>
      <c r="D1218" t="s">
        <v>16</v>
      </c>
      <c r="E1218" t="s">
        <v>483</v>
      </c>
      <c r="F1218" t="s">
        <v>81</v>
      </c>
      <c r="G1218">
        <v>78705.260511419096</v>
      </c>
      <c r="H1218">
        <v>42575</v>
      </c>
      <c r="I1218">
        <v>29767.182799229071</v>
      </c>
      <c r="J1218">
        <v>69994.485962925959</v>
      </c>
      <c r="K1218">
        <v>48938.077712190017</v>
      </c>
      <c r="L1218">
        <v>0.69917047091553897</v>
      </c>
    </row>
    <row r="1219" spans="1:12" x14ac:dyDescent="0.35">
      <c r="A1219">
        <v>2038</v>
      </c>
      <c r="B1219" t="s">
        <v>12</v>
      </c>
      <c r="C1219" t="s">
        <v>4</v>
      </c>
      <c r="D1219" t="s">
        <v>18</v>
      </c>
      <c r="E1219" t="s">
        <v>483</v>
      </c>
      <c r="F1219" t="s">
        <v>85</v>
      </c>
      <c r="G1219">
        <v>78705.260511419096</v>
      </c>
      <c r="H1219">
        <v>346279.88391568093</v>
      </c>
      <c r="I1219">
        <v>242108.66950590469</v>
      </c>
      <c r="J1219">
        <v>0</v>
      </c>
      <c r="K1219">
        <v>0</v>
      </c>
      <c r="L1219">
        <v>0.69917047091553897</v>
      </c>
    </row>
    <row r="1220" spans="1:12" x14ac:dyDescent="0.35">
      <c r="A1220">
        <v>2038</v>
      </c>
      <c r="B1220" t="s">
        <v>12</v>
      </c>
      <c r="C1220" t="s">
        <v>4</v>
      </c>
      <c r="D1220" t="s">
        <v>18</v>
      </c>
      <c r="E1220" t="s">
        <v>483</v>
      </c>
      <c r="F1220" t="s">
        <v>86</v>
      </c>
      <c r="G1220">
        <v>78705.260511419096</v>
      </c>
      <c r="H1220">
        <v>346279.88391568093</v>
      </c>
      <c r="I1220">
        <v>242108.66950590469</v>
      </c>
      <c r="J1220">
        <v>0</v>
      </c>
      <c r="K1220">
        <v>0</v>
      </c>
      <c r="L1220">
        <v>0.69917047091553897</v>
      </c>
    </row>
    <row r="1221" spans="1:12" x14ac:dyDescent="0.35">
      <c r="A1221">
        <v>2038</v>
      </c>
      <c r="B1221" t="s">
        <v>12</v>
      </c>
      <c r="C1221" t="s">
        <v>4</v>
      </c>
      <c r="D1221" t="s">
        <v>18</v>
      </c>
      <c r="E1221" t="s">
        <v>490</v>
      </c>
      <c r="F1221" t="s">
        <v>82</v>
      </c>
      <c r="G1221">
        <v>78705.260511419096</v>
      </c>
      <c r="H1221">
        <v>346279.88391568093</v>
      </c>
      <c r="I1221">
        <v>242108.66950590469</v>
      </c>
      <c r="J1221">
        <v>0</v>
      </c>
      <c r="K1221">
        <v>0</v>
      </c>
      <c r="L1221">
        <v>0.69917047091553897</v>
      </c>
    </row>
    <row r="1222" spans="1:12" x14ac:dyDescent="0.35">
      <c r="A1222">
        <v>2038</v>
      </c>
      <c r="B1222" t="s">
        <v>12</v>
      </c>
      <c r="C1222" t="s">
        <v>9</v>
      </c>
      <c r="D1222" t="s">
        <v>16</v>
      </c>
      <c r="E1222" t="s">
        <v>483</v>
      </c>
      <c r="F1222" t="s">
        <v>80</v>
      </c>
      <c r="G1222">
        <v>28899.636790896191</v>
      </c>
      <c r="H1222">
        <v>0</v>
      </c>
      <c r="I1222">
        <v>0</v>
      </c>
      <c r="J1222">
        <v>41334.178134058122</v>
      </c>
      <c r="K1222">
        <v>28899.636790896191</v>
      </c>
      <c r="L1222">
        <v>0.69917047091553897</v>
      </c>
    </row>
    <row r="1223" spans="1:12" x14ac:dyDescent="0.35">
      <c r="A1223">
        <v>2038</v>
      </c>
      <c r="B1223" t="s">
        <v>12</v>
      </c>
      <c r="C1223" t="s">
        <v>9</v>
      </c>
      <c r="D1223" t="s">
        <v>16</v>
      </c>
      <c r="E1223" t="s">
        <v>483</v>
      </c>
      <c r="F1223" t="s">
        <v>81</v>
      </c>
      <c r="G1223">
        <v>28899.636790896191</v>
      </c>
      <c r="H1223">
        <v>42575</v>
      </c>
      <c r="I1223">
        <v>29767.182799229071</v>
      </c>
      <c r="J1223">
        <v>0</v>
      </c>
      <c r="K1223">
        <v>0</v>
      </c>
      <c r="L1223">
        <v>0.69917047091553897</v>
      </c>
    </row>
    <row r="1224" spans="1:12" x14ac:dyDescent="0.35">
      <c r="A1224">
        <v>2038</v>
      </c>
      <c r="B1224" t="s">
        <v>12</v>
      </c>
      <c r="C1224" t="s">
        <v>9</v>
      </c>
      <c r="D1224" t="s">
        <v>18</v>
      </c>
      <c r="E1224" t="s">
        <v>483</v>
      </c>
      <c r="F1224" t="s">
        <v>85</v>
      </c>
      <c r="G1224">
        <v>28899.636790896191</v>
      </c>
      <c r="H1224">
        <v>346279.88391568093</v>
      </c>
      <c r="I1224">
        <v>242108.66950590469</v>
      </c>
      <c r="J1224">
        <v>0</v>
      </c>
      <c r="K1224">
        <v>0</v>
      </c>
      <c r="L1224">
        <v>0.69917047091553897</v>
      </c>
    </row>
    <row r="1225" spans="1:12" x14ac:dyDescent="0.35">
      <c r="A1225">
        <v>2038</v>
      </c>
      <c r="B1225" t="s">
        <v>12</v>
      </c>
      <c r="C1225" t="s">
        <v>9</v>
      </c>
      <c r="D1225" t="s">
        <v>18</v>
      </c>
      <c r="E1225" t="s">
        <v>483</v>
      </c>
      <c r="F1225" t="s">
        <v>86</v>
      </c>
      <c r="G1225">
        <v>28899.636790896191</v>
      </c>
      <c r="H1225">
        <v>346279.88391568093</v>
      </c>
      <c r="I1225">
        <v>242108.66950590469</v>
      </c>
      <c r="J1225">
        <v>0</v>
      </c>
      <c r="K1225">
        <v>0</v>
      </c>
      <c r="L1225">
        <v>0.69917047091553897</v>
      </c>
    </row>
    <row r="1226" spans="1:12" x14ac:dyDescent="0.35">
      <c r="A1226">
        <v>2038</v>
      </c>
      <c r="B1226" t="s">
        <v>12</v>
      </c>
      <c r="C1226" t="s">
        <v>9</v>
      </c>
      <c r="D1226" t="s">
        <v>18</v>
      </c>
      <c r="E1226" t="s">
        <v>490</v>
      </c>
      <c r="F1226" t="s">
        <v>82</v>
      </c>
      <c r="G1226">
        <v>28899.636790896191</v>
      </c>
      <c r="H1226">
        <v>346279.88391568093</v>
      </c>
      <c r="I1226">
        <v>242108.66950590469</v>
      </c>
      <c r="J1226">
        <v>0</v>
      </c>
      <c r="K1226">
        <v>0</v>
      </c>
      <c r="L1226">
        <v>0.69917047091553897</v>
      </c>
    </row>
    <row r="1227" spans="1:12" x14ac:dyDescent="0.35">
      <c r="A1227">
        <v>2038</v>
      </c>
      <c r="B1227" t="s">
        <v>12</v>
      </c>
      <c r="C1227" t="s">
        <v>10</v>
      </c>
      <c r="D1227" t="s">
        <v>16</v>
      </c>
      <c r="E1227" t="s">
        <v>483</v>
      </c>
      <c r="F1227" t="s">
        <v>80</v>
      </c>
      <c r="G1227">
        <v>75048.523727678054</v>
      </c>
      <c r="H1227">
        <v>0</v>
      </c>
      <c r="I1227">
        <v>0</v>
      </c>
      <c r="J1227">
        <v>107339.3783770711</v>
      </c>
      <c r="K1227">
        <v>75048.523727678054</v>
      </c>
      <c r="L1227">
        <v>0.69917047091553897</v>
      </c>
    </row>
    <row r="1228" spans="1:12" x14ac:dyDescent="0.35">
      <c r="A1228">
        <v>2038</v>
      </c>
      <c r="B1228" t="s">
        <v>12</v>
      </c>
      <c r="C1228" t="s">
        <v>10</v>
      </c>
      <c r="D1228" t="s">
        <v>16</v>
      </c>
      <c r="E1228" t="s">
        <v>483</v>
      </c>
      <c r="F1228" t="s">
        <v>81</v>
      </c>
      <c r="G1228">
        <v>75048.523727678054</v>
      </c>
      <c r="H1228">
        <v>42575</v>
      </c>
      <c r="I1228">
        <v>29767.182799229071</v>
      </c>
      <c r="J1228">
        <v>64764.378377071152</v>
      </c>
      <c r="K1228">
        <v>45281.340928448983</v>
      </c>
      <c r="L1228">
        <v>0.69917047091553897</v>
      </c>
    </row>
    <row r="1229" spans="1:12" x14ac:dyDescent="0.35">
      <c r="A1229">
        <v>2038</v>
      </c>
      <c r="B1229" t="s">
        <v>12</v>
      </c>
      <c r="C1229" t="s">
        <v>10</v>
      </c>
      <c r="D1229" t="s">
        <v>18</v>
      </c>
      <c r="E1229" t="s">
        <v>483</v>
      </c>
      <c r="F1229" t="s">
        <v>85</v>
      </c>
      <c r="G1229">
        <v>75048.523727678054</v>
      </c>
      <c r="H1229">
        <v>346279.88391568093</v>
      </c>
      <c r="I1229">
        <v>242108.66950590469</v>
      </c>
      <c r="J1229">
        <v>0</v>
      </c>
      <c r="K1229">
        <v>0</v>
      </c>
      <c r="L1229">
        <v>0.69917047091553897</v>
      </c>
    </row>
    <row r="1230" spans="1:12" x14ac:dyDescent="0.35">
      <c r="A1230">
        <v>2038</v>
      </c>
      <c r="B1230" t="s">
        <v>12</v>
      </c>
      <c r="C1230" t="s">
        <v>10</v>
      </c>
      <c r="D1230" t="s">
        <v>18</v>
      </c>
      <c r="E1230" t="s">
        <v>483</v>
      </c>
      <c r="F1230" t="s">
        <v>86</v>
      </c>
      <c r="G1230">
        <v>75048.523727678054</v>
      </c>
      <c r="H1230">
        <v>346279.88391568093</v>
      </c>
      <c r="I1230">
        <v>242108.66950590469</v>
      </c>
      <c r="J1230">
        <v>0</v>
      </c>
      <c r="K1230">
        <v>0</v>
      </c>
      <c r="L1230">
        <v>0.69917047091553897</v>
      </c>
    </row>
    <row r="1231" spans="1:12" x14ac:dyDescent="0.35">
      <c r="A1231">
        <v>2038</v>
      </c>
      <c r="B1231" t="s">
        <v>12</v>
      </c>
      <c r="C1231" t="s">
        <v>10</v>
      </c>
      <c r="D1231" t="s">
        <v>18</v>
      </c>
      <c r="E1231" t="s">
        <v>490</v>
      </c>
      <c r="F1231" t="s">
        <v>82</v>
      </c>
      <c r="G1231">
        <v>75048.523727678054</v>
      </c>
      <c r="H1231">
        <v>346279.88391568093</v>
      </c>
      <c r="I1231">
        <v>242108.66950590469</v>
      </c>
      <c r="J1231">
        <v>0</v>
      </c>
      <c r="K1231">
        <v>0</v>
      </c>
      <c r="L1231">
        <v>0.69917047091553897</v>
      </c>
    </row>
    <row r="1232" spans="1:12" x14ac:dyDescent="0.35">
      <c r="A1232">
        <v>2038</v>
      </c>
      <c r="B1232" t="s">
        <v>11</v>
      </c>
      <c r="C1232" t="s">
        <v>4</v>
      </c>
      <c r="D1232" t="s">
        <v>16</v>
      </c>
      <c r="E1232" t="s">
        <v>483</v>
      </c>
      <c r="F1232" t="s">
        <v>80</v>
      </c>
      <c r="G1232">
        <v>6459.3329184039349</v>
      </c>
      <c r="H1232">
        <v>0</v>
      </c>
      <c r="I1232">
        <v>0</v>
      </c>
      <c r="J1232">
        <v>10791.74437735942</v>
      </c>
      <c r="K1232">
        <v>6459.3329184039349</v>
      </c>
      <c r="L1232">
        <v>0.59854391398996798</v>
      </c>
    </row>
    <row r="1233" spans="1:12" x14ac:dyDescent="0.35">
      <c r="A1233">
        <v>2038</v>
      </c>
      <c r="B1233" t="s">
        <v>11</v>
      </c>
      <c r="C1233" t="s">
        <v>4</v>
      </c>
      <c r="D1233" t="s">
        <v>16</v>
      </c>
      <c r="E1233" t="s">
        <v>483</v>
      </c>
      <c r="F1233" t="s">
        <v>81</v>
      </c>
      <c r="G1233">
        <v>6459.3329184039349</v>
      </c>
      <c r="H1233">
        <v>0</v>
      </c>
      <c r="I1233">
        <v>0</v>
      </c>
      <c r="J1233">
        <v>10791.74437735942</v>
      </c>
      <c r="K1233">
        <v>6459.3329184039349</v>
      </c>
      <c r="L1233">
        <v>0.59854391398996798</v>
      </c>
    </row>
    <row r="1234" spans="1:12" x14ac:dyDescent="0.35">
      <c r="A1234">
        <v>2038</v>
      </c>
      <c r="B1234" t="s">
        <v>11</v>
      </c>
      <c r="C1234" t="s">
        <v>4</v>
      </c>
      <c r="D1234" t="s">
        <v>18</v>
      </c>
      <c r="E1234" t="s">
        <v>483</v>
      </c>
      <c r="F1234" t="s">
        <v>85</v>
      </c>
      <c r="G1234">
        <v>6459.3329184039349</v>
      </c>
      <c r="H1234">
        <v>220.01865184508691</v>
      </c>
      <c r="I1234">
        <v>131.6908250261543</v>
      </c>
      <c r="J1234">
        <v>10571.72572551433</v>
      </c>
      <c r="K1234">
        <v>6327.6420933777808</v>
      </c>
      <c r="L1234">
        <v>0.59854391398996798</v>
      </c>
    </row>
    <row r="1235" spans="1:12" x14ac:dyDescent="0.35">
      <c r="A1235">
        <v>2038</v>
      </c>
      <c r="B1235" t="s">
        <v>11</v>
      </c>
      <c r="C1235" t="s">
        <v>4</v>
      </c>
      <c r="D1235" t="s">
        <v>18</v>
      </c>
      <c r="E1235" t="s">
        <v>483</v>
      </c>
      <c r="F1235" t="s">
        <v>86</v>
      </c>
      <c r="G1235">
        <v>6459.3329184039349</v>
      </c>
      <c r="H1235">
        <v>220.01865184508691</v>
      </c>
      <c r="I1235">
        <v>131.6908250261543</v>
      </c>
      <c r="J1235">
        <v>10571.72572551433</v>
      </c>
      <c r="K1235">
        <v>6327.6420933777808</v>
      </c>
      <c r="L1235">
        <v>0.59854391398996798</v>
      </c>
    </row>
    <row r="1236" spans="1:12" x14ac:dyDescent="0.35">
      <c r="A1236">
        <v>2038</v>
      </c>
      <c r="B1236" t="s">
        <v>11</v>
      </c>
      <c r="C1236" t="s">
        <v>4</v>
      </c>
      <c r="D1236" t="s">
        <v>18</v>
      </c>
      <c r="E1236" t="s">
        <v>490</v>
      </c>
      <c r="F1236" t="s">
        <v>82</v>
      </c>
      <c r="G1236">
        <v>6459.3329184039349</v>
      </c>
      <c r="H1236">
        <v>220.01865184508691</v>
      </c>
      <c r="I1236">
        <v>131.6908250261543</v>
      </c>
      <c r="J1236">
        <v>10571.72572551433</v>
      </c>
      <c r="K1236">
        <v>6327.6420933777808</v>
      </c>
      <c r="L1236">
        <v>0.59854391398996798</v>
      </c>
    </row>
    <row r="1237" spans="1:12" x14ac:dyDescent="0.35">
      <c r="A1237">
        <v>2038</v>
      </c>
      <c r="B1237" t="s">
        <v>11</v>
      </c>
      <c r="C1237" t="s">
        <v>9</v>
      </c>
      <c r="D1237" t="s">
        <v>16</v>
      </c>
      <c r="E1237" t="s">
        <v>483</v>
      </c>
      <c r="F1237" t="s">
        <v>80</v>
      </c>
      <c r="G1237">
        <v>2100.0711128337948</v>
      </c>
      <c r="H1237">
        <v>0</v>
      </c>
      <c r="I1237">
        <v>0</v>
      </c>
      <c r="J1237">
        <v>3508.6333078461371</v>
      </c>
      <c r="K1237">
        <v>2100.0711128337948</v>
      </c>
      <c r="L1237">
        <v>0.59854391398996798</v>
      </c>
    </row>
    <row r="1238" spans="1:12" x14ac:dyDescent="0.35">
      <c r="A1238">
        <v>2038</v>
      </c>
      <c r="B1238" t="s">
        <v>11</v>
      </c>
      <c r="C1238" t="s">
        <v>9</v>
      </c>
      <c r="D1238" t="s">
        <v>16</v>
      </c>
      <c r="E1238" t="s">
        <v>483</v>
      </c>
      <c r="F1238" t="s">
        <v>81</v>
      </c>
      <c r="G1238">
        <v>2100.0711128337948</v>
      </c>
      <c r="H1238">
        <v>0</v>
      </c>
      <c r="I1238">
        <v>0</v>
      </c>
      <c r="J1238">
        <v>3508.6333078461371</v>
      </c>
      <c r="K1238">
        <v>2100.0711128337948</v>
      </c>
      <c r="L1238">
        <v>0.59854391398996798</v>
      </c>
    </row>
    <row r="1239" spans="1:12" x14ac:dyDescent="0.35">
      <c r="A1239">
        <v>2038</v>
      </c>
      <c r="B1239" t="s">
        <v>11</v>
      </c>
      <c r="C1239" t="s">
        <v>9</v>
      </c>
      <c r="D1239" t="s">
        <v>18</v>
      </c>
      <c r="E1239" t="s">
        <v>483</v>
      </c>
      <c r="F1239" t="s">
        <v>85</v>
      </c>
      <c r="G1239">
        <v>2100.0711128337948</v>
      </c>
      <c r="H1239">
        <v>220.01865184508691</v>
      </c>
      <c r="I1239">
        <v>131.6908250261543</v>
      </c>
      <c r="J1239">
        <v>3288.6146560010502</v>
      </c>
      <c r="K1239">
        <v>1968.380287807641</v>
      </c>
      <c r="L1239">
        <v>0.59854391398996798</v>
      </c>
    </row>
    <row r="1240" spans="1:12" x14ac:dyDescent="0.35">
      <c r="A1240">
        <v>2038</v>
      </c>
      <c r="B1240" t="s">
        <v>11</v>
      </c>
      <c r="C1240" t="s">
        <v>9</v>
      </c>
      <c r="D1240" t="s">
        <v>18</v>
      </c>
      <c r="E1240" t="s">
        <v>483</v>
      </c>
      <c r="F1240" t="s">
        <v>86</v>
      </c>
      <c r="G1240">
        <v>2100.0711128337948</v>
      </c>
      <c r="H1240">
        <v>220.01865184508691</v>
      </c>
      <c r="I1240">
        <v>131.6908250261543</v>
      </c>
      <c r="J1240">
        <v>3288.6146560010502</v>
      </c>
      <c r="K1240">
        <v>1968.380287807641</v>
      </c>
      <c r="L1240">
        <v>0.59854391398996798</v>
      </c>
    </row>
    <row r="1241" spans="1:12" x14ac:dyDescent="0.35">
      <c r="A1241">
        <v>2038</v>
      </c>
      <c r="B1241" t="s">
        <v>11</v>
      </c>
      <c r="C1241" t="s">
        <v>9</v>
      </c>
      <c r="D1241" t="s">
        <v>18</v>
      </c>
      <c r="E1241" t="s">
        <v>490</v>
      </c>
      <c r="F1241" t="s">
        <v>82</v>
      </c>
      <c r="G1241">
        <v>2100.0711128337948</v>
      </c>
      <c r="H1241">
        <v>220.01865184508691</v>
      </c>
      <c r="I1241">
        <v>131.6908250261543</v>
      </c>
      <c r="J1241">
        <v>3288.6146560010502</v>
      </c>
      <c r="K1241">
        <v>1968.380287807641</v>
      </c>
      <c r="L1241">
        <v>0.59854391398996798</v>
      </c>
    </row>
    <row r="1242" spans="1:12" x14ac:dyDescent="0.35">
      <c r="A1242">
        <v>2038</v>
      </c>
      <c r="B1242" t="s">
        <v>11</v>
      </c>
      <c r="C1242" t="s">
        <v>10</v>
      </c>
      <c r="D1242" t="s">
        <v>16</v>
      </c>
      <c r="E1242" t="s">
        <v>483</v>
      </c>
      <c r="F1242" t="s">
        <v>80</v>
      </c>
      <c r="G1242">
        <v>6193.6061432774541</v>
      </c>
      <c r="H1242">
        <v>0</v>
      </c>
      <c r="I1242">
        <v>0</v>
      </c>
      <c r="J1242">
        <v>10347.789023515599</v>
      </c>
      <c r="K1242">
        <v>6193.6061432774541</v>
      </c>
      <c r="L1242">
        <v>0.59854391398996798</v>
      </c>
    </row>
    <row r="1243" spans="1:12" x14ac:dyDescent="0.35">
      <c r="A1243">
        <v>2038</v>
      </c>
      <c r="B1243" t="s">
        <v>11</v>
      </c>
      <c r="C1243" t="s">
        <v>10</v>
      </c>
      <c r="D1243" t="s">
        <v>16</v>
      </c>
      <c r="E1243" t="s">
        <v>483</v>
      </c>
      <c r="F1243" t="s">
        <v>81</v>
      </c>
      <c r="G1243">
        <v>6193.6061432774541</v>
      </c>
      <c r="H1243">
        <v>0</v>
      </c>
      <c r="I1243">
        <v>0</v>
      </c>
      <c r="J1243">
        <v>10347.789023515599</v>
      </c>
      <c r="K1243">
        <v>6193.6061432774541</v>
      </c>
      <c r="L1243">
        <v>0.59854391398996798</v>
      </c>
    </row>
    <row r="1244" spans="1:12" x14ac:dyDescent="0.35">
      <c r="A1244">
        <v>2038</v>
      </c>
      <c r="B1244" t="s">
        <v>11</v>
      </c>
      <c r="C1244" t="s">
        <v>10</v>
      </c>
      <c r="D1244" t="s">
        <v>18</v>
      </c>
      <c r="E1244" t="s">
        <v>483</v>
      </c>
      <c r="F1244" t="s">
        <v>85</v>
      </c>
      <c r="G1244">
        <v>6193.6061432774541</v>
      </c>
      <c r="H1244">
        <v>220.01865184508691</v>
      </c>
      <c r="I1244">
        <v>131.6908250261543</v>
      </c>
      <c r="J1244">
        <v>10127.770371670509</v>
      </c>
      <c r="K1244">
        <v>6061.9153182513001</v>
      </c>
      <c r="L1244">
        <v>0.59854391398996798</v>
      </c>
    </row>
    <row r="1245" spans="1:12" x14ac:dyDescent="0.35">
      <c r="A1245">
        <v>2038</v>
      </c>
      <c r="B1245" t="s">
        <v>11</v>
      </c>
      <c r="C1245" t="s">
        <v>10</v>
      </c>
      <c r="D1245" t="s">
        <v>18</v>
      </c>
      <c r="E1245" t="s">
        <v>483</v>
      </c>
      <c r="F1245" t="s">
        <v>86</v>
      </c>
      <c r="G1245">
        <v>6193.6061432774541</v>
      </c>
      <c r="H1245">
        <v>220.01865184508691</v>
      </c>
      <c r="I1245">
        <v>131.6908250261543</v>
      </c>
      <c r="J1245">
        <v>10127.770371670509</v>
      </c>
      <c r="K1245">
        <v>6061.9153182513001</v>
      </c>
      <c r="L1245">
        <v>0.59854391398996798</v>
      </c>
    </row>
    <row r="1246" spans="1:12" x14ac:dyDescent="0.35">
      <c r="A1246">
        <v>2038</v>
      </c>
      <c r="B1246" t="s">
        <v>11</v>
      </c>
      <c r="C1246" t="s">
        <v>10</v>
      </c>
      <c r="D1246" t="s">
        <v>18</v>
      </c>
      <c r="E1246" t="s">
        <v>490</v>
      </c>
      <c r="F1246" t="s">
        <v>82</v>
      </c>
      <c r="G1246">
        <v>6193.6061432774541</v>
      </c>
      <c r="H1246">
        <v>220.01865184508691</v>
      </c>
      <c r="I1246">
        <v>131.6908250261543</v>
      </c>
      <c r="J1246">
        <v>10127.770371670509</v>
      </c>
      <c r="K1246">
        <v>6061.9153182513001</v>
      </c>
      <c r="L1246">
        <v>0.59854391398996798</v>
      </c>
    </row>
    <row r="1247" spans="1:12" x14ac:dyDescent="0.35">
      <c r="A1247">
        <v>2038</v>
      </c>
      <c r="B1247" t="s">
        <v>8</v>
      </c>
      <c r="C1247" t="s">
        <v>4</v>
      </c>
      <c r="D1247" t="s">
        <v>16</v>
      </c>
      <c r="E1247" t="s">
        <v>483</v>
      </c>
      <c r="F1247" t="s">
        <v>80</v>
      </c>
      <c r="G1247">
        <v>187518.08361798589</v>
      </c>
      <c r="H1247">
        <v>0</v>
      </c>
      <c r="I1247">
        <v>0</v>
      </c>
      <c r="J1247">
        <v>238101.57305364381</v>
      </c>
      <c r="K1247">
        <v>187518.08361798589</v>
      </c>
      <c r="L1247">
        <v>0.787554996857322</v>
      </c>
    </row>
    <row r="1248" spans="1:12" x14ac:dyDescent="0.35">
      <c r="A1248">
        <v>2038</v>
      </c>
      <c r="B1248" t="s">
        <v>8</v>
      </c>
      <c r="C1248" t="s">
        <v>4</v>
      </c>
      <c r="D1248" t="s">
        <v>16</v>
      </c>
      <c r="E1248" t="s">
        <v>483</v>
      </c>
      <c r="F1248" t="s">
        <v>81</v>
      </c>
      <c r="G1248">
        <v>187518.08361798589</v>
      </c>
      <c r="H1248">
        <v>40840</v>
      </c>
      <c r="I1248">
        <v>22906.340951526421</v>
      </c>
      <c r="J1248">
        <v>197261.57305364381</v>
      </c>
      <c r="K1248">
        <v>164611.7426664595</v>
      </c>
      <c r="L1248">
        <v>0.787554996857322</v>
      </c>
    </row>
    <row r="1249" spans="1:12" x14ac:dyDescent="0.35">
      <c r="A1249">
        <v>2038</v>
      </c>
      <c r="B1249" t="s">
        <v>8</v>
      </c>
      <c r="C1249" t="s">
        <v>4</v>
      </c>
      <c r="D1249" t="s">
        <v>18</v>
      </c>
      <c r="E1249" t="s">
        <v>483</v>
      </c>
      <c r="F1249" t="s">
        <v>85</v>
      </c>
      <c r="G1249">
        <v>187518.08361798589</v>
      </c>
      <c r="H1249">
        <v>258091.26037832</v>
      </c>
      <c r="I1249">
        <v>144758.23718988689</v>
      </c>
      <c r="J1249">
        <v>0</v>
      </c>
      <c r="K1249">
        <v>42759.846428099001</v>
      </c>
      <c r="L1249">
        <v>0.787554996857322</v>
      </c>
    </row>
    <row r="1250" spans="1:12" x14ac:dyDescent="0.35">
      <c r="A1250">
        <v>2038</v>
      </c>
      <c r="B1250" t="s">
        <v>8</v>
      </c>
      <c r="C1250" t="s">
        <v>4</v>
      </c>
      <c r="D1250" t="s">
        <v>18</v>
      </c>
      <c r="E1250" t="s">
        <v>483</v>
      </c>
      <c r="F1250" t="s">
        <v>86</v>
      </c>
      <c r="G1250">
        <v>187518.08361798589</v>
      </c>
      <c r="H1250">
        <v>258091.26037832</v>
      </c>
      <c r="I1250">
        <v>144758.23718988689</v>
      </c>
      <c r="J1250">
        <v>0</v>
      </c>
      <c r="K1250">
        <v>42759.846428099001</v>
      </c>
      <c r="L1250">
        <v>0.787554996857322</v>
      </c>
    </row>
    <row r="1251" spans="1:12" x14ac:dyDescent="0.35">
      <c r="A1251">
        <v>2038</v>
      </c>
      <c r="B1251" t="s">
        <v>8</v>
      </c>
      <c r="C1251" t="s">
        <v>4</v>
      </c>
      <c r="D1251" t="s">
        <v>18</v>
      </c>
      <c r="E1251" t="s">
        <v>490</v>
      </c>
      <c r="F1251" t="s">
        <v>82</v>
      </c>
      <c r="G1251">
        <v>187518.08361798589</v>
      </c>
      <c r="H1251">
        <v>258091.26037832</v>
      </c>
      <c r="I1251">
        <v>203261.06175615019</v>
      </c>
      <c r="J1251">
        <v>0</v>
      </c>
      <c r="K1251">
        <v>0</v>
      </c>
      <c r="L1251">
        <v>0.787554996857322</v>
      </c>
    </row>
    <row r="1252" spans="1:12" x14ac:dyDescent="0.35">
      <c r="A1252">
        <v>2038</v>
      </c>
      <c r="B1252" t="s">
        <v>8</v>
      </c>
      <c r="C1252" t="s">
        <v>9</v>
      </c>
      <c r="D1252" t="s">
        <v>16</v>
      </c>
      <c r="E1252" t="s">
        <v>483</v>
      </c>
      <c r="F1252" t="s">
        <v>80</v>
      </c>
      <c r="G1252">
        <v>73173.599088158604</v>
      </c>
      <c r="H1252">
        <v>0</v>
      </c>
      <c r="I1252">
        <v>0</v>
      </c>
      <c r="J1252">
        <v>92912.367238037041</v>
      </c>
      <c r="K1252">
        <v>73173.599088158604</v>
      </c>
      <c r="L1252">
        <v>0.787554996857322</v>
      </c>
    </row>
    <row r="1253" spans="1:12" x14ac:dyDescent="0.35">
      <c r="A1253">
        <v>2038</v>
      </c>
      <c r="B1253" t="s">
        <v>8</v>
      </c>
      <c r="C1253" t="s">
        <v>9</v>
      </c>
      <c r="D1253" t="s">
        <v>16</v>
      </c>
      <c r="E1253" t="s">
        <v>483</v>
      </c>
      <c r="F1253" t="s">
        <v>81</v>
      </c>
      <c r="G1253">
        <v>73173.599088158604</v>
      </c>
      <c r="H1253">
        <v>40840</v>
      </c>
      <c r="I1253">
        <v>22906.340951526421</v>
      </c>
      <c r="J1253">
        <v>52072.367238037041</v>
      </c>
      <c r="K1253">
        <v>50267.258136632183</v>
      </c>
      <c r="L1253">
        <v>0.787554996857322</v>
      </c>
    </row>
    <row r="1254" spans="1:12" x14ac:dyDescent="0.35">
      <c r="A1254">
        <v>2038</v>
      </c>
      <c r="B1254" t="s">
        <v>8</v>
      </c>
      <c r="C1254" t="s">
        <v>9</v>
      </c>
      <c r="D1254" t="s">
        <v>18</v>
      </c>
      <c r="E1254" t="s">
        <v>483</v>
      </c>
      <c r="F1254" t="s">
        <v>85</v>
      </c>
      <c r="G1254">
        <v>73173.599088158604</v>
      </c>
      <c r="H1254">
        <v>258091.26037832</v>
      </c>
      <c r="I1254">
        <v>144758.23718988689</v>
      </c>
      <c r="J1254">
        <v>0</v>
      </c>
      <c r="K1254">
        <v>0</v>
      </c>
      <c r="L1254">
        <v>0.787554996857322</v>
      </c>
    </row>
    <row r="1255" spans="1:12" x14ac:dyDescent="0.35">
      <c r="A1255">
        <v>2038</v>
      </c>
      <c r="B1255" t="s">
        <v>8</v>
      </c>
      <c r="C1255" t="s">
        <v>9</v>
      </c>
      <c r="D1255" t="s">
        <v>18</v>
      </c>
      <c r="E1255" t="s">
        <v>483</v>
      </c>
      <c r="F1255" t="s">
        <v>86</v>
      </c>
      <c r="G1255">
        <v>73173.599088158604</v>
      </c>
      <c r="H1255">
        <v>258091.26037832</v>
      </c>
      <c r="I1255">
        <v>144758.23718988689</v>
      </c>
      <c r="J1255">
        <v>0</v>
      </c>
      <c r="K1255">
        <v>0</v>
      </c>
      <c r="L1255">
        <v>0.787554996857322</v>
      </c>
    </row>
    <row r="1256" spans="1:12" x14ac:dyDescent="0.35">
      <c r="A1256">
        <v>2038</v>
      </c>
      <c r="B1256" t="s">
        <v>8</v>
      </c>
      <c r="C1256" t="s">
        <v>9</v>
      </c>
      <c r="D1256" t="s">
        <v>18</v>
      </c>
      <c r="E1256" t="s">
        <v>490</v>
      </c>
      <c r="F1256" t="s">
        <v>82</v>
      </c>
      <c r="G1256">
        <v>73173.599088158604</v>
      </c>
      <c r="H1256">
        <v>258091.26037832</v>
      </c>
      <c r="I1256">
        <v>203261.06175615019</v>
      </c>
      <c r="J1256">
        <v>0</v>
      </c>
      <c r="K1256">
        <v>0</v>
      </c>
      <c r="L1256">
        <v>0.787554996857322</v>
      </c>
    </row>
    <row r="1257" spans="1:12" x14ac:dyDescent="0.35">
      <c r="A1257">
        <v>2038</v>
      </c>
      <c r="B1257" t="s">
        <v>8</v>
      </c>
      <c r="C1257" t="s">
        <v>10</v>
      </c>
      <c r="D1257" t="s">
        <v>16</v>
      </c>
      <c r="E1257" t="s">
        <v>483</v>
      </c>
      <c r="F1257" t="s">
        <v>80</v>
      </c>
      <c r="G1257">
        <v>180012.93508836121</v>
      </c>
      <c r="H1257">
        <v>0</v>
      </c>
      <c r="I1257">
        <v>0</v>
      </c>
      <c r="J1257">
        <v>228571.89124148671</v>
      </c>
      <c r="K1257">
        <v>180012.93508836121</v>
      </c>
      <c r="L1257">
        <v>0.787554996857322</v>
      </c>
    </row>
    <row r="1258" spans="1:12" x14ac:dyDescent="0.35">
      <c r="A1258">
        <v>2038</v>
      </c>
      <c r="B1258" t="s">
        <v>8</v>
      </c>
      <c r="C1258" t="s">
        <v>10</v>
      </c>
      <c r="D1258" t="s">
        <v>16</v>
      </c>
      <c r="E1258" t="s">
        <v>483</v>
      </c>
      <c r="F1258" t="s">
        <v>81</v>
      </c>
      <c r="G1258">
        <v>180012.93508836121</v>
      </c>
      <c r="H1258">
        <v>40840</v>
      </c>
      <c r="I1258">
        <v>22906.340951526421</v>
      </c>
      <c r="J1258">
        <v>187731.89124148671</v>
      </c>
      <c r="K1258">
        <v>157106.59413683481</v>
      </c>
      <c r="L1258">
        <v>0.787554996857322</v>
      </c>
    </row>
    <row r="1259" spans="1:12" x14ac:dyDescent="0.35">
      <c r="A1259">
        <v>2038</v>
      </c>
      <c r="B1259" t="s">
        <v>8</v>
      </c>
      <c r="C1259" t="s">
        <v>10</v>
      </c>
      <c r="D1259" t="s">
        <v>18</v>
      </c>
      <c r="E1259" t="s">
        <v>483</v>
      </c>
      <c r="F1259" t="s">
        <v>85</v>
      </c>
      <c r="G1259">
        <v>180012.93508836121</v>
      </c>
      <c r="H1259">
        <v>258091.26037832</v>
      </c>
      <c r="I1259">
        <v>144758.23718988689</v>
      </c>
      <c r="J1259">
        <v>0</v>
      </c>
      <c r="K1259">
        <v>35254.697898474318</v>
      </c>
      <c r="L1259">
        <v>0.787554996857322</v>
      </c>
    </row>
    <row r="1260" spans="1:12" x14ac:dyDescent="0.35">
      <c r="A1260">
        <v>2038</v>
      </c>
      <c r="B1260" t="s">
        <v>8</v>
      </c>
      <c r="C1260" t="s">
        <v>10</v>
      </c>
      <c r="D1260" t="s">
        <v>18</v>
      </c>
      <c r="E1260" t="s">
        <v>483</v>
      </c>
      <c r="F1260" t="s">
        <v>86</v>
      </c>
      <c r="G1260">
        <v>180012.93508836121</v>
      </c>
      <c r="H1260">
        <v>258091.26037832</v>
      </c>
      <c r="I1260">
        <v>144758.23718988689</v>
      </c>
      <c r="J1260">
        <v>0</v>
      </c>
      <c r="K1260">
        <v>35254.697898474318</v>
      </c>
      <c r="L1260">
        <v>0.787554996857322</v>
      </c>
    </row>
    <row r="1261" spans="1:12" x14ac:dyDescent="0.35">
      <c r="A1261">
        <v>2038</v>
      </c>
      <c r="B1261" t="s">
        <v>8</v>
      </c>
      <c r="C1261" t="s">
        <v>10</v>
      </c>
      <c r="D1261" t="s">
        <v>18</v>
      </c>
      <c r="E1261" t="s">
        <v>490</v>
      </c>
      <c r="F1261" t="s">
        <v>82</v>
      </c>
      <c r="G1261">
        <v>180012.93508836121</v>
      </c>
      <c r="H1261">
        <v>258091.26037832</v>
      </c>
      <c r="I1261">
        <v>203261.06175615019</v>
      </c>
      <c r="J1261">
        <v>0</v>
      </c>
      <c r="K1261">
        <v>0</v>
      </c>
      <c r="L1261">
        <v>0.787554996857322</v>
      </c>
    </row>
    <row r="1262" spans="1:12" x14ac:dyDescent="0.35">
      <c r="A1262">
        <v>2039</v>
      </c>
      <c r="B1262" t="s">
        <v>6</v>
      </c>
      <c r="C1262" t="s">
        <v>4</v>
      </c>
      <c r="D1262" t="s">
        <v>16</v>
      </c>
      <c r="E1262" t="s">
        <v>483</v>
      </c>
      <c r="F1262" t="s">
        <v>80</v>
      </c>
      <c r="G1262">
        <v>240082.77165293321</v>
      </c>
      <c r="H1262">
        <v>0</v>
      </c>
      <c r="I1262">
        <v>0</v>
      </c>
      <c r="J1262">
        <v>546454.18993438862</v>
      </c>
      <c r="K1262">
        <v>240082.77165293321</v>
      </c>
      <c r="L1262">
        <v>0.439346565686978</v>
      </c>
    </row>
    <row r="1263" spans="1:12" x14ac:dyDescent="0.35">
      <c r="A1263">
        <v>2039</v>
      </c>
      <c r="B1263" t="s">
        <v>6</v>
      </c>
      <c r="C1263" t="s">
        <v>4</v>
      </c>
      <c r="D1263" t="s">
        <v>16</v>
      </c>
      <c r="E1263" t="s">
        <v>483</v>
      </c>
      <c r="F1263" t="s">
        <v>81</v>
      </c>
      <c r="G1263">
        <v>240082.77165293321</v>
      </c>
      <c r="H1263">
        <v>261</v>
      </c>
      <c r="I1263">
        <v>110.71145720551</v>
      </c>
      <c r="J1263">
        <v>546193.18993438862</v>
      </c>
      <c r="K1263">
        <v>239972.06019572771</v>
      </c>
      <c r="L1263">
        <v>0.439346565686978</v>
      </c>
    </row>
    <row r="1264" spans="1:12" x14ac:dyDescent="0.35">
      <c r="A1264">
        <v>2039</v>
      </c>
      <c r="B1264" t="s">
        <v>6</v>
      </c>
      <c r="C1264" t="s">
        <v>4</v>
      </c>
      <c r="D1264" t="s">
        <v>18</v>
      </c>
      <c r="E1264" t="s">
        <v>483</v>
      </c>
      <c r="F1264" t="s">
        <v>85</v>
      </c>
      <c r="G1264">
        <v>240082.77165293321</v>
      </c>
      <c r="H1264">
        <v>27029.65589320119</v>
      </c>
      <c r="I1264">
        <v>11465.488857087381</v>
      </c>
      <c r="J1264">
        <v>519424.53404118738</v>
      </c>
      <c r="K1264">
        <v>228617.28279584579</v>
      </c>
      <c r="L1264">
        <v>0.439346565686978</v>
      </c>
    </row>
    <row r="1265" spans="1:12" x14ac:dyDescent="0.35">
      <c r="A1265">
        <v>2039</v>
      </c>
      <c r="B1265" t="s">
        <v>6</v>
      </c>
      <c r="C1265" t="s">
        <v>4</v>
      </c>
      <c r="D1265" t="s">
        <v>18</v>
      </c>
      <c r="E1265" t="s">
        <v>483</v>
      </c>
      <c r="F1265" t="s">
        <v>86</v>
      </c>
      <c r="G1265">
        <v>240082.77165293321</v>
      </c>
      <c r="H1265">
        <v>27029.65589320119</v>
      </c>
      <c r="I1265">
        <v>11465.488857087381</v>
      </c>
      <c r="J1265">
        <v>519424.53404118738</v>
      </c>
      <c r="K1265">
        <v>228617.28279584579</v>
      </c>
      <c r="L1265">
        <v>0.439346565686978</v>
      </c>
    </row>
    <row r="1266" spans="1:12" x14ac:dyDescent="0.35">
      <c r="A1266">
        <v>2039</v>
      </c>
      <c r="B1266" t="s">
        <v>6</v>
      </c>
      <c r="C1266" t="s">
        <v>4</v>
      </c>
      <c r="D1266" t="s">
        <v>18</v>
      </c>
      <c r="E1266" t="s">
        <v>490</v>
      </c>
      <c r="F1266" t="s">
        <v>82</v>
      </c>
      <c r="G1266">
        <v>240082.77165293321</v>
      </c>
      <c r="H1266">
        <v>27029.65589320119</v>
      </c>
      <c r="I1266">
        <v>11875.386488378739</v>
      </c>
      <c r="J1266">
        <v>519424.53404118738</v>
      </c>
      <c r="K1266">
        <v>228207.38516455449</v>
      </c>
      <c r="L1266">
        <v>0.439346565686978</v>
      </c>
    </row>
    <row r="1267" spans="1:12" x14ac:dyDescent="0.35">
      <c r="A1267">
        <v>2039</v>
      </c>
      <c r="B1267" t="s">
        <v>6</v>
      </c>
      <c r="C1267" t="s">
        <v>9</v>
      </c>
      <c r="D1267" t="s">
        <v>16</v>
      </c>
      <c r="E1267" t="s">
        <v>483</v>
      </c>
      <c r="F1267" t="s">
        <v>80</v>
      </c>
      <c r="G1267">
        <v>89882.885025704978</v>
      </c>
      <c r="H1267">
        <v>0</v>
      </c>
      <c r="I1267">
        <v>0</v>
      </c>
      <c r="J1267">
        <v>204583.10601600099</v>
      </c>
      <c r="K1267">
        <v>89882.885025704978</v>
      </c>
      <c r="L1267">
        <v>0.439346565686978</v>
      </c>
    </row>
    <row r="1268" spans="1:12" x14ac:dyDescent="0.35">
      <c r="A1268">
        <v>2039</v>
      </c>
      <c r="B1268" t="s">
        <v>6</v>
      </c>
      <c r="C1268" t="s">
        <v>9</v>
      </c>
      <c r="D1268" t="s">
        <v>16</v>
      </c>
      <c r="E1268" t="s">
        <v>483</v>
      </c>
      <c r="F1268" t="s">
        <v>81</v>
      </c>
      <c r="G1268">
        <v>89882.885025704978</v>
      </c>
      <c r="H1268">
        <v>261</v>
      </c>
      <c r="I1268">
        <v>110.71145720551</v>
      </c>
      <c r="J1268">
        <v>204322.10601600099</v>
      </c>
      <c r="K1268">
        <v>89772.173568499464</v>
      </c>
      <c r="L1268">
        <v>0.439346565686978</v>
      </c>
    </row>
    <row r="1269" spans="1:12" x14ac:dyDescent="0.35">
      <c r="A1269">
        <v>2039</v>
      </c>
      <c r="B1269" t="s">
        <v>6</v>
      </c>
      <c r="C1269" t="s">
        <v>9</v>
      </c>
      <c r="D1269" t="s">
        <v>18</v>
      </c>
      <c r="E1269" t="s">
        <v>483</v>
      </c>
      <c r="F1269" t="s">
        <v>85</v>
      </c>
      <c r="G1269">
        <v>89882.885025704978</v>
      </c>
      <c r="H1269">
        <v>27029.65589320119</v>
      </c>
      <c r="I1269">
        <v>11465.488857087381</v>
      </c>
      <c r="J1269">
        <v>177553.45012279981</v>
      </c>
      <c r="K1269">
        <v>78417.396168617604</v>
      </c>
      <c r="L1269">
        <v>0.439346565686978</v>
      </c>
    </row>
    <row r="1270" spans="1:12" x14ac:dyDescent="0.35">
      <c r="A1270">
        <v>2039</v>
      </c>
      <c r="B1270" t="s">
        <v>6</v>
      </c>
      <c r="C1270" t="s">
        <v>9</v>
      </c>
      <c r="D1270" t="s">
        <v>18</v>
      </c>
      <c r="E1270" t="s">
        <v>483</v>
      </c>
      <c r="F1270" t="s">
        <v>86</v>
      </c>
      <c r="G1270">
        <v>89882.885025704978</v>
      </c>
      <c r="H1270">
        <v>27029.65589320119</v>
      </c>
      <c r="I1270">
        <v>11465.488857087381</v>
      </c>
      <c r="J1270">
        <v>177553.45012279981</v>
      </c>
      <c r="K1270">
        <v>78417.396168617604</v>
      </c>
      <c r="L1270">
        <v>0.439346565686978</v>
      </c>
    </row>
    <row r="1271" spans="1:12" x14ac:dyDescent="0.35">
      <c r="A1271">
        <v>2039</v>
      </c>
      <c r="B1271" t="s">
        <v>6</v>
      </c>
      <c r="C1271" t="s">
        <v>9</v>
      </c>
      <c r="D1271" t="s">
        <v>18</v>
      </c>
      <c r="E1271" t="s">
        <v>490</v>
      </c>
      <c r="F1271" t="s">
        <v>82</v>
      </c>
      <c r="G1271">
        <v>89882.885025704978</v>
      </c>
      <c r="H1271">
        <v>27029.65589320119</v>
      </c>
      <c r="I1271">
        <v>11875.386488378739</v>
      </c>
      <c r="J1271">
        <v>177553.45012279981</v>
      </c>
      <c r="K1271">
        <v>78007.498537326232</v>
      </c>
      <c r="L1271">
        <v>0.439346565686978</v>
      </c>
    </row>
    <row r="1272" spans="1:12" x14ac:dyDescent="0.35">
      <c r="A1272">
        <v>2039</v>
      </c>
      <c r="B1272" t="s">
        <v>6</v>
      </c>
      <c r="C1272" t="s">
        <v>10</v>
      </c>
      <c r="D1272" t="s">
        <v>16</v>
      </c>
      <c r="E1272" t="s">
        <v>483</v>
      </c>
      <c r="F1272" t="s">
        <v>80</v>
      </c>
      <c r="G1272">
        <v>228473.28301366579</v>
      </c>
      <c r="H1272">
        <v>0</v>
      </c>
      <c r="I1272">
        <v>0</v>
      </c>
      <c r="J1272">
        <v>520029.74612175883</v>
      </c>
      <c r="K1272">
        <v>228473.28301366579</v>
      </c>
      <c r="L1272">
        <v>0.439346565686978</v>
      </c>
    </row>
    <row r="1273" spans="1:12" x14ac:dyDescent="0.35">
      <c r="A1273">
        <v>2039</v>
      </c>
      <c r="B1273" t="s">
        <v>6</v>
      </c>
      <c r="C1273" t="s">
        <v>10</v>
      </c>
      <c r="D1273" t="s">
        <v>16</v>
      </c>
      <c r="E1273" t="s">
        <v>483</v>
      </c>
      <c r="F1273" t="s">
        <v>81</v>
      </c>
      <c r="G1273">
        <v>228473.28301366579</v>
      </c>
      <c r="H1273">
        <v>261</v>
      </c>
      <c r="I1273">
        <v>110.71145720551</v>
      </c>
      <c r="J1273">
        <v>519768.74612175883</v>
      </c>
      <c r="K1273">
        <v>228362.57155646029</v>
      </c>
      <c r="L1273">
        <v>0.439346565686978</v>
      </c>
    </row>
    <row r="1274" spans="1:12" x14ac:dyDescent="0.35">
      <c r="A1274">
        <v>2039</v>
      </c>
      <c r="B1274" t="s">
        <v>6</v>
      </c>
      <c r="C1274" t="s">
        <v>10</v>
      </c>
      <c r="D1274" t="s">
        <v>18</v>
      </c>
      <c r="E1274" t="s">
        <v>483</v>
      </c>
      <c r="F1274" t="s">
        <v>85</v>
      </c>
      <c r="G1274">
        <v>228473.28301366579</v>
      </c>
      <c r="H1274">
        <v>27029.65589320119</v>
      </c>
      <c r="I1274">
        <v>11465.488857087381</v>
      </c>
      <c r="J1274">
        <v>493000.09022855759</v>
      </c>
      <c r="K1274">
        <v>217007.7941565784</v>
      </c>
      <c r="L1274">
        <v>0.439346565686978</v>
      </c>
    </row>
    <row r="1275" spans="1:12" x14ac:dyDescent="0.35">
      <c r="A1275">
        <v>2039</v>
      </c>
      <c r="B1275" t="s">
        <v>6</v>
      </c>
      <c r="C1275" t="s">
        <v>10</v>
      </c>
      <c r="D1275" t="s">
        <v>18</v>
      </c>
      <c r="E1275" t="s">
        <v>483</v>
      </c>
      <c r="F1275" t="s">
        <v>86</v>
      </c>
      <c r="G1275">
        <v>228473.28301366579</v>
      </c>
      <c r="H1275">
        <v>27029.65589320119</v>
      </c>
      <c r="I1275">
        <v>11465.488857087381</v>
      </c>
      <c r="J1275">
        <v>493000.09022855759</v>
      </c>
      <c r="K1275">
        <v>217007.7941565784</v>
      </c>
      <c r="L1275">
        <v>0.439346565686978</v>
      </c>
    </row>
    <row r="1276" spans="1:12" x14ac:dyDescent="0.35">
      <c r="A1276">
        <v>2039</v>
      </c>
      <c r="B1276" t="s">
        <v>6</v>
      </c>
      <c r="C1276" t="s">
        <v>10</v>
      </c>
      <c r="D1276" t="s">
        <v>18</v>
      </c>
      <c r="E1276" t="s">
        <v>490</v>
      </c>
      <c r="F1276" t="s">
        <v>82</v>
      </c>
      <c r="G1276">
        <v>228473.28301366579</v>
      </c>
      <c r="H1276">
        <v>27029.65589320119</v>
      </c>
      <c r="I1276">
        <v>11875.386488378739</v>
      </c>
      <c r="J1276">
        <v>493000.09022855759</v>
      </c>
      <c r="K1276">
        <v>216597.89652528701</v>
      </c>
      <c r="L1276">
        <v>0.439346565686978</v>
      </c>
    </row>
    <row r="1277" spans="1:12" x14ac:dyDescent="0.35">
      <c r="A1277">
        <v>2039</v>
      </c>
      <c r="B1277" t="s">
        <v>7</v>
      </c>
      <c r="C1277" t="s">
        <v>4</v>
      </c>
      <c r="D1277" t="s">
        <v>16</v>
      </c>
      <c r="E1277" t="s">
        <v>483</v>
      </c>
      <c r="F1277" t="s">
        <v>80</v>
      </c>
      <c r="G1277">
        <v>1574369.961054781</v>
      </c>
      <c r="H1277">
        <v>0</v>
      </c>
      <c r="I1277">
        <v>0</v>
      </c>
      <c r="J1277">
        <v>1886047.2629894849</v>
      </c>
      <c r="K1277">
        <v>1574369.961054781</v>
      </c>
      <c r="L1277">
        <v>0.83474576271186396</v>
      </c>
    </row>
    <row r="1278" spans="1:12" x14ac:dyDescent="0.35">
      <c r="A1278">
        <v>2039</v>
      </c>
      <c r="B1278" t="s">
        <v>7</v>
      </c>
      <c r="C1278" t="s">
        <v>4</v>
      </c>
      <c r="D1278" t="s">
        <v>16</v>
      </c>
      <c r="E1278" t="s">
        <v>483</v>
      </c>
      <c r="F1278" t="s">
        <v>81</v>
      </c>
      <c r="G1278">
        <v>1574369.961054781</v>
      </c>
      <c r="H1278">
        <v>174130</v>
      </c>
      <c r="I1278">
        <v>91524.240751278106</v>
      </c>
      <c r="J1278">
        <v>1711917.2629894849</v>
      </c>
      <c r="K1278">
        <v>1482845.7203035031</v>
      </c>
      <c r="L1278">
        <v>0.83474576271186396</v>
      </c>
    </row>
    <row r="1279" spans="1:12" x14ac:dyDescent="0.35">
      <c r="A1279">
        <v>2039</v>
      </c>
      <c r="B1279" t="s">
        <v>7</v>
      </c>
      <c r="C1279" t="s">
        <v>4</v>
      </c>
      <c r="D1279" t="s">
        <v>18</v>
      </c>
      <c r="E1279" t="s">
        <v>483</v>
      </c>
      <c r="F1279" t="s">
        <v>85</v>
      </c>
      <c r="G1279">
        <v>1574369.961054781</v>
      </c>
      <c r="H1279">
        <v>1075205.601428098</v>
      </c>
      <c r="I1279">
        <v>565137.40494014812</v>
      </c>
      <c r="J1279">
        <v>810841.66156138713</v>
      </c>
      <c r="K1279">
        <v>1009232.556114633</v>
      </c>
      <c r="L1279">
        <v>0.83474576271186396</v>
      </c>
    </row>
    <row r="1280" spans="1:12" x14ac:dyDescent="0.35">
      <c r="A1280">
        <v>2039</v>
      </c>
      <c r="B1280" t="s">
        <v>7</v>
      </c>
      <c r="C1280" t="s">
        <v>4</v>
      </c>
      <c r="D1280" t="s">
        <v>18</v>
      </c>
      <c r="E1280" t="s">
        <v>483</v>
      </c>
      <c r="F1280" t="s">
        <v>86</v>
      </c>
      <c r="G1280">
        <v>1574369.961054781</v>
      </c>
      <c r="H1280">
        <v>1075205.601428098</v>
      </c>
      <c r="I1280">
        <v>565137.40494014812</v>
      </c>
      <c r="J1280">
        <v>810841.66156138713</v>
      </c>
      <c r="K1280">
        <v>1009232.556114633</v>
      </c>
      <c r="L1280">
        <v>0.83474576271186396</v>
      </c>
    </row>
    <row r="1281" spans="1:12" x14ac:dyDescent="0.35">
      <c r="A1281">
        <v>2039</v>
      </c>
      <c r="B1281" t="s">
        <v>7</v>
      </c>
      <c r="C1281" t="s">
        <v>4</v>
      </c>
      <c r="D1281" t="s">
        <v>18</v>
      </c>
      <c r="E1281" t="s">
        <v>490</v>
      </c>
      <c r="F1281" t="s">
        <v>82</v>
      </c>
      <c r="G1281">
        <v>1574369.961054781</v>
      </c>
      <c r="H1281">
        <v>1075205.601428098</v>
      </c>
      <c r="I1281">
        <v>897523.31983616634</v>
      </c>
      <c r="J1281">
        <v>810841.66156138713</v>
      </c>
      <c r="K1281">
        <v>676846.64121861465</v>
      </c>
      <c r="L1281">
        <v>0.83474576271186396</v>
      </c>
    </row>
    <row r="1282" spans="1:12" x14ac:dyDescent="0.35">
      <c r="A1282">
        <v>2039</v>
      </c>
      <c r="B1282" t="s">
        <v>7</v>
      </c>
      <c r="C1282" t="s">
        <v>9</v>
      </c>
      <c r="D1282" t="s">
        <v>16</v>
      </c>
      <c r="E1282" t="s">
        <v>483</v>
      </c>
      <c r="F1282" t="s">
        <v>80</v>
      </c>
      <c r="G1282">
        <v>1183188.8670452209</v>
      </c>
      <c r="H1282">
        <v>0</v>
      </c>
      <c r="I1282">
        <v>0</v>
      </c>
      <c r="J1282">
        <v>1417424.226511027</v>
      </c>
      <c r="K1282">
        <v>1183188.8670452209</v>
      </c>
      <c r="L1282">
        <v>0.83474576271186396</v>
      </c>
    </row>
    <row r="1283" spans="1:12" x14ac:dyDescent="0.35">
      <c r="A1283">
        <v>2039</v>
      </c>
      <c r="B1283" t="s">
        <v>7</v>
      </c>
      <c r="C1283" t="s">
        <v>9</v>
      </c>
      <c r="D1283" t="s">
        <v>16</v>
      </c>
      <c r="E1283" t="s">
        <v>483</v>
      </c>
      <c r="F1283" t="s">
        <v>81</v>
      </c>
      <c r="G1283">
        <v>1183188.8670452209</v>
      </c>
      <c r="H1283">
        <v>174130</v>
      </c>
      <c r="I1283">
        <v>91524.240751278106</v>
      </c>
      <c r="J1283">
        <v>1243294.226511027</v>
      </c>
      <c r="K1283">
        <v>1091664.626293943</v>
      </c>
      <c r="L1283">
        <v>0.83474576271186396</v>
      </c>
    </row>
    <row r="1284" spans="1:12" x14ac:dyDescent="0.35">
      <c r="A1284">
        <v>2039</v>
      </c>
      <c r="B1284" t="s">
        <v>7</v>
      </c>
      <c r="C1284" t="s">
        <v>9</v>
      </c>
      <c r="D1284" t="s">
        <v>18</v>
      </c>
      <c r="E1284" t="s">
        <v>483</v>
      </c>
      <c r="F1284" t="s">
        <v>85</v>
      </c>
      <c r="G1284">
        <v>1183188.8670452209</v>
      </c>
      <c r="H1284">
        <v>1075205.601428098</v>
      </c>
      <c r="I1284">
        <v>565137.40494014812</v>
      </c>
      <c r="J1284">
        <v>342218.62508292892</v>
      </c>
      <c r="K1284">
        <v>618051.4621050728</v>
      </c>
      <c r="L1284">
        <v>0.83474576271186396</v>
      </c>
    </row>
    <row r="1285" spans="1:12" x14ac:dyDescent="0.35">
      <c r="A1285">
        <v>2039</v>
      </c>
      <c r="B1285" t="s">
        <v>7</v>
      </c>
      <c r="C1285" t="s">
        <v>9</v>
      </c>
      <c r="D1285" t="s">
        <v>18</v>
      </c>
      <c r="E1285" t="s">
        <v>483</v>
      </c>
      <c r="F1285" t="s">
        <v>86</v>
      </c>
      <c r="G1285">
        <v>1183188.8670452209</v>
      </c>
      <c r="H1285">
        <v>1075205.601428098</v>
      </c>
      <c r="I1285">
        <v>565137.40494014812</v>
      </c>
      <c r="J1285">
        <v>342218.62508292892</v>
      </c>
      <c r="K1285">
        <v>618051.4621050728</v>
      </c>
      <c r="L1285">
        <v>0.83474576271186396</v>
      </c>
    </row>
    <row r="1286" spans="1:12" x14ac:dyDescent="0.35">
      <c r="A1286">
        <v>2039</v>
      </c>
      <c r="B1286" t="s">
        <v>7</v>
      </c>
      <c r="C1286" t="s">
        <v>9</v>
      </c>
      <c r="D1286" t="s">
        <v>18</v>
      </c>
      <c r="E1286" t="s">
        <v>490</v>
      </c>
      <c r="F1286" t="s">
        <v>82</v>
      </c>
      <c r="G1286">
        <v>1183188.8670452209</v>
      </c>
      <c r="H1286">
        <v>1075205.601428098</v>
      </c>
      <c r="I1286">
        <v>897523.31983616634</v>
      </c>
      <c r="J1286">
        <v>342218.62508292892</v>
      </c>
      <c r="K1286">
        <v>285665.54720905458</v>
      </c>
      <c r="L1286">
        <v>0.83474576271186396</v>
      </c>
    </row>
    <row r="1287" spans="1:12" x14ac:dyDescent="0.35">
      <c r="A1287">
        <v>2039</v>
      </c>
      <c r="B1287" t="s">
        <v>7</v>
      </c>
      <c r="C1287" t="s">
        <v>10</v>
      </c>
      <c r="D1287" t="s">
        <v>16</v>
      </c>
      <c r="E1287" t="s">
        <v>483</v>
      </c>
      <c r="F1287" t="s">
        <v>80</v>
      </c>
      <c r="G1287">
        <v>1479276.035916927</v>
      </c>
      <c r="H1287">
        <v>0</v>
      </c>
      <c r="I1287">
        <v>0</v>
      </c>
      <c r="J1287">
        <v>1772127.636936015</v>
      </c>
      <c r="K1287">
        <v>1479276.035916927</v>
      </c>
      <c r="L1287">
        <v>0.83474576271186396</v>
      </c>
    </row>
    <row r="1288" spans="1:12" x14ac:dyDescent="0.35">
      <c r="A1288">
        <v>2039</v>
      </c>
      <c r="B1288" t="s">
        <v>7</v>
      </c>
      <c r="C1288" t="s">
        <v>10</v>
      </c>
      <c r="D1288" t="s">
        <v>16</v>
      </c>
      <c r="E1288" t="s">
        <v>483</v>
      </c>
      <c r="F1288" t="s">
        <v>81</v>
      </c>
      <c r="G1288">
        <v>1479276.035916927</v>
      </c>
      <c r="H1288">
        <v>174130</v>
      </c>
      <c r="I1288">
        <v>91524.240751278106</v>
      </c>
      <c r="J1288">
        <v>1597997.636936015</v>
      </c>
      <c r="K1288">
        <v>1387751.7951656489</v>
      </c>
      <c r="L1288">
        <v>0.83474576271186396</v>
      </c>
    </row>
    <row r="1289" spans="1:12" x14ac:dyDescent="0.35">
      <c r="A1289">
        <v>2039</v>
      </c>
      <c r="B1289" t="s">
        <v>7</v>
      </c>
      <c r="C1289" t="s">
        <v>10</v>
      </c>
      <c r="D1289" t="s">
        <v>18</v>
      </c>
      <c r="E1289" t="s">
        <v>483</v>
      </c>
      <c r="F1289" t="s">
        <v>85</v>
      </c>
      <c r="G1289">
        <v>1479276.035916927</v>
      </c>
      <c r="H1289">
        <v>1075205.601428098</v>
      </c>
      <c r="I1289">
        <v>565137.40494014812</v>
      </c>
      <c r="J1289">
        <v>696922.03550791717</v>
      </c>
      <c r="K1289">
        <v>914138.63097677892</v>
      </c>
      <c r="L1289">
        <v>0.83474576271186396</v>
      </c>
    </row>
    <row r="1290" spans="1:12" x14ac:dyDescent="0.35">
      <c r="A1290">
        <v>2039</v>
      </c>
      <c r="B1290" t="s">
        <v>7</v>
      </c>
      <c r="C1290" t="s">
        <v>10</v>
      </c>
      <c r="D1290" t="s">
        <v>18</v>
      </c>
      <c r="E1290" t="s">
        <v>483</v>
      </c>
      <c r="F1290" t="s">
        <v>86</v>
      </c>
      <c r="G1290">
        <v>1479276.035916927</v>
      </c>
      <c r="H1290">
        <v>1075205.601428098</v>
      </c>
      <c r="I1290">
        <v>565137.40494014812</v>
      </c>
      <c r="J1290">
        <v>696922.03550791717</v>
      </c>
      <c r="K1290">
        <v>914138.63097677892</v>
      </c>
      <c r="L1290">
        <v>0.83474576271186396</v>
      </c>
    </row>
    <row r="1291" spans="1:12" x14ac:dyDescent="0.35">
      <c r="A1291">
        <v>2039</v>
      </c>
      <c r="B1291" t="s">
        <v>7</v>
      </c>
      <c r="C1291" t="s">
        <v>10</v>
      </c>
      <c r="D1291" t="s">
        <v>18</v>
      </c>
      <c r="E1291" t="s">
        <v>490</v>
      </c>
      <c r="F1291" t="s">
        <v>82</v>
      </c>
      <c r="G1291">
        <v>1479276.035916927</v>
      </c>
      <c r="H1291">
        <v>1075205.601428098</v>
      </c>
      <c r="I1291">
        <v>897523.31983616634</v>
      </c>
      <c r="J1291">
        <v>696922.03550791717</v>
      </c>
      <c r="K1291">
        <v>581752.7160807607</v>
      </c>
      <c r="L1291">
        <v>0.83474576271186396</v>
      </c>
    </row>
    <row r="1292" spans="1:12" x14ac:dyDescent="0.35">
      <c r="A1292">
        <v>2039</v>
      </c>
      <c r="B1292" t="s">
        <v>13</v>
      </c>
      <c r="C1292" t="s">
        <v>4</v>
      </c>
      <c r="D1292" t="s">
        <v>16</v>
      </c>
      <c r="E1292" t="s">
        <v>483</v>
      </c>
      <c r="F1292" t="s">
        <v>80</v>
      </c>
      <c r="G1292">
        <v>3142.2560928391108</v>
      </c>
      <c r="H1292">
        <v>0</v>
      </c>
      <c r="I1292">
        <v>0</v>
      </c>
      <c r="J1292">
        <v>3142.2560928391108</v>
      </c>
      <c r="K1292">
        <v>3142.2560928391108</v>
      </c>
      <c r="L1292">
        <v>1</v>
      </c>
    </row>
    <row r="1293" spans="1:12" x14ac:dyDescent="0.35">
      <c r="A1293">
        <v>2039</v>
      </c>
      <c r="B1293" t="s">
        <v>13</v>
      </c>
      <c r="C1293" t="s">
        <v>4</v>
      </c>
      <c r="D1293" t="s">
        <v>16</v>
      </c>
      <c r="E1293" t="s">
        <v>483</v>
      </c>
      <c r="F1293" t="s">
        <v>81</v>
      </c>
      <c r="G1293">
        <v>3142.2560928391108</v>
      </c>
      <c r="H1293">
        <v>0</v>
      </c>
      <c r="I1293">
        <v>0</v>
      </c>
      <c r="J1293">
        <v>3142.2560928391108</v>
      </c>
      <c r="K1293">
        <v>3142.2560928391108</v>
      </c>
      <c r="L1293">
        <v>1</v>
      </c>
    </row>
    <row r="1294" spans="1:12" x14ac:dyDescent="0.35">
      <c r="A1294">
        <v>2039</v>
      </c>
      <c r="B1294" t="s">
        <v>13</v>
      </c>
      <c r="C1294" t="s">
        <v>4</v>
      </c>
      <c r="D1294" t="s">
        <v>18</v>
      </c>
      <c r="E1294" t="s">
        <v>483</v>
      </c>
      <c r="F1294" t="s">
        <v>85</v>
      </c>
      <c r="G1294">
        <v>3142.2560928391108</v>
      </c>
      <c r="H1294">
        <v>331728.85195268661</v>
      </c>
      <c r="I1294">
        <v>109470.5211443866</v>
      </c>
      <c r="J1294">
        <v>0</v>
      </c>
      <c r="K1294">
        <v>0</v>
      </c>
      <c r="L1294">
        <v>1</v>
      </c>
    </row>
    <row r="1295" spans="1:12" x14ac:dyDescent="0.35">
      <c r="A1295">
        <v>2039</v>
      </c>
      <c r="B1295" t="s">
        <v>13</v>
      </c>
      <c r="C1295" t="s">
        <v>4</v>
      </c>
      <c r="D1295" t="s">
        <v>18</v>
      </c>
      <c r="E1295" t="s">
        <v>483</v>
      </c>
      <c r="F1295" t="s">
        <v>86</v>
      </c>
      <c r="G1295">
        <v>3142.2560928391108</v>
      </c>
      <c r="H1295">
        <v>331728.85195268661</v>
      </c>
      <c r="I1295">
        <v>109470.5211443866</v>
      </c>
      <c r="J1295">
        <v>0</v>
      </c>
      <c r="K1295">
        <v>0</v>
      </c>
      <c r="L1295">
        <v>1</v>
      </c>
    </row>
    <row r="1296" spans="1:12" x14ac:dyDescent="0.35">
      <c r="A1296">
        <v>2039</v>
      </c>
      <c r="B1296" t="s">
        <v>13</v>
      </c>
      <c r="C1296" t="s">
        <v>4</v>
      </c>
      <c r="D1296" t="s">
        <v>18</v>
      </c>
      <c r="E1296" t="s">
        <v>490</v>
      </c>
      <c r="F1296" t="s">
        <v>82</v>
      </c>
      <c r="G1296">
        <v>3142.2560928391108</v>
      </c>
      <c r="H1296">
        <v>331728.85195268661</v>
      </c>
      <c r="I1296">
        <v>109470.5211443866</v>
      </c>
      <c r="J1296">
        <v>0</v>
      </c>
      <c r="K1296">
        <v>0</v>
      </c>
      <c r="L1296">
        <v>1</v>
      </c>
    </row>
    <row r="1297" spans="1:12" x14ac:dyDescent="0.35">
      <c r="A1297">
        <v>2039</v>
      </c>
      <c r="B1297" t="s">
        <v>13</v>
      </c>
      <c r="C1297" t="s">
        <v>9</v>
      </c>
      <c r="D1297" t="s">
        <v>16</v>
      </c>
      <c r="E1297" t="s">
        <v>483</v>
      </c>
      <c r="F1297" t="s">
        <v>80</v>
      </c>
      <c r="G1297">
        <v>1154.9982759766251</v>
      </c>
      <c r="H1297">
        <v>0</v>
      </c>
      <c r="I1297">
        <v>0</v>
      </c>
      <c r="J1297">
        <v>1154.9982759766251</v>
      </c>
      <c r="K1297">
        <v>1154.9982759766251</v>
      </c>
      <c r="L1297">
        <v>1</v>
      </c>
    </row>
    <row r="1298" spans="1:12" x14ac:dyDescent="0.35">
      <c r="A1298">
        <v>2039</v>
      </c>
      <c r="B1298" t="s">
        <v>13</v>
      </c>
      <c r="C1298" t="s">
        <v>9</v>
      </c>
      <c r="D1298" t="s">
        <v>16</v>
      </c>
      <c r="E1298" t="s">
        <v>483</v>
      </c>
      <c r="F1298" t="s">
        <v>81</v>
      </c>
      <c r="G1298">
        <v>1154.9982759766251</v>
      </c>
      <c r="H1298">
        <v>0</v>
      </c>
      <c r="I1298">
        <v>0</v>
      </c>
      <c r="J1298">
        <v>1154.9982759766251</v>
      </c>
      <c r="K1298">
        <v>1154.9982759766251</v>
      </c>
      <c r="L1298">
        <v>1</v>
      </c>
    </row>
    <row r="1299" spans="1:12" x14ac:dyDescent="0.35">
      <c r="A1299">
        <v>2039</v>
      </c>
      <c r="B1299" t="s">
        <v>13</v>
      </c>
      <c r="C1299" t="s">
        <v>9</v>
      </c>
      <c r="D1299" t="s">
        <v>18</v>
      </c>
      <c r="E1299" t="s">
        <v>483</v>
      </c>
      <c r="F1299" t="s">
        <v>85</v>
      </c>
      <c r="G1299">
        <v>1154.9982759766251</v>
      </c>
      <c r="H1299">
        <v>331728.85195268661</v>
      </c>
      <c r="I1299">
        <v>109470.5211443866</v>
      </c>
      <c r="J1299">
        <v>0</v>
      </c>
      <c r="K1299">
        <v>0</v>
      </c>
      <c r="L1299">
        <v>1</v>
      </c>
    </row>
    <row r="1300" spans="1:12" x14ac:dyDescent="0.35">
      <c r="A1300">
        <v>2039</v>
      </c>
      <c r="B1300" t="s">
        <v>13</v>
      </c>
      <c r="C1300" t="s">
        <v>9</v>
      </c>
      <c r="D1300" t="s">
        <v>18</v>
      </c>
      <c r="E1300" t="s">
        <v>483</v>
      </c>
      <c r="F1300" t="s">
        <v>86</v>
      </c>
      <c r="G1300">
        <v>1154.9982759766251</v>
      </c>
      <c r="H1300">
        <v>331728.85195268661</v>
      </c>
      <c r="I1300">
        <v>109470.5211443866</v>
      </c>
      <c r="J1300">
        <v>0</v>
      </c>
      <c r="K1300">
        <v>0</v>
      </c>
      <c r="L1300">
        <v>1</v>
      </c>
    </row>
    <row r="1301" spans="1:12" x14ac:dyDescent="0.35">
      <c r="A1301">
        <v>2039</v>
      </c>
      <c r="B1301" t="s">
        <v>13</v>
      </c>
      <c r="C1301" t="s">
        <v>9</v>
      </c>
      <c r="D1301" t="s">
        <v>18</v>
      </c>
      <c r="E1301" t="s">
        <v>490</v>
      </c>
      <c r="F1301" t="s">
        <v>82</v>
      </c>
      <c r="G1301">
        <v>1154.9982759766251</v>
      </c>
      <c r="H1301">
        <v>331728.85195268661</v>
      </c>
      <c r="I1301">
        <v>109470.5211443866</v>
      </c>
      <c r="J1301">
        <v>0</v>
      </c>
      <c r="K1301">
        <v>0</v>
      </c>
      <c r="L1301">
        <v>1</v>
      </c>
    </row>
    <row r="1302" spans="1:12" x14ac:dyDescent="0.35">
      <c r="A1302">
        <v>2039</v>
      </c>
      <c r="B1302" t="s">
        <v>13</v>
      </c>
      <c r="C1302" t="s">
        <v>10</v>
      </c>
      <c r="D1302" t="s">
        <v>16</v>
      </c>
      <c r="E1302" t="s">
        <v>483</v>
      </c>
      <c r="F1302" t="s">
        <v>80</v>
      </c>
      <c r="G1302">
        <v>2995.2738382071152</v>
      </c>
      <c r="H1302">
        <v>0</v>
      </c>
      <c r="I1302">
        <v>0</v>
      </c>
      <c r="J1302">
        <v>2995.2738382071152</v>
      </c>
      <c r="K1302">
        <v>2995.2738382071152</v>
      </c>
      <c r="L1302">
        <v>1</v>
      </c>
    </row>
    <row r="1303" spans="1:12" x14ac:dyDescent="0.35">
      <c r="A1303">
        <v>2039</v>
      </c>
      <c r="B1303" t="s">
        <v>13</v>
      </c>
      <c r="C1303" t="s">
        <v>10</v>
      </c>
      <c r="D1303" t="s">
        <v>16</v>
      </c>
      <c r="E1303" t="s">
        <v>483</v>
      </c>
      <c r="F1303" t="s">
        <v>81</v>
      </c>
      <c r="G1303">
        <v>2995.2738382071152</v>
      </c>
      <c r="H1303">
        <v>0</v>
      </c>
      <c r="I1303">
        <v>0</v>
      </c>
      <c r="J1303">
        <v>2995.2738382071152</v>
      </c>
      <c r="K1303">
        <v>2995.2738382071152</v>
      </c>
      <c r="L1303">
        <v>1</v>
      </c>
    </row>
    <row r="1304" spans="1:12" x14ac:dyDescent="0.35">
      <c r="A1304">
        <v>2039</v>
      </c>
      <c r="B1304" t="s">
        <v>13</v>
      </c>
      <c r="C1304" t="s">
        <v>10</v>
      </c>
      <c r="D1304" t="s">
        <v>18</v>
      </c>
      <c r="E1304" t="s">
        <v>483</v>
      </c>
      <c r="F1304" t="s">
        <v>85</v>
      </c>
      <c r="G1304">
        <v>2995.2738382071152</v>
      </c>
      <c r="H1304">
        <v>331728.85195268661</v>
      </c>
      <c r="I1304">
        <v>109470.5211443866</v>
      </c>
      <c r="J1304">
        <v>0</v>
      </c>
      <c r="K1304">
        <v>0</v>
      </c>
      <c r="L1304">
        <v>1</v>
      </c>
    </row>
    <row r="1305" spans="1:12" x14ac:dyDescent="0.35">
      <c r="A1305">
        <v>2039</v>
      </c>
      <c r="B1305" t="s">
        <v>13</v>
      </c>
      <c r="C1305" t="s">
        <v>10</v>
      </c>
      <c r="D1305" t="s">
        <v>18</v>
      </c>
      <c r="E1305" t="s">
        <v>483</v>
      </c>
      <c r="F1305" t="s">
        <v>86</v>
      </c>
      <c r="G1305">
        <v>2995.2738382071152</v>
      </c>
      <c r="H1305">
        <v>331728.85195268661</v>
      </c>
      <c r="I1305">
        <v>109470.5211443866</v>
      </c>
      <c r="J1305">
        <v>0</v>
      </c>
      <c r="K1305">
        <v>0</v>
      </c>
      <c r="L1305">
        <v>1</v>
      </c>
    </row>
    <row r="1306" spans="1:12" x14ac:dyDescent="0.35">
      <c r="A1306">
        <v>2039</v>
      </c>
      <c r="B1306" t="s">
        <v>13</v>
      </c>
      <c r="C1306" t="s">
        <v>10</v>
      </c>
      <c r="D1306" t="s">
        <v>18</v>
      </c>
      <c r="E1306" t="s">
        <v>490</v>
      </c>
      <c r="F1306" t="s">
        <v>82</v>
      </c>
      <c r="G1306">
        <v>2995.2738382071152</v>
      </c>
      <c r="H1306">
        <v>331728.85195268661</v>
      </c>
      <c r="I1306">
        <v>109470.5211443866</v>
      </c>
      <c r="J1306">
        <v>0</v>
      </c>
      <c r="K1306">
        <v>0</v>
      </c>
      <c r="L1306">
        <v>1</v>
      </c>
    </row>
    <row r="1307" spans="1:12" x14ac:dyDescent="0.35">
      <c r="A1307">
        <v>2039</v>
      </c>
      <c r="B1307" t="s">
        <v>12</v>
      </c>
      <c r="C1307" t="s">
        <v>4</v>
      </c>
      <c r="D1307" t="s">
        <v>16</v>
      </c>
      <c r="E1307" t="s">
        <v>483</v>
      </c>
      <c r="F1307" t="s">
        <v>80</v>
      </c>
      <c r="G1307">
        <v>83112.060773278674</v>
      </c>
      <c r="H1307">
        <v>0</v>
      </c>
      <c r="I1307">
        <v>0</v>
      </c>
      <c r="J1307">
        <v>118872.3841046181</v>
      </c>
      <c r="K1307">
        <v>83112.060773278674</v>
      </c>
      <c r="L1307">
        <v>0.69917047091553897</v>
      </c>
    </row>
    <row r="1308" spans="1:12" x14ac:dyDescent="0.35">
      <c r="A1308">
        <v>2039</v>
      </c>
      <c r="B1308" t="s">
        <v>12</v>
      </c>
      <c r="C1308" t="s">
        <v>4</v>
      </c>
      <c r="D1308" t="s">
        <v>16</v>
      </c>
      <c r="E1308" t="s">
        <v>483</v>
      </c>
      <c r="F1308" t="s">
        <v>81</v>
      </c>
      <c r="G1308">
        <v>83112.060773278674</v>
      </c>
      <c r="H1308">
        <v>40971</v>
      </c>
      <c r="I1308">
        <v>28645.71336388055</v>
      </c>
      <c r="J1308">
        <v>77901.384104618119</v>
      </c>
      <c r="K1308">
        <v>54466.347409398128</v>
      </c>
      <c r="L1308">
        <v>0.69917047091553897</v>
      </c>
    </row>
    <row r="1309" spans="1:12" x14ac:dyDescent="0.35">
      <c r="A1309">
        <v>2039</v>
      </c>
      <c r="B1309" t="s">
        <v>12</v>
      </c>
      <c r="C1309" t="s">
        <v>4</v>
      </c>
      <c r="D1309" t="s">
        <v>18</v>
      </c>
      <c r="E1309" t="s">
        <v>483</v>
      </c>
      <c r="F1309" t="s">
        <v>85</v>
      </c>
      <c r="G1309">
        <v>83112.060773278674</v>
      </c>
      <c r="H1309">
        <v>461670.14593495359</v>
      </c>
      <c r="I1309">
        <v>322786.13334098709</v>
      </c>
      <c r="J1309">
        <v>0</v>
      </c>
      <c r="K1309">
        <v>0</v>
      </c>
      <c r="L1309">
        <v>0.69917047091553897</v>
      </c>
    </row>
    <row r="1310" spans="1:12" x14ac:dyDescent="0.35">
      <c r="A1310">
        <v>2039</v>
      </c>
      <c r="B1310" t="s">
        <v>12</v>
      </c>
      <c r="C1310" t="s">
        <v>4</v>
      </c>
      <c r="D1310" t="s">
        <v>18</v>
      </c>
      <c r="E1310" t="s">
        <v>483</v>
      </c>
      <c r="F1310" t="s">
        <v>86</v>
      </c>
      <c r="G1310">
        <v>83112.060773278674</v>
      </c>
      <c r="H1310">
        <v>461670.14593495359</v>
      </c>
      <c r="I1310">
        <v>322786.13334098709</v>
      </c>
      <c r="J1310">
        <v>0</v>
      </c>
      <c r="K1310">
        <v>0</v>
      </c>
      <c r="L1310">
        <v>0.69917047091553897</v>
      </c>
    </row>
    <row r="1311" spans="1:12" x14ac:dyDescent="0.35">
      <c r="A1311">
        <v>2039</v>
      </c>
      <c r="B1311" t="s">
        <v>12</v>
      </c>
      <c r="C1311" t="s">
        <v>4</v>
      </c>
      <c r="D1311" t="s">
        <v>18</v>
      </c>
      <c r="E1311" t="s">
        <v>490</v>
      </c>
      <c r="F1311" t="s">
        <v>82</v>
      </c>
      <c r="G1311">
        <v>83112.060773278674</v>
      </c>
      <c r="H1311">
        <v>461670.14593495359</v>
      </c>
      <c r="I1311">
        <v>322786.13334098709</v>
      </c>
      <c r="J1311">
        <v>0</v>
      </c>
      <c r="K1311">
        <v>0</v>
      </c>
      <c r="L1311">
        <v>0.69917047091553897</v>
      </c>
    </row>
    <row r="1312" spans="1:12" x14ac:dyDescent="0.35">
      <c r="A1312">
        <v>2039</v>
      </c>
      <c r="B1312" t="s">
        <v>12</v>
      </c>
      <c r="C1312" t="s">
        <v>9</v>
      </c>
      <c r="D1312" t="s">
        <v>16</v>
      </c>
      <c r="E1312" t="s">
        <v>483</v>
      </c>
      <c r="F1312" t="s">
        <v>80</v>
      </c>
      <c r="G1312">
        <v>30549.47912258418</v>
      </c>
      <c r="H1312">
        <v>0</v>
      </c>
      <c r="I1312">
        <v>0</v>
      </c>
      <c r="J1312">
        <v>43693.892109860877</v>
      </c>
      <c r="K1312">
        <v>30549.47912258418</v>
      </c>
      <c r="L1312">
        <v>0.69917047091553897</v>
      </c>
    </row>
    <row r="1313" spans="1:12" x14ac:dyDescent="0.35">
      <c r="A1313">
        <v>2039</v>
      </c>
      <c r="B1313" t="s">
        <v>12</v>
      </c>
      <c r="C1313" t="s">
        <v>9</v>
      </c>
      <c r="D1313" t="s">
        <v>16</v>
      </c>
      <c r="E1313" t="s">
        <v>483</v>
      </c>
      <c r="F1313" t="s">
        <v>81</v>
      </c>
      <c r="G1313">
        <v>30549.47912258418</v>
      </c>
      <c r="H1313">
        <v>40971</v>
      </c>
      <c r="I1313">
        <v>28645.71336388055</v>
      </c>
      <c r="J1313">
        <v>2722.8921098608771</v>
      </c>
      <c r="K1313">
        <v>1903.765758703634</v>
      </c>
      <c r="L1313">
        <v>0.69917047091553897</v>
      </c>
    </row>
    <row r="1314" spans="1:12" x14ac:dyDescent="0.35">
      <c r="A1314">
        <v>2039</v>
      </c>
      <c r="B1314" t="s">
        <v>12</v>
      </c>
      <c r="C1314" t="s">
        <v>9</v>
      </c>
      <c r="D1314" t="s">
        <v>18</v>
      </c>
      <c r="E1314" t="s">
        <v>483</v>
      </c>
      <c r="F1314" t="s">
        <v>85</v>
      </c>
      <c r="G1314">
        <v>30549.47912258418</v>
      </c>
      <c r="H1314">
        <v>461670.14593495359</v>
      </c>
      <c r="I1314">
        <v>322786.13334098709</v>
      </c>
      <c r="J1314">
        <v>0</v>
      </c>
      <c r="K1314">
        <v>0</v>
      </c>
      <c r="L1314">
        <v>0.69917047091553897</v>
      </c>
    </row>
    <row r="1315" spans="1:12" x14ac:dyDescent="0.35">
      <c r="A1315">
        <v>2039</v>
      </c>
      <c r="B1315" t="s">
        <v>12</v>
      </c>
      <c r="C1315" t="s">
        <v>9</v>
      </c>
      <c r="D1315" t="s">
        <v>18</v>
      </c>
      <c r="E1315" t="s">
        <v>483</v>
      </c>
      <c r="F1315" t="s">
        <v>86</v>
      </c>
      <c r="G1315">
        <v>30549.47912258418</v>
      </c>
      <c r="H1315">
        <v>461670.14593495359</v>
      </c>
      <c r="I1315">
        <v>322786.13334098709</v>
      </c>
      <c r="J1315">
        <v>0</v>
      </c>
      <c r="K1315">
        <v>0</v>
      </c>
      <c r="L1315">
        <v>0.69917047091553897</v>
      </c>
    </row>
    <row r="1316" spans="1:12" x14ac:dyDescent="0.35">
      <c r="A1316">
        <v>2039</v>
      </c>
      <c r="B1316" t="s">
        <v>12</v>
      </c>
      <c r="C1316" t="s">
        <v>9</v>
      </c>
      <c r="D1316" t="s">
        <v>18</v>
      </c>
      <c r="E1316" t="s">
        <v>490</v>
      </c>
      <c r="F1316" t="s">
        <v>82</v>
      </c>
      <c r="G1316">
        <v>30549.47912258418</v>
      </c>
      <c r="H1316">
        <v>461670.14593495359</v>
      </c>
      <c r="I1316">
        <v>322786.13334098709</v>
      </c>
      <c r="J1316">
        <v>0</v>
      </c>
      <c r="K1316">
        <v>0</v>
      </c>
      <c r="L1316">
        <v>0.69917047091553897</v>
      </c>
    </row>
    <row r="1317" spans="1:12" x14ac:dyDescent="0.35">
      <c r="A1317">
        <v>2039</v>
      </c>
      <c r="B1317" t="s">
        <v>12</v>
      </c>
      <c r="C1317" t="s">
        <v>10</v>
      </c>
      <c r="D1317" t="s">
        <v>16</v>
      </c>
      <c r="E1317" t="s">
        <v>483</v>
      </c>
      <c r="F1317" t="s">
        <v>80</v>
      </c>
      <c r="G1317">
        <v>79224.408806461855</v>
      </c>
      <c r="H1317">
        <v>0</v>
      </c>
      <c r="I1317">
        <v>0</v>
      </c>
      <c r="J1317">
        <v>113312.0063018684</v>
      </c>
      <c r="K1317">
        <v>79224.408806461855</v>
      </c>
      <c r="L1317">
        <v>0.69917047091553897</v>
      </c>
    </row>
    <row r="1318" spans="1:12" x14ac:dyDescent="0.35">
      <c r="A1318">
        <v>2039</v>
      </c>
      <c r="B1318" t="s">
        <v>12</v>
      </c>
      <c r="C1318" t="s">
        <v>10</v>
      </c>
      <c r="D1318" t="s">
        <v>16</v>
      </c>
      <c r="E1318" t="s">
        <v>483</v>
      </c>
      <c r="F1318" t="s">
        <v>81</v>
      </c>
      <c r="G1318">
        <v>79224.408806461855</v>
      </c>
      <c r="H1318">
        <v>40971</v>
      </c>
      <c r="I1318">
        <v>28645.71336388055</v>
      </c>
      <c r="J1318">
        <v>72341.006301868416</v>
      </c>
      <c r="K1318">
        <v>50578.695442581309</v>
      </c>
      <c r="L1318">
        <v>0.69917047091553897</v>
      </c>
    </row>
    <row r="1319" spans="1:12" x14ac:dyDescent="0.35">
      <c r="A1319">
        <v>2039</v>
      </c>
      <c r="B1319" t="s">
        <v>12</v>
      </c>
      <c r="C1319" t="s">
        <v>10</v>
      </c>
      <c r="D1319" t="s">
        <v>18</v>
      </c>
      <c r="E1319" t="s">
        <v>483</v>
      </c>
      <c r="F1319" t="s">
        <v>85</v>
      </c>
      <c r="G1319">
        <v>79224.408806461855</v>
      </c>
      <c r="H1319">
        <v>461670.14593495359</v>
      </c>
      <c r="I1319">
        <v>322786.13334098709</v>
      </c>
      <c r="J1319">
        <v>0</v>
      </c>
      <c r="K1319">
        <v>0</v>
      </c>
      <c r="L1319">
        <v>0.69917047091553897</v>
      </c>
    </row>
    <row r="1320" spans="1:12" x14ac:dyDescent="0.35">
      <c r="A1320">
        <v>2039</v>
      </c>
      <c r="B1320" t="s">
        <v>12</v>
      </c>
      <c r="C1320" t="s">
        <v>10</v>
      </c>
      <c r="D1320" t="s">
        <v>18</v>
      </c>
      <c r="E1320" t="s">
        <v>483</v>
      </c>
      <c r="F1320" t="s">
        <v>86</v>
      </c>
      <c r="G1320">
        <v>79224.408806461855</v>
      </c>
      <c r="H1320">
        <v>461670.14593495359</v>
      </c>
      <c r="I1320">
        <v>322786.13334098709</v>
      </c>
      <c r="J1320">
        <v>0</v>
      </c>
      <c r="K1320">
        <v>0</v>
      </c>
      <c r="L1320">
        <v>0.69917047091553897</v>
      </c>
    </row>
    <row r="1321" spans="1:12" x14ac:dyDescent="0.35">
      <c r="A1321">
        <v>2039</v>
      </c>
      <c r="B1321" t="s">
        <v>12</v>
      </c>
      <c r="C1321" t="s">
        <v>10</v>
      </c>
      <c r="D1321" t="s">
        <v>18</v>
      </c>
      <c r="E1321" t="s">
        <v>490</v>
      </c>
      <c r="F1321" t="s">
        <v>82</v>
      </c>
      <c r="G1321">
        <v>79224.408806461855</v>
      </c>
      <c r="H1321">
        <v>461670.14593495359</v>
      </c>
      <c r="I1321">
        <v>322786.13334098709</v>
      </c>
      <c r="J1321">
        <v>0</v>
      </c>
      <c r="K1321">
        <v>0</v>
      </c>
      <c r="L1321">
        <v>0.69917047091553897</v>
      </c>
    </row>
    <row r="1322" spans="1:12" x14ac:dyDescent="0.35">
      <c r="A1322">
        <v>2039</v>
      </c>
      <c r="B1322" t="s">
        <v>11</v>
      </c>
      <c r="C1322" t="s">
        <v>4</v>
      </c>
      <c r="D1322" t="s">
        <v>16</v>
      </c>
      <c r="E1322" t="s">
        <v>483</v>
      </c>
      <c r="F1322" t="s">
        <v>80</v>
      </c>
      <c r="G1322">
        <v>6923.3275332631974</v>
      </c>
      <c r="H1322">
        <v>0</v>
      </c>
      <c r="I1322">
        <v>0</v>
      </c>
      <c r="J1322">
        <v>11566.950012257979</v>
      </c>
      <c r="K1322">
        <v>6923.3275332631974</v>
      </c>
      <c r="L1322">
        <v>0.59854391398996798</v>
      </c>
    </row>
    <row r="1323" spans="1:12" x14ac:dyDescent="0.35">
      <c r="A1323">
        <v>2039</v>
      </c>
      <c r="B1323" t="s">
        <v>11</v>
      </c>
      <c r="C1323" t="s">
        <v>4</v>
      </c>
      <c r="D1323" t="s">
        <v>16</v>
      </c>
      <c r="E1323" t="s">
        <v>483</v>
      </c>
      <c r="F1323" t="s">
        <v>81</v>
      </c>
      <c r="G1323">
        <v>6923.3275332631974</v>
      </c>
      <c r="H1323">
        <v>0</v>
      </c>
      <c r="I1323">
        <v>0</v>
      </c>
      <c r="J1323">
        <v>11566.950012257979</v>
      </c>
      <c r="K1323">
        <v>6923.3275332631974</v>
      </c>
      <c r="L1323">
        <v>0.59854391398996798</v>
      </c>
    </row>
    <row r="1324" spans="1:12" x14ac:dyDescent="0.35">
      <c r="A1324">
        <v>2039</v>
      </c>
      <c r="B1324" t="s">
        <v>11</v>
      </c>
      <c r="C1324" t="s">
        <v>4</v>
      </c>
      <c r="D1324" t="s">
        <v>18</v>
      </c>
      <c r="E1324" t="s">
        <v>483</v>
      </c>
      <c r="F1324" t="s">
        <v>85</v>
      </c>
      <c r="G1324">
        <v>6923.3275332631974</v>
      </c>
      <c r="H1324">
        <v>308.22170458690948</v>
      </c>
      <c r="I1324">
        <v>184.48422544010839</v>
      </c>
      <c r="J1324">
        <v>11258.72830767107</v>
      </c>
      <c r="K1324">
        <v>6738.8433078230892</v>
      </c>
      <c r="L1324">
        <v>0.59854391398996798</v>
      </c>
    </row>
    <row r="1325" spans="1:12" x14ac:dyDescent="0.35">
      <c r="A1325">
        <v>2039</v>
      </c>
      <c r="B1325" t="s">
        <v>11</v>
      </c>
      <c r="C1325" t="s">
        <v>4</v>
      </c>
      <c r="D1325" t="s">
        <v>18</v>
      </c>
      <c r="E1325" t="s">
        <v>483</v>
      </c>
      <c r="F1325" t="s">
        <v>86</v>
      </c>
      <c r="G1325">
        <v>6923.3275332631974</v>
      </c>
      <c r="H1325">
        <v>308.22170458690948</v>
      </c>
      <c r="I1325">
        <v>184.48422544010839</v>
      </c>
      <c r="J1325">
        <v>11258.72830767107</v>
      </c>
      <c r="K1325">
        <v>6738.8433078230892</v>
      </c>
      <c r="L1325">
        <v>0.59854391398996798</v>
      </c>
    </row>
    <row r="1326" spans="1:12" x14ac:dyDescent="0.35">
      <c r="A1326">
        <v>2039</v>
      </c>
      <c r="B1326" t="s">
        <v>11</v>
      </c>
      <c r="C1326" t="s">
        <v>4</v>
      </c>
      <c r="D1326" t="s">
        <v>18</v>
      </c>
      <c r="E1326" t="s">
        <v>490</v>
      </c>
      <c r="F1326" t="s">
        <v>82</v>
      </c>
      <c r="G1326">
        <v>6923.3275332631974</v>
      </c>
      <c r="H1326">
        <v>308.22170458690948</v>
      </c>
      <c r="I1326">
        <v>184.48422544010839</v>
      </c>
      <c r="J1326">
        <v>11258.72830767107</v>
      </c>
      <c r="K1326">
        <v>6738.8433078230892</v>
      </c>
      <c r="L1326">
        <v>0.59854391398996798</v>
      </c>
    </row>
    <row r="1327" spans="1:12" x14ac:dyDescent="0.35">
      <c r="A1327">
        <v>2039</v>
      </c>
      <c r="B1327" t="s">
        <v>11</v>
      </c>
      <c r="C1327" t="s">
        <v>9</v>
      </c>
      <c r="D1327" t="s">
        <v>16</v>
      </c>
      <c r="E1327" t="s">
        <v>483</v>
      </c>
      <c r="F1327" t="s">
        <v>80</v>
      </c>
      <c r="G1327">
        <v>2272.804134899478</v>
      </c>
      <c r="H1327">
        <v>0</v>
      </c>
      <c r="I1327">
        <v>0</v>
      </c>
      <c r="J1327">
        <v>3797.2220279522739</v>
      </c>
      <c r="K1327">
        <v>2272.804134899478</v>
      </c>
      <c r="L1327">
        <v>0.59854391398996798</v>
      </c>
    </row>
    <row r="1328" spans="1:12" x14ac:dyDescent="0.35">
      <c r="A1328">
        <v>2039</v>
      </c>
      <c r="B1328" t="s">
        <v>11</v>
      </c>
      <c r="C1328" t="s">
        <v>9</v>
      </c>
      <c r="D1328" t="s">
        <v>16</v>
      </c>
      <c r="E1328" t="s">
        <v>483</v>
      </c>
      <c r="F1328" t="s">
        <v>81</v>
      </c>
      <c r="G1328">
        <v>2272.804134899478</v>
      </c>
      <c r="H1328">
        <v>0</v>
      </c>
      <c r="I1328">
        <v>0</v>
      </c>
      <c r="J1328">
        <v>3797.2220279522739</v>
      </c>
      <c r="K1328">
        <v>2272.804134899478</v>
      </c>
      <c r="L1328">
        <v>0.59854391398996798</v>
      </c>
    </row>
    <row r="1329" spans="1:12" x14ac:dyDescent="0.35">
      <c r="A1329">
        <v>2039</v>
      </c>
      <c r="B1329" t="s">
        <v>11</v>
      </c>
      <c r="C1329" t="s">
        <v>9</v>
      </c>
      <c r="D1329" t="s">
        <v>18</v>
      </c>
      <c r="E1329" t="s">
        <v>483</v>
      </c>
      <c r="F1329" t="s">
        <v>85</v>
      </c>
      <c r="G1329">
        <v>2272.804134899478</v>
      </c>
      <c r="H1329">
        <v>308.22170458690948</v>
      </c>
      <c r="I1329">
        <v>184.48422544010839</v>
      </c>
      <c r="J1329">
        <v>3489.0003233653651</v>
      </c>
      <c r="K1329">
        <v>2088.3199094593701</v>
      </c>
      <c r="L1329">
        <v>0.59854391398996798</v>
      </c>
    </row>
    <row r="1330" spans="1:12" x14ac:dyDescent="0.35">
      <c r="A1330">
        <v>2039</v>
      </c>
      <c r="B1330" t="s">
        <v>11</v>
      </c>
      <c r="C1330" t="s">
        <v>9</v>
      </c>
      <c r="D1330" t="s">
        <v>18</v>
      </c>
      <c r="E1330" t="s">
        <v>483</v>
      </c>
      <c r="F1330" t="s">
        <v>86</v>
      </c>
      <c r="G1330">
        <v>2272.804134899478</v>
      </c>
      <c r="H1330">
        <v>308.22170458690948</v>
      </c>
      <c r="I1330">
        <v>184.48422544010839</v>
      </c>
      <c r="J1330">
        <v>3489.0003233653651</v>
      </c>
      <c r="K1330">
        <v>2088.3199094593701</v>
      </c>
      <c r="L1330">
        <v>0.59854391398996798</v>
      </c>
    </row>
    <row r="1331" spans="1:12" x14ac:dyDescent="0.35">
      <c r="A1331">
        <v>2039</v>
      </c>
      <c r="B1331" t="s">
        <v>11</v>
      </c>
      <c r="C1331" t="s">
        <v>9</v>
      </c>
      <c r="D1331" t="s">
        <v>18</v>
      </c>
      <c r="E1331" t="s">
        <v>490</v>
      </c>
      <c r="F1331" t="s">
        <v>82</v>
      </c>
      <c r="G1331">
        <v>2272.804134899478</v>
      </c>
      <c r="H1331">
        <v>308.22170458690948</v>
      </c>
      <c r="I1331">
        <v>184.48422544010839</v>
      </c>
      <c r="J1331">
        <v>3489.0003233653651</v>
      </c>
      <c r="K1331">
        <v>2088.3199094593701</v>
      </c>
      <c r="L1331">
        <v>0.59854391398996798</v>
      </c>
    </row>
    <row r="1332" spans="1:12" x14ac:dyDescent="0.35">
      <c r="A1332">
        <v>2039</v>
      </c>
      <c r="B1332" t="s">
        <v>11</v>
      </c>
      <c r="C1332" t="s">
        <v>10</v>
      </c>
      <c r="D1332" t="s">
        <v>16</v>
      </c>
      <c r="E1332" t="s">
        <v>483</v>
      </c>
      <c r="F1332" t="s">
        <v>80</v>
      </c>
      <c r="G1332">
        <v>6634.0960399936675</v>
      </c>
      <c r="H1332">
        <v>0</v>
      </c>
      <c r="I1332">
        <v>0</v>
      </c>
      <c r="J1332">
        <v>11083.724827757351</v>
      </c>
      <c r="K1332">
        <v>6634.0960399936675</v>
      </c>
      <c r="L1332">
        <v>0.59854391398996798</v>
      </c>
    </row>
    <row r="1333" spans="1:12" x14ac:dyDescent="0.35">
      <c r="A1333">
        <v>2039</v>
      </c>
      <c r="B1333" t="s">
        <v>11</v>
      </c>
      <c r="C1333" t="s">
        <v>10</v>
      </c>
      <c r="D1333" t="s">
        <v>16</v>
      </c>
      <c r="E1333" t="s">
        <v>483</v>
      </c>
      <c r="F1333" t="s">
        <v>81</v>
      </c>
      <c r="G1333">
        <v>6634.0960399936675</v>
      </c>
      <c r="H1333">
        <v>0</v>
      </c>
      <c r="I1333">
        <v>0</v>
      </c>
      <c r="J1333">
        <v>11083.724827757351</v>
      </c>
      <c r="K1333">
        <v>6634.0960399936675</v>
      </c>
      <c r="L1333">
        <v>0.59854391398996798</v>
      </c>
    </row>
    <row r="1334" spans="1:12" x14ac:dyDescent="0.35">
      <c r="A1334">
        <v>2039</v>
      </c>
      <c r="B1334" t="s">
        <v>11</v>
      </c>
      <c r="C1334" t="s">
        <v>10</v>
      </c>
      <c r="D1334" t="s">
        <v>18</v>
      </c>
      <c r="E1334" t="s">
        <v>483</v>
      </c>
      <c r="F1334" t="s">
        <v>85</v>
      </c>
      <c r="G1334">
        <v>6634.0960399936675</v>
      </c>
      <c r="H1334">
        <v>308.22170458690948</v>
      </c>
      <c r="I1334">
        <v>184.48422544010839</v>
      </c>
      <c r="J1334">
        <v>10775.50312317044</v>
      </c>
      <c r="K1334">
        <v>6449.6118145535593</v>
      </c>
      <c r="L1334">
        <v>0.59854391398996798</v>
      </c>
    </row>
    <row r="1335" spans="1:12" x14ac:dyDescent="0.35">
      <c r="A1335">
        <v>2039</v>
      </c>
      <c r="B1335" t="s">
        <v>11</v>
      </c>
      <c r="C1335" t="s">
        <v>10</v>
      </c>
      <c r="D1335" t="s">
        <v>18</v>
      </c>
      <c r="E1335" t="s">
        <v>483</v>
      </c>
      <c r="F1335" t="s">
        <v>86</v>
      </c>
      <c r="G1335">
        <v>6634.0960399936675</v>
      </c>
      <c r="H1335">
        <v>308.22170458690948</v>
      </c>
      <c r="I1335">
        <v>184.48422544010839</v>
      </c>
      <c r="J1335">
        <v>10775.50312317044</v>
      </c>
      <c r="K1335">
        <v>6449.6118145535593</v>
      </c>
      <c r="L1335">
        <v>0.59854391398996798</v>
      </c>
    </row>
    <row r="1336" spans="1:12" x14ac:dyDescent="0.35">
      <c r="A1336">
        <v>2039</v>
      </c>
      <c r="B1336" t="s">
        <v>11</v>
      </c>
      <c r="C1336" t="s">
        <v>10</v>
      </c>
      <c r="D1336" t="s">
        <v>18</v>
      </c>
      <c r="E1336" t="s">
        <v>490</v>
      </c>
      <c r="F1336" t="s">
        <v>82</v>
      </c>
      <c r="G1336">
        <v>6634.0960399936675</v>
      </c>
      <c r="H1336">
        <v>308.22170458690948</v>
      </c>
      <c r="I1336">
        <v>184.48422544010839</v>
      </c>
      <c r="J1336">
        <v>10775.50312317044</v>
      </c>
      <c r="K1336">
        <v>6449.6118145535593</v>
      </c>
      <c r="L1336">
        <v>0.59854391398996798</v>
      </c>
    </row>
    <row r="1337" spans="1:12" x14ac:dyDescent="0.35">
      <c r="A1337">
        <v>2039</v>
      </c>
      <c r="B1337" t="s">
        <v>8</v>
      </c>
      <c r="C1337" t="s">
        <v>4</v>
      </c>
      <c r="D1337" t="s">
        <v>16</v>
      </c>
      <c r="E1337" t="s">
        <v>483</v>
      </c>
      <c r="F1337" t="s">
        <v>80</v>
      </c>
      <c r="G1337">
        <v>196109.6797893378</v>
      </c>
      <c r="H1337">
        <v>0</v>
      </c>
      <c r="I1337">
        <v>0</v>
      </c>
      <c r="J1337">
        <v>249010.77457688481</v>
      </c>
      <c r="K1337">
        <v>196109.6797893378</v>
      </c>
      <c r="L1337">
        <v>0.787554996857322</v>
      </c>
    </row>
    <row r="1338" spans="1:12" x14ac:dyDescent="0.35">
      <c r="A1338">
        <v>2039</v>
      </c>
      <c r="B1338" t="s">
        <v>8</v>
      </c>
      <c r="C1338" t="s">
        <v>4</v>
      </c>
      <c r="D1338" t="s">
        <v>16</v>
      </c>
      <c r="E1338" t="s">
        <v>483</v>
      </c>
      <c r="F1338" t="s">
        <v>81</v>
      </c>
      <c r="G1338">
        <v>196109.6797893378</v>
      </c>
      <c r="H1338">
        <v>37000</v>
      </c>
      <c r="I1338">
        <v>20752.561586838339</v>
      </c>
      <c r="J1338">
        <v>212010.77457688481</v>
      </c>
      <c r="K1338">
        <v>175357.11820249949</v>
      </c>
      <c r="L1338">
        <v>0.787554996857322</v>
      </c>
    </row>
    <row r="1339" spans="1:12" x14ac:dyDescent="0.35">
      <c r="A1339">
        <v>2039</v>
      </c>
      <c r="B1339" t="s">
        <v>8</v>
      </c>
      <c r="C1339" t="s">
        <v>4</v>
      </c>
      <c r="D1339" t="s">
        <v>18</v>
      </c>
      <c r="E1339" t="s">
        <v>483</v>
      </c>
      <c r="F1339" t="s">
        <v>85</v>
      </c>
      <c r="G1339">
        <v>196109.6797893378</v>
      </c>
      <c r="H1339">
        <v>269842.82978615753</v>
      </c>
      <c r="I1339">
        <v>151349.45794335051</v>
      </c>
      <c r="J1339">
        <v>0</v>
      </c>
      <c r="K1339">
        <v>44760.221845987311</v>
      </c>
      <c r="L1339">
        <v>0.787554996857322</v>
      </c>
    </row>
    <row r="1340" spans="1:12" x14ac:dyDescent="0.35">
      <c r="A1340">
        <v>2039</v>
      </c>
      <c r="B1340" t="s">
        <v>8</v>
      </c>
      <c r="C1340" t="s">
        <v>4</v>
      </c>
      <c r="D1340" t="s">
        <v>18</v>
      </c>
      <c r="E1340" t="s">
        <v>483</v>
      </c>
      <c r="F1340" t="s">
        <v>86</v>
      </c>
      <c r="G1340">
        <v>196109.6797893378</v>
      </c>
      <c r="H1340">
        <v>269842.82978615753</v>
      </c>
      <c r="I1340">
        <v>151349.45794335051</v>
      </c>
      <c r="J1340">
        <v>0</v>
      </c>
      <c r="K1340">
        <v>44760.221845987311</v>
      </c>
      <c r="L1340">
        <v>0.787554996857322</v>
      </c>
    </row>
    <row r="1341" spans="1:12" x14ac:dyDescent="0.35">
      <c r="A1341">
        <v>2039</v>
      </c>
      <c r="B1341" t="s">
        <v>8</v>
      </c>
      <c r="C1341" t="s">
        <v>4</v>
      </c>
      <c r="D1341" t="s">
        <v>18</v>
      </c>
      <c r="E1341" t="s">
        <v>490</v>
      </c>
      <c r="F1341" t="s">
        <v>82</v>
      </c>
      <c r="G1341">
        <v>196109.6797893378</v>
      </c>
      <c r="H1341">
        <v>269842.82978615753</v>
      </c>
      <c r="I1341">
        <v>212516.06896420821</v>
      </c>
      <c r="J1341">
        <v>0</v>
      </c>
      <c r="K1341">
        <v>0</v>
      </c>
      <c r="L1341">
        <v>0.787554996857322</v>
      </c>
    </row>
    <row r="1342" spans="1:12" x14ac:dyDescent="0.35">
      <c r="A1342">
        <v>2039</v>
      </c>
      <c r="B1342" t="s">
        <v>8</v>
      </c>
      <c r="C1342" t="s">
        <v>9</v>
      </c>
      <c r="D1342" t="s">
        <v>16</v>
      </c>
      <c r="E1342" t="s">
        <v>483</v>
      </c>
      <c r="F1342" t="s">
        <v>80</v>
      </c>
      <c r="G1342">
        <v>76434.087778382978</v>
      </c>
      <c r="H1342">
        <v>0</v>
      </c>
      <c r="I1342">
        <v>0</v>
      </c>
      <c r="J1342">
        <v>97052.3812094233</v>
      </c>
      <c r="K1342">
        <v>76434.087778382978</v>
      </c>
      <c r="L1342">
        <v>0.787554996857322</v>
      </c>
    </row>
    <row r="1343" spans="1:12" x14ac:dyDescent="0.35">
      <c r="A1343">
        <v>2039</v>
      </c>
      <c r="B1343" t="s">
        <v>8</v>
      </c>
      <c r="C1343" t="s">
        <v>9</v>
      </c>
      <c r="D1343" t="s">
        <v>16</v>
      </c>
      <c r="E1343" t="s">
        <v>483</v>
      </c>
      <c r="F1343" t="s">
        <v>81</v>
      </c>
      <c r="G1343">
        <v>76434.087778382978</v>
      </c>
      <c r="H1343">
        <v>37000</v>
      </c>
      <c r="I1343">
        <v>20752.561586838339</v>
      </c>
      <c r="J1343">
        <v>60052.3812094233</v>
      </c>
      <c r="K1343">
        <v>55681.526191544639</v>
      </c>
      <c r="L1343">
        <v>0.787554996857322</v>
      </c>
    </row>
    <row r="1344" spans="1:12" x14ac:dyDescent="0.35">
      <c r="A1344">
        <v>2039</v>
      </c>
      <c r="B1344" t="s">
        <v>8</v>
      </c>
      <c r="C1344" t="s">
        <v>9</v>
      </c>
      <c r="D1344" t="s">
        <v>18</v>
      </c>
      <c r="E1344" t="s">
        <v>483</v>
      </c>
      <c r="F1344" t="s">
        <v>85</v>
      </c>
      <c r="G1344">
        <v>76434.087778382978</v>
      </c>
      <c r="H1344">
        <v>269842.82978615753</v>
      </c>
      <c r="I1344">
        <v>151349.45794335051</v>
      </c>
      <c r="J1344">
        <v>0</v>
      </c>
      <c r="K1344">
        <v>0</v>
      </c>
      <c r="L1344">
        <v>0.787554996857322</v>
      </c>
    </row>
    <row r="1345" spans="1:12" x14ac:dyDescent="0.35">
      <c r="A1345">
        <v>2039</v>
      </c>
      <c r="B1345" t="s">
        <v>8</v>
      </c>
      <c r="C1345" t="s">
        <v>9</v>
      </c>
      <c r="D1345" t="s">
        <v>18</v>
      </c>
      <c r="E1345" t="s">
        <v>483</v>
      </c>
      <c r="F1345" t="s">
        <v>86</v>
      </c>
      <c r="G1345">
        <v>76434.087778382978</v>
      </c>
      <c r="H1345">
        <v>269842.82978615753</v>
      </c>
      <c r="I1345">
        <v>151349.45794335051</v>
      </c>
      <c r="J1345">
        <v>0</v>
      </c>
      <c r="K1345">
        <v>0</v>
      </c>
      <c r="L1345">
        <v>0.787554996857322</v>
      </c>
    </row>
    <row r="1346" spans="1:12" x14ac:dyDescent="0.35">
      <c r="A1346">
        <v>2039</v>
      </c>
      <c r="B1346" t="s">
        <v>8</v>
      </c>
      <c r="C1346" t="s">
        <v>9</v>
      </c>
      <c r="D1346" t="s">
        <v>18</v>
      </c>
      <c r="E1346" t="s">
        <v>490</v>
      </c>
      <c r="F1346" t="s">
        <v>82</v>
      </c>
      <c r="G1346">
        <v>76434.087778382978</v>
      </c>
      <c r="H1346">
        <v>269842.82978615753</v>
      </c>
      <c r="I1346">
        <v>212516.06896420821</v>
      </c>
      <c r="J1346">
        <v>0</v>
      </c>
      <c r="K1346">
        <v>0</v>
      </c>
      <c r="L1346">
        <v>0.787554996857322</v>
      </c>
    </row>
    <row r="1347" spans="1:12" x14ac:dyDescent="0.35">
      <c r="A1347">
        <v>2039</v>
      </c>
      <c r="B1347" t="s">
        <v>8</v>
      </c>
      <c r="C1347" t="s">
        <v>10</v>
      </c>
      <c r="D1347" t="s">
        <v>16</v>
      </c>
      <c r="E1347" t="s">
        <v>483</v>
      </c>
      <c r="F1347" t="s">
        <v>80</v>
      </c>
      <c r="G1347">
        <v>187945.44464517839</v>
      </c>
      <c r="H1347">
        <v>0</v>
      </c>
      <c r="I1347">
        <v>0</v>
      </c>
      <c r="J1347">
        <v>238644.2158263998</v>
      </c>
      <c r="K1347">
        <v>187945.44464517839</v>
      </c>
      <c r="L1347">
        <v>0.787554996857322</v>
      </c>
    </row>
    <row r="1348" spans="1:12" x14ac:dyDescent="0.35">
      <c r="A1348">
        <v>2039</v>
      </c>
      <c r="B1348" t="s">
        <v>8</v>
      </c>
      <c r="C1348" t="s">
        <v>10</v>
      </c>
      <c r="D1348" t="s">
        <v>16</v>
      </c>
      <c r="E1348" t="s">
        <v>483</v>
      </c>
      <c r="F1348" t="s">
        <v>81</v>
      </c>
      <c r="G1348">
        <v>187945.44464517839</v>
      </c>
      <c r="H1348">
        <v>37000</v>
      </c>
      <c r="I1348">
        <v>20752.561586838339</v>
      </c>
      <c r="J1348">
        <v>201644.2158263998</v>
      </c>
      <c r="K1348">
        <v>167192.88305834011</v>
      </c>
      <c r="L1348">
        <v>0.787554996857322</v>
      </c>
    </row>
    <row r="1349" spans="1:12" x14ac:dyDescent="0.35">
      <c r="A1349">
        <v>2039</v>
      </c>
      <c r="B1349" t="s">
        <v>8</v>
      </c>
      <c r="C1349" t="s">
        <v>10</v>
      </c>
      <c r="D1349" t="s">
        <v>18</v>
      </c>
      <c r="E1349" t="s">
        <v>483</v>
      </c>
      <c r="F1349" t="s">
        <v>85</v>
      </c>
      <c r="G1349">
        <v>187945.44464517839</v>
      </c>
      <c r="H1349">
        <v>269842.82978615753</v>
      </c>
      <c r="I1349">
        <v>151349.45794335051</v>
      </c>
      <c r="J1349">
        <v>0</v>
      </c>
      <c r="K1349">
        <v>36595.986701827896</v>
      </c>
      <c r="L1349">
        <v>0.787554996857322</v>
      </c>
    </row>
    <row r="1350" spans="1:12" x14ac:dyDescent="0.35">
      <c r="A1350">
        <v>2039</v>
      </c>
      <c r="B1350" t="s">
        <v>8</v>
      </c>
      <c r="C1350" t="s">
        <v>10</v>
      </c>
      <c r="D1350" t="s">
        <v>18</v>
      </c>
      <c r="E1350" t="s">
        <v>483</v>
      </c>
      <c r="F1350" t="s">
        <v>86</v>
      </c>
      <c r="G1350">
        <v>187945.44464517839</v>
      </c>
      <c r="H1350">
        <v>269842.82978615753</v>
      </c>
      <c r="I1350">
        <v>151349.45794335051</v>
      </c>
      <c r="J1350">
        <v>0</v>
      </c>
      <c r="K1350">
        <v>36595.986701827896</v>
      </c>
      <c r="L1350">
        <v>0.787554996857322</v>
      </c>
    </row>
    <row r="1351" spans="1:12" x14ac:dyDescent="0.35">
      <c r="A1351">
        <v>2039</v>
      </c>
      <c r="B1351" t="s">
        <v>8</v>
      </c>
      <c r="C1351" t="s">
        <v>10</v>
      </c>
      <c r="D1351" t="s">
        <v>18</v>
      </c>
      <c r="E1351" t="s">
        <v>490</v>
      </c>
      <c r="F1351" t="s">
        <v>82</v>
      </c>
      <c r="G1351">
        <v>187945.44464517839</v>
      </c>
      <c r="H1351">
        <v>269842.82978615753</v>
      </c>
      <c r="I1351">
        <v>212516.06896420821</v>
      </c>
      <c r="J1351">
        <v>0</v>
      </c>
      <c r="K1351">
        <v>0</v>
      </c>
      <c r="L1351">
        <v>0.787554996857322</v>
      </c>
    </row>
    <row r="1352" spans="1:12" x14ac:dyDescent="0.35">
      <c r="A1352">
        <v>2040</v>
      </c>
      <c r="B1352" t="s">
        <v>6</v>
      </c>
      <c r="C1352" t="s">
        <v>4</v>
      </c>
      <c r="D1352" t="s">
        <v>16</v>
      </c>
      <c r="E1352" t="s">
        <v>483</v>
      </c>
      <c r="F1352" t="s">
        <v>80</v>
      </c>
      <c r="G1352">
        <v>262254.85822449211</v>
      </c>
      <c r="H1352">
        <v>0</v>
      </c>
      <c r="I1352">
        <v>0</v>
      </c>
      <c r="J1352">
        <v>596920.24180141487</v>
      </c>
      <c r="K1352">
        <v>262254.85822449211</v>
      </c>
      <c r="L1352">
        <v>0.439346565686978</v>
      </c>
    </row>
    <row r="1353" spans="1:12" x14ac:dyDescent="0.35">
      <c r="A1353">
        <v>2040</v>
      </c>
      <c r="B1353" t="s">
        <v>6</v>
      </c>
      <c r="C1353" t="s">
        <v>4</v>
      </c>
      <c r="D1353" t="s">
        <v>16</v>
      </c>
      <c r="E1353" t="s">
        <v>483</v>
      </c>
      <c r="F1353" t="s">
        <v>81</v>
      </c>
      <c r="G1353">
        <v>262254.85822449211</v>
      </c>
      <c r="H1353">
        <v>261</v>
      </c>
      <c r="I1353">
        <v>110.71145720551</v>
      </c>
      <c r="J1353">
        <v>596659.24180141487</v>
      </c>
      <c r="K1353">
        <v>262144.14676728658</v>
      </c>
      <c r="L1353">
        <v>0.439346565686978</v>
      </c>
    </row>
    <row r="1354" spans="1:12" x14ac:dyDescent="0.35">
      <c r="A1354">
        <v>2040</v>
      </c>
      <c r="B1354" t="s">
        <v>6</v>
      </c>
      <c r="C1354" t="s">
        <v>4</v>
      </c>
      <c r="D1354" t="s">
        <v>18</v>
      </c>
      <c r="E1354" t="s">
        <v>483</v>
      </c>
      <c r="F1354" t="s">
        <v>85</v>
      </c>
      <c r="G1354">
        <v>262254.85822449211</v>
      </c>
      <c r="H1354">
        <v>31066.54411043779</v>
      </c>
      <c r="I1354">
        <v>13177.863482014651</v>
      </c>
      <c r="J1354">
        <v>565853.69769097713</v>
      </c>
      <c r="K1354">
        <v>249076.99474247749</v>
      </c>
      <c r="L1354">
        <v>0.439346565686978</v>
      </c>
    </row>
    <row r="1355" spans="1:12" x14ac:dyDescent="0.35">
      <c r="A1355">
        <v>2040</v>
      </c>
      <c r="B1355" t="s">
        <v>6</v>
      </c>
      <c r="C1355" t="s">
        <v>4</v>
      </c>
      <c r="D1355" t="s">
        <v>18</v>
      </c>
      <c r="E1355" t="s">
        <v>483</v>
      </c>
      <c r="F1355" t="s">
        <v>86</v>
      </c>
      <c r="G1355">
        <v>262254.85822449211</v>
      </c>
      <c r="H1355">
        <v>31066.54411043779</v>
      </c>
      <c r="I1355">
        <v>13177.863482014651</v>
      </c>
      <c r="J1355">
        <v>565853.69769097713</v>
      </c>
      <c r="K1355">
        <v>249076.99474247749</v>
      </c>
      <c r="L1355">
        <v>0.439346565686978</v>
      </c>
    </row>
    <row r="1356" spans="1:12" x14ac:dyDescent="0.35">
      <c r="A1356">
        <v>2040</v>
      </c>
      <c r="B1356" t="s">
        <v>6</v>
      </c>
      <c r="C1356" t="s">
        <v>4</v>
      </c>
      <c r="D1356" t="s">
        <v>18</v>
      </c>
      <c r="E1356" t="s">
        <v>490</v>
      </c>
      <c r="F1356" t="s">
        <v>82</v>
      </c>
      <c r="G1356">
        <v>262254.85822449211</v>
      </c>
      <c r="H1356">
        <v>31066.54411043779</v>
      </c>
      <c r="I1356">
        <v>13648.97946268387</v>
      </c>
      <c r="J1356">
        <v>565853.69769097713</v>
      </c>
      <c r="K1356">
        <v>248605.87876180821</v>
      </c>
      <c r="L1356">
        <v>0.439346565686978</v>
      </c>
    </row>
    <row r="1357" spans="1:12" x14ac:dyDescent="0.35">
      <c r="A1357">
        <v>2040</v>
      </c>
      <c r="B1357" t="s">
        <v>6</v>
      </c>
      <c r="C1357" t="s">
        <v>9</v>
      </c>
      <c r="D1357" t="s">
        <v>16</v>
      </c>
      <c r="E1357" t="s">
        <v>483</v>
      </c>
      <c r="F1357" t="s">
        <v>80</v>
      </c>
      <c r="G1357">
        <v>98467.56791655843</v>
      </c>
      <c r="H1357">
        <v>0</v>
      </c>
      <c r="I1357">
        <v>0</v>
      </c>
      <c r="J1357">
        <v>224122.76686991061</v>
      </c>
      <c r="K1357">
        <v>98467.56791655843</v>
      </c>
      <c r="L1357">
        <v>0.439346565686978</v>
      </c>
    </row>
    <row r="1358" spans="1:12" x14ac:dyDescent="0.35">
      <c r="A1358">
        <v>2040</v>
      </c>
      <c r="B1358" t="s">
        <v>6</v>
      </c>
      <c r="C1358" t="s">
        <v>9</v>
      </c>
      <c r="D1358" t="s">
        <v>16</v>
      </c>
      <c r="E1358" t="s">
        <v>483</v>
      </c>
      <c r="F1358" t="s">
        <v>81</v>
      </c>
      <c r="G1358">
        <v>98467.56791655843</v>
      </c>
      <c r="H1358">
        <v>261</v>
      </c>
      <c r="I1358">
        <v>110.71145720551</v>
      </c>
      <c r="J1358">
        <v>223861.76686991061</v>
      </c>
      <c r="K1358">
        <v>98356.856459352915</v>
      </c>
      <c r="L1358">
        <v>0.439346565686978</v>
      </c>
    </row>
    <row r="1359" spans="1:12" x14ac:dyDescent="0.35">
      <c r="A1359">
        <v>2040</v>
      </c>
      <c r="B1359" t="s">
        <v>6</v>
      </c>
      <c r="C1359" t="s">
        <v>9</v>
      </c>
      <c r="D1359" t="s">
        <v>18</v>
      </c>
      <c r="E1359" t="s">
        <v>483</v>
      </c>
      <c r="F1359" t="s">
        <v>85</v>
      </c>
      <c r="G1359">
        <v>98467.56791655843</v>
      </c>
      <c r="H1359">
        <v>31066.54411043779</v>
      </c>
      <c r="I1359">
        <v>13177.863482014651</v>
      </c>
      <c r="J1359">
        <v>193056.22275947279</v>
      </c>
      <c r="K1359">
        <v>85289.70443454379</v>
      </c>
      <c r="L1359">
        <v>0.439346565686978</v>
      </c>
    </row>
    <row r="1360" spans="1:12" x14ac:dyDescent="0.35">
      <c r="A1360">
        <v>2040</v>
      </c>
      <c r="B1360" t="s">
        <v>6</v>
      </c>
      <c r="C1360" t="s">
        <v>9</v>
      </c>
      <c r="D1360" t="s">
        <v>18</v>
      </c>
      <c r="E1360" t="s">
        <v>483</v>
      </c>
      <c r="F1360" t="s">
        <v>86</v>
      </c>
      <c r="G1360">
        <v>98467.56791655843</v>
      </c>
      <c r="H1360">
        <v>31066.54411043779</v>
      </c>
      <c r="I1360">
        <v>13177.863482014651</v>
      </c>
      <c r="J1360">
        <v>193056.22275947279</v>
      </c>
      <c r="K1360">
        <v>85289.70443454379</v>
      </c>
      <c r="L1360">
        <v>0.439346565686978</v>
      </c>
    </row>
    <row r="1361" spans="1:12" x14ac:dyDescent="0.35">
      <c r="A1361">
        <v>2040</v>
      </c>
      <c r="B1361" t="s">
        <v>6</v>
      </c>
      <c r="C1361" t="s">
        <v>9</v>
      </c>
      <c r="D1361" t="s">
        <v>18</v>
      </c>
      <c r="E1361" t="s">
        <v>490</v>
      </c>
      <c r="F1361" t="s">
        <v>82</v>
      </c>
      <c r="G1361">
        <v>98467.56791655843</v>
      </c>
      <c r="H1361">
        <v>31066.54411043779</v>
      </c>
      <c r="I1361">
        <v>13648.97946268387</v>
      </c>
      <c r="J1361">
        <v>193056.22275947279</v>
      </c>
      <c r="K1361">
        <v>84818.588453874559</v>
      </c>
      <c r="L1361">
        <v>0.439346565686978</v>
      </c>
    </row>
    <row r="1362" spans="1:12" x14ac:dyDescent="0.35">
      <c r="A1362">
        <v>2040</v>
      </c>
      <c r="B1362" t="s">
        <v>6</v>
      </c>
      <c r="C1362" t="s">
        <v>10</v>
      </c>
      <c r="D1362" t="s">
        <v>16</v>
      </c>
      <c r="E1362" t="s">
        <v>483</v>
      </c>
      <c r="F1362" t="s">
        <v>80</v>
      </c>
      <c r="G1362">
        <v>249374.18781108601</v>
      </c>
      <c r="H1362">
        <v>0</v>
      </c>
      <c r="I1362">
        <v>0</v>
      </c>
      <c r="J1362">
        <v>567602.45165716868</v>
      </c>
      <c r="K1362">
        <v>249374.18781108601</v>
      </c>
      <c r="L1362">
        <v>0.439346565686978</v>
      </c>
    </row>
    <row r="1363" spans="1:12" x14ac:dyDescent="0.35">
      <c r="A1363">
        <v>2040</v>
      </c>
      <c r="B1363" t="s">
        <v>6</v>
      </c>
      <c r="C1363" t="s">
        <v>10</v>
      </c>
      <c r="D1363" t="s">
        <v>16</v>
      </c>
      <c r="E1363" t="s">
        <v>483</v>
      </c>
      <c r="F1363" t="s">
        <v>81</v>
      </c>
      <c r="G1363">
        <v>249374.18781108601</v>
      </c>
      <c r="H1363">
        <v>261</v>
      </c>
      <c r="I1363">
        <v>110.71145720551</v>
      </c>
      <c r="J1363">
        <v>567341.45165716868</v>
      </c>
      <c r="K1363">
        <v>249263.47635388051</v>
      </c>
      <c r="L1363">
        <v>0.439346565686978</v>
      </c>
    </row>
    <row r="1364" spans="1:12" x14ac:dyDescent="0.35">
      <c r="A1364">
        <v>2040</v>
      </c>
      <c r="B1364" t="s">
        <v>6</v>
      </c>
      <c r="C1364" t="s">
        <v>10</v>
      </c>
      <c r="D1364" t="s">
        <v>18</v>
      </c>
      <c r="E1364" t="s">
        <v>483</v>
      </c>
      <c r="F1364" t="s">
        <v>85</v>
      </c>
      <c r="G1364">
        <v>249374.18781108601</v>
      </c>
      <c r="H1364">
        <v>31066.54411043779</v>
      </c>
      <c r="I1364">
        <v>13177.863482014651</v>
      </c>
      <c r="J1364">
        <v>536535.90754673094</v>
      </c>
      <c r="K1364">
        <v>236196.32432907139</v>
      </c>
      <c r="L1364">
        <v>0.439346565686978</v>
      </c>
    </row>
    <row r="1365" spans="1:12" x14ac:dyDescent="0.35">
      <c r="A1365">
        <v>2040</v>
      </c>
      <c r="B1365" t="s">
        <v>6</v>
      </c>
      <c r="C1365" t="s">
        <v>10</v>
      </c>
      <c r="D1365" t="s">
        <v>18</v>
      </c>
      <c r="E1365" t="s">
        <v>483</v>
      </c>
      <c r="F1365" t="s">
        <v>86</v>
      </c>
      <c r="G1365">
        <v>249374.18781108601</v>
      </c>
      <c r="H1365">
        <v>31066.54411043779</v>
      </c>
      <c r="I1365">
        <v>13177.863482014651</v>
      </c>
      <c r="J1365">
        <v>536535.90754673094</v>
      </c>
      <c r="K1365">
        <v>236196.32432907139</v>
      </c>
      <c r="L1365">
        <v>0.439346565686978</v>
      </c>
    </row>
    <row r="1366" spans="1:12" x14ac:dyDescent="0.35">
      <c r="A1366">
        <v>2040</v>
      </c>
      <c r="B1366" t="s">
        <v>6</v>
      </c>
      <c r="C1366" t="s">
        <v>10</v>
      </c>
      <c r="D1366" t="s">
        <v>18</v>
      </c>
      <c r="E1366" t="s">
        <v>490</v>
      </c>
      <c r="F1366" t="s">
        <v>82</v>
      </c>
      <c r="G1366">
        <v>249374.18781108601</v>
      </c>
      <c r="H1366">
        <v>31066.54411043779</v>
      </c>
      <c r="I1366">
        <v>13648.97946268387</v>
      </c>
      <c r="J1366">
        <v>536535.90754673094</v>
      </c>
      <c r="K1366">
        <v>235725.20834840211</v>
      </c>
      <c r="L1366">
        <v>0.439346565686978</v>
      </c>
    </row>
    <row r="1367" spans="1:12" x14ac:dyDescent="0.35">
      <c r="A1367">
        <v>2040</v>
      </c>
      <c r="B1367" t="s">
        <v>7</v>
      </c>
      <c r="C1367" t="s">
        <v>4</v>
      </c>
      <c r="D1367" t="s">
        <v>16</v>
      </c>
      <c r="E1367" t="s">
        <v>483</v>
      </c>
      <c r="F1367" t="s">
        <v>80</v>
      </c>
      <c r="G1367">
        <v>1618702.5825368459</v>
      </c>
      <c r="H1367">
        <v>0</v>
      </c>
      <c r="I1367">
        <v>0</v>
      </c>
      <c r="J1367">
        <v>1939156.393292872</v>
      </c>
      <c r="K1367">
        <v>1618702.5825368459</v>
      </c>
      <c r="L1367">
        <v>0.83474576271186396</v>
      </c>
    </row>
    <row r="1368" spans="1:12" x14ac:dyDescent="0.35">
      <c r="A1368">
        <v>2040</v>
      </c>
      <c r="B1368" t="s">
        <v>7</v>
      </c>
      <c r="C1368" t="s">
        <v>4</v>
      </c>
      <c r="D1368" t="s">
        <v>16</v>
      </c>
      <c r="E1368" t="s">
        <v>483</v>
      </c>
      <c r="F1368" t="s">
        <v>81</v>
      </c>
      <c r="G1368">
        <v>1618702.5825368459</v>
      </c>
      <c r="H1368">
        <v>183019</v>
      </c>
      <c r="I1368">
        <v>96196.376374307525</v>
      </c>
      <c r="J1368">
        <v>1756137.393292872</v>
      </c>
      <c r="K1368">
        <v>1522506.2061625379</v>
      </c>
      <c r="L1368">
        <v>0.83474576271186396</v>
      </c>
    </row>
    <row r="1369" spans="1:12" x14ac:dyDescent="0.35">
      <c r="A1369">
        <v>2040</v>
      </c>
      <c r="B1369" t="s">
        <v>7</v>
      </c>
      <c r="C1369" t="s">
        <v>4</v>
      </c>
      <c r="D1369" t="s">
        <v>18</v>
      </c>
      <c r="E1369" t="s">
        <v>483</v>
      </c>
      <c r="F1369" t="s">
        <v>85</v>
      </c>
      <c r="G1369">
        <v>1618702.5825368459</v>
      </c>
      <c r="H1369">
        <v>1130208.8349072579</v>
      </c>
      <c r="I1369">
        <v>594047.58229640755</v>
      </c>
      <c r="J1369">
        <v>808947.55838561384</v>
      </c>
      <c r="K1369">
        <v>1024655.000240438</v>
      </c>
      <c r="L1369">
        <v>0.83474576271186396</v>
      </c>
    </row>
    <row r="1370" spans="1:12" x14ac:dyDescent="0.35">
      <c r="A1370">
        <v>2040</v>
      </c>
      <c r="B1370" t="s">
        <v>7</v>
      </c>
      <c r="C1370" t="s">
        <v>4</v>
      </c>
      <c r="D1370" t="s">
        <v>18</v>
      </c>
      <c r="E1370" t="s">
        <v>483</v>
      </c>
      <c r="F1370" t="s">
        <v>86</v>
      </c>
      <c r="G1370">
        <v>1618702.5825368459</v>
      </c>
      <c r="H1370">
        <v>1130208.8349072579</v>
      </c>
      <c r="I1370">
        <v>594047.58229640755</v>
      </c>
      <c r="J1370">
        <v>808947.55838561384</v>
      </c>
      <c r="K1370">
        <v>1024655.000240438</v>
      </c>
      <c r="L1370">
        <v>0.83474576271186396</v>
      </c>
    </row>
    <row r="1371" spans="1:12" x14ac:dyDescent="0.35">
      <c r="A1371">
        <v>2040</v>
      </c>
      <c r="B1371" t="s">
        <v>7</v>
      </c>
      <c r="C1371" t="s">
        <v>4</v>
      </c>
      <c r="D1371" t="s">
        <v>18</v>
      </c>
      <c r="E1371" t="s">
        <v>490</v>
      </c>
      <c r="F1371" t="s">
        <v>82</v>
      </c>
      <c r="G1371">
        <v>1618702.5825368459</v>
      </c>
      <c r="H1371">
        <v>1130208.8349072579</v>
      </c>
      <c r="I1371">
        <v>943437.03591834707</v>
      </c>
      <c r="J1371">
        <v>808947.55838561384</v>
      </c>
      <c r="K1371">
        <v>675265.54661849886</v>
      </c>
      <c r="L1371">
        <v>0.83474576271186396</v>
      </c>
    </row>
    <row r="1372" spans="1:12" x14ac:dyDescent="0.35">
      <c r="A1372">
        <v>2040</v>
      </c>
      <c r="B1372" t="s">
        <v>7</v>
      </c>
      <c r="C1372" t="s">
        <v>9</v>
      </c>
      <c r="D1372" t="s">
        <v>16</v>
      </c>
      <c r="E1372" t="s">
        <v>483</v>
      </c>
      <c r="F1372" t="s">
        <v>80</v>
      </c>
      <c r="G1372">
        <v>1207361.2871372779</v>
      </c>
      <c r="H1372">
        <v>0</v>
      </c>
      <c r="I1372">
        <v>0</v>
      </c>
      <c r="J1372">
        <v>1446382.049565471</v>
      </c>
      <c r="K1372">
        <v>1207361.2871372779</v>
      </c>
      <c r="L1372">
        <v>0.83474576271186396</v>
      </c>
    </row>
    <row r="1373" spans="1:12" x14ac:dyDescent="0.35">
      <c r="A1373">
        <v>2040</v>
      </c>
      <c r="B1373" t="s">
        <v>7</v>
      </c>
      <c r="C1373" t="s">
        <v>9</v>
      </c>
      <c r="D1373" t="s">
        <v>16</v>
      </c>
      <c r="E1373" t="s">
        <v>483</v>
      </c>
      <c r="F1373" t="s">
        <v>81</v>
      </c>
      <c r="G1373">
        <v>1207361.2871372779</v>
      </c>
      <c r="H1373">
        <v>183019</v>
      </c>
      <c r="I1373">
        <v>96196.376374307525</v>
      </c>
      <c r="J1373">
        <v>1263363.049565471</v>
      </c>
      <c r="K1373">
        <v>1111164.9107629701</v>
      </c>
      <c r="L1373">
        <v>0.83474576271186396</v>
      </c>
    </row>
    <row r="1374" spans="1:12" x14ac:dyDescent="0.35">
      <c r="A1374">
        <v>2040</v>
      </c>
      <c r="B1374" t="s">
        <v>7</v>
      </c>
      <c r="C1374" t="s">
        <v>9</v>
      </c>
      <c r="D1374" t="s">
        <v>18</v>
      </c>
      <c r="E1374" t="s">
        <v>483</v>
      </c>
      <c r="F1374" t="s">
        <v>85</v>
      </c>
      <c r="G1374">
        <v>1207361.2871372779</v>
      </c>
      <c r="H1374">
        <v>1130208.8349072579</v>
      </c>
      <c r="I1374">
        <v>594047.58229640755</v>
      </c>
      <c r="J1374">
        <v>316173.21465821238</v>
      </c>
      <c r="K1374">
        <v>613313.70484087034</v>
      </c>
      <c r="L1374">
        <v>0.83474576271186396</v>
      </c>
    </row>
    <row r="1375" spans="1:12" x14ac:dyDescent="0.35">
      <c r="A1375">
        <v>2040</v>
      </c>
      <c r="B1375" t="s">
        <v>7</v>
      </c>
      <c r="C1375" t="s">
        <v>9</v>
      </c>
      <c r="D1375" t="s">
        <v>18</v>
      </c>
      <c r="E1375" t="s">
        <v>483</v>
      </c>
      <c r="F1375" t="s">
        <v>86</v>
      </c>
      <c r="G1375">
        <v>1207361.2871372779</v>
      </c>
      <c r="H1375">
        <v>1130208.8349072579</v>
      </c>
      <c r="I1375">
        <v>594047.58229640755</v>
      </c>
      <c r="J1375">
        <v>316173.21465821238</v>
      </c>
      <c r="K1375">
        <v>613313.70484087034</v>
      </c>
      <c r="L1375">
        <v>0.83474576271186396</v>
      </c>
    </row>
    <row r="1376" spans="1:12" x14ac:dyDescent="0.35">
      <c r="A1376">
        <v>2040</v>
      </c>
      <c r="B1376" t="s">
        <v>7</v>
      </c>
      <c r="C1376" t="s">
        <v>9</v>
      </c>
      <c r="D1376" t="s">
        <v>18</v>
      </c>
      <c r="E1376" t="s">
        <v>490</v>
      </c>
      <c r="F1376" t="s">
        <v>82</v>
      </c>
      <c r="G1376">
        <v>1207361.2871372779</v>
      </c>
      <c r="H1376">
        <v>1130208.8349072579</v>
      </c>
      <c r="I1376">
        <v>943437.03591834707</v>
      </c>
      <c r="J1376">
        <v>316173.21465821238</v>
      </c>
      <c r="K1376">
        <v>263924.25121893082</v>
      </c>
      <c r="L1376">
        <v>0.83474576271186396</v>
      </c>
    </row>
    <row r="1377" spans="1:12" x14ac:dyDescent="0.35">
      <c r="A1377">
        <v>2040</v>
      </c>
      <c r="B1377" t="s">
        <v>7</v>
      </c>
      <c r="C1377" t="s">
        <v>10</v>
      </c>
      <c r="D1377" t="s">
        <v>16</v>
      </c>
      <c r="E1377" t="s">
        <v>483</v>
      </c>
      <c r="F1377" t="s">
        <v>80</v>
      </c>
      <c r="G1377">
        <v>1514395.2601676511</v>
      </c>
      <c r="H1377">
        <v>0</v>
      </c>
      <c r="I1377">
        <v>0</v>
      </c>
      <c r="J1377">
        <v>1814199.397967339</v>
      </c>
      <c r="K1377">
        <v>1514395.2601676511</v>
      </c>
      <c r="L1377">
        <v>0.83474576271186396</v>
      </c>
    </row>
    <row r="1378" spans="1:12" x14ac:dyDescent="0.35">
      <c r="A1378">
        <v>2040</v>
      </c>
      <c r="B1378" t="s">
        <v>7</v>
      </c>
      <c r="C1378" t="s">
        <v>10</v>
      </c>
      <c r="D1378" t="s">
        <v>16</v>
      </c>
      <c r="E1378" t="s">
        <v>483</v>
      </c>
      <c r="F1378" t="s">
        <v>81</v>
      </c>
      <c r="G1378">
        <v>1514395.2601676511</v>
      </c>
      <c r="H1378">
        <v>183019</v>
      </c>
      <c r="I1378">
        <v>96196.376374307525</v>
      </c>
      <c r="J1378">
        <v>1631180.397967339</v>
      </c>
      <c r="K1378">
        <v>1418198.883793344</v>
      </c>
      <c r="L1378">
        <v>0.83474576271186396</v>
      </c>
    </row>
    <row r="1379" spans="1:12" x14ac:dyDescent="0.35">
      <c r="A1379">
        <v>2040</v>
      </c>
      <c r="B1379" t="s">
        <v>7</v>
      </c>
      <c r="C1379" t="s">
        <v>10</v>
      </c>
      <c r="D1379" t="s">
        <v>18</v>
      </c>
      <c r="E1379" t="s">
        <v>483</v>
      </c>
      <c r="F1379" t="s">
        <v>85</v>
      </c>
      <c r="G1379">
        <v>1514395.2601676511</v>
      </c>
      <c r="H1379">
        <v>1130208.8349072579</v>
      </c>
      <c r="I1379">
        <v>594047.58229640755</v>
      </c>
      <c r="J1379">
        <v>683990.56306008087</v>
      </c>
      <c r="K1379">
        <v>920347.67787124356</v>
      </c>
      <c r="L1379">
        <v>0.83474576271186396</v>
      </c>
    </row>
    <row r="1380" spans="1:12" x14ac:dyDescent="0.35">
      <c r="A1380">
        <v>2040</v>
      </c>
      <c r="B1380" t="s">
        <v>7</v>
      </c>
      <c r="C1380" t="s">
        <v>10</v>
      </c>
      <c r="D1380" t="s">
        <v>18</v>
      </c>
      <c r="E1380" t="s">
        <v>483</v>
      </c>
      <c r="F1380" t="s">
        <v>86</v>
      </c>
      <c r="G1380">
        <v>1514395.2601676511</v>
      </c>
      <c r="H1380">
        <v>1130208.8349072579</v>
      </c>
      <c r="I1380">
        <v>594047.58229640755</v>
      </c>
      <c r="J1380">
        <v>683990.56306008087</v>
      </c>
      <c r="K1380">
        <v>920347.67787124356</v>
      </c>
      <c r="L1380">
        <v>0.83474576271186396</v>
      </c>
    </row>
    <row r="1381" spans="1:12" x14ac:dyDescent="0.35">
      <c r="A1381">
        <v>2040</v>
      </c>
      <c r="B1381" t="s">
        <v>7</v>
      </c>
      <c r="C1381" t="s">
        <v>10</v>
      </c>
      <c r="D1381" t="s">
        <v>18</v>
      </c>
      <c r="E1381" t="s">
        <v>490</v>
      </c>
      <c r="F1381" t="s">
        <v>82</v>
      </c>
      <c r="G1381">
        <v>1514395.2601676511</v>
      </c>
      <c r="H1381">
        <v>1130208.8349072579</v>
      </c>
      <c r="I1381">
        <v>943437.03591834707</v>
      </c>
      <c r="J1381">
        <v>683990.56306008087</v>
      </c>
      <c r="K1381">
        <v>570958.22424930404</v>
      </c>
      <c r="L1381">
        <v>0.83474576271186396</v>
      </c>
    </row>
    <row r="1382" spans="1:12" x14ac:dyDescent="0.35">
      <c r="A1382">
        <v>2040</v>
      </c>
      <c r="B1382" t="s">
        <v>13</v>
      </c>
      <c r="C1382" t="s">
        <v>4</v>
      </c>
      <c r="D1382" t="s">
        <v>16</v>
      </c>
      <c r="E1382" t="s">
        <v>483</v>
      </c>
      <c r="F1382" t="s">
        <v>80</v>
      </c>
      <c r="G1382">
        <v>3008.0333095996998</v>
      </c>
      <c r="H1382">
        <v>0</v>
      </c>
      <c r="I1382">
        <v>0</v>
      </c>
      <c r="J1382">
        <v>3008.0333095996998</v>
      </c>
      <c r="K1382">
        <v>3008.0333095996998</v>
      </c>
      <c r="L1382">
        <v>1</v>
      </c>
    </row>
    <row r="1383" spans="1:12" x14ac:dyDescent="0.35">
      <c r="A1383">
        <v>2040</v>
      </c>
      <c r="B1383" t="s">
        <v>13</v>
      </c>
      <c r="C1383" t="s">
        <v>4</v>
      </c>
      <c r="D1383" t="s">
        <v>16</v>
      </c>
      <c r="E1383" t="s">
        <v>483</v>
      </c>
      <c r="F1383" t="s">
        <v>81</v>
      </c>
      <c r="G1383">
        <v>3008.0333095996998</v>
      </c>
      <c r="H1383">
        <v>0</v>
      </c>
      <c r="I1383">
        <v>0</v>
      </c>
      <c r="J1383">
        <v>3008.0333095996998</v>
      </c>
      <c r="K1383">
        <v>3008.0333095996998</v>
      </c>
      <c r="L1383">
        <v>1</v>
      </c>
    </row>
    <row r="1384" spans="1:12" x14ac:dyDescent="0.35">
      <c r="A1384">
        <v>2040</v>
      </c>
      <c r="B1384" t="s">
        <v>13</v>
      </c>
      <c r="C1384" t="s">
        <v>4</v>
      </c>
      <c r="D1384" t="s">
        <v>18</v>
      </c>
      <c r="E1384" t="s">
        <v>483</v>
      </c>
      <c r="F1384" t="s">
        <v>85</v>
      </c>
      <c r="G1384">
        <v>3008.0333095996998</v>
      </c>
      <c r="H1384">
        <v>400364.39737548499</v>
      </c>
      <c r="I1384">
        <v>132120.25113391009</v>
      </c>
      <c r="J1384">
        <v>0</v>
      </c>
      <c r="K1384">
        <v>0</v>
      </c>
      <c r="L1384">
        <v>1</v>
      </c>
    </row>
    <row r="1385" spans="1:12" x14ac:dyDescent="0.35">
      <c r="A1385">
        <v>2040</v>
      </c>
      <c r="B1385" t="s">
        <v>13</v>
      </c>
      <c r="C1385" t="s">
        <v>4</v>
      </c>
      <c r="D1385" t="s">
        <v>18</v>
      </c>
      <c r="E1385" t="s">
        <v>483</v>
      </c>
      <c r="F1385" t="s">
        <v>86</v>
      </c>
      <c r="G1385">
        <v>3008.0333095996998</v>
      </c>
      <c r="H1385">
        <v>400364.39737548499</v>
      </c>
      <c r="I1385">
        <v>132120.25113391009</v>
      </c>
      <c r="J1385">
        <v>0</v>
      </c>
      <c r="K1385">
        <v>0</v>
      </c>
      <c r="L1385">
        <v>1</v>
      </c>
    </row>
    <row r="1386" spans="1:12" x14ac:dyDescent="0.35">
      <c r="A1386">
        <v>2040</v>
      </c>
      <c r="B1386" t="s">
        <v>13</v>
      </c>
      <c r="C1386" t="s">
        <v>4</v>
      </c>
      <c r="D1386" t="s">
        <v>18</v>
      </c>
      <c r="E1386" t="s">
        <v>490</v>
      </c>
      <c r="F1386" t="s">
        <v>82</v>
      </c>
      <c r="G1386">
        <v>3008.0333095996998</v>
      </c>
      <c r="H1386">
        <v>400364.39737548499</v>
      </c>
      <c r="I1386">
        <v>132120.25113391009</v>
      </c>
      <c r="J1386">
        <v>0</v>
      </c>
      <c r="K1386">
        <v>0</v>
      </c>
      <c r="L1386">
        <v>1</v>
      </c>
    </row>
    <row r="1387" spans="1:12" x14ac:dyDescent="0.35">
      <c r="A1387">
        <v>2040</v>
      </c>
      <c r="B1387" t="s">
        <v>13</v>
      </c>
      <c r="C1387" t="s">
        <v>9</v>
      </c>
      <c r="D1387" t="s">
        <v>16</v>
      </c>
      <c r="E1387" t="s">
        <v>483</v>
      </c>
      <c r="F1387" t="s">
        <v>80</v>
      </c>
      <c r="G1387">
        <v>1109.6184755436821</v>
      </c>
      <c r="H1387">
        <v>0</v>
      </c>
      <c r="I1387">
        <v>0</v>
      </c>
      <c r="J1387">
        <v>1109.6184755436821</v>
      </c>
      <c r="K1387">
        <v>1109.6184755436821</v>
      </c>
      <c r="L1387">
        <v>1</v>
      </c>
    </row>
    <row r="1388" spans="1:12" x14ac:dyDescent="0.35">
      <c r="A1388">
        <v>2040</v>
      </c>
      <c r="B1388" t="s">
        <v>13</v>
      </c>
      <c r="C1388" t="s">
        <v>9</v>
      </c>
      <c r="D1388" t="s">
        <v>16</v>
      </c>
      <c r="E1388" t="s">
        <v>483</v>
      </c>
      <c r="F1388" t="s">
        <v>81</v>
      </c>
      <c r="G1388">
        <v>1109.6184755436821</v>
      </c>
      <c r="H1388">
        <v>0</v>
      </c>
      <c r="I1388">
        <v>0</v>
      </c>
      <c r="J1388">
        <v>1109.6184755436821</v>
      </c>
      <c r="K1388">
        <v>1109.6184755436821</v>
      </c>
      <c r="L1388">
        <v>1</v>
      </c>
    </row>
    <row r="1389" spans="1:12" x14ac:dyDescent="0.35">
      <c r="A1389">
        <v>2040</v>
      </c>
      <c r="B1389" t="s">
        <v>13</v>
      </c>
      <c r="C1389" t="s">
        <v>9</v>
      </c>
      <c r="D1389" t="s">
        <v>18</v>
      </c>
      <c r="E1389" t="s">
        <v>483</v>
      </c>
      <c r="F1389" t="s">
        <v>85</v>
      </c>
      <c r="G1389">
        <v>1109.6184755436821</v>
      </c>
      <c r="H1389">
        <v>400364.39737548499</v>
      </c>
      <c r="I1389">
        <v>132120.25113391009</v>
      </c>
      <c r="J1389">
        <v>0</v>
      </c>
      <c r="K1389">
        <v>0</v>
      </c>
      <c r="L1389">
        <v>1</v>
      </c>
    </row>
    <row r="1390" spans="1:12" x14ac:dyDescent="0.35">
      <c r="A1390">
        <v>2040</v>
      </c>
      <c r="B1390" t="s">
        <v>13</v>
      </c>
      <c r="C1390" t="s">
        <v>9</v>
      </c>
      <c r="D1390" t="s">
        <v>18</v>
      </c>
      <c r="E1390" t="s">
        <v>483</v>
      </c>
      <c r="F1390" t="s">
        <v>86</v>
      </c>
      <c r="G1390">
        <v>1109.6184755436821</v>
      </c>
      <c r="H1390">
        <v>400364.39737548499</v>
      </c>
      <c r="I1390">
        <v>132120.25113391009</v>
      </c>
      <c r="J1390">
        <v>0</v>
      </c>
      <c r="K1390">
        <v>0</v>
      </c>
      <c r="L1390">
        <v>1</v>
      </c>
    </row>
    <row r="1391" spans="1:12" x14ac:dyDescent="0.35">
      <c r="A1391">
        <v>2040</v>
      </c>
      <c r="B1391" t="s">
        <v>13</v>
      </c>
      <c r="C1391" t="s">
        <v>9</v>
      </c>
      <c r="D1391" t="s">
        <v>18</v>
      </c>
      <c r="E1391" t="s">
        <v>490</v>
      </c>
      <c r="F1391" t="s">
        <v>82</v>
      </c>
      <c r="G1391">
        <v>1109.6184755436821</v>
      </c>
      <c r="H1391">
        <v>400364.39737548499</v>
      </c>
      <c r="I1391">
        <v>132120.25113391009</v>
      </c>
      <c r="J1391">
        <v>0</v>
      </c>
      <c r="K1391">
        <v>0</v>
      </c>
      <c r="L1391">
        <v>1</v>
      </c>
    </row>
    <row r="1392" spans="1:12" x14ac:dyDescent="0.35">
      <c r="A1392">
        <v>2040</v>
      </c>
      <c r="B1392" t="s">
        <v>13</v>
      </c>
      <c r="C1392" t="s">
        <v>10</v>
      </c>
      <c r="D1392" t="s">
        <v>16</v>
      </c>
      <c r="E1392" t="s">
        <v>483</v>
      </c>
      <c r="F1392" t="s">
        <v>80</v>
      </c>
      <c r="G1392">
        <v>2865.2791135592711</v>
      </c>
      <c r="H1392">
        <v>0</v>
      </c>
      <c r="I1392">
        <v>0</v>
      </c>
      <c r="J1392">
        <v>2865.2791135592711</v>
      </c>
      <c r="K1392">
        <v>2865.2791135592711</v>
      </c>
      <c r="L1392">
        <v>1</v>
      </c>
    </row>
    <row r="1393" spans="1:12" x14ac:dyDescent="0.35">
      <c r="A1393">
        <v>2040</v>
      </c>
      <c r="B1393" t="s">
        <v>13</v>
      </c>
      <c r="C1393" t="s">
        <v>10</v>
      </c>
      <c r="D1393" t="s">
        <v>16</v>
      </c>
      <c r="E1393" t="s">
        <v>483</v>
      </c>
      <c r="F1393" t="s">
        <v>81</v>
      </c>
      <c r="G1393">
        <v>2865.2791135592711</v>
      </c>
      <c r="H1393">
        <v>0</v>
      </c>
      <c r="I1393">
        <v>0</v>
      </c>
      <c r="J1393">
        <v>2865.2791135592711</v>
      </c>
      <c r="K1393">
        <v>2865.2791135592711</v>
      </c>
      <c r="L1393">
        <v>1</v>
      </c>
    </row>
    <row r="1394" spans="1:12" x14ac:dyDescent="0.35">
      <c r="A1394">
        <v>2040</v>
      </c>
      <c r="B1394" t="s">
        <v>13</v>
      </c>
      <c r="C1394" t="s">
        <v>10</v>
      </c>
      <c r="D1394" t="s">
        <v>18</v>
      </c>
      <c r="E1394" t="s">
        <v>483</v>
      </c>
      <c r="F1394" t="s">
        <v>85</v>
      </c>
      <c r="G1394">
        <v>2865.2791135592711</v>
      </c>
      <c r="H1394">
        <v>400364.39737548499</v>
      </c>
      <c r="I1394">
        <v>132120.25113391009</v>
      </c>
      <c r="J1394">
        <v>0</v>
      </c>
      <c r="K1394">
        <v>0</v>
      </c>
      <c r="L1394">
        <v>1</v>
      </c>
    </row>
    <row r="1395" spans="1:12" x14ac:dyDescent="0.35">
      <c r="A1395">
        <v>2040</v>
      </c>
      <c r="B1395" t="s">
        <v>13</v>
      </c>
      <c r="C1395" t="s">
        <v>10</v>
      </c>
      <c r="D1395" t="s">
        <v>18</v>
      </c>
      <c r="E1395" t="s">
        <v>483</v>
      </c>
      <c r="F1395" t="s">
        <v>86</v>
      </c>
      <c r="G1395">
        <v>2865.2791135592711</v>
      </c>
      <c r="H1395">
        <v>400364.39737548499</v>
      </c>
      <c r="I1395">
        <v>132120.25113391009</v>
      </c>
      <c r="J1395">
        <v>0</v>
      </c>
      <c r="K1395">
        <v>0</v>
      </c>
      <c r="L1395">
        <v>1</v>
      </c>
    </row>
    <row r="1396" spans="1:12" x14ac:dyDescent="0.35">
      <c r="A1396">
        <v>2040</v>
      </c>
      <c r="B1396" t="s">
        <v>13</v>
      </c>
      <c r="C1396" t="s">
        <v>10</v>
      </c>
      <c r="D1396" t="s">
        <v>18</v>
      </c>
      <c r="E1396" t="s">
        <v>490</v>
      </c>
      <c r="F1396" t="s">
        <v>82</v>
      </c>
      <c r="G1396">
        <v>2865.2791135592711</v>
      </c>
      <c r="H1396">
        <v>400364.39737548499</v>
      </c>
      <c r="I1396">
        <v>132120.25113391009</v>
      </c>
      <c r="J1396">
        <v>0</v>
      </c>
      <c r="K1396">
        <v>0</v>
      </c>
      <c r="L1396">
        <v>1</v>
      </c>
    </row>
    <row r="1397" spans="1:12" x14ac:dyDescent="0.35">
      <c r="A1397">
        <v>2040</v>
      </c>
      <c r="B1397" t="s">
        <v>12</v>
      </c>
      <c r="C1397" t="s">
        <v>4</v>
      </c>
      <c r="D1397" t="s">
        <v>16</v>
      </c>
      <c r="E1397" t="s">
        <v>483</v>
      </c>
      <c r="F1397" t="s">
        <v>80</v>
      </c>
      <c r="G1397">
        <v>86988.213251106645</v>
      </c>
      <c r="H1397">
        <v>0</v>
      </c>
      <c r="I1397">
        <v>0</v>
      </c>
      <c r="J1397">
        <v>124416.31457518321</v>
      </c>
      <c r="K1397">
        <v>86988.213251106645</v>
      </c>
      <c r="L1397">
        <v>0.69917047091553897</v>
      </c>
    </row>
    <row r="1398" spans="1:12" x14ac:dyDescent="0.35">
      <c r="A1398">
        <v>2040</v>
      </c>
      <c r="B1398" t="s">
        <v>12</v>
      </c>
      <c r="C1398" t="s">
        <v>4</v>
      </c>
      <c r="D1398" t="s">
        <v>16</v>
      </c>
      <c r="E1398" t="s">
        <v>483</v>
      </c>
      <c r="F1398" t="s">
        <v>81</v>
      </c>
      <c r="G1398">
        <v>86988.213251106645</v>
      </c>
      <c r="H1398">
        <v>42827</v>
      </c>
      <c r="I1398">
        <v>29943.37375789979</v>
      </c>
      <c r="J1398">
        <v>81589.314575183162</v>
      </c>
      <c r="K1398">
        <v>57044.839493206862</v>
      </c>
      <c r="L1398">
        <v>0.69917047091553897</v>
      </c>
    </row>
    <row r="1399" spans="1:12" x14ac:dyDescent="0.35">
      <c r="A1399">
        <v>2040</v>
      </c>
      <c r="B1399" t="s">
        <v>12</v>
      </c>
      <c r="C1399" t="s">
        <v>4</v>
      </c>
      <c r="D1399" t="s">
        <v>18</v>
      </c>
      <c r="E1399" t="s">
        <v>483</v>
      </c>
      <c r="F1399" t="s">
        <v>85</v>
      </c>
      <c r="G1399">
        <v>86988.213251106645</v>
      </c>
      <c r="H1399">
        <v>615511.71046222479</v>
      </c>
      <c r="I1399">
        <v>430347.61245790258</v>
      </c>
      <c r="J1399">
        <v>0</v>
      </c>
      <c r="K1399">
        <v>0</v>
      </c>
      <c r="L1399">
        <v>0.69917047091553897</v>
      </c>
    </row>
    <row r="1400" spans="1:12" x14ac:dyDescent="0.35">
      <c r="A1400">
        <v>2040</v>
      </c>
      <c r="B1400" t="s">
        <v>12</v>
      </c>
      <c r="C1400" t="s">
        <v>4</v>
      </c>
      <c r="D1400" t="s">
        <v>18</v>
      </c>
      <c r="E1400" t="s">
        <v>483</v>
      </c>
      <c r="F1400" t="s">
        <v>86</v>
      </c>
      <c r="G1400">
        <v>86988.213251106645</v>
      </c>
      <c r="H1400">
        <v>615511.71046222479</v>
      </c>
      <c r="I1400">
        <v>430347.61245790258</v>
      </c>
      <c r="J1400">
        <v>0</v>
      </c>
      <c r="K1400">
        <v>0</v>
      </c>
      <c r="L1400">
        <v>0.69917047091553897</v>
      </c>
    </row>
    <row r="1401" spans="1:12" x14ac:dyDescent="0.35">
      <c r="A1401">
        <v>2040</v>
      </c>
      <c r="B1401" t="s">
        <v>12</v>
      </c>
      <c r="C1401" t="s">
        <v>4</v>
      </c>
      <c r="D1401" t="s">
        <v>18</v>
      </c>
      <c r="E1401" t="s">
        <v>490</v>
      </c>
      <c r="F1401" t="s">
        <v>82</v>
      </c>
      <c r="G1401">
        <v>86988.213251106645</v>
      </c>
      <c r="H1401">
        <v>615511.71046222479</v>
      </c>
      <c r="I1401">
        <v>430347.61245790258</v>
      </c>
      <c r="J1401">
        <v>0</v>
      </c>
      <c r="K1401">
        <v>0</v>
      </c>
      <c r="L1401">
        <v>0.69917047091553897</v>
      </c>
    </row>
    <row r="1402" spans="1:12" x14ac:dyDescent="0.35">
      <c r="A1402">
        <v>2040</v>
      </c>
      <c r="B1402" t="s">
        <v>12</v>
      </c>
      <c r="C1402" t="s">
        <v>9</v>
      </c>
      <c r="D1402" t="s">
        <v>16</v>
      </c>
      <c r="E1402" t="s">
        <v>483</v>
      </c>
      <c r="F1402" t="s">
        <v>80</v>
      </c>
      <c r="G1402">
        <v>32088.650172163962</v>
      </c>
      <c r="H1402">
        <v>0</v>
      </c>
      <c r="I1402">
        <v>0</v>
      </c>
      <c r="J1402">
        <v>45895.316674551497</v>
      </c>
      <c r="K1402">
        <v>32088.650172163962</v>
      </c>
      <c r="L1402">
        <v>0.69917047091553897</v>
      </c>
    </row>
    <row r="1403" spans="1:12" x14ac:dyDescent="0.35">
      <c r="A1403">
        <v>2040</v>
      </c>
      <c r="B1403" t="s">
        <v>12</v>
      </c>
      <c r="C1403" t="s">
        <v>9</v>
      </c>
      <c r="D1403" t="s">
        <v>16</v>
      </c>
      <c r="E1403" t="s">
        <v>483</v>
      </c>
      <c r="F1403" t="s">
        <v>81</v>
      </c>
      <c r="G1403">
        <v>32088.650172163962</v>
      </c>
      <c r="H1403">
        <v>42827</v>
      </c>
      <c r="I1403">
        <v>29943.37375789979</v>
      </c>
      <c r="J1403">
        <v>3068.316674551505</v>
      </c>
      <c r="K1403">
        <v>2145.2764142641749</v>
      </c>
      <c r="L1403">
        <v>0.69917047091553897</v>
      </c>
    </row>
    <row r="1404" spans="1:12" x14ac:dyDescent="0.35">
      <c r="A1404">
        <v>2040</v>
      </c>
      <c r="B1404" t="s">
        <v>12</v>
      </c>
      <c r="C1404" t="s">
        <v>9</v>
      </c>
      <c r="D1404" t="s">
        <v>18</v>
      </c>
      <c r="E1404" t="s">
        <v>483</v>
      </c>
      <c r="F1404" t="s">
        <v>85</v>
      </c>
      <c r="G1404">
        <v>32088.650172163962</v>
      </c>
      <c r="H1404">
        <v>615511.71046222479</v>
      </c>
      <c r="I1404">
        <v>430347.61245790258</v>
      </c>
      <c r="J1404">
        <v>0</v>
      </c>
      <c r="K1404">
        <v>0</v>
      </c>
      <c r="L1404">
        <v>0.69917047091553897</v>
      </c>
    </row>
    <row r="1405" spans="1:12" x14ac:dyDescent="0.35">
      <c r="A1405">
        <v>2040</v>
      </c>
      <c r="B1405" t="s">
        <v>12</v>
      </c>
      <c r="C1405" t="s">
        <v>9</v>
      </c>
      <c r="D1405" t="s">
        <v>18</v>
      </c>
      <c r="E1405" t="s">
        <v>483</v>
      </c>
      <c r="F1405" t="s">
        <v>86</v>
      </c>
      <c r="G1405">
        <v>32088.650172163962</v>
      </c>
      <c r="H1405">
        <v>615511.71046222479</v>
      </c>
      <c r="I1405">
        <v>430347.61245790258</v>
      </c>
      <c r="J1405">
        <v>0</v>
      </c>
      <c r="K1405">
        <v>0</v>
      </c>
      <c r="L1405">
        <v>0.69917047091553897</v>
      </c>
    </row>
    <row r="1406" spans="1:12" x14ac:dyDescent="0.35">
      <c r="A1406">
        <v>2040</v>
      </c>
      <c r="B1406" t="s">
        <v>12</v>
      </c>
      <c r="C1406" t="s">
        <v>9</v>
      </c>
      <c r="D1406" t="s">
        <v>18</v>
      </c>
      <c r="E1406" t="s">
        <v>490</v>
      </c>
      <c r="F1406" t="s">
        <v>82</v>
      </c>
      <c r="G1406">
        <v>32088.650172163962</v>
      </c>
      <c r="H1406">
        <v>615511.71046222479</v>
      </c>
      <c r="I1406">
        <v>430347.61245790258</v>
      </c>
      <c r="J1406">
        <v>0</v>
      </c>
      <c r="K1406">
        <v>0</v>
      </c>
      <c r="L1406">
        <v>0.69917047091553897</v>
      </c>
    </row>
    <row r="1407" spans="1:12" x14ac:dyDescent="0.35">
      <c r="A1407">
        <v>2040</v>
      </c>
      <c r="B1407" t="s">
        <v>12</v>
      </c>
      <c r="C1407" t="s">
        <v>10</v>
      </c>
      <c r="D1407" t="s">
        <v>16</v>
      </c>
      <c r="E1407" t="s">
        <v>483</v>
      </c>
      <c r="F1407" t="s">
        <v>80</v>
      </c>
      <c r="G1407">
        <v>82859.956955531103</v>
      </c>
      <c r="H1407">
        <v>0</v>
      </c>
      <c r="I1407">
        <v>0</v>
      </c>
      <c r="J1407">
        <v>118511.80849647291</v>
      </c>
      <c r="K1407">
        <v>82859.956955531103</v>
      </c>
      <c r="L1407">
        <v>0.69917047091553897</v>
      </c>
    </row>
    <row r="1408" spans="1:12" x14ac:dyDescent="0.35">
      <c r="A1408">
        <v>2040</v>
      </c>
      <c r="B1408" t="s">
        <v>12</v>
      </c>
      <c r="C1408" t="s">
        <v>10</v>
      </c>
      <c r="D1408" t="s">
        <v>16</v>
      </c>
      <c r="E1408" t="s">
        <v>483</v>
      </c>
      <c r="F1408" t="s">
        <v>81</v>
      </c>
      <c r="G1408">
        <v>82859.956955531103</v>
      </c>
      <c r="H1408">
        <v>42827</v>
      </c>
      <c r="I1408">
        <v>29943.37375789979</v>
      </c>
      <c r="J1408">
        <v>75684.808496472862</v>
      </c>
      <c r="K1408">
        <v>52916.58319763132</v>
      </c>
      <c r="L1408">
        <v>0.69917047091553897</v>
      </c>
    </row>
    <row r="1409" spans="1:12" x14ac:dyDescent="0.35">
      <c r="A1409">
        <v>2040</v>
      </c>
      <c r="B1409" t="s">
        <v>12</v>
      </c>
      <c r="C1409" t="s">
        <v>10</v>
      </c>
      <c r="D1409" t="s">
        <v>18</v>
      </c>
      <c r="E1409" t="s">
        <v>483</v>
      </c>
      <c r="F1409" t="s">
        <v>85</v>
      </c>
      <c r="G1409">
        <v>82859.956955531103</v>
      </c>
      <c r="H1409">
        <v>615511.71046222479</v>
      </c>
      <c r="I1409">
        <v>430347.61245790258</v>
      </c>
      <c r="J1409">
        <v>0</v>
      </c>
      <c r="K1409">
        <v>0</v>
      </c>
      <c r="L1409">
        <v>0.69917047091553897</v>
      </c>
    </row>
    <row r="1410" spans="1:12" x14ac:dyDescent="0.35">
      <c r="A1410">
        <v>2040</v>
      </c>
      <c r="B1410" t="s">
        <v>12</v>
      </c>
      <c r="C1410" t="s">
        <v>10</v>
      </c>
      <c r="D1410" t="s">
        <v>18</v>
      </c>
      <c r="E1410" t="s">
        <v>483</v>
      </c>
      <c r="F1410" t="s">
        <v>86</v>
      </c>
      <c r="G1410">
        <v>82859.956955531103</v>
      </c>
      <c r="H1410">
        <v>615511.71046222479</v>
      </c>
      <c r="I1410">
        <v>430347.61245790258</v>
      </c>
      <c r="J1410">
        <v>0</v>
      </c>
      <c r="K1410">
        <v>0</v>
      </c>
      <c r="L1410">
        <v>0.69917047091553897</v>
      </c>
    </row>
    <row r="1411" spans="1:12" x14ac:dyDescent="0.35">
      <c r="A1411">
        <v>2040</v>
      </c>
      <c r="B1411" t="s">
        <v>12</v>
      </c>
      <c r="C1411" t="s">
        <v>10</v>
      </c>
      <c r="D1411" t="s">
        <v>18</v>
      </c>
      <c r="E1411" t="s">
        <v>490</v>
      </c>
      <c r="F1411" t="s">
        <v>82</v>
      </c>
      <c r="G1411">
        <v>82859.956955531103</v>
      </c>
      <c r="H1411">
        <v>615511.71046222479</v>
      </c>
      <c r="I1411">
        <v>430347.61245790258</v>
      </c>
      <c r="J1411">
        <v>0</v>
      </c>
      <c r="K1411">
        <v>0</v>
      </c>
      <c r="L1411">
        <v>0.69917047091553897</v>
      </c>
    </row>
    <row r="1412" spans="1:12" x14ac:dyDescent="0.35">
      <c r="A1412">
        <v>2040</v>
      </c>
      <c r="B1412" t="s">
        <v>11</v>
      </c>
      <c r="C1412" t="s">
        <v>4</v>
      </c>
      <c r="D1412" t="s">
        <v>16</v>
      </c>
      <c r="E1412" t="s">
        <v>483</v>
      </c>
      <c r="F1412" t="s">
        <v>80</v>
      </c>
      <c r="G1412">
        <v>7369.5086049161637</v>
      </c>
      <c r="H1412">
        <v>0</v>
      </c>
      <c r="I1412">
        <v>0</v>
      </c>
      <c r="J1412">
        <v>12312.3941830602</v>
      </c>
      <c r="K1412">
        <v>7369.5086049161637</v>
      </c>
      <c r="L1412">
        <v>0.59854391398996798</v>
      </c>
    </row>
    <row r="1413" spans="1:12" x14ac:dyDescent="0.35">
      <c r="A1413">
        <v>2040</v>
      </c>
      <c r="B1413" t="s">
        <v>11</v>
      </c>
      <c r="C1413" t="s">
        <v>4</v>
      </c>
      <c r="D1413" t="s">
        <v>16</v>
      </c>
      <c r="E1413" t="s">
        <v>483</v>
      </c>
      <c r="F1413" t="s">
        <v>81</v>
      </c>
      <c r="G1413">
        <v>7369.5086049161637</v>
      </c>
      <c r="H1413">
        <v>0</v>
      </c>
      <c r="I1413">
        <v>0</v>
      </c>
      <c r="J1413">
        <v>12312.3941830602</v>
      </c>
      <c r="K1413">
        <v>7369.5086049161637</v>
      </c>
      <c r="L1413">
        <v>0.59854391398996798</v>
      </c>
    </row>
    <row r="1414" spans="1:12" x14ac:dyDescent="0.35">
      <c r="A1414">
        <v>2040</v>
      </c>
      <c r="B1414" t="s">
        <v>11</v>
      </c>
      <c r="C1414" t="s">
        <v>4</v>
      </c>
      <c r="D1414" t="s">
        <v>18</v>
      </c>
      <c r="E1414" t="s">
        <v>483</v>
      </c>
      <c r="F1414" t="s">
        <v>85</v>
      </c>
      <c r="G1414">
        <v>7369.5086049161637</v>
      </c>
      <c r="H1414">
        <v>431.78438910419823</v>
      </c>
      <c r="I1414">
        <v>258.44191825419398</v>
      </c>
      <c r="J1414">
        <v>11880.609793956</v>
      </c>
      <c r="K1414">
        <v>7111.0666866619686</v>
      </c>
      <c r="L1414">
        <v>0.59854391398996798</v>
      </c>
    </row>
    <row r="1415" spans="1:12" x14ac:dyDescent="0.35">
      <c r="A1415">
        <v>2040</v>
      </c>
      <c r="B1415" t="s">
        <v>11</v>
      </c>
      <c r="C1415" t="s">
        <v>4</v>
      </c>
      <c r="D1415" t="s">
        <v>18</v>
      </c>
      <c r="E1415" t="s">
        <v>483</v>
      </c>
      <c r="F1415" t="s">
        <v>86</v>
      </c>
      <c r="G1415">
        <v>7369.5086049161637</v>
      </c>
      <c r="H1415">
        <v>431.78438910419823</v>
      </c>
      <c r="I1415">
        <v>258.44191825419398</v>
      </c>
      <c r="J1415">
        <v>11880.609793956</v>
      </c>
      <c r="K1415">
        <v>7111.0666866619686</v>
      </c>
      <c r="L1415">
        <v>0.59854391398996798</v>
      </c>
    </row>
    <row r="1416" spans="1:12" x14ac:dyDescent="0.35">
      <c r="A1416">
        <v>2040</v>
      </c>
      <c r="B1416" t="s">
        <v>11</v>
      </c>
      <c r="C1416" t="s">
        <v>4</v>
      </c>
      <c r="D1416" t="s">
        <v>18</v>
      </c>
      <c r="E1416" t="s">
        <v>490</v>
      </c>
      <c r="F1416" t="s">
        <v>82</v>
      </c>
      <c r="G1416">
        <v>7369.5086049161637</v>
      </c>
      <c r="H1416">
        <v>431.78438910419823</v>
      </c>
      <c r="I1416">
        <v>258.44191825419398</v>
      </c>
      <c r="J1416">
        <v>11880.609793956</v>
      </c>
      <c r="K1416">
        <v>7111.0666866619686</v>
      </c>
      <c r="L1416">
        <v>0.59854391398996798</v>
      </c>
    </row>
    <row r="1417" spans="1:12" x14ac:dyDescent="0.35">
      <c r="A1417">
        <v>2040</v>
      </c>
      <c r="B1417" t="s">
        <v>11</v>
      </c>
      <c r="C1417" t="s">
        <v>9</v>
      </c>
      <c r="D1417" t="s">
        <v>16</v>
      </c>
      <c r="E1417" t="s">
        <v>483</v>
      </c>
      <c r="F1417" t="s">
        <v>80</v>
      </c>
      <c r="G1417">
        <v>2445.526520040336</v>
      </c>
      <c r="H1417">
        <v>0</v>
      </c>
      <c r="I1417">
        <v>0</v>
      </c>
      <c r="J1417">
        <v>4085.7929767227151</v>
      </c>
      <c r="K1417">
        <v>2445.526520040336</v>
      </c>
      <c r="L1417">
        <v>0.59854391398996798</v>
      </c>
    </row>
    <row r="1418" spans="1:12" x14ac:dyDescent="0.35">
      <c r="A1418">
        <v>2040</v>
      </c>
      <c r="B1418" t="s">
        <v>11</v>
      </c>
      <c r="C1418" t="s">
        <v>9</v>
      </c>
      <c r="D1418" t="s">
        <v>16</v>
      </c>
      <c r="E1418" t="s">
        <v>483</v>
      </c>
      <c r="F1418" t="s">
        <v>81</v>
      </c>
      <c r="G1418">
        <v>2445.526520040336</v>
      </c>
      <c r="H1418">
        <v>0</v>
      </c>
      <c r="I1418">
        <v>0</v>
      </c>
      <c r="J1418">
        <v>4085.7929767227151</v>
      </c>
      <c r="K1418">
        <v>2445.526520040336</v>
      </c>
      <c r="L1418">
        <v>0.59854391398996798</v>
      </c>
    </row>
    <row r="1419" spans="1:12" x14ac:dyDescent="0.35">
      <c r="A1419">
        <v>2040</v>
      </c>
      <c r="B1419" t="s">
        <v>11</v>
      </c>
      <c r="C1419" t="s">
        <v>9</v>
      </c>
      <c r="D1419" t="s">
        <v>18</v>
      </c>
      <c r="E1419" t="s">
        <v>483</v>
      </c>
      <c r="F1419" t="s">
        <v>85</v>
      </c>
      <c r="G1419">
        <v>2445.526520040336</v>
      </c>
      <c r="H1419">
        <v>431.78438910419823</v>
      </c>
      <c r="I1419">
        <v>258.44191825419398</v>
      </c>
      <c r="J1419">
        <v>3654.0085876185171</v>
      </c>
      <c r="K1419">
        <v>2187.0846017861418</v>
      </c>
      <c r="L1419">
        <v>0.59854391398996798</v>
      </c>
    </row>
    <row r="1420" spans="1:12" x14ac:dyDescent="0.35">
      <c r="A1420">
        <v>2040</v>
      </c>
      <c r="B1420" t="s">
        <v>11</v>
      </c>
      <c r="C1420" t="s">
        <v>9</v>
      </c>
      <c r="D1420" t="s">
        <v>18</v>
      </c>
      <c r="E1420" t="s">
        <v>483</v>
      </c>
      <c r="F1420" t="s">
        <v>86</v>
      </c>
      <c r="G1420">
        <v>2445.526520040336</v>
      </c>
      <c r="H1420">
        <v>431.78438910419823</v>
      </c>
      <c r="I1420">
        <v>258.44191825419398</v>
      </c>
      <c r="J1420">
        <v>3654.0085876185171</v>
      </c>
      <c r="K1420">
        <v>2187.0846017861418</v>
      </c>
      <c r="L1420">
        <v>0.59854391398996798</v>
      </c>
    </row>
    <row r="1421" spans="1:12" x14ac:dyDescent="0.35">
      <c r="A1421">
        <v>2040</v>
      </c>
      <c r="B1421" t="s">
        <v>11</v>
      </c>
      <c r="C1421" t="s">
        <v>9</v>
      </c>
      <c r="D1421" t="s">
        <v>18</v>
      </c>
      <c r="E1421" t="s">
        <v>490</v>
      </c>
      <c r="F1421" t="s">
        <v>82</v>
      </c>
      <c r="G1421">
        <v>2445.526520040336</v>
      </c>
      <c r="H1421">
        <v>431.78438910419823</v>
      </c>
      <c r="I1421">
        <v>258.44191825419398</v>
      </c>
      <c r="J1421">
        <v>3654.0085876185171</v>
      </c>
      <c r="K1421">
        <v>2187.0846017861418</v>
      </c>
      <c r="L1421">
        <v>0.59854391398996798</v>
      </c>
    </row>
    <row r="1422" spans="1:12" x14ac:dyDescent="0.35">
      <c r="A1422">
        <v>2040</v>
      </c>
      <c r="B1422" t="s">
        <v>11</v>
      </c>
      <c r="C1422" t="s">
        <v>10</v>
      </c>
      <c r="D1422" t="s">
        <v>16</v>
      </c>
      <c r="E1422" t="s">
        <v>483</v>
      </c>
      <c r="F1422" t="s">
        <v>80</v>
      </c>
      <c r="G1422">
        <v>7054.8876969569083</v>
      </c>
      <c r="H1422">
        <v>0</v>
      </c>
      <c r="I1422">
        <v>0</v>
      </c>
      <c r="J1422">
        <v>11786.750365446291</v>
      </c>
      <c r="K1422">
        <v>7054.8876969569083</v>
      </c>
      <c r="L1422">
        <v>0.59854391398996798</v>
      </c>
    </row>
    <row r="1423" spans="1:12" x14ac:dyDescent="0.35">
      <c r="A1423">
        <v>2040</v>
      </c>
      <c r="B1423" t="s">
        <v>11</v>
      </c>
      <c r="C1423" t="s">
        <v>10</v>
      </c>
      <c r="D1423" t="s">
        <v>16</v>
      </c>
      <c r="E1423" t="s">
        <v>483</v>
      </c>
      <c r="F1423" t="s">
        <v>81</v>
      </c>
      <c r="G1423">
        <v>7054.8876969569083</v>
      </c>
      <c r="H1423">
        <v>0</v>
      </c>
      <c r="I1423">
        <v>0</v>
      </c>
      <c r="J1423">
        <v>11786.750365446291</v>
      </c>
      <c r="K1423">
        <v>7054.8876969569083</v>
      </c>
      <c r="L1423">
        <v>0.59854391398996798</v>
      </c>
    </row>
    <row r="1424" spans="1:12" x14ac:dyDescent="0.35">
      <c r="A1424">
        <v>2040</v>
      </c>
      <c r="B1424" t="s">
        <v>11</v>
      </c>
      <c r="C1424" t="s">
        <v>10</v>
      </c>
      <c r="D1424" t="s">
        <v>18</v>
      </c>
      <c r="E1424" t="s">
        <v>483</v>
      </c>
      <c r="F1424" t="s">
        <v>85</v>
      </c>
      <c r="G1424">
        <v>7054.8876969569083</v>
      </c>
      <c r="H1424">
        <v>431.78438910419823</v>
      </c>
      <c r="I1424">
        <v>258.44191825419398</v>
      </c>
      <c r="J1424">
        <v>11354.96597634209</v>
      </c>
      <c r="K1424">
        <v>6796.4457787027141</v>
      </c>
      <c r="L1424">
        <v>0.59854391398996798</v>
      </c>
    </row>
    <row r="1425" spans="1:12" x14ac:dyDescent="0.35">
      <c r="A1425">
        <v>2040</v>
      </c>
      <c r="B1425" t="s">
        <v>11</v>
      </c>
      <c r="C1425" t="s">
        <v>10</v>
      </c>
      <c r="D1425" t="s">
        <v>18</v>
      </c>
      <c r="E1425" t="s">
        <v>483</v>
      </c>
      <c r="F1425" t="s">
        <v>86</v>
      </c>
      <c r="G1425">
        <v>7054.8876969569083</v>
      </c>
      <c r="H1425">
        <v>431.78438910419823</v>
      </c>
      <c r="I1425">
        <v>258.44191825419398</v>
      </c>
      <c r="J1425">
        <v>11354.96597634209</v>
      </c>
      <c r="K1425">
        <v>6796.4457787027141</v>
      </c>
      <c r="L1425">
        <v>0.59854391398996798</v>
      </c>
    </row>
    <row r="1426" spans="1:12" x14ac:dyDescent="0.35">
      <c r="A1426">
        <v>2040</v>
      </c>
      <c r="B1426" t="s">
        <v>11</v>
      </c>
      <c r="C1426" t="s">
        <v>10</v>
      </c>
      <c r="D1426" t="s">
        <v>18</v>
      </c>
      <c r="E1426" t="s">
        <v>490</v>
      </c>
      <c r="F1426" t="s">
        <v>82</v>
      </c>
      <c r="G1426">
        <v>7054.8876969569083</v>
      </c>
      <c r="H1426">
        <v>431.78438910419823</v>
      </c>
      <c r="I1426">
        <v>258.44191825419398</v>
      </c>
      <c r="J1426">
        <v>11354.96597634209</v>
      </c>
      <c r="K1426">
        <v>6796.4457787027141</v>
      </c>
      <c r="L1426">
        <v>0.59854391398996798</v>
      </c>
    </row>
    <row r="1427" spans="1:12" x14ac:dyDescent="0.35">
      <c r="A1427">
        <v>2040</v>
      </c>
      <c r="B1427" t="s">
        <v>8</v>
      </c>
      <c r="C1427" t="s">
        <v>4</v>
      </c>
      <c r="D1427" t="s">
        <v>16</v>
      </c>
      <c r="E1427" t="s">
        <v>483</v>
      </c>
      <c r="F1427" t="s">
        <v>80</v>
      </c>
      <c r="G1427">
        <v>203217.24889181441</v>
      </c>
      <c r="H1427">
        <v>0</v>
      </c>
      <c r="I1427">
        <v>0</v>
      </c>
      <c r="J1427">
        <v>258035.62888018909</v>
      </c>
      <c r="K1427">
        <v>203217.24889181441</v>
      </c>
      <c r="L1427">
        <v>0.787554996857322</v>
      </c>
    </row>
    <row r="1428" spans="1:12" x14ac:dyDescent="0.35">
      <c r="A1428">
        <v>2040</v>
      </c>
      <c r="B1428" t="s">
        <v>8</v>
      </c>
      <c r="C1428" t="s">
        <v>4</v>
      </c>
      <c r="D1428" t="s">
        <v>16</v>
      </c>
      <c r="E1428" t="s">
        <v>483</v>
      </c>
      <c r="F1428" t="s">
        <v>81</v>
      </c>
      <c r="G1428">
        <v>203217.24889181441</v>
      </c>
      <c r="H1428">
        <v>37000</v>
      </c>
      <c r="I1428">
        <v>20752.561586838339</v>
      </c>
      <c r="J1428">
        <v>221035.62888018909</v>
      </c>
      <c r="K1428">
        <v>182464.68730497611</v>
      </c>
      <c r="L1428">
        <v>0.787554996857322</v>
      </c>
    </row>
    <row r="1429" spans="1:12" x14ac:dyDescent="0.35">
      <c r="A1429">
        <v>2040</v>
      </c>
      <c r="B1429" t="s">
        <v>8</v>
      </c>
      <c r="C1429" t="s">
        <v>4</v>
      </c>
      <c r="D1429" t="s">
        <v>18</v>
      </c>
      <c r="E1429" t="s">
        <v>483</v>
      </c>
      <c r="F1429" t="s">
        <v>85</v>
      </c>
      <c r="G1429">
        <v>203217.24889181441</v>
      </c>
      <c r="H1429">
        <v>282129.47885281307</v>
      </c>
      <c r="I1429">
        <v>158240.7941988002</v>
      </c>
      <c r="J1429">
        <v>0</v>
      </c>
      <c r="K1429">
        <v>44976.454693014181</v>
      </c>
      <c r="L1429">
        <v>0.787554996857322</v>
      </c>
    </row>
    <row r="1430" spans="1:12" x14ac:dyDescent="0.35">
      <c r="A1430">
        <v>2040</v>
      </c>
      <c r="B1430" t="s">
        <v>8</v>
      </c>
      <c r="C1430" t="s">
        <v>4</v>
      </c>
      <c r="D1430" t="s">
        <v>18</v>
      </c>
      <c r="E1430" t="s">
        <v>483</v>
      </c>
      <c r="F1430" t="s">
        <v>86</v>
      </c>
      <c r="G1430">
        <v>203217.24889181441</v>
      </c>
      <c r="H1430">
        <v>282129.47885281307</v>
      </c>
      <c r="I1430">
        <v>158240.7941988002</v>
      </c>
      <c r="J1430">
        <v>0</v>
      </c>
      <c r="K1430">
        <v>44976.454693014181</v>
      </c>
      <c r="L1430">
        <v>0.787554996857322</v>
      </c>
    </row>
    <row r="1431" spans="1:12" x14ac:dyDescent="0.35">
      <c r="A1431">
        <v>2040</v>
      </c>
      <c r="B1431" t="s">
        <v>8</v>
      </c>
      <c r="C1431" t="s">
        <v>4</v>
      </c>
      <c r="D1431" t="s">
        <v>18</v>
      </c>
      <c r="E1431" t="s">
        <v>490</v>
      </c>
      <c r="F1431" t="s">
        <v>82</v>
      </c>
      <c r="G1431">
        <v>203217.24889181441</v>
      </c>
      <c r="H1431">
        <v>282129.47885281307</v>
      </c>
      <c r="I1431">
        <v>222192.4808312853</v>
      </c>
      <c r="J1431">
        <v>0</v>
      </c>
      <c r="K1431">
        <v>0</v>
      </c>
      <c r="L1431">
        <v>0.787554996857322</v>
      </c>
    </row>
    <row r="1432" spans="1:12" x14ac:dyDescent="0.35">
      <c r="A1432">
        <v>2040</v>
      </c>
      <c r="B1432" t="s">
        <v>8</v>
      </c>
      <c r="C1432" t="s">
        <v>9</v>
      </c>
      <c r="D1432" t="s">
        <v>16</v>
      </c>
      <c r="E1432" t="s">
        <v>483</v>
      </c>
      <c r="F1432" t="s">
        <v>80</v>
      </c>
      <c r="G1432">
        <v>79345.878987390839</v>
      </c>
      <c r="H1432">
        <v>0</v>
      </c>
      <c r="I1432">
        <v>0</v>
      </c>
      <c r="J1432">
        <v>100749.63564959211</v>
      </c>
      <c r="K1432">
        <v>79345.878987390839</v>
      </c>
      <c r="L1432">
        <v>0.787554996857322</v>
      </c>
    </row>
    <row r="1433" spans="1:12" x14ac:dyDescent="0.35">
      <c r="A1433">
        <v>2040</v>
      </c>
      <c r="B1433" t="s">
        <v>8</v>
      </c>
      <c r="C1433" t="s">
        <v>9</v>
      </c>
      <c r="D1433" t="s">
        <v>16</v>
      </c>
      <c r="E1433" t="s">
        <v>483</v>
      </c>
      <c r="F1433" t="s">
        <v>81</v>
      </c>
      <c r="G1433">
        <v>79345.878987390839</v>
      </c>
      <c r="H1433">
        <v>37000</v>
      </c>
      <c r="I1433">
        <v>20752.561586838339</v>
      </c>
      <c r="J1433">
        <v>63749.635649592092</v>
      </c>
      <c r="K1433">
        <v>58593.3174005525</v>
      </c>
      <c r="L1433">
        <v>0.787554996857322</v>
      </c>
    </row>
    <row r="1434" spans="1:12" x14ac:dyDescent="0.35">
      <c r="A1434">
        <v>2040</v>
      </c>
      <c r="B1434" t="s">
        <v>8</v>
      </c>
      <c r="C1434" t="s">
        <v>9</v>
      </c>
      <c r="D1434" t="s">
        <v>18</v>
      </c>
      <c r="E1434" t="s">
        <v>483</v>
      </c>
      <c r="F1434" t="s">
        <v>85</v>
      </c>
      <c r="G1434">
        <v>79345.878987390839</v>
      </c>
      <c r="H1434">
        <v>282129.47885281307</v>
      </c>
      <c r="I1434">
        <v>158240.7941988002</v>
      </c>
      <c r="J1434">
        <v>0</v>
      </c>
      <c r="K1434">
        <v>0</v>
      </c>
      <c r="L1434">
        <v>0.787554996857322</v>
      </c>
    </row>
    <row r="1435" spans="1:12" x14ac:dyDescent="0.35">
      <c r="A1435">
        <v>2040</v>
      </c>
      <c r="B1435" t="s">
        <v>8</v>
      </c>
      <c r="C1435" t="s">
        <v>9</v>
      </c>
      <c r="D1435" t="s">
        <v>18</v>
      </c>
      <c r="E1435" t="s">
        <v>483</v>
      </c>
      <c r="F1435" t="s">
        <v>86</v>
      </c>
      <c r="G1435">
        <v>79345.878987390839</v>
      </c>
      <c r="H1435">
        <v>282129.47885281307</v>
      </c>
      <c r="I1435">
        <v>158240.7941988002</v>
      </c>
      <c r="J1435">
        <v>0</v>
      </c>
      <c r="K1435">
        <v>0</v>
      </c>
      <c r="L1435">
        <v>0.787554996857322</v>
      </c>
    </row>
    <row r="1436" spans="1:12" x14ac:dyDescent="0.35">
      <c r="A1436">
        <v>2040</v>
      </c>
      <c r="B1436" t="s">
        <v>8</v>
      </c>
      <c r="C1436" t="s">
        <v>9</v>
      </c>
      <c r="D1436" t="s">
        <v>18</v>
      </c>
      <c r="E1436" t="s">
        <v>490</v>
      </c>
      <c r="F1436" t="s">
        <v>82</v>
      </c>
      <c r="G1436">
        <v>79345.878987390839</v>
      </c>
      <c r="H1436">
        <v>282129.47885281307</v>
      </c>
      <c r="I1436">
        <v>222192.4808312853</v>
      </c>
      <c r="J1436">
        <v>0</v>
      </c>
      <c r="K1436">
        <v>0</v>
      </c>
      <c r="L1436">
        <v>0.787554996857322</v>
      </c>
    </row>
    <row r="1437" spans="1:12" x14ac:dyDescent="0.35">
      <c r="A1437">
        <v>2040</v>
      </c>
      <c r="B1437" t="s">
        <v>8</v>
      </c>
      <c r="C1437" t="s">
        <v>10</v>
      </c>
      <c r="D1437" t="s">
        <v>16</v>
      </c>
      <c r="E1437" t="s">
        <v>483</v>
      </c>
      <c r="F1437" t="s">
        <v>80</v>
      </c>
      <c r="G1437">
        <v>194473.94809899441</v>
      </c>
      <c r="H1437">
        <v>0</v>
      </c>
      <c r="I1437">
        <v>0</v>
      </c>
      <c r="J1437">
        <v>246933.80002035139</v>
      </c>
      <c r="K1437">
        <v>194473.94809899441</v>
      </c>
      <c r="L1437">
        <v>0.787554996857322</v>
      </c>
    </row>
    <row r="1438" spans="1:12" x14ac:dyDescent="0.35">
      <c r="A1438">
        <v>2040</v>
      </c>
      <c r="B1438" t="s">
        <v>8</v>
      </c>
      <c r="C1438" t="s">
        <v>10</v>
      </c>
      <c r="D1438" t="s">
        <v>16</v>
      </c>
      <c r="E1438" t="s">
        <v>483</v>
      </c>
      <c r="F1438" t="s">
        <v>81</v>
      </c>
      <c r="G1438">
        <v>194473.94809899441</v>
      </c>
      <c r="H1438">
        <v>37000</v>
      </c>
      <c r="I1438">
        <v>20752.561586838339</v>
      </c>
      <c r="J1438">
        <v>209933.80002035139</v>
      </c>
      <c r="K1438">
        <v>173721.38651215611</v>
      </c>
      <c r="L1438">
        <v>0.787554996857322</v>
      </c>
    </row>
    <row r="1439" spans="1:12" x14ac:dyDescent="0.35">
      <c r="A1439">
        <v>2040</v>
      </c>
      <c r="B1439" t="s">
        <v>8</v>
      </c>
      <c r="C1439" t="s">
        <v>10</v>
      </c>
      <c r="D1439" t="s">
        <v>18</v>
      </c>
      <c r="E1439" t="s">
        <v>483</v>
      </c>
      <c r="F1439" t="s">
        <v>85</v>
      </c>
      <c r="G1439">
        <v>194473.94809899441</v>
      </c>
      <c r="H1439">
        <v>282129.47885281307</v>
      </c>
      <c r="I1439">
        <v>158240.7941988002</v>
      </c>
      <c r="J1439">
        <v>0</v>
      </c>
      <c r="K1439">
        <v>36233.153900194193</v>
      </c>
      <c r="L1439">
        <v>0.787554996857322</v>
      </c>
    </row>
    <row r="1440" spans="1:12" x14ac:dyDescent="0.35">
      <c r="A1440">
        <v>2040</v>
      </c>
      <c r="B1440" t="s">
        <v>8</v>
      </c>
      <c r="C1440" t="s">
        <v>10</v>
      </c>
      <c r="D1440" t="s">
        <v>18</v>
      </c>
      <c r="E1440" t="s">
        <v>483</v>
      </c>
      <c r="F1440" t="s">
        <v>86</v>
      </c>
      <c r="G1440">
        <v>194473.94809899441</v>
      </c>
      <c r="H1440">
        <v>282129.47885281307</v>
      </c>
      <c r="I1440">
        <v>158240.7941988002</v>
      </c>
      <c r="J1440">
        <v>0</v>
      </c>
      <c r="K1440">
        <v>36233.153900194193</v>
      </c>
      <c r="L1440">
        <v>0.787554996857322</v>
      </c>
    </row>
    <row r="1441" spans="1:12" x14ac:dyDescent="0.35">
      <c r="A1441">
        <v>2040</v>
      </c>
      <c r="B1441" t="s">
        <v>8</v>
      </c>
      <c r="C1441" t="s">
        <v>10</v>
      </c>
      <c r="D1441" t="s">
        <v>18</v>
      </c>
      <c r="E1441" t="s">
        <v>490</v>
      </c>
      <c r="F1441" t="s">
        <v>82</v>
      </c>
      <c r="G1441">
        <v>194473.94809899441</v>
      </c>
      <c r="H1441">
        <v>282129.47885281307</v>
      </c>
      <c r="I1441">
        <v>222192.4808312853</v>
      </c>
      <c r="J1441">
        <v>0</v>
      </c>
      <c r="K1441">
        <v>0</v>
      </c>
      <c r="L1441">
        <v>0.787554996857322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1CA0-9ECB-4D61-9B96-A99669EE4944}">
  <dimension ref="A1:H6"/>
  <sheetViews>
    <sheetView workbookViewId="0">
      <selection activeCell="B4" sqref="B4"/>
    </sheetView>
  </sheetViews>
  <sheetFormatPr baseColWidth="10" defaultRowHeight="14.5" x14ac:dyDescent="0.35"/>
  <cols>
    <col min="1" max="1" width="4.26953125" bestFit="1" customWidth="1"/>
    <col min="2" max="2" width="29.54296875" bestFit="1" customWidth="1"/>
    <col min="3" max="3" width="26.7265625" bestFit="1" customWidth="1"/>
    <col min="4" max="4" width="60.7265625" bestFit="1" customWidth="1"/>
    <col min="5" max="5" width="45.1796875" bestFit="1" customWidth="1"/>
    <col min="6" max="6" width="60.7265625" bestFit="1" customWidth="1"/>
    <col min="7" max="7" width="21" bestFit="1" customWidth="1"/>
    <col min="8" max="8" width="14.453125" bestFit="1" customWidth="1"/>
  </cols>
  <sheetData>
    <row r="1" spans="1:8" x14ac:dyDescent="0.35">
      <c r="A1" s="1" t="s">
        <v>509</v>
      </c>
      <c r="B1" s="1" t="s">
        <v>480</v>
      </c>
      <c r="C1" s="28" t="s">
        <v>481</v>
      </c>
      <c r="D1" s="1" t="s">
        <v>493</v>
      </c>
      <c r="E1" s="2" t="s">
        <v>482</v>
      </c>
      <c r="F1" s="1" t="s">
        <v>492</v>
      </c>
      <c r="G1" s="1" t="s">
        <v>83</v>
      </c>
      <c r="H1" s="1" t="s">
        <v>510</v>
      </c>
    </row>
    <row r="2" spans="1:8" x14ac:dyDescent="0.35">
      <c r="A2">
        <v>1</v>
      </c>
      <c r="B2" t="s">
        <v>80</v>
      </c>
      <c r="C2" s="23">
        <v>0</v>
      </c>
      <c r="D2" t="s">
        <v>491</v>
      </c>
      <c r="E2" s="23">
        <v>0</v>
      </c>
      <c r="F2" t="s">
        <v>491</v>
      </c>
      <c r="G2" t="s">
        <v>84</v>
      </c>
    </row>
    <row r="3" spans="1:8" x14ac:dyDescent="0.35">
      <c r="A3">
        <v>2</v>
      </c>
      <c r="B3" t="s">
        <v>81</v>
      </c>
      <c r="C3" t="s">
        <v>16</v>
      </c>
      <c r="D3" t="s">
        <v>494</v>
      </c>
      <c r="E3" t="s">
        <v>483</v>
      </c>
      <c r="F3" t="s">
        <v>494</v>
      </c>
      <c r="G3" t="s">
        <v>84</v>
      </c>
    </row>
    <row r="4" spans="1:8" x14ac:dyDescent="0.35">
      <c r="A4">
        <v>3</v>
      </c>
      <c r="B4" t="s">
        <v>85</v>
      </c>
      <c r="C4" t="s">
        <v>18</v>
      </c>
      <c r="D4" t="s">
        <v>494</v>
      </c>
      <c r="E4" t="s">
        <v>483</v>
      </c>
      <c r="F4" t="s">
        <v>494</v>
      </c>
      <c r="G4" t="s">
        <v>84</v>
      </c>
    </row>
    <row r="5" spans="1:8" x14ac:dyDescent="0.35">
      <c r="A5">
        <v>4</v>
      </c>
      <c r="B5" t="s">
        <v>86</v>
      </c>
      <c r="C5" t="s">
        <v>18</v>
      </c>
      <c r="D5" t="s">
        <v>494</v>
      </c>
      <c r="E5" t="s">
        <v>483</v>
      </c>
      <c r="F5" t="s">
        <v>494</v>
      </c>
      <c r="G5" t="s">
        <v>87</v>
      </c>
    </row>
    <row r="6" spans="1:8" x14ac:dyDescent="0.35">
      <c r="A6">
        <v>5</v>
      </c>
      <c r="B6" t="s">
        <v>82</v>
      </c>
      <c r="C6" t="s">
        <v>18</v>
      </c>
      <c r="D6" t="s">
        <v>494</v>
      </c>
      <c r="E6" t="s">
        <v>490</v>
      </c>
      <c r="F6" t="s">
        <v>494</v>
      </c>
      <c r="G6" t="s">
        <v>84</v>
      </c>
    </row>
  </sheetData>
  <autoFilter ref="A1:E1" xr:uid="{77241CA0-9ECB-4D61-9B96-A99669EE494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531"/>
  <sheetViews>
    <sheetView workbookViewId="0">
      <selection activeCell="E10" sqref="E10"/>
    </sheetView>
  </sheetViews>
  <sheetFormatPr baseColWidth="10" defaultColWidth="9.1796875" defaultRowHeight="14.5" x14ac:dyDescent="0.35"/>
  <cols>
    <col min="1" max="1" width="24.7265625" bestFit="1" customWidth="1"/>
    <col min="2" max="2" width="12.54296875" bestFit="1" customWidth="1"/>
    <col min="3" max="3" width="9.54296875" bestFit="1" customWidth="1"/>
    <col min="4" max="4" width="12" bestFit="1" customWidth="1"/>
    <col min="5" max="5" width="21" bestFit="1" customWidth="1"/>
  </cols>
  <sheetData>
    <row r="1" spans="1:5" x14ac:dyDescent="0.35">
      <c r="A1" s="2" t="s">
        <v>484</v>
      </c>
      <c r="B1" s="2" t="s">
        <v>1</v>
      </c>
      <c r="C1" s="2" t="s">
        <v>2</v>
      </c>
      <c r="D1" s="2" t="s">
        <v>3</v>
      </c>
      <c r="E1" s="1" t="s">
        <v>485</v>
      </c>
    </row>
    <row r="2" spans="1:5" x14ac:dyDescent="0.35">
      <c r="A2" t="s">
        <v>4</v>
      </c>
      <c r="B2" t="s">
        <v>5</v>
      </c>
      <c r="C2">
        <v>2020</v>
      </c>
      <c r="D2" t="s">
        <v>6</v>
      </c>
      <c r="E2">
        <v>1093.0696459999999</v>
      </c>
    </row>
    <row r="3" spans="1:5" x14ac:dyDescent="0.35">
      <c r="A3" t="s">
        <v>4</v>
      </c>
      <c r="B3" t="s">
        <v>5</v>
      </c>
      <c r="C3">
        <v>2021</v>
      </c>
      <c r="D3" t="s">
        <v>6</v>
      </c>
      <c r="E3">
        <v>1169.535646</v>
      </c>
    </row>
    <row r="4" spans="1:5" x14ac:dyDescent="0.35">
      <c r="A4" t="s">
        <v>4</v>
      </c>
      <c r="B4" t="s">
        <v>5</v>
      </c>
      <c r="C4">
        <v>2022</v>
      </c>
      <c r="D4" t="s">
        <v>6</v>
      </c>
      <c r="E4">
        <v>1380.3796460000001</v>
      </c>
    </row>
    <row r="5" spans="1:5" x14ac:dyDescent="0.35">
      <c r="A5" t="s">
        <v>4</v>
      </c>
      <c r="B5" t="s">
        <v>5</v>
      </c>
      <c r="C5">
        <v>2023</v>
      </c>
      <c r="D5" t="s">
        <v>6</v>
      </c>
      <c r="E5">
        <v>1460.0596459999999</v>
      </c>
    </row>
    <row r="6" spans="1:5" x14ac:dyDescent="0.35">
      <c r="A6" t="s">
        <v>4</v>
      </c>
      <c r="B6" t="s">
        <v>5</v>
      </c>
      <c r="C6">
        <v>2024</v>
      </c>
      <c r="D6" t="s">
        <v>6</v>
      </c>
      <c r="E6">
        <v>6136.1111540720722</v>
      </c>
    </row>
    <row r="7" spans="1:5" x14ac:dyDescent="0.35">
      <c r="A7" t="s">
        <v>4</v>
      </c>
      <c r="B7" t="s">
        <v>5</v>
      </c>
      <c r="C7">
        <v>2025</v>
      </c>
      <c r="D7" t="s">
        <v>6</v>
      </c>
      <c r="E7">
        <v>9556.3203859726327</v>
      </c>
    </row>
    <row r="8" spans="1:5" x14ac:dyDescent="0.35">
      <c r="A8" t="s">
        <v>4</v>
      </c>
      <c r="B8" t="s">
        <v>5</v>
      </c>
      <c r="C8">
        <v>2026</v>
      </c>
      <c r="D8" t="s">
        <v>6</v>
      </c>
      <c r="E8">
        <v>14666.70894328302</v>
      </c>
    </row>
    <row r="9" spans="1:5" x14ac:dyDescent="0.35">
      <c r="A9" t="s">
        <v>4</v>
      </c>
      <c r="B9" t="s">
        <v>5</v>
      </c>
      <c r="C9">
        <v>2027</v>
      </c>
      <c r="D9" t="s">
        <v>6</v>
      </c>
      <c r="E9">
        <v>22846.056566280731</v>
      </c>
    </row>
    <row r="10" spans="1:5" x14ac:dyDescent="0.35">
      <c r="A10" t="s">
        <v>4</v>
      </c>
      <c r="B10" t="s">
        <v>5</v>
      </c>
      <c r="C10">
        <v>2028</v>
      </c>
      <c r="D10" t="s">
        <v>6</v>
      </c>
      <c r="E10">
        <v>33558.203893436563</v>
      </c>
    </row>
    <row r="11" spans="1:5" x14ac:dyDescent="0.35">
      <c r="A11" t="s">
        <v>4</v>
      </c>
      <c r="B11" t="s">
        <v>5</v>
      </c>
      <c r="C11">
        <v>2029</v>
      </c>
      <c r="D11" t="s">
        <v>6</v>
      </c>
      <c r="E11">
        <v>45543.6522807039</v>
      </c>
    </row>
    <row r="12" spans="1:5" x14ac:dyDescent="0.35">
      <c r="A12" t="s">
        <v>4</v>
      </c>
      <c r="B12" t="s">
        <v>5</v>
      </c>
      <c r="C12">
        <v>2030</v>
      </c>
      <c r="D12" t="s">
        <v>6</v>
      </c>
      <c r="E12">
        <v>58753.881043988476</v>
      </c>
    </row>
    <row r="13" spans="1:5" x14ac:dyDescent="0.35">
      <c r="A13" t="s">
        <v>4</v>
      </c>
      <c r="B13" t="s">
        <v>5</v>
      </c>
      <c r="C13">
        <v>2031</v>
      </c>
      <c r="D13" t="s">
        <v>6</v>
      </c>
      <c r="E13">
        <v>74634.661248827935</v>
      </c>
    </row>
    <row r="14" spans="1:5" x14ac:dyDescent="0.35">
      <c r="A14" t="s">
        <v>4</v>
      </c>
      <c r="B14" t="s">
        <v>5</v>
      </c>
      <c r="C14">
        <v>2032</v>
      </c>
      <c r="D14" t="s">
        <v>6</v>
      </c>
      <c r="E14">
        <v>92402.4738250386</v>
      </c>
    </row>
    <row r="15" spans="1:5" x14ac:dyDescent="0.35">
      <c r="A15" t="s">
        <v>4</v>
      </c>
      <c r="B15" t="s">
        <v>5</v>
      </c>
      <c r="C15">
        <v>2033</v>
      </c>
      <c r="D15" t="s">
        <v>6</v>
      </c>
      <c r="E15">
        <v>111767.924194804</v>
      </c>
    </row>
    <row r="16" spans="1:5" x14ac:dyDescent="0.35">
      <c r="A16" t="s">
        <v>4</v>
      </c>
      <c r="B16" t="s">
        <v>5</v>
      </c>
      <c r="C16">
        <v>2034</v>
      </c>
      <c r="D16" t="s">
        <v>6</v>
      </c>
      <c r="E16">
        <v>132521.50263586891</v>
      </c>
    </row>
    <row r="17" spans="1:5" x14ac:dyDescent="0.35">
      <c r="A17" t="s">
        <v>4</v>
      </c>
      <c r="B17" t="s">
        <v>5</v>
      </c>
      <c r="C17">
        <v>2035</v>
      </c>
      <c r="D17" t="s">
        <v>6</v>
      </c>
      <c r="E17">
        <v>152437.6873521794</v>
      </c>
    </row>
    <row r="18" spans="1:5" x14ac:dyDescent="0.35">
      <c r="A18" t="s">
        <v>4</v>
      </c>
      <c r="B18" t="s">
        <v>5</v>
      </c>
      <c r="C18">
        <v>2036</v>
      </c>
      <c r="D18" t="s">
        <v>6</v>
      </c>
      <c r="E18">
        <v>173899.7327411345</v>
      </c>
    </row>
    <row r="19" spans="1:5" x14ac:dyDescent="0.35">
      <c r="A19" t="s">
        <v>4</v>
      </c>
      <c r="B19" t="s">
        <v>5</v>
      </c>
      <c r="C19">
        <v>2037</v>
      </c>
      <c r="D19" t="s">
        <v>6</v>
      </c>
      <c r="E19">
        <v>195842.1780346538</v>
      </c>
    </row>
    <row r="20" spans="1:5" x14ac:dyDescent="0.35">
      <c r="A20" t="s">
        <v>4</v>
      </c>
      <c r="B20" t="s">
        <v>5</v>
      </c>
      <c r="C20">
        <v>2038</v>
      </c>
      <c r="D20" t="s">
        <v>6</v>
      </c>
      <c r="E20">
        <v>217957.7461959504</v>
      </c>
    </row>
    <row r="21" spans="1:5" x14ac:dyDescent="0.35">
      <c r="A21" t="s">
        <v>4</v>
      </c>
      <c r="B21" t="s">
        <v>5</v>
      </c>
      <c r="C21">
        <v>2039</v>
      </c>
      <c r="D21" t="s">
        <v>6</v>
      </c>
      <c r="E21">
        <v>240082.77165293321</v>
      </c>
    </row>
    <row r="22" spans="1:5" x14ac:dyDescent="0.35">
      <c r="A22" t="s">
        <v>4</v>
      </c>
      <c r="B22" t="s">
        <v>5</v>
      </c>
      <c r="C22">
        <v>2040</v>
      </c>
      <c r="D22" t="s">
        <v>6</v>
      </c>
      <c r="E22">
        <v>262254.85822449211</v>
      </c>
    </row>
    <row r="23" spans="1:5" x14ac:dyDescent="0.35">
      <c r="A23" t="s">
        <v>4</v>
      </c>
      <c r="B23" t="s">
        <v>5</v>
      </c>
      <c r="C23">
        <v>2041</v>
      </c>
      <c r="D23" t="s">
        <v>6</v>
      </c>
      <c r="E23">
        <v>274910.61224940617</v>
      </c>
    </row>
    <row r="24" spans="1:5" x14ac:dyDescent="0.35">
      <c r="A24" t="s">
        <v>4</v>
      </c>
      <c r="B24" t="s">
        <v>5</v>
      </c>
      <c r="C24">
        <v>2042</v>
      </c>
      <c r="D24" t="s">
        <v>6</v>
      </c>
      <c r="E24">
        <v>285778.07587872242</v>
      </c>
    </row>
    <row r="25" spans="1:5" x14ac:dyDescent="0.35">
      <c r="A25" t="s">
        <v>4</v>
      </c>
      <c r="B25" t="s">
        <v>5</v>
      </c>
      <c r="C25">
        <v>2043</v>
      </c>
      <c r="D25" t="s">
        <v>6</v>
      </c>
      <c r="E25">
        <v>295362.58430913609</v>
      </c>
    </row>
    <row r="26" spans="1:5" x14ac:dyDescent="0.35">
      <c r="A26" t="s">
        <v>4</v>
      </c>
      <c r="B26" t="s">
        <v>5</v>
      </c>
      <c r="C26">
        <v>2044</v>
      </c>
      <c r="D26" t="s">
        <v>6</v>
      </c>
      <c r="E26">
        <v>303629.45105999452</v>
      </c>
    </row>
    <row r="27" spans="1:5" x14ac:dyDescent="0.35">
      <c r="A27" t="s">
        <v>4</v>
      </c>
      <c r="B27" t="s">
        <v>5</v>
      </c>
      <c r="C27">
        <v>2045</v>
      </c>
      <c r="D27" t="s">
        <v>6</v>
      </c>
      <c r="E27">
        <v>310882.39885569632</v>
      </c>
    </row>
    <row r="28" spans="1:5" x14ac:dyDescent="0.35">
      <c r="A28" t="s">
        <v>4</v>
      </c>
      <c r="B28" t="s">
        <v>5</v>
      </c>
      <c r="C28">
        <v>2046</v>
      </c>
      <c r="D28" t="s">
        <v>6</v>
      </c>
      <c r="E28">
        <v>317127.25947095652</v>
      </c>
    </row>
    <row r="29" spans="1:5" x14ac:dyDescent="0.35">
      <c r="A29" t="s">
        <v>4</v>
      </c>
      <c r="B29" t="s">
        <v>5</v>
      </c>
      <c r="C29">
        <v>2047</v>
      </c>
      <c r="D29" t="s">
        <v>6</v>
      </c>
      <c r="E29">
        <v>322245.92607747408</v>
      </c>
    </row>
    <row r="30" spans="1:5" x14ac:dyDescent="0.35">
      <c r="A30" t="s">
        <v>4</v>
      </c>
      <c r="B30" t="s">
        <v>5</v>
      </c>
      <c r="C30">
        <v>2048</v>
      </c>
      <c r="D30" t="s">
        <v>6</v>
      </c>
      <c r="E30">
        <v>326524.4866061802</v>
      </c>
    </row>
    <row r="31" spans="1:5" x14ac:dyDescent="0.35">
      <c r="A31" t="s">
        <v>4</v>
      </c>
      <c r="B31" t="s">
        <v>5</v>
      </c>
      <c r="C31">
        <v>2049</v>
      </c>
      <c r="D31" t="s">
        <v>6</v>
      </c>
      <c r="E31">
        <v>329966.00870528689</v>
      </c>
    </row>
    <row r="32" spans="1:5" x14ac:dyDescent="0.35">
      <c r="A32" t="s">
        <v>4</v>
      </c>
      <c r="B32" t="s">
        <v>5</v>
      </c>
      <c r="C32">
        <v>2050</v>
      </c>
      <c r="D32" t="s">
        <v>6</v>
      </c>
      <c r="E32">
        <v>332581.79755647847</v>
      </c>
    </row>
    <row r="33" spans="1:5" x14ac:dyDescent="0.35">
      <c r="A33" t="s">
        <v>4</v>
      </c>
      <c r="B33" t="s">
        <v>5</v>
      </c>
      <c r="C33">
        <v>2020</v>
      </c>
      <c r="D33" t="s">
        <v>7</v>
      </c>
      <c r="E33">
        <v>734456.94334690797</v>
      </c>
    </row>
    <row r="34" spans="1:5" x14ac:dyDescent="0.35">
      <c r="A34" t="s">
        <v>4</v>
      </c>
      <c r="B34" t="s">
        <v>5</v>
      </c>
      <c r="C34">
        <v>2021</v>
      </c>
      <c r="D34" t="s">
        <v>7</v>
      </c>
      <c r="E34">
        <v>738621.25516125129</v>
      </c>
    </row>
    <row r="35" spans="1:5" x14ac:dyDescent="0.35">
      <c r="A35" t="s">
        <v>4</v>
      </c>
      <c r="B35" t="s">
        <v>5</v>
      </c>
      <c r="C35">
        <v>2022</v>
      </c>
      <c r="D35" t="s">
        <v>7</v>
      </c>
      <c r="E35">
        <v>750772.27466496895</v>
      </c>
    </row>
    <row r="36" spans="1:5" x14ac:dyDescent="0.35">
      <c r="A36" t="s">
        <v>4</v>
      </c>
      <c r="B36" t="s">
        <v>5</v>
      </c>
      <c r="C36">
        <v>2023</v>
      </c>
      <c r="D36" t="s">
        <v>7</v>
      </c>
      <c r="E36">
        <v>760970.86997546419</v>
      </c>
    </row>
    <row r="37" spans="1:5" x14ac:dyDescent="0.35">
      <c r="A37" t="s">
        <v>4</v>
      </c>
      <c r="B37" t="s">
        <v>5</v>
      </c>
      <c r="C37">
        <v>2024</v>
      </c>
      <c r="D37" t="s">
        <v>7</v>
      </c>
      <c r="E37">
        <v>779608.36963413097</v>
      </c>
    </row>
    <row r="38" spans="1:5" x14ac:dyDescent="0.35">
      <c r="A38" t="s">
        <v>4</v>
      </c>
      <c r="B38" t="s">
        <v>5</v>
      </c>
      <c r="C38">
        <v>2025</v>
      </c>
      <c r="D38" t="s">
        <v>7</v>
      </c>
      <c r="E38">
        <v>816152.33242339652</v>
      </c>
    </row>
    <row r="39" spans="1:5" x14ac:dyDescent="0.35">
      <c r="A39" t="s">
        <v>4</v>
      </c>
      <c r="B39" t="s">
        <v>5</v>
      </c>
      <c r="C39">
        <v>2026</v>
      </c>
      <c r="D39" t="s">
        <v>7</v>
      </c>
      <c r="E39">
        <v>845634.32805853861</v>
      </c>
    </row>
    <row r="40" spans="1:5" x14ac:dyDescent="0.35">
      <c r="A40" t="s">
        <v>4</v>
      </c>
      <c r="B40" t="s">
        <v>5</v>
      </c>
      <c r="C40">
        <v>2027</v>
      </c>
      <c r="D40" t="s">
        <v>7</v>
      </c>
      <c r="E40">
        <v>879225.45381998783</v>
      </c>
    </row>
    <row r="41" spans="1:5" x14ac:dyDescent="0.35">
      <c r="A41" t="s">
        <v>4</v>
      </c>
      <c r="B41" t="s">
        <v>5</v>
      </c>
      <c r="C41">
        <v>2028</v>
      </c>
      <c r="D41" t="s">
        <v>7</v>
      </c>
      <c r="E41">
        <v>916409.46721627563</v>
      </c>
    </row>
    <row r="42" spans="1:5" x14ac:dyDescent="0.35">
      <c r="A42" t="s">
        <v>4</v>
      </c>
      <c r="B42" t="s">
        <v>5</v>
      </c>
      <c r="C42">
        <v>2029</v>
      </c>
      <c r="D42" t="s">
        <v>7</v>
      </c>
      <c r="E42">
        <v>955177.18715425662</v>
      </c>
    </row>
    <row r="43" spans="1:5" x14ac:dyDescent="0.35">
      <c r="A43" t="s">
        <v>4</v>
      </c>
      <c r="B43" t="s">
        <v>5</v>
      </c>
      <c r="C43">
        <v>2030</v>
      </c>
      <c r="D43" t="s">
        <v>7</v>
      </c>
      <c r="E43">
        <v>999788.1668806962</v>
      </c>
    </row>
    <row r="44" spans="1:5" x14ac:dyDescent="0.35">
      <c r="A44" t="s">
        <v>4</v>
      </c>
      <c r="B44" t="s">
        <v>5</v>
      </c>
      <c r="C44">
        <v>2031</v>
      </c>
      <c r="D44" t="s">
        <v>7</v>
      </c>
      <c r="E44">
        <v>1075624.1200135939</v>
      </c>
    </row>
    <row r="45" spans="1:5" x14ac:dyDescent="0.35">
      <c r="A45" t="s">
        <v>4</v>
      </c>
      <c r="B45" t="s">
        <v>5</v>
      </c>
      <c r="C45">
        <v>2032</v>
      </c>
      <c r="D45" t="s">
        <v>7</v>
      </c>
      <c r="E45">
        <v>1157294.299877228</v>
      </c>
    </row>
    <row r="46" spans="1:5" x14ac:dyDescent="0.35">
      <c r="A46" t="s">
        <v>4</v>
      </c>
      <c r="B46" t="s">
        <v>5</v>
      </c>
      <c r="C46">
        <v>2033</v>
      </c>
      <c r="D46" t="s">
        <v>7</v>
      </c>
      <c r="E46">
        <v>1239302.9775620999</v>
      </c>
    </row>
    <row r="47" spans="1:5" x14ac:dyDescent="0.35">
      <c r="A47" t="s">
        <v>4</v>
      </c>
      <c r="B47" t="s">
        <v>5</v>
      </c>
      <c r="C47">
        <v>2034</v>
      </c>
      <c r="D47" t="s">
        <v>7</v>
      </c>
      <c r="E47">
        <v>1323318.734939687</v>
      </c>
    </row>
    <row r="48" spans="1:5" x14ac:dyDescent="0.35">
      <c r="A48" t="s">
        <v>4</v>
      </c>
      <c r="B48" t="s">
        <v>5</v>
      </c>
      <c r="C48">
        <v>2035</v>
      </c>
      <c r="D48" t="s">
        <v>7</v>
      </c>
      <c r="E48">
        <v>1380748.71092915</v>
      </c>
    </row>
    <row r="49" spans="1:5" x14ac:dyDescent="0.35">
      <c r="A49" t="s">
        <v>4</v>
      </c>
      <c r="B49" t="s">
        <v>5</v>
      </c>
      <c r="C49">
        <v>2036</v>
      </c>
      <c r="D49" t="s">
        <v>7</v>
      </c>
      <c r="E49">
        <v>1427841.619496794</v>
      </c>
    </row>
    <row r="50" spans="1:5" x14ac:dyDescent="0.35">
      <c r="A50" t="s">
        <v>4</v>
      </c>
      <c r="B50" t="s">
        <v>5</v>
      </c>
      <c r="C50">
        <v>2037</v>
      </c>
      <c r="D50" t="s">
        <v>7</v>
      </c>
      <c r="E50">
        <v>1478036.3950053221</v>
      </c>
    </row>
    <row r="51" spans="1:5" x14ac:dyDescent="0.35">
      <c r="A51" t="s">
        <v>4</v>
      </c>
      <c r="B51" t="s">
        <v>5</v>
      </c>
      <c r="C51">
        <v>2038</v>
      </c>
      <c r="D51" t="s">
        <v>7</v>
      </c>
      <c r="E51">
        <v>1525342.03872534</v>
      </c>
    </row>
    <row r="52" spans="1:5" x14ac:dyDescent="0.35">
      <c r="A52" t="s">
        <v>4</v>
      </c>
      <c r="B52" t="s">
        <v>5</v>
      </c>
      <c r="C52">
        <v>2039</v>
      </c>
      <c r="D52" t="s">
        <v>7</v>
      </c>
      <c r="E52">
        <v>1574369.961054781</v>
      </c>
    </row>
    <row r="53" spans="1:5" x14ac:dyDescent="0.35">
      <c r="A53" t="s">
        <v>4</v>
      </c>
      <c r="B53" t="s">
        <v>5</v>
      </c>
      <c r="C53">
        <v>2040</v>
      </c>
      <c r="D53" t="s">
        <v>7</v>
      </c>
      <c r="E53">
        <v>1618702.5825368459</v>
      </c>
    </row>
    <row r="54" spans="1:5" x14ac:dyDescent="0.35">
      <c r="A54" t="s">
        <v>4</v>
      </c>
      <c r="B54" t="s">
        <v>5</v>
      </c>
      <c r="C54">
        <v>2041</v>
      </c>
      <c r="D54" t="s">
        <v>7</v>
      </c>
      <c r="E54">
        <v>1675492.697906056</v>
      </c>
    </row>
    <row r="55" spans="1:5" x14ac:dyDescent="0.35">
      <c r="A55" t="s">
        <v>4</v>
      </c>
      <c r="B55" t="s">
        <v>5</v>
      </c>
      <c r="C55">
        <v>2042</v>
      </c>
      <c r="D55" t="s">
        <v>7</v>
      </c>
      <c r="E55">
        <v>1730062.751608996</v>
      </c>
    </row>
    <row r="56" spans="1:5" x14ac:dyDescent="0.35">
      <c r="A56" t="s">
        <v>4</v>
      </c>
      <c r="B56" t="s">
        <v>5</v>
      </c>
      <c r="C56">
        <v>2043</v>
      </c>
      <c r="D56" t="s">
        <v>7</v>
      </c>
      <c r="E56">
        <v>1785328.8937092021</v>
      </c>
    </row>
    <row r="57" spans="1:5" x14ac:dyDescent="0.35">
      <c r="A57" t="s">
        <v>4</v>
      </c>
      <c r="B57" t="s">
        <v>5</v>
      </c>
      <c r="C57">
        <v>2044</v>
      </c>
      <c r="D57" t="s">
        <v>7</v>
      </c>
      <c r="E57">
        <v>1840721.29940822</v>
      </c>
    </row>
    <row r="58" spans="1:5" x14ac:dyDescent="0.35">
      <c r="A58" t="s">
        <v>4</v>
      </c>
      <c r="B58" t="s">
        <v>5</v>
      </c>
      <c r="C58">
        <v>2045</v>
      </c>
      <c r="D58" t="s">
        <v>7</v>
      </c>
      <c r="E58">
        <v>1893667.422648693</v>
      </c>
    </row>
    <row r="59" spans="1:5" x14ac:dyDescent="0.35">
      <c r="A59" t="s">
        <v>4</v>
      </c>
      <c r="B59" t="s">
        <v>5</v>
      </c>
      <c r="C59">
        <v>2046</v>
      </c>
      <c r="D59" t="s">
        <v>7</v>
      </c>
      <c r="E59">
        <v>1930094.8290658661</v>
      </c>
    </row>
    <row r="60" spans="1:5" x14ac:dyDescent="0.35">
      <c r="A60" t="s">
        <v>4</v>
      </c>
      <c r="B60" t="s">
        <v>5</v>
      </c>
      <c r="C60">
        <v>2047</v>
      </c>
      <c r="D60" t="s">
        <v>7</v>
      </c>
      <c r="E60">
        <v>1968481.539693929</v>
      </c>
    </row>
    <row r="61" spans="1:5" x14ac:dyDescent="0.35">
      <c r="A61" t="s">
        <v>4</v>
      </c>
      <c r="B61" t="s">
        <v>5</v>
      </c>
      <c r="C61">
        <v>2048</v>
      </c>
      <c r="D61" t="s">
        <v>7</v>
      </c>
      <c r="E61">
        <v>2004787.4362040949</v>
      </c>
    </row>
    <row r="62" spans="1:5" x14ac:dyDescent="0.35">
      <c r="A62" t="s">
        <v>4</v>
      </c>
      <c r="B62" t="s">
        <v>5</v>
      </c>
      <c r="C62">
        <v>2049</v>
      </c>
      <c r="D62" t="s">
        <v>7</v>
      </c>
      <c r="E62">
        <v>2039699.331557574</v>
      </c>
    </row>
    <row r="63" spans="1:5" x14ac:dyDescent="0.35">
      <c r="A63" t="s">
        <v>4</v>
      </c>
      <c r="B63" t="s">
        <v>5</v>
      </c>
      <c r="C63">
        <v>2050</v>
      </c>
      <c r="D63" t="s">
        <v>7</v>
      </c>
      <c r="E63">
        <v>2066176.0445699389</v>
      </c>
    </row>
    <row r="64" spans="1:5" x14ac:dyDescent="0.35">
      <c r="A64" t="s">
        <v>4</v>
      </c>
      <c r="B64" t="s">
        <v>5</v>
      </c>
      <c r="C64">
        <v>2024</v>
      </c>
      <c r="D64" t="s">
        <v>13</v>
      </c>
      <c r="E64">
        <v>269.56540533104919</v>
      </c>
    </row>
    <row r="65" spans="1:5" x14ac:dyDescent="0.35">
      <c r="A65" t="s">
        <v>4</v>
      </c>
      <c r="B65" t="s">
        <v>5</v>
      </c>
      <c r="C65">
        <v>2025</v>
      </c>
      <c r="D65" t="s">
        <v>13</v>
      </c>
      <c r="E65">
        <v>413.38674287243032</v>
      </c>
    </row>
    <row r="66" spans="1:5" x14ac:dyDescent="0.35">
      <c r="A66" t="s">
        <v>4</v>
      </c>
      <c r="B66" t="s">
        <v>5</v>
      </c>
      <c r="C66">
        <v>2026</v>
      </c>
      <c r="D66" t="s">
        <v>13</v>
      </c>
      <c r="E66">
        <v>595.19964669675574</v>
      </c>
    </row>
    <row r="67" spans="1:5" x14ac:dyDescent="0.35">
      <c r="A67" t="s">
        <v>4</v>
      </c>
      <c r="B67" t="s">
        <v>5</v>
      </c>
      <c r="C67">
        <v>2027</v>
      </c>
      <c r="D67" t="s">
        <v>13</v>
      </c>
      <c r="E67">
        <v>870.72588738825675</v>
      </c>
    </row>
    <row r="68" spans="1:5" x14ac:dyDescent="0.35">
      <c r="A68" t="s">
        <v>4</v>
      </c>
      <c r="B68" t="s">
        <v>5</v>
      </c>
      <c r="C68">
        <v>2028</v>
      </c>
      <c r="D68" t="s">
        <v>13</v>
      </c>
      <c r="E68">
        <v>1182.9561420443069</v>
      </c>
    </row>
    <row r="69" spans="1:5" x14ac:dyDescent="0.35">
      <c r="A69" t="s">
        <v>4</v>
      </c>
      <c r="B69" t="s">
        <v>5</v>
      </c>
      <c r="C69">
        <v>2029</v>
      </c>
      <c r="D69" t="s">
        <v>13</v>
      </c>
      <c r="E69">
        <v>1524.695210353849</v>
      </c>
    </row>
    <row r="70" spans="1:5" x14ac:dyDescent="0.35">
      <c r="A70" t="s">
        <v>4</v>
      </c>
      <c r="B70" t="s">
        <v>5</v>
      </c>
      <c r="C70">
        <v>2030</v>
      </c>
      <c r="D70" t="s">
        <v>13</v>
      </c>
      <c r="E70">
        <v>1855.5643647638899</v>
      </c>
    </row>
    <row r="71" spans="1:5" x14ac:dyDescent="0.35">
      <c r="A71" t="s">
        <v>4</v>
      </c>
      <c r="B71" t="s">
        <v>5</v>
      </c>
      <c r="C71">
        <v>2031</v>
      </c>
      <c r="D71" t="s">
        <v>13</v>
      </c>
      <c r="E71">
        <v>2159.8800640851032</v>
      </c>
    </row>
    <row r="72" spans="1:5" x14ac:dyDescent="0.35">
      <c r="A72" t="s">
        <v>4</v>
      </c>
      <c r="B72" t="s">
        <v>5</v>
      </c>
      <c r="C72">
        <v>2032</v>
      </c>
      <c r="D72" t="s">
        <v>13</v>
      </c>
      <c r="E72">
        <v>2450.943187437073</v>
      </c>
    </row>
    <row r="73" spans="1:5" x14ac:dyDescent="0.35">
      <c r="A73" t="s">
        <v>4</v>
      </c>
      <c r="B73" t="s">
        <v>5</v>
      </c>
      <c r="C73">
        <v>2033</v>
      </c>
      <c r="D73" t="s">
        <v>13</v>
      </c>
      <c r="E73">
        <v>2712.6977060483359</v>
      </c>
    </row>
    <row r="74" spans="1:5" x14ac:dyDescent="0.35">
      <c r="A74" t="s">
        <v>4</v>
      </c>
      <c r="B74" t="s">
        <v>5</v>
      </c>
      <c r="C74">
        <v>2034</v>
      </c>
      <c r="D74" t="s">
        <v>13</v>
      </c>
      <c r="E74">
        <v>2934.8364470711022</v>
      </c>
    </row>
    <row r="75" spans="1:5" x14ac:dyDescent="0.35">
      <c r="A75" t="s">
        <v>4</v>
      </c>
      <c r="B75" t="s">
        <v>5</v>
      </c>
      <c r="C75">
        <v>2035</v>
      </c>
      <c r="D75" t="s">
        <v>13</v>
      </c>
      <c r="E75">
        <v>3066.2923431360991</v>
      </c>
    </row>
    <row r="76" spans="1:5" x14ac:dyDescent="0.35">
      <c r="A76" t="s">
        <v>4</v>
      </c>
      <c r="B76" t="s">
        <v>5</v>
      </c>
      <c r="C76">
        <v>2036</v>
      </c>
      <c r="D76" t="s">
        <v>13</v>
      </c>
      <c r="E76">
        <v>3178.982459798764</v>
      </c>
    </row>
    <row r="77" spans="1:5" x14ac:dyDescent="0.35">
      <c r="A77" t="s">
        <v>4</v>
      </c>
      <c r="B77" t="s">
        <v>5</v>
      </c>
      <c r="C77">
        <v>2037</v>
      </c>
      <c r="D77" t="s">
        <v>13</v>
      </c>
      <c r="E77">
        <v>3230.4798003226651</v>
      </c>
    </row>
    <row r="78" spans="1:5" x14ac:dyDescent="0.35">
      <c r="A78" t="s">
        <v>4</v>
      </c>
      <c r="B78" t="s">
        <v>5</v>
      </c>
      <c r="C78">
        <v>2038</v>
      </c>
      <c r="D78" t="s">
        <v>13</v>
      </c>
      <c r="E78">
        <v>3217.8690369252022</v>
      </c>
    </row>
    <row r="79" spans="1:5" x14ac:dyDescent="0.35">
      <c r="A79" t="s">
        <v>4</v>
      </c>
      <c r="B79" t="s">
        <v>5</v>
      </c>
      <c r="C79">
        <v>2039</v>
      </c>
      <c r="D79" t="s">
        <v>13</v>
      </c>
      <c r="E79">
        <v>3142.2560928391108</v>
      </c>
    </row>
    <row r="80" spans="1:5" x14ac:dyDescent="0.35">
      <c r="A80" t="s">
        <v>4</v>
      </c>
      <c r="B80" t="s">
        <v>5</v>
      </c>
      <c r="C80">
        <v>2040</v>
      </c>
      <c r="D80" t="s">
        <v>13</v>
      </c>
      <c r="E80">
        <v>3008.0333095996998</v>
      </c>
    </row>
    <row r="81" spans="1:5" x14ac:dyDescent="0.35">
      <c r="A81" t="s">
        <v>4</v>
      </c>
      <c r="B81" t="s">
        <v>5</v>
      </c>
      <c r="C81">
        <v>2041</v>
      </c>
      <c r="D81" t="s">
        <v>13</v>
      </c>
      <c r="E81">
        <v>3040.892047382843</v>
      </c>
    </row>
    <row r="82" spans="1:5" x14ac:dyDescent="0.35">
      <c r="A82" t="s">
        <v>4</v>
      </c>
      <c r="B82" t="s">
        <v>5</v>
      </c>
      <c r="C82">
        <v>2042</v>
      </c>
      <c r="D82" t="s">
        <v>13</v>
      </c>
      <c r="E82">
        <v>3040.3218920010499</v>
      </c>
    </row>
    <row r="83" spans="1:5" x14ac:dyDescent="0.35">
      <c r="A83" t="s">
        <v>4</v>
      </c>
      <c r="B83" t="s">
        <v>5</v>
      </c>
      <c r="C83">
        <v>2043</v>
      </c>
      <c r="D83" t="s">
        <v>13</v>
      </c>
      <c r="E83">
        <v>3013.379217585235</v>
      </c>
    </row>
    <row r="84" spans="1:5" x14ac:dyDescent="0.35">
      <c r="A84" t="s">
        <v>4</v>
      </c>
      <c r="B84" t="s">
        <v>5</v>
      </c>
      <c r="C84">
        <v>2044</v>
      </c>
      <c r="D84" t="s">
        <v>13</v>
      </c>
      <c r="E84">
        <v>2960.819207754133</v>
      </c>
    </row>
    <row r="85" spans="1:5" x14ac:dyDescent="0.35">
      <c r="A85" t="s">
        <v>4</v>
      </c>
      <c r="B85" t="s">
        <v>5</v>
      </c>
      <c r="C85">
        <v>2045</v>
      </c>
      <c r="D85" t="s">
        <v>13</v>
      </c>
      <c r="E85">
        <v>2886.787424557102</v>
      </c>
    </row>
    <row r="86" spans="1:5" x14ac:dyDescent="0.35">
      <c r="A86" t="s">
        <v>4</v>
      </c>
      <c r="B86" t="s">
        <v>5</v>
      </c>
      <c r="C86">
        <v>2046</v>
      </c>
      <c r="D86" t="s">
        <v>13</v>
      </c>
      <c r="E86">
        <v>2793.0952911338459</v>
      </c>
    </row>
    <row r="87" spans="1:5" x14ac:dyDescent="0.35">
      <c r="A87" t="s">
        <v>4</v>
      </c>
      <c r="B87" t="s">
        <v>5</v>
      </c>
      <c r="C87">
        <v>2047</v>
      </c>
      <c r="D87" t="s">
        <v>13</v>
      </c>
      <c r="E87">
        <v>2678.4870740824781</v>
      </c>
    </row>
    <row r="88" spans="1:5" x14ac:dyDescent="0.35">
      <c r="A88" t="s">
        <v>4</v>
      </c>
      <c r="B88" t="s">
        <v>5</v>
      </c>
      <c r="C88">
        <v>2048</v>
      </c>
      <c r="D88" t="s">
        <v>13</v>
      </c>
      <c r="E88">
        <v>2546.7388840053382</v>
      </c>
    </row>
    <row r="89" spans="1:5" x14ac:dyDescent="0.35">
      <c r="A89" t="s">
        <v>4</v>
      </c>
      <c r="B89" t="s">
        <v>5</v>
      </c>
      <c r="C89">
        <v>2049</v>
      </c>
      <c r="D89" t="s">
        <v>13</v>
      </c>
      <c r="E89">
        <v>2398.7091441171419</v>
      </c>
    </row>
    <row r="90" spans="1:5" x14ac:dyDescent="0.35">
      <c r="A90" t="s">
        <v>4</v>
      </c>
      <c r="B90" t="s">
        <v>5</v>
      </c>
      <c r="C90">
        <v>2050</v>
      </c>
      <c r="D90" t="s">
        <v>13</v>
      </c>
      <c r="E90">
        <v>2236.4518108545221</v>
      </c>
    </row>
    <row r="91" spans="1:5" x14ac:dyDescent="0.35">
      <c r="A91" t="s">
        <v>4</v>
      </c>
      <c r="B91" t="s">
        <v>5</v>
      </c>
      <c r="C91">
        <v>2024</v>
      </c>
      <c r="D91" t="s">
        <v>12</v>
      </c>
      <c r="E91">
        <v>4081.9920784693568</v>
      </c>
    </row>
    <row r="92" spans="1:5" x14ac:dyDescent="0.35">
      <c r="A92" t="s">
        <v>4</v>
      </c>
      <c r="B92" t="s">
        <v>5</v>
      </c>
      <c r="C92">
        <v>2025</v>
      </c>
      <c r="D92" t="s">
        <v>12</v>
      </c>
      <c r="E92">
        <v>6247.3243664054053</v>
      </c>
    </row>
    <row r="93" spans="1:5" x14ac:dyDescent="0.35">
      <c r="A93" t="s">
        <v>4</v>
      </c>
      <c r="B93" t="s">
        <v>5</v>
      </c>
      <c r="C93">
        <v>2026</v>
      </c>
      <c r="D93" t="s">
        <v>12</v>
      </c>
      <c r="E93">
        <v>9264.2962116299586</v>
      </c>
    </row>
    <row r="94" spans="1:5" x14ac:dyDescent="0.35">
      <c r="A94" t="s">
        <v>4</v>
      </c>
      <c r="B94" t="s">
        <v>5</v>
      </c>
      <c r="C94">
        <v>2027</v>
      </c>
      <c r="D94" t="s">
        <v>12</v>
      </c>
      <c r="E94">
        <v>13737.544328976641</v>
      </c>
    </row>
    <row r="95" spans="1:5" x14ac:dyDescent="0.35">
      <c r="A95" t="s">
        <v>4</v>
      </c>
      <c r="B95" t="s">
        <v>5</v>
      </c>
      <c r="C95">
        <v>2028</v>
      </c>
      <c r="D95" t="s">
        <v>12</v>
      </c>
      <c r="E95">
        <v>18935.44383590906</v>
      </c>
    </row>
    <row r="96" spans="1:5" x14ac:dyDescent="0.35">
      <c r="A96" t="s">
        <v>4</v>
      </c>
      <c r="B96" t="s">
        <v>5</v>
      </c>
      <c r="C96">
        <v>2029</v>
      </c>
      <c r="D96" t="s">
        <v>12</v>
      </c>
      <c r="E96">
        <v>24655.859039949839</v>
      </c>
    </row>
    <row r="97" spans="1:5" x14ac:dyDescent="0.35">
      <c r="A97" t="s">
        <v>4</v>
      </c>
      <c r="B97" t="s">
        <v>5</v>
      </c>
      <c r="C97">
        <v>2030</v>
      </c>
      <c r="D97" t="s">
        <v>12</v>
      </c>
      <c r="E97">
        <v>30338.572462274031</v>
      </c>
    </row>
    <row r="98" spans="1:5" x14ac:dyDescent="0.35">
      <c r="A98" t="s">
        <v>4</v>
      </c>
      <c r="B98" t="s">
        <v>5</v>
      </c>
      <c r="C98">
        <v>2031</v>
      </c>
      <c r="D98" t="s">
        <v>12</v>
      </c>
      <c r="E98">
        <v>36619.276210392578</v>
      </c>
    </row>
    <row r="99" spans="1:5" x14ac:dyDescent="0.35">
      <c r="A99" t="s">
        <v>4</v>
      </c>
      <c r="B99" t="s">
        <v>5</v>
      </c>
      <c r="C99">
        <v>2032</v>
      </c>
      <c r="D99" t="s">
        <v>12</v>
      </c>
      <c r="E99">
        <v>43216.40196908595</v>
      </c>
    </row>
    <row r="100" spans="1:5" x14ac:dyDescent="0.35">
      <c r="A100" t="s">
        <v>4</v>
      </c>
      <c r="B100" t="s">
        <v>5</v>
      </c>
      <c r="C100">
        <v>2033</v>
      </c>
      <c r="D100" t="s">
        <v>12</v>
      </c>
      <c r="E100">
        <v>49911.675533361398</v>
      </c>
    </row>
    <row r="101" spans="1:5" x14ac:dyDescent="0.35">
      <c r="A101" t="s">
        <v>4</v>
      </c>
      <c r="B101" t="s">
        <v>5</v>
      </c>
      <c r="C101">
        <v>2034</v>
      </c>
      <c r="D101" t="s">
        <v>12</v>
      </c>
      <c r="E101">
        <v>56563.036479032307</v>
      </c>
    </row>
    <row r="102" spans="1:5" x14ac:dyDescent="0.35">
      <c r="A102" t="s">
        <v>4</v>
      </c>
      <c r="B102" t="s">
        <v>5</v>
      </c>
      <c r="C102">
        <v>2035</v>
      </c>
      <c r="D102" t="s">
        <v>12</v>
      </c>
      <c r="E102">
        <v>62177.458189905767</v>
      </c>
    </row>
    <row r="103" spans="1:5" x14ac:dyDescent="0.35">
      <c r="A103" t="s">
        <v>4</v>
      </c>
      <c r="B103" t="s">
        <v>5</v>
      </c>
      <c r="C103">
        <v>2036</v>
      </c>
      <c r="D103" t="s">
        <v>12</v>
      </c>
      <c r="E103">
        <v>68174.621934206763</v>
      </c>
    </row>
    <row r="104" spans="1:5" x14ac:dyDescent="0.35">
      <c r="A104" t="s">
        <v>4</v>
      </c>
      <c r="B104" t="s">
        <v>5</v>
      </c>
      <c r="C104">
        <v>2037</v>
      </c>
      <c r="D104" t="s">
        <v>12</v>
      </c>
      <c r="E104">
        <v>73716.882405397235</v>
      </c>
    </row>
    <row r="105" spans="1:5" x14ac:dyDescent="0.35">
      <c r="A105" t="s">
        <v>4</v>
      </c>
      <c r="B105" t="s">
        <v>5</v>
      </c>
      <c r="C105">
        <v>2038</v>
      </c>
      <c r="D105" t="s">
        <v>12</v>
      </c>
      <c r="E105">
        <v>78705.260511419096</v>
      </c>
    </row>
    <row r="106" spans="1:5" x14ac:dyDescent="0.35">
      <c r="A106" t="s">
        <v>4</v>
      </c>
      <c r="B106" t="s">
        <v>5</v>
      </c>
      <c r="C106">
        <v>2039</v>
      </c>
      <c r="D106" t="s">
        <v>12</v>
      </c>
      <c r="E106">
        <v>83112.060773278674</v>
      </c>
    </row>
    <row r="107" spans="1:5" x14ac:dyDescent="0.35">
      <c r="A107" t="s">
        <v>4</v>
      </c>
      <c r="B107" t="s">
        <v>5</v>
      </c>
      <c r="C107">
        <v>2040</v>
      </c>
      <c r="D107" t="s">
        <v>12</v>
      </c>
      <c r="E107">
        <v>86988.213251106645</v>
      </c>
    </row>
    <row r="108" spans="1:5" x14ac:dyDescent="0.35">
      <c r="A108" t="s">
        <v>4</v>
      </c>
      <c r="B108" t="s">
        <v>5</v>
      </c>
      <c r="C108">
        <v>2041</v>
      </c>
      <c r="D108" t="s">
        <v>12</v>
      </c>
      <c r="E108">
        <v>91812.567613215841</v>
      </c>
    </row>
    <row r="109" spans="1:5" x14ac:dyDescent="0.35">
      <c r="A109" t="s">
        <v>4</v>
      </c>
      <c r="B109" t="s">
        <v>5</v>
      </c>
      <c r="C109">
        <v>2042</v>
      </c>
      <c r="D109" t="s">
        <v>12</v>
      </c>
      <c r="E109">
        <v>96099.128869976383</v>
      </c>
    </row>
    <row r="110" spans="1:5" x14ac:dyDescent="0.35">
      <c r="A110" t="s">
        <v>4</v>
      </c>
      <c r="B110" t="s">
        <v>5</v>
      </c>
      <c r="C110">
        <v>2043</v>
      </c>
      <c r="D110" t="s">
        <v>12</v>
      </c>
      <c r="E110">
        <v>100014.9954227424</v>
      </c>
    </row>
    <row r="111" spans="1:5" x14ac:dyDescent="0.35">
      <c r="A111" t="s">
        <v>4</v>
      </c>
      <c r="B111" t="s">
        <v>5</v>
      </c>
      <c r="C111">
        <v>2044</v>
      </c>
      <c r="D111" t="s">
        <v>12</v>
      </c>
      <c r="E111">
        <v>103540.3733055356</v>
      </c>
    </row>
    <row r="112" spans="1:5" x14ac:dyDescent="0.35">
      <c r="A112" t="s">
        <v>4</v>
      </c>
      <c r="B112" t="s">
        <v>5</v>
      </c>
      <c r="C112">
        <v>2045</v>
      </c>
      <c r="D112" t="s">
        <v>12</v>
      </c>
      <c r="E112">
        <v>106774.642299343</v>
      </c>
    </row>
    <row r="113" spans="1:5" x14ac:dyDescent="0.35">
      <c r="A113" t="s">
        <v>4</v>
      </c>
      <c r="B113" t="s">
        <v>5</v>
      </c>
      <c r="C113">
        <v>2046</v>
      </c>
      <c r="D113" t="s">
        <v>12</v>
      </c>
      <c r="E113">
        <v>109748.2801140962</v>
      </c>
    </row>
    <row r="114" spans="1:5" x14ac:dyDescent="0.35">
      <c r="A114" t="s">
        <v>4</v>
      </c>
      <c r="B114" t="s">
        <v>5</v>
      </c>
      <c r="C114">
        <v>2047</v>
      </c>
      <c r="D114" t="s">
        <v>12</v>
      </c>
      <c r="E114">
        <v>112369.84009182249</v>
      </c>
    </row>
    <row r="115" spans="1:5" x14ac:dyDescent="0.35">
      <c r="A115" t="s">
        <v>4</v>
      </c>
      <c r="B115" t="s">
        <v>5</v>
      </c>
      <c r="C115">
        <v>2048</v>
      </c>
      <c r="D115" t="s">
        <v>12</v>
      </c>
      <c r="E115">
        <v>114746.0810716792</v>
      </c>
    </row>
    <row r="116" spans="1:5" x14ac:dyDescent="0.35">
      <c r="A116" t="s">
        <v>4</v>
      </c>
      <c r="B116" t="s">
        <v>5</v>
      </c>
      <c r="C116">
        <v>2049</v>
      </c>
      <c r="D116" t="s">
        <v>12</v>
      </c>
      <c r="E116">
        <v>116873.9519808302</v>
      </c>
    </row>
    <row r="117" spans="1:5" x14ac:dyDescent="0.35">
      <c r="A117" t="s">
        <v>4</v>
      </c>
      <c r="B117" t="s">
        <v>5</v>
      </c>
      <c r="C117">
        <v>2050</v>
      </c>
      <c r="D117" t="s">
        <v>12</v>
      </c>
      <c r="E117">
        <v>118811.0756782083</v>
      </c>
    </row>
    <row r="118" spans="1:5" x14ac:dyDescent="0.35">
      <c r="A118" t="s">
        <v>4</v>
      </c>
      <c r="B118" t="s">
        <v>5</v>
      </c>
      <c r="C118">
        <v>2020</v>
      </c>
      <c r="D118" t="s">
        <v>11</v>
      </c>
      <c r="E118">
        <v>0</v>
      </c>
    </row>
    <row r="119" spans="1:5" x14ac:dyDescent="0.35">
      <c r="A119" t="s">
        <v>4</v>
      </c>
      <c r="B119" t="s">
        <v>5</v>
      </c>
      <c r="C119">
        <v>2021</v>
      </c>
      <c r="D119" t="s">
        <v>11</v>
      </c>
      <c r="E119">
        <v>0</v>
      </c>
    </row>
    <row r="120" spans="1:5" x14ac:dyDescent="0.35">
      <c r="A120" t="s">
        <v>4</v>
      </c>
      <c r="B120" t="s">
        <v>5</v>
      </c>
      <c r="C120">
        <v>2022</v>
      </c>
      <c r="D120" t="s">
        <v>11</v>
      </c>
      <c r="E120">
        <v>0</v>
      </c>
    </row>
    <row r="121" spans="1:5" x14ac:dyDescent="0.35">
      <c r="A121" t="s">
        <v>4</v>
      </c>
      <c r="B121" t="s">
        <v>5</v>
      </c>
      <c r="C121">
        <v>2023</v>
      </c>
      <c r="D121" t="s">
        <v>11</v>
      </c>
      <c r="E121">
        <v>0</v>
      </c>
    </row>
    <row r="122" spans="1:5" x14ac:dyDescent="0.35">
      <c r="A122" t="s">
        <v>4</v>
      </c>
      <c r="B122" t="s">
        <v>5</v>
      </c>
      <c r="C122">
        <v>2024</v>
      </c>
      <c r="D122" t="s">
        <v>11</v>
      </c>
      <c r="E122">
        <v>204.86362628923879</v>
      </c>
    </row>
    <row r="123" spans="1:5" x14ac:dyDescent="0.35">
      <c r="A123" t="s">
        <v>4</v>
      </c>
      <c r="B123" t="s">
        <v>5</v>
      </c>
      <c r="C123">
        <v>2025</v>
      </c>
      <c r="D123" t="s">
        <v>11</v>
      </c>
      <c r="E123">
        <v>325.38476223044881</v>
      </c>
    </row>
    <row r="124" spans="1:5" x14ac:dyDescent="0.35">
      <c r="A124" t="s">
        <v>4</v>
      </c>
      <c r="B124" t="s">
        <v>5</v>
      </c>
      <c r="C124">
        <v>2026</v>
      </c>
      <c r="D124" t="s">
        <v>11</v>
      </c>
      <c r="E124">
        <v>563.7311840881448</v>
      </c>
    </row>
    <row r="125" spans="1:5" x14ac:dyDescent="0.35">
      <c r="A125" t="s">
        <v>4</v>
      </c>
      <c r="B125" t="s">
        <v>5</v>
      </c>
      <c r="C125">
        <v>2027</v>
      </c>
      <c r="D125" t="s">
        <v>11</v>
      </c>
      <c r="E125">
        <v>886.00915439887626</v>
      </c>
    </row>
    <row r="126" spans="1:5" x14ac:dyDescent="0.35">
      <c r="A126" t="s">
        <v>4</v>
      </c>
      <c r="B126" t="s">
        <v>5</v>
      </c>
      <c r="C126">
        <v>2028</v>
      </c>
      <c r="D126" t="s">
        <v>11</v>
      </c>
      <c r="E126">
        <v>1263.9158077811819</v>
      </c>
    </row>
    <row r="127" spans="1:5" x14ac:dyDescent="0.35">
      <c r="A127" t="s">
        <v>4</v>
      </c>
      <c r="B127" t="s">
        <v>5</v>
      </c>
      <c r="C127">
        <v>2029</v>
      </c>
      <c r="D127" t="s">
        <v>11</v>
      </c>
      <c r="E127">
        <v>1697.8123851929049</v>
      </c>
    </row>
    <row r="128" spans="1:5" x14ac:dyDescent="0.35">
      <c r="A128" t="s">
        <v>4</v>
      </c>
      <c r="B128" t="s">
        <v>5</v>
      </c>
      <c r="C128">
        <v>2030</v>
      </c>
      <c r="D128" t="s">
        <v>11</v>
      </c>
      <c r="E128">
        <v>2154.8829337155262</v>
      </c>
    </row>
    <row r="129" spans="1:5" x14ac:dyDescent="0.35">
      <c r="A129" t="s">
        <v>4</v>
      </c>
      <c r="B129" t="s">
        <v>5</v>
      </c>
      <c r="C129">
        <v>2031</v>
      </c>
      <c r="D129" t="s">
        <v>11</v>
      </c>
      <c r="E129">
        <v>2673.374204195637</v>
      </c>
    </row>
    <row r="130" spans="1:5" x14ac:dyDescent="0.35">
      <c r="A130" t="s">
        <v>4</v>
      </c>
      <c r="B130" t="s">
        <v>5</v>
      </c>
      <c r="C130">
        <v>2032</v>
      </c>
      <c r="D130" t="s">
        <v>11</v>
      </c>
      <c r="E130">
        <v>3229.5787882307568</v>
      </c>
    </row>
    <row r="131" spans="1:5" x14ac:dyDescent="0.35">
      <c r="A131" t="s">
        <v>4</v>
      </c>
      <c r="B131" t="s">
        <v>5</v>
      </c>
      <c r="C131">
        <v>2033</v>
      </c>
      <c r="D131" t="s">
        <v>11</v>
      </c>
      <c r="E131">
        <v>3811.6436184189829</v>
      </c>
    </row>
    <row r="132" spans="1:5" x14ac:dyDescent="0.35">
      <c r="A132" t="s">
        <v>4</v>
      </c>
      <c r="B132" t="s">
        <v>5</v>
      </c>
      <c r="C132">
        <v>2034</v>
      </c>
      <c r="D132" t="s">
        <v>11</v>
      </c>
      <c r="E132">
        <v>4411.7741331532143</v>
      </c>
    </row>
    <row r="133" spans="1:5" x14ac:dyDescent="0.35">
      <c r="A133" t="s">
        <v>4</v>
      </c>
      <c r="B133" t="s">
        <v>5</v>
      </c>
      <c r="C133">
        <v>2035</v>
      </c>
      <c r="D133" t="s">
        <v>11</v>
      </c>
      <c r="E133">
        <v>4963.692314413418</v>
      </c>
    </row>
    <row r="134" spans="1:5" x14ac:dyDescent="0.35">
      <c r="A134" t="s">
        <v>4</v>
      </c>
      <c r="B134" t="s">
        <v>5</v>
      </c>
      <c r="C134">
        <v>2036</v>
      </c>
      <c r="D134" t="s">
        <v>11</v>
      </c>
      <c r="E134">
        <v>5473.9657750696551</v>
      </c>
    </row>
    <row r="135" spans="1:5" x14ac:dyDescent="0.35">
      <c r="A135" t="s">
        <v>4</v>
      </c>
      <c r="B135" t="s">
        <v>5</v>
      </c>
      <c r="C135">
        <v>2037</v>
      </c>
      <c r="D135" t="s">
        <v>11</v>
      </c>
      <c r="E135">
        <v>5975.1221443033437</v>
      </c>
    </row>
    <row r="136" spans="1:5" x14ac:dyDescent="0.35">
      <c r="A136" t="s">
        <v>4</v>
      </c>
      <c r="B136" t="s">
        <v>5</v>
      </c>
      <c r="C136">
        <v>2038</v>
      </c>
      <c r="D136" t="s">
        <v>11</v>
      </c>
      <c r="E136">
        <v>6459.3329184039349</v>
      </c>
    </row>
    <row r="137" spans="1:5" x14ac:dyDescent="0.35">
      <c r="A137" t="s">
        <v>4</v>
      </c>
      <c r="B137" t="s">
        <v>5</v>
      </c>
      <c r="C137">
        <v>2039</v>
      </c>
      <c r="D137" t="s">
        <v>11</v>
      </c>
      <c r="E137">
        <v>6923.3275332631974</v>
      </c>
    </row>
    <row r="138" spans="1:5" x14ac:dyDescent="0.35">
      <c r="A138" t="s">
        <v>4</v>
      </c>
      <c r="B138" t="s">
        <v>5</v>
      </c>
      <c r="C138">
        <v>2040</v>
      </c>
      <c r="D138" t="s">
        <v>11</v>
      </c>
      <c r="E138">
        <v>7369.5086049161637</v>
      </c>
    </row>
    <row r="139" spans="1:5" x14ac:dyDescent="0.35">
      <c r="A139" t="s">
        <v>4</v>
      </c>
      <c r="B139" t="s">
        <v>5</v>
      </c>
      <c r="C139">
        <v>2041</v>
      </c>
      <c r="D139" t="s">
        <v>11</v>
      </c>
      <c r="E139">
        <v>7794.6601190636729</v>
      </c>
    </row>
    <row r="140" spans="1:5" x14ac:dyDescent="0.35">
      <c r="A140" t="s">
        <v>4</v>
      </c>
      <c r="B140" t="s">
        <v>5</v>
      </c>
      <c r="C140">
        <v>2042</v>
      </c>
      <c r="D140" t="s">
        <v>11</v>
      </c>
      <c r="E140">
        <v>8185.1894755034627</v>
      </c>
    </row>
    <row r="141" spans="1:5" x14ac:dyDescent="0.35">
      <c r="A141" t="s">
        <v>4</v>
      </c>
      <c r="B141" t="s">
        <v>5</v>
      </c>
      <c r="C141">
        <v>2043</v>
      </c>
      <c r="D141" t="s">
        <v>11</v>
      </c>
      <c r="E141">
        <v>8553.283101581761</v>
      </c>
    </row>
    <row r="142" spans="1:5" x14ac:dyDescent="0.35">
      <c r="A142" t="s">
        <v>4</v>
      </c>
      <c r="B142" t="s">
        <v>5</v>
      </c>
      <c r="C142">
        <v>2044</v>
      </c>
      <c r="D142" t="s">
        <v>11</v>
      </c>
      <c r="E142">
        <v>8896.8147669628124</v>
      </c>
    </row>
    <row r="143" spans="1:5" x14ac:dyDescent="0.35">
      <c r="A143" t="s">
        <v>4</v>
      </c>
      <c r="B143" t="s">
        <v>5</v>
      </c>
      <c r="C143">
        <v>2045</v>
      </c>
      <c r="D143" t="s">
        <v>11</v>
      </c>
      <c r="E143">
        <v>9223.0541428686993</v>
      </c>
    </row>
    <row r="144" spans="1:5" x14ac:dyDescent="0.35">
      <c r="A144" t="s">
        <v>4</v>
      </c>
      <c r="B144" t="s">
        <v>5</v>
      </c>
      <c r="C144">
        <v>2046</v>
      </c>
      <c r="D144" t="s">
        <v>11</v>
      </c>
      <c r="E144">
        <v>9533.9989645293372</v>
      </c>
    </row>
    <row r="145" spans="1:5" x14ac:dyDescent="0.35">
      <c r="A145" t="s">
        <v>4</v>
      </c>
      <c r="B145" t="s">
        <v>5</v>
      </c>
      <c r="C145">
        <v>2047</v>
      </c>
      <c r="D145" t="s">
        <v>11</v>
      </c>
      <c r="E145">
        <v>9821.8619436455028</v>
      </c>
    </row>
    <row r="146" spans="1:5" x14ac:dyDescent="0.35">
      <c r="A146" t="s">
        <v>4</v>
      </c>
      <c r="B146" t="s">
        <v>5</v>
      </c>
      <c r="C146">
        <v>2048</v>
      </c>
      <c r="D146" t="s">
        <v>11</v>
      </c>
      <c r="E146">
        <v>10094.743120755091</v>
      </c>
    </row>
    <row r="147" spans="1:5" x14ac:dyDescent="0.35">
      <c r="A147" t="s">
        <v>4</v>
      </c>
      <c r="B147" t="s">
        <v>5</v>
      </c>
      <c r="C147">
        <v>2049</v>
      </c>
      <c r="D147" t="s">
        <v>11</v>
      </c>
      <c r="E147">
        <v>10351.996383675139</v>
      </c>
    </row>
    <row r="148" spans="1:5" x14ac:dyDescent="0.35">
      <c r="A148" t="s">
        <v>4</v>
      </c>
      <c r="B148" t="s">
        <v>5</v>
      </c>
      <c r="C148">
        <v>2050</v>
      </c>
      <c r="D148" t="s">
        <v>11</v>
      </c>
      <c r="E148">
        <v>10597.98692934919</v>
      </c>
    </row>
    <row r="149" spans="1:5" x14ac:dyDescent="0.35">
      <c r="A149" t="s">
        <v>4</v>
      </c>
      <c r="B149" t="s">
        <v>5</v>
      </c>
      <c r="C149">
        <v>2020</v>
      </c>
      <c r="D149" t="s">
        <v>8</v>
      </c>
      <c r="E149">
        <v>6803.3692930797688</v>
      </c>
    </row>
    <row r="150" spans="1:5" x14ac:dyDescent="0.35">
      <c r="A150" t="s">
        <v>4</v>
      </c>
      <c r="B150" t="s">
        <v>5</v>
      </c>
      <c r="C150">
        <v>2021</v>
      </c>
      <c r="D150" t="s">
        <v>8</v>
      </c>
      <c r="E150">
        <v>6897.9909093748429</v>
      </c>
    </row>
    <row r="151" spans="1:5" x14ac:dyDescent="0.35">
      <c r="A151" t="s">
        <v>4</v>
      </c>
      <c r="B151" t="s">
        <v>5</v>
      </c>
      <c r="C151">
        <v>2022</v>
      </c>
      <c r="D151" t="s">
        <v>8</v>
      </c>
      <c r="E151">
        <v>7479.2097756699059</v>
      </c>
    </row>
    <row r="152" spans="1:5" x14ac:dyDescent="0.35">
      <c r="A152" t="s">
        <v>4</v>
      </c>
      <c r="B152" t="s">
        <v>5</v>
      </c>
      <c r="C152">
        <v>2023</v>
      </c>
      <c r="D152" t="s">
        <v>8</v>
      </c>
      <c r="E152">
        <v>7931.964641964988</v>
      </c>
    </row>
    <row r="153" spans="1:5" x14ac:dyDescent="0.35">
      <c r="A153" t="s">
        <v>4</v>
      </c>
      <c r="B153" t="s">
        <v>5</v>
      </c>
      <c r="C153">
        <v>2024</v>
      </c>
      <c r="D153" t="s">
        <v>8</v>
      </c>
      <c r="E153">
        <v>17076.053898057198</v>
      </c>
    </row>
    <row r="154" spans="1:5" x14ac:dyDescent="0.35">
      <c r="A154" t="s">
        <v>4</v>
      </c>
      <c r="B154" t="s">
        <v>5</v>
      </c>
      <c r="C154">
        <v>2025</v>
      </c>
      <c r="D154" t="s">
        <v>8</v>
      </c>
      <c r="E154">
        <v>22394.317081973011</v>
      </c>
    </row>
    <row r="155" spans="1:5" x14ac:dyDescent="0.35">
      <c r="A155" t="s">
        <v>4</v>
      </c>
      <c r="B155" t="s">
        <v>5</v>
      </c>
      <c r="C155">
        <v>2026</v>
      </c>
      <c r="D155" t="s">
        <v>8</v>
      </c>
      <c r="E155">
        <v>29818.531857293401</v>
      </c>
    </row>
    <row r="156" spans="1:5" x14ac:dyDescent="0.35">
      <c r="A156" t="s">
        <v>4</v>
      </c>
      <c r="B156" t="s">
        <v>5</v>
      </c>
      <c r="C156">
        <v>2027</v>
      </c>
      <c r="D156" t="s">
        <v>8</v>
      </c>
      <c r="E156">
        <v>40022.174830153243</v>
      </c>
    </row>
    <row r="157" spans="1:5" x14ac:dyDescent="0.35">
      <c r="A157" t="s">
        <v>4</v>
      </c>
      <c r="B157" t="s">
        <v>5</v>
      </c>
      <c r="C157">
        <v>2028</v>
      </c>
      <c r="D157" t="s">
        <v>8</v>
      </c>
      <c r="E157">
        <v>51389.307268411161</v>
      </c>
    </row>
    <row r="158" spans="1:5" x14ac:dyDescent="0.35">
      <c r="A158" t="s">
        <v>4</v>
      </c>
      <c r="B158" t="s">
        <v>5</v>
      </c>
      <c r="C158">
        <v>2029</v>
      </c>
      <c r="D158" t="s">
        <v>8</v>
      </c>
      <c r="E158">
        <v>64370.502916696467</v>
      </c>
    </row>
    <row r="159" spans="1:5" x14ac:dyDescent="0.35">
      <c r="A159" t="s">
        <v>4</v>
      </c>
      <c r="B159" t="s">
        <v>5</v>
      </c>
      <c r="C159">
        <v>2030</v>
      </c>
      <c r="D159" t="s">
        <v>8</v>
      </c>
      <c r="E159">
        <v>78598.837813683815</v>
      </c>
    </row>
    <row r="160" spans="1:5" x14ac:dyDescent="0.35">
      <c r="A160" t="s">
        <v>4</v>
      </c>
      <c r="B160" t="s">
        <v>5</v>
      </c>
      <c r="C160">
        <v>2031</v>
      </c>
      <c r="D160" t="s">
        <v>8</v>
      </c>
      <c r="E160">
        <v>93641.810348820844</v>
      </c>
    </row>
    <row r="161" spans="1:5" x14ac:dyDescent="0.35">
      <c r="A161" t="s">
        <v>4</v>
      </c>
      <c r="B161" t="s">
        <v>5</v>
      </c>
      <c r="C161">
        <v>2032</v>
      </c>
      <c r="D161" t="s">
        <v>8</v>
      </c>
      <c r="E161">
        <v>108954.6041363616</v>
      </c>
    </row>
    <row r="162" spans="1:5" x14ac:dyDescent="0.35">
      <c r="A162" t="s">
        <v>4</v>
      </c>
      <c r="B162" t="s">
        <v>5</v>
      </c>
      <c r="C162">
        <v>2033</v>
      </c>
      <c r="D162" t="s">
        <v>8</v>
      </c>
      <c r="E162">
        <v>124090.4972141906</v>
      </c>
    </row>
    <row r="163" spans="1:5" x14ac:dyDescent="0.35">
      <c r="A163" t="s">
        <v>4</v>
      </c>
      <c r="B163" t="s">
        <v>5</v>
      </c>
      <c r="C163">
        <v>2034</v>
      </c>
      <c r="D163" t="s">
        <v>8</v>
      </c>
      <c r="E163">
        <v>138718.89695700069</v>
      </c>
    </row>
    <row r="164" spans="1:5" x14ac:dyDescent="0.35">
      <c r="A164" t="s">
        <v>4</v>
      </c>
      <c r="B164" t="s">
        <v>5</v>
      </c>
      <c r="C164">
        <v>2035</v>
      </c>
      <c r="D164" t="s">
        <v>8</v>
      </c>
      <c r="E164">
        <v>152962.0504872179</v>
      </c>
    </row>
    <row r="165" spans="1:5" x14ac:dyDescent="0.35">
      <c r="A165" t="s">
        <v>4</v>
      </c>
      <c r="B165" t="s">
        <v>5</v>
      </c>
      <c r="C165">
        <v>2036</v>
      </c>
      <c r="D165" t="s">
        <v>8</v>
      </c>
      <c r="E165">
        <v>165843.46419653171</v>
      </c>
    </row>
    <row r="166" spans="1:5" x14ac:dyDescent="0.35">
      <c r="A166" t="s">
        <v>4</v>
      </c>
      <c r="B166" t="s">
        <v>5</v>
      </c>
      <c r="C166">
        <v>2037</v>
      </c>
      <c r="D166" t="s">
        <v>8</v>
      </c>
      <c r="E166">
        <v>177436.22424093171</v>
      </c>
    </row>
    <row r="167" spans="1:5" x14ac:dyDescent="0.35">
      <c r="A167" t="s">
        <v>4</v>
      </c>
      <c r="B167" t="s">
        <v>5</v>
      </c>
      <c r="C167">
        <v>2038</v>
      </c>
      <c r="D167" t="s">
        <v>8</v>
      </c>
      <c r="E167">
        <v>187518.08361798589</v>
      </c>
    </row>
    <row r="168" spans="1:5" x14ac:dyDescent="0.35">
      <c r="A168" t="s">
        <v>4</v>
      </c>
      <c r="B168" t="s">
        <v>5</v>
      </c>
      <c r="C168">
        <v>2039</v>
      </c>
      <c r="D168" t="s">
        <v>8</v>
      </c>
      <c r="E168">
        <v>196109.6797893378</v>
      </c>
    </row>
    <row r="169" spans="1:5" x14ac:dyDescent="0.35">
      <c r="A169" t="s">
        <v>4</v>
      </c>
      <c r="B169" t="s">
        <v>5</v>
      </c>
      <c r="C169">
        <v>2040</v>
      </c>
      <c r="D169" t="s">
        <v>8</v>
      </c>
      <c r="E169">
        <v>203217.24889181441</v>
      </c>
    </row>
    <row r="170" spans="1:5" x14ac:dyDescent="0.35">
      <c r="A170" t="s">
        <v>4</v>
      </c>
      <c r="B170" t="s">
        <v>5</v>
      </c>
      <c r="C170">
        <v>2041</v>
      </c>
      <c r="D170" t="s">
        <v>8</v>
      </c>
      <c r="E170">
        <v>214709.64949713179</v>
      </c>
    </row>
    <row r="171" spans="1:5" x14ac:dyDescent="0.35">
      <c r="A171" t="s">
        <v>4</v>
      </c>
      <c r="B171" t="s">
        <v>5</v>
      </c>
      <c r="C171">
        <v>2042</v>
      </c>
      <c r="D171" t="s">
        <v>8</v>
      </c>
      <c r="E171">
        <v>225169.33503057039</v>
      </c>
    </row>
    <row r="172" spans="1:5" x14ac:dyDescent="0.35">
      <c r="A172" t="s">
        <v>4</v>
      </c>
      <c r="B172" t="s">
        <v>5</v>
      </c>
      <c r="C172">
        <v>2043</v>
      </c>
      <c r="D172" t="s">
        <v>8</v>
      </c>
      <c r="E172">
        <v>234870.69027514599</v>
      </c>
    </row>
    <row r="173" spans="1:5" x14ac:dyDescent="0.35">
      <c r="A173" t="s">
        <v>4</v>
      </c>
      <c r="B173" t="s">
        <v>5</v>
      </c>
      <c r="C173">
        <v>2044</v>
      </c>
      <c r="D173" t="s">
        <v>8</v>
      </c>
      <c r="E173">
        <v>243772.04784912561</v>
      </c>
    </row>
    <row r="174" spans="1:5" x14ac:dyDescent="0.35">
      <c r="A174" t="s">
        <v>4</v>
      </c>
      <c r="B174" t="s">
        <v>5</v>
      </c>
      <c r="C174">
        <v>2045</v>
      </c>
      <c r="D174" t="s">
        <v>8</v>
      </c>
      <c r="E174">
        <v>252073.64333906179</v>
      </c>
    </row>
    <row r="175" spans="1:5" x14ac:dyDescent="0.35">
      <c r="A175" t="s">
        <v>4</v>
      </c>
      <c r="B175" t="s">
        <v>5</v>
      </c>
      <c r="C175">
        <v>2046</v>
      </c>
      <c r="D175" t="s">
        <v>8</v>
      </c>
      <c r="E175">
        <v>257848.60319379799</v>
      </c>
    </row>
    <row r="176" spans="1:5" x14ac:dyDescent="0.35">
      <c r="A176" t="s">
        <v>4</v>
      </c>
      <c r="B176" t="s">
        <v>5</v>
      </c>
      <c r="C176">
        <v>2047</v>
      </c>
      <c r="D176" t="s">
        <v>8</v>
      </c>
      <c r="E176">
        <v>262981.59453416162</v>
      </c>
    </row>
    <row r="177" spans="1:5" x14ac:dyDescent="0.35">
      <c r="A177" t="s">
        <v>4</v>
      </c>
      <c r="B177" t="s">
        <v>5</v>
      </c>
      <c r="C177">
        <v>2048</v>
      </c>
      <c r="D177" t="s">
        <v>8</v>
      </c>
      <c r="E177">
        <v>267581.6810588449</v>
      </c>
    </row>
    <row r="178" spans="1:5" x14ac:dyDescent="0.35">
      <c r="A178" t="s">
        <v>4</v>
      </c>
      <c r="B178" t="s">
        <v>5</v>
      </c>
      <c r="C178">
        <v>2049</v>
      </c>
      <c r="D178" t="s">
        <v>8</v>
      </c>
      <c r="E178">
        <v>271708.46172311419</v>
      </c>
    </row>
    <row r="179" spans="1:5" x14ac:dyDescent="0.35">
      <c r="A179" t="s">
        <v>4</v>
      </c>
      <c r="B179" t="s">
        <v>5</v>
      </c>
      <c r="C179">
        <v>2050</v>
      </c>
      <c r="D179" t="s">
        <v>8</v>
      </c>
      <c r="E179">
        <v>275382.6160113216</v>
      </c>
    </row>
    <row r="180" spans="1:5" hidden="1" x14ac:dyDescent="0.35">
      <c r="A180" t="s">
        <v>9</v>
      </c>
      <c r="B180" t="s">
        <v>5</v>
      </c>
      <c r="C180">
        <v>2020</v>
      </c>
      <c r="D180" t="s">
        <v>6</v>
      </c>
      <c r="E180">
        <v>1558.92364599999</v>
      </c>
    </row>
    <row r="181" spans="1:5" hidden="1" x14ac:dyDescent="0.35">
      <c r="A181" t="s">
        <v>9</v>
      </c>
      <c r="B181" t="s">
        <v>5</v>
      </c>
      <c r="C181">
        <v>2020</v>
      </c>
      <c r="D181" t="s">
        <v>7</v>
      </c>
      <c r="E181">
        <v>741847.91328023549</v>
      </c>
    </row>
    <row r="182" spans="1:5" hidden="1" x14ac:dyDescent="0.35">
      <c r="A182" t="s">
        <v>9</v>
      </c>
      <c r="B182" t="s">
        <v>5</v>
      </c>
      <c r="C182">
        <v>2020</v>
      </c>
      <c r="D182" t="s">
        <v>8</v>
      </c>
      <c r="E182">
        <v>6804.7982930797689</v>
      </c>
    </row>
    <row r="183" spans="1:5" hidden="1" x14ac:dyDescent="0.35">
      <c r="A183" t="s">
        <v>9</v>
      </c>
      <c r="B183" t="s">
        <v>5</v>
      </c>
      <c r="C183">
        <v>2021</v>
      </c>
      <c r="D183" t="s">
        <v>6</v>
      </c>
      <c r="E183">
        <v>1559.10564599999</v>
      </c>
    </row>
    <row r="184" spans="1:5" hidden="1" x14ac:dyDescent="0.35">
      <c r="A184" t="s">
        <v>9</v>
      </c>
      <c r="B184" t="s">
        <v>5</v>
      </c>
      <c r="C184">
        <v>2021</v>
      </c>
      <c r="D184" t="s">
        <v>7</v>
      </c>
      <c r="E184">
        <v>744856.89303794899</v>
      </c>
    </row>
    <row r="185" spans="1:5" hidden="1" x14ac:dyDescent="0.35">
      <c r="A185" t="s">
        <v>9</v>
      </c>
      <c r="B185" t="s">
        <v>5</v>
      </c>
      <c r="C185">
        <v>2021</v>
      </c>
      <c r="D185" t="s">
        <v>8</v>
      </c>
      <c r="E185">
        <v>6899.1857973637916</v>
      </c>
    </row>
    <row r="186" spans="1:5" hidden="1" x14ac:dyDescent="0.35">
      <c r="A186" t="s">
        <v>9</v>
      </c>
      <c r="B186" t="s">
        <v>5</v>
      </c>
      <c r="C186">
        <v>2022</v>
      </c>
      <c r="D186" t="s">
        <v>6</v>
      </c>
      <c r="E186">
        <v>1560.0056459999901</v>
      </c>
    </row>
    <row r="187" spans="1:5" hidden="1" x14ac:dyDescent="0.35">
      <c r="A187" t="s">
        <v>9</v>
      </c>
      <c r="B187" t="s">
        <v>5</v>
      </c>
      <c r="C187">
        <v>2022</v>
      </c>
      <c r="D187" t="s">
        <v>7</v>
      </c>
      <c r="E187">
        <v>753646.34976977902</v>
      </c>
    </row>
    <row r="188" spans="1:5" hidden="1" x14ac:dyDescent="0.35">
      <c r="A188" t="s">
        <v>9</v>
      </c>
      <c r="B188" t="s">
        <v>5</v>
      </c>
      <c r="C188">
        <v>2022</v>
      </c>
      <c r="D188" t="s">
        <v>8</v>
      </c>
      <c r="E188">
        <v>7479.7605516478052</v>
      </c>
    </row>
    <row r="189" spans="1:5" hidden="1" x14ac:dyDescent="0.35">
      <c r="A189" t="s">
        <v>9</v>
      </c>
      <c r="B189" t="s">
        <v>5</v>
      </c>
      <c r="C189">
        <v>2023</v>
      </c>
      <c r="D189" t="s">
        <v>6</v>
      </c>
      <c r="E189">
        <v>1564.3796459999901</v>
      </c>
    </row>
    <row r="190" spans="1:5" hidden="1" x14ac:dyDescent="0.35">
      <c r="A190" t="s">
        <v>9</v>
      </c>
      <c r="B190" t="s">
        <v>5</v>
      </c>
      <c r="C190">
        <v>2023</v>
      </c>
      <c r="D190" t="s">
        <v>7</v>
      </c>
      <c r="E190">
        <v>757870.50240306254</v>
      </c>
    </row>
    <row r="191" spans="1:5" hidden="1" x14ac:dyDescent="0.35">
      <c r="A191" t="s">
        <v>9</v>
      </c>
      <c r="B191" t="s">
        <v>5</v>
      </c>
      <c r="C191">
        <v>2023</v>
      </c>
      <c r="D191" t="s">
        <v>8</v>
      </c>
      <c r="E191">
        <v>7558.559305931828</v>
      </c>
    </row>
    <row r="192" spans="1:5" hidden="1" x14ac:dyDescent="0.35">
      <c r="A192" t="s">
        <v>9</v>
      </c>
      <c r="B192" t="s">
        <v>5</v>
      </c>
      <c r="C192">
        <v>2024</v>
      </c>
      <c r="D192" t="s">
        <v>6</v>
      </c>
      <c r="E192">
        <v>6240.4311540720628</v>
      </c>
    </row>
    <row r="193" spans="1:5" hidden="1" x14ac:dyDescent="0.35">
      <c r="A193" t="s">
        <v>9</v>
      </c>
      <c r="B193" t="s">
        <v>5</v>
      </c>
      <c r="C193">
        <v>2024</v>
      </c>
      <c r="D193" t="s">
        <v>7</v>
      </c>
      <c r="E193">
        <v>776288.12470927753</v>
      </c>
    </row>
    <row r="194" spans="1:5" hidden="1" x14ac:dyDescent="0.35">
      <c r="A194" t="s">
        <v>9</v>
      </c>
      <c r="B194" t="s">
        <v>5</v>
      </c>
      <c r="C194">
        <v>2024</v>
      </c>
      <c r="D194" t="s">
        <v>13</v>
      </c>
      <c r="E194">
        <v>269.56540533104919</v>
      </c>
    </row>
    <row r="195" spans="1:5" hidden="1" x14ac:dyDescent="0.35">
      <c r="A195" t="s">
        <v>9</v>
      </c>
      <c r="B195" t="s">
        <v>5</v>
      </c>
      <c r="C195">
        <v>2024</v>
      </c>
      <c r="D195" t="s">
        <v>12</v>
      </c>
      <c r="E195">
        <v>4081.9920784693568</v>
      </c>
    </row>
    <row r="196" spans="1:5" hidden="1" x14ac:dyDescent="0.35">
      <c r="A196" t="s">
        <v>9</v>
      </c>
      <c r="B196" t="s">
        <v>5</v>
      </c>
      <c r="C196">
        <v>2024</v>
      </c>
      <c r="D196" t="s">
        <v>11</v>
      </c>
      <c r="E196">
        <v>204.86362628923879</v>
      </c>
    </row>
    <row r="197" spans="1:5" hidden="1" x14ac:dyDescent="0.35">
      <c r="A197" t="s">
        <v>9</v>
      </c>
      <c r="B197" t="s">
        <v>5</v>
      </c>
      <c r="C197">
        <v>2024</v>
      </c>
      <c r="D197" t="s">
        <v>8</v>
      </c>
      <c r="E197">
        <v>16702.614164298669</v>
      </c>
    </row>
    <row r="198" spans="1:5" hidden="1" x14ac:dyDescent="0.35">
      <c r="A198" t="s">
        <v>9</v>
      </c>
      <c r="B198" t="s">
        <v>5</v>
      </c>
      <c r="C198">
        <v>2025</v>
      </c>
      <c r="D198" t="s">
        <v>6</v>
      </c>
      <c r="E198">
        <v>8776.8728698047889</v>
      </c>
    </row>
    <row r="199" spans="1:5" hidden="1" x14ac:dyDescent="0.35">
      <c r="A199" t="s">
        <v>9</v>
      </c>
      <c r="B199" t="s">
        <v>5</v>
      </c>
      <c r="C199">
        <v>2025</v>
      </c>
      <c r="D199" t="s">
        <v>7</v>
      </c>
      <c r="E199">
        <v>825658.90499835368</v>
      </c>
    </row>
    <row r="200" spans="1:5" hidden="1" x14ac:dyDescent="0.35">
      <c r="A200" t="s">
        <v>9</v>
      </c>
      <c r="B200" t="s">
        <v>5</v>
      </c>
      <c r="C200">
        <v>2025</v>
      </c>
      <c r="D200" t="s">
        <v>13</v>
      </c>
      <c r="E200">
        <v>372.44306265009908</v>
      </c>
    </row>
    <row r="201" spans="1:5" hidden="1" x14ac:dyDescent="0.35">
      <c r="A201" t="s">
        <v>9</v>
      </c>
      <c r="B201" t="s">
        <v>5</v>
      </c>
      <c r="C201">
        <v>2025</v>
      </c>
      <c r="D201" t="s">
        <v>12</v>
      </c>
      <c r="E201">
        <v>5628.5612940196597</v>
      </c>
    </row>
    <row r="202" spans="1:5" hidden="1" x14ac:dyDescent="0.35">
      <c r="A202" t="s">
        <v>9</v>
      </c>
      <c r="B202" t="s">
        <v>5</v>
      </c>
      <c r="C202">
        <v>2025</v>
      </c>
      <c r="D202" t="s">
        <v>11</v>
      </c>
      <c r="E202">
        <v>293.15719353433781</v>
      </c>
    </row>
    <row r="203" spans="1:5" hidden="1" x14ac:dyDescent="0.35">
      <c r="A203" t="s">
        <v>9</v>
      </c>
      <c r="B203" t="s">
        <v>5</v>
      </c>
      <c r="C203">
        <v>2025</v>
      </c>
      <c r="D203" t="s">
        <v>8</v>
      </c>
      <c r="E203">
        <v>20352.370126600821</v>
      </c>
    </row>
    <row r="204" spans="1:5" hidden="1" x14ac:dyDescent="0.35">
      <c r="A204" t="s">
        <v>9</v>
      </c>
      <c r="B204" t="s">
        <v>5</v>
      </c>
      <c r="C204">
        <v>2026</v>
      </c>
      <c r="D204" t="s">
        <v>6</v>
      </c>
      <c r="E204">
        <v>11787.03907014753</v>
      </c>
    </row>
    <row r="205" spans="1:5" hidden="1" x14ac:dyDescent="0.35">
      <c r="A205" t="s">
        <v>9</v>
      </c>
      <c r="B205" t="s">
        <v>5</v>
      </c>
      <c r="C205">
        <v>2026</v>
      </c>
      <c r="D205" t="s">
        <v>7</v>
      </c>
      <c r="E205">
        <v>845257.87153819855</v>
      </c>
    </row>
    <row r="206" spans="1:5" hidden="1" x14ac:dyDescent="0.35">
      <c r="A206" t="s">
        <v>9</v>
      </c>
      <c r="B206" t="s">
        <v>5</v>
      </c>
      <c r="C206">
        <v>2026</v>
      </c>
      <c r="D206" t="s">
        <v>13</v>
      </c>
      <c r="E206">
        <v>466.18816950520568</v>
      </c>
    </row>
    <row r="207" spans="1:5" hidden="1" x14ac:dyDescent="0.35">
      <c r="A207" t="s">
        <v>9</v>
      </c>
      <c r="B207" t="s">
        <v>5</v>
      </c>
      <c r="C207">
        <v>2026</v>
      </c>
      <c r="D207" t="s">
        <v>12</v>
      </c>
      <c r="E207">
        <v>7256.2295972836719</v>
      </c>
    </row>
    <row r="208" spans="1:5" hidden="1" x14ac:dyDescent="0.35">
      <c r="A208" t="s">
        <v>9</v>
      </c>
      <c r="B208" t="s">
        <v>5</v>
      </c>
      <c r="C208">
        <v>2026</v>
      </c>
      <c r="D208" t="s">
        <v>11</v>
      </c>
      <c r="E208">
        <v>395.17239379038261</v>
      </c>
    </row>
    <row r="209" spans="1:5" hidden="1" x14ac:dyDescent="0.35">
      <c r="A209" t="s">
        <v>9</v>
      </c>
      <c r="B209" t="s">
        <v>5</v>
      </c>
      <c r="C209">
        <v>2026</v>
      </c>
      <c r="D209" t="s">
        <v>8</v>
      </c>
      <c r="E209">
        <v>24449.44165617535</v>
      </c>
    </row>
    <row r="210" spans="1:5" hidden="1" x14ac:dyDescent="0.35">
      <c r="A210" t="s">
        <v>9</v>
      </c>
      <c r="B210" t="s">
        <v>5</v>
      </c>
      <c r="C210">
        <v>2027</v>
      </c>
      <c r="D210" t="s">
        <v>6</v>
      </c>
      <c r="E210">
        <v>15414.951244320981</v>
      </c>
    </row>
    <row r="211" spans="1:5" hidden="1" x14ac:dyDescent="0.35">
      <c r="A211" t="s">
        <v>9</v>
      </c>
      <c r="B211" t="s">
        <v>5</v>
      </c>
      <c r="C211">
        <v>2027</v>
      </c>
      <c r="D211" t="s">
        <v>7</v>
      </c>
      <c r="E211">
        <v>866407.3331157451</v>
      </c>
    </row>
    <row r="212" spans="1:5" hidden="1" x14ac:dyDescent="0.35">
      <c r="A212" t="s">
        <v>9</v>
      </c>
      <c r="B212" t="s">
        <v>5</v>
      </c>
      <c r="C212">
        <v>2027</v>
      </c>
      <c r="D212" t="s">
        <v>13</v>
      </c>
      <c r="E212">
        <v>569.42699750073166</v>
      </c>
    </row>
    <row r="213" spans="1:5" hidden="1" x14ac:dyDescent="0.35">
      <c r="A213" t="s">
        <v>9</v>
      </c>
      <c r="B213" t="s">
        <v>5</v>
      </c>
      <c r="C213">
        <v>2027</v>
      </c>
      <c r="D213" t="s">
        <v>12</v>
      </c>
      <c r="E213">
        <v>8983.916446708683</v>
      </c>
    </row>
    <row r="214" spans="1:5" hidden="1" x14ac:dyDescent="0.35">
      <c r="A214" t="s">
        <v>9</v>
      </c>
      <c r="B214" t="s">
        <v>5</v>
      </c>
      <c r="C214">
        <v>2027</v>
      </c>
      <c r="D214" t="s">
        <v>11</v>
      </c>
      <c r="E214">
        <v>501.99193842105927</v>
      </c>
    </row>
    <row r="215" spans="1:5" hidden="1" x14ac:dyDescent="0.35">
      <c r="A215" t="s">
        <v>9</v>
      </c>
      <c r="B215" t="s">
        <v>5</v>
      </c>
      <c r="C215">
        <v>2027</v>
      </c>
      <c r="D215" t="s">
        <v>8</v>
      </c>
      <c r="E215">
        <v>28526.663384635151</v>
      </c>
    </row>
    <row r="216" spans="1:5" hidden="1" x14ac:dyDescent="0.35">
      <c r="A216" t="s">
        <v>9</v>
      </c>
      <c r="B216" t="s">
        <v>5</v>
      </c>
      <c r="C216">
        <v>2028</v>
      </c>
      <c r="D216" t="s">
        <v>6</v>
      </c>
      <c r="E216">
        <v>19651.719636773159</v>
      </c>
    </row>
    <row r="217" spans="1:5" hidden="1" x14ac:dyDescent="0.35">
      <c r="A217" t="s">
        <v>9</v>
      </c>
      <c r="B217" t="s">
        <v>5</v>
      </c>
      <c r="C217">
        <v>2028</v>
      </c>
      <c r="D217" t="s">
        <v>7</v>
      </c>
      <c r="E217">
        <v>893050.83707050979</v>
      </c>
    </row>
    <row r="218" spans="1:5" hidden="1" x14ac:dyDescent="0.35">
      <c r="A218" t="s">
        <v>9</v>
      </c>
      <c r="B218" t="s">
        <v>5</v>
      </c>
      <c r="C218">
        <v>2028</v>
      </c>
      <c r="D218" t="s">
        <v>13</v>
      </c>
      <c r="E218">
        <v>671.91452613806371</v>
      </c>
    </row>
    <row r="219" spans="1:5" hidden="1" x14ac:dyDescent="0.35">
      <c r="A219" t="s">
        <v>9</v>
      </c>
      <c r="B219" t="s">
        <v>5</v>
      </c>
      <c r="C219">
        <v>2028</v>
      </c>
      <c r="D219" t="s">
        <v>12</v>
      </c>
      <c r="E219">
        <v>10755.25906669006</v>
      </c>
    </row>
    <row r="220" spans="1:5" hidden="1" x14ac:dyDescent="0.35">
      <c r="A220" t="s">
        <v>9</v>
      </c>
      <c r="B220" t="s">
        <v>5</v>
      </c>
      <c r="C220">
        <v>2028</v>
      </c>
      <c r="D220" t="s">
        <v>11</v>
      </c>
      <c r="E220">
        <v>617.02318900867328</v>
      </c>
    </row>
    <row r="221" spans="1:5" hidden="1" x14ac:dyDescent="0.35">
      <c r="A221" t="s">
        <v>9</v>
      </c>
      <c r="B221" t="s">
        <v>5</v>
      </c>
      <c r="C221">
        <v>2028</v>
      </c>
      <c r="D221" t="s">
        <v>8</v>
      </c>
      <c r="E221">
        <v>32884.415205425117</v>
      </c>
    </row>
    <row r="222" spans="1:5" hidden="1" x14ac:dyDescent="0.35">
      <c r="A222" t="s">
        <v>9</v>
      </c>
      <c r="B222" t="s">
        <v>5</v>
      </c>
      <c r="C222">
        <v>2029</v>
      </c>
      <c r="D222" t="s">
        <v>6</v>
      </c>
      <c r="E222">
        <v>23796.365693498821</v>
      </c>
    </row>
    <row r="223" spans="1:5" hidden="1" x14ac:dyDescent="0.35">
      <c r="A223" t="s">
        <v>9</v>
      </c>
      <c r="B223" t="s">
        <v>5</v>
      </c>
      <c r="C223">
        <v>2029</v>
      </c>
      <c r="D223" t="s">
        <v>7</v>
      </c>
      <c r="E223">
        <v>914284.5211047167</v>
      </c>
    </row>
    <row r="224" spans="1:5" hidden="1" x14ac:dyDescent="0.35">
      <c r="A224" t="s">
        <v>9</v>
      </c>
      <c r="B224" t="s">
        <v>5</v>
      </c>
      <c r="C224">
        <v>2029</v>
      </c>
      <c r="D224" t="s">
        <v>13</v>
      </c>
      <c r="E224">
        <v>774.14440896765586</v>
      </c>
    </row>
    <row r="225" spans="1:5" hidden="1" x14ac:dyDescent="0.35">
      <c r="A225" t="s">
        <v>9</v>
      </c>
      <c r="B225" t="s">
        <v>5</v>
      </c>
      <c r="C225">
        <v>2029</v>
      </c>
      <c r="D225" t="s">
        <v>12</v>
      </c>
      <c r="E225">
        <v>12518.69573305871</v>
      </c>
    </row>
    <row r="226" spans="1:5" hidden="1" x14ac:dyDescent="0.35">
      <c r="A226" t="s">
        <v>9</v>
      </c>
      <c r="B226" t="s">
        <v>5</v>
      </c>
      <c r="C226">
        <v>2029</v>
      </c>
      <c r="D226" t="s">
        <v>11</v>
      </c>
      <c r="E226">
        <v>741.81027247215718</v>
      </c>
    </row>
    <row r="227" spans="1:5" hidden="1" x14ac:dyDescent="0.35">
      <c r="A227" t="s">
        <v>9</v>
      </c>
      <c r="B227" t="s">
        <v>5</v>
      </c>
      <c r="C227">
        <v>2029</v>
      </c>
      <c r="D227" t="s">
        <v>8</v>
      </c>
      <c r="E227">
        <v>37163.881136711549</v>
      </c>
    </row>
    <row r="228" spans="1:5" hidden="1" x14ac:dyDescent="0.35">
      <c r="A228" t="s">
        <v>9</v>
      </c>
      <c r="B228" t="s">
        <v>5</v>
      </c>
      <c r="C228">
        <v>2030</v>
      </c>
      <c r="D228" t="s">
        <v>6</v>
      </c>
      <c r="E228">
        <v>28359.41743748487</v>
      </c>
    </row>
    <row r="229" spans="1:5" hidden="1" x14ac:dyDescent="0.35">
      <c r="A229" t="s">
        <v>9</v>
      </c>
      <c r="B229" t="s">
        <v>5</v>
      </c>
      <c r="C229">
        <v>2030</v>
      </c>
      <c r="D229" t="s">
        <v>7</v>
      </c>
      <c r="E229">
        <v>938553.71310400078</v>
      </c>
    </row>
    <row r="230" spans="1:5" hidden="1" x14ac:dyDescent="0.35">
      <c r="A230" t="s">
        <v>9</v>
      </c>
      <c r="B230" t="s">
        <v>5</v>
      </c>
      <c r="C230">
        <v>2030</v>
      </c>
      <c r="D230" t="s">
        <v>13</v>
      </c>
      <c r="E230">
        <v>872.97124354802133</v>
      </c>
    </row>
    <row r="231" spans="1:5" hidden="1" x14ac:dyDescent="0.35">
      <c r="A231" t="s">
        <v>9</v>
      </c>
      <c r="B231" t="s">
        <v>5</v>
      </c>
      <c r="C231">
        <v>2030</v>
      </c>
      <c r="D231" t="s">
        <v>12</v>
      </c>
      <c r="E231">
        <v>14273.12457212076</v>
      </c>
    </row>
    <row r="232" spans="1:5" hidden="1" x14ac:dyDescent="0.35">
      <c r="A232" t="s">
        <v>9</v>
      </c>
      <c r="B232" t="s">
        <v>5</v>
      </c>
      <c r="C232">
        <v>2030</v>
      </c>
      <c r="D232" t="s">
        <v>11</v>
      </c>
      <c r="E232">
        <v>874.53250184739602</v>
      </c>
    </row>
    <row r="233" spans="1:5" hidden="1" x14ac:dyDescent="0.35">
      <c r="A233" t="s">
        <v>9</v>
      </c>
      <c r="B233" t="s">
        <v>5</v>
      </c>
      <c r="C233">
        <v>2030</v>
      </c>
      <c r="D233" t="s">
        <v>8</v>
      </c>
      <c r="E233">
        <v>41464.346616727722</v>
      </c>
    </row>
    <row r="234" spans="1:5" hidden="1" x14ac:dyDescent="0.35">
      <c r="A234" t="s">
        <v>9</v>
      </c>
      <c r="B234" t="s">
        <v>5</v>
      </c>
      <c r="C234">
        <v>2031</v>
      </c>
      <c r="D234" t="s">
        <v>6</v>
      </c>
      <c r="E234">
        <v>33266.833134093657</v>
      </c>
    </row>
    <row r="235" spans="1:5" hidden="1" x14ac:dyDescent="0.35">
      <c r="A235" t="s">
        <v>9</v>
      </c>
      <c r="B235" t="s">
        <v>5</v>
      </c>
      <c r="C235">
        <v>2031</v>
      </c>
      <c r="D235" t="s">
        <v>7</v>
      </c>
      <c r="E235">
        <v>961084.55032117816</v>
      </c>
    </row>
    <row r="236" spans="1:5" hidden="1" x14ac:dyDescent="0.35">
      <c r="A236" t="s">
        <v>9</v>
      </c>
      <c r="B236" t="s">
        <v>5</v>
      </c>
      <c r="C236">
        <v>2031</v>
      </c>
      <c r="D236" t="s">
        <v>13</v>
      </c>
      <c r="E236">
        <v>939.76655065013301</v>
      </c>
    </row>
    <row r="237" spans="1:5" hidden="1" x14ac:dyDescent="0.35">
      <c r="A237" t="s">
        <v>9</v>
      </c>
      <c r="B237" t="s">
        <v>5</v>
      </c>
      <c r="C237">
        <v>2031</v>
      </c>
      <c r="D237" t="s">
        <v>12</v>
      </c>
      <c r="E237">
        <v>15933.093445224329</v>
      </c>
    </row>
    <row r="238" spans="1:5" hidden="1" x14ac:dyDescent="0.35">
      <c r="A238" t="s">
        <v>9</v>
      </c>
      <c r="B238" t="s">
        <v>5</v>
      </c>
      <c r="C238">
        <v>2031</v>
      </c>
      <c r="D238" t="s">
        <v>11</v>
      </c>
      <c r="E238">
        <v>995.76153396036739</v>
      </c>
    </row>
    <row r="239" spans="1:5" hidden="1" x14ac:dyDescent="0.35">
      <c r="A239" t="s">
        <v>9</v>
      </c>
      <c r="B239" t="s">
        <v>5</v>
      </c>
      <c r="C239">
        <v>2031</v>
      </c>
      <c r="D239" t="s">
        <v>8</v>
      </c>
      <c r="E239">
        <v>45309.507358348303</v>
      </c>
    </row>
    <row r="240" spans="1:5" hidden="1" x14ac:dyDescent="0.35">
      <c r="A240" t="s">
        <v>9</v>
      </c>
      <c r="B240" t="s">
        <v>5</v>
      </c>
      <c r="C240">
        <v>2032</v>
      </c>
      <c r="D240" t="s">
        <v>6</v>
      </c>
      <c r="E240">
        <v>38753.635859275622</v>
      </c>
    </row>
    <row r="241" spans="1:5" hidden="1" x14ac:dyDescent="0.35">
      <c r="A241" t="s">
        <v>9</v>
      </c>
      <c r="B241" t="s">
        <v>5</v>
      </c>
      <c r="C241">
        <v>2032</v>
      </c>
      <c r="D241" t="s">
        <v>7</v>
      </c>
      <c r="E241">
        <v>989816.62019349821</v>
      </c>
    </row>
    <row r="242" spans="1:5" hidden="1" x14ac:dyDescent="0.35">
      <c r="A242" t="s">
        <v>9</v>
      </c>
      <c r="B242" t="s">
        <v>5</v>
      </c>
      <c r="C242">
        <v>2032</v>
      </c>
      <c r="D242" t="s">
        <v>13</v>
      </c>
      <c r="E242">
        <v>1004.026198286667</v>
      </c>
    </row>
    <row r="243" spans="1:5" hidden="1" x14ac:dyDescent="0.35">
      <c r="A243" t="s">
        <v>9</v>
      </c>
      <c r="B243" t="s">
        <v>5</v>
      </c>
      <c r="C243">
        <v>2032</v>
      </c>
      <c r="D243" t="s">
        <v>12</v>
      </c>
      <c r="E243">
        <v>17703.55183876073</v>
      </c>
    </row>
    <row r="244" spans="1:5" hidden="1" x14ac:dyDescent="0.35">
      <c r="A244" t="s">
        <v>9</v>
      </c>
      <c r="B244" t="s">
        <v>5</v>
      </c>
      <c r="C244">
        <v>2032</v>
      </c>
      <c r="D244" t="s">
        <v>11</v>
      </c>
      <c r="E244">
        <v>1128.9836988018969</v>
      </c>
    </row>
    <row r="245" spans="1:5" hidden="1" x14ac:dyDescent="0.35">
      <c r="A245" t="s">
        <v>9</v>
      </c>
      <c r="B245" t="s">
        <v>5</v>
      </c>
      <c r="C245">
        <v>2032</v>
      </c>
      <c r="D245" t="s">
        <v>8</v>
      </c>
      <c r="E245">
        <v>49277.628426306859</v>
      </c>
    </row>
    <row r="246" spans="1:5" hidden="1" x14ac:dyDescent="0.35">
      <c r="A246" t="s">
        <v>9</v>
      </c>
      <c r="B246" t="s">
        <v>5</v>
      </c>
      <c r="C246">
        <v>2033</v>
      </c>
      <c r="D246" t="s">
        <v>6</v>
      </c>
      <c r="E246">
        <v>44810.916790988493</v>
      </c>
    </row>
    <row r="247" spans="1:5" hidden="1" x14ac:dyDescent="0.35">
      <c r="A247" t="s">
        <v>9</v>
      </c>
      <c r="B247" t="s">
        <v>5</v>
      </c>
      <c r="C247">
        <v>2033</v>
      </c>
      <c r="D247" t="s">
        <v>7</v>
      </c>
      <c r="E247">
        <v>1017419.138443246</v>
      </c>
    </row>
    <row r="248" spans="1:5" hidden="1" x14ac:dyDescent="0.35">
      <c r="A248" t="s">
        <v>9</v>
      </c>
      <c r="B248" t="s">
        <v>5</v>
      </c>
      <c r="C248">
        <v>2033</v>
      </c>
      <c r="D248" t="s">
        <v>13</v>
      </c>
      <c r="E248">
        <v>1062.914972515613</v>
      </c>
    </row>
    <row r="249" spans="1:5" hidden="1" x14ac:dyDescent="0.35">
      <c r="A249" t="s">
        <v>9</v>
      </c>
      <c r="B249" t="s">
        <v>5</v>
      </c>
      <c r="C249">
        <v>2033</v>
      </c>
      <c r="D249" t="s">
        <v>12</v>
      </c>
      <c r="E249">
        <v>19556.866623754038</v>
      </c>
    </row>
    <row r="250" spans="1:5" hidden="1" x14ac:dyDescent="0.35">
      <c r="A250" t="s">
        <v>9</v>
      </c>
      <c r="B250" t="s">
        <v>5</v>
      </c>
      <c r="C250">
        <v>2033</v>
      </c>
      <c r="D250" t="s">
        <v>11</v>
      </c>
      <c r="E250">
        <v>1273.1494864569349</v>
      </c>
    </row>
    <row r="251" spans="1:5" hidden="1" x14ac:dyDescent="0.35">
      <c r="A251" t="s">
        <v>9</v>
      </c>
      <c r="B251" t="s">
        <v>5</v>
      </c>
      <c r="C251">
        <v>2033</v>
      </c>
      <c r="D251" t="s">
        <v>8</v>
      </c>
      <c r="E251">
        <v>53307.585959490927</v>
      </c>
    </row>
    <row r="252" spans="1:5" hidden="1" x14ac:dyDescent="0.35">
      <c r="A252" t="s">
        <v>9</v>
      </c>
      <c r="B252" t="s">
        <v>5</v>
      </c>
      <c r="C252">
        <v>2034</v>
      </c>
      <c r="D252" t="s">
        <v>6</v>
      </c>
      <c r="E252">
        <v>51454.423936662723</v>
      </c>
    </row>
    <row r="253" spans="1:5" hidden="1" x14ac:dyDescent="0.35">
      <c r="A253" t="s">
        <v>9</v>
      </c>
      <c r="B253" t="s">
        <v>5</v>
      </c>
      <c r="C253">
        <v>2034</v>
      </c>
      <c r="D253" t="s">
        <v>7</v>
      </c>
      <c r="E253">
        <v>1047087.032620052</v>
      </c>
    </row>
    <row r="254" spans="1:5" hidden="1" x14ac:dyDescent="0.35">
      <c r="A254" t="s">
        <v>9</v>
      </c>
      <c r="B254" t="s">
        <v>5</v>
      </c>
      <c r="C254">
        <v>2034</v>
      </c>
      <c r="D254" t="s">
        <v>13</v>
      </c>
      <c r="E254">
        <v>1114.482036875012</v>
      </c>
    </row>
    <row r="255" spans="1:5" hidden="1" x14ac:dyDescent="0.35">
      <c r="A255" t="s">
        <v>9</v>
      </c>
      <c r="B255" t="s">
        <v>5</v>
      </c>
      <c r="C255">
        <v>2034</v>
      </c>
      <c r="D255" t="s">
        <v>12</v>
      </c>
      <c r="E255">
        <v>21479.387094942951</v>
      </c>
    </row>
    <row r="256" spans="1:5" hidden="1" x14ac:dyDescent="0.35">
      <c r="A256" t="s">
        <v>9</v>
      </c>
      <c r="B256" t="s">
        <v>5</v>
      </c>
      <c r="C256">
        <v>2034</v>
      </c>
      <c r="D256" t="s">
        <v>11</v>
      </c>
      <c r="E256">
        <v>1428.0497040707919</v>
      </c>
    </row>
    <row r="257" spans="1:5" hidden="1" x14ac:dyDescent="0.35">
      <c r="A257" t="s">
        <v>9</v>
      </c>
      <c r="B257" t="s">
        <v>5</v>
      </c>
      <c r="C257">
        <v>2034</v>
      </c>
      <c r="D257" t="s">
        <v>8</v>
      </c>
      <c r="E257">
        <v>57371.149375960449</v>
      </c>
    </row>
    <row r="258" spans="1:5" hidden="1" x14ac:dyDescent="0.35">
      <c r="A258" t="s">
        <v>9</v>
      </c>
      <c r="B258" t="s">
        <v>5</v>
      </c>
      <c r="C258">
        <v>2035</v>
      </c>
      <c r="D258" t="s">
        <v>6</v>
      </c>
      <c r="E258">
        <v>58674.162846282037</v>
      </c>
    </row>
    <row r="259" spans="1:5" hidden="1" x14ac:dyDescent="0.35">
      <c r="A259" t="s">
        <v>9</v>
      </c>
      <c r="B259" t="s">
        <v>5</v>
      </c>
      <c r="C259">
        <v>2035</v>
      </c>
      <c r="D259" t="s">
        <v>7</v>
      </c>
      <c r="E259">
        <v>1076342.608390369</v>
      </c>
    </row>
    <row r="260" spans="1:5" hidden="1" x14ac:dyDescent="0.35">
      <c r="A260" t="s">
        <v>9</v>
      </c>
      <c r="B260" t="s">
        <v>5</v>
      </c>
      <c r="C260">
        <v>2035</v>
      </c>
      <c r="D260" t="s">
        <v>13</v>
      </c>
      <c r="E260">
        <v>1155.663795288184</v>
      </c>
    </row>
    <row r="261" spans="1:5" hidden="1" x14ac:dyDescent="0.35">
      <c r="A261" t="s">
        <v>9</v>
      </c>
      <c r="B261" t="s">
        <v>5</v>
      </c>
      <c r="C261">
        <v>2035</v>
      </c>
      <c r="D261" t="s">
        <v>12</v>
      </c>
      <c r="E261">
        <v>23434.242163494011</v>
      </c>
    </row>
    <row r="262" spans="1:5" hidden="1" x14ac:dyDescent="0.35">
      <c r="A262" t="s">
        <v>9</v>
      </c>
      <c r="B262" t="s">
        <v>5</v>
      </c>
      <c r="C262">
        <v>2035</v>
      </c>
      <c r="D262" t="s">
        <v>11</v>
      </c>
      <c r="E262">
        <v>1591.879620066579</v>
      </c>
    </row>
    <row r="263" spans="1:5" hidden="1" x14ac:dyDescent="0.35">
      <c r="A263" t="s">
        <v>9</v>
      </c>
      <c r="B263" t="s">
        <v>5</v>
      </c>
      <c r="C263">
        <v>2035</v>
      </c>
      <c r="D263" t="s">
        <v>8</v>
      </c>
      <c r="E263">
        <v>61354.521533229788</v>
      </c>
    </row>
    <row r="264" spans="1:5" hidden="1" x14ac:dyDescent="0.35">
      <c r="A264" t="s">
        <v>9</v>
      </c>
      <c r="B264" t="s">
        <v>5</v>
      </c>
      <c r="C264">
        <v>2036</v>
      </c>
      <c r="D264" t="s">
        <v>6</v>
      </c>
      <c r="E264">
        <v>65955.730277636801</v>
      </c>
    </row>
    <row r="265" spans="1:5" hidden="1" x14ac:dyDescent="0.35">
      <c r="A265" t="s">
        <v>9</v>
      </c>
      <c r="B265" t="s">
        <v>5</v>
      </c>
      <c r="C265">
        <v>2036</v>
      </c>
      <c r="D265" t="s">
        <v>7</v>
      </c>
      <c r="E265">
        <v>1101195.4808659849</v>
      </c>
    </row>
    <row r="266" spans="1:5" hidden="1" x14ac:dyDescent="0.35">
      <c r="A266" t="s">
        <v>9</v>
      </c>
      <c r="B266" t="s">
        <v>5</v>
      </c>
      <c r="C266">
        <v>2036</v>
      </c>
      <c r="D266" t="s">
        <v>13</v>
      </c>
      <c r="E266">
        <v>1181.081330457198</v>
      </c>
    </row>
    <row r="267" spans="1:5" hidden="1" x14ac:dyDescent="0.35">
      <c r="A267" t="s">
        <v>9</v>
      </c>
      <c r="B267" t="s">
        <v>5</v>
      </c>
      <c r="C267">
        <v>2036</v>
      </c>
      <c r="D267" t="s">
        <v>12</v>
      </c>
      <c r="E267">
        <v>25328.788125042582</v>
      </c>
    </row>
    <row r="268" spans="1:5" hidden="1" x14ac:dyDescent="0.35">
      <c r="A268" t="s">
        <v>9</v>
      </c>
      <c r="B268" t="s">
        <v>5</v>
      </c>
      <c r="C268">
        <v>2036</v>
      </c>
      <c r="D268" t="s">
        <v>11</v>
      </c>
      <c r="E268">
        <v>1758.8013355418279</v>
      </c>
    </row>
    <row r="269" spans="1:5" hidden="1" x14ac:dyDescent="0.35">
      <c r="A269" t="s">
        <v>9</v>
      </c>
      <c r="B269" t="s">
        <v>5</v>
      </c>
      <c r="C269">
        <v>2036</v>
      </c>
      <c r="D269" t="s">
        <v>8</v>
      </c>
      <c r="E269">
        <v>65540.179703389193</v>
      </c>
    </row>
    <row r="270" spans="1:5" hidden="1" x14ac:dyDescent="0.35">
      <c r="A270" t="s">
        <v>9</v>
      </c>
      <c r="B270" t="s">
        <v>5</v>
      </c>
      <c r="C270">
        <v>2037</v>
      </c>
      <c r="D270" t="s">
        <v>6</v>
      </c>
      <c r="E270">
        <v>73598.891657163113</v>
      </c>
    </row>
    <row r="271" spans="1:5" hidden="1" x14ac:dyDescent="0.35">
      <c r="A271" t="s">
        <v>9</v>
      </c>
      <c r="B271" t="s">
        <v>5</v>
      </c>
      <c r="C271">
        <v>2037</v>
      </c>
      <c r="D271" t="s">
        <v>7</v>
      </c>
      <c r="E271">
        <v>1130192.3701368021</v>
      </c>
    </row>
    <row r="272" spans="1:5" hidden="1" x14ac:dyDescent="0.35">
      <c r="A272" t="s">
        <v>9</v>
      </c>
      <c r="B272" t="s">
        <v>5</v>
      </c>
      <c r="C272">
        <v>2037</v>
      </c>
      <c r="D272" t="s">
        <v>13</v>
      </c>
      <c r="E272">
        <v>1189.986753633372</v>
      </c>
    </row>
    <row r="273" spans="1:5" hidden="1" x14ac:dyDescent="0.35">
      <c r="A273" t="s">
        <v>9</v>
      </c>
      <c r="B273" t="s">
        <v>5</v>
      </c>
      <c r="C273">
        <v>2037</v>
      </c>
      <c r="D273" t="s">
        <v>12</v>
      </c>
      <c r="E273">
        <v>27154.51542919709</v>
      </c>
    </row>
    <row r="274" spans="1:5" hidden="1" x14ac:dyDescent="0.35">
      <c r="A274" t="s">
        <v>9</v>
      </c>
      <c r="B274" t="s">
        <v>5</v>
      </c>
      <c r="C274">
        <v>2037</v>
      </c>
      <c r="D274" t="s">
        <v>11</v>
      </c>
      <c r="E274">
        <v>1928.421284278415</v>
      </c>
    </row>
    <row r="275" spans="1:5" hidden="1" x14ac:dyDescent="0.35">
      <c r="A275" t="s">
        <v>9</v>
      </c>
      <c r="B275" t="s">
        <v>5</v>
      </c>
      <c r="C275">
        <v>2037</v>
      </c>
      <c r="D275" t="s">
        <v>8</v>
      </c>
      <c r="E275">
        <v>69481.842507553956</v>
      </c>
    </row>
    <row r="276" spans="1:5" hidden="1" x14ac:dyDescent="0.35">
      <c r="A276" t="s">
        <v>9</v>
      </c>
      <c r="B276" t="s">
        <v>5</v>
      </c>
      <c r="C276">
        <v>2038</v>
      </c>
      <c r="D276" t="s">
        <v>6</v>
      </c>
      <c r="E276">
        <v>81581.249659793117</v>
      </c>
    </row>
    <row r="277" spans="1:5" hidden="1" x14ac:dyDescent="0.35">
      <c r="A277" t="s">
        <v>9</v>
      </c>
      <c r="B277" t="s">
        <v>5</v>
      </c>
      <c r="C277">
        <v>2038</v>
      </c>
      <c r="D277" t="s">
        <v>7</v>
      </c>
      <c r="E277">
        <v>1157581.233594937</v>
      </c>
    </row>
    <row r="278" spans="1:5" hidden="1" x14ac:dyDescent="0.35">
      <c r="A278" t="s">
        <v>9</v>
      </c>
      <c r="B278" t="s">
        <v>5</v>
      </c>
      <c r="C278">
        <v>2038</v>
      </c>
      <c r="D278" t="s">
        <v>13</v>
      </c>
      <c r="E278">
        <v>1181.563288191096</v>
      </c>
    </row>
    <row r="279" spans="1:5" hidden="1" x14ac:dyDescent="0.35">
      <c r="A279" t="s">
        <v>9</v>
      </c>
      <c r="B279" t="s">
        <v>5</v>
      </c>
      <c r="C279">
        <v>2038</v>
      </c>
      <c r="D279" t="s">
        <v>12</v>
      </c>
      <c r="E279">
        <v>28899.636790896191</v>
      </c>
    </row>
    <row r="280" spans="1:5" hidden="1" x14ac:dyDescent="0.35">
      <c r="A280" t="s">
        <v>9</v>
      </c>
      <c r="B280" t="s">
        <v>5</v>
      </c>
      <c r="C280">
        <v>2038</v>
      </c>
      <c r="D280" t="s">
        <v>11</v>
      </c>
      <c r="E280">
        <v>2100.0711128337948</v>
      </c>
    </row>
    <row r="281" spans="1:5" hidden="1" x14ac:dyDescent="0.35">
      <c r="A281" t="s">
        <v>9</v>
      </c>
      <c r="B281" t="s">
        <v>5</v>
      </c>
      <c r="C281">
        <v>2038</v>
      </c>
      <c r="D281" t="s">
        <v>8</v>
      </c>
      <c r="E281">
        <v>73173.599088158604</v>
      </c>
    </row>
    <row r="282" spans="1:5" hidden="1" x14ac:dyDescent="0.35">
      <c r="A282" t="s">
        <v>9</v>
      </c>
      <c r="B282" t="s">
        <v>5</v>
      </c>
      <c r="C282">
        <v>2039</v>
      </c>
      <c r="D282" t="s">
        <v>6</v>
      </c>
      <c r="E282">
        <v>89882.885025704978</v>
      </c>
    </row>
    <row r="283" spans="1:5" hidden="1" x14ac:dyDescent="0.35">
      <c r="A283" t="s">
        <v>9</v>
      </c>
      <c r="B283" t="s">
        <v>5</v>
      </c>
      <c r="C283">
        <v>2039</v>
      </c>
      <c r="D283" t="s">
        <v>7</v>
      </c>
      <c r="E283">
        <v>1183188.8670452209</v>
      </c>
    </row>
    <row r="284" spans="1:5" hidden="1" x14ac:dyDescent="0.35">
      <c r="A284" t="s">
        <v>9</v>
      </c>
      <c r="B284" t="s">
        <v>5</v>
      </c>
      <c r="C284">
        <v>2039</v>
      </c>
      <c r="D284" t="s">
        <v>13</v>
      </c>
      <c r="E284">
        <v>1154.9982759766251</v>
      </c>
    </row>
    <row r="285" spans="1:5" hidden="1" x14ac:dyDescent="0.35">
      <c r="A285" t="s">
        <v>9</v>
      </c>
      <c r="B285" t="s">
        <v>5</v>
      </c>
      <c r="C285">
        <v>2039</v>
      </c>
      <c r="D285" t="s">
        <v>12</v>
      </c>
      <c r="E285">
        <v>30549.47912258418</v>
      </c>
    </row>
    <row r="286" spans="1:5" hidden="1" x14ac:dyDescent="0.35">
      <c r="A286" t="s">
        <v>9</v>
      </c>
      <c r="B286" t="s">
        <v>5</v>
      </c>
      <c r="C286">
        <v>2039</v>
      </c>
      <c r="D286" t="s">
        <v>11</v>
      </c>
      <c r="E286">
        <v>2272.804134899478</v>
      </c>
    </row>
    <row r="287" spans="1:5" hidden="1" x14ac:dyDescent="0.35">
      <c r="A287" t="s">
        <v>9</v>
      </c>
      <c r="B287" t="s">
        <v>5</v>
      </c>
      <c r="C287">
        <v>2039</v>
      </c>
      <c r="D287" t="s">
        <v>8</v>
      </c>
      <c r="E287">
        <v>76434.087778382978</v>
      </c>
    </row>
    <row r="288" spans="1:5" hidden="1" x14ac:dyDescent="0.35">
      <c r="A288" t="s">
        <v>9</v>
      </c>
      <c r="B288" t="s">
        <v>5</v>
      </c>
      <c r="C288">
        <v>2040</v>
      </c>
      <c r="D288" t="s">
        <v>6</v>
      </c>
      <c r="E288">
        <v>98467.56791655843</v>
      </c>
    </row>
    <row r="289" spans="1:5" hidden="1" x14ac:dyDescent="0.35">
      <c r="A289" t="s">
        <v>9</v>
      </c>
      <c r="B289" t="s">
        <v>5</v>
      </c>
      <c r="C289">
        <v>2040</v>
      </c>
      <c r="D289" t="s">
        <v>7</v>
      </c>
      <c r="E289">
        <v>1207361.2871372779</v>
      </c>
    </row>
    <row r="290" spans="1:5" hidden="1" x14ac:dyDescent="0.35">
      <c r="A290" t="s">
        <v>9</v>
      </c>
      <c r="B290" t="s">
        <v>5</v>
      </c>
      <c r="C290">
        <v>2040</v>
      </c>
      <c r="D290" t="s">
        <v>13</v>
      </c>
      <c r="E290">
        <v>1109.6184755436821</v>
      </c>
    </row>
    <row r="291" spans="1:5" hidden="1" x14ac:dyDescent="0.35">
      <c r="A291" t="s">
        <v>9</v>
      </c>
      <c r="B291" t="s">
        <v>5</v>
      </c>
      <c r="C291">
        <v>2040</v>
      </c>
      <c r="D291" t="s">
        <v>12</v>
      </c>
      <c r="E291">
        <v>32088.650172163962</v>
      </c>
    </row>
    <row r="292" spans="1:5" hidden="1" x14ac:dyDescent="0.35">
      <c r="A292" t="s">
        <v>9</v>
      </c>
      <c r="B292" t="s">
        <v>5</v>
      </c>
      <c r="C292">
        <v>2040</v>
      </c>
      <c r="D292" t="s">
        <v>11</v>
      </c>
      <c r="E292">
        <v>2445.526520040336</v>
      </c>
    </row>
    <row r="293" spans="1:5" hidden="1" x14ac:dyDescent="0.35">
      <c r="A293" t="s">
        <v>9</v>
      </c>
      <c r="B293" t="s">
        <v>5</v>
      </c>
      <c r="C293">
        <v>2040</v>
      </c>
      <c r="D293" t="s">
        <v>8</v>
      </c>
      <c r="E293">
        <v>79345.878987390839</v>
      </c>
    </row>
    <row r="294" spans="1:5" hidden="1" x14ac:dyDescent="0.35">
      <c r="A294" t="s">
        <v>9</v>
      </c>
      <c r="B294" t="s">
        <v>5</v>
      </c>
      <c r="C294">
        <v>2041</v>
      </c>
      <c r="D294" t="s">
        <v>6</v>
      </c>
      <c r="E294">
        <v>103552.8477642919</v>
      </c>
    </row>
    <row r="295" spans="1:5" hidden="1" x14ac:dyDescent="0.35">
      <c r="A295" t="s">
        <v>9</v>
      </c>
      <c r="B295" t="s">
        <v>5</v>
      </c>
      <c r="C295">
        <v>2041</v>
      </c>
      <c r="D295" t="s">
        <v>7</v>
      </c>
      <c r="E295">
        <v>1240030.6057338279</v>
      </c>
    </row>
    <row r="296" spans="1:5" hidden="1" x14ac:dyDescent="0.35">
      <c r="A296" t="s">
        <v>9</v>
      </c>
      <c r="B296" t="s">
        <v>5</v>
      </c>
      <c r="C296">
        <v>2041</v>
      </c>
      <c r="D296" t="s">
        <v>13</v>
      </c>
      <c r="E296">
        <v>1123.7174847842441</v>
      </c>
    </row>
    <row r="297" spans="1:5" hidden="1" x14ac:dyDescent="0.35">
      <c r="A297" t="s">
        <v>9</v>
      </c>
      <c r="B297" t="s">
        <v>5</v>
      </c>
      <c r="C297">
        <v>2041</v>
      </c>
      <c r="D297" t="s">
        <v>12</v>
      </c>
      <c r="E297">
        <v>33928.000712389883</v>
      </c>
    </row>
    <row r="298" spans="1:5" hidden="1" x14ac:dyDescent="0.35">
      <c r="A298" t="s">
        <v>9</v>
      </c>
      <c r="B298" t="s">
        <v>5</v>
      </c>
      <c r="C298">
        <v>2041</v>
      </c>
      <c r="D298" t="s">
        <v>11</v>
      </c>
      <c r="E298">
        <v>2606.947172565599</v>
      </c>
    </row>
    <row r="299" spans="1:5" hidden="1" x14ac:dyDescent="0.35">
      <c r="A299" t="s">
        <v>9</v>
      </c>
      <c r="B299" t="s">
        <v>5</v>
      </c>
      <c r="C299">
        <v>2041</v>
      </c>
      <c r="D299" t="s">
        <v>8</v>
      </c>
      <c r="E299">
        <v>83505.789286475061</v>
      </c>
    </row>
    <row r="300" spans="1:5" hidden="1" x14ac:dyDescent="0.35">
      <c r="A300" t="s">
        <v>9</v>
      </c>
      <c r="B300" t="s">
        <v>5</v>
      </c>
      <c r="C300">
        <v>2042</v>
      </c>
      <c r="D300" t="s">
        <v>6</v>
      </c>
      <c r="E300">
        <v>108058.0160783328</v>
      </c>
    </row>
    <row r="301" spans="1:5" hidden="1" x14ac:dyDescent="0.35">
      <c r="A301" t="s">
        <v>9</v>
      </c>
      <c r="B301" t="s">
        <v>5</v>
      </c>
      <c r="C301">
        <v>2042</v>
      </c>
      <c r="D301" t="s">
        <v>7</v>
      </c>
      <c r="E301">
        <v>1269378.3824436499</v>
      </c>
    </row>
    <row r="302" spans="1:5" hidden="1" x14ac:dyDescent="0.35">
      <c r="A302" t="s">
        <v>9</v>
      </c>
      <c r="B302" t="s">
        <v>5</v>
      </c>
      <c r="C302">
        <v>2042</v>
      </c>
      <c r="D302" t="s">
        <v>13</v>
      </c>
      <c r="E302">
        <v>1126.1818914691471</v>
      </c>
    </row>
    <row r="303" spans="1:5" hidden="1" x14ac:dyDescent="0.35">
      <c r="A303" t="s">
        <v>9</v>
      </c>
      <c r="B303" t="s">
        <v>5</v>
      </c>
      <c r="C303">
        <v>2042</v>
      </c>
      <c r="D303" t="s">
        <v>12</v>
      </c>
      <c r="E303">
        <v>35596.592256912729</v>
      </c>
    </row>
    <row r="304" spans="1:5" hidden="1" x14ac:dyDescent="0.35">
      <c r="A304" t="s">
        <v>9</v>
      </c>
      <c r="B304" t="s">
        <v>5</v>
      </c>
      <c r="C304">
        <v>2042</v>
      </c>
      <c r="D304" t="s">
        <v>11</v>
      </c>
      <c r="E304">
        <v>2757.812450033085</v>
      </c>
    </row>
    <row r="305" spans="1:5" hidden="1" x14ac:dyDescent="0.35">
      <c r="A305" t="s">
        <v>9</v>
      </c>
      <c r="B305" t="s">
        <v>5</v>
      </c>
      <c r="C305">
        <v>2042</v>
      </c>
      <c r="D305" t="s">
        <v>8</v>
      </c>
      <c r="E305">
        <v>87346.057033143967</v>
      </c>
    </row>
    <row r="306" spans="1:5" hidden="1" x14ac:dyDescent="0.35">
      <c r="A306" t="s">
        <v>9</v>
      </c>
      <c r="B306" t="s">
        <v>5</v>
      </c>
      <c r="C306">
        <v>2043</v>
      </c>
      <c r="D306" t="s">
        <v>6</v>
      </c>
      <c r="E306">
        <v>112014.7082915763</v>
      </c>
    </row>
    <row r="307" spans="1:5" hidden="1" x14ac:dyDescent="0.35">
      <c r="A307" t="s">
        <v>9</v>
      </c>
      <c r="B307" t="s">
        <v>5</v>
      </c>
      <c r="C307">
        <v>2043</v>
      </c>
      <c r="D307" t="s">
        <v>7</v>
      </c>
      <c r="E307">
        <v>1302499.237772217</v>
      </c>
    </row>
    <row r="308" spans="1:5" hidden="1" x14ac:dyDescent="0.35">
      <c r="A308" t="s">
        <v>9</v>
      </c>
      <c r="B308" t="s">
        <v>5</v>
      </c>
      <c r="C308">
        <v>2043</v>
      </c>
      <c r="D308" t="s">
        <v>13</v>
      </c>
      <c r="E308">
        <v>1117.910600344411</v>
      </c>
    </row>
    <row r="309" spans="1:5" hidden="1" x14ac:dyDescent="0.35">
      <c r="A309" t="s">
        <v>9</v>
      </c>
      <c r="B309" t="s">
        <v>5</v>
      </c>
      <c r="C309">
        <v>2043</v>
      </c>
      <c r="D309" t="s">
        <v>12</v>
      </c>
      <c r="E309">
        <v>37103.801248778203</v>
      </c>
    </row>
    <row r="310" spans="1:5" hidden="1" x14ac:dyDescent="0.35">
      <c r="A310" t="s">
        <v>9</v>
      </c>
      <c r="B310" t="s">
        <v>5</v>
      </c>
      <c r="C310">
        <v>2043</v>
      </c>
      <c r="D310" t="s">
        <v>11</v>
      </c>
      <c r="E310">
        <v>2898.590377134647</v>
      </c>
    </row>
    <row r="311" spans="1:5" hidden="1" x14ac:dyDescent="0.35">
      <c r="A311" t="s">
        <v>9</v>
      </c>
      <c r="B311" t="s">
        <v>5</v>
      </c>
      <c r="C311">
        <v>2043</v>
      </c>
      <c r="D311" t="s">
        <v>8</v>
      </c>
      <c r="E311">
        <v>90898.862631815806</v>
      </c>
    </row>
    <row r="312" spans="1:5" hidden="1" x14ac:dyDescent="0.35">
      <c r="A312" t="s">
        <v>9</v>
      </c>
      <c r="B312" t="s">
        <v>5</v>
      </c>
      <c r="C312">
        <v>2044</v>
      </c>
      <c r="D312" t="s">
        <v>6</v>
      </c>
      <c r="E312">
        <v>115476.05783786569</v>
      </c>
    </row>
    <row r="313" spans="1:5" hidden="1" x14ac:dyDescent="0.35">
      <c r="A313" t="s">
        <v>9</v>
      </c>
      <c r="B313" t="s">
        <v>5</v>
      </c>
      <c r="C313">
        <v>2044</v>
      </c>
      <c r="D313" t="s">
        <v>7</v>
      </c>
      <c r="E313">
        <v>1330768.7576837931</v>
      </c>
    </row>
    <row r="314" spans="1:5" hidden="1" x14ac:dyDescent="0.35">
      <c r="A314" t="s">
        <v>9</v>
      </c>
      <c r="B314" t="s">
        <v>5</v>
      </c>
      <c r="C314">
        <v>2044</v>
      </c>
      <c r="D314" t="s">
        <v>13</v>
      </c>
      <c r="E314">
        <v>1099.9280008454321</v>
      </c>
    </row>
    <row r="315" spans="1:5" hidden="1" x14ac:dyDescent="0.35">
      <c r="A315" t="s">
        <v>9</v>
      </c>
      <c r="B315" t="s">
        <v>5</v>
      </c>
      <c r="C315">
        <v>2044</v>
      </c>
      <c r="D315" t="s">
        <v>12</v>
      </c>
      <c r="E315">
        <v>38464.677450918643</v>
      </c>
    </row>
    <row r="316" spans="1:5" hidden="1" x14ac:dyDescent="0.35">
      <c r="A316" t="s">
        <v>9</v>
      </c>
      <c r="B316" t="s">
        <v>5</v>
      </c>
      <c r="C316">
        <v>2044</v>
      </c>
      <c r="D316" t="s">
        <v>11</v>
      </c>
      <c r="E316">
        <v>3030.2116847915631</v>
      </c>
    </row>
    <row r="317" spans="1:5" hidden="1" x14ac:dyDescent="0.35">
      <c r="A317" t="s">
        <v>9</v>
      </c>
      <c r="B317" t="s">
        <v>5</v>
      </c>
      <c r="C317">
        <v>2044</v>
      </c>
      <c r="D317" t="s">
        <v>8</v>
      </c>
      <c r="E317">
        <v>94082.31886976173</v>
      </c>
    </row>
    <row r="318" spans="1:5" hidden="1" x14ac:dyDescent="0.35">
      <c r="A318" t="s">
        <v>9</v>
      </c>
      <c r="B318" t="s">
        <v>5</v>
      </c>
      <c r="C318">
        <v>2045</v>
      </c>
      <c r="D318" t="s">
        <v>6</v>
      </c>
      <c r="E318">
        <v>118500.4528656474</v>
      </c>
    </row>
    <row r="319" spans="1:5" hidden="1" x14ac:dyDescent="0.35">
      <c r="A319" t="s">
        <v>9</v>
      </c>
      <c r="B319" t="s">
        <v>5</v>
      </c>
      <c r="C319">
        <v>2045</v>
      </c>
      <c r="D319" t="s">
        <v>7</v>
      </c>
      <c r="E319">
        <v>1356790.7329331711</v>
      </c>
    </row>
    <row r="320" spans="1:5" hidden="1" x14ac:dyDescent="0.35">
      <c r="A320" t="s">
        <v>9</v>
      </c>
      <c r="B320" t="s">
        <v>5</v>
      </c>
      <c r="C320">
        <v>2045</v>
      </c>
      <c r="D320" t="s">
        <v>13</v>
      </c>
      <c r="E320">
        <v>1073.037677617644</v>
      </c>
    </row>
    <row r="321" spans="1:5" hidden="1" x14ac:dyDescent="0.35">
      <c r="A321" t="s">
        <v>9</v>
      </c>
      <c r="B321" t="s">
        <v>5</v>
      </c>
      <c r="C321">
        <v>2045</v>
      </c>
      <c r="D321" t="s">
        <v>12</v>
      </c>
      <c r="E321">
        <v>39688.829605775187</v>
      </c>
    </row>
    <row r="322" spans="1:5" hidden="1" x14ac:dyDescent="0.35">
      <c r="A322" t="s">
        <v>9</v>
      </c>
      <c r="B322" t="s">
        <v>5</v>
      </c>
      <c r="C322">
        <v>2045</v>
      </c>
      <c r="D322" t="s">
        <v>11</v>
      </c>
      <c r="E322">
        <v>3153.2064464237742</v>
      </c>
    </row>
    <row r="323" spans="1:5" hidden="1" x14ac:dyDescent="0.35">
      <c r="A323" t="s">
        <v>9</v>
      </c>
      <c r="B323" t="s">
        <v>5</v>
      </c>
      <c r="C323">
        <v>2045</v>
      </c>
      <c r="D323" t="s">
        <v>8</v>
      </c>
      <c r="E323">
        <v>96992.017802800619</v>
      </c>
    </row>
    <row r="324" spans="1:5" hidden="1" x14ac:dyDescent="0.35">
      <c r="A324" t="s">
        <v>9</v>
      </c>
      <c r="B324" t="s">
        <v>5</v>
      </c>
      <c r="C324">
        <v>2046</v>
      </c>
      <c r="D324" t="s">
        <v>6</v>
      </c>
      <c r="E324">
        <v>121329.6353739832</v>
      </c>
    </row>
    <row r="325" spans="1:5" hidden="1" x14ac:dyDescent="0.35">
      <c r="A325" t="s">
        <v>9</v>
      </c>
      <c r="B325" t="s">
        <v>5</v>
      </c>
      <c r="C325">
        <v>2046</v>
      </c>
      <c r="D325" t="s">
        <v>7</v>
      </c>
      <c r="E325">
        <v>1378023.092033844</v>
      </c>
    </row>
    <row r="326" spans="1:5" hidden="1" x14ac:dyDescent="0.35">
      <c r="A326" t="s">
        <v>9</v>
      </c>
      <c r="B326" t="s">
        <v>5</v>
      </c>
      <c r="C326">
        <v>2046</v>
      </c>
      <c r="D326" t="s">
        <v>13</v>
      </c>
      <c r="E326">
        <v>1038.225972495115</v>
      </c>
    </row>
    <row r="327" spans="1:5" hidden="1" x14ac:dyDescent="0.35">
      <c r="A327" t="s">
        <v>9</v>
      </c>
      <c r="B327" t="s">
        <v>5</v>
      </c>
      <c r="C327">
        <v>2046</v>
      </c>
      <c r="D327" t="s">
        <v>12</v>
      </c>
      <c r="E327">
        <v>40794.710876072022</v>
      </c>
    </row>
    <row r="328" spans="1:5" hidden="1" x14ac:dyDescent="0.35">
      <c r="A328" t="s">
        <v>9</v>
      </c>
      <c r="B328" t="s">
        <v>5</v>
      </c>
      <c r="C328">
        <v>2046</v>
      </c>
      <c r="D328" t="s">
        <v>11</v>
      </c>
      <c r="E328">
        <v>3268.831591980208</v>
      </c>
    </row>
    <row r="329" spans="1:5" hidden="1" x14ac:dyDescent="0.35">
      <c r="A329" t="s">
        <v>9</v>
      </c>
      <c r="B329" t="s">
        <v>5</v>
      </c>
      <c r="C329">
        <v>2046</v>
      </c>
      <c r="D329" t="s">
        <v>8</v>
      </c>
      <c r="E329">
        <v>99059.070442368931</v>
      </c>
    </row>
    <row r="330" spans="1:5" hidden="1" x14ac:dyDescent="0.35">
      <c r="A330" t="s">
        <v>9</v>
      </c>
      <c r="B330" t="s">
        <v>5</v>
      </c>
      <c r="C330">
        <v>2047</v>
      </c>
      <c r="D330" t="s">
        <v>6</v>
      </c>
      <c r="E330">
        <v>123789.1025788252</v>
      </c>
    </row>
    <row r="331" spans="1:5" hidden="1" x14ac:dyDescent="0.35">
      <c r="A331" t="s">
        <v>9</v>
      </c>
      <c r="B331" t="s">
        <v>5</v>
      </c>
      <c r="C331">
        <v>2047</v>
      </c>
      <c r="D331" t="s">
        <v>7</v>
      </c>
      <c r="E331">
        <v>1402657.4699325869</v>
      </c>
    </row>
    <row r="332" spans="1:5" hidden="1" x14ac:dyDescent="0.35">
      <c r="A332" t="s">
        <v>9</v>
      </c>
      <c r="B332" t="s">
        <v>5</v>
      </c>
      <c r="C332">
        <v>2047</v>
      </c>
      <c r="D332" t="s">
        <v>13</v>
      </c>
      <c r="E332">
        <v>996.13876965307077</v>
      </c>
    </row>
    <row r="333" spans="1:5" hidden="1" x14ac:dyDescent="0.35">
      <c r="A333" t="s">
        <v>9</v>
      </c>
      <c r="B333" t="s">
        <v>5</v>
      </c>
      <c r="C333">
        <v>2047</v>
      </c>
      <c r="D333" t="s">
        <v>12</v>
      </c>
      <c r="E333">
        <v>41790.739010201927</v>
      </c>
    </row>
    <row r="334" spans="1:5" hidden="1" x14ac:dyDescent="0.35">
      <c r="A334" t="s">
        <v>9</v>
      </c>
      <c r="B334" t="s">
        <v>5</v>
      </c>
      <c r="C334">
        <v>2047</v>
      </c>
      <c r="D334" t="s">
        <v>11</v>
      </c>
      <c r="E334">
        <v>3377.5764200023409</v>
      </c>
    </row>
    <row r="335" spans="1:5" hidden="1" x14ac:dyDescent="0.35">
      <c r="A335" t="s">
        <v>9</v>
      </c>
      <c r="B335" t="s">
        <v>5</v>
      </c>
      <c r="C335">
        <v>2047</v>
      </c>
      <c r="D335" t="s">
        <v>8</v>
      </c>
      <c r="E335">
        <v>100950.12916950681</v>
      </c>
    </row>
    <row r="336" spans="1:5" hidden="1" x14ac:dyDescent="0.35">
      <c r="A336" t="s">
        <v>9</v>
      </c>
      <c r="B336" t="s">
        <v>5</v>
      </c>
      <c r="C336">
        <v>2048</v>
      </c>
      <c r="D336" t="s">
        <v>6</v>
      </c>
      <c r="E336">
        <v>125911.3389349143</v>
      </c>
    </row>
    <row r="337" spans="1:5" hidden="1" x14ac:dyDescent="0.35">
      <c r="A337" t="s">
        <v>9</v>
      </c>
      <c r="B337" t="s">
        <v>5</v>
      </c>
      <c r="C337">
        <v>2048</v>
      </c>
      <c r="D337" t="s">
        <v>7</v>
      </c>
      <c r="E337">
        <v>1424817.038517321</v>
      </c>
    </row>
    <row r="338" spans="1:5" hidden="1" x14ac:dyDescent="0.35">
      <c r="A338" t="s">
        <v>9</v>
      </c>
      <c r="B338" t="s">
        <v>5</v>
      </c>
      <c r="C338">
        <v>2048</v>
      </c>
      <c r="D338" t="s">
        <v>13</v>
      </c>
      <c r="E338">
        <v>947.39540842859969</v>
      </c>
    </row>
    <row r="339" spans="1:5" hidden="1" x14ac:dyDescent="0.35">
      <c r="A339" t="s">
        <v>9</v>
      </c>
      <c r="B339" t="s">
        <v>5</v>
      </c>
      <c r="C339">
        <v>2048</v>
      </c>
      <c r="D339" t="s">
        <v>12</v>
      </c>
      <c r="E339">
        <v>42685.927098860273</v>
      </c>
    </row>
    <row r="340" spans="1:5" hidden="1" x14ac:dyDescent="0.35">
      <c r="A340" t="s">
        <v>9</v>
      </c>
      <c r="B340" t="s">
        <v>5</v>
      </c>
      <c r="C340">
        <v>2048</v>
      </c>
      <c r="D340" t="s">
        <v>11</v>
      </c>
      <c r="E340">
        <v>3479.995823401347</v>
      </c>
    </row>
    <row r="341" spans="1:5" hidden="1" x14ac:dyDescent="0.35">
      <c r="A341" t="s">
        <v>9</v>
      </c>
      <c r="B341" t="s">
        <v>5</v>
      </c>
      <c r="C341">
        <v>2048</v>
      </c>
      <c r="D341" t="s">
        <v>8</v>
      </c>
      <c r="E341">
        <v>102570.26348023021</v>
      </c>
    </row>
    <row r="342" spans="1:5" hidden="1" x14ac:dyDescent="0.35">
      <c r="A342" t="s">
        <v>9</v>
      </c>
      <c r="B342" t="s">
        <v>5</v>
      </c>
      <c r="C342">
        <v>2049</v>
      </c>
      <c r="D342" t="s">
        <v>6</v>
      </c>
      <c r="E342">
        <v>127715.4304756975</v>
      </c>
    </row>
    <row r="343" spans="1:5" hidden="1" x14ac:dyDescent="0.35">
      <c r="A343" t="s">
        <v>9</v>
      </c>
      <c r="B343" t="s">
        <v>5</v>
      </c>
      <c r="C343">
        <v>2049</v>
      </c>
      <c r="D343" t="s">
        <v>7</v>
      </c>
      <c r="E343">
        <v>1448781.8394643241</v>
      </c>
    </row>
    <row r="344" spans="1:5" hidden="1" x14ac:dyDescent="0.35">
      <c r="A344" t="s">
        <v>9</v>
      </c>
      <c r="B344" t="s">
        <v>5</v>
      </c>
      <c r="C344">
        <v>2049</v>
      </c>
      <c r="D344" t="s">
        <v>13</v>
      </c>
      <c r="E344">
        <v>892.52682580390535</v>
      </c>
    </row>
    <row r="345" spans="1:5" hidden="1" x14ac:dyDescent="0.35">
      <c r="A345" t="s">
        <v>9</v>
      </c>
      <c r="B345" t="s">
        <v>5</v>
      </c>
      <c r="C345">
        <v>2049</v>
      </c>
      <c r="D345" t="s">
        <v>12</v>
      </c>
      <c r="E345">
        <v>43487.197118682539</v>
      </c>
    </row>
    <row r="346" spans="1:5" hidden="1" x14ac:dyDescent="0.35">
      <c r="A346" t="s">
        <v>9</v>
      </c>
      <c r="B346" t="s">
        <v>5</v>
      </c>
      <c r="C346">
        <v>2049</v>
      </c>
      <c r="D346" t="s">
        <v>11</v>
      </c>
      <c r="E346">
        <v>3576.4922324993749</v>
      </c>
    </row>
    <row r="347" spans="1:5" hidden="1" x14ac:dyDescent="0.35">
      <c r="A347" t="s">
        <v>9</v>
      </c>
      <c r="B347" t="s">
        <v>5</v>
      </c>
      <c r="C347">
        <v>2049</v>
      </c>
      <c r="D347" t="s">
        <v>8</v>
      </c>
      <c r="E347">
        <v>104077.32401861111</v>
      </c>
    </row>
    <row r="348" spans="1:5" hidden="1" x14ac:dyDescent="0.35">
      <c r="A348" t="s">
        <v>9</v>
      </c>
      <c r="B348" t="s">
        <v>5</v>
      </c>
      <c r="C348">
        <v>2050</v>
      </c>
      <c r="D348" t="s">
        <v>6</v>
      </c>
      <c r="E348">
        <v>129208.1537423663</v>
      </c>
    </row>
    <row r="349" spans="1:5" hidden="1" x14ac:dyDescent="0.35">
      <c r="A349" t="s">
        <v>9</v>
      </c>
      <c r="B349" t="s">
        <v>5</v>
      </c>
      <c r="C349">
        <v>2050</v>
      </c>
      <c r="D349" t="s">
        <v>7</v>
      </c>
      <c r="E349">
        <v>1466466.2063380801</v>
      </c>
    </row>
    <row r="350" spans="1:5" hidden="1" x14ac:dyDescent="0.35">
      <c r="A350" t="s">
        <v>9</v>
      </c>
      <c r="B350" t="s">
        <v>5</v>
      </c>
      <c r="C350">
        <v>2050</v>
      </c>
      <c r="D350" t="s">
        <v>13</v>
      </c>
      <c r="E350">
        <v>832.00813416219592</v>
      </c>
    </row>
    <row r="351" spans="1:5" hidden="1" x14ac:dyDescent="0.35">
      <c r="A351" t="s">
        <v>9</v>
      </c>
      <c r="B351" t="s">
        <v>5</v>
      </c>
      <c r="C351">
        <v>2050</v>
      </c>
      <c r="D351" t="s">
        <v>12</v>
      </c>
      <c r="E351">
        <v>44200.273358476363</v>
      </c>
    </row>
    <row r="352" spans="1:5" hidden="1" x14ac:dyDescent="0.35">
      <c r="A352" t="s">
        <v>9</v>
      </c>
      <c r="B352" t="s">
        <v>5</v>
      </c>
      <c r="C352">
        <v>2050</v>
      </c>
      <c r="D352" t="s">
        <v>11</v>
      </c>
      <c r="E352">
        <v>3667.3829822200591</v>
      </c>
    </row>
    <row r="353" spans="1:5" hidden="1" x14ac:dyDescent="0.35">
      <c r="A353" t="s">
        <v>9</v>
      </c>
      <c r="B353" t="s">
        <v>5</v>
      </c>
      <c r="C353">
        <v>2050</v>
      </c>
      <c r="D353" t="s">
        <v>8</v>
      </c>
      <c r="E353">
        <v>105277.92304188271</v>
      </c>
    </row>
    <row r="354" spans="1:5" hidden="1" x14ac:dyDescent="0.35">
      <c r="A354" t="s">
        <v>10</v>
      </c>
      <c r="B354" t="s">
        <v>5</v>
      </c>
      <c r="C354">
        <v>2020</v>
      </c>
      <c r="D354" t="s">
        <v>6</v>
      </c>
      <c r="E354">
        <v>1093.0696459999999</v>
      </c>
    </row>
    <row r="355" spans="1:5" hidden="1" x14ac:dyDescent="0.35">
      <c r="A355" t="s">
        <v>10</v>
      </c>
      <c r="B355" t="s">
        <v>5</v>
      </c>
      <c r="C355">
        <v>2020</v>
      </c>
      <c r="D355" t="s">
        <v>7</v>
      </c>
      <c r="E355">
        <v>734456.94334690797</v>
      </c>
    </row>
    <row r="356" spans="1:5" hidden="1" x14ac:dyDescent="0.35">
      <c r="A356" t="s">
        <v>10</v>
      </c>
      <c r="B356" t="s">
        <v>5</v>
      </c>
      <c r="C356">
        <v>2020</v>
      </c>
      <c r="D356" t="s">
        <v>11</v>
      </c>
      <c r="E356">
        <v>0</v>
      </c>
    </row>
    <row r="357" spans="1:5" hidden="1" x14ac:dyDescent="0.35">
      <c r="A357" t="s">
        <v>10</v>
      </c>
      <c r="B357" t="s">
        <v>5</v>
      </c>
      <c r="C357">
        <v>2020</v>
      </c>
      <c r="D357" t="s">
        <v>8</v>
      </c>
      <c r="E357">
        <v>6803.3692930797688</v>
      </c>
    </row>
    <row r="358" spans="1:5" hidden="1" x14ac:dyDescent="0.35">
      <c r="A358" t="s">
        <v>10</v>
      </c>
      <c r="B358" t="s">
        <v>5</v>
      </c>
      <c r="C358">
        <v>2021</v>
      </c>
      <c r="D358" t="s">
        <v>6</v>
      </c>
      <c r="E358">
        <v>1169.535646</v>
      </c>
    </row>
    <row r="359" spans="1:5" hidden="1" x14ac:dyDescent="0.35">
      <c r="A359" t="s">
        <v>10</v>
      </c>
      <c r="B359" t="s">
        <v>5</v>
      </c>
      <c r="C359">
        <v>2021</v>
      </c>
      <c r="D359" t="s">
        <v>7</v>
      </c>
      <c r="E359">
        <v>739419.9893828372</v>
      </c>
    </row>
    <row r="360" spans="1:5" hidden="1" x14ac:dyDescent="0.35">
      <c r="A360" t="s">
        <v>10</v>
      </c>
      <c r="B360" t="s">
        <v>5</v>
      </c>
      <c r="C360">
        <v>2021</v>
      </c>
      <c r="D360" t="s">
        <v>11</v>
      </c>
      <c r="E360">
        <v>0</v>
      </c>
    </row>
    <row r="361" spans="1:5" hidden="1" x14ac:dyDescent="0.35">
      <c r="A361" t="s">
        <v>10</v>
      </c>
      <c r="B361" t="s">
        <v>5</v>
      </c>
      <c r="C361">
        <v>2021</v>
      </c>
      <c r="D361" t="s">
        <v>8</v>
      </c>
      <c r="E361">
        <v>6897.9909093748429</v>
      </c>
    </row>
    <row r="362" spans="1:5" hidden="1" x14ac:dyDescent="0.35">
      <c r="A362" t="s">
        <v>10</v>
      </c>
      <c r="B362" t="s">
        <v>5</v>
      </c>
      <c r="C362">
        <v>2022</v>
      </c>
      <c r="D362" t="s">
        <v>6</v>
      </c>
      <c r="E362">
        <v>1380.3796460000001</v>
      </c>
    </row>
    <row r="363" spans="1:5" hidden="1" x14ac:dyDescent="0.35">
      <c r="A363" t="s">
        <v>10</v>
      </c>
      <c r="B363" t="s">
        <v>5</v>
      </c>
      <c r="C363">
        <v>2022</v>
      </c>
      <c r="D363" t="s">
        <v>7</v>
      </c>
      <c r="E363">
        <v>750772.27466496895</v>
      </c>
    </row>
    <row r="364" spans="1:5" hidden="1" x14ac:dyDescent="0.35">
      <c r="A364" t="s">
        <v>10</v>
      </c>
      <c r="B364" t="s">
        <v>5</v>
      </c>
      <c r="C364">
        <v>2022</v>
      </c>
      <c r="D364" t="s">
        <v>11</v>
      </c>
      <c r="E364">
        <v>0</v>
      </c>
    </row>
    <row r="365" spans="1:5" hidden="1" x14ac:dyDescent="0.35">
      <c r="A365" t="s">
        <v>10</v>
      </c>
      <c r="B365" t="s">
        <v>5</v>
      </c>
      <c r="C365">
        <v>2022</v>
      </c>
      <c r="D365" t="s">
        <v>8</v>
      </c>
      <c r="E365">
        <v>7479.2097756699059</v>
      </c>
    </row>
    <row r="366" spans="1:5" hidden="1" x14ac:dyDescent="0.35">
      <c r="A366" t="s">
        <v>10</v>
      </c>
      <c r="B366" t="s">
        <v>5</v>
      </c>
      <c r="C366">
        <v>2023</v>
      </c>
      <c r="D366" t="s">
        <v>6</v>
      </c>
      <c r="E366">
        <v>1460.0596459999999</v>
      </c>
    </row>
    <row r="367" spans="1:5" hidden="1" x14ac:dyDescent="0.35">
      <c r="A367" t="s">
        <v>10</v>
      </c>
      <c r="B367" t="s">
        <v>5</v>
      </c>
      <c r="C367">
        <v>2023</v>
      </c>
      <c r="D367" t="s">
        <v>7</v>
      </c>
      <c r="E367">
        <v>760970.86997546419</v>
      </c>
    </row>
    <row r="368" spans="1:5" hidden="1" x14ac:dyDescent="0.35">
      <c r="A368" t="s">
        <v>10</v>
      </c>
      <c r="B368" t="s">
        <v>5</v>
      </c>
      <c r="C368">
        <v>2023</v>
      </c>
      <c r="D368" t="s">
        <v>11</v>
      </c>
      <c r="E368">
        <v>0</v>
      </c>
    </row>
    <row r="369" spans="1:5" hidden="1" x14ac:dyDescent="0.35">
      <c r="A369" t="s">
        <v>10</v>
      </c>
      <c r="B369" t="s">
        <v>5</v>
      </c>
      <c r="C369">
        <v>2023</v>
      </c>
      <c r="D369" t="s">
        <v>8</v>
      </c>
      <c r="E369">
        <v>7931.964641964988</v>
      </c>
    </row>
    <row r="370" spans="1:5" hidden="1" x14ac:dyDescent="0.35">
      <c r="A370" t="s">
        <v>10</v>
      </c>
      <c r="B370" t="s">
        <v>5</v>
      </c>
      <c r="C370">
        <v>2024</v>
      </c>
      <c r="D370" t="s">
        <v>6</v>
      </c>
      <c r="E370">
        <v>6136.1111540720722</v>
      </c>
    </row>
    <row r="371" spans="1:5" hidden="1" x14ac:dyDescent="0.35">
      <c r="A371" t="s">
        <v>10</v>
      </c>
      <c r="B371" t="s">
        <v>5</v>
      </c>
      <c r="C371">
        <v>2024</v>
      </c>
      <c r="D371" t="s">
        <v>7</v>
      </c>
      <c r="E371">
        <v>779608.36963413097</v>
      </c>
    </row>
    <row r="372" spans="1:5" hidden="1" x14ac:dyDescent="0.35">
      <c r="A372" t="s">
        <v>10</v>
      </c>
      <c r="B372" t="s">
        <v>5</v>
      </c>
      <c r="C372">
        <v>2024</v>
      </c>
      <c r="D372" t="s">
        <v>13</v>
      </c>
      <c r="E372">
        <v>269.56540533104919</v>
      </c>
    </row>
    <row r="373" spans="1:5" hidden="1" x14ac:dyDescent="0.35">
      <c r="A373" t="s">
        <v>10</v>
      </c>
      <c r="B373" t="s">
        <v>5</v>
      </c>
      <c r="C373">
        <v>2024</v>
      </c>
      <c r="D373" t="s">
        <v>12</v>
      </c>
      <c r="E373">
        <v>4081.9920784693568</v>
      </c>
    </row>
    <row r="374" spans="1:5" hidden="1" x14ac:dyDescent="0.35">
      <c r="A374" t="s">
        <v>10</v>
      </c>
      <c r="B374" t="s">
        <v>5</v>
      </c>
      <c r="C374">
        <v>2024</v>
      </c>
      <c r="D374" t="s">
        <v>11</v>
      </c>
      <c r="E374">
        <v>204.86362628923879</v>
      </c>
    </row>
    <row r="375" spans="1:5" hidden="1" x14ac:dyDescent="0.35">
      <c r="A375" t="s">
        <v>10</v>
      </c>
      <c r="B375" t="s">
        <v>5</v>
      </c>
      <c r="C375">
        <v>2024</v>
      </c>
      <c r="D375" t="s">
        <v>8</v>
      </c>
      <c r="E375">
        <v>17076.053898057198</v>
      </c>
    </row>
    <row r="376" spans="1:5" hidden="1" x14ac:dyDescent="0.35">
      <c r="A376" t="s">
        <v>10</v>
      </c>
      <c r="B376" t="s">
        <v>5</v>
      </c>
      <c r="C376">
        <v>2025</v>
      </c>
      <c r="D376" t="s">
        <v>6</v>
      </c>
      <c r="E376">
        <v>9422.7255621447621</v>
      </c>
    </row>
    <row r="377" spans="1:5" hidden="1" x14ac:dyDescent="0.35">
      <c r="A377" t="s">
        <v>10</v>
      </c>
      <c r="B377" t="s">
        <v>5</v>
      </c>
      <c r="C377">
        <v>2025</v>
      </c>
      <c r="D377" t="s">
        <v>7</v>
      </c>
      <c r="E377">
        <v>813205.98217637825</v>
      </c>
    </row>
    <row r="378" spans="1:5" hidden="1" x14ac:dyDescent="0.35">
      <c r="A378" t="s">
        <v>10</v>
      </c>
      <c r="B378" t="s">
        <v>5</v>
      </c>
      <c r="C378">
        <v>2025</v>
      </c>
      <c r="D378" t="s">
        <v>13</v>
      </c>
      <c r="E378">
        <v>411.8870482855956</v>
      </c>
    </row>
    <row r="379" spans="1:5" hidden="1" x14ac:dyDescent="0.35">
      <c r="A379" t="s">
        <v>10</v>
      </c>
      <c r="B379" t="s">
        <v>5</v>
      </c>
      <c r="C379">
        <v>2025</v>
      </c>
      <c r="D379" t="s">
        <v>12</v>
      </c>
      <c r="E379">
        <v>6224.6601695098034</v>
      </c>
    </row>
    <row r="380" spans="1:5" hidden="1" x14ac:dyDescent="0.35">
      <c r="A380" t="s">
        <v>10</v>
      </c>
      <c r="B380" t="s">
        <v>5</v>
      </c>
      <c r="C380">
        <v>2025</v>
      </c>
      <c r="D380" t="s">
        <v>11</v>
      </c>
      <c r="E380">
        <v>324.20432339207548</v>
      </c>
    </row>
    <row r="381" spans="1:5" hidden="1" x14ac:dyDescent="0.35">
      <c r="A381" t="s">
        <v>10</v>
      </c>
      <c r="B381" t="s">
        <v>5</v>
      </c>
      <c r="C381">
        <v>2025</v>
      </c>
      <c r="D381" t="s">
        <v>8</v>
      </c>
      <c r="E381">
        <v>21927.171834368899</v>
      </c>
    </row>
    <row r="382" spans="1:5" hidden="1" x14ac:dyDescent="0.35">
      <c r="A382" t="s">
        <v>10</v>
      </c>
      <c r="B382" t="s">
        <v>5</v>
      </c>
      <c r="C382">
        <v>2026</v>
      </c>
      <c r="D382" t="s">
        <v>6</v>
      </c>
      <c r="E382">
        <v>14369.556871268551</v>
      </c>
    </row>
    <row r="383" spans="1:5" hidden="1" x14ac:dyDescent="0.35">
      <c r="A383" t="s">
        <v>10</v>
      </c>
      <c r="B383" t="s">
        <v>5</v>
      </c>
      <c r="C383">
        <v>2026</v>
      </c>
      <c r="D383" t="s">
        <v>7</v>
      </c>
      <c r="E383">
        <v>837500.54212283459</v>
      </c>
    </row>
    <row r="384" spans="1:5" hidden="1" x14ac:dyDescent="0.35">
      <c r="A384" t="s">
        <v>10</v>
      </c>
      <c r="B384" t="s">
        <v>5</v>
      </c>
      <c r="C384">
        <v>2026</v>
      </c>
      <c r="D384" t="s">
        <v>13</v>
      </c>
      <c r="E384">
        <v>587.70528713969418</v>
      </c>
    </row>
    <row r="385" spans="1:5" hidden="1" x14ac:dyDescent="0.35">
      <c r="A385" t="s">
        <v>10</v>
      </c>
      <c r="B385" t="s">
        <v>5</v>
      </c>
      <c r="C385">
        <v>2026</v>
      </c>
      <c r="D385" t="s">
        <v>12</v>
      </c>
      <c r="E385">
        <v>9147.6463324870547</v>
      </c>
    </row>
    <row r="386" spans="1:5" hidden="1" x14ac:dyDescent="0.35">
      <c r="A386" t="s">
        <v>10</v>
      </c>
      <c r="B386" t="s">
        <v>5</v>
      </c>
      <c r="C386">
        <v>2026</v>
      </c>
      <c r="D386" t="s">
        <v>11</v>
      </c>
      <c r="E386">
        <v>557.3784617330648</v>
      </c>
    </row>
    <row r="387" spans="1:5" hidden="1" x14ac:dyDescent="0.35">
      <c r="A387" t="s">
        <v>10</v>
      </c>
      <c r="B387" t="s">
        <v>5</v>
      </c>
      <c r="C387">
        <v>2026</v>
      </c>
      <c r="D387" t="s">
        <v>8</v>
      </c>
      <c r="E387">
        <v>28983.298578402391</v>
      </c>
    </row>
    <row r="388" spans="1:5" hidden="1" x14ac:dyDescent="0.35">
      <c r="A388" t="s">
        <v>10</v>
      </c>
      <c r="B388" t="s">
        <v>5</v>
      </c>
      <c r="C388">
        <v>2027</v>
      </c>
      <c r="D388" t="s">
        <v>6</v>
      </c>
      <c r="E388">
        <v>22192.22621013633</v>
      </c>
    </row>
    <row r="389" spans="1:5" hidden="1" x14ac:dyDescent="0.35">
      <c r="A389" t="s">
        <v>10</v>
      </c>
      <c r="B389" t="s">
        <v>5</v>
      </c>
      <c r="C389">
        <v>2027</v>
      </c>
      <c r="D389" t="s">
        <v>7</v>
      </c>
      <c r="E389">
        <v>866145.78883753635</v>
      </c>
    </row>
    <row r="390" spans="1:5" hidden="1" x14ac:dyDescent="0.35">
      <c r="A390" t="s">
        <v>10</v>
      </c>
      <c r="B390" t="s">
        <v>5</v>
      </c>
      <c r="C390">
        <v>2027</v>
      </c>
      <c r="D390" t="s">
        <v>13</v>
      </c>
      <c r="E390">
        <v>850.41647256917656</v>
      </c>
    </row>
    <row r="391" spans="1:5" hidden="1" x14ac:dyDescent="0.35">
      <c r="A391" t="s">
        <v>10</v>
      </c>
      <c r="B391" t="s">
        <v>5</v>
      </c>
      <c r="C391">
        <v>2027</v>
      </c>
      <c r="D391" t="s">
        <v>12</v>
      </c>
      <c r="E391">
        <v>13417.12031217203</v>
      </c>
    </row>
    <row r="392" spans="1:5" hidden="1" x14ac:dyDescent="0.35">
      <c r="A392" t="s">
        <v>10</v>
      </c>
      <c r="B392" t="s">
        <v>5</v>
      </c>
      <c r="C392">
        <v>2027</v>
      </c>
      <c r="D392" t="s">
        <v>11</v>
      </c>
      <c r="E392">
        <v>868.10490581569559</v>
      </c>
    </row>
    <row r="393" spans="1:5" hidden="1" x14ac:dyDescent="0.35">
      <c r="A393" t="s">
        <v>10</v>
      </c>
      <c r="B393" t="s">
        <v>5</v>
      </c>
      <c r="C393">
        <v>2027</v>
      </c>
      <c r="D393" t="s">
        <v>8</v>
      </c>
      <c r="E393">
        <v>38588.959034560583</v>
      </c>
    </row>
    <row r="394" spans="1:5" hidden="1" x14ac:dyDescent="0.35">
      <c r="A394" t="s">
        <v>10</v>
      </c>
      <c r="B394" t="s">
        <v>5</v>
      </c>
      <c r="C394">
        <v>2028</v>
      </c>
      <c r="D394" t="s">
        <v>6</v>
      </c>
      <c r="E394">
        <v>32337.908183628981</v>
      </c>
    </row>
    <row r="395" spans="1:5" hidden="1" x14ac:dyDescent="0.35">
      <c r="A395" t="s">
        <v>10</v>
      </c>
      <c r="B395" t="s">
        <v>5</v>
      </c>
      <c r="C395">
        <v>2028</v>
      </c>
      <c r="D395" t="s">
        <v>7</v>
      </c>
      <c r="E395">
        <v>898034.66394728445</v>
      </c>
    </row>
    <row r="396" spans="1:5" hidden="1" x14ac:dyDescent="0.35">
      <c r="A396" t="s">
        <v>10</v>
      </c>
      <c r="B396" t="s">
        <v>5</v>
      </c>
      <c r="C396">
        <v>2028</v>
      </c>
      <c r="D396" t="s">
        <v>13</v>
      </c>
      <c r="E396">
        <v>1144.5393976176119</v>
      </c>
    </row>
    <row r="397" spans="1:5" hidden="1" x14ac:dyDescent="0.35">
      <c r="A397" t="s">
        <v>10</v>
      </c>
      <c r="B397" t="s">
        <v>5</v>
      </c>
      <c r="C397">
        <v>2028</v>
      </c>
      <c r="D397" t="s">
        <v>12</v>
      </c>
      <c r="E397">
        <v>18320.51139623878</v>
      </c>
    </row>
    <row r="398" spans="1:5" hidden="1" x14ac:dyDescent="0.35">
      <c r="A398" t="s">
        <v>10</v>
      </c>
      <c r="B398" t="s">
        <v>5</v>
      </c>
      <c r="C398">
        <v>2028</v>
      </c>
      <c r="D398" t="s">
        <v>11</v>
      </c>
      <c r="E398">
        <v>1228.637478119615</v>
      </c>
    </row>
    <row r="399" spans="1:5" hidden="1" x14ac:dyDescent="0.35">
      <c r="A399" t="s">
        <v>10</v>
      </c>
      <c r="B399" t="s">
        <v>5</v>
      </c>
      <c r="C399">
        <v>2028</v>
      </c>
      <c r="D399" t="s">
        <v>8</v>
      </c>
      <c r="E399">
        <v>49184.449113354851</v>
      </c>
    </row>
    <row r="400" spans="1:5" hidden="1" x14ac:dyDescent="0.35">
      <c r="A400" t="s">
        <v>10</v>
      </c>
      <c r="B400" t="s">
        <v>5</v>
      </c>
      <c r="C400">
        <v>2029</v>
      </c>
      <c r="D400" t="s">
        <v>6</v>
      </c>
      <c r="E400">
        <v>43478.079891306123</v>
      </c>
    </row>
    <row r="401" spans="1:5" hidden="1" x14ac:dyDescent="0.35">
      <c r="A401" t="s">
        <v>10</v>
      </c>
      <c r="B401" t="s">
        <v>5</v>
      </c>
      <c r="C401">
        <v>2029</v>
      </c>
      <c r="D401" t="s">
        <v>7</v>
      </c>
      <c r="E401">
        <v>930438.48177642538</v>
      </c>
    </row>
    <row r="402" spans="1:5" hidden="1" x14ac:dyDescent="0.35">
      <c r="A402" t="s">
        <v>10</v>
      </c>
      <c r="B402" t="s">
        <v>5</v>
      </c>
      <c r="C402">
        <v>2029</v>
      </c>
      <c r="D402" t="s">
        <v>13</v>
      </c>
      <c r="E402">
        <v>1460.140190208509</v>
      </c>
    </row>
    <row r="403" spans="1:5" hidden="1" x14ac:dyDescent="0.35">
      <c r="A403" t="s">
        <v>10</v>
      </c>
      <c r="B403" t="s">
        <v>5</v>
      </c>
      <c r="C403">
        <v>2029</v>
      </c>
      <c r="D403" t="s">
        <v>12</v>
      </c>
      <c r="E403">
        <v>23611.939267515339</v>
      </c>
    </row>
    <row r="404" spans="1:5" hidden="1" x14ac:dyDescent="0.35">
      <c r="A404" t="s">
        <v>10</v>
      </c>
      <c r="B404" t="s">
        <v>5</v>
      </c>
      <c r="C404">
        <v>2029</v>
      </c>
      <c r="D404" t="s">
        <v>11</v>
      </c>
      <c r="E404">
        <v>1635.953671845974</v>
      </c>
    </row>
    <row r="405" spans="1:5" hidden="1" x14ac:dyDescent="0.35">
      <c r="A405" t="s">
        <v>10</v>
      </c>
      <c r="B405" t="s">
        <v>5</v>
      </c>
      <c r="C405">
        <v>2029</v>
      </c>
      <c r="D405" t="s">
        <v>8</v>
      </c>
      <c r="E405">
        <v>61092.529648571137</v>
      </c>
    </row>
    <row r="406" spans="1:5" hidden="1" x14ac:dyDescent="0.35">
      <c r="A406" t="s">
        <v>10</v>
      </c>
      <c r="B406" t="s">
        <v>5</v>
      </c>
      <c r="C406">
        <v>2030</v>
      </c>
      <c r="D406" t="s">
        <v>6</v>
      </c>
      <c r="E406">
        <v>55644.976100679487</v>
      </c>
    </row>
    <row r="407" spans="1:5" hidden="1" x14ac:dyDescent="0.35">
      <c r="A407" t="s">
        <v>10</v>
      </c>
      <c r="B407" t="s">
        <v>5</v>
      </c>
      <c r="C407">
        <v>2030</v>
      </c>
      <c r="D407" t="s">
        <v>7</v>
      </c>
      <c r="E407">
        <v>970850.53343822004</v>
      </c>
    </row>
    <row r="408" spans="1:5" hidden="1" x14ac:dyDescent="0.35">
      <c r="A408" t="s">
        <v>10</v>
      </c>
      <c r="B408" t="s">
        <v>5</v>
      </c>
      <c r="C408">
        <v>2030</v>
      </c>
      <c r="D408" t="s">
        <v>13</v>
      </c>
      <c r="E408">
        <v>1761.827543456644</v>
      </c>
    </row>
    <row r="409" spans="1:5" hidden="1" x14ac:dyDescent="0.35">
      <c r="A409" t="s">
        <v>10</v>
      </c>
      <c r="B409" t="s">
        <v>5</v>
      </c>
      <c r="C409">
        <v>2030</v>
      </c>
      <c r="D409" t="s">
        <v>12</v>
      </c>
      <c r="E409">
        <v>28805.97062985264</v>
      </c>
    </row>
    <row r="410" spans="1:5" hidden="1" x14ac:dyDescent="0.35">
      <c r="A410" t="s">
        <v>10</v>
      </c>
      <c r="B410" t="s">
        <v>5</v>
      </c>
      <c r="C410">
        <v>2030</v>
      </c>
      <c r="D410" t="s">
        <v>11</v>
      </c>
      <c r="E410">
        <v>2060.9784695548619</v>
      </c>
    </row>
    <row r="411" spans="1:5" hidden="1" x14ac:dyDescent="0.35">
      <c r="A411" t="s">
        <v>10</v>
      </c>
      <c r="B411" t="s">
        <v>5</v>
      </c>
      <c r="C411">
        <v>2030</v>
      </c>
      <c r="D411" t="s">
        <v>8</v>
      </c>
      <c r="E411">
        <v>74062.238097093548</v>
      </c>
    </row>
    <row r="412" spans="1:5" hidden="1" x14ac:dyDescent="0.35">
      <c r="A412" t="s">
        <v>10</v>
      </c>
      <c r="B412" t="s">
        <v>5</v>
      </c>
      <c r="C412">
        <v>2031</v>
      </c>
      <c r="D412" t="s">
        <v>6</v>
      </c>
      <c r="E412">
        <v>70618.965487702415</v>
      </c>
    </row>
    <row r="413" spans="1:5" hidden="1" x14ac:dyDescent="0.35">
      <c r="A413" t="s">
        <v>10</v>
      </c>
      <c r="B413" t="s">
        <v>5</v>
      </c>
      <c r="C413">
        <v>2031</v>
      </c>
      <c r="D413" t="s">
        <v>7</v>
      </c>
      <c r="E413">
        <v>1040489.0683717401</v>
      </c>
    </row>
    <row r="414" spans="1:5" hidden="1" x14ac:dyDescent="0.35">
      <c r="A414" t="s">
        <v>10</v>
      </c>
      <c r="B414" t="s">
        <v>5</v>
      </c>
      <c r="C414">
        <v>2031</v>
      </c>
      <c r="D414" t="s">
        <v>13</v>
      </c>
      <c r="E414">
        <v>2047.251252746828</v>
      </c>
    </row>
    <row r="415" spans="1:5" hidden="1" x14ac:dyDescent="0.35">
      <c r="A415" t="s">
        <v>10</v>
      </c>
      <c r="B415" t="s">
        <v>5</v>
      </c>
      <c r="C415">
        <v>2031</v>
      </c>
      <c r="D415" t="s">
        <v>12</v>
      </c>
      <c r="E415">
        <v>34709.732425890121</v>
      </c>
    </row>
    <row r="416" spans="1:5" hidden="1" x14ac:dyDescent="0.35">
      <c r="A416" t="s">
        <v>10</v>
      </c>
      <c r="B416" t="s">
        <v>5</v>
      </c>
      <c r="C416">
        <v>2031</v>
      </c>
      <c r="D416" t="s">
        <v>11</v>
      </c>
      <c r="E416">
        <v>2554.0345257736349</v>
      </c>
    </row>
    <row r="417" spans="1:5" hidden="1" x14ac:dyDescent="0.35">
      <c r="A417" t="s">
        <v>10</v>
      </c>
      <c r="B417" t="s">
        <v>5</v>
      </c>
      <c r="C417">
        <v>2031</v>
      </c>
      <c r="D417" t="s">
        <v>8</v>
      </c>
      <c r="E417">
        <v>88691.707094776124</v>
      </c>
    </row>
    <row r="418" spans="1:5" hidden="1" x14ac:dyDescent="0.35">
      <c r="A418" t="s">
        <v>10</v>
      </c>
      <c r="B418" t="s">
        <v>5</v>
      </c>
      <c r="C418">
        <v>2032</v>
      </c>
      <c r="D418" t="s">
        <v>6</v>
      </c>
      <c r="E418">
        <v>87567.768233932453</v>
      </c>
    </row>
    <row r="419" spans="1:5" hidden="1" x14ac:dyDescent="0.35">
      <c r="A419" t="s">
        <v>10</v>
      </c>
      <c r="B419" t="s">
        <v>5</v>
      </c>
      <c r="C419">
        <v>2032</v>
      </c>
      <c r="D419" t="s">
        <v>7</v>
      </c>
      <c r="E419">
        <v>1117400.391829256</v>
      </c>
    </row>
    <row r="420" spans="1:5" hidden="1" x14ac:dyDescent="0.35">
      <c r="A420" t="s">
        <v>10</v>
      </c>
      <c r="B420" t="s">
        <v>5</v>
      </c>
      <c r="C420">
        <v>2032</v>
      </c>
      <c r="D420" t="s">
        <v>13</v>
      </c>
      <c r="E420">
        <v>2325.6357382728388</v>
      </c>
    </row>
    <row r="421" spans="1:5" hidden="1" x14ac:dyDescent="0.35">
      <c r="A421" t="s">
        <v>10</v>
      </c>
      <c r="B421" t="s">
        <v>5</v>
      </c>
      <c r="C421">
        <v>2032</v>
      </c>
      <c r="D421" t="s">
        <v>12</v>
      </c>
      <c r="E421">
        <v>41006.910896196001</v>
      </c>
    </row>
    <row r="422" spans="1:5" hidden="1" x14ac:dyDescent="0.35">
      <c r="A422" t="s">
        <v>10</v>
      </c>
      <c r="B422" t="s">
        <v>5</v>
      </c>
      <c r="C422">
        <v>2032</v>
      </c>
      <c r="D422" t="s">
        <v>11</v>
      </c>
      <c r="E422">
        <v>3088.6760232568031</v>
      </c>
    </row>
    <row r="423" spans="1:5" hidden="1" x14ac:dyDescent="0.35">
      <c r="A423" t="s">
        <v>10</v>
      </c>
      <c r="B423" t="s">
        <v>5</v>
      </c>
      <c r="C423">
        <v>2032</v>
      </c>
      <c r="D423" t="s">
        <v>8</v>
      </c>
      <c r="E423">
        <v>103780.1262842799</v>
      </c>
    </row>
    <row r="424" spans="1:5" hidden="1" x14ac:dyDescent="0.35">
      <c r="A424" t="s">
        <v>10</v>
      </c>
      <c r="B424" t="s">
        <v>5</v>
      </c>
      <c r="C424">
        <v>2033</v>
      </c>
      <c r="D424" t="s">
        <v>6</v>
      </c>
      <c r="E424">
        <v>106145.67716186729</v>
      </c>
    </row>
    <row r="425" spans="1:5" hidden="1" x14ac:dyDescent="0.35">
      <c r="A425" t="s">
        <v>10</v>
      </c>
      <c r="B425" t="s">
        <v>5</v>
      </c>
      <c r="C425">
        <v>2033</v>
      </c>
      <c r="D425" t="s">
        <v>7</v>
      </c>
      <c r="E425">
        <v>1193828.75003416</v>
      </c>
    </row>
    <row r="426" spans="1:5" hidden="1" x14ac:dyDescent="0.35">
      <c r="A426" t="s">
        <v>10</v>
      </c>
      <c r="B426" t="s">
        <v>5</v>
      </c>
      <c r="C426">
        <v>2033</v>
      </c>
      <c r="D426" t="s">
        <v>13</v>
      </c>
      <c r="E426">
        <v>2578.831941326835</v>
      </c>
    </row>
    <row r="427" spans="1:5" hidden="1" x14ac:dyDescent="0.35">
      <c r="A427" t="s">
        <v>10</v>
      </c>
      <c r="B427" t="s">
        <v>5</v>
      </c>
      <c r="C427">
        <v>2033</v>
      </c>
      <c r="D427" t="s">
        <v>12</v>
      </c>
      <c r="E427">
        <v>47448.642295670557</v>
      </c>
    </row>
    <row r="428" spans="1:5" hidden="1" x14ac:dyDescent="0.35">
      <c r="A428" t="s">
        <v>10</v>
      </c>
      <c r="B428" t="s">
        <v>5</v>
      </c>
      <c r="C428">
        <v>2033</v>
      </c>
      <c r="D428" t="s">
        <v>11</v>
      </c>
      <c r="E428">
        <v>3651.300473373256</v>
      </c>
    </row>
    <row r="429" spans="1:5" hidden="1" x14ac:dyDescent="0.35">
      <c r="A429" t="s">
        <v>10</v>
      </c>
      <c r="B429" t="s">
        <v>5</v>
      </c>
      <c r="C429">
        <v>2033</v>
      </c>
      <c r="D429" t="s">
        <v>8</v>
      </c>
      <c r="E429">
        <v>118786.33724341739</v>
      </c>
    </row>
    <row r="430" spans="1:5" hidden="1" x14ac:dyDescent="0.35">
      <c r="A430" t="s">
        <v>10</v>
      </c>
      <c r="B430" t="s">
        <v>5</v>
      </c>
      <c r="C430">
        <v>2034</v>
      </c>
      <c r="D430" t="s">
        <v>6</v>
      </c>
      <c r="E430">
        <v>125925.583305996</v>
      </c>
    </row>
    <row r="431" spans="1:5" hidden="1" x14ac:dyDescent="0.35">
      <c r="A431" t="s">
        <v>10</v>
      </c>
      <c r="B431" t="s">
        <v>5</v>
      </c>
      <c r="C431">
        <v>2034</v>
      </c>
      <c r="D431" t="s">
        <v>7</v>
      </c>
      <c r="E431">
        <v>1272164.6516711509</v>
      </c>
    </row>
    <row r="432" spans="1:5" hidden="1" x14ac:dyDescent="0.35">
      <c r="A432" t="s">
        <v>10</v>
      </c>
      <c r="B432" t="s">
        <v>5</v>
      </c>
      <c r="C432">
        <v>2034</v>
      </c>
      <c r="D432" t="s">
        <v>13</v>
      </c>
      <c r="E432">
        <v>2790.9424655241191</v>
      </c>
    </row>
    <row r="433" spans="1:5" hidden="1" x14ac:dyDescent="0.35">
      <c r="A433" t="s">
        <v>10</v>
      </c>
      <c r="B433" t="s">
        <v>5</v>
      </c>
      <c r="C433">
        <v>2034</v>
      </c>
      <c r="D433" t="s">
        <v>12</v>
      </c>
      <c r="E433">
        <v>53789.771026547613</v>
      </c>
    </row>
    <row r="434" spans="1:5" hidden="1" x14ac:dyDescent="0.35">
      <c r="A434" t="s">
        <v>10</v>
      </c>
      <c r="B434" t="s">
        <v>5</v>
      </c>
      <c r="C434">
        <v>2034</v>
      </c>
      <c r="D434" t="s">
        <v>11</v>
      </c>
      <c r="E434">
        <v>4227.3945281288607</v>
      </c>
    </row>
    <row r="435" spans="1:5" hidden="1" x14ac:dyDescent="0.35">
      <c r="A435" t="s">
        <v>10</v>
      </c>
      <c r="B435" t="s">
        <v>5</v>
      </c>
      <c r="C435">
        <v>2034</v>
      </c>
      <c r="D435" t="s">
        <v>8</v>
      </c>
      <c r="E435">
        <v>133155.21418504749</v>
      </c>
    </row>
    <row r="436" spans="1:5" hidden="1" x14ac:dyDescent="0.35">
      <c r="A436" t="s">
        <v>10</v>
      </c>
      <c r="B436" t="s">
        <v>5</v>
      </c>
      <c r="C436">
        <v>2035</v>
      </c>
      <c r="D436" t="s">
        <v>6</v>
      </c>
      <c r="E436">
        <v>144963.80013112261</v>
      </c>
    </row>
    <row r="437" spans="1:5" hidden="1" x14ac:dyDescent="0.35">
      <c r="A437" t="s">
        <v>10</v>
      </c>
      <c r="B437" t="s">
        <v>5</v>
      </c>
      <c r="C437">
        <v>2035</v>
      </c>
      <c r="D437" t="s">
        <v>7</v>
      </c>
      <c r="E437">
        <v>1323110.8219487551</v>
      </c>
    </row>
    <row r="438" spans="1:5" hidden="1" x14ac:dyDescent="0.35">
      <c r="A438" t="s">
        <v>10</v>
      </c>
      <c r="B438" t="s">
        <v>5</v>
      </c>
      <c r="C438">
        <v>2035</v>
      </c>
      <c r="D438" t="s">
        <v>13</v>
      </c>
      <c r="E438">
        <v>2917.7788379064118</v>
      </c>
    </row>
    <row r="439" spans="1:5" hidden="1" x14ac:dyDescent="0.35">
      <c r="A439" t="s">
        <v>10</v>
      </c>
      <c r="B439" t="s">
        <v>5</v>
      </c>
      <c r="C439">
        <v>2035</v>
      </c>
      <c r="D439" t="s">
        <v>12</v>
      </c>
      <c r="E439">
        <v>59165.940947355157</v>
      </c>
    </row>
    <row r="440" spans="1:5" hidden="1" x14ac:dyDescent="0.35">
      <c r="A440" t="s">
        <v>10</v>
      </c>
      <c r="B440" t="s">
        <v>5</v>
      </c>
      <c r="C440">
        <v>2035</v>
      </c>
      <c r="D440" t="s">
        <v>11</v>
      </c>
      <c r="E440">
        <v>4759.1210340430353</v>
      </c>
    </row>
    <row r="441" spans="1:5" hidden="1" x14ac:dyDescent="0.35">
      <c r="A441" t="s">
        <v>10</v>
      </c>
      <c r="B441" t="s">
        <v>5</v>
      </c>
      <c r="C441">
        <v>2035</v>
      </c>
      <c r="D441" t="s">
        <v>8</v>
      </c>
      <c r="E441">
        <v>147281.28047052419</v>
      </c>
    </row>
    <row r="442" spans="1:5" hidden="1" x14ac:dyDescent="0.35">
      <c r="A442" t="s">
        <v>10</v>
      </c>
      <c r="B442" t="s">
        <v>5</v>
      </c>
      <c r="C442">
        <v>2036</v>
      </c>
      <c r="D442" t="s">
        <v>6</v>
      </c>
      <c r="E442">
        <v>165496.51829818229</v>
      </c>
    </row>
    <row r="443" spans="1:5" hidden="1" x14ac:dyDescent="0.35">
      <c r="A443" t="s">
        <v>10</v>
      </c>
      <c r="B443" t="s">
        <v>5</v>
      </c>
      <c r="C443">
        <v>2036</v>
      </c>
      <c r="D443" t="s">
        <v>7</v>
      </c>
      <c r="E443">
        <v>1361946.7246063449</v>
      </c>
    </row>
    <row r="444" spans="1:5" hidden="1" x14ac:dyDescent="0.35">
      <c r="A444" t="s">
        <v>10</v>
      </c>
      <c r="B444" t="s">
        <v>5</v>
      </c>
      <c r="C444">
        <v>2036</v>
      </c>
      <c r="D444" t="s">
        <v>13</v>
      </c>
      <c r="E444">
        <v>3028.4346514382819</v>
      </c>
    </row>
    <row r="445" spans="1:5" hidden="1" x14ac:dyDescent="0.35">
      <c r="A445" t="s">
        <v>10</v>
      </c>
      <c r="B445" t="s">
        <v>5</v>
      </c>
      <c r="C445">
        <v>2036</v>
      </c>
      <c r="D445" t="s">
        <v>12</v>
      </c>
      <c r="E445">
        <v>64946.06057918453</v>
      </c>
    </row>
    <row r="446" spans="1:5" hidden="1" x14ac:dyDescent="0.35">
      <c r="A446" t="s">
        <v>10</v>
      </c>
      <c r="B446" t="s">
        <v>5</v>
      </c>
      <c r="C446">
        <v>2036</v>
      </c>
      <c r="D446" t="s">
        <v>11</v>
      </c>
      <c r="E446">
        <v>5249.778261831415</v>
      </c>
    </row>
    <row r="447" spans="1:5" hidden="1" x14ac:dyDescent="0.35">
      <c r="A447" t="s">
        <v>10</v>
      </c>
      <c r="B447" t="s">
        <v>5</v>
      </c>
      <c r="C447">
        <v>2036</v>
      </c>
      <c r="D447" t="s">
        <v>8</v>
      </c>
      <c r="E447">
        <v>159552.34537882611</v>
      </c>
    </row>
    <row r="448" spans="1:5" hidden="1" x14ac:dyDescent="0.35">
      <c r="A448" t="s">
        <v>10</v>
      </c>
      <c r="B448" t="s">
        <v>5</v>
      </c>
      <c r="C448">
        <v>2037</v>
      </c>
      <c r="D448" t="s">
        <v>6</v>
      </c>
      <c r="E448">
        <v>186507.43822649619</v>
      </c>
    </row>
    <row r="449" spans="1:5" hidden="1" x14ac:dyDescent="0.35">
      <c r="A449" t="s">
        <v>10</v>
      </c>
      <c r="B449" t="s">
        <v>5</v>
      </c>
      <c r="C449">
        <v>2037</v>
      </c>
      <c r="D449" t="s">
        <v>7</v>
      </c>
      <c r="E449">
        <v>1402619.85449987</v>
      </c>
    </row>
    <row r="450" spans="1:5" hidden="1" x14ac:dyDescent="0.35">
      <c r="A450" t="s">
        <v>10</v>
      </c>
      <c r="B450" t="s">
        <v>5</v>
      </c>
      <c r="C450">
        <v>2037</v>
      </c>
      <c r="D450" t="s">
        <v>13</v>
      </c>
      <c r="E450">
        <v>3080.4826094202749</v>
      </c>
    </row>
    <row r="451" spans="1:5" hidden="1" x14ac:dyDescent="0.35">
      <c r="A451" t="s">
        <v>10</v>
      </c>
      <c r="B451" t="s">
        <v>5</v>
      </c>
      <c r="C451">
        <v>2037</v>
      </c>
      <c r="D451" t="s">
        <v>12</v>
      </c>
      <c r="E451">
        <v>70294.070325969486</v>
      </c>
    </row>
    <row r="452" spans="1:5" hidden="1" x14ac:dyDescent="0.35">
      <c r="A452" t="s">
        <v>10</v>
      </c>
      <c r="B452" t="s">
        <v>5</v>
      </c>
      <c r="C452">
        <v>2037</v>
      </c>
      <c r="D452" t="s">
        <v>11</v>
      </c>
      <c r="E452">
        <v>5732.0456775822131</v>
      </c>
    </row>
    <row r="453" spans="1:5" hidden="1" x14ac:dyDescent="0.35">
      <c r="A453" t="s">
        <v>10</v>
      </c>
      <c r="B453" t="s">
        <v>5</v>
      </c>
      <c r="C453">
        <v>2037</v>
      </c>
      <c r="D453" t="s">
        <v>8</v>
      </c>
      <c r="E453">
        <v>170535.0212582692</v>
      </c>
    </row>
    <row r="454" spans="1:5" hidden="1" x14ac:dyDescent="0.35">
      <c r="A454" t="s">
        <v>10</v>
      </c>
      <c r="B454" t="s">
        <v>5</v>
      </c>
      <c r="C454">
        <v>2038</v>
      </c>
      <c r="D454" t="s">
        <v>6</v>
      </c>
      <c r="E454">
        <v>207519.60886178669</v>
      </c>
    </row>
    <row r="455" spans="1:5" hidden="1" x14ac:dyDescent="0.35">
      <c r="A455" t="s">
        <v>10</v>
      </c>
      <c r="B455" t="s">
        <v>5</v>
      </c>
      <c r="C455">
        <v>2038</v>
      </c>
      <c r="D455" t="s">
        <v>7</v>
      </c>
      <c r="E455">
        <v>1440730.5458499959</v>
      </c>
    </row>
    <row r="456" spans="1:5" hidden="1" x14ac:dyDescent="0.35">
      <c r="A456" t="s">
        <v>10</v>
      </c>
      <c r="B456" t="s">
        <v>5</v>
      </c>
      <c r="C456">
        <v>2038</v>
      </c>
      <c r="D456" t="s">
        <v>13</v>
      </c>
      <c r="E456">
        <v>3068.3631462626749</v>
      </c>
    </row>
    <row r="457" spans="1:5" hidden="1" x14ac:dyDescent="0.35">
      <c r="A457" t="s">
        <v>10</v>
      </c>
      <c r="B457" t="s">
        <v>5</v>
      </c>
      <c r="C457">
        <v>2038</v>
      </c>
      <c r="D457" t="s">
        <v>12</v>
      </c>
      <c r="E457">
        <v>75048.523727678054</v>
      </c>
    </row>
    <row r="458" spans="1:5" hidden="1" x14ac:dyDescent="0.35">
      <c r="A458" t="s">
        <v>10</v>
      </c>
      <c r="B458" t="s">
        <v>5</v>
      </c>
      <c r="C458">
        <v>2038</v>
      </c>
      <c r="D458" t="s">
        <v>11</v>
      </c>
      <c r="E458">
        <v>6193.6061432774541</v>
      </c>
    </row>
    <row r="459" spans="1:5" hidden="1" x14ac:dyDescent="0.35">
      <c r="A459" t="s">
        <v>10</v>
      </c>
      <c r="B459" t="s">
        <v>5</v>
      </c>
      <c r="C459">
        <v>2038</v>
      </c>
      <c r="D459" t="s">
        <v>8</v>
      </c>
      <c r="E459">
        <v>180012.93508836121</v>
      </c>
    </row>
    <row r="460" spans="1:5" hidden="1" x14ac:dyDescent="0.35">
      <c r="A460" t="s">
        <v>10</v>
      </c>
      <c r="B460" t="s">
        <v>5</v>
      </c>
      <c r="C460">
        <v>2039</v>
      </c>
      <c r="D460" t="s">
        <v>6</v>
      </c>
      <c r="E460">
        <v>228473.28301366579</v>
      </c>
    </row>
    <row r="461" spans="1:5" hidden="1" x14ac:dyDescent="0.35">
      <c r="A461" t="s">
        <v>10</v>
      </c>
      <c r="B461" t="s">
        <v>5</v>
      </c>
      <c r="C461">
        <v>2039</v>
      </c>
      <c r="D461" t="s">
        <v>7</v>
      </c>
      <c r="E461">
        <v>1479276.035916927</v>
      </c>
    </row>
    <row r="462" spans="1:5" hidden="1" x14ac:dyDescent="0.35">
      <c r="A462" t="s">
        <v>10</v>
      </c>
      <c r="B462" t="s">
        <v>5</v>
      </c>
      <c r="C462">
        <v>2039</v>
      </c>
      <c r="D462" t="s">
        <v>13</v>
      </c>
      <c r="E462">
        <v>2995.2738382071152</v>
      </c>
    </row>
    <row r="463" spans="1:5" hidden="1" x14ac:dyDescent="0.35">
      <c r="A463" t="s">
        <v>10</v>
      </c>
      <c r="B463" t="s">
        <v>5</v>
      </c>
      <c r="C463">
        <v>2039</v>
      </c>
      <c r="D463" t="s">
        <v>12</v>
      </c>
      <c r="E463">
        <v>79224.408806461855</v>
      </c>
    </row>
    <row r="464" spans="1:5" hidden="1" x14ac:dyDescent="0.35">
      <c r="A464" t="s">
        <v>10</v>
      </c>
      <c r="B464" t="s">
        <v>5</v>
      </c>
      <c r="C464">
        <v>2039</v>
      </c>
      <c r="D464" t="s">
        <v>11</v>
      </c>
      <c r="E464">
        <v>6634.0960399936675</v>
      </c>
    </row>
    <row r="465" spans="1:5" hidden="1" x14ac:dyDescent="0.35">
      <c r="A465" t="s">
        <v>10</v>
      </c>
      <c r="B465" t="s">
        <v>5</v>
      </c>
      <c r="C465">
        <v>2039</v>
      </c>
      <c r="D465" t="s">
        <v>8</v>
      </c>
      <c r="E465">
        <v>187945.44464517839</v>
      </c>
    </row>
    <row r="466" spans="1:5" hidden="1" x14ac:dyDescent="0.35">
      <c r="A466" t="s">
        <v>10</v>
      </c>
      <c r="B466" t="s">
        <v>5</v>
      </c>
      <c r="C466">
        <v>2040</v>
      </c>
      <c r="D466" t="s">
        <v>6</v>
      </c>
      <c r="E466">
        <v>249374.18781108601</v>
      </c>
    </row>
    <row r="467" spans="1:5" hidden="1" x14ac:dyDescent="0.35">
      <c r="A467" t="s">
        <v>10</v>
      </c>
      <c r="B467" t="s">
        <v>5</v>
      </c>
      <c r="C467">
        <v>2040</v>
      </c>
      <c r="D467" t="s">
        <v>7</v>
      </c>
      <c r="E467">
        <v>1514395.2601676511</v>
      </c>
    </row>
    <row r="468" spans="1:5" hidden="1" x14ac:dyDescent="0.35">
      <c r="A468" t="s">
        <v>10</v>
      </c>
      <c r="B468" t="s">
        <v>5</v>
      </c>
      <c r="C468">
        <v>2040</v>
      </c>
      <c r="D468" t="s">
        <v>13</v>
      </c>
      <c r="E468">
        <v>2865.2791135592711</v>
      </c>
    </row>
    <row r="469" spans="1:5" hidden="1" x14ac:dyDescent="0.35">
      <c r="A469" t="s">
        <v>10</v>
      </c>
      <c r="B469" t="s">
        <v>5</v>
      </c>
      <c r="C469">
        <v>2040</v>
      </c>
      <c r="D469" t="s">
        <v>12</v>
      </c>
      <c r="E469">
        <v>82859.956955531103</v>
      </c>
    </row>
    <row r="470" spans="1:5" hidden="1" x14ac:dyDescent="0.35">
      <c r="A470" t="s">
        <v>10</v>
      </c>
      <c r="B470" t="s">
        <v>5</v>
      </c>
      <c r="C470">
        <v>2040</v>
      </c>
      <c r="D470" t="s">
        <v>11</v>
      </c>
      <c r="E470">
        <v>7054.8876969569083</v>
      </c>
    </row>
    <row r="471" spans="1:5" hidden="1" x14ac:dyDescent="0.35">
      <c r="A471" t="s">
        <v>10</v>
      </c>
      <c r="B471" t="s">
        <v>5</v>
      </c>
      <c r="C471">
        <v>2040</v>
      </c>
      <c r="D471" t="s">
        <v>8</v>
      </c>
      <c r="E471">
        <v>194473.94809899441</v>
      </c>
    </row>
    <row r="472" spans="1:5" hidden="1" x14ac:dyDescent="0.35">
      <c r="A472" t="s">
        <v>10</v>
      </c>
      <c r="B472" t="s">
        <v>5</v>
      </c>
      <c r="C472">
        <v>2041</v>
      </c>
      <c r="D472" t="s">
        <v>6</v>
      </c>
      <c r="E472">
        <v>261240.11428582991</v>
      </c>
    </row>
    <row r="473" spans="1:5" hidden="1" x14ac:dyDescent="0.35">
      <c r="A473" t="s">
        <v>10</v>
      </c>
      <c r="B473" t="s">
        <v>5</v>
      </c>
      <c r="C473">
        <v>2041</v>
      </c>
      <c r="D473" t="s">
        <v>7</v>
      </c>
      <c r="E473">
        <v>1567767.6219469409</v>
      </c>
    </row>
    <row r="474" spans="1:5" hidden="1" x14ac:dyDescent="0.35">
      <c r="A474" t="s">
        <v>10</v>
      </c>
      <c r="B474" t="s">
        <v>5</v>
      </c>
      <c r="C474">
        <v>2041</v>
      </c>
      <c r="D474" t="s">
        <v>13</v>
      </c>
      <c r="E474">
        <v>2894.0175550372701</v>
      </c>
    </row>
    <row r="475" spans="1:5" hidden="1" x14ac:dyDescent="0.35">
      <c r="A475" t="s">
        <v>10</v>
      </c>
      <c r="B475" t="s">
        <v>5</v>
      </c>
      <c r="C475">
        <v>2041</v>
      </c>
      <c r="D475" t="s">
        <v>12</v>
      </c>
      <c r="E475">
        <v>87378.038518129746</v>
      </c>
    </row>
    <row r="476" spans="1:5" hidden="1" x14ac:dyDescent="0.35">
      <c r="A476" t="s">
        <v>10</v>
      </c>
      <c r="B476" t="s">
        <v>5</v>
      </c>
      <c r="C476">
        <v>2041</v>
      </c>
      <c r="D476" t="s">
        <v>11</v>
      </c>
      <c r="E476">
        <v>7453.9214122918156</v>
      </c>
    </row>
    <row r="477" spans="1:5" hidden="1" x14ac:dyDescent="0.35">
      <c r="A477" t="s">
        <v>10</v>
      </c>
      <c r="B477" t="s">
        <v>5</v>
      </c>
      <c r="C477">
        <v>2041</v>
      </c>
      <c r="D477" t="s">
        <v>8</v>
      </c>
      <c r="E477">
        <v>205772.6639694176</v>
      </c>
    </row>
    <row r="478" spans="1:5" hidden="1" x14ac:dyDescent="0.35">
      <c r="A478" t="s">
        <v>10</v>
      </c>
      <c r="B478" t="s">
        <v>5</v>
      </c>
      <c r="C478">
        <v>2042</v>
      </c>
      <c r="D478" t="s">
        <v>6</v>
      </c>
      <c r="E478">
        <v>271385.0771376107</v>
      </c>
    </row>
    <row r="479" spans="1:5" hidden="1" x14ac:dyDescent="0.35">
      <c r="A479" t="s">
        <v>10</v>
      </c>
      <c r="B479" t="s">
        <v>5</v>
      </c>
      <c r="C479">
        <v>2042</v>
      </c>
      <c r="D479" t="s">
        <v>7</v>
      </c>
      <c r="E479">
        <v>1618689.909020158</v>
      </c>
    </row>
    <row r="480" spans="1:5" hidden="1" x14ac:dyDescent="0.35">
      <c r="A480" t="s">
        <v>10</v>
      </c>
      <c r="B480" t="s">
        <v>5</v>
      </c>
      <c r="C480">
        <v>2042</v>
      </c>
      <c r="D480" t="s">
        <v>13</v>
      </c>
      <c r="E480">
        <v>2890.9037819496762</v>
      </c>
    </row>
    <row r="481" spans="1:5" hidden="1" x14ac:dyDescent="0.35">
      <c r="A481" t="s">
        <v>10</v>
      </c>
      <c r="B481" t="s">
        <v>5</v>
      </c>
      <c r="C481">
        <v>2042</v>
      </c>
      <c r="D481" t="s">
        <v>12</v>
      </c>
      <c r="E481">
        <v>91376.290064284825</v>
      </c>
    </row>
    <row r="482" spans="1:5" hidden="1" x14ac:dyDescent="0.35">
      <c r="A482" t="s">
        <v>10</v>
      </c>
      <c r="B482" t="s">
        <v>5</v>
      </c>
      <c r="C482">
        <v>2042</v>
      </c>
      <c r="D482" t="s">
        <v>11</v>
      </c>
      <c r="E482">
        <v>7819.291988355475</v>
      </c>
    </row>
    <row r="483" spans="1:5" hidden="1" x14ac:dyDescent="0.35">
      <c r="A483" t="s">
        <v>10</v>
      </c>
      <c r="B483" t="s">
        <v>5</v>
      </c>
      <c r="C483">
        <v>2042</v>
      </c>
      <c r="D483" t="s">
        <v>8</v>
      </c>
      <c r="E483">
        <v>216187.13672137441</v>
      </c>
    </row>
    <row r="484" spans="1:5" hidden="1" x14ac:dyDescent="0.35">
      <c r="A484" t="s">
        <v>10</v>
      </c>
      <c r="B484" t="s">
        <v>5</v>
      </c>
      <c r="C484">
        <v>2043</v>
      </c>
      <c r="D484" t="s">
        <v>6</v>
      </c>
      <c r="E484">
        <v>280249.092663783</v>
      </c>
    </row>
    <row r="485" spans="1:5" hidden="1" x14ac:dyDescent="0.35">
      <c r="A485" t="s">
        <v>10</v>
      </c>
      <c r="B485" t="s">
        <v>5</v>
      </c>
      <c r="C485">
        <v>2043</v>
      </c>
      <c r="D485" t="s">
        <v>7</v>
      </c>
      <c r="E485">
        <v>1670673.4023852269</v>
      </c>
    </row>
    <row r="486" spans="1:5" hidden="1" x14ac:dyDescent="0.35">
      <c r="A486" t="s">
        <v>10</v>
      </c>
      <c r="B486" t="s">
        <v>5</v>
      </c>
      <c r="C486">
        <v>2043</v>
      </c>
      <c r="D486" t="s">
        <v>13</v>
      </c>
      <c r="E486">
        <v>2862.27811762482</v>
      </c>
    </row>
    <row r="487" spans="1:5" hidden="1" x14ac:dyDescent="0.35">
      <c r="A487" t="s">
        <v>10</v>
      </c>
      <c r="B487" t="s">
        <v>5</v>
      </c>
      <c r="C487">
        <v>2043</v>
      </c>
      <c r="D487" t="s">
        <v>12</v>
      </c>
      <c r="E487">
        <v>94999.902820815434</v>
      </c>
    </row>
    <row r="488" spans="1:5" hidden="1" x14ac:dyDescent="0.35">
      <c r="A488" t="s">
        <v>10</v>
      </c>
      <c r="B488" t="s">
        <v>5</v>
      </c>
      <c r="C488">
        <v>2043</v>
      </c>
      <c r="D488" t="s">
        <v>11</v>
      </c>
      <c r="E488">
        <v>8161.4984685486816</v>
      </c>
    </row>
    <row r="489" spans="1:5" hidden="1" x14ac:dyDescent="0.35">
      <c r="A489" t="s">
        <v>10</v>
      </c>
      <c r="B489" t="s">
        <v>5</v>
      </c>
      <c r="C489">
        <v>2043</v>
      </c>
      <c r="D489" t="s">
        <v>8</v>
      </c>
      <c r="E489">
        <v>225753.8476525241</v>
      </c>
    </row>
    <row r="490" spans="1:5" hidden="1" x14ac:dyDescent="0.35">
      <c r="A490" t="s">
        <v>10</v>
      </c>
      <c r="B490" t="s">
        <v>5</v>
      </c>
      <c r="C490">
        <v>2044</v>
      </c>
      <c r="D490" t="s">
        <v>6</v>
      </c>
      <c r="E490">
        <v>287896.11000703461</v>
      </c>
    </row>
    <row r="491" spans="1:5" hidden="1" x14ac:dyDescent="0.35">
      <c r="A491" t="s">
        <v>10</v>
      </c>
      <c r="B491" t="s">
        <v>5</v>
      </c>
      <c r="C491">
        <v>2044</v>
      </c>
      <c r="D491" t="s">
        <v>7</v>
      </c>
      <c r="E491">
        <v>1723074.898682439</v>
      </c>
    </row>
    <row r="492" spans="1:5" hidden="1" x14ac:dyDescent="0.35">
      <c r="A492" t="s">
        <v>10</v>
      </c>
      <c r="B492" t="s">
        <v>5</v>
      </c>
      <c r="C492">
        <v>2044</v>
      </c>
      <c r="D492" t="s">
        <v>13</v>
      </c>
      <c r="E492">
        <v>2809.874973274691</v>
      </c>
    </row>
    <row r="493" spans="1:5" hidden="1" x14ac:dyDescent="0.35">
      <c r="A493" t="s">
        <v>10</v>
      </c>
      <c r="B493" t="s">
        <v>5</v>
      </c>
      <c r="C493">
        <v>2044</v>
      </c>
      <c r="D493" t="s">
        <v>12</v>
      </c>
      <c r="E493">
        <v>98261.826629875824</v>
      </c>
    </row>
    <row r="494" spans="1:5" hidden="1" x14ac:dyDescent="0.35">
      <c r="A494" t="s">
        <v>10</v>
      </c>
      <c r="B494" t="s">
        <v>5</v>
      </c>
      <c r="C494">
        <v>2044</v>
      </c>
      <c r="D494" t="s">
        <v>11</v>
      </c>
      <c r="E494">
        <v>8480.9757459360007</v>
      </c>
    </row>
    <row r="495" spans="1:5" hidden="1" x14ac:dyDescent="0.35">
      <c r="A495" t="s">
        <v>10</v>
      </c>
      <c r="B495" t="s">
        <v>5</v>
      </c>
      <c r="C495">
        <v>2044</v>
      </c>
      <c r="D495" t="s">
        <v>8</v>
      </c>
      <c r="E495">
        <v>234717.87047225531</v>
      </c>
    </row>
    <row r="496" spans="1:5" hidden="1" x14ac:dyDescent="0.35">
      <c r="A496" t="s">
        <v>10</v>
      </c>
      <c r="B496" t="s">
        <v>5</v>
      </c>
      <c r="C496">
        <v>2045</v>
      </c>
      <c r="D496" t="s">
        <v>6</v>
      </c>
      <c r="E496">
        <v>294169.31482644973</v>
      </c>
    </row>
    <row r="497" spans="1:5" hidden="1" x14ac:dyDescent="0.35">
      <c r="A497" t="s">
        <v>10</v>
      </c>
      <c r="B497" t="s">
        <v>5</v>
      </c>
      <c r="C497">
        <v>2045</v>
      </c>
      <c r="D497" t="s">
        <v>7</v>
      </c>
      <c r="E497">
        <v>1771351.8745422291</v>
      </c>
    </row>
    <row r="498" spans="1:5" hidden="1" x14ac:dyDescent="0.35">
      <c r="A498" t="s">
        <v>10</v>
      </c>
      <c r="B498" t="s">
        <v>5</v>
      </c>
      <c r="C498">
        <v>2045</v>
      </c>
      <c r="D498" t="s">
        <v>13</v>
      </c>
      <c r="E498">
        <v>2733.6026746399152</v>
      </c>
    </row>
    <row r="499" spans="1:5" hidden="1" x14ac:dyDescent="0.35">
      <c r="A499" t="s">
        <v>10</v>
      </c>
      <c r="B499" t="s">
        <v>5</v>
      </c>
      <c r="C499">
        <v>2045</v>
      </c>
      <c r="D499" t="s">
        <v>12</v>
      </c>
      <c r="E499">
        <v>101108.7429889249</v>
      </c>
    </row>
    <row r="500" spans="1:5" hidden="1" x14ac:dyDescent="0.35">
      <c r="A500" t="s">
        <v>10</v>
      </c>
      <c r="B500" t="s">
        <v>5</v>
      </c>
      <c r="C500">
        <v>2045</v>
      </c>
      <c r="D500" t="s">
        <v>11</v>
      </c>
      <c r="E500">
        <v>8772.9085878634942</v>
      </c>
    </row>
    <row r="501" spans="1:5" hidden="1" x14ac:dyDescent="0.35">
      <c r="A501" t="s">
        <v>10</v>
      </c>
      <c r="B501" t="s">
        <v>5</v>
      </c>
      <c r="C501">
        <v>2045</v>
      </c>
      <c r="D501" t="s">
        <v>8</v>
      </c>
      <c r="E501">
        <v>242703.85470925749</v>
      </c>
    </row>
    <row r="502" spans="1:5" hidden="1" x14ac:dyDescent="0.35">
      <c r="A502" t="s">
        <v>10</v>
      </c>
      <c r="B502" t="s">
        <v>5</v>
      </c>
      <c r="C502">
        <v>2046</v>
      </c>
      <c r="D502" t="s">
        <v>6</v>
      </c>
      <c r="E502">
        <v>299185.65248007391</v>
      </c>
    </row>
    <row r="503" spans="1:5" hidden="1" x14ac:dyDescent="0.35">
      <c r="A503" t="s">
        <v>10</v>
      </c>
      <c r="B503" t="s">
        <v>5</v>
      </c>
      <c r="C503">
        <v>2046</v>
      </c>
      <c r="D503" t="s">
        <v>7</v>
      </c>
      <c r="E503">
        <v>1805349.7266940761</v>
      </c>
    </row>
    <row r="504" spans="1:5" hidden="1" x14ac:dyDescent="0.35">
      <c r="A504" t="s">
        <v>10</v>
      </c>
      <c r="B504" t="s">
        <v>5</v>
      </c>
      <c r="C504">
        <v>2046</v>
      </c>
      <c r="D504" t="s">
        <v>13</v>
      </c>
      <c r="E504">
        <v>2638.7948547962201</v>
      </c>
    </row>
    <row r="505" spans="1:5" hidden="1" x14ac:dyDescent="0.35">
      <c r="A505" t="s">
        <v>10</v>
      </c>
      <c r="B505" t="s">
        <v>5</v>
      </c>
      <c r="C505">
        <v>2046</v>
      </c>
      <c r="D505" t="s">
        <v>12</v>
      </c>
      <c r="E505">
        <v>103685.3979909319</v>
      </c>
    </row>
    <row r="506" spans="1:5" hidden="1" x14ac:dyDescent="0.35">
      <c r="A506" t="s">
        <v>10</v>
      </c>
      <c r="B506" t="s">
        <v>5</v>
      </c>
      <c r="C506">
        <v>2046</v>
      </c>
      <c r="D506" t="s">
        <v>11</v>
      </c>
      <c r="E506">
        <v>9048.1874414900576</v>
      </c>
    </row>
    <row r="507" spans="1:5" hidden="1" x14ac:dyDescent="0.35">
      <c r="A507" t="s">
        <v>10</v>
      </c>
      <c r="B507" t="s">
        <v>5</v>
      </c>
      <c r="C507">
        <v>2046</v>
      </c>
      <c r="D507" t="s">
        <v>8</v>
      </c>
      <c r="E507">
        <v>248565.8647951083</v>
      </c>
    </row>
    <row r="508" spans="1:5" hidden="1" x14ac:dyDescent="0.35">
      <c r="A508" t="s">
        <v>10</v>
      </c>
      <c r="B508" t="s">
        <v>5</v>
      </c>
      <c r="C508">
        <v>2047</v>
      </c>
      <c r="D508" t="s">
        <v>6</v>
      </c>
      <c r="E508">
        <v>303595.53829265188</v>
      </c>
    </row>
    <row r="509" spans="1:5" hidden="1" x14ac:dyDescent="0.35">
      <c r="A509" t="s">
        <v>10</v>
      </c>
      <c r="B509" t="s">
        <v>5</v>
      </c>
      <c r="C509">
        <v>2047</v>
      </c>
      <c r="D509" t="s">
        <v>7</v>
      </c>
      <c r="E509">
        <v>1841523.586009409</v>
      </c>
    </row>
    <row r="510" spans="1:5" hidden="1" x14ac:dyDescent="0.35">
      <c r="A510" t="s">
        <v>10</v>
      </c>
      <c r="B510" t="s">
        <v>5</v>
      </c>
      <c r="C510">
        <v>2047</v>
      </c>
      <c r="D510" t="s">
        <v>13</v>
      </c>
      <c r="E510">
        <v>2529.0240966297129</v>
      </c>
    </row>
    <row r="511" spans="1:5" hidden="1" x14ac:dyDescent="0.35">
      <c r="A511" t="s">
        <v>10</v>
      </c>
      <c r="B511" t="s">
        <v>5</v>
      </c>
      <c r="C511">
        <v>2047</v>
      </c>
      <c r="D511" t="s">
        <v>12</v>
      </c>
      <c r="E511">
        <v>106099.4604291663</v>
      </c>
    </row>
    <row r="512" spans="1:5" hidden="1" x14ac:dyDescent="0.35">
      <c r="A512" t="s">
        <v>10</v>
      </c>
      <c r="B512" t="s">
        <v>5</v>
      </c>
      <c r="C512">
        <v>2047</v>
      </c>
      <c r="D512" t="s">
        <v>11</v>
      </c>
      <c r="E512">
        <v>9315.0825232605057</v>
      </c>
    </row>
    <row r="513" spans="1:5" hidden="1" x14ac:dyDescent="0.35">
      <c r="A513" t="s">
        <v>10</v>
      </c>
      <c r="B513" t="s">
        <v>5</v>
      </c>
      <c r="C513">
        <v>2047</v>
      </c>
      <c r="D513" t="s">
        <v>8</v>
      </c>
      <c r="E513">
        <v>254040.75377202689</v>
      </c>
    </row>
    <row r="514" spans="1:5" hidden="1" x14ac:dyDescent="0.35">
      <c r="A514" t="s">
        <v>10</v>
      </c>
      <c r="B514" t="s">
        <v>5</v>
      </c>
      <c r="C514">
        <v>2048</v>
      </c>
      <c r="D514" t="s">
        <v>6</v>
      </c>
      <c r="E514">
        <v>307350.78765564441</v>
      </c>
    </row>
    <row r="515" spans="1:5" hidden="1" x14ac:dyDescent="0.35">
      <c r="A515" t="s">
        <v>10</v>
      </c>
      <c r="B515" t="s">
        <v>5</v>
      </c>
      <c r="C515">
        <v>2048</v>
      </c>
      <c r="D515" t="s">
        <v>7</v>
      </c>
      <c r="E515">
        <v>1874301.5078261979</v>
      </c>
    </row>
    <row r="516" spans="1:5" hidden="1" x14ac:dyDescent="0.35">
      <c r="A516" t="s">
        <v>10</v>
      </c>
      <c r="B516" t="s">
        <v>5</v>
      </c>
      <c r="C516">
        <v>2048</v>
      </c>
      <c r="D516" t="s">
        <v>13</v>
      </c>
      <c r="E516">
        <v>2404.397284927114</v>
      </c>
    </row>
    <row r="517" spans="1:5" hidden="1" x14ac:dyDescent="0.35">
      <c r="A517" t="s">
        <v>10</v>
      </c>
      <c r="B517" t="s">
        <v>5</v>
      </c>
      <c r="C517">
        <v>2048</v>
      </c>
      <c r="D517" t="s">
        <v>12</v>
      </c>
      <c r="E517">
        <v>108332.7260275945</v>
      </c>
    </row>
    <row r="518" spans="1:5" hidden="1" x14ac:dyDescent="0.35">
      <c r="A518" t="s">
        <v>10</v>
      </c>
      <c r="B518" t="s">
        <v>5</v>
      </c>
      <c r="C518">
        <v>2048</v>
      </c>
      <c r="D518" t="s">
        <v>11</v>
      </c>
      <c r="E518">
        <v>9571.8905020052352</v>
      </c>
    </row>
    <row r="519" spans="1:5" hidden="1" x14ac:dyDescent="0.35">
      <c r="A519" t="s">
        <v>10</v>
      </c>
      <c r="B519" t="s">
        <v>5</v>
      </c>
      <c r="C519">
        <v>2048</v>
      </c>
      <c r="D519" t="s">
        <v>8</v>
      </c>
      <c r="E519">
        <v>258986.27409537949</v>
      </c>
    </row>
    <row r="520" spans="1:5" hidden="1" x14ac:dyDescent="0.35">
      <c r="A520" t="s">
        <v>10</v>
      </c>
      <c r="B520" t="s">
        <v>5</v>
      </c>
      <c r="C520">
        <v>2049</v>
      </c>
      <c r="D520" t="s">
        <v>6</v>
      </c>
      <c r="E520">
        <v>310458.59121765557</v>
      </c>
    </row>
    <row r="521" spans="1:5" hidden="1" x14ac:dyDescent="0.35">
      <c r="A521" t="s">
        <v>10</v>
      </c>
      <c r="B521" t="s">
        <v>5</v>
      </c>
      <c r="C521">
        <v>2049</v>
      </c>
      <c r="D521" t="s">
        <v>7</v>
      </c>
      <c r="E521">
        <v>1909962.4565747799</v>
      </c>
    </row>
    <row r="522" spans="1:5" hidden="1" x14ac:dyDescent="0.35">
      <c r="A522" t="s">
        <v>10</v>
      </c>
      <c r="B522" t="s">
        <v>5</v>
      </c>
      <c r="C522">
        <v>2049</v>
      </c>
      <c r="D522" t="s">
        <v>13</v>
      </c>
      <c r="E522">
        <v>2265.5210593688689</v>
      </c>
    </row>
    <row r="523" spans="1:5" hidden="1" x14ac:dyDescent="0.35">
      <c r="A523" t="s">
        <v>10</v>
      </c>
      <c r="B523" t="s">
        <v>5</v>
      </c>
      <c r="C523">
        <v>2049</v>
      </c>
      <c r="D523" t="s">
        <v>12</v>
      </c>
      <c r="E523">
        <v>110384.53751410999</v>
      </c>
    </row>
    <row r="524" spans="1:5" hidden="1" x14ac:dyDescent="0.35">
      <c r="A524" t="s">
        <v>10</v>
      </c>
      <c r="B524" t="s">
        <v>5</v>
      </c>
      <c r="C524">
        <v>2049</v>
      </c>
      <c r="D524" t="s">
        <v>11</v>
      </c>
      <c r="E524">
        <v>9818.2912481072563</v>
      </c>
    </row>
    <row r="525" spans="1:5" hidden="1" x14ac:dyDescent="0.35">
      <c r="A525" t="s">
        <v>10</v>
      </c>
      <c r="B525" t="s">
        <v>5</v>
      </c>
      <c r="C525">
        <v>2049</v>
      </c>
      <c r="D525" t="s">
        <v>8</v>
      </c>
      <c r="E525">
        <v>263750.92123161658</v>
      </c>
    </row>
    <row r="526" spans="1:5" hidden="1" x14ac:dyDescent="0.35">
      <c r="A526" t="s">
        <v>10</v>
      </c>
      <c r="B526" t="s">
        <v>5</v>
      </c>
      <c r="C526">
        <v>2050</v>
      </c>
      <c r="D526" t="s">
        <v>6</v>
      </c>
      <c r="E526">
        <v>312938.57834508852</v>
      </c>
    </row>
    <row r="527" spans="1:5" hidden="1" x14ac:dyDescent="0.35">
      <c r="A527" t="s">
        <v>10</v>
      </c>
      <c r="B527" t="s">
        <v>5</v>
      </c>
      <c r="C527">
        <v>2050</v>
      </c>
      <c r="D527" t="s">
        <v>7</v>
      </c>
      <c r="E527">
        <v>1929875.1107977049</v>
      </c>
    </row>
    <row r="528" spans="1:5" hidden="1" x14ac:dyDescent="0.35">
      <c r="A528" t="s">
        <v>10</v>
      </c>
      <c r="B528" t="s">
        <v>5</v>
      </c>
      <c r="C528">
        <v>2050</v>
      </c>
      <c r="D528" t="s">
        <v>13</v>
      </c>
      <c r="E528">
        <v>2113.3460093977769</v>
      </c>
    </row>
    <row r="529" spans="1:5" hidden="1" x14ac:dyDescent="0.35">
      <c r="A529" t="s">
        <v>10</v>
      </c>
      <c r="B529" t="s">
        <v>5</v>
      </c>
      <c r="C529">
        <v>2050</v>
      </c>
      <c r="D529" t="s">
        <v>12</v>
      </c>
      <c r="E529">
        <v>112271.1034676221</v>
      </c>
    </row>
    <row r="530" spans="1:5" hidden="1" x14ac:dyDescent="0.35">
      <c r="A530" t="s">
        <v>10</v>
      </c>
      <c r="B530" t="s">
        <v>5</v>
      </c>
      <c r="C530">
        <v>2050</v>
      </c>
      <c r="D530" t="s">
        <v>11</v>
      </c>
      <c r="E530">
        <v>10055.35266564736</v>
      </c>
    </row>
    <row r="531" spans="1:5" hidden="1" x14ac:dyDescent="0.35">
      <c r="A531" t="s">
        <v>10</v>
      </c>
      <c r="B531" t="s">
        <v>5</v>
      </c>
      <c r="C531">
        <v>2050</v>
      </c>
      <c r="D531" t="s">
        <v>8</v>
      </c>
      <c r="E531">
        <v>267966.23531563772</v>
      </c>
    </row>
  </sheetData>
  <autoFilter ref="A1:E531" xr:uid="{00000000-0001-0000-0000-000000000000}">
    <filterColumn colId="0">
      <filters>
        <filter val="Canada Net-zero"/>
      </filters>
    </filterColumn>
    <sortState xmlns:xlrd2="http://schemas.microsoft.com/office/spreadsheetml/2017/richdata2" ref="A2:E179">
      <sortCondition ref="D1:D53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8D3D-BB27-4896-BD05-AB96D548E28E}">
  <sheetPr filterMode="1"/>
  <dimension ref="A1:L553"/>
  <sheetViews>
    <sheetView workbookViewId="0">
      <selection activeCell="L78" sqref="L78"/>
    </sheetView>
  </sheetViews>
  <sheetFormatPr baseColWidth="10" defaultRowHeight="14.5" x14ac:dyDescent="0.35"/>
  <cols>
    <col min="1" max="1" width="12" bestFit="1" customWidth="1"/>
    <col min="2" max="2" width="7.26953125" bestFit="1" customWidth="1"/>
    <col min="3" max="3" width="24.453125" bestFit="1" customWidth="1"/>
    <col min="4" max="4" width="42.81640625" bestFit="1" customWidth="1"/>
    <col min="5" max="5" width="12" bestFit="1" customWidth="1"/>
    <col min="6" max="6" width="10.453125" bestFit="1" customWidth="1"/>
    <col min="7" max="7" width="27" bestFit="1" customWidth="1"/>
    <col min="8" max="8" width="27.81640625" bestFit="1" customWidth="1"/>
  </cols>
  <sheetData>
    <row r="1" spans="1:8" s="1" customFormat="1" x14ac:dyDescent="0.35">
      <c r="A1" s="1" t="s">
        <v>3</v>
      </c>
      <c r="B1" s="1" t="s">
        <v>2</v>
      </c>
      <c r="C1" s="1" t="s">
        <v>481</v>
      </c>
      <c r="D1" s="1" t="s">
        <v>482</v>
      </c>
      <c r="E1" s="1" t="s">
        <v>14</v>
      </c>
      <c r="F1" s="1" t="s">
        <v>15</v>
      </c>
      <c r="G1" s="1" t="s">
        <v>486</v>
      </c>
      <c r="H1" s="1" t="s">
        <v>487</v>
      </c>
    </row>
    <row r="2" spans="1:8" hidden="1" x14ac:dyDescent="0.35">
      <c r="A2" t="s">
        <v>6</v>
      </c>
      <c r="B2">
        <v>2018</v>
      </c>
      <c r="C2" t="s">
        <v>16</v>
      </c>
      <c r="D2" t="s">
        <v>490</v>
      </c>
      <c r="E2">
        <v>4.1361000000000008</v>
      </c>
      <c r="F2" t="s">
        <v>17</v>
      </c>
      <c r="G2">
        <v>4136.1000000000004</v>
      </c>
      <c r="H2">
        <v>1817.1813303379115</v>
      </c>
    </row>
    <row r="3" spans="1:8" hidden="1" x14ac:dyDescent="0.35">
      <c r="A3" t="s">
        <v>6</v>
      </c>
      <c r="B3">
        <v>2019</v>
      </c>
      <c r="C3" t="s">
        <v>16</v>
      </c>
      <c r="D3" t="s">
        <v>490</v>
      </c>
      <c r="E3">
        <v>3.4330000000000003</v>
      </c>
      <c r="F3" t="s">
        <v>17</v>
      </c>
      <c r="G3">
        <v>3433.0000000000005</v>
      </c>
      <c r="H3">
        <v>1508.2767600033969</v>
      </c>
    </row>
    <row r="4" spans="1:8" hidden="1" x14ac:dyDescent="0.35">
      <c r="A4" t="s">
        <v>6</v>
      </c>
      <c r="B4">
        <v>2020</v>
      </c>
      <c r="C4" t="s">
        <v>16</v>
      </c>
      <c r="D4" t="s">
        <v>490</v>
      </c>
      <c r="E4">
        <v>3.2363240000000002</v>
      </c>
      <c r="F4" t="s">
        <v>17</v>
      </c>
      <c r="G4">
        <v>3236.3240000000001</v>
      </c>
      <c r="H4">
        <v>1421.8678348503447</v>
      </c>
    </row>
    <row r="5" spans="1:8" hidden="1" x14ac:dyDescent="0.35">
      <c r="A5" t="s">
        <v>6</v>
      </c>
      <c r="B5">
        <v>2021</v>
      </c>
      <c r="C5" t="s">
        <v>16</v>
      </c>
      <c r="D5" t="s">
        <v>490</v>
      </c>
      <c r="E5">
        <v>3.8086570000000002</v>
      </c>
      <c r="F5" t="s">
        <v>17</v>
      </c>
      <c r="G5">
        <v>3808.6570000000002</v>
      </c>
      <c r="H5">
        <v>1673.3203728296701</v>
      </c>
    </row>
    <row r="6" spans="1:8" hidden="1" x14ac:dyDescent="0.35">
      <c r="A6" t="s">
        <v>6</v>
      </c>
      <c r="B6">
        <v>2022</v>
      </c>
      <c r="C6" t="s">
        <v>16</v>
      </c>
      <c r="D6" t="s">
        <v>490</v>
      </c>
      <c r="E6">
        <v>2.536143</v>
      </c>
      <c r="F6" t="s">
        <v>17</v>
      </c>
      <c r="G6">
        <v>2536.143</v>
      </c>
      <c r="H6">
        <v>1114.2457171410704</v>
      </c>
    </row>
    <row r="7" spans="1:8" hidden="1" x14ac:dyDescent="0.35">
      <c r="A7" t="s">
        <v>6</v>
      </c>
      <c r="B7">
        <v>2023</v>
      </c>
      <c r="C7" t="s">
        <v>16</v>
      </c>
      <c r="D7" t="s">
        <v>490</v>
      </c>
      <c r="E7">
        <v>4.7960000000000003</v>
      </c>
      <c r="F7" t="s">
        <v>17</v>
      </c>
      <c r="G7">
        <v>4796</v>
      </c>
      <c r="H7">
        <v>2107.1061290347484</v>
      </c>
    </row>
    <row r="8" spans="1:8" hidden="1" x14ac:dyDescent="0.35">
      <c r="A8" t="s">
        <v>6</v>
      </c>
      <c r="B8">
        <v>2024</v>
      </c>
      <c r="C8" t="s">
        <v>16</v>
      </c>
      <c r="D8" t="s">
        <v>490</v>
      </c>
      <c r="E8">
        <v>3.3809999999999998</v>
      </c>
      <c r="F8" t="s">
        <v>17</v>
      </c>
      <c r="G8">
        <v>3381</v>
      </c>
      <c r="H8">
        <v>1485.4307385876739</v>
      </c>
    </row>
    <row r="9" spans="1:8" hidden="1" x14ac:dyDescent="0.35">
      <c r="A9" t="s">
        <v>6</v>
      </c>
      <c r="B9">
        <v>2025</v>
      </c>
      <c r="C9" t="s">
        <v>16</v>
      </c>
      <c r="D9" t="s">
        <v>490</v>
      </c>
      <c r="E9">
        <v>3.4940000000000002</v>
      </c>
      <c r="F9" t="s">
        <v>17</v>
      </c>
      <c r="G9">
        <v>3494</v>
      </c>
      <c r="H9">
        <v>1535.0769005103025</v>
      </c>
    </row>
    <row r="10" spans="1:8" hidden="1" x14ac:dyDescent="0.35">
      <c r="A10" t="s">
        <v>6</v>
      </c>
      <c r="B10">
        <v>2026</v>
      </c>
      <c r="C10" t="s">
        <v>16</v>
      </c>
      <c r="D10" t="s">
        <v>490</v>
      </c>
      <c r="E10">
        <v>3.4940000000000002</v>
      </c>
      <c r="F10" t="s">
        <v>17</v>
      </c>
      <c r="G10">
        <v>3494</v>
      </c>
      <c r="H10">
        <v>1535.0769005103025</v>
      </c>
    </row>
    <row r="11" spans="1:8" hidden="1" x14ac:dyDescent="0.35">
      <c r="A11" t="s">
        <v>6</v>
      </c>
      <c r="B11">
        <v>2027</v>
      </c>
      <c r="C11" t="s">
        <v>16</v>
      </c>
      <c r="D11" t="s">
        <v>490</v>
      </c>
      <c r="E11">
        <v>4.1760000000000002</v>
      </c>
      <c r="F11" t="s">
        <v>17</v>
      </c>
      <c r="G11">
        <v>4176</v>
      </c>
      <c r="H11">
        <v>1834.7112583088217</v>
      </c>
    </row>
    <row r="12" spans="1:8" hidden="1" x14ac:dyDescent="0.35">
      <c r="A12" t="s">
        <v>6</v>
      </c>
      <c r="B12">
        <v>2028</v>
      </c>
      <c r="C12" t="s">
        <v>16</v>
      </c>
      <c r="D12" t="s">
        <v>490</v>
      </c>
      <c r="E12">
        <v>4.1760000000000002</v>
      </c>
      <c r="F12" t="s">
        <v>17</v>
      </c>
      <c r="G12">
        <v>4176</v>
      </c>
      <c r="H12">
        <v>1834.7112583088217</v>
      </c>
    </row>
    <row r="13" spans="1:8" hidden="1" x14ac:dyDescent="0.35">
      <c r="A13" t="s">
        <v>6</v>
      </c>
      <c r="B13">
        <v>2029</v>
      </c>
      <c r="C13" t="s">
        <v>16</v>
      </c>
      <c r="D13" t="s">
        <v>490</v>
      </c>
      <c r="E13">
        <v>3.8610000000000002</v>
      </c>
      <c r="F13" t="s">
        <v>17</v>
      </c>
      <c r="G13">
        <v>3861</v>
      </c>
      <c r="H13">
        <v>1696.3170901174235</v>
      </c>
    </row>
    <row r="14" spans="1:8" hidden="1" x14ac:dyDescent="0.35">
      <c r="A14" t="s">
        <v>6</v>
      </c>
      <c r="B14">
        <v>2030</v>
      </c>
      <c r="C14" t="s">
        <v>16</v>
      </c>
      <c r="D14" t="s">
        <v>490</v>
      </c>
      <c r="E14">
        <v>3.8610000000000002</v>
      </c>
      <c r="F14" t="s">
        <v>17</v>
      </c>
      <c r="G14">
        <v>3861</v>
      </c>
      <c r="H14">
        <v>1696.3170901174235</v>
      </c>
    </row>
    <row r="15" spans="1:8" hidden="1" x14ac:dyDescent="0.35">
      <c r="A15" t="s">
        <v>6</v>
      </c>
      <c r="B15">
        <v>2031</v>
      </c>
      <c r="C15" t="s">
        <v>16</v>
      </c>
      <c r="D15" t="s">
        <v>490</v>
      </c>
      <c r="E15">
        <v>3.7069999999999999</v>
      </c>
      <c r="F15" t="s">
        <v>17</v>
      </c>
      <c r="G15">
        <v>3707</v>
      </c>
      <c r="H15">
        <v>1628.6577190016289</v>
      </c>
    </row>
    <row r="16" spans="1:8" hidden="1" x14ac:dyDescent="0.35">
      <c r="A16" t="s">
        <v>6</v>
      </c>
      <c r="B16">
        <v>2032</v>
      </c>
      <c r="C16" t="s">
        <v>16</v>
      </c>
      <c r="D16" t="s">
        <v>490</v>
      </c>
      <c r="E16">
        <v>3.3919999999999999</v>
      </c>
      <c r="F16" t="s">
        <v>17</v>
      </c>
      <c r="G16">
        <v>3392</v>
      </c>
      <c r="H16">
        <v>1490.2635508102308</v>
      </c>
    </row>
    <row r="17" spans="1:8" hidden="1" x14ac:dyDescent="0.35">
      <c r="A17" t="s">
        <v>6</v>
      </c>
      <c r="B17">
        <v>2033</v>
      </c>
      <c r="C17" t="s">
        <v>16</v>
      </c>
      <c r="D17" t="s">
        <v>490</v>
      </c>
      <c r="E17">
        <v>3.0790000000000002</v>
      </c>
      <c r="F17" t="s">
        <v>17</v>
      </c>
      <c r="G17">
        <v>3079</v>
      </c>
      <c r="H17">
        <v>1352.7480757502065</v>
      </c>
    </row>
    <row r="18" spans="1:8" hidden="1" x14ac:dyDescent="0.35">
      <c r="A18" t="s">
        <v>6</v>
      </c>
      <c r="B18">
        <v>2034</v>
      </c>
      <c r="C18" t="s">
        <v>16</v>
      </c>
      <c r="D18" t="s">
        <v>490</v>
      </c>
      <c r="E18">
        <v>3.0790000000000002</v>
      </c>
      <c r="F18" t="s">
        <v>17</v>
      </c>
      <c r="G18">
        <v>3079</v>
      </c>
      <c r="H18">
        <v>1352.7480757502065</v>
      </c>
    </row>
    <row r="19" spans="1:8" hidden="1" x14ac:dyDescent="0.35">
      <c r="A19" t="s">
        <v>6</v>
      </c>
      <c r="B19">
        <v>2035</v>
      </c>
      <c r="C19" t="s">
        <v>16</v>
      </c>
      <c r="D19" t="s">
        <v>490</v>
      </c>
      <c r="E19">
        <v>3.0790000000000002</v>
      </c>
      <c r="F19" t="s">
        <v>17</v>
      </c>
      <c r="G19">
        <v>3079</v>
      </c>
      <c r="H19">
        <v>1352.7480757502065</v>
      </c>
    </row>
    <row r="20" spans="1:8" hidden="1" x14ac:dyDescent="0.35">
      <c r="A20" t="s">
        <v>6</v>
      </c>
      <c r="B20">
        <v>2036</v>
      </c>
      <c r="C20" t="s">
        <v>16</v>
      </c>
      <c r="D20" t="s">
        <v>490</v>
      </c>
      <c r="E20">
        <v>2.8370000000000002</v>
      </c>
      <c r="F20" t="s">
        <v>17</v>
      </c>
      <c r="G20">
        <v>2837</v>
      </c>
      <c r="H20">
        <v>1246.4262068539576</v>
      </c>
    </row>
    <row r="21" spans="1:8" hidden="1" x14ac:dyDescent="0.35">
      <c r="A21" t="s">
        <v>6</v>
      </c>
      <c r="B21">
        <v>2037</v>
      </c>
      <c r="C21" t="s">
        <v>16</v>
      </c>
      <c r="D21" t="s">
        <v>490</v>
      </c>
      <c r="E21">
        <v>0.94699999999999995</v>
      </c>
      <c r="F21" t="s">
        <v>17</v>
      </c>
      <c r="G21">
        <v>947</v>
      </c>
      <c r="H21">
        <v>416.06119770556853</v>
      </c>
    </row>
    <row r="22" spans="1:8" hidden="1" x14ac:dyDescent="0.35">
      <c r="A22" t="s">
        <v>6</v>
      </c>
      <c r="B22">
        <v>2038</v>
      </c>
      <c r="C22" t="s">
        <v>16</v>
      </c>
      <c r="D22" t="s">
        <v>490</v>
      </c>
      <c r="E22">
        <v>0.26100000000000001</v>
      </c>
      <c r="F22" t="s">
        <v>17</v>
      </c>
      <c r="G22">
        <v>261</v>
      </c>
      <c r="H22">
        <v>114.66945364430136</v>
      </c>
    </row>
    <row r="23" spans="1:8" hidden="1" x14ac:dyDescent="0.35">
      <c r="A23" t="s">
        <v>6</v>
      </c>
      <c r="B23">
        <v>2039</v>
      </c>
      <c r="C23" t="s">
        <v>16</v>
      </c>
      <c r="D23" t="s">
        <v>490</v>
      </c>
      <c r="E23">
        <v>0.26100000000000001</v>
      </c>
      <c r="F23" t="s">
        <v>17</v>
      </c>
      <c r="G23">
        <v>261</v>
      </c>
      <c r="H23">
        <v>114.66945364430136</v>
      </c>
    </row>
    <row r="24" spans="1:8" hidden="1" x14ac:dyDescent="0.35">
      <c r="A24" t="s">
        <v>6</v>
      </c>
      <c r="B24">
        <v>2040</v>
      </c>
      <c r="C24" t="s">
        <v>16</v>
      </c>
      <c r="D24" t="s">
        <v>490</v>
      </c>
      <c r="E24">
        <v>0.26100000000000001</v>
      </c>
      <c r="F24" t="s">
        <v>17</v>
      </c>
      <c r="G24">
        <v>261</v>
      </c>
      <c r="H24">
        <v>114.66945364430136</v>
      </c>
    </row>
    <row r="25" spans="1:8" hidden="1" x14ac:dyDescent="0.35">
      <c r="A25" t="s">
        <v>6</v>
      </c>
      <c r="B25">
        <v>2018</v>
      </c>
      <c r="C25" t="s">
        <v>18</v>
      </c>
      <c r="D25" t="s">
        <v>490</v>
      </c>
      <c r="E25">
        <v>4.1361000000000008</v>
      </c>
      <c r="F25" t="s">
        <v>17</v>
      </c>
      <c r="G25">
        <v>4136.1000000000004</v>
      </c>
      <c r="H25">
        <v>1817.1813303379115</v>
      </c>
    </row>
    <row r="26" spans="1:8" hidden="1" x14ac:dyDescent="0.35">
      <c r="A26" t="s">
        <v>6</v>
      </c>
      <c r="B26">
        <v>2019</v>
      </c>
      <c r="C26" t="s">
        <v>18</v>
      </c>
      <c r="D26" t="s">
        <v>490</v>
      </c>
      <c r="E26">
        <v>3.4330000000000003</v>
      </c>
      <c r="F26" t="s">
        <v>17</v>
      </c>
      <c r="G26">
        <v>3433.0000000000005</v>
      </c>
      <c r="H26">
        <v>1508.2767600033969</v>
      </c>
    </row>
    <row r="27" spans="1:8" hidden="1" x14ac:dyDescent="0.35">
      <c r="A27" t="s">
        <v>6</v>
      </c>
      <c r="B27">
        <v>2020</v>
      </c>
      <c r="C27" t="s">
        <v>18</v>
      </c>
      <c r="D27" t="s">
        <v>490</v>
      </c>
      <c r="E27">
        <v>3.2363240000000002</v>
      </c>
      <c r="F27" t="s">
        <v>17</v>
      </c>
      <c r="G27">
        <v>3236.3240000000001</v>
      </c>
      <c r="H27">
        <v>1421.8678348503447</v>
      </c>
    </row>
    <row r="28" spans="1:8" hidden="1" x14ac:dyDescent="0.35">
      <c r="A28" t="s">
        <v>6</v>
      </c>
      <c r="B28">
        <v>2021</v>
      </c>
      <c r="C28" t="s">
        <v>18</v>
      </c>
      <c r="D28" t="s">
        <v>490</v>
      </c>
      <c r="E28">
        <v>3.8086570000000002</v>
      </c>
      <c r="F28" t="s">
        <v>17</v>
      </c>
      <c r="G28">
        <v>3808.6570000000002</v>
      </c>
      <c r="H28">
        <v>1673.3203728296701</v>
      </c>
    </row>
    <row r="29" spans="1:8" hidden="1" x14ac:dyDescent="0.35">
      <c r="A29" t="s">
        <v>6</v>
      </c>
      <c r="B29">
        <v>2022</v>
      </c>
      <c r="C29" t="s">
        <v>18</v>
      </c>
      <c r="D29" t="s">
        <v>490</v>
      </c>
      <c r="E29">
        <v>2.536143</v>
      </c>
      <c r="F29" t="s">
        <v>17</v>
      </c>
      <c r="G29">
        <v>2536.143</v>
      </c>
      <c r="H29">
        <v>1114.2457171410704</v>
      </c>
    </row>
    <row r="30" spans="1:8" hidden="1" x14ac:dyDescent="0.35">
      <c r="A30" t="s">
        <v>6</v>
      </c>
      <c r="B30">
        <v>2023</v>
      </c>
      <c r="C30" t="s">
        <v>18</v>
      </c>
      <c r="D30" t="s">
        <v>490</v>
      </c>
      <c r="E30">
        <v>4.7960000000000003</v>
      </c>
      <c r="F30" t="s">
        <v>17</v>
      </c>
      <c r="G30">
        <v>4796</v>
      </c>
      <c r="H30">
        <v>2107.1061290347484</v>
      </c>
    </row>
    <row r="31" spans="1:8" hidden="1" x14ac:dyDescent="0.35">
      <c r="A31" t="s">
        <v>6</v>
      </c>
      <c r="B31">
        <v>2024</v>
      </c>
      <c r="C31" t="s">
        <v>18</v>
      </c>
      <c r="D31" t="s">
        <v>490</v>
      </c>
      <c r="E31">
        <v>3.3809999999999998</v>
      </c>
      <c r="F31" t="s">
        <v>17</v>
      </c>
      <c r="G31">
        <v>3381</v>
      </c>
      <c r="H31">
        <v>1485.4307385876739</v>
      </c>
    </row>
    <row r="32" spans="1:8" hidden="1" x14ac:dyDescent="0.35">
      <c r="A32" t="s">
        <v>6</v>
      </c>
      <c r="B32">
        <v>2025</v>
      </c>
      <c r="C32" t="s">
        <v>18</v>
      </c>
      <c r="D32" t="s">
        <v>490</v>
      </c>
      <c r="E32">
        <v>3.8504060559825399</v>
      </c>
      <c r="F32" t="s">
        <v>17</v>
      </c>
      <c r="G32">
        <v>3850.4060559825398</v>
      </c>
      <c r="H32">
        <v>1691.6626771962724</v>
      </c>
    </row>
    <row r="33" spans="1:8" hidden="1" x14ac:dyDescent="0.35">
      <c r="A33" t="s">
        <v>6</v>
      </c>
      <c r="B33">
        <v>2026</v>
      </c>
      <c r="C33" t="s">
        <v>18</v>
      </c>
      <c r="D33" t="s">
        <v>490</v>
      </c>
      <c r="E33">
        <v>4.4939999999999998</v>
      </c>
      <c r="F33" t="s">
        <v>17</v>
      </c>
      <c r="G33">
        <v>4494</v>
      </c>
      <c r="H33">
        <v>1974.423466197281</v>
      </c>
    </row>
    <row r="34" spans="1:8" hidden="1" x14ac:dyDescent="0.35">
      <c r="A34" t="s">
        <v>6</v>
      </c>
      <c r="B34">
        <v>2027</v>
      </c>
      <c r="C34" t="s">
        <v>18</v>
      </c>
      <c r="D34" t="s">
        <v>490</v>
      </c>
      <c r="E34">
        <v>5.3070000000000004</v>
      </c>
      <c r="F34" t="s">
        <v>17</v>
      </c>
      <c r="G34">
        <v>5307</v>
      </c>
      <c r="H34">
        <v>2331.6122241007943</v>
      </c>
    </row>
    <row r="35" spans="1:8" hidden="1" x14ac:dyDescent="0.35">
      <c r="A35" t="s">
        <v>6</v>
      </c>
      <c r="B35">
        <v>2028</v>
      </c>
      <c r="C35" t="s">
        <v>18</v>
      </c>
      <c r="D35" t="s">
        <v>490</v>
      </c>
      <c r="E35">
        <v>7.25</v>
      </c>
      <c r="F35" t="s">
        <v>17</v>
      </c>
      <c r="G35">
        <v>7250</v>
      </c>
      <c r="H35">
        <v>3185.2626012305932</v>
      </c>
    </row>
    <row r="36" spans="1:8" hidden="1" x14ac:dyDescent="0.35">
      <c r="A36" t="s">
        <v>6</v>
      </c>
      <c r="B36">
        <v>2029</v>
      </c>
      <c r="C36" t="s">
        <v>18</v>
      </c>
      <c r="D36" t="s">
        <v>490</v>
      </c>
      <c r="E36">
        <v>6.7191794773198641</v>
      </c>
      <c r="F36" t="s">
        <v>17</v>
      </c>
      <c r="G36">
        <v>6719.1794773198644</v>
      </c>
      <c r="H36">
        <v>2952.0484275949088</v>
      </c>
    </row>
    <row r="37" spans="1:8" hidden="1" x14ac:dyDescent="0.35">
      <c r="A37" t="s">
        <v>6</v>
      </c>
      <c r="B37">
        <v>2030</v>
      </c>
      <c r="C37" t="s">
        <v>18</v>
      </c>
      <c r="D37" t="s">
        <v>490</v>
      </c>
      <c r="E37">
        <v>7.7226911967684702</v>
      </c>
      <c r="F37" t="s">
        <v>17</v>
      </c>
      <c r="G37">
        <v>7722.69119676847</v>
      </c>
      <c r="H37">
        <v>3392.9378551612886</v>
      </c>
    </row>
    <row r="38" spans="1:8" hidden="1" x14ac:dyDescent="0.35">
      <c r="A38" t="s">
        <v>6</v>
      </c>
      <c r="B38">
        <v>2031</v>
      </c>
      <c r="C38" t="s">
        <v>18</v>
      </c>
      <c r="D38" t="s">
        <v>490</v>
      </c>
      <c r="E38">
        <v>8.8760777297221907</v>
      </c>
      <c r="F38" t="s">
        <v>17</v>
      </c>
      <c r="G38">
        <v>8876.0777297221903</v>
      </c>
      <c r="H38">
        <v>3899.674267324116</v>
      </c>
    </row>
    <row r="39" spans="1:8" hidden="1" x14ac:dyDescent="0.35">
      <c r="A39" t="s">
        <v>6</v>
      </c>
      <c r="B39">
        <v>2032</v>
      </c>
      <c r="C39" t="s">
        <v>18</v>
      </c>
      <c r="D39" t="s">
        <v>490</v>
      </c>
      <c r="E39">
        <v>10.201722930089112</v>
      </c>
      <c r="F39" t="s">
        <v>17</v>
      </c>
      <c r="G39">
        <v>10201.722930089112</v>
      </c>
      <c r="H39">
        <v>4482.0919334247501</v>
      </c>
    </row>
    <row r="40" spans="1:8" hidden="1" x14ac:dyDescent="0.35">
      <c r="A40" t="s">
        <v>6</v>
      </c>
      <c r="B40">
        <v>2033</v>
      </c>
      <c r="C40" t="s">
        <v>18</v>
      </c>
      <c r="D40" t="s">
        <v>490</v>
      </c>
      <c r="E40">
        <v>11.725353687902352</v>
      </c>
      <c r="F40" t="s">
        <v>17</v>
      </c>
      <c r="G40">
        <v>11725.353687902352</v>
      </c>
      <c r="H40">
        <v>5151.4938742450449</v>
      </c>
    </row>
    <row r="41" spans="1:8" hidden="1" x14ac:dyDescent="0.35">
      <c r="A41" t="s">
        <v>6</v>
      </c>
      <c r="B41">
        <v>2034</v>
      </c>
      <c r="C41" t="s">
        <v>18</v>
      </c>
      <c r="D41" t="s">
        <v>490</v>
      </c>
      <c r="E41">
        <v>13.476539212891987</v>
      </c>
      <c r="F41" t="s">
        <v>17</v>
      </c>
      <c r="G41">
        <v>13476.539212891987</v>
      </c>
      <c r="H41">
        <v>5920.8712205299889</v>
      </c>
    </row>
    <row r="42" spans="1:8" hidden="1" x14ac:dyDescent="0.35">
      <c r="A42" t="s">
        <v>6</v>
      </c>
      <c r="B42">
        <v>2035</v>
      </c>
      <c r="C42" t="s">
        <v>18</v>
      </c>
      <c r="D42" t="s">
        <v>490</v>
      </c>
      <c r="E42">
        <v>15.489264886226762</v>
      </c>
      <c r="F42" t="s">
        <v>17</v>
      </c>
      <c r="G42">
        <v>15489.264886226762</v>
      </c>
      <c r="H42">
        <v>6805.1553327796337</v>
      </c>
    </row>
    <row r="43" spans="1:8" hidden="1" x14ac:dyDescent="0.35">
      <c r="A43" t="s">
        <v>6</v>
      </c>
      <c r="B43">
        <v>2036</v>
      </c>
      <c r="C43" t="s">
        <v>18</v>
      </c>
      <c r="D43" t="s">
        <v>490</v>
      </c>
      <c r="E43">
        <v>17.802591817206793</v>
      </c>
      <c r="F43" t="s">
        <v>17</v>
      </c>
      <c r="G43">
        <v>17802.591817206794</v>
      </c>
      <c r="H43">
        <v>7821.5075752169087</v>
      </c>
    </row>
    <row r="44" spans="1:8" hidden="1" x14ac:dyDescent="0.35">
      <c r="A44" t="s">
        <v>6</v>
      </c>
      <c r="B44">
        <v>2037</v>
      </c>
      <c r="C44" t="s">
        <v>18</v>
      </c>
      <c r="D44" t="s">
        <v>490</v>
      </c>
      <c r="E44">
        <v>20.461414904970614</v>
      </c>
      <c r="F44" t="s">
        <v>17</v>
      </c>
      <c r="G44">
        <v>20461.414904970614</v>
      </c>
      <c r="H44">
        <v>8989.6523675951903</v>
      </c>
    </row>
    <row r="45" spans="1:8" hidden="1" x14ac:dyDescent="0.35">
      <c r="A45" t="s">
        <v>6</v>
      </c>
      <c r="B45">
        <v>2038</v>
      </c>
      <c r="C45" t="s">
        <v>18</v>
      </c>
      <c r="D45" t="s">
        <v>490</v>
      </c>
      <c r="E45">
        <v>23.517334116973664</v>
      </c>
      <c r="F45" t="s">
        <v>17</v>
      </c>
      <c r="G45">
        <v>23517.334116973663</v>
      </c>
      <c r="H45">
        <v>10332.259978405587</v>
      </c>
    </row>
    <row r="46" spans="1:8" hidden="1" x14ac:dyDescent="0.35">
      <c r="A46" t="s">
        <v>6</v>
      </c>
      <c r="B46">
        <v>2039</v>
      </c>
      <c r="C46" t="s">
        <v>18</v>
      </c>
      <c r="D46" t="s">
        <v>490</v>
      </c>
      <c r="E46">
        <v>27.029655893201195</v>
      </c>
      <c r="F46" t="s">
        <v>17</v>
      </c>
      <c r="G46">
        <v>27029.655893201194</v>
      </c>
      <c r="H46">
        <v>11875.386488378741</v>
      </c>
    </row>
    <row r="47" spans="1:8" hidden="1" x14ac:dyDescent="0.35">
      <c r="A47" t="s">
        <v>6</v>
      </c>
      <c r="B47">
        <v>2040</v>
      </c>
      <c r="C47" t="s">
        <v>18</v>
      </c>
      <c r="D47" t="s">
        <v>490</v>
      </c>
      <c r="E47">
        <v>31.066544110437789</v>
      </c>
      <c r="F47" t="s">
        <v>17</v>
      </c>
      <c r="G47">
        <v>31066.54411043779</v>
      </c>
      <c r="H47">
        <v>13648.979462683868</v>
      </c>
    </row>
    <row r="48" spans="1:8" hidden="1" x14ac:dyDescent="0.35">
      <c r="A48" t="s">
        <v>7</v>
      </c>
      <c r="B48">
        <v>2018</v>
      </c>
      <c r="C48" t="s">
        <v>16</v>
      </c>
      <c r="D48" t="s">
        <v>490</v>
      </c>
      <c r="E48">
        <v>535.50900000000001</v>
      </c>
      <c r="F48" t="s">
        <v>17</v>
      </c>
      <c r="G48">
        <v>535509</v>
      </c>
      <c r="H48">
        <v>447013.86864406778</v>
      </c>
    </row>
    <row r="49" spans="1:8" hidden="1" x14ac:dyDescent="0.35">
      <c r="A49" t="s">
        <v>7</v>
      </c>
      <c r="B49">
        <v>2019</v>
      </c>
      <c r="C49" t="s">
        <v>16</v>
      </c>
      <c r="D49" t="s">
        <v>490</v>
      </c>
      <c r="E49">
        <v>557.84900000000005</v>
      </c>
      <c r="F49" t="s">
        <v>17</v>
      </c>
      <c r="G49">
        <v>557849</v>
      </c>
      <c r="H49">
        <v>465662.08898305084</v>
      </c>
    </row>
    <row r="50" spans="1:8" hidden="1" x14ac:dyDescent="0.35">
      <c r="A50" t="s">
        <v>7</v>
      </c>
      <c r="B50">
        <v>2020</v>
      </c>
      <c r="C50" t="s">
        <v>16</v>
      </c>
      <c r="D50" t="s">
        <v>490</v>
      </c>
      <c r="E50">
        <v>530.92100000000005</v>
      </c>
      <c r="F50" t="s">
        <v>17</v>
      </c>
      <c r="G50">
        <v>530921</v>
      </c>
      <c r="H50">
        <v>443184.05508474575</v>
      </c>
    </row>
    <row r="51" spans="1:8" hidden="1" x14ac:dyDescent="0.35">
      <c r="A51" t="s">
        <v>7</v>
      </c>
      <c r="B51">
        <v>2021</v>
      </c>
      <c r="C51" t="s">
        <v>16</v>
      </c>
      <c r="D51" t="s">
        <v>490</v>
      </c>
      <c r="E51">
        <v>488.52199999999999</v>
      </c>
      <c r="F51" t="s">
        <v>17</v>
      </c>
      <c r="G51">
        <v>488522</v>
      </c>
      <c r="H51">
        <v>407791.66949152545</v>
      </c>
    </row>
    <row r="52" spans="1:8" hidden="1" x14ac:dyDescent="0.35">
      <c r="A52" t="s">
        <v>7</v>
      </c>
      <c r="B52">
        <v>2022</v>
      </c>
      <c r="C52" t="s">
        <v>16</v>
      </c>
      <c r="D52" t="s">
        <v>490</v>
      </c>
      <c r="E52">
        <v>460.41500000000002</v>
      </c>
      <c r="F52" t="s">
        <v>17</v>
      </c>
      <c r="G52">
        <v>460415</v>
      </c>
      <c r="H52">
        <v>384329.47033898305</v>
      </c>
    </row>
    <row r="53" spans="1:8" hidden="1" x14ac:dyDescent="0.35">
      <c r="A53" t="s">
        <v>7</v>
      </c>
      <c r="B53">
        <v>2023</v>
      </c>
      <c r="C53" t="s">
        <v>16</v>
      </c>
      <c r="D53" t="s">
        <v>490</v>
      </c>
      <c r="E53">
        <v>404.04599999999999</v>
      </c>
      <c r="F53" t="s">
        <v>17</v>
      </c>
      <c r="G53">
        <v>404046</v>
      </c>
      <c r="H53">
        <v>337275.68644067796</v>
      </c>
    </row>
    <row r="54" spans="1:8" hidden="1" x14ac:dyDescent="0.35">
      <c r="A54" t="s">
        <v>7</v>
      </c>
      <c r="B54">
        <v>2024</v>
      </c>
      <c r="C54" t="s">
        <v>16</v>
      </c>
      <c r="D54" t="s">
        <v>490</v>
      </c>
      <c r="E54">
        <v>478.89299999999997</v>
      </c>
      <c r="F54" t="s">
        <v>17</v>
      </c>
      <c r="G54">
        <v>478893</v>
      </c>
      <c r="H54">
        <v>399753.90254237287</v>
      </c>
    </row>
    <row r="55" spans="1:8" hidden="1" x14ac:dyDescent="0.35">
      <c r="A55" t="s">
        <v>7</v>
      </c>
      <c r="B55">
        <v>2025</v>
      </c>
      <c r="C55" t="s">
        <v>16</v>
      </c>
      <c r="D55" t="s">
        <v>490</v>
      </c>
      <c r="E55">
        <v>483.88799999999998</v>
      </c>
      <c r="F55" t="s">
        <v>17</v>
      </c>
      <c r="G55">
        <v>483888</v>
      </c>
      <c r="H55">
        <v>403923.45762711862</v>
      </c>
    </row>
    <row r="56" spans="1:8" hidden="1" x14ac:dyDescent="0.35">
      <c r="A56" t="s">
        <v>7</v>
      </c>
      <c r="B56">
        <v>2026</v>
      </c>
      <c r="C56" t="s">
        <v>16</v>
      </c>
      <c r="D56" t="s">
        <v>490</v>
      </c>
      <c r="E56">
        <v>475.56599999999997</v>
      </c>
      <c r="F56" t="s">
        <v>17</v>
      </c>
      <c r="G56">
        <v>475566</v>
      </c>
      <c r="H56">
        <v>396976.70338983048</v>
      </c>
    </row>
    <row r="57" spans="1:8" hidden="1" x14ac:dyDescent="0.35">
      <c r="A57" t="s">
        <v>7</v>
      </c>
      <c r="B57">
        <v>2027</v>
      </c>
      <c r="C57" t="s">
        <v>16</v>
      </c>
      <c r="D57" t="s">
        <v>490</v>
      </c>
      <c r="E57">
        <v>494.964</v>
      </c>
      <c r="F57" t="s">
        <v>17</v>
      </c>
      <c r="G57">
        <v>494964</v>
      </c>
      <c r="H57">
        <v>413169.10169491527</v>
      </c>
    </row>
    <row r="58" spans="1:8" hidden="1" x14ac:dyDescent="0.35">
      <c r="A58" t="s">
        <v>7</v>
      </c>
      <c r="B58">
        <v>2028</v>
      </c>
      <c r="C58" t="s">
        <v>16</v>
      </c>
      <c r="D58" t="s">
        <v>490</v>
      </c>
      <c r="E58">
        <v>461.12</v>
      </c>
      <c r="F58" t="s">
        <v>17</v>
      </c>
      <c r="G58">
        <v>461120</v>
      </c>
      <c r="H58">
        <v>384917.96610169491</v>
      </c>
    </row>
    <row r="59" spans="1:8" hidden="1" x14ac:dyDescent="0.35">
      <c r="A59" t="s">
        <v>7</v>
      </c>
      <c r="B59">
        <v>2029</v>
      </c>
      <c r="C59" t="s">
        <v>16</v>
      </c>
      <c r="D59" t="s">
        <v>490</v>
      </c>
      <c r="E59">
        <v>348.255</v>
      </c>
      <c r="F59" t="s">
        <v>17</v>
      </c>
      <c r="G59">
        <v>348255</v>
      </c>
      <c r="H59">
        <v>290704.38559322036</v>
      </c>
    </row>
    <row r="60" spans="1:8" hidden="1" x14ac:dyDescent="0.35">
      <c r="A60" t="s">
        <v>7</v>
      </c>
      <c r="B60">
        <v>2030</v>
      </c>
      <c r="C60" t="s">
        <v>16</v>
      </c>
      <c r="D60" t="s">
        <v>490</v>
      </c>
      <c r="E60">
        <v>331.738</v>
      </c>
      <c r="F60" t="s">
        <v>17</v>
      </c>
      <c r="G60">
        <v>331738</v>
      </c>
      <c r="H60">
        <v>276916.8898305085</v>
      </c>
    </row>
    <row r="61" spans="1:8" hidden="1" x14ac:dyDescent="0.35">
      <c r="A61" t="s">
        <v>7</v>
      </c>
      <c r="B61">
        <v>2031</v>
      </c>
      <c r="C61" t="s">
        <v>16</v>
      </c>
      <c r="D61" t="s">
        <v>490</v>
      </c>
      <c r="E61">
        <v>311.14499999999998</v>
      </c>
      <c r="F61" t="s">
        <v>17</v>
      </c>
      <c r="G61">
        <v>311145</v>
      </c>
      <c r="H61">
        <v>259726.97033898305</v>
      </c>
    </row>
    <row r="62" spans="1:8" hidden="1" x14ac:dyDescent="0.35">
      <c r="A62" t="s">
        <v>7</v>
      </c>
      <c r="B62">
        <v>2032</v>
      </c>
      <c r="C62" t="s">
        <v>16</v>
      </c>
      <c r="D62" t="s">
        <v>490</v>
      </c>
      <c r="E62">
        <v>309.45299999999997</v>
      </c>
      <c r="F62" t="s">
        <v>17</v>
      </c>
      <c r="G62">
        <v>309453</v>
      </c>
      <c r="H62">
        <v>258314.58050847458</v>
      </c>
    </row>
    <row r="63" spans="1:8" hidden="1" x14ac:dyDescent="0.35">
      <c r="A63" t="s">
        <v>7</v>
      </c>
      <c r="B63">
        <v>2033</v>
      </c>
      <c r="C63" t="s">
        <v>16</v>
      </c>
      <c r="D63" t="s">
        <v>490</v>
      </c>
      <c r="E63">
        <v>276.87799999999999</v>
      </c>
      <c r="F63" t="s">
        <v>17</v>
      </c>
      <c r="G63">
        <v>276878</v>
      </c>
      <c r="H63">
        <v>231122.7372881356</v>
      </c>
    </row>
    <row r="64" spans="1:8" hidden="1" x14ac:dyDescent="0.35">
      <c r="A64" t="s">
        <v>7</v>
      </c>
      <c r="B64">
        <v>2034</v>
      </c>
      <c r="C64" t="s">
        <v>16</v>
      </c>
      <c r="D64" t="s">
        <v>490</v>
      </c>
      <c r="E64">
        <v>265.77800000000002</v>
      </c>
      <c r="F64" t="s">
        <v>17</v>
      </c>
      <c r="G64">
        <v>265778</v>
      </c>
      <c r="H64">
        <v>221857.05932203389</v>
      </c>
    </row>
    <row r="65" spans="1:12" hidden="1" x14ac:dyDescent="0.35">
      <c r="A65" t="s">
        <v>7</v>
      </c>
      <c r="B65">
        <v>2035</v>
      </c>
      <c r="C65" t="s">
        <v>16</v>
      </c>
      <c r="D65" t="s">
        <v>490</v>
      </c>
      <c r="E65">
        <v>268.899</v>
      </c>
      <c r="F65" t="s">
        <v>17</v>
      </c>
      <c r="G65">
        <v>268899</v>
      </c>
      <c r="H65">
        <v>224462.30084745763</v>
      </c>
    </row>
    <row r="66" spans="1:12" hidden="1" x14ac:dyDescent="0.35">
      <c r="A66" t="s">
        <v>7</v>
      </c>
      <c r="B66">
        <v>2036</v>
      </c>
      <c r="C66" t="s">
        <v>16</v>
      </c>
      <c r="D66" t="s">
        <v>490</v>
      </c>
      <c r="E66">
        <v>260.85899999999998</v>
      </c>
      <c r="F66" t="s">
        <v>17</v>
      </c>
      <c r="G66">
        <v>260858.99999999997</v>
      </c>
      <c r="H66">
        <v>217750.94491525422</v>
      </c>
    </row>
    <row r="67" spans="1:12" hidden="1" x14ac:dyDescent="0.35">
      <c r="A67" t="s">
        <v>7</v>
      </c>
      <c r="B67">
        <v>2037</v>
      </c>
      <c r="C67" t="s">
        <v>16</v>
      </c>
      <c r="D67" t="s">
        <v>490</v>
      </c>
      <c r="E67">
        <v>216.67500000000001</v>
      </c>
      <c r="F67" t="s">
        <v>17</v>
      </c>
      <c r="G67">
        <v>216675</v>
      </c>
      <c r="H67">
        <v>180868.53813559323</v>
      </c>
    </row>
    <row r="68" spans="1:12" hidden="1" x14ac:dyDescent="0.35">
      <c r="A68" t="s">
        <v>7</v>
      </c>
      <c r="B68">
        <v>2038</v>
      </c>
      <c r="C68" t="s">
        <v>16</v>
      </c>
      <c r="D68" t="s">
        <v>490</v>
      </c>
      <c r="E68">
        <v>149.63300000000001</v>
      </c>
      <c r="F68" t="s">
        <v>17</v>
      </c>
      <c r="G68">
        <v>149633</v>
      </c>
      <c r="H68">
        <v>124905.5127118644</v>
      </c>
    </row>
    <row r="69" spans="1:12" hidden="1" x14ac:dyDescent="0.35">
      <c r="A69" t="s">
        <v>7</v>
      </c>
      <c r="B69">
        <v>2039</v>
      </c>
      <c r="C69" t="s">
        <v>16</v>
      </c>
      <c r="D69" t="s">
        <v>490</v>
      </c>
      <c r="E69">
        <v>174.13</v>
      </c>
      <c r="F69" t="s">
        <v>17</v>
      </c>
      <c r="G69">
        <v>174130</v>
      </c>
      <c r="H69">
        <v>145354.27966101695</v>
      </c>
    </row>
    <row r="70" spans="1:12" hidden="1" x14ac:dyDescent="0.35">
      <c r="A70" t="s">
        <v>7</v>
      </c>
      <c r="B70">
        <v>2040</v>
      </c>
      <c r="C70" t="s">
        <v>16</v>
      </c>
      <c r="D70" t="s">
        <v>490</v>
      </c>
      <c r="E70">
        <v>183.01900000000001</v>
      </c>
      <c r="F70" t="s">
        <v>17</v>
      </c>
      <c r="G70">
        <v>183019</v>
      </c>
      <c r="H70">
        <v>152774.33474576272</v>
      </c>
    </row>
    <row r="71" spans="1:12" hidden="1" x14ac:dyDescent="0.35">
      <c r="A71" t="s">
        <v>7</v>
      </c>
      <c r="B71">
        <v>2018</v>
      </c>
      <c r="C71" t="s">
        <v>18</v>
      </c>
      <c r="D71" t="s">
        <v>490</v>
      </c>
      <c r="E71">
        <v>535.50900000000001</v>
      </c>
      <c r="F71" t="s">
        <v>17</v>
      </c>
      <c r="G71">
        <v>535509</v>
      </c>
      <c r="H71">
        <v>447013.86864406778</v>
      </c>
      <c r="J71">
        <f>H71/G71</f>
        <v>0.8347457627118644</v>
      </c>
    </row>
    <row r="72" spans="1:12" hidden="1" x14ac:dyDescent="0.35">
      <c r="A72" t="s">
        <v>7</v>
      </c>
      <c r="B72">
        <v>2019</v>
      </c>
      <c r="C72" t="s">
        <v>18</v>
      </c>
      <c r="D72" t="s">
        <v>490</v>
      </c>
      <c r="E72">
        <v>557.84900000000005</v>
      </c>
      <c r="F72" t="s">
        <v>17</v>
      </c>
      <c r="G72">
        <v>557849</v>
      </c>
      <c r="H72">
        <v>465662.08898305084</v>
      </c>
      <c r="J72">
        <f t="shared" ref="J72:J93" si="0">H72/G72</f>
        <v>0.8347457627118644</v>
      </c>
    </row>
    <row r="73" spans="1:12" hidden="1" x14ac:dyDescent="0.35">
      <c r="A73" t="s">
        <v>7</v>
      </c>
      <c r="B73">
        <v>2020</v>
      </c>
      <c r="C73" t="s">
        <v>18</v>
      </c>
      <c r="D73" t="s">
        <v>490</v>
      </c>
      <c r="E73">
        <v>530.92100000000005</v>
      </c>
      <c r="F73" t="s">
        <v>17</v>
      </c>
      <c r="G73">
        <v>530921</v>
      </c>
      <c r="H73">
        <v>443184.05508474575</v>
      </c>
      <c r="J73">
        <f t="shared" si="0"/>
        <v>0.8347457627118644</v>
      </c>
    </row>
    <row r="74" spans="1:12" hidden="1" x14ac:dyDescent="0.35">
      <c r="A74" t="s">
        <v>7</v>
      </c>
      <c r="B74">
        <v>2021</v>
      </c>
      <c r="C74" t="s">
        <v>18</v>
      </c>
      <c r="D74" t="s">
        <v>490</v>
      </c>
      <c r="E74">
        <v>488.52199999999999</v>
      </c>
      <c r="F74" t="s">
        <v>17</v>
      </c>
      <c r="G74">
        <v>488522</v>
      </c>
      <c r="H74">
        <v>407791.66949152545</v>
      </c>
      <c r="J74">
        <f t="shared" si="0"/>
        <v>0.8347457627118644</v>
      </c>
    </row>
    <row r="75" spans="1:12" hidden="1" x14ac:dyDescent="0.35">
      <c r="A75" t="s">
        <v>7</v>
      </c>
      <c r="B75">
        <v>2022</v>
      </c>
      <c r="C75" t="s">
        <v>18</v>
      </c>
      <c r="D75" t="s">
        <v>490</v>
      </c>
      <c r="E75">
        <v>460.41500000000002</v>
      </c>
      <c r="F75" t="s">
        <v>17</v>
      </c>
      <c r="G75">
        <v>460415</v>
      </c>
      <c r="H75">
        <v>384329.47033898305</v>
      </c>
      <c r="J75">
        <f t="shared" si="0"/>
        <v>0.8347457627118644</v>
      </c>
    </row>
    <row r="76" spans="1:12" hidden="1" x14ac:dyDescent="0.35">
      <c r="A76" t="s">
        <v>7</v>
      </c>
      <c r="B76">
        <v>2023</v>
      </c>
      <c r="C76" t="s">
        <v>18</v>
      </c>
      <c r="D76" t="s">
        <v>490</v>
      </c>
      <c r="E76">
        <v>483.96799647683338</v>
      </c>
      <c r="F76" t="s">
        <v>17</v>
      </c>
      <c r="G76">
        <v>483967.99647683336</v>
      </c>
      <c r="H76">
        <v>403990.23434718716</v>
      </c>
      <c r="J76">
        <f t="shared" si="0"/>
        <v>0.8347457627118644</v>
      </c>
    </row>
    <row r="77" spans="1:12" hidden="1" x14ac:dyDescent="0.35">
      <c r="A77" t="s">
        <v>7</v>
      </c>
      <c r="B77">
        <v>2024</v>
      </c>
      <c r="C77" t="s">
        <v>18</v>
      </c>
      <c r="D77" t="s">
        <v>490</v>
      </c>
      <c r="E77">
        <v>508.7258703860652</v>
      </c>
      <c r="F77" t="s">
        <v>17</v>
      </c>
      <c r="G77">
        <v>508725.87038606522</v>
      </c>
      <c r="H77">
        <v>424656.76468667306</v>
      </c>
      <c r="J77">
        <f t="shared" si="0"/>
        <v>0.8347457627118644</v>
      </c>
    </row>
    <row r="78" spans="1:12" x14ac:dyDescent="0.35">
      <c r="A78" t="s">
        <v>7</v>
      </c>
      <c r="B78">
        <v>2025</v>
      </c>
      <c r="C78" t="s">
        <v>18</v>
      </c>
      <c r="D78" t="s">
        <v>490</v>
      </c>
      <c r="E78">
        <v>534.75025845525715</v>
      </c>
      <c r="F78" t="s">
        <v>17</v>
      </c>
      <c r="G78">
        <v>534750.25845525716</v>
      </c>
      <c r="H78">
        <v>446380.51235460024</v>
      </c>
      <c r="J78">
        <f t="shared" si="0"/>
        <v>0.8347457627118644</v>
      </c>
      <c r="L78">
        <f>G78*0.83</f>
        <v>443842.71451786341</v>
      </c>
    </row>
    <row r="79" spans="1:12" x14ac:dyDescent="0.35">
      <c r="A79" t="s">
        <v>7</v>
      </c>
      <c r="B79">
        <v>2026</v>
      </c>
      <c r="C79" t="s">
        <v>18</v>
      </c>
      <c r="D79" t="s">
        <v>490</v>
      </c>
      <c r="E79">
        <v>562.10595050130769</v>
      </c>
      <c r="F79" t="s">
        <v>17</v>
      </c>
      <c r="G79">
        <v>562105.95050130773</v>
      </c>
      <c r="H79">
        <v>469215.56037609163</v>
      </c>
      <c r="J79">
        <f t="shared" si="0"/>
        <v>0.8347457627118644</v>
      </c>
    </row>
    <row r="80" spans="1:12" x14ac:dyDescent="0.35">
      <c r="A80" t="s">
        <v>7</v>
      </c>
      <c r="B80">
        <v>2027</v>
      </c>
      <c r="C80" t="s">
        <v>18</v>
      </c>
      <c r="D80" t="s">
        <v>490</v>
      </c>
      <c r="E80">
        <v>590.86105072993712</v>
      </c>
      <c r="F80" t="s">
        <v>17</v>
      </c>
      <c r="G80">
        <v>590861.05072993715</v>
      </c>
      <c r="H80">
        <v>493218.758448295</v>
      </c>
      <c r="J80">
        <f t="shared" si="0"/>
        <v>0.8347457627118644</v>
      </c>
    </row>
    <row r="81" spans="1:10" x14ac:dyDescent="0.35">
      <c r="A81" t="s">
        <v>7</v>
      </c>
      <c r="B81">
        <v>2028</v>
      </c>
      <c r="C81" t="s">
        <v>18</v>
      </c>
      <c r="D81" t="s">
        <v>490</v>
      </c>
      <c r="E81">
        <v>621.08714728660948</v>
      </c>
      <c r="F81" t="s">
        <v>17</v>
      </c>
      <c r="G81">
        <v>621087.14728660951</v>
      </c>
      <c r="H81">
        <v>518449.8644722969</v>
      </c>
      <c r="J81">
        <f t="shared" si="0"/>
        <v>0.8347457627118644</v>
      </c>
    </row>
    <row r="82" spans="1:10" x14ac:dyDescent="0.35">
      <c r="A82" t="s">
        <v>7</v>
      </c>
      <c r="B82">
        <v>2029</v>
      </c>
      <c r="C82" t="s">
        <v>18</v>
      </c>
      <c r="D82" t="s">
        <v>490</v>
      </c>
      <c r="E82">
        <v>652.85949048100599</v>
      </c>
      <c r="F82" t="s">
        <v>17</v>
      </c>
      <c r="G82">
        <v>652859.49048100598</v>
      </c>
      <c r="H82">
        <v>544971.69332524657</v>
      </c>
      <c r="J82">
        <f t="shared" si="0"/>
        <v>0.83474576271186451</v>
      </c>
    </row>
    <row r="83" spans="1:10" x14ac:dyDescent="0.35">
      <c r="A83" t="s">
        <v>7</v>
      </c>
      <c r="B83">
        <v>2030</v>
      </c>
      <c r="C83" t="s">
        <v>18</v>
      </c>
      <c r="D83" t="s">
        <v>490</v>
      </c>
      <c r="E83">
        <v>686.25718012875052</v>
      </c>
      <c r="F83" t="s">
        <v>17</v>
      </c>
      <c r="G83">
        <v>686257.18012875051</v>
      </c>
      <c r="H83">
        <v>572850.2732430672</v>
      </c>
      <c r="J83">
        <f t="shared" si="0"/>
        <v>0.83474576271186451</v>
      </c>
    </row>
    <row r="84" spans="1:10" x14ac:dyDescent="0.35">
      <c r="A84" t="s">
        <v>7</v>
      </c>
      <c r="B84">
        <v>2031</v>
      </c>
      <c r="C84" t="s">
        <v>18</v>
      </c>
      <c r="D84" t="s">
        <v>490</v>
      </c>
      <c r="E84">
        <v>721.3633624767931</v>
      </c>
      <c r="F84" t="s">
        <v>17</v>
      </c>
      <c r="G84">
        <v>721363.36247679312</v>
      </c>
      <c r="H84">
        <v>602155.01020308572</v>
      </c>
      <c r="J84">
        <f t="shared" si="0"/>
        <v>0.83474576271186429</v>
      </c>
    </row>
    <row r="85" spans="1:10" x14ac:dyDescent="0.35">
      <c r="A85" t="s">
        <v>7</v>
      </c>
      <c r="B85">
        <v>2032</v>
      </c>
      <c r="C85" t="s">
        <v>18</v>
      </c>
      <c r="D85" t="s">
        <v>490</v>
      </c>
      <c r="E85">
        <v>758.26543720270911</v>
      </c>
      <c r="F85" t="s">
        <v>17</v>
      </c>
      <c r="G85">
        <v>758265.43720270914</v>
      </c>
      <c r="H85">
        <v>632958.8607158208</v>
      </c>
      <c r="J85">
        <f t="shared" si="0"/>
        <v>0.8347457627118644</v>
      </c>
    </row>
    <row r="86" spans="1:10" x14ac:dyDescent="0.35">
      <c r="A86" t="s">
        <v>7</v>
      </c>
      <c r="B86">
        <v>2033</v>
      </c>
      <c r="C86" t="s">
        <v>18</v>
      </c>
      <c r="D86" t="s">
        <v>490</v>
      </c>
      <c r="E86">
        <v>797.05527500325866</v>
      </c>
      <c r="F86" t="s">
        <v>17</v>
      </c>
      <c r="G86">
        <v>797055.2750032586</v>
      </c>
      <c r="H86">
        <v>665338.51345610991</v>
      </c>
      <c r="J86">
        <f t="shared" si="0"/>
        <v>0.8347457627118644</v>
      </c>
    </row>
    <row r="87" spans="1:10" x14ac:dyDescent="0.35">
      <c r="A87" t="s">
        <v>7</v>
      </c>
      <c r="B87">
        <v>2034</v>
      </c>
      <c r="C87" t="s">
        <v>18</v>
      </c>
      <c r="D87" t="s">
        <v>490</v>
      </c>
      <c r="E87">
        <v>837.8294463139091</v>
      </c>
      <c r="F87" t="s">
        <v>17</v>
      </c>
      <c r="G87">
        <v>837829.44631390914</v>
      </c>
      <c r="H87">
        <v>699374.58018576319</v>
      </c>
      <c r="J87">
        <f t="shared" si="0"/>
        <v>0.83474576271186451</v>
      </c>
    </row>
    <row r="88" spans="1:10" x14ac:dyDescent="0.35">
      <c r="A88" t="s">
        <v>7</v>
      </c>
      <c r="B88">
        <v>2035</v>
      </c>
      <c r="C88" t="s">
        <v>18</v>
      </c>
      <c r="D88" t="s">
        <v>490</v>
      </c>
      <c r="E88">
        <v>880.68946172873859</v>
      </c>
      <c r="F88" t="s">
        <v>17</v>
      </c>
      <c r="G88">
        <v>880689.46172873862</v>
      </c>
      <c r="H88">
        <v>735151.79644305725</v>
      </c>
      <c r="J88">
        <f t="shared" si="0"/>
        <v>0.8347457627118644</v>
      </c>
    </row>
    <row r="89" spans="1:10" x14ac:dyDescent="0.35">
      <c r="A89" t="s">
        <v>7</v>
      </c>
      <c r="B89">
        <v>2036</v>
      </c>
      <c r="C89" t="s">
        <v>18</v>
      </c>
      <c r="D89" t="s">
        <v>490</v>
      </c>
      <c r="E89">
        <v>925.74202471926105</v>
      </c>
      <c r="F89" t="s">
        <v>17</v>
      </c>
      <c r="G89">
        <v>925742.0247192611</v>
      </c>
      <c r="H89">
        <v>772759.23249870527</v>
      </c>
      <c r="J89">
        <f t="shared" si="0"/>
        <v>0.8347457627118644</v>
      </c>
    </row>
    <row r="90" spans="1:10" x14ac:dyDescent="0.35">
      <c r="A90" t="s">
        <v>7</v>
      </c>
      <c r="B90">
        <v>2037</v>
      </c>
      <c r="C90" t="s">
        <v>18</v>
      </c>
      <c r="D90" t="s">
        <v>490</v>
      </c>
      <c r="E90">
        <v>973.09929728133943</v>
      </c>
      <c r="F90" t="s">
        <v>17</v>
      </c>
      <c r="G90">
        <v>973099.29728133942</v>
      </c>
      <c r="H90">
        <v>812290.51510349091</v>
      </c>
      <c r="J90">
        <f t="shared" si="0"/>
        <v>0.8347457627118644</v>
      </c>
    </row>
    <row r="91" spans="1:10" x14ac:dyDescent="0.35">
      <c r="A91" t="s">
        <v>7</v>
      </c>
      <c r="B91">
        <v>2038</v>
      </c>
      <c r="C91" t="s">
        <v>18</v>
      </c>
      <c r="D91" t="s">
        <v>490</v>
      </c>
      <c r="E91">
        <v>1022.8791791715392</v>
      </c>
      <c r="F91" t="s">
        <v>17</v>
      </c>
      <c r="G91">
        <v>1022879.1791715393</v>
      </c>
      <c r="H91">
        <v>853844.06057963229</v>
      </c>
      <c r="J91">
        <f t="shared" si="0"/>
        <v>0.8347457627118644</v>
      </c>
    </row>
    <row r="92" spans="1:10" x14ac:dyDescent="0.35">
      <c r="A92" t="s">
        <v>7</v>
      </c>
      <c r="B92">
        <v>2039</v>
      </c>
      <c r="C92" t="s">
        <v>18</v>
      </c>
      <c r="D92" t="s">
        <v>490</v>
      </c>
      <c r="E92">
        <v>1075.2056014280979</v>
      </c>
      <c r="F92" t="s">
        <v>17</v>
      </c>
      <c r="G92">
        <v>1075205.6014280978</v>
      </c>
      <c r="H92">
        <v>897523.31983616634</v>
      </c>
      <c r="J92">
        <f t="shared" si="0"/>
        <v>0.8347457627118644</v>
      </c>
    </row>
    <row r="93" spans="1:10" x14ac:dyDescent="0.35">
      <c r="A93" t="s">
        <v>7</v>
      </c>
      <c r="B93">
        <v>2040</v>
      </c>
      <c r="C93" t="s">
        <v>18</v>
      </c>
      <c r="D93" t="s">
        <v>490</v>
      </c>
      <c r="E93">
        <v>1130.2088349072583</v>
      </c>
      <c r="F93" t="s">
        <v>17</v>
      </c>
      <c r="G93">
        <v>1130208.8349072584</v>
      </c>
      <c r="H93">
        <v>943437.03591834707</v>
      </c>
      <c r="J93">
        <f t="shared" si="0"/>
        <v>0.8347457627118644</v>
      </c>
    </row>
    <row r="94" spans="1:10" hidden="1" x14ac:dyDescent="0.35">
      <c r="A94" t="s">
        <v>12</v>
      </c>
      <c r="B94">
        <v>2018</v>
      </c>
      <c r="C94" t="s">
        <v>16</v>
      </c>
      <c r="D94" t="s">
        <v>490</v>
      </c>
      <c r="E94">
        <v>0</v>
      </c>
      <c r="F94" t="s">
        <v>17</v>
      </c>
      <c r="G94">
        <v>0</v>
      </c>
      <c r="H94">
        <v>0</v>
      </c>
    </row>
    <row r="95" spans="1:10" hidden="1" x14ac:dyDescent="0.35">
      <c r="A95" t="s">
        <v>12</v>
      </c>
      <c r="B95">
        <v>2019</v>
      </c>
      <c r="C95" t="s">
        <v>16</v>
      </c>
      <c r="D95" t="s">
        <v>490</v>
      </c>
      <c r="E95">
        <v>0</v>
      </c>
      <c r="F95" t="s">
        <v>17</v>
      </c>
      <c r="G95">
        <v>0</v>
      </c>
      <c r="H95">
        <v>0</v>
      </c>
    </row>
    <row r="96" spans="1:10" hidden="1" x14ac:dyDescent="0.35">
      <c r="A96" t="s">
        <v>12</v>
      </c>
      <c r="B96">
        <v>2020</v>
      </c>
      <c r="C96" t="s">
        <v>16</v>
      </c>
      <c r="D96" t="s">
        <v>490</v>
      </c>
      <c r="E96">
        <v>0</v>
      </c>
      <c r="F96" t="s">
        <v>17</v>
      </c>
      <c r="G96">
        <v>0</v>
      </c>
      <c r="H96">
        <v>0</v>
      </c>
    </row>
    <row r="97" spans="1:8" hidden="1" x14ac:dyDescent="0.35">
      <c r="A97" t="s">
        <v>12</v>
      </c>
      <c r="B97">
        <v>2021</v>
      </c>
      <c r="C97" t="s">
        <v>16</v>
      </c>
      <c r="D97" t="s">
        <v>490</v>
      </c>
      <c r="E97">
        <v>0.188</v>
      </c>
      <c r="F97" t="s">
        <v>17</v>
      </c>
      <c r="G97">
        <v>188</v>
      </c>
      <c r="H97">
        <v>131.44404853212131</v>
      </c>
    </row>
    <row r="98" spans="1:8" hidden="1" x14ac:dyDescent="0.35">
      <c r="A98" t="s">
        <v>12</v>
      </c>
      <c r="B98">
        <v>2022</v>
      </c>
      <c r="C98" t="s">
        <v>16</v>
      </c>
      <c r="D98" t="s">
        <v>490</v>
      </c>
      <c r="E98">
        <v>3.4750000000000001</v>
      </c>
      <c r="F98" t="s">
        <v>17</v>
      </c>
      <c r="G98">
        <v>3475</v>
      </c>
      <c r="H98">
        <v>2429.6173864314978</v>
      </c>
    </row>
    <row r="99" spans="1:8" hidden="1" x14ac:dyDescent="0.35">
      <c r="A99" t="s">
        <v>12</v>
      </c>
      <c r="B99">
        <v>2023</v>
      </c>
      <c r="C99" t="s">
        <v>16</v>
      </c>
      <c r="D99" t="s">
        <v>490</v>
      </c>
      <c r="E99">
        <v>16.725999999999999</v>
      </c>
      <c r="F99" t="s">
        <v>17</v>
      </c>
      <c r="G99">
        <v>16726</v>
      </c>
      <c r="H99">
        <v>11694.325296533305</v>
      </c>
    </row>
    <row r="100" spans="1:8" hidden="1" x14ac:dyDescent="0.35">
      <c r="A100" t="s">
        <v>12</v>
      </c>
      <c r="B100">
        <v>2024</v>
      </c>
      <c r="C100" t="s">
        <v>16</v>
      </c>
      <c r="D100" t="s">
        <v>490</v>
      </c>
      <c r="E100">
        <v>39.863999999999997</v>
      </c>
      <c r="F100" t="s">
        <v>17</v>
      </c>
      <c r="G100">
        <v>39864</v>
      </c>
      <c r="H100">
        <v>27871.731652577044</v>
      </c>
    </row>
    <row r="101" spans="1:8" hidden="1" x14ac:dyDescent="0.35">
      <c r="A101" t="s">
        <v>12</v>
      </c>
      <c r="B101">
        <v>2025</v>
      </c>
      <c r="C101" t="s">
        <v>16</v>
      </c>
      <c r="D101" t="s">
        <v>490</v>
      </c>
      <c r="E101">
        <v>37.578000000000003</v>
      </c>
      <c r="F101" t="s">
        <v>17</v>
      </c>
      <c r="G101">
        <v>37578</v>
      </c>
      <c r="H101">
        <v>26273.427956064123</v>
      </c>
    </row>
    <row r="102" spans="1:8" hidden="1" x14ac:dyDescent="0.35">
      <c r="A102" t="s">
        <v>12</v>
      </c>
      <c r="B102">
        <v>2026</v>
      </c>
      <c r="C102" t="s">
        <v>16</v>
      </c>
      <c r="D102" t="s">
        <v>490</v>
      </c>
      <c r="E102">
        <v>39.969000000000001</v>
      </c>
      <c r="F102" t="s">
        <v>17</v>
      </c>
      <c r="G102">
        <v>39969</v>
      </c>
      <c r="H102">
        <v>27945.144552023175</v>
      </c>
    </row>
    <row r="103" spans="1:8" hidden="1" x14ac:dyDescent="0.35">
      <c r="A103" t="s">
        <v>12</v>
      </c>
      <c r="B103">
        <v>2027</v>
      </c>
      <c r="C103" t="s">
        <v>16</v>
      </c>
      <c r="D103" t="s">
        <v>490</v>
      </c>
      <c r="E103">
        <v>41.682000000000002</v>
      </c>
      <c r="F103" t="s">
        <v>17</v>
      </c>
      <c r="G103">
        <v>41682</v>
      </c>
      <c r="H103">
        <v>29142.823568701497</v>
      </c>
    </row>
    <row r="104" spans="1:8" hidden="1" x14ac:dyDescent="0.35">
      <c r="A104" t="s">
        <v>12</v>
      </c>
      <c r="B104">
        <v>2028</v>
      </c>
      <c r="C104" t="s">
        <v>16</v>
      </c>
      <c r="D104" t="s">
        <v>490</v>
      </c>
      <c r="E104">
        <v>40.292000000000002</v>
      </c>
      <c r="F104" t="s">
        <v>17</v>
      </c>
      <c r="G104">
        <v>40292</v>
      </c>
      <c r="H104">
        <v>28170.976614128896</v>
      </c>
    </row>
    <row r="105" spans="1:8" hidden="1" x14ac:dyDescent="0.35">
      <c r="A105" t="s">
        <v>12</v>
      </c>
      <c r="B105">
        <v>2029</v>
      </c>
      <c r="C105" t="s">
        <v>16</v>
      </c>
      <c r="D105" t="s">
        <v>490</v>
      </c>
      <c r="E105">
        <v>37.906999999999996</v>
      </c>
      <c r="F105" t="s">
        <v>17</v>
      </c>
      <c r="G105">
        <v>37907</v>
      </c>
      <c r="H105">
        <v>26503.455040995337</v>
      </c>
    </row>
    <row r="106" spans="1:8" hidden="1" x14ac:dyDescent="0.35">
      <c r="A106" t="s">
        <v>12</v>
      </c>
      <c r="B106">
        <v>2030</v>
      </c>
      <c r="C106" t="s">
        <v>16</v>
      </c>
      <c r="D106" t="s">
        <v>490</v>
      </c>
      <c r="E106">
        <v>38.978999999999999</v>
      </c>
      <c r="F106" t="s">
        <v>17</v>
      </c>
      <c r="G106">
        <v>38979</v>
      </c>
      <c r="H106">
        <v>27252.965785816792</v>
      </c>
    </row>
    <row r="107" spans="1:8" hidden="1" x14ac:dyDescent="0.35">
      <c r="A107" t="s">
        <v>12</v>
      </c>
      <c r="B107">
        <v>2031</v>
      </c>
      <c r="C107" t="s">
        <v>16</v>
      </c>
      <c r="D107" t="s">
        <v>490</v>
      </c>
      <c r="E107">
        <v>38.165999999999997</v>
      </c>
      <c r="F107" t="s">
        <v>17</v>
      </c>
      <c r="G107">
        <v>38166</v>
      </c>
      <c r="H107">
        <v>26684.54019296246</v>
      </c>
    </row>
    <row r="108" spans="1:8" hidden="1" x14ac:dyDescent="0.35">
      <c r="A108" t="s">
        <v>12</v>
      </c>
      <c r="B108">
        <v>2032</v>
      </c>
      <c r="C108" t="s">
        <v>16</v>
      </c>
      <c r="D108" t="s">
        <v>490</v>
      </c>
      <c r="E108">
        <v>40.61</v>
      </c>
      <c r="F108" t="s">
        <v>17</v>
      </c>
      <c r="G108">
        <v>40610</v>
      </c>
      <c r="H108">
        <v>28393.312823880038</v>
      </c>
    </row>
    <row r="109" spans="1:8" hidden="1" x14ac:dyDescent="0.35">
      <c r="A109" t="s">
        <v>12</v>
      </c>
      <c r="B109">
        <v>2033</v>
      </c>
      <c r="C109" t="s">
        <v>16</v>
      </c>
      <c r="D109" t="s">
        <v>490</v>
      </c>
      <c r="E109">
        <v>37.831000000000003</v>
      </c>
      <c r="F109" t="s">
        <v>17</v>
      </c>
      <c r="G109">
        <v>37831</v>
      </c>
      <c r="H109">
        <v>26450.318085205756</v>
      </c>
    </row>
    <row r="110" spans="1:8" hidden="1" x14ac:dyDescent="0.35">
      <c r="A110" t="s">
        <v>12</v>
      </c>
      <c r="B110">
        <v>2034</v>
      </c>
      <c r="C110" t="s">
        <v>16</v>
      </c>
      <c r="D110" t="s">
        <v>490</v>
      </c>
      <c r="E110">
        <v>39.773000000000003</v>
      </c>
      <c r="F110" t="s">
        <v>17</v>
      </c>
      <c r="G110">
        <v>39773</v>
      </c>
      <c r="H110">
        <v>27808.107139723732</v>
      </c>
    </row>
    <row r="111" spans="1:8" hidden="1" x14ac:dyDescent="0.35">
      <c r="A111" t="s">
        <v>12</v>
      </c>
      <c r="B111">
        <v>2035</v>
      </c>
      <c r="C111" t="s">
        <v>16</v>
      </c>
      <c r="D111" t="s">
        <v>490</v>
      </c>
      <c r="E111">
        <v>40.453000000000003</v>
      </c>
      <c r="F111" t="s">
        <v>17</v>
      </c>
      <c r="G111">
        <v>40453</v>
      </c>
      <c r="H111">
        <v>28283.543059946296</v>
      </c>
    </row>
    <row r="112" spans="1:8" hidden="1" x14ac:dyDescent="0.35">
      <c r="A112" t="s">
        <v>12</v>
      </c>
      <c r="B112">
        <v>2036</v>
      </c>
      <c r="C112" t="s">
        <v>16</v>
      </c>
      <c r="D112" t="s">
        <v>490</v>
      </c>
      <c r="E112">
        <v>37.189</v>
      </c>
      <c r="F112" t="s">
        <v>17</v>
      </c>
      <c r="G112">
        <v>37189</v>
      </c>
      <c r="H112">
        <v>26001.450642877979</v>
      </c>
    </row>
    <row r="113" spans="1:8" hidden="1" x14ac:dyDescent="0.35">
      <c r="A113" t="s">
        <v>12</v>
      </c>
      <c r="B113">
        <v>2037</v>
      </c>
      <c r="C113" t="s">
        <v>16</v>
      </c>
      <c r="D113" t="s">
        <v>490</v>
      </c>
      <c r="E113">
        <v>39.270000000000003</v>
      </c>
      <c r="F113" t="s">
        <v>17</v>
      </c>
      <c r="G113">
        <v>39270</v>
      </c>
      <c r="H113">
        <v>27456.424392853216</v>
      </c>
    </row>
    <row r="114" spans="1:8" hidden="1" x14ac:dyDescent="0.35">
      <c r="A114" t="s">
        <v>12</v>
      </c>
      <c r="B114">
        <v>2038</v>
      </c>
      <c r="C114" t="s">
        <v>16</v>
      </c>
      <c r="D114" t="s">
        <v>490</v>
      </c>
      <c r="E114">
        <v>42.575000000000003</v>
      </c>
      <c r="F114" t="s">
        <v>17</v>
      </c>
      <c r="G114">
        <v>42575</v>
      </c>
      <c r="H114">
        <v>29767.182799229071</v>
      </c>
    </row>
    <row r="115" spans="1:8" hidden="1" x14ac:dyDescent="0.35">
      <c r="A115" t="s">
        <v>12</v>
      </c>
      <c r="B115">
        <v>2039</v>
      </c>
      <c r="C115" t="s">
        <v>16</v>
      </c>
      <c r="D115" t="s">
        <v>490</v>
      </c>
      <c r="E115">
        <v>40.970999999999997</v>
      </c>
      <c r="F115" t="s">
        <v>17</v>
      </c>
      <c r="G115">
        <v>40971</v>
      </c>
      <c r="H115">
        <v>28645.713363880546</v>
      </c>
    </row>
    <row r="116" spans="1:8" hidden="1" x14ac:dyDescent="0.35">
      <c r="A116" t="s">
        <v>12</v>
      </c>
      <c r="B116">
        <v>2040</v>
      </c>
      <c r="C116" t="s">
        <v>16</v>
      </c>
      <c r="D116" t="s">
        <v>490</v>
      </c>
      <c r="E116">
        <v>42.826999999999998</v>
      </c>
      <c r="F116" t="s">
        <v>17</v>
      </c>
      <c r="G116">
        <v>42827</v>
      </c>
      <c r="H116">
        <v>29943.373757899786</v>
      </c>
    </row>
    <row r="117" spans="1:8" hidden="1" x14ac:dyDescent="0.35">
      <c r="A117" t="s">
        <v>12</v>
      </c>
      <c r="B117">
        <v>2018</v>
      </c>
      <c r="C117" t="s">
        <v>18</v>
      </c>
      <c r="D117" t="s">
        <v>490</v>
      </c>
      <c r="E117">
        <v>0</v>
      </c>
      <c r="F117" t="s">
        <v>17</v>
      </c>
      <c r="G117">
        <v>0</v>
      </c>
      <c r="H117">
        <v>0</v>
      </c>
    </row>
    <row r="118" spans="1:8" hidden="1" x14ac:dyDescent="0.35">
      <c r="A118" t="s">
        <v>12</v>
      </c>
      <c r="B118">
        <v>2019</v>
      </c>
      <c r="C118" t="s">
        <v>18</v>
      </c>
      <c r="D118" t="s">
        <v>490</v>
      </c>
      <c r="E118">
        <v>0</v>
      </c>
      <c r="F118" t="s">
        <v>17</v>
      </c>
      <c r="G118">
        <v>0</v>
      </c>
      <c r="H118">
        <v>0</v>
      </c>
    </row>
    <row r="119" spans="1:8" hidden="1" x14ac:dyDescent="0.35">
      <c r="A119" t="s">
        <v>12</v>
      </c>
      <c r="B119">
        <v>2020</v>
      </c>
      <c r="C119" t="s">
        <v>18</v>
      </c>
      <c r="D119" t="s">
        <v>490</v>
      </c>
      <c r="E119">
        <v>0</v>
      </c>
      <c r="F119" t="s">
        <v>17</v>
      </c>
      <c r="G119">
        <v>0</v>
      </c>
      <c r="H119">
        <v>0</v>
      </c>
    </row>
    <row r="120" spans="1:8" hidden="1" x14ac:dyDescent="0.35">
      <c r="A120" t="s">
        <v>12</v>
      </c>
      <c r="B120">
        <v>2021</v>
      </c>
      <c r="C120" t="s">
        <v>18</v>
      </c>
      <c r="D120" t="s">
        <v>490</v>
      </c>
      <c r="E120">
        <v>0.188</v>
      </c>
      <c r="F120" t="s">
        <v>17</v>
      </c>
      <c r="G120">
        <v>188</v>
      </c>
      <c r="H120">
        <v>131.44404853212131</v>
      </c>
    </row>
    <row r="121" spans="1:8" hidden="1" x14ac:dyDescent="0.35">
      <c r="A121" t="s">
        <v>12</v>
      </c>
      <c r="B121">
        <v>2022</v>
      </c>
      <c r="C121" t="s">
        <v>18</v>
      </c>
      <c r="D121" t="s">
        <v>490</v>
      </c>
      <c r="E121">
        <v>3.4750000000000001</v>
      </c>
      <c r="F121" t="s">
        <v>17</v>
      </c>
      <c r="G121">
        <v>3475</v>
      </c>
      <c r="H121">
        <v>2429.6173864314978</v>
      </c>
    </row>
    <row r="122" spans="1:8" hidden="1" x14ac:dyDescent="0.35">
      <c r="A122" t="s">
        <v>12</v>
      </c>
      <c r="B122">
        <v>2023</v>
      </c>
      <c r="C122" t="s">
        <v>18</v>
      </c>
      <c r="D122" t="s">
        <v>490</v>
      </c>
      <c r="E122">
        <v>16.725999999999999</v>
      </c>
      <c r="F122" t="s">
        <v>17</v>
      </c>
      <c r="G122">
        <v>16726</v>
      </c>
      <c r="H122">
        <v>11694.325296533305</v>
      </c>
    </row>
    <row r="123" spans="1:8" hidden="1" x14ac:dyDescent="0.35">
      <c r="A123" t="s">
        <v>12</v>
      </c>
      <c r="B123">
        <v>2024</v>
      </c>
      <c r="C123" t="s">
        <v>18</v>
      </c>
      <c r="D123" t="s">
        <v>490</v>
      </c>
      <c r="E123">
        <v>40.863999999999997</v>
      </c>
      <c r="F123" t="s">
        <v>17</v>
      </c>
      <c r="G123">
        <v>40864</v>
      </c>
      <c r="H123">
        <v>28570.902123492586</v>
      </c>
    </row>
    <row r="124" spans="1:8" hidden="1" x14ac:dyDescent="0.35">
      <c r="A124" t="s">
        <v>12</v>
      </c>
      <c r="B124">
        <v>2025</v>
      </c>
      <c r="C124" t="s">
        <v>18</v>
      </c>
      <c r="D124" t="s">
        <v>490</v>
      </c>
      <c r="E124">
        <v>84.85</v>
      </c>
      <c r="F124" t="s">
        <v>17</v>
      </c>
      <c r="G124">
        <v>84850</v>
      </c>
      <c r="H124">
        <v>59324.614457183481</v>
      </c>
    </row>
    <row r="125" spans="1:8" hidden="1" x14ac:dyDescent="0.35">
      <c r="A125" t="s">
        <v>12</v>
      </c>
      <c r="B125">
        <v>2026</v>
      </c>
      <c r="C125" t="s">
        <v>18</v>
      </c>
      <c r="D125" t="s">
        <v>490</v>
      </c>
      <c r="E125">
        <v>144.32900000000001</v>
      </c>
      <c r="F125" t="s">
        <v>17</v>
      </c>
      <c r="G125">
        <v>144329</v>
      </c>
      <c r="H125">
        <v>100910.57489676883</v>
      </c>
    </row>
    <row r="126" spans="1:8" hidden="1" x14ac:dyDescent="0.35">
      <c r="A126" t="s">
        <v>12</v>
      </c>
      <c r="B126">
        <v>2027</v>
      </c>
      <c r="C126" t="s">
        <v>18</v>
      </c>
      <c r="D126" t="s">
        <v>490</v>
      </c>
      <c r="E126">
        <v>154.74599999999998</v>
      </c>
      <c r="F126" t="s">
        <v>17</v>
      </c>
      <c r="G126">
        <v>154745.99999999997</v>
      </c>
      <c r="H126">
        <v>108193.83369229597</v>
      </c>
    </row>
    <row r="127" spans="1:8" hidden="1" x14ac:dyDescent="0.35">
      <c r="A127" t="s">
        <v>12</v>
      </c>
      <c r="B127">
        <v>2028</v>
      </c>
      <c r="C127" t="s">
        <v>18</v>
      </c>
      <c r="D127" t="s">
        <v>490</v>
      </c>
      <c r="E127">
        <v>162.58100000000002</v>
      </c>
      <c r="F127" t="s">
        <v>17</v>
      </c>
      <c r="G127">
        <v>162581.00000000003</v>
      </c>
      <c r="H127">
        <v>113671.83433191926</v>
      </c>
    </row>
    <row r="128" spans="1:8" hidden="1" x14ac:dyDescent="0.35">
      <c r="A128" t="s">
        <v>12</v>
      </c>
      <c r="B128">
        <v>2029</v>
      </c>
      <c r="C128" t="s">
        <v>18</v>
      </c>
      <c r="D128" t="s">
        <v>490</v>
      </c>
      <c r="E128">
        <v>152.81399999999999</v>
      </c>
      <c r="F128" t="s">
        <v>17</v>
      </c>
      <c r="G128">
        <v>152814</v>
      </c>
      <c r="H128">
        <v>106843.03634248718</v>
      </c>
    </row>
    <row r="129" spans="1:8" hidden="1" x14ac:dyDescent="0.35">
      <c r="A129" t="s">
        <v>12</v>
      </c>
      <c r="B129">
        <v>2030</v>
      </c>
      <c r="C129" t="s">
        <v>18</v>
      </c>
      <c r="D129" t="s">
        <v>490</v>
      </c>
      <c r="E129">
        <v>146.529</v>
      </c>
      <c r="F129" t="s">
        <v>17</v>
      </c>
      <c r="G129">
        <v>146529</v>
      </c>
      <c r="H129">
        <v>102448.74993278302</v>
      </c>
    </row>
    <row r="130" spans="1:8" hidden="1" x14ac:dyDescent="0.35">
      <c r="A130" t="s">
        <v>12</v>
      </c>
      <c r="B130">
        <v>2031</v>
      </c>
      <c r="C130" t="s">
        <v>18</v>
      </c>
      <c r="D130" t="s">
        <v>490</v>
      </c>
      <c r="E130">
        <v>144.92399999999998</v>
      </c>
      <c r="F130" t="s">
        <v>17</v>
      </c>
      <c r="G130">
        <v>144923.99999999997</v>
      </c>
      <c r="H130">
        <v>101326.58132696355</v>
      </c>
    </row>
    <row r="131" spans="1:8" hidden="1" x14ac:dyDescent="0.35">
      <c r="A131" t="s">
        <v>12</v>
      </c>
      <c r="B131">
        <v>2032</v>
      </c>
      <c r="C131" t="s">
        <v>18</v>
      </c>
      <c r="D131" t="s">
        <v>490</v>
      </c>
      <c r="E131">
        <v>147.25700000000001</v>
      </c>
      <c r="F131" t="s">
        <v>17</v>
      </c>
      <c r="G131">
        <v>147257</v>
      </c>
      <c r="H131">
        <v>102957.74603560953</v>
      </c>
    </row>
    <row r="132" spans="1:8" hidden="1" x14ac:dyDescent="0.35">
      <c r="A132" t="s">
        <v>12</v>
      </c>
      <c r="B132">
        <v>2033</v>
      </c>
      <c r="C132" t="s">
        <v>18</v>
      </c>
      <c r="D132" t="s">
        <v>490</v>
      </c>
      <c r="E132">
        <v>137.096</v>
      </c>
      <c r="F132" t="s">
        <v>17</v>
      </c>
      <c r="G132">
        <v>137096</v>
      </c>
      <c r="H132">
        <v>95853.474880636728</v>
      </c>
    </row>
    <row r="133" spans="1:8" hidden="1" x14ac:dyDescent="0.35">
      <c r="A133" t="s">
        <v>12</v>
      </c>
      <c r="B133">
        <v>2034</v>
      </c>
      <c r="C133" t="s">
        <v>18</v>
      </c>
      <c r="D133" t="s">
        <v>490</v>
      </c>
      <c r="E133">
        <v>142.85900000000001</v>
      </c>
      <c r="F133" t="s">
        <v>17</v>
      </c>
      <c r="G133">
        <v>142859</v>
      </c>
      <c r="H133">
        <v>99882.794304522977</v>
      </c>
    </row>
    <row r="134" spans="1:8" hidden="1" x14ac:dyDescent="0.35">
      <c r="A134" t="s">
        <v>12</v>
      </c>
      <c r="B134">
        <v>2035</v>
      </c>
      <c r="C134" t="s">
        <v>18</v>
      </c>
      <c r="D134" t="s">
        <v>490</v>
      </c>
      <c r="E134">
        <v>146.1213507094937</v>
      </c>
      <c r="F134" t="s">
        <v>17</v>
      </c>
      <c r="G134">
        <v>146121.35070949371</v>
      </c>
      <c r="H134">
        <v>102163.73358637134</v>
      </c>
    </row>
    <row r="135" spans="1:8" hidden="1" x14ac:dyDescent="0.35">
      <c r="A135" t="s">
        <v>12</v>
      </c>
      <c r="B135">
        <v>2036</v>
      </c>
      <c r="C135" t="s">
        <v>18</v>
      </c>
      <c r="D135" t="s">
        <v>490</v>
      </c>
      <c r="E135">
        <v>194.81312210065016</v>
      </c>
      <c r="F135" t="s">
        <v>17</v>
      </c>
      <c r="G135">
        <v>194813.12210065016</v>
      </c>
      <c r="H135">
        <v>136207.58231963796</v>
      </c>
    </row>
    <row r="136" spans="1:8" hidden="1" x14ac:dyDescent="0.35">
      <c r="A136" t="s">
        <v>12</v>
      </c>
      <c r="B136">
        <v>2037</v>
      </c>
      <c r="C136" t="s">
        <v>18</v>
      </c>
      <c r="D136" t="s">
        <v>490</v>
      </c>
      <c r="E136">
        <v>259.73037039642571</v>
      </c>
      <c r="F136" t="s">
        <v>17</v>
      </c>
      <c r="G136">
        <v>259730.37039642571</v>
      </c>
      <c r="H136">
        <v>181595.80538113634</v>
      </c>
    </row>
    <row r="137" spans="1:8" hidden="1" x14ac:dyDescent="0.35">
      <c r="A137" t="s">
        <v>12</v>
      </c>
      <c r="B137">
        <v>2038</v>
      </c>
      <c r="C137" t="s">
        <v>18</v>
      </c>
      <c r="D137" t="s">
        <v>490</v>
      </c>
      <c r="E137">
        <v>346.27988391568084</v>
      </c>
      <c r="F137" t="s">
        <v>17</v>
      </c>
      <c r="G137">
        <v>346279.88391568087</v>
      </c>
      <c r="H137">
        <v>242108.66950590475</v>
      </c>
    </row>
    <row r="138" spans="1:8" hidden="1" x14ac:dyDescent="0.35">
      <c r="A138" t="s">
        <v>12</v>
      </c>
      <c r="B138">
        <v>2039</v>
      </c>
      <c r="C138" t="s">
        <v>18</v>
      </c>
      <c r="D138" t="s">
        <v>490</v>
      </c>
      <c r="E138">
        <v>461.67014593495367</v>
      </c>
      <c r="F138" t="s">
        <v>17</v>
      </c>
      <c r="G138">
        <v>461670.14593495365</v>
      </c>
      <c r="H138">
        <v>322786.13334098714</v>
      </c>
    </row>
    <row r="139" spans="1:8" hidden="1" x14ac:dyDescent="0.35">
      <c r="A139" t="s">
        <v>12</v>
      </c>
      <c r="B139">
        <v>2040</v>
      </c>
      <c r="C139" t="s">
        <v>18</v>
      </c>
      <c r="D139" t="s">
        <v>490</v>
      </c>
      <c r="E139">
        <v>615.51171046222476</v>
      </c>
      <c r="F139" t="s">
        <v>17</v>
      </c>
      <c r="G139">
        <v>615511.71046222479</v>
      </c>
      <c r="H139">
        <v>430347.61245790258</v>
      </c>
    </row>
    <row r="140" spans="1:8" hidden="1" x14ac:dyDescent="0.35">
      <c r="A140" t="s">
        <v>8</v>
      </c>
      <c r="B140">
        <v>2018</v>
      </c>
      <c r="C140" t="s">
        <v>16</v>
      </c>
      <c r="D140" t="s">
        <v>490</v>
      </c>
      <c r="E140">
        <v>179.99</v>
      </c>
      <c r="F140" t="s">
        <v>17</v>
      </c>
      <c r="G140">
        <v>179990</v>
      </c>
      <c r="H140">
        <v>141752.02388434947</v>
      </c>
    </row>
    <row r="141" spans="1:8" hidden="1" x14ac:dyDescent="0.35">
      <c r="A141" t="s">
        <v>8</v>
      </c>
      <c r="B141">
        <v>2019</v>
      </c>
      <c r="C141" t="s">
        <v>16</v>
      </c>
      <c r="D141" t="s">
        <v>490</v>
      </c>
      <c r="E141">
        <v>187.73</v>
      </c>
      <c r="F141" t="s">
        <v>17</v>
      </c>
      <c r="G141">
        <v>187730</v>
      </c>
      <c r="H141">
        <v>147847.69956002515</v>
      </c>
    </row>
    <row r="142" spans="1:8" hidden="1" x14ac:dyDescent="0.35">
      <c r="A142" t="s">
        <v>8</v>
      </c>
      <c r="B142">
        <v>2020</v>
      </c>
      <c r="C142" t="s">
        <v>16</v>
      </c>
      <c r="D142" t="s">
        <v>490</v>
      </c>
      <c r="E142">
        <v>154.41399999999999</v>
      </c>
      <c r="F142" t="s">
        <v>17</v>
      </c>
      <c r="G142">
        <v>154414</v>
      </c>
      <c r="H142">
        <v>121609.51728472659</v>
      </c>
    </row>
    <row r="143" spans="1:8" hidden="1" x14ac:dyDescent="0.35">
      <c r="A143" t="s">
        <v>8</v>
      </c>
      <c r="B143">
        <v>2021</v>
      </c>
      <c r="C143" t="s">
        <v>16</v>
      </c>
      <c r="D143" t="s">
        <v>490</v>
      </c>
      <c r="E143">
        <v>138.86600000000001</v>
      </c>
      <c r="F143" t="s">
        <v>17</v>
      </c>
      <c r="G143">
        <v>138866</v>
      </c>
      <c r="H143">
        <v>109364.61219358894</v>
      </c>
    </row>
    <row r="144" spans="1:8" hidden="1" x14ac:dyDescent="0.35">
      <c r="A144" t="s">
        <v>8</v>
      </c>
      <c r="B144">
        <v>2022</v>
      </c>
      <c r="C144" t="s">
        <v>16</v>
      </c>
      <c r="D144" t="s">
        <v>490</v>
      </c>
      <c r="E144">
        <v>126.58199999999999</v>
      </c>
      <c r="F144" t="s">
        <v>17</v>
      </c>
      <c r="G144">
        <v>126582</v>
      </c>
      <c r="H144">
        <v>99690.286612193595</v>
      </c>
    </row>
    <row r="145" spans="1:8" hidden="1" x14ac:dyDescent="0.35">
      <c r="A145" t="s">
        <v>8</v>
      </c>
      <c r="B145">
        <v>2023</v>
      </c>
      <c r="C145" t="s">
        <v>16</v>
      </c>
      <c r="D145" t="s">
        <v>490</v>
      </c>
      <c r="E145">
        <v>186.81299999999999</v>
      </c>
      <c r="F145" t="s">
        <v>17</v>
      </c>
      <c r="G145">
        <v>186813</v>
      </c>
      <c r="H145">
        <v>147125.51162790699</v>
      </c>
    </row>
    <row r="146" spans="1:8" hidden="1" x14ac:dyDescent="0.35">
      <c r="A146" t="s">
        <v>8</v>
      </c>
      <c r="B146">
        <v>2024</v>
      </c>
      <c r="C146" t="s">
        <v>16</v>
      </c>
      <c r="D146" t="s">
        <v>490</v>
      </c>
      <c r="E146">
        <v>134.57900000000001</v>
      </c>
      <c r="F146" t="s">
        <v>17</v>
      </c>
      <c r="G146">
        <v>134579</v>
      </c>
      <c r="H146">
        <v>105988.3639220616</v>
      </c>
    </row>
    <row r="147" spans="1:8" hidden="1" x14ac:dyDescent="0.35">
      <c r="A147" t="s">
        <v>8</v>
      </c>
      <c r="B147">
        <v>2025</v>
      </c>
      <c r="C147" t="s">
        <v>16</v>
      </c>
      <c r="D147" t="s">
        <v>490</v>
      </c>
      <c r="E147">
        <v>154.58600000000001</v>
      </c>
      <c r="F147" t="s">
        <v>17</v>
      </c>
      <c r="G147">
        <v>154586</v>
      </c>
      <c r="H147">
        <v>121744.97674418605</v>
      </c>
    </row>
    <row r="148" spans="1:8" hidden="1" x14ac:dyDescent="0.35">
      <c r="A148" t="s">
        <v>8</v>
      </c>
      <c r="B148">
        <v>2026</v>
      </c>
      <c r="C148" t="s">
        <v>16</v>
      </c>
      <c r="D148" t="s">
        <v>490</v>
      </c>
      <c r="E148">
        <v>158.54400000000001</v>
      </c>
      <c r="F148" t="s">
        <v>17</v>
      </c>
      <c r="G148">
        <v>158544</v>
      </c>
      <c r="H148">
        <v>124862.11942174732</v>
      </c>
    </row>
    <row r="149" spans="1:8" hidden="1" x14ac:dyDescent="0.35">
      <c r="A149" t="s">
        <v>8</v>
      </c>
      <c r="B149">
        <v>2027</v>
      </c>
      <c r="C149" t="s">
        <v>16</v>
      </c>
      <c r="D149" t="s">
        <v>490</v>
      </c>
      <c r="E149">
        <v>158.54400000000001</v>
      </c>
      <c r="F149" t="s">
        <v>17</v>
      </c>
      <c r="G149">
        <v>158544</v>
      </c>
      <c r="H149">
        <v>124862.11942174732</v>
      </c>
    </row>
    <row r="150" spans="1:8" hidden="1" x14ac:dyDescent="0.35">
      <c r="A150" t="s">
        <v>8</v>
      </c>
      <c r="B150">
        <v>2028</v>
      </c>
      <c r="C150" t="s">
        <v>16</v>
      </c>
      <c r="D150" t="s">
        <v>490</v>
      </c>
      <c r="E150">
        <v>154.76400000000001</v>
      </c>
      <c r="F150" t="s">
        <v>17</v>
      </c>
      <c r="G150">
        <v>154764</v>
      </c>
      <c r="H150">
        <v>121885.16153362666</v>
      </c>
    </row>
    <row r="151" spans="1:8" hidden="1" x14ac:dyDescent="0.35">
      <c r="A151" t="s">
        <v>8</v>
      </c>
      <c r="B151">
        <v>2029</v>
      </c>
      <c r="C151" t="s">
        <v>16</v>
      </c>
      <c r="D151" t="s">
        <v>490</v>
      </c>
      <c r="E151">
        <v>152.07400000000001</v>
      </c>
      <c r="F151" t="s">
        <v>17</v>
      </c>
      <c r="G151">
        <v>152074</v>
      </c>
      <c r="H151">
        <v>119766.63859208045</v>
      </c>
    </row>
    <row r="152" spans="1:8" hidden="1" x14ac:dyDescent="0.35">
      <c r="A152" t="s">
        <v>8</v>
      </c>
      <c r="B152">
        <v>2030</v>
      </c>
      <c r="C152" t="s">
        <v>16</v>
      </c>
      <c r="D152" t="s">
        <v>490</v>
      </c>
      <c r="E152">
        <v>150.184</v>
      </c>
      <c r="F152" t="s">
        <v>17</v>
      </c>
      <c r="G152">
        <v>150184</v>
      </c>
      <c r="H152">
        <v>118278.15964802011</v>
      </c>
    </row>
    <row r="153" spans="1:8" hidden="1" x14ac:dyDescent="0.35">
      <c r="A153" t="s">
        <v>8</v>
      </c>
      <c r="B153">
        <v>2031</v>
      </c>
      <c r="C153" t="s">
        <v>16</v>
      </c>
      <c r="D153" t="s">
        <v>490</v>
      </c>
      <c r="E153">
        <v>139.27799999999999</v>
      </c>
      <c r="F153" t="s">
        <v>17</v>
      </c>
      <c r="G153">
        <v>139278</v>
      </c>
      <c r="H153">
        <v>109689.08485229415</v>
      </c>
    </row>
    <row r="154" spans="1:8" hidden="1" x14ac:dyDescent="0.35">
      <c r="A154" t="s">
        <v>8</v>
      </c>
      <c r="B154">
        <v>2032</v>
      </c>
      <c r="C154" t="s">
        <v>16</v>
      </c>
      <c r="D154" t="s">
        <v>490</v>
      </c>
      <c r="E154">
        <v>139.27799999999999</v>
      </c>
      <c r="F154" t="s">
        <v>17</v>
      </c>
      <c r="G154">
        <v>139278</v>
      </c>
      <c r="H154">
        <v>109689.08485229415</v>
      </c>
    </row>
    <row r="155" spans="1:8" hidden="1" x14ac:dyDescent="0.35">
      <c r="A155" t="s">
        <v>8</v>
      </c>
      <c r="B155">
        <v>2033</v>
      </c>
      <c r="C155" t="s">
        <v>16</v>
      </c>
      <c r="D155" t="s">
        <v>490</v>
      </c>
      <c r="E155">
        <v>120.288</v>
      </c>
      <c r="F155" t="s">
        <v>17</v>
      </c>
      <c r="G155">
        <v>120288</v>
      </c>
      <c r="H155">
        <v>94733.415461973607</v>
      </c>
    </row>
    <row r="156" spans="1:8" hidden="1" x14ac:dyDescent="0.35">
      <c r="A156" t="s">
        <v>8</v>
      </c>
      <c r="B156">
        <v>2034</v>
      </c>
      <c r="C156" t="s">
        <v>16</v>
      </c>
      <c r="D156" t="s">
        <v>490</v>
      </c>
      <c r="E156">
        <v>118</v>
      </c>
      <c r="F156" t="s">
        <v>17</v>
      </c>
      <c r="G156">
        <v>118000</v>
      </c>
      <c r="H156">
        <v>92931.489629164047</v>
      </c>
    </row>
    <row r="157" spans="1:8" hidden="1" x14ac:dyDescent="0.35">
      <c r="A157" t="s">
        <v>8</v>
      </c>
      <c r="B157">
        <v>2035</v>
      </c>
      <c r="C157" t="s">
        <v>16</v>
      </c>
      <c r="D157" t="s">
        <v>490</v>
      </c>
      <c r="E157">
        <v>118</v>
      </c>
      <c r="F157" t="s">
        <v>17</v>
      </c>
      <c r="G157">
        <v>118000</v>
      </c>
      <c r="H157">
        <v>92931.489629164047</v>
      </c>
    </row>
    <row r="158" spans="1:8" hidden="1" x14ac:dyDescent="0.35">
      <c r="A158" t="s">
        <v>8</v>
      </c>
      <c r="B158">
        <v>2036</v>
      </c>
      <c r="C158" t="s">
        <v>16</v>
      </c>
      <c r="D158" t="s">
        <v>490</v>
      </c>
      <c r="E158">
        <v>116.68</v>
      </c>
      <c r="F158" t="s">
        <v>17</v>
      </c>
      <c r="G158">
        <v>116680</v>
      </c>
      <c r="H158">
        <v>91891.917033312377</v>
      </c>
    </row>
    <row r="159" spans="1:8" hidden="1" x14ac:dyDescent="0.35">
      <c r="A159" t="s">
        <v>8</v>
      </c>
      <c r="B159">
        <v>2037</v>
      </c>
      <c r="C159" t="s">
        <v>16</v>
      </c>
      <c r="D159" t="s">
        <v>490</v>
      </c>
      <c r="E159">
        <v>82.66</v>
      </c>
      <c r="F159" t="s">
        <v>17</v>
      </c>
      <c r="G159">
        <v>82660</v>
      </c>
      <c r="H159">
        <v>65099.296040226276</v>
      </c>
    </row>
    <row r="160" spans="1:8" hidden="1" x14ac:dyDescent="0.35">
      <c r="A160" t="s">
        <v>8</v>
      </c>
      <c r="B160">
        <v>2038</v>
      </c>
      <c r="C160" t="s">
        <v>16</v>
      </c>
      <c r="D160" t="s">
        <v>490</v>
      </c>
      <c r="E160">
        <v>40.840000000000003</v>
      </c>
      <c r="F160" t="s">
        <v>17</v>
      </c>
      <c r="G160">
        <v>40840</v>
      </c>
      <c r="H160">
        <v>32163.746071653048</v>
      </c>
    </row>
    <row r="161" spans="1:8" hidden="1" x14ac:dyDescent="0.35">
      <c r="A161" t="s">
        <v>8</v>
      </c>
      <c r="B161">
        <v>2039</v>
      </c>
      <c r="C161" t="s">
        <v>16</v>
      </c>
      <c r="D161" t="s">
        <v>490</v>
      </c>
      <c r="E161">
        <v>37</v>
      </c>
      <c r="F161" t="s">
        <v>17</v>
      </c>
      <c r="G161">
        <v>37000</v>
      </c>
      <c r="H161">
        <v>29139.534883720931</v>
      </c>
    </row>
    <row r="162" spans="1:8" hidden="1" x14ac:dyDescent="0.35">
      <c r="A162" t="s">
        <v>8</v>
      </c>
      <c r="B162">
        <v>2040</v>
      </c>
      <c r="C162" t="s">
        <v>16</v>
      </c>
      <c r="D162" t="s">
        <v>490</v>
      </c>
      <c r="E162">
        <v>37</v>
      </c>
      <c r="F162" t="s">
        <v>17</v>
      </c>
      <c r="G162">
        <v>37000</v>
      </c>
      <c r="H162">
        <v>29139.534883720931</v>
      </c>
    </row>
    <row r="163" spans="1:8" hidden="1" x14ac:dyDescent="0.35">
      <c r="A163" t="s">
        <v>8</v>
      </c>
      <c r="B163">
        <v>2018</v>
      </c>
      <c r="C163" t="s">
        <v>18</v>
      </c>
      <c r="D163" t="s">
        <v>490</v>
      </c>
      <c r="E163">
        <v>179.99</v>
      </c>
      <c r="F163" t="s">
        <v>17</v>
      </c>
      <c r="G163">
        <v>179990</v>
      </c>
      <c r="H163">
        <v>141752.02388434947</v>
      </c>
    </row>
    <row r="164" spans="1:8" hidden="1" x14ac:dyDescent="0.35">
      <c r="A164" t="s">
        <v>8</v>
      </c>
      <c r="B164">
        <v>2019</v>
      </c>
      <c r="C164" t="s">
        <v>18</v>
      </c>
      <c r="D164" t="s">
        <v>490</v>
      </c>
      <c r="E164">
        <v>187.73</v>
      </c>
      <c r="F164" t="s">
        <v>17</v>
      </c>
      <c r="G164">
        <v>187730</v>
      </c>
      <c r="H164">
        <v>147847.69956002515</v>
      </c>
    </row>
    <row r="165" spans="1:8" hidden="1" x14ac:dyDescent="0.35">
      <c r="A165" t="s">
        <v>8</v>
      </c>
      <c r="B165">
        <v>2020</v>
      </c>
      <c r="C165" t="s">
        <v>18</v>
      </c>
      <c r="D165" t="s">
        <v>490</v>
      </c>
      <c r="E165">
        <v>154.41399999999999</v>
      </c>
      <c r="F165" t="s">
        <v>17</v>
      </c>
      <c r="G165">
        <v>154414</v>
      </c>
      <c r="H165">
        <v>121609.51728472659</v>
      </c>
    </row>
    <row r="166" spans="1:8" hidden="1" x14ac:dyDescent="0.35">
      <c r="A166" t="s">
        <v>8</v>
      </c>
      <c r="B166">
        <v>2021</v>
      </c>
      <c r="C166" t="s">
        <v>18</v>
      </c>
      <c r="D166" t="s">
        <v>490</v>
      </c>
      <c r="E166">
        <v>138.86600000000001</v>
      </c>
      <c r="F166" t="s">
        <v>17</v>
      </c>
      <c r="G166">
        <v>138866</v>
      </c>
      <c r="H166">
        <v>109364.61219358894</v>
      </c>
    </row>
    <row r="167" spans="1:8" hidden="1" x14ac:dyDescent="0.35">
      <c r="A167" t="s">
        <v>8</v>
      </c>
      <c r="B167">
        <v>2022</v>
      </c>
      <c r="C167" t="s">
        <v>18</v>
      </c>
      <c r="D167" t="s">
        <v>490</v>
      </c>
      <c r="E167">
        <v>126.58199999999999</v>
      </c>
      <c r="F167" t="s">
        <v>17</v>
      </c>
      <c r="G167">
        <v>126582</v>
      </c>
      <c r="H167">
        <v>99690.286612193595</v>
      </c>
    </row>
    <row r="168" spans="1:8" hidden="1" x14ac:dyDescent="0.35">
      <c r="A168" t="s">
        <v>8</v>
      </c>
      <c r="B168">
        <v>2023</v>
      </c>
      <c r="C168" t="s">
        <v>18</v>
      </c>
      <c r="D168" t="s">
        <v>490</v>
      </c>
      <c r="E168">
        <v>186.81299999999999</v>
      </c>
      <c r="F168" t="s">
        <v>17</v>
      </c>
      <c r="G168">
        <v>186813</v>
      </c>
      <c r="H168">
        <v>147125.51162790699</v>
      </c>
    </row>
    <row r="169" spans="1:8" hidden="1" x14ac:dyDescent="0.35">
      <c r="A169" t="s">
        <v>8</v>
      </c>
      <c r="B169">
        <v>2024</v>
      </c>
      <c r="C169" t="s">
        <v>18</v>
      </c>
      <c r="D169" t="s">
        <v>490</v>
      </c>
      <c r="E169">
        <v>138.37165055414135</v>
      </c>
      <c r="F169" t="s">
        <v>17</v>
      </c>
      <c r="G169">
        <v>138371.65055414135</v>
      </c>
      <c r="H169">
        <v>108975.28481730931</v>
      </c>
    </row>
    <row r="170" spans="1:8" hidden="1" x14ac:dyDescent="0.35">
      <c r="A170" t="s">
        <v>8</v>
      </c>
      <c r="B170">
        <v>2025</v>
      </c>
      <c r="C170" t="s">
        <v>18</v>
      </c>
      <c r="D170" t="s">
        <v>490</v>
      </c>
      <c r="E170">
        <v>154.58600000000001</v>
      </c>
      <c r="F170" t="s">
        <v>17</v>
      </c>
      <c r="G170">
        <v>154586</v>
      </c>
      <c r="H170">
        <v>121744.97674418605</v>
      </c>
    </row>
    <row r="171" spans="1:8" hidden="1" x14ac:dyDescent="0.35">
      <c r="A171" t="s">
        <v>8</v>
      </c>
      <c r="B171">
        <v>2026</v>
      </c>
      <c r="C171" t="s">
        <v>18</v>
      </c>
      <c r="D171" t="s">
        <v>490</v>
      </c>
      <c r="E171">
        <v>208.96100000000001</v>
      </c>
      <c r="F171" t="s">
        <v>17</v>
      </c>
      <c r="G171">
        <v>208961</v>
      </c>
      <c r="H171">
        <v>164568.27969830297</v>
      </c>
    </row>
    <row r="172" spans="1:8" hidden="1" x14ac:dyDescent="0.35">
      <c r="A172" t="s">
        <v>8</v>
      </c>
      <c r="B172">
        <v>2027</v>
      </c>
      <c r="C172" t="s">
        <v>18</v>
      </c>
      <c r="D172" t="s">
        <v>490</v>
      </c>
      <c r="E172">
        <v>215.85400000000001</v>
      </c>
      <c r="F172" t="s">
        <v>17</v>
      </c>
      <c r="G172">
        <v>215854</v>
      </c>
      <c r="H172">
        <v>169996.89629164047</v>
      </c>
    </row>
    <row r="173" spans="1:8" hidden="1" x14ac:dyDescent="0.35">
      <c r="A173" t="s">
        <v>8</v>
      </c>
      <c r="B173">
        <v>2028</v>
      </c>
      <c r="C173" t="s">
        <v>18</v>
      </c>
      <c r="D173" t="s">
        <v>490</v>
      </c>
      <c r="E173">
        <v>210.04700000000003</v>
      </c>
      <c r="F173" t="s">
        <v>17</v>
      </c>
      <c r="G173">
        <v>210047.00000000003</v>
      </c>
      <c r="H173">
        <v>165423.56442489004</v>
      </c>
    </row>
    <row r="174" spans="1:8" hidden="1" x14ac:dyDescent="0.35">
      <c r="A174" t="s">
        <v>8</v>
      </c>
      <c r="B174">
        <v>2029</v>
      </c>
      <c r="C174" t="s">
        <v>18</v>
      </c>
      <c r="D174" t="s">
        <v>490</v>
      </c>
      <c r="E174">
        <v>190.72400000000002</v>
      </c>
      <c r="F174" t="s">
        <v>17</v>
      </c>
      <c r="G174">
        <v>190724.00000000003</v>
      </c>
      <c r="H174">
        <v>150205.63922061599</v>
      </c>
    </row>
    <row r="175" spans="1:8" hidden="1" x14ac:dyDescent="0.35">
      <c r="A175" t="s">
        <v>8</v>
      </c>
      <c r="B175">
        <v>2030</v>
      </c>
      <c r="C175" t="s">
        <v>18</v>
      </c>
      <c r="D175" t="s">
        <v>490</v>
      </c>
      <c r="E175">
        <v>193.08099999999999</v>
      </c>
      <c r="F175" t="s">
        <v>17</v>
      </c>
      <c r="G175">
        <v>193081</v>
      </c>
      <c r="H175">
        <v>152061.90634820866</v>
      </c>
    </row>
    <row r="176" spans="1:8" hidden="1" x14ac:dyDescent="0.35">
      <c r="A176" t="s">
        <v>8</v>
      </c>
      <c r="B176">
        <v>2031</v>
      </c>
      <c r="C176" t="s">
        <v>18</v>
      </c>
      <c r="D176" t="s">
        <v>490</v>
      </c>
      <c r="E176">
        <v>192.804</v>
      </c>
      <c r="F176" t="s">
        <v>17</v>
      </c>
      <c r="G176">
        <v>192804</v>
      </c>
      <c r="H176">
        <v>151843.75361407921</v>
      </c>
    </row>
    <row r="177" spans="1:8" hidden="1" x14ac:dyDescent="0.35">
      <c r="A177" t="s">
        <v>8</v>
      </c>
      <c r="B177">
        <v>2032</v>
      </c>
      <c r="C177" t="s">
        <v>18</v>
      </c>
      <c r="D177" t="s">
        <v>490</v>
      </c>
      <c r="E177">
        <v>197.58218962964116</v>
      </c>
      <c r="F177" t="s">
        <v>17</v>
      </c>
      <c r="G177">
        <v>197582.18962964116</v>
      </c>
      <c r="H177">
        <v>155606.84073283494</v>
      </c>
    </row>
    <row r="178" spans="1:8" hidden="1" x14ac:dyDescent="0.35">
      <c r="A178" t="s">
        <v>8</v>
      </c>
      <c r="B178">
        <v>2033</v>
      </c>
      <c r="C178" t="s">
        <v>18</v>
      </c>
      <c r="D178" t="s">
        <v>490</v>
      </c>
      <c r="E178">
        <v>206.5786229524189</v>
      </c>
      <c r="F178" t="s">
        <v>17</v>
      </c>
      <c r="G178">
        <v>206578.6229524189</v>
      </c>
      <c r="H178">
        <v>162692.02675008227</v>
      </c>
    </row>
    <row r="179" spans="1:8" hidden="1" x14ac:dyDescent="0.35">
      <c r="A179" t="s">
        <v>8</v>
      </c>
      <c r="B179">
        <v>2034</v>
      </c>
      <c r="C179" t="s">
        <v>18</v>
      </c>
      <c r="D179" t="s">
        <v>490</v>
      </c>
      <c r="E179">
        <v>215.98468738963513</v>
      </c>
      <c r="F179" t="s">
        <v>17</v>
      </c>
      <c r="G179">
        <v>215984.68738963513</v>
      </c>
      <c r="H179">
        <v>170099.81979837388</v>
      </c>
    </row>
    <row r="180" spans="1:8" hidden="1" x14ac:dyDescent="0.35">
      <c r="A180" t="s">
        <v>8</v>
      </c>
      <c r="B180">
        <v>2035</v>
      </c>
      <c r="C180" t="s">
        <v>18</v>
      </c>
      <c r="D180" t="s">
        <v>490</v>
      </c>
      <c r="E180">
        <v>225.81903451618578</v>
      </c>
      <c r="F180" t="s">
        <v>17</v>
      </c>
      <c r="G180">
        <v>225819.03451618578</v>
      </c>
      <c r="H180">
        <v>177844.90901871829</v>
      </c>
    </row>
    <row r="181" spans="1:8" hidden="1" x14ac:dyDescent="0.35">
      <c r="A181" t="s">
        <v>8</v>
      </c>
      <c r="B181">
        <v>2036</v>
      </c>
      <c r="C181" t="s">
        <v>18</v>
      </c>
      <c r="D181" t="s">
        <v>490</v>
      </c>
      <c r="E181">
        <v>236.1011651619034</v>
      </c>
      <c r="F181" t="s">
        <v>17</v>
      </c>
      <c r="G181">
        <v>236101.16516190339</v>
      </c>
      <c r="H181">
        <v>185942.652387093</v>
      </c>
    </row>
    <row r="182" spans="1:8" hidden="1" x14ac:dyDescent="0.35">
      <c r="A182" t="s">
        <v>8</v>
      </c>
      <c r="B182">
        <v>2037</v>
      </c>
      <c r="C182" t="s">
        <v>18</v>
      </c>
      <c r="D182" t="s">
        <v>490</v>
      </c>
      <c r="E182">
        <v>246.85146808035299</v>
      </c>
      <c r="F182" t="s">
        <v>17</v>
      </c>
      <c r="G182">
        <v>246851.46808035299</v>
      </c>
      <c r="H182">
        <v>194409.10716824784</v>
      </c>
    </row>
    <row r="183" spans="1:8" hidden="1" x14ac:dyDescent="0.35">
      <c r="A183" t="s">
        <v>8</v>
      </c>
      <c r="B183">
        <v>2038</v>
      </c>
      <c r="C183" t="s">
        <v>18</v>
      </c>
      <c r="D183" t="s">
        <v>490</v>
      </c>
      <c r="E183">
        <v>258.09126037831999</v>
      </c>
      <c r="F183" t="s">
        <v>17</v>
      </c>
      <c r="G183">
        <v>258091.26037831997</v>
      </c>
      <c r="H183">
        <v>203261.06175615019</v>
      </c>
    </row>
    <row r="184" spans="1:8" hidden="1" x14ac:dyDescent="0.35">
      <c r="A184" t="s">
        <v>8</v>
      </c>
      <c r="B184">
        <v>2039</v>
      </c>
      <c r="C184" t="s">
        <v>18</v>
      </c>
      <c r="D184" t="s">
        <v>490</v>
      </c>
      <c r="E184">
        <v>269.84282978615749</v>
      </c>
      <c r="F184" t="s">
        <v>17</v>
      </c>
      <c r="G184">
        <v>269842.82978615747</v>
      </c>
      <c r="H184">
        <v>212516.06896420824</v>
      </c>
    </row>
    <row r="185" spans="1:8" hidden="1" x14ac:dyDescent="0.35">
      <c r="A185" t="s">
        <v>8</v>
      </c>
      <c r="B185">
        <v>2040</v>
      </c>
      <c r="C185" t="s">
        <v>18</v>
      </c>
      <c r="D185" t="s">
        <v>490</v>
      </c>
      <c r="E185">
        <v>282.12947885281312</v>
      </c>
      <c r="F185" t="s">
        <v>17</v>
      </c>
      <c r="G185">
        <v>282129.47885281313</v>
      </c>
      <c r="H185">
        <v>222192.48083128527</v>
      </c>
    </row>
    <row r="186" spans="1:8" hidden="1" x14ac:dyDescent="0.35">
      <c r="A186" t="s">
        <v>13</v>
      </c>
      <c r="B186">
        <v>2018</v>
      </c>
      <c r="C186" t="s">
        <v>16</v>
      </c>
      <c r="D186" t="s">
        <v>490</v>
      </c>
      <c r="E186">
        <v>13.493</v>
      </c>
      <c r="F186" t="s">
        <v>17</v>
      </c>
      <c r="G186">
        <v>13493</v>
      </c>
      <c r="H186">
        <v>4452.6900000000005</v>
      </c>
    </row>
    <row r="187" spans="1:8" hidden="1" x14ac:dyDescent="0.35">
      <c r="A187" t="s">
        <v>13</v>
      </c>
      <c r="B187">
        <v>2019</v>
      </c>
      <c r="C187" t="s">
        <v>16</v>
      </c>
      <c r="D187" t="s">
        <v>490</v>
      </c>
      <c r="E187">
        <v>13.91</v>
      </c>
      <c r="F187" t="s">
        <v>17</v>
      </c>
      <c r="G187">
        <v>13910</v>
      </c>
      <c r="H187">
        <v>4590.3</v>
      </c>
    </row>
    <row r="188" spans="1:8" hidden="1" x14ac:dyDescent="0.35">
      <c r="A188" t="s">
        <v>13</v>
      </c>
      <c r="B188">
        <v>2020</v>
      </c>
      <c r="C188" t="s">
        <v>16</v>
      </c>
      <c r="D188" t="s">
        <v>490</v>
      </c>
      <c r="E188">
        <v>8.1709999999999994</v>
      </c>
      <c r="F188" t="s">
        <v>17</v>
      </c>
      <c r="G188">
        <v>8170.9999999999991</v>
      </c>
      <c r="H188">
        <v>2696.43</v>
      </c>
    </row>
    <row r="189" spans="1:8" hidden="1" x14ac:dyDescent="0.35">
      <c r="A189" t="s">
        <v>13</v>
      </c>
      <c r="B189">
        <v>2021</v>
      </c>
      <c r="C189" t="s">
        <v>16</v>
      </c>
      <c r="D189" t="s">
        <v>490</v>
      </c>
      <c r="E189">
        <v>4.18</v>
      </c>
      <c r="F189" t="s">
        <v>17</v>
      </c>
      <c r="G189">
        <v>4180</v>
      </c>
      <c r="H189">
        <v>1379.4</v>
      </c>
    </row>
    <row r="190" spans="1:8" hidden="1" x14ac:dyDescent="0.35">
      <c r="A190" t="s">
        <v>13</v>
      </c>
      <c r="B190">
        <v>2022</v>
      </c>
      <c r="C190" t="s">
        <v>16</v>
      </c>
      <c r="D190" t="s">
        <v>490</v>
      </c>
      <c r="E190">
        <v>13.563000000000001</v>
      </c>
      <c r="F190" t="s">
        <v>17</v>
      </c>
      <c r="G190">
        <v>13563</v>
      </c>
      <c r="H190">
        <v>4475.79</v>
      </c>
    </row>
    <row r="191" spans="1:8" hidden="1" x14ac:dyDescent="0.35">
      <c r="A191" t="s">
        <v>13</v>
      </c>
      <c r="B191">
        <v>2023</v>
      </c>
      <c r="C191" t="s">
        <v>16</v>
      </c>
      <c r="D191" t="s">
        <v>490</v>
      </c>
      <c r="E191">
        <v>4.194</v>
      </c>
      <c r="F191" t="s">
        <v>17</v>
      </c>
      <c r="G191">
        <v>4194</v>
      </c>
      <c r="H191">
        <v>1384.02</v>
      </c>
    </row>
    <row r="192" spans="1:8" hidden="1" x14ac:dyDescent="0.35">
      <c r="A192" t="s">
        <v>13</v>
      </c>
      <c r="B192">
        <v>2024</v>
      </c>
      <c r="C192" t="s">
        <v>16</v>
      </c>
      <c r="D192" t="s">
        <v>490</v>
      </c>
      <c r="E192">
        <v>6.3</v>
      </c>
      <c r="F192" t="s">
        <v>17</v>
      </c>
      <c r="G192">
        <v>6300</v>
      </c>
      <c r="H192">
        <v>2079</v>
      </c>
    </row>
    <row r="193" spans="1:8" hidden="1" x14ac:dyDescent="0.35">
      <c r="A193" t="s">
        <v>13</v>
      </c>
      <c r="B193">
        <v>2025</v>
      </c>
      <c r="C193" t="s">
        <v>16</v>
      </c>
      <c r="D193" t="s">
        <v>490</v>
      </c>
      <c r="E193">
        <v>0</v>
      </c>
      <c r="F193" t="s">
        <v>17</v>
      </c>
      <c r="G193">
        <v>0</v>
      </c>
      <c r="H193">
        <v>0</v>
      </c>
    </row>
    <row r="194" spans="1:8" hidden="1" x14ac:dyDescent="0.35">
      <c r="A194" t="s">
        <v>13</v>
      </c>
      <c r="B194">
        <v>2026</v>
      </c>
      <c r="C194" t="s">
        <v>16</v>
      </c>
      <c r="D194" t="s">
        <v>490</v>
      </c>
      <c r="E194">
        <v>0</v>
      </c>
      <c r="F194" t="s">
        <v>17</v>
      </c>
      <c r="G194">
        <v>0</v>
      </c>
      <c r="H194">
        <v>0</v>
      </c>
    </row>
    <row r="195" spans="1:8" hidden="1" x14ac:dyDescent="0.35">
      <c r="A195" t="s">
        <v>13</v>
      </c>
      <c r="B195">
        <v>2027</v>
      </c>
      <c r="C195" t="s">
        <v>16</v>
      </c>
      <c r="D195" t="s">
        <v>490</v>
      </c>
      <c r="E195">
        <v>0</v>
      </c>
      <c r="F195" t="s">
        <v>17</v>
      </c>
      <c r="G195">
        <v>0</v>
      </c>
      <c r="H195">
        <v>0</v>
      </c>
    </row>
    <row r="196" spans="1:8" hidden="1" x14ac:dyDescent="0.35">
      <c r="A196" t="s">
        <v>13</v>
      </c>
      <c r="B196">
        <v>2028</v>
      </c>
      <c r="C196" t="s">
        <v>16</v>
      </c>
      <c r="D196" t="s">
        <v>490</v>
      </c>
      <c r="E196">
        <v>0</v>
      </c>
      <c r="F196" t="s">
        <v>17</v>
      </c>
      <c r="G196">
        <v>0</v>
      </c>
      <c r="H196">
        <v>0</v>
      </c>
    </row>
    <row r="197" spans="1:8" hidden="1" x14ac:dyDescent="0.35">
      <c r="A197" t="s">
        <v>13</v>
      </c>
      <c r="B197">
        <v>2029</v>
      </c>
      <c r="C197" t="s">
        <v>16</v>
      </c>
      <c r="D197" t="s">
        <v>490</v>
      </c>
      <c r="E197">
        <v>0</v>
      </c>
      <c r="F197" t="s">
        <v>17</v>
      </c>
      <c r="G197">
        <v>0</v>
      </c>
      <c r="H197">
        <v>0</v>
      </c>
    </row>
    <row r="198" spans="1:8" hidden="1" x14ac:dyDescent="0.35">
      <c r="A198" t="s">
        <v>13</v>
      </c>
      <c r="B198">
        <v>2030</v>
      </c>
      <c r="C198" t="s">
        <v>16</v>
      </c>
      <c r="D198" t="s">
        <v>490</v>
      </c>
      <c r="E198">
        <v>0</v>
      </c>
      <c r="F198" t="s">
        <v>17</v>
      </c>
      <c r="G198">
        <v>0</v>
      </c>
      <c r="H198">
        <v>0</v>
      </c>
    </row>
    <row r="199" spans="1:8" hidden="1" x14ac:dyDescent="0.35">
      <c r="A199" t="s">
        <v>13</v>
      </c>
      <c r="B199">
        <v>2031</v>
      </c>
      <c r="C199" t="s">
        <v>16</v>
      </c>
      <c r="D199" t="s">
        <v>490</v>
      </c>
      <c r="E199">
        <v>0</v>
      </c>
      <c r="F199" t="s">
        <v>17</v>
      </c>
      <c r="G199">
        <v>0</v>
      </c>
      <c r="H199">
        <v>0</v>
      </c>
    </row>
    <row r="200" spans="1:8" hidden="1" x14ac:dyDescent="0.35">
      <c r="A200" t="s">
        <v>13</v>
      </c>
      <c r="B200">
        <v>2032</v>
      </c>
      <c r="C200" t="s">
        <v>16</v>
      </c>
      <c r="D200" t="s">
        <v>490</v>
      </c>
      <c r="E200">
        <v>0</v>
      </c>
      <c r="F200" t="s">
        <v>17</v>
      </c>
      <c r="G200">
        <v>0</v>
      </c>
      <c r="H200">
        <v>0</v>
      </c>
    </row>
    <row r="201" spans="1:8" hidden="1" x14ac:dyDescent="0.35">
      <c r="A201" t="s">
        <v>13</v>
      </c>
      <c r="B201">
        <v>2033</v>
      </c>
      <c r="C201" t="s">
        <v>16</v>
      </c>
      <c r="D201" t="s">
        <v>490</v>
      </c>
      <c r="E201">
        <v>0</v>
      </c>
      <c r="F201" t="s">
        <v>17</v>
      </c>
      <c r="G201">
        <v>0</v>
      </c>
      <c r="H201">
        <v>0</v>
      </c>
    </row>
    <row r="202" spans="1:8" hidden="1" x14ac:dyDescent="0.35">
      <c r="A202" t="s">
        <v>13</v>
      </c>
      <c r="B202">
        <v>2034</v>
      </c>
      <c r="C202" t="s">
        <v>16</v>
      </c>
      <c r="D202" t="s">
        <v>490</v>
      </c>
      <c r="E202">
        <v>0</v>
      </c>
      <c r="F202" t="s">
        <v>17</v>
      </c>
      <c r="G202">
        <v>0</v>
      </c>
      <c r="H202">
        <v>0</v>
      </c>
    </row>
    <row r="203" spans="1:8" hidden="1" x14ac:dyDescent="0.35">
      <c r="A203" t="s">
        <v>13</v>
      </c>
      <c r="B203">
        <v>2035</v>
      </c>
      <c r="C203" t="s">
        <v>16</v>
      </c>
      <c r="D203" t="s">
        <v>490</v>
      </c>
      <c r="E203">
        <v>0</v>
      </c>
      <c r="F203" t="s">
        <v>17</v>
      </c>
      <c r="G203">
        <v>0</v>
      </c>
      <c r="H203">
        <v>0</v>
      </c>
    </row>
    <row r="204" spans="1:8" hidden="1" x14ac:dyDescent="0.35">
      <c r="A204" t="s">
        <v>13</v>
      </c>
      <c r="B204">
        <v>2036</v>
      </c>
      <c r="C204" t="s">
        <v>16</v>
      </c>
      <c r="D204" t="s">
        <v>490</v>
      </c>
      <c r="E204">
        <v>0</v>
      </c>
      <c r="F204" t="s">
        <v>17</v>
      </c>
      <c r="G204">
        <v>0</v>
      </c>
      <c r="H204">
        <v>0</v>
      </c>
    </row>
    <row r="205" spans="1:8" hidden="1" x14ac:dyDescent="0.35">
      <c r="A205" t="s">
        <v>13</v>
      </c>
      <c r="B205">
        <v>2037</v>
      </c>
      <c r="C205" t="s">
        <v>16</v>
      </c>
      <c r="D205" t="s">
        <v>490</v>
      </c>
      <c r="E205">
        <v>0</v>
      </c>
      <c r="F205" t="s">
        <v>17</v>
      </c>
      <c r="G205">
        <v>0</v>
      </c>
      <c r="H205">
        <v>0</v>
      </c>
    </row>
    <row r="206" spans="1:8" hidden="1" x14ac:dyDescent="0.35">
      <c r="A206" t="s">
        <v>13</v>
      </c>
      <c r="B206">
        <v>2038</v>
      </c>
      <c r="C206" t="s">
        <v>16</v>
      </c>
      <c r="D206" t="s">
        <v>490</v>
      </c>
      <c r="E206">
        <v>0</v>
      </c>
      <c r="F206" t="s">
        <v>17</v>
      </c>
      <c r="G206">
        <v>0</v>
      </c>
      <c r="H206">
        <v>0</v>
      </c>
    </row>
    <row r="207" spans="1:8" hidden="1" x14ac:dyDescent="0.35">
      <c r="A207" t="s">
        <v>13</v>
      </c>
      <c r="B207">
        <v>2039</v>
      </c>
      <c r="C207" t="s">
        <v>16</v>
      </c>
      <c r="D207" t="s">
        <v>490</v>
      </c>
      <c r="E207">
        <v>0</v>
      </c>
      <c r="F207" t="s">
        <v>17</v>
      </c>
      <c r="G207">
        <v>0</v>
      </c>
      <c r="H207">
        <v>0</v>
      </c>
    </row>
    <row r="208" spans="1:8" hidden="1" x14ac:dyDescent="0.35">
      <c r="A208" t="s">
        <v>13</v>
      </c>
      <c r="B208">
        <v>2040</v>
      </c>
      <c r="C208" t="s">
        <v>16</v>
      </c>
      <c r="D208" t="s">
        <v>490</v>
      </c>
      <c r="E208">
        <v>0</v>
      </c>
      <c r="F208" t="s">
        <v>17</v>
      </c>
      <c r="G208">
        <v>0</v>
      </c>
      <c r="H208">
        <v>0</v>
      </c>
    </row>
    <row r="209" spans="1:8" hidden="1" x14ac:dyDescent="0.35">
      <c r="A209" t="s">
        <v>13</v>
      </c>
      <c r="B209">
        <v>2018</v>
      </c>
      <c r="C209" t="s">
        <v>18</v>
      </c>
      <c r="D209" t="s">
        <v>490</v>
      </c>
      <c r="E209">
        <v>13.493</v>
      </c>
      <c r="F209" t="s">
        <v>17</v>
      </c>
      <c r="G209">
        <v>13493</v>
      </c>
      <c r="H209">
        <v>4452.6900000000005</v>
      </c>
    </row>
    <row r="210" spans="1:8" hidden="1" x14ac:dyDescent="0.35">
      <c r="A210" t="s">
        <v>13</v>
      </c>
      <c r="B210">
        <v>2019</v>
      </c>
      <c r="C210" t="s">
        <v>18</v>
      </c>
      <c r="D210" t="s">
        <v>490</v>
      </c>
      <c r="E210">
        <v>13.91</v>
      </c>
      <c r="F210" t="s">
        <v>17</v>
      </c>
      <c r="G210">
        <v>13910</v>
      </c>
      <c r="H210">
        <v>4590.3</v>
      </c>
    </row>
    <row r="211" spans="1:8" hidden="1" x14ac:dyDescent="0.35">
      <c r="A211" t="s">
        <v>13</v>
      </c>
      <c r="B211">
        <v>2020</v>
      </c>
      <c r="C211" t="s">
        <v>18</v>
      </c>
      <c r="D211" t="s">
        <v>490</v>
      </c>
      <c r="E211">
        <v>8.1709999999999994</v>
      </c>
      <c r="F211" t="s">
        <v>17</v>
      </c>
      <c r="G211">
        <v>8170.9999999999991</v>
      </c>
      <c r="H211">
        <v>2696.43</v>
      </c>
    </row>
    <row r="212" spans="1:8" hidden="1" x14ac:dyDescent="0.35">
      <c r="A212" t="s">
        <v>13</v>
      </c>
      <c r="B212">
        <v>2021</v>
      </c>
      <c r="C212" t="s">
        <v>18</v>
      </c>
      <c r="D212" t="s">
        <v>490</v>
      </c>
      <c r="E212">
        <v>4.18</v>
      </c>
      <c r="F212" t="s">
        <v>17</v>
      </c>
      <c r="G212">
        <v>4180</v>
      </c>
      <c r="H212">
        <v>1379.4</v>
      </c>
    </row>
    <row r="213" spans="1:8" hidden="1" x14ac:dyDescent="0.35">
      <c r="A213" t="s">
        <v>13</v>
      </c>
      <c r="B213">
        <v>2022</v>
      </c>
      <c r="C213" t="s">
        <v>18</v>
      </c>
      <c r="D213" t="s">
        <v>490</v>
      </c>
      <c r="E213">
        <v>13.563000000000001</v>
      </c>
      <c r="F213" t="s">
        <v>17</v>
      </c>
      <c r="G213">
        <v>13563</v>
      </c>
      <c r="H213">
        <v>4475.79</v>
      </c>
    </row>
    <row r="214" spans="1:8" hidden="1" x14ac:dyDescent="0.35">
      <c r="A214" t="s">
        <v>13</v>
      </c>
      <c r="B214">
        <v>2023</v>
      </c>
      <c r="C214" t="s">
        <v>18</v>
      </c>
      <c r="D214" t="s">
        <v>490</v>
      </c>
      <c r="E214">
        <v>103.93600000000001</v>
      </c>
      <c r="F214" t="s">
        <v>17</v>
      </c>
      <c r="G214">
        <v>103936</v>
      </c>
      <c r="H214">
        <v>34298.880000000005</v>
      </c>
    </row>
    <row r="215" spans="1:8" hidden="1" x14ac:dyDescent="0.35">
      <c r="A215" t="s">
        <v>13</v>
      </c>
      <c r="B215">
        <v>2024</v>
      </c>
      <c r="C215" t="s">
        <v>18</v>
      </c>
      <c r="D215" t="s">
        <v>490</v>
      </c>
      <c r="E215">
        <v>106.03099999999999</v>
      </c>
      <c r="F215" t="s">
        <v>17</v>
      </c>
      <c r="G215">
        <v>106030.99999999999</v>
      </c>
      <c r="H215">
        <v>34990.229999999996</v>
      </c>
    </row>
    <row r="216" spans="1:8" hidden="1" x14ac:dyDescent="0.35">
      <c r="A216" t="s">
        <v>13</v>
      </c>
      <c r="B216">
        <v>2025</v>
      </c>
      <c r="C216" t="s">
        <v>18</v>
      </c>
      <c r="D216" t="s">
        <v>490</v>
      </c>
      <c r="E216">
        <v>99.546999999999997</v>
      </c>
      <c r="F216" t="s">
        <v>17</v>
      </c>
      <c r="G216">
        <v>99547</v>
      </c>
      <c r="H216">
        <v>32850.51</v>
      </c>
    </row>
    <row r="217" spans="1:8" hidden="1" x14ac:dyDescent="0.35">
      <c r="A217" t="s">
        <v>13</v>
      </c>
      <c r="B217">
        <v>2026</v>
      </c>
      <c r="C217" t="s">
        <v>18</v>
      </c>
      <c r="D217" t="s">
        <v>490</v>
      </c>
      <c r="E217">
        <v>99.67</v>
      </c>
      <c r="F217" t="s">
        <v>17</v>
      </c>
      <c r="G217">
        <v>99670</v>
      </c>
      <c r="H217">
        <v>32891.1</v>
      </c>
    </row>
    <row r="218" spans="1:8" hidden="1" x14ac:dyDescent="0.35">
      <c r="A218" t="s">
        <v>13</v>
      </c>
      <c r="B218">
        <v>2027</v>
      </c>
      <c r="C218" t="s">
        <v>18</v>
      </c>
      <c r="D218" t="s">
        <v>490</v>
      </c>
      <c r="E218">
        <v>99.778000000000006</v>
      </c>
      <c r="F218" t="s">
        <v>17</v>
      </c>
      <c r="G218">
        <v>99778</v>
      </c>
      <c r="H218">
        <v>32926.74</v>
      </c>
    </row>
    <row r="219" spans="1:8" hidden="1" x14ac:dyDescent="0.35">
      <c r="A219" t="s">
        <v>13</v>
      </c>
      <c r="B219">
        <v>2028</v>
      </c>
      <c r="C219" t="s">
        <v>18</v>
      </c>
      <c r="D219" t="s">
        <v>490</v>
      </c>
      <c r="E219">
        <v>99.734999999999999</v>
      </c>
      <c r="F219" t="s">
        <v>17</v>
      </c>
      <c r="G219">
        <v>99735</v>
      </c>
      <c r="H219">
        <v>32912.550000000003</v>
      </c>
    </row>
    <row r="220" spans="1:8" hidden="1" x14ac:dyDescent="0.35">
      <c r="A220" t="s">
        <v>13</v>
      </c>
      <c r="B220">
        <v>2029</v>
      </c>
      <c r="C220" t="s">
        <v>18</v>
      </c>
      <c r="D220" t="s">
        <v>490</v>
      </c>
      <c r="E220">
        <v>99.513999999999996</v>
      </c>
      <c r="F220" t="s">
        <v>17</v>
      </c>
      <c r="G220">
        <v>99514</v>
      </c>
      <c r="H220">
        <v>32839.620000000003</v>
      </c>
    </row>
    <row r="221" spans="1:8" hidden="1" x14ac:dyDescent="0.35">
      <c r="A221" t="s">
        <v>13</v>
      </c>
      <c r="B221">
        <v>2030</v>
      </c>
      <c r="C221" t="s">
        <v>18</v>
      </c>
      <c r="D221" t="s">
        <v>490</v>
      </c>
      <c r="E221">
        <v>99.712000000000003</v>
      </c>
      <c r="F221" t="s">
        <v>17</v>
      </c>
      <c r="G221">
        <v>99712</v>
      </c>
      <c r="H221">
        <v>32904.959999999999</v>
      </c>
    </row>
    <row r="222" spans="1:8" hidden="1" x14ac:dyDescent="0.35">
      <c r="A222" t="s">
        <v>13</v>
      </c>
      <c r="B222">
        <v>2031</v>
      </c>
      <c r="C222" t="s">
        <v>18</v>
      </c>
      <c r="D222" t="s">
        <v>490</v>
      </c>
      <c r="E222">
        <v>99.847999999999999</v>
      </c>
      <c r="F222" t="s">
        <v>17</v>
      </c>
      <c r="G222">
        <v>99848</v>
      </c>
      <c r="H222">
        <v>32949.840000000004</v>
      </c>
    </row>
    <row r="223" spans="1:8" hidden="1" x14ac:dyDescent="0.35">
      <c r="A223" t="s">
        <v>13</v>
      </c>
      <c r="B223">
        <v>2032</v>
      </c>
      <c r="C223" t="s">
        <v>18</v>
      </c>
      <c r="D223" t="s">
        <v>490</v>
      </c>
      <c r="E223">
        <v>88.9360447423349</v>
      </c>
      <c r="F223" t="s">
        <v>17</v>
      </c>
      <c r="G223">
        <v>88936.044742334896</v>
      </c>
      <c r="H223">
        <v>29348.894764970519</v>
      </c>
    </row>
    <row r="224" spans="1:8" hidden="1" x14ac:dyDescent="0.35">
      <c r="A224" t="s">
        <v>13</v>
      </c>
      <c r="B224">
        <v>2033</v>
      </c>
      <c r="C224" t="s">
        <v>18</v>
      </c>
      <c r="D224" t="s">
        <v>490</v>
      </c>
      <c r="E224">
        <v>107.33713919856019</v>
      </c>
      <c r="F224" t="s">
        <v>17</v>
      </c>
      <c r="G224">
        <v>107337.13919856019</v>
      </c>
      <c r="H224">
        <v>35421.255935524867</v>
      </c>
    </row>
    <row r="225" spans="1:8" hidden="1" x14ac:dyDescent="0.35">
      <c r="A225" t="s">
        <v>13</v>
      </c>
      <c r="B225">
        <v>2034</v>
      </c>
      <c r="C225" t="s">
        <v>18</v>
      </c>
      <c r="D225" t="s">
        <v>490</v>
      </c>
      <c r="E225">
        <v>129.54546702307746</v>
      </c>
      <c r="F225" t="s">
        <v>17</v>
      </c>
      <c r="G225">
        <v>129545.46702307746</v>
      </c>
      <c r="H225">
        <v>42750.004117615565</v>
      </c>
    </row>
    <row r="226" spans="1:8" hidden="1" x14ac:dyDescent="0.35">
      <c r="A226" t="s">
        <v>13</v>
      </c>
      <c r="B226">
        <v>2035</v>
      </c>
      <c r="C226" t="s">
        <v>18</v>
      </c>
      <c r="D226" t="s">
        <v>490</v>
      </c>
      <c r="E226">
        <v>156.34875450875035</v>
      </c>
      <c r="F226" t="s">
        <v>17</v>
      </c>
      <c r="G226">
        <v>156348.75450875034</v>
      </c>
      <c r="H226">
        <v>51595.088987887611</v>
      </c>
    </row>
    <row r="227" spans="1:8" hidden="1" x14ac:dyDescent="0.35">
      <c r="A227" t="s">
        <v>13</v>
      </c>
      <c r="B227">
        <v>2036</v>
      </c>
      <c r="C227" t="s">
        <v>18</v>
      </c>
      <c r="D227" t="s">
        <v>490</v>
      </c>
      <c r="E227">
        <v>188.69771052724536</v>
      </c>
      <c r="F227" t="s">
        <v>17</v>
      </c>
      <c r="G227">
        <v>188697.71052724536</v>
      </c>
      <c r="H227">
        <v>62270.24447399097</v>
      </c>
    </row>
    <row r="228" spans="1:8" hidden="1" x14ac:dyDescent="0.35">
      <c r="A228" t="s">
        <v>13</v>
      </c>
      <c r="B228">
        <v>2037</v>
      </c>
      <c r="C228" t="s">
        <v>18</v>
      </c>
      <c r="D228" t="s">
        <v>490</v>
      </c>
      <c r="E228">
        <v>227.73974804021404</v>
      </c>
      <c r="F228" t="s">
        <v>17</v>
      </c>
      <c r="G228">
        <v>227739.74804021404</v>
      </c>
      <c r="H228">
        <v>75154.116853270636</v>
      </c>
    </row>
    <row r="229" spans="1:8" hidden="1" x14ac:dyDescent="0.35">
      <c r="A229" t="s">
        <v>13</v>
      </c>
      <c r="B229">
        <v>2038</v>
      </c>
      <c r="C229" t="s">
        <v>18</v>
      </c>
      <c r="D229" t="s">
        <v>490</v>
      </c>
      <c r="E229">
        <v>274.85968267713315</v>
      </c>
      <c r="F229" t="s">
        <v>17</v>
      </c>
      <c r="G229">
        <v>274859.68267713313</v>
      </c>
      <c r="H229">
        <v>90703.695283453941</v>
      </c>
    </row>
    <row r="230" spans="1:8" hidden="1" x14ac:dyDescent="0.35">
      <c r="A230" t="s">
        <v>13</v>
      </c>
      <c r="B230">
        <v>2039</v>
      </c>
      <c r="C230" t="s">
        <v>18</v>
      </c>
      <c r="D230" t="s">
        <v>490</v>
      </c>
      <c r="E230">
        <v>331.72885195268657</v>
      </c>
      <c r="F230" t="s">
        <v>17</v>
      </c>
      <c r="G230">
        <v>331728.85195268656</v>
      </c>
      <c r="H230">
        <v>109470.52114438657</v>
      </c>
    </row>
    <row r="231" spans="1:8" hidden="1" x14ac:dyDescent="0.35">
      <c r="A231" t="s">
        <v>13</v>
      </c>
      <c r="B231">
        <v>2040</v>
      </c>
      <c r="C231" t="s">
        <v>18</v>
      </c>
      <c r="D231" t="s">
        <v>490</v>
      </c>
      <c r="E231">
        <v>400.36439737548505</v>
      </c>
      <c r="F231" t="s">
        <v>17</v>
      </c>
      <c r="G231">
        <v>400364.39737548504</v>
      </c>
      <c r="H231">
        <v>132120.25113391006</v>
      </c>
    </row>
    <row r="232" spans="1:8" hidden="1" x14ac:dyDescent="0.35">
      <c r="A232" t="s">
        <v>11</v>
      </c>
      <c r="B232">
        <v>2018</v>
      </c>
      <c r="C232" t="s">
        <v>16</v>
      </c>
      <c r="D232" t="s">
        <v>490</v>
      </c>
      <c r="E232">
        <v>0</v>
      </c>
      <c r="F232" t="s">
        <v>17</v>
      </c>
      <c r="G232">
        <v>0</v>
      </c>
      <c r="H232">
        <v>0</v>
      </c>
    </row>
    <row r="233" spans="1:8" hidden="1" x14ac:dyDescent="0.35">
      <c r="A233" t="s">
        <v>11</v>
      </c>
      <c r="B233">
        <v>2019</v>
      </c>
      <c r="C233" t="s">
        <v>16</v>
      </c>
      <c r="D233" t="s">
        <v>490</v>
      </c>
      <c r="E233">
        <v>0</v>
      </c>
      <c r="F233" t="s">
        <v>17</v>
      </c>
      <c r="G233">
        <v>0</v>
      </c>
      <c r="H233">
        <v>0</v>
      </c>
    </row>
    <row r="234" spans="1:8" hidden="1" x14ac:dyDescent="0.35">
      <c r="A234" t="s">
        <v>11</v>
      </c>
      <c r="B234">
        <v>2020</v>
      </c>
      <c r="C234" t="s">
        <v>16</v>
      </c>
      <c r="D234" t="s">
        <v>490</v>
      </c>
      <c r="E234">
        <v>0</v>
      </c>
      <c r="F234" t="s">
        <v>17</v>
      </c>
      <c r="G234">
        <v>0</v>
      </c>
      <c r="H234">
        <v>0</v>
      </c>
    </row>
    <row r="235" spans="1:8" hidden="1" x14ac:dyDescent="0.35">
      <c r="A235" t="s">
        <v>11</v>
      </c>
      <c r="B235">
        <v>2021</v>
      </c>
      <c r="C235" t="s">
        <v>16</v>
      </c>
      <c r="D235" t="s">
        <v>490</v>
      </c>
      <c r="E235">
        <v>0</v>
      </c>
      <c r="F235" t="s">
        <v>17</v>
      </c>
      <c r="G235">
        <v>0</v>
      </c>
      <c r="H235">
        <v>0</v>
      </c>
    </row>
    <row r="236" spans="1:8" hidden="1" x14ac:dyDescent="0.35">
      <c r="A236" t="s">
        <v>11</v>
      </c>
      <c r="B236">
        <v>2022</v>
      </c>
      <c r="C236" t="s">
        <v>16</v>
      </c>
      <c r="D236" t="s">
        <v>490</v>
      </c>
      <c r="E236">
        <v>0</v>
      </c>
      <c r="F236" t="s">
        <v>17</v>
      </c>
      <c r="G236">
        <v>0</v>
      </c>
      <c r="H236">
        <v>0</v>
      </c>
    </row>
    <row r="237" spans="1:8" hidden="1" x14ac:dyDescent="0.35">
      <c r="A237" t="s">
        <v>11</v>
      </c>
      <c r="B237">
        <v>2023</v>
      </c>
      <c r="C237" t="s">
        <v>16</v>
      </c>
      <c r="D237" t="s">
        <v>490</v>
      </c>
      <c r="E237">
        <v>0</v>
      </c>
      <c r="F237" t="s">
        <v>17</v>
      </c>
      <c r="G237">
        <v>0</v>
      </c>
      <c r="H237">
        <v>0</v>
      </c>
    </row>
    <row r="238" spans="1:8" hidden="1" x14ac:dyDescent="0.35">
      <c r="A238" t="s">
        <v>11</v>
      </c>
      <c r="B238">
        <v>2024</v>
      </c>
      <c r="C238" t="s">
        <v>16</v>
      </c>
      <c r="D238" t="s">
        <v>490</v>
      </c>
      <c r="E238">
        <v>0</v>
      </c>
      <c r="F238" t="s">
        <v>17</v>
      </c>
      <c r="G238">
        <v>0</v>
      </c>
      <c r="H238">
        <v>0</v>
      </c>
    </row>
    <row r="239" spans="1:8" hidden="1" x14ac:dyDescent="0.35">
      <c r="A239" t="s">
        <v>11</v>
      </c>
      <c r="B239">
        <v>2025</v>
      </c>
      <c r="C239" t="s">
        <v>16</v>
      </c>
      <c r="D239" t="s">
        <v>490</v>
      </c>
      <c r="E239">
        <v>0</v>
      </c>
      <c r="F239" t="s">
        <v>17</v>
      </c>
      <c r="G239">
        <v>0</v>
      </c>
      <c r="H239">
        <v>0</v>
      </c>
    </row>
    <row r="240" spans="1:8" hidden="1" x14ac:dyDescent="0.35">
      <c r="A240" t="s">
        <v>11</v>
      </c>
      <c r="B240">
        <v>2026</v>
      </c>
      <c r="C240" t="s">
        <v>16</v>
      </c>
      <c r="D240" t="s">
        <v>490</v>
      </c>
      <c r="E240">
        <v>0</v>
      </c>
      <c r="F240" t="s">
        <v>17</v>
      </c>
      <c r="G240">
        <v>0</v>
      </c>
      <c r="H240">
        <v>0</v>
      </c>
    </row>
    <row r="241" spans="1:8" hidden="1" x14ac:dyDescent="0.35">
      <c r="A241" t="s">
        <v>11</v>
      </c>
      <c r="B241">
        <v>2027</v>
      </c>
      <c r="C241" t="s">
        <v>16</v>
      </c>
      <c r="D241" t="s">
        <v>490</v>
      </c>
      <c r="E241">
        <v>0</v>
      </c>
      <c r="F241" t="s">
        <v>17</v>
      </c>
      <c r="G241">
        <v>0</v>
      </c>
      <c r="H241">
        <v>0</v>
      </c>
    </row>
    <row r="242" spans="1:8" hidden="1" x14ac:dyDescent="0.35">
      <c r="A242" t="s">
        <v>11</v>
      </c>
      <c r="B242">
        <v>2028</v>
      </c>
      <c r="C242" t="s">
        <v>16</v>
      </c>
      <c r="D242" t="s">
        <v>490</v>
      </c>
      <c r="E242">
        <v>0</v>
      </c>
      <c r="F242" t="s">
        <v>17</v>
      </c>
      <c r="G242">
        <v>0</v>
      </c>
      <c r="H242">
        <v>0</v>
      </c>
    </row>
    <row r="243" spans="1:8" hidden="1" x14ac:dyDescent="0.35">
      <c r="A243" t="s">
        <v>11</v>
      </c>
      <c r="B243">
        <v>2029</v>
      </c>
      <c r="C243" t="s">
        <v>16</v>
      </c>
      <c r="D243" t="s">
        <v>490</v>
      </c>
      <c r="E243">
        <v>0</v>
      </c>
      <c r="F243" t="s">
        <v>17</v>
      </c>
      <c r="G243">
        <v>0</v>
      </c>
      <c r="H243">
        <v>0</v>
      </c>
    </row>
    <row r="244" spans="1:8" hidden="1" x14ac:dyDescent="0.35">
      <c r="A244" t="s">
        <v>11</v>
      </c>
      <c r="B244">
        <v>2030</v>
      </c>
      <c r="C244" t="s">
        <v>16</v>
      </c>
      <c r="D244" t="s">
        <v>490</v>
      </c>
      <c r="E244">
        <v>0</v>
      </c>
      <c r="F244" t="s">
        <v>17</v>
      </c>
      <c r="G244">
        <v>0</v>
      </c>
      <c r="H244">
        <v>0</v>
      </c>
    </row>
    <row r="245" spans="1:8" hidden="1" x14ac:dyDescent="0.35">
      <c r="A245" t="s">
        <v>11</v>
      </c>
      <c r="B245">
        <v>2031</v>
      </c>
      <c r="C245" t="s">
        <v>16</v>
      </c>
      <c r="D245" t="s">
        <v>490</v>
      </c>
      <c r="E245">
        <v>0</v>
      </c>
      <c r="F245" t="s">
        <v>17</v>
      </c>
      <c r="G245">
        <v>0</v>
      </c>
      <c r="H245">
        <v>0</v>
      </c>
    </row>
    <row r="246" spans="1:8" hidden="1" x14ac:dyDescent="0.35">
      <c r="A246" t="s">
        <v>11</v>
      </c>
      <c r="B246">
        <v>2032</v>
      </c>
      <c r="C246" t="s">
        <v>16</v>
      </c>
      <c r="D246" t="s">
        <v>490</v>
      </c>
      <c r="E246">
        <v>0</v>
      </c>
      <c r="F246" t="s">
        <v>17</v>
      </c>
      <c r="G246">
        <v>0</v>
      </c>
      <c r="H246">
        <v>0</v>
      </c>
    </row>
    <row r="247" spans="1:8" hidden="1" x14ac:dyDescent="0.35">
      <c r="A247" t="s">
        <v>11</v>
      </c>
      <c r="B247">
        <v>2033</v>
      </c>
      <c r="C247" t="s">
        <v>16</v>
      </c>
      <c r="D247" t="s">
        <v>490</v>
      </c>
      <c r="E247">
        <v>0</v>
      </c>
      <c r="F247" t="s">
        <v>17</v>
      </c>
      <c r="G247">
        <v>0</v>
      </c>
      <c r="H247">
        <v>0</v>
      </c>
    </row>
    <row r="248" spans="1:8" hidden="1" x14ac:dyDescent="0.35">
      <c r="A248" t="s">
        <v>11</v>
      </c>
      <c r="B248">
        <v>2034</v>
      </c>
      <c r="C248" t="s">
        <v>16</v>
      </c>
      <c r="D248" t="s">
        <v>490</v>
      </c>
      <c r="E248">
        <v>0</v>
      </c>
      <c r="F248" t="s">
        <v>17</v>
      </c>
      <c r="G248">
        <v>0</v>
      </c>
      <c r="H248">
        <v>0</v>
      </c>
    </row>
    <row r="249" spans="1:8" hidden="1" x14ac:dyDescent="0.35">
      <c r="A249" t="s">
        <v>11</v>
      </c>
      <c r="B249">
        <v>2035</v>
      </c>
      <c r="C249" t="s">
        <v>16</v>
      </c>
      <c r="D249" t="s">
        <v>490</v>
      </c>
      <c r="E249">
        <v>0</v>
      </c>
      <c r="F249" t="s">
        <v>17</v>
      </c>
      <c r="G249">
        <v>0</v>
      </c>
      <c r="H249">
        <v>0</v>
      </c>
    </row>
    <row r="250" spans="1:8" hidden="1" x14ac:dyDescent="0.35">
      <c r="A250" t="s">
        <v>11</v>
      </c>
      <c r="B250">
        <v>2036</v>
      </c>
      <c r="C250" t="s">
        <v>16</v>
      </c>
      <c r="D250" t="s">
        <v>490</v>
      </c>
      <c r="E250">
        <v>0</v>
      </c>
      <c r="F250" t="s">
        <v>17</v>
      </c>
      <c r="G250">
        <v>0</v>
      </c>
      <c r="H250">
        <v>0</v>
      </c>
    </row>
    <row r="251" spans="1:8" hidden="1" x14ac:dyDescent="0.35">
      <c r="A251" t="s">
        <v>11</v>
      </c>
      <c r="B251">
        <v>2037</v>
      </c>
      <c r="C251" t="s">
        <v>16</v>
      </c>
      <c r="D251" t="s">
        <v>490</v>
      </c>
      <c r="E251">
        <v>0</v>
      </c>
      <c r="F251" t="s">
        <v>17</v>
      </c>
      <c r="G251">
        <v>0</v>
      </c>
      <c r="H251">
        <v>0</v>
      </c>
    </row>
    <row r="252" spans="1:8" hidden="1" x14ac:dyDescent="0.35">
      <c r="A252" t="s">
        <v>11</v>
      </c>
      <c r="B252">
        <v>2038</v>
      </c>
      <c r="C252" t="s">
        <v>16</v>
      </c>
      <c r="D252" t="s">
        <v>490</v>
      </c>
      <c r="E252">
        <v>0</v>
      </c>
      <c r="F252" t="s">
        <v>17</v>
      </c>
      <c r="G252">
        <v>0</v>
      </c>
      <c r="H252">
        <v>0</v>
      </c>
    </row>
    <row r="253" spans="1:8" hidden="1" x14ac:dyDescent="0.35">
      <c r="A253" t="s">
        <v>11</v>
      </c>
      <c r="B253">
        <v>2039</v>
      </c>
      <c r="C253" t="s">
        <v>16</v>
      </c>
      <c r="D253" t="s">
        <v>490</v>
      </c>
      <c r="E253">
        <v>0</v>
      </c>
      <c r="F253" t="s">
        <v>17</v>
      </c>
      <c r="G253">
        <v>0</v>
      </c>
      <c r="H253">
        <v>0</v>
      </c>
    </row>
    <row r="254" spans="1:8" hidden="1" x14ac:dyDescent="0.35">
      <c r="A254" t="s">
        <v>11</v>
      </c>
      <c r="B254">
        <v>2040</v>
      </c>
      <c r="C254" t="s">
        <v>16</v>
      </c>
      <c r="D254" t="s">
        <v>490</v>
      </c>
      <c r="E254">
        <v>0</v>
      </c>
      <c r="F254" t="s">
        <v>17</v>
      </c>
      <c r="G254">
        <v>0</v>
      </c>
      <c r="H254">
        <v>0</v>
      </c>
    </row>
    <row r="255" spans="1:8" hidden="1" x14ac:dyDescent="0.35">
      <c r="A255" t="s">
        <v>11</v>
      </c>
      <c r="B255">
        <v>2018</v>
      </c>
      <c r="C255" t="s">
        <v>18</v>
      </c>
      <c r="D255" t="s">
        <v>490</v>
      </c>
      <c r="E255">
        <v>0</v>
      </c>
      <c r="F255" t="s">
        <v>17</v>
      </c>
      <c r="G255">
        <v>0</v>
      </c>
      <c r="H255">
        <v>0</v>
      </c>
    </row>
    <row r="256" spans="1:8" hidden="1" x14ac:dyDescent="0.35">
      <c r="A256" t="s">
        <v>11</v>
      </c>
      <c r="B256">
        <v>2019</v>
      </c>
      <c r="C256" t="s">
        <v>18</v>
      </c>
      <c r="D256" t="s">
        <v>490</v>
      </c>
      <c r="E256">
        <v>0</v>
      </c>
      <c r="F256" t="s">
        <v>17</v>
      </c>
      <c r="G256">
        <v>0</v>
      </c>
      <c r="H256">
        <v>0</v>
      </c>
    </row>
    <row r="257" spans="1:8" hidden="1" x14ac:dyDescent="0.35">
      <c r="A257" t="s">
        <v>11</v>
      </c>
      <c r="B257">
        <v>2020</v>
      </c>
      <c r="C257" t="s">
        <v>18</v>
      </c>
      <c r="D257" t="s">
        <v>490</v>
      </c>
      <c r="E257">
        <v>0</v>
      </c>
      <c r="F257" t="s">
        <v>17</v>
      </c>
      <c r="G257">
        <v>0</v>
      </c>
      <c r="H257">
        <v>0</v>
      </c>
    </row>
    <row r="258" spans="1:8" hidden="1" x14ac:dyDescent="0.35">
      <c r="A258" t="s">
        <v>11</v>
      </c>
      <c r="B258">
        <v>2021</v>
      </c>
      <c r="C258" t="s">
        <v>18</v>
      </c>
      <c r="D258" t="s">
        <v>490</v>
      </c>
      <c r="E258">
        <v>0</v>
      </c>
      <c r="F258" t="s">
        <v>17</v>
      </c>
      <c r="G258">
        <v>0</v>
      </c>
      <c r="H258">
        <v>0</v>
      </c>
    </row>
    <row r="259" spans="1:8" hidden="1" x14ac:dyDescent="0.35">
      <c r="A259" t="s">
        <v>11</v>
      </c>
      <c r="B259">
        <v>2022</v>
      </c>
      <c r="C259" t="s">
        <v>18</v>
      </c>
      <c r="D259" t="s">
        <v>490</v>
      </c>
      <c r="E259">
        <v>0</v>
      </c>
      <c r="F259" t="s">
        <v>17</v>
      </c>
      <c r="G259">
        <v>0</v>
      </c>
      <c r="H259">
        <v>0</v>
      </c>
    </row>
    <row r="260" spans="1:8" hidden="1" x14ac:dyDescent="0.35">
      <c r="A260" t="s">
        <v>11</v>
      </c>
      <c r="B260">
        <v>2023</v>
      </c>
      <c r="C260" t="s">
        <v>18</v>
      </c>
      <c r="D260" t="s">
        <v>490</v>
      </c>
      <c r="E260">
        <v>1.4008889791940259E-3</v>
      </c>
      <c r="F260" t="s">
        <v>17</v>
      </c>
      <c r="G260">
        <v>1.4008889791940258</v>
      </c>
      <c r="H260">
        <v>0.8384935726722027</v>
      </c>
    </row>
    <row r="261" spans="1:8" hidden="1" x14ac:dyDescent="0.35">
      <c r="A261" t="s">
        <v>11</v>
      </c>
      <c r="B261">
        <v>2024</v>
      </c>
      <c r="C261" t="s">
        <v>18</v>
      </c>
      <c r="D261" t="s">
        <v>490</v>
      </c>
      <c r="E261">
        <v>1.9624899320272796E-3</v>
      </c>
      <c r="F261" t="s">
        <v>17</v>
      </c>
      <c r="G261">
        <v>1.9624899320272795</v>
      </c>
      <c r="H261">
        <v>1.1746364050815137</v>
      </c>
    </row>
    <row r="262" spans="1:8" hidden="1" x14ac:dyDescent="0.35">
      <c r="A262" t="s">
        <v>11</v>
      </c>
      <c r="B262">
        <v>2025</v>
      </c>
      <c r="C262" t="s">
        <v>18</v>
      </c>
      <c r="D262" t="s">
        <v>490</v>
      </c>
      <c r="E262">
        <v>2.7492305175562488E-3</v>
      </c>
      <c r="F262" t="s">
        <v>17</v>
      </c>
      <c r="G262">
        <v>2.7492305175562488</v>
      </c>
      <c r="H262">
        <v>1.6455351944387819</v>
      </c>
    </row>
    <row r="263" spans="1:8" hidden="1" x14ac:dyDescent="0.35">
      <c r="A263" t="s">
        <v>11</v>
      </c>
      <c r="B263">
        <v>2026</v>
      </c>
      <c r="C263" t="s">
        <v>18</v>
      </c>
      <c r="D263" t="s">
        <v>490</v>
      </c>
      <c r="E263">
        <v>3.8513667333084363E-3</v>
      </c>
      <c r="F263" t="s">
        <v>17</v>
      </c>
      <c r="G263">
        <v>3.8513667333084363</v>
      </c>
      <c r="H263">
        <v>2.3052121187651879</v>
      </c>
    </row>
    <row r="264" spans="1:8" hidden="1" x14ac:dyDescent="0.35">
      <c r="A264" t="s">
        <v>11</v>
      </c>
      <c r="B264">
        <v>2027</v>
      </c>
      <c r="C264" t="s">
        <v>18</v>
      </c>
      <c r="D264" t="s">
        <v>490</v>
      </c>
      <c r="E264">
        <v>5.3953372115262853E-3</v>
      </c>
      <c r="F264" t="s">
        <v>17</v>
      </c>
      <c r="G264">
        <v>5.395337211526285</v>
      </c>
      <c r="H264">
        <v>3.229346251882661</v>
      </c>
    </row>
    <row r="265" spans="1:8" hidden="1" x14ac:dyDescent="0.35">
      <c r="A265" t="s">
        <v>11</v>
      </c>
      <c r="B265">
        <v>2028</v>
      </c>
      <c r="C265" t="s">
        <v>18</v>
      </c>
      <c r="D265" t="s">
        <v>490</v>
      </c>
      <c r="E265">
        <v>7.5582684386625984E-3</v>
      </c>
      <c r="F265" t="s">
        <v>17</v>
      </c>
      <c r="G265">
        <v>7.5582684386625987</v>
      </c>
      <c r="H265">
        <v>4.5239555742639546</v>
      </c>
    </row>
    <row r="266" spans="1:8" hidden="1" x14ac:dyDescent="0.35">
      <c r="A266" t="s">
        <v>11</v>
      </c>
      <c r="B266">
        <v>2029</v>
      </c>
      <c r="C266" t="s">
        <v>18</v>
      </c>
      <c r="D266" t="s">
        <v>490</v>
      </c>
      <c r="E266">
        <v>1.0588294957512472E-2</v>
      </c>
      <c r="F266" t="s">
        <v>17</v>
      </c>
      <c r="G266">
        <v>10.588294957512472</v>
      </c>
      <c r="H266">
        <v>6.3375595063497547</v>
      </c>
    </row>
    <row r="267" spans="1:8" hidden="1" x14ac:dyDescent="0.35">
      <c r="A267" t="s">
        <v>11</v>
      </c>
      <c r="B267">
        <v>2030</v>
      </c>
      <c r="C267" t="s">
        <v>18</v>
      </c>
      <c r="D267" t="s">
        <v>490</v>
      </c>
      <c r="E267">
        <v>1.4833025714434896E-2</v>
      </c>
      <c r="F267" t="s">
        <v>17</v>
      </c>
      <c r="G267">
        <v>14.833025714434896</v>
      </c>
      <c r="H267">
        <v>8.878217267431701</v>
      </c>
    </row>
    <row r="268" spans="1:8" hidden="1" x14ac:dyDescent="0.35">
      <c r="A268" t="s">
        <v>11</v>
      </c>
      <c r="B268">
        <v>2031</v>
      </c>
      <c r="C268" t="s">
        <v>18</v>
      </c>
      <c r="D268" t="s">
        <v>490</v>
      </c>
      <c r="E268">
        <v>2.0779422251453437E-2</v>
      </c>
      <c r="F268" t="s">
        <v>17</v>
      </c>
      <c r="G268">
        <v>20.779422251453436</v>
      </c>
      <c r="H268">
        <v>12.437396724835168</v>
      </c>
    </row>
    <row r="269" spans="1:8" hidden="1" x14ac:dyDescent="0.35">
      <c r="A269" t="s">
        <v>11</v>
      </c>
      <c r="B269">
        <v>2032</v>
      </c>
      <c r="C269" t="s">
        <v>18</v>
      </c>
      <c r="D269" t="s">
        <v>490</v>
      </c>
      <c r="E269">
        <v>2.9109663626080227E-2</v>
      </c>
      <c r="F269" t="s">
        <v>17</v>
      </c>
      <c r="G269">
        <v>29.109663626080227</v>
      </c>
      <c r="H269">
        <v>17.423412001685456</v>
      </c>
    </row>
    <row r="270" spans="1:8" hidden="1" x14ac:dyDescent="0.35">
      <c r="A270" t="s">
        <v>11</v>
      </c>
      <c r="B270">
        <v>2033</v>
      </c>
      <c r="C270" t="s">
        <v>18</v>
      </c>
      <c r="D270" t="s">
        <v>490</v>
      </c>
      <c r="E270">
        <v>4.0779406961820995E-2</v>
      </c>
      <c r="F270" t="s">
        <v>17</v>
      </c>
      <c r="G270">
        <v>40.779406961820996</v>
      </c>
      <c r="H270">
        <v>24.408265853118078</v>
      </c>
    </row>
    <row r="271" spans="1:8" hidden="1" x14ac:dyDescent="0.35">
      <c r="A271" t="s">
        <v>11</v>
      </c>
      <c r="B271">
        <v>2034</v>
      </c>
      <c r="C271" t="s">
        <v>18</v>
      </c>
      <c r="D271" t="s">
        <v>490</v>
      </c>
      <c r="E271">
        <v>5.7127421790883162E-2</v>
      </c>
      <c r="F271" t="s">
        <v>17</v>
      </c>
      <c r="G271">
        <v>57.127421790883162</v>
      </c>
      <c r="H271">
        <v>34.193270634870984</v>
      </c>
    </row>
    <row r="272" spans="1:8" hidden="1" x14ac:dyDescent="0.35">
      <c r="A272" t="s">
        <v>11</v>
      </c>
      <c r="B272">
        <v>2035</v>
      </c>
      <c r="C272" t="s">
        <v>18</v>
      </c>
      <c r="D272" t="s">
        <v>490</v>
      </c>
      <c r="E272">
        <v>8.0029175596616847E-2</v>
      </c>
      <c r="F272" t="s">
        <v>17</v>
      </c>
      <c r="G272">
        <v>80.029175596616852</v>
      </c>
      <c r="H272">
        <v>47.900975994989466</v>
      </c>
    </row>
    <row r="273" spans="1:8" hidden="1" x14ac:dyDescent="0.35">
      <c r="A273" t="s">
        <v>11</v>
      </c>
      <c r="B273">
        <v>2036</v>
      </c>
      <c r="C273" t="s">
        <v>18</v>
      </c>
      <c r="D273" t="s">
        <v>490</v>
      </c>
      <c r="E273">
        <v>0.11211199010728401</v>
      </c>
      <c r="F273" t="s">
        <v>17</v>
      </c>
      <c r="G273">
        <v>112.11199010728402</v>
      </c>
      <c r="H273">
        <v>67.10394936401832</v>
      </c>
    </row>
    <row r="274" spans="1:8" hidden="1" x14ac:dyDescent="0.35">
      <c r="A274" t="s">
        <v>11</v>
      </c>
      <c r="B274">
        <v>2037</v>
      </c>
      <c r="C274" t="s">
        <v>18</v>
      </c>
      <c r="D274" t="s">
        <v>490</v>
      </c>
      <c r="E274">
        <v>0.15705645137680382</v>
      </c>
      <c r="F274" t="s">
        <v>17</v>
      </c>
      <c r="G274">
        <v>157.05645137680384</v>
      </c>
      <c r="H274">
        <v>94.005183124447228</v>
      </c>
    </row>
    <row r="275" spans="1:8" hidden="1" x14ac:dyDescent="0.35">
      <c r="A275" t="s">
        <v>11</v>
      </c>
      <c r="B275">
        <v>2038</v>
      </c>
      <c r="C275" t="s">
        <v>18</v>
      </c>
      <c r="D275" t="s">
        <v>490</v>
      </c>
      <c r="E275">
        <v>0.22001865184508684</v>
      </c>
      <c r="F275" t="s">
        <v>17</v>
      </c>
      <c r="G275">
        <v>220.01865184508685</v>
      </c>
      <c r="H275">
        <v>131.69082502615433</v>
      </c>
    </row>
    <row r="276" spans="1:8" hidden="1" x14ac:dyDescent="0.35">
      <c r="A276" t="s">
        <v>11</v>
      </c>
      <c r="B276">
        <v>2039</v>
      </c>
      <c r="C276" t="s">
        <v>18</v>
      </c>
      <c r="D276" t="s">
        <v>490</v>
      </c>
      <c r="E276">
        <v>0.30822170458690951</v>
      </c>
      <c r="F276" t="s">
        <v>17</v>
      </c>
      <c r="G276">
        <v>308.22170458690948</v>
      </c>
      <c r="H276">
        <v>184.48422544010839</v>
      </c>
    </row>
    <row r="277" spans="1:8" hidden="1" x14ac:dyDescent="0.35">
      <c r="A277" t="s">
        <v>11</v>
      </c>
      <c r="B277">
        <v>2040</v>
      </c>
      <c r="C277" t="s">
        <v>18</v>
      </c>
      <c r="D277" t="s">
        <v>490</v>
      </c>
      <c r="E277">
        <v>0.4317843891041982</v>
      </c>
      <c r="F277" t="s">
        <v>17</v>
      </c>
      <c r="G277">
        <v>431.78438910419817</v>
      </c>
      <c r="H277">
        <v>258.44191825419398</v>
      </c>
    </row>
    <row r="278" spans="1:8" hidden="1" x14ac:dyDescent="0.35">
      <c r="A278" t="s">
        <v>6</v>
      </c>
      <c r="B278">
        <v>2018</v>
      </c>
      <c r="C278" t="s">
        <v>16</v>
      </c>
      <c r="D278" t="s">
        <v>483</v>
      </c>
      <c r="E278">
        <v>4.1361000000000008</v>
      </c>
      <c r="F278" t="s">
        <v>17</v>
      </c>
      <c r="G278">
        <v>4136.1000000000004</v>
      </c>
      <c r="H278">
        <v>1754.4584603360538</v>
      </c>
    </row>
    <row r="279" spans="1:8" hidden="1" x14ac:dyDescent="0.35">
      <c r="A279" t="s">
        <v>6</v>
      </c>
      <c r="B279">
        <v>2019</v>
      </c>
      <c r="C279" t="s">
        <v>16</v>
      </c>
      <c r="D279" t="s">
        <v>483</v>
      </c>
      <c r="E279">
        <v>3.4330000000000003</v>
      </c>
      <c r="F279" t="s">
        <v>17</v>
      </c>
      <c r="G279">
        <v>3433.0000000000005</v>
      </c>
      <c r="H279">
        <v>1456.2162168065745</v>
      </c>
    </row>
    <row r="280" spans="1:8" hidden="1" x14ac:dyDescent="0.35">
      <c r="A280" t="s">
        <v>6</v>
      </c>
      <c r="B280">
        <v>2020</v>
      </c>
      <c r="C280" t="s">
        <v>16</v>
      </c>
      <c r="D280" t="s">
        <v>483</v>
      </c>
      <c r="E280">
        <v>3.2363240000000002</v>
      </c>
      <c r="F280" t="s">
        <v>17</v>
      </c>
      <c r="G280">
        <v>3236.3240000000001</v>
      </c>
      <c r="H280">
        <v>1372.789831529368</v>
      </c>
    </row>
    <row r="281" spans="1:8" hidden="1" x14ac:dyDescent="0.35">
      <c r="A281" t="s">
        <v>6</v>
      </c>
      <c r="B281">
        <v>2021</v>
      </c>
      <c r="C281" t="s">
        <v>16</v>
      </c>
      <c r="D281" t="s">
        <v>483</v>
      </c>
      <c r="E281">
        <v>3.8086570000000002</v>
      </c>
      <c r="F281" t="s">
        <v>17</v>
      </c>
      <c r="G281">
        <v>3808.6570000000002</v>
      </c>
      <c r="H281">
        <v>1615.5630899079165</v>
      </c>
    </row>
    <row r="282" spans="1:8" hidden="1" x14ac:dyDescent="0.35">
      <c r="A282" t="s">
        <v>6</v>
      </c>
      <c r="B282">
        <v>2022</v>
      </c>
      <c r="C282" t="s">
        <v>16</v>
      </c>
      <c r="D282" t="s">
        <v>483</v>
      </c>
      <c r="E282">
        <v>2.536143</v>
      </c>
      <c r="F282" t="s">
        <v>17</v>
      </c>
      <c r="G282">
        <v>2536.143</v>
      </c>
      <c r="H282">
        <v>1075.785774756911</v>
      </c>
    </row>
    <row r="283" spans="1:8" hidden="1" x14ac:dyDescent="0.35">
      <c r="A283" t="s">
        <v>6</v>
      </c>
      <c r="B283">
        <v>2023</v>
      </c>
      <c r="C283" t="s">
        <v>16</v>
      </c>
      <c r="D283" t="s">
        <v>483</v>
      </c>
      <c r="E283">
        <v>4.7960000000000003</v>
      </c>
      <c r="F283" t="s">
        <v>17</v>
      </c>
      <c r="G283">
        <v>4796</v>
      </c>
      <c r="H283">
        <v>2034.3760488797934</v>
      </c>
    </row>
    <row r="284" spans="1:8" hidden="1" x14ac:dyDescent="0.35">
      <c r="A284" t="s">
        <v>6</v>
      </c>
      <c r="B284">
        <v>2024</v>
      </c>
      <c r="C284" t="s">
        <v>16</v>
      </c>
      <c r="D284" t="s">
        <v>483</v>
      </c>
      <c r="E284">
        <v>3.3809999999999998</v>
      </c>
      <c r="F284" t="s">
        <v>17</v>
      </c>
      <c r="G284">
        <v>3381</v>
      </c>
      <c r="H284">
        <v>1434.158761731147</v>
      </c>
    </row>
    <row r="285" spans="1:8" hidden="1" x14ac:dyDescent="0.35">
      <c r="A285" t="s">
        <v>6</v>
      </c>
      <c r="B285">
        <v>2025</v>
      </c>
      <c r="C285" t="s">
        <v>16</v>
      </c>
      <c r="D285" t="s">
        <v>483</v>
      </c>
      <c r="E285">
        <v>3.4940000000000002</v>
      </c>
      <c r="F285" t="s">
        <v>17</v>
      </c>
      <c r="G285">
        <v>3494</v>
      </c>
      <c r="H285">
        <v>1482.0913083373641</v>
      </c>
    </row>
    <row r="286" spans="1:8" hidden="1" x14ac:dyDescent="0.35">
      <c r="A286" t="s">
        <v>6</v>
      </c>
      <c r="B286">
        <v>2026</v>
      </c>
      <c r="C286" t="s">
        <v>16</v>
      </c>
      <c r="D286" t="s">
        <v>483</v>
      </c>
      <c r="E286">
        <v>3.4940000000000002</v>
      </c>
      <c r="F286" t="s">
        <v>17</v>
      </c>
      <c r="G286">
        <v>3494</v>
      </c>
      <c r="H286">
        <v>1482.0913083373641</v>
      </c>
    </row>
    <row r="287" spans="1:8" hidden="1" x14ac:dyDescent="0.35">
      <c r="A287" t="s">
        <v>6</v>
      </c>
      <c r="B287">
        <v>2027</v>
      </c>
      <c r="C287" t="s">
        <v>16</v>
      </c>
      <c r="D287" t="s">
        <v>483</v>
      </c>
      <c r="E287">
        <v>4.1760000000000002</v>
      </c>
      <c r="F287" t="s">
        <v>17</v>
      </c>
      <c r="G287">
        <v>4176</v>
      </c>
      <c r="H287">
        <v>1771.3833152881605</v>
      </c>
    </row>
    <row r="288" spans="1:8" hidden="1" x14ac:dyDescent="0.35">
      <c r="A288" t="s">
        <v>6</v>
      </c>
      <c r="B288">
        <v>2028</v>
      </c>
      <c r="C288" t="s">
        <v>16</v>
      </c>
      <c r="D288" t="s">
        <v>483</v>
      </c>
      <c r="E288">
        <v>4.1760000000000002</v>
      </c>
      <c r="F288" t="s">
        <v>17</v>
      </c>
      <c r="G288">
        <v>4176</v>
      </c>
      <c r="H288">
        <v>1771.3833152881605</v>
      </c>
    </row>
    <row r="289" spans="1:8" hidden="1" x14ac:dyDescent="0.35">
      <c r="A289" t="s">
        <v>6</v>
      </c>
      <c r="B289">
        <v>2029</v>
      </c>
      <c r="C289" t="s">
        <v>16</v>
      </c>
      <c r="D289" t="s">
        <v>483</v>
      </c>
      <c r="E289">
        <v>3.8610000000000002</v>
      </c>
      <c r="F289" t="s">
        <v>17</v>
      </c>
      <c r="G289">
        <v>3861</v>
      </c>
      <c r="H289">
        <v>1637.7660393504759</v>
      </c>
    </row>
    <row r="290" spans="1:8" hidden="1" x14ac:dyDescent="0.35">
      <c r="A290" t="s">
        <v>6</v>
      </c>
      <c r="B290">
        <v>2030</v>
      </c>
      <c r="C290" t="s">
        <v>16</v>
      </c>
      <c r="D290" t="s">
        <v>483</v>
      </c>
      <c r="E290">
        <v>3.8610000000000002</v>
      </c>
      <c r="F290" t="s">
        <v>17</v>
      </c>
      <c r="G290">
        <v>3861</v>
      </c>
      <c r="H290">
        <v>1637.7660393504759</v>
      </c>
    </row>
    <row r="291" spans="1:8" hidden="1" x14ac:dyDescent="0.35">
      <c r="A291" t="s">
        <v>6</v>
      </c>
      <c r="B291">
        <v>2031</v>
      </c>
      <c r="C291" t="s">
        <v>16</v>
      </c>
      <c r="D291" t="s">
        <v>483</v>
      </c>
      <c r="E291">
        <v>3.7069999999999999</v>
      </c>
      <c r="F291" t="s">
        <v>17</v>
      </c>
      <c r="G291">
        <v>3707</v>
      </c>
      <c r="H291">
        <v>1572.4420377809413</v>
      </c>
    </row>
    <row r="292" spans="1:8" hidden="1" x14ac:dyDescent="0.35">
      <c r="A292" t="s">
        <v>6</v>
      </c>
      <c r="B292">
        <v>2032</v>
      </c>
      <c r="C292" t="s">
        <v>16</v>
      </c>
      <c r="D292" t="s">
        <v>483</v>
      </c>
      <c r="E292">
        <v>3.3919999999999999</v>
      </c>
      <c r="F292" t="s">
        <v>17</v>
      </c>
      <c r="G292">
        <v>3392</v>
      </c>
      <c r="H292">
        <v>1438.8247618432567</v>
      </c>
    </row>
    <row r="293" spans="1:8" hidden="1" x14ac:dyDescent="0.35">
      <c r="A293" t="s">
        <v>6</v>
      </c>
      <c r="B293">
        <v>2033</v>
      </c>
      <c r="C293" t="s">
        <v>16</v>
      </c>
      <c r="D293" t="s">
        <v>483</v>
      </c>
      <c r="E293">
        <v>3.0790000000000002</v>
      </c>
      <c r="F293" t="s">
        <v>17</v>
      </c>
      <c r="G293">
        <v>3079</v>
      </c>
      <c r="H293">
        <v>1306.0558495623195</v>
      </c>
    </row>
    <row r="294" spans="1:8" hidden="1" x14ac:dyDescent="0.35">
      <c r="A294" t="s">
        <v>6</v>
      </c>
      <c r="B294">
        <v>2034</v>
      </c>
      <c r="C294" t="s">
        <v>16</v>
      </c>
      <c r="D294" t="s">
        <v>483</v>
      </c>
      <c r="E294">
        <v>3.0790000000000002</v>
      </c>
      <c r="F294" t="s">
        <v>17</v>
      </c>
      <c r="G294">
        <v>3079</v>
      </c>
      <c r="H294">
        <v>1306.0558495623195</v>
      </c>
    </row>
    <row r="295" spans="1:8" hidden="1" x14ac:dyDescent="0.35">
      <c r="A295" t="s">
        <v>6</v>
      </c>
      <c r="B295">
        <v>2035</v>
      </c>
      <c r="C295" t="s">
        <v>16</v>
      </c>
      <c r="D295" t="s">
        <v>483</v>
      </c>
      <c r="E295">
        <v>3.0790000000000002</v>
      </c>
      <c r="F295" t="s">
        <v>17</v>
      </c>
      <c r="G295">
        <v>3079</v>
      </c>
      <c r="H295">
        <v>1306.0558495623195</v>
      </c>
    </row>
    <row r="296" spans="1:8" hidden="1" x14ac:dyDescent="0.35">
      <c r="A296" t="s">
        <v>6</v>
      </c>
      <c r="B296">
        <v>2036</v>
      </c>
      <c r="C296" t="s">
        <v>16</v>
      </c>
      <c r="D296" t="s">
        <v>483</v>
      </c>
      <c r="E296">
        <v>2.8370000000000002</v>
      </c>
      <c r="F296" t="s">
        <v>17</v>
      </c>
      <c r="G296">
        <v>2837</v>
      </c>
      <c r="H296">
        <v>1203.4038470959078</v>
      </c>
    </row>
    <row r="297" spans="1:8" hidden="1" x14ac:dyDescent="0.35">
      <c r="A297" t="s">
        <v>6</v>
      </c>
      <c r="B297">
        <v>2037</v>
      </c>
      <c r="C297" t="s">
        <v>16</v>
      </c>
      <c r="D297" t="s">
        <v>483</v>
      </c>
      <c r="E297">
        <v>0.94699999999999995</v>
      </c>
      <c r="F297" t="s">
        <v>17</v>
      </c>
      <c r="G297">
        <v>947</v>
      </c>
      <c r="H297">
        <v>401.70019146980076</v>
      </c>
    </row>
    <row r="298" spans="1:8" hidden="1" x14ac:dyDescent="0.35">
      <c r="A298" t="s">
        <v>6</v>
      </c>
      <c r="B298">
        <v>2038</v>
      </c>
      <c r="C298" t="s">
        <v>16</v>
      </c>
      <c r="D298" t="s">
        <v>483</v>
      </c>
      <c r="E298">
        <v>0.26100000000000001</v>
      </c>
      <c r="F298" t="s">
        <v>17</v>
      </c>
      <c r="G298">
        <v>261</v>
      </c>
      <c r="H298">
        <v>110.71145720551003</v>
      </c>
    </row>
    <row r="299" spans="1:8" hidden="1" x14ac:dyDescent="0.35">
      <c r="A299" t="s">
        <v>6</v>
      </c>
      <c r="B299">
        <v>2039</v>
      </c>
      <c r="C299" t="s">
        <v>16</v>
      </c>
      <c r="D299" t="s">
        <v>483</v>
      </c>
      <c r="E299">
        <v>0.26100000000000001</v>
      </c>
      <c r="F299" t="s">
        <v>17</v>
      </c>
      <c r="G299">
        <v>261</v>
      </c>
      <c r="H299">
        <v>110.71145720551003</v>
      </c>
    </row>
    <row r="300" spans="1:8" hidden="1" x14ac:dyDescent="0.35">
      <c r="A300" t="s">
        <v>6</v>
      </c>
      <c r="B300">
        <v>2040</v>
      </c>
      <c r="C300" t="s">
        <v>16</v>
      </c>
      <c r="D300" t="s">
        <v>483</v>
      </c>
      <c r="E300">
        <v>0.26100000000000001</v>
      </c>
      <c r="F300" t="s">
        <v>17</v>
      </c>
      <c r="G300">
        <v>261</v>
      </c>
      <c r="H300">
        <v>110.71145720551003</v>
      </c>
    </row>
    <row r="301" spans="1:8" hidden="1" x14ac:dyDescent="0.35">
      <c r="A301" t="s">
        <v>6</v>
      </c>
      <c r="B301">
        <v>2018</v>
      </c>
      <c r="C301" t="s">
        <v>18</v>
      </c>
      <c r="D301" t="s">
        <v>483</v>
      </c>
      <c r="E301">
        <v>4.1361000000000008</v>
      </c>
      <c r="F301" t="s">
        <v>17</v>
      </c>
      <c r="G301">
        <v>4136.1000000000004</v>
      </c>
      <c r="H301">
        <v>1754.4584603360538</v>
      </c>
    </row>
    <row r="302" spans="1:8" hidden="1" x14ac:dyDescent="0.35">
      <c r="A302" t="s">
        <v>6</v>
      </c>
      <c r="B302">
        <v>2019</v>
      </c>
      <c r="C302" t="s">
        <v>18</v>
      </c>
      <c r="D302" t="s">
        <v>483</v>
      </c>
      <c r="E302">
        <v>3.4330000000000003</v>
      </c>
      <c r="F302" t="s">
        <v>17</v>
      </c>
      <c r="G302">
        <v>3433.0000000000005</v>
      </c>
      <c r="H302">
        <v>1456.2162168065745</v>
      </c>
    </row>
    <row r="303" spans="1:8" hidden="1" x14ac:dyDescent="0.35">
      <c r="A303" t="s">
        <v>6</v>
      </c>
      <c r="B303">
        <v>2020</v>
      </c>
      <c r="C303" t="s">
        <v>18</v>
      </c>
      <c r="D303" t="s">
        <v>483</v>
      </c>
      <c r="E303">
        <v>3.2363240000000002</v>
      </c>
      <c r="F303" t="s">
        <v>17</v>
      </c>
      <c r="G303">
        <v>3236.3240000000001</v>
      </c>
      <c r="H303">
        <v>1372.789831529368</v>
      </c>
    </row>
    <row r="304" spans="1:8" hidden="1" x14ac:dyDescent="0.35">
      <c r="A304" t="s">
        <v>6</v>
      </c>
      <c r="B304">
        <v>2021</v>
      </c>
      <c r="C304" t="s">
        <v>18</v>
      </c>
      <c r="D304" t="s">
        <v>483</v>
      </c>
      <c r="E304">
        <v>3.8086570000000002</v>
      </c>
      <c r="F304" t="s">
        <v>17</v>
      </c>
      <c r="G304">
        <v>3808.6570000000002</v>
      </c>
      <c r="H304">
        <v>1615.5630899079165</v>
      </c>
    </row>
    <row r="305" spans="1:8" hidden="1" x14ac:dyDescent="0.35">
      <c r="A305" t="s">
        <v>6</v>
      </c>
      <c r="B305">
        <v>2022</v>
      </c>
      <c r="C305" t="s">
        <v>18</v>
      </c>
      <c r="D305" t="s">
        <v>483</v>
      </c>
      <c r="E305">
        <v>2.536143</v>
      </c>
      <c r="F305" t="s">
        <v>17</v>
      </c>
      <c r="G305">
        <v>2536.143</v>
      </c>
      <c r="H305">
        <v>1075.785774756911</v>
      </c>
    </row>
    <row r="306" spans="1:8" hidden="1" x14ac:dyDescent="0.35">
      <c r="A306" t="s">
        <v>6</v>
      </c>
      <c r="B306">
        <v>2023</v>
      </c>
      <c r="C306" t="s">
        <v>18</v>
      </c>
      <c r="D306" t="s">
        <v>483</v>
      </c>
      <c r="E306">
        <v>4.7960000000000003</v>
      </c>
      <c r="F306" t="s">
        <v>17</v>
      </c>
      <c r="G306">
        <v>4796</v>
      </c>
      <c r="H306">
        <v>2034.3760488797934</v>
      </c>
    </row>
    <row r="307" spans="1:8" hidden="1" x14ac:dyDescent="0.35">
      <c r="A307" t="s">
        <v>6</v>
      </c>
      <c r="B307">
        <v>2024</v>
      </c>
      <c r="C307" t="s">
        <v>18</v>
      </c>
      <c r="D307" t="s">
        <v>483</v>
      </c>
      <c r="E307">
        <v>3.3809999999999998</v>
      </c>
      <c r="F307" t="s">
        <v>17</v>
      </c>
      <c r="G307">
        <v>3381</v>
      </c>
      <c r="H307">
        <v>1434.158761731147</v>
      </c>
    </row>
    <row r="308" spans="1:8" hidden="1" x14ac:dyDescent="0.35">
      <c r="A308" t="s">
        <v>6</v>
      </c>
      <c r="B308">
        <v>2025</v>
      </c>
      <c r="C308" t="s">
        <v>18</v>
      </c>
      <c r="D308" t="s">
        <v>483</v>
      </c>
      <c r="E308">
        <v>3.8504060559825399</v>
      </c>
      <c r="F308" t="s">
        <v>17</v>
      </c>
      <c r="G308">
        <v>3850.4060559825398</v>
      </c>
      <c r="H308">
        <v>1633.272280807462</v>
      </c>
    </row>
    <row r="309" spans="1:8" hidden="1" x14ac:dyDescent="0.35">
      <c r="A309" t="s">
        <v>6</v>
      </c>
      <c r="B309">
        <v>2026</v>
      </c>
      <c r="C309" t="s">
        <v>18</v>
      </c>
      <c r="D309" t="s">
        <v>483</v>
      </c>
      <c r="E309">
        <v>4.4939999999999998</v>
      </c>
      <c r="F309" t="s">
        <v>17</v>
      </c>
      <c r="G309">
        <v>4494</v>
      </c>
      <c r="H309">
        <v>1906.2731367109659</v>
      </c>
    </row>
    <row r="310" spans="1:8" hidden="1" x14ac:dyDescent="0.35">
      <c r="A310" t="s">
        <v>6</v>
      </c>
      <c r="B310">
        <v>2027</v>
      </c>
      <c r="C310" t="s">
        <v>18</v>
      </c>
      <c r="D310" t="s">
        <v>483</v>
      </c>
      <c r="E310">
        <v>5.3070000000000004</v>
      </c>
      <c r="F310" t="s">
        <v>17</v>
      </c>
      <c r="G310">
        <v>5307</v>
      </c>
      <c r="H310">
        <v>2251.1329631787039</v>
      </c>
    </row>
    <row r="311" spans="1:8" hidden="1" x14ac:dyDescent="0.35">
      <c r="A311" t="s">
        <v>6</v>
      </c>
      <c r="B311">
        <v>2028</v>
      </c>
      <c r="C311" t="s">
        <v>18</v>
      </c>
      <c r="D311" t="s">
        <v>483</v>
      </c>
      <c r="E311">
        <v>7.25</v>
      </c>
      <c r="F311" t="s">
        <v>17</v>
      </c>
      <c r="G311">
        <v>7250</v>
      </c>
      <c r="H311">
        <v>3075.3182557086116</v>
      </c>
    </row>
    <row r="312" spans="1:8" hidden="1" x14ac:dyDescent="0.35">
      <c r="A312" t="s">
        <v>6</v>
      </c>
      <c r="B312">
        <v>2029</v>
      </c>
      <c r="C312" t="s">
        <v>18</v>
      </c>
      <c r="D312" t="s">
        <v>483</v>
      </c>
      <c r="E312">
        <v>6.7191794773198641</v>
      </c>
      <c r="F312" t="s">
        <v>17</v>
      </c>
      <c r="G312">
        <v>6719.1794773198644</v>
      </c>
      <c r="H312">
        <v>2850.1538358599209</v>
      </c>
    </row>
    <row r="313" spans="1:8" hidden="1" x14ac:dyDescent="0.35">
      <c r="A313" t="s">
        <v>6</v>
      </c>
      <c r="B313">
        <v>2030</v>
      </c>
      <c r="C313" t="s">
        <v>18</v>
      </c>
      <c r="D313" t="s">
        <v>483</v>
      </c>
      <c r="E313">
        <v>7.7226911967684702</v>
      </c>
      <c r="F313" t="s">
        <v>17</v>
      </c>
      <c r="G313">
        <v>7722.69119676847</v>
      </c>
      <c r="H313">
        <v>3275.8252718099675</v>
      </c>
    </row>
    <row r="314" spans="1:8" hidden="1" x14ac:dyDescent="0.35">
      <c r="A314" t="s">
        <v>6</v>
      </c>
      <c r="B314">
        <v>2031</v>
      </c>
      <c r="C314" t="s">
        <v>18</v>
      </c>
      <c r="D314" t="s">
        <v>483</v>
      </c>
      <c r="E314">
        <v>8.8760777297221907</v>
      </c>
      <c r="F314" t="s">
        <v>17</v>
      </c>
      <c r="G314">
        <v>8876.0777297221903</v>
      </c>
      <c r="H314">
        <v>3765.0708801797655</v>
      </c>
    </row>
    <row r="315" spans="1:8" hidden="1" x14ac:dyDescent="0.35">
      <c r="A315" t="s">
        <v>6</v>
      </c>
      <c r="B315">
        <v>2032</v>
      </c>
      <c r="C315" t="s">
        <v>18</v>
      </c>
      <c r="D315" t="s">
        <v>483</v>
      </c>
      <c r="E315">
        <v>10.201722930089112</v>
      </c>
      <c r="F315" t="s">
        <v>17</v>
      </c>
      <c r="G315">
        <v>10201.722930089112</v>
      </c>
      <c r="H315">
        <v>4327.3854850460966</v>
      </c>
    </row>
    <row r="316" spans="1:8" hidden="1" x14ac:dyDescent="0.35">
      <c r="A316" t="s">
        <v>6</v>
      </c>
      <c r="B316">
        <v>2033</v>
      </c>
      <c r="C316" t="s">
        <v>18</v>
      </c>
      <c r="D316" t="s">
        <v>483</v>
      </c>
      <c r="E316">
        <v>11.725353687902352</v>
      </c>
      <c r="F316" t="s">
        <v>17</v>
      </c>
      <c r="G316">
        <v>11725.353687902352</v>
      </c>
      <c r="H316">
        <v>4973.6819656615726</v>
      </c>
    </row>
    <row r="317" spans="1:8" hidden="1" x14ac:dyDescent="0.35">
      <c r="A317" t="s">
        <v>6</v>
      </c>
      <c r="B317">
        <v>2034</v>
      </c>
      <c r="C317" t="s">
        <v>18</v>
      </c>
      <c r="D317" t="s">
        <v>483</v>
      </c>
      <c r="E317">
        <v>13.476539212891987</v>
      </c>
      <c r="F317" t="s">
        <v>17</v>
      </c>
      <c r="G317">
        <v>13476.539212891987</v>
      </c>
      <c r="H317">
        <v>5716.5030434730606</v>
      </c>
    </row>
    <row r="318" spans="1:8" hidden="1" x14ac:dyDescent="0.35">
      <c r="A318" t="s">
        <v>6</v>
      </c>
      <c r="B318">
        <v>2035</v>
      </c>
      <c r="C318" t="s">
        <v>18</v>
      </c>
      <c r="D318" t="s">
        <v>483</v>
      </c>
      <c r="E318">
        <v>15.489264886226762</v>
      </c>
      <c r="F318" t="s">
        <v>17</v>
      </c>
      <c r="G318">
        <v>15489.264886226762</v>
      </c>
      <c r="H318">
        <v>6570.2646996026942</v>
      </c>
    </row>
    <row r="319" spans="1:8" hidden="1" x14ac:dyDescent="0.35">
      <c r="A319" t="s">
        <v>6</v>
      </c>
      <c r="B319">
        <v>2036</v>
      </c>
      <c r="C319" t="s">
        <v>18</v>
      </c>
      <c r="D319" t="s">
        <v>483</v>
      </c>
      <c r="E319">
        <v>17.802591817206793</v>
      </c>
      <c r="F319" t="s">
        <v>17</v>
      </c>
      <c r="G319">
        <v>17802.591817206794</v>
      </c>
      <c r="H319">
        <v>7551.5359468116967</v>
      </c>
    </row>
    <row r="320" spans="1:8" hidden="1" x14ac:dyDescent="0.35">
      <c r="A320" t="s">
        <v>6</v>
      </c>
      <c r="B320">
        <v>2037</v>
      </c>
      <c r="C320" t="s">
        <v>18</v>
      </c>
      <c r="D320" t="s">
        <v>483</v>
      </c>
      <c r="E320">
        <v>20.461414904970614</v>
      </c>
      <c r="F320" t="s">
        <v>17</v>
      </c>
      <c r="G320">
        <v>20461.414904970614</v>
      </c>
      <c r="H320">
        <v>8679.3603855012989</v>
      </c>
    </row>
    <row r="321" spans="1:8" hidden="1" x14ac:dyDescent="0.35">
      <c r="A321" t="s">
        <v>6</v>
      </c>
      <c r="B321">
        <v>2038</v>
      </c>
      <c r="C321" t="s">
        <v>18</v>
      </c>
      <c r="D321" t="s">
        <v>483</v>
      </c>
      <c r="E321">
        <v>23.517334116973664</v>
      </c>
      <c r="F321" t="s">
        <v>17</v>
      </c>
      <c r="G321">
        <v>23517.334116973663</v>
      </c>
      <c r="H321">
        <v>9975.625784210768</v>
      </c>
    </row>
    <row r="322" spans="1:8" hidden="1" x14ac:dyDescent="0.35">
      <c r="A322" t="s">
        <v>6</v>
      </c>
      <c r="B322">
        <v>2039</v>
      </c>
      <c r="C322" t="s">
        <v>18</v>
      </c>
      <c r="D322" t="s">
        <v>483</v>
      </c>
      <c r="E322">
        <v>27.029655893201195</v>
      </c>
      <c r="F322" t="s">
        <v>17</v>
      </c>
      <c r="G322">
        <v>27029.655893201194</v>
      </c>
      <c r="H322">
        <v>11465.488857087379</v>
      </c>
    </row>
    <row r="323" spans="1:8" hidden="1" x14ac:dyDescent="0.35">
      <c r="A323" t="s">
        <v>6</v>
      </c>
      <c r="B323">
        <v>2040</v>
      </c>
      <c r="C323" t="s">
        <v>18</v>
      </c>
      <c r="D323" t="s">
        <v>483</v>
      </c>
      <c r="E323">
        <v>31.066544110437789</v>
      </c>
      <c r="F323" t="s">
        <v>17</v>
      </c>
      <c r="G323">
        <v>31066.54411043779</v>
      </c>
      <c r="H323">
        <v>13177.863482014647</v>
      </c>
    </row>
    <row r="324" spans="1:8" hidden="1" x14ac:dyDescent="0.35">
      <c r="A324" t="s">
        <v>7</v>
      </c>
      <c r="B324">
        <v>2018</v>
      </c>
      <c r="C324" t="s">
        <v>16</v>
      </c>
      <c r="D324" t="s">
        <v>483</v>
      </c>
      <c r="E324">
        <v>535.50900000000001</v>
      </c>
      <c r="F324" t="s">
        <v>17</v>
      </c>
      <c r="G324">
        <v>535509</v>
      </c>
      <c r="H324">
        <v>281468.18262491352</v>
      </c>
    </row>
    <row r="325" spans="1:8" hidden="1" x14ac:dyDescent="0.35">
      <c r="A325" t="s">
        <v>7</v>
      </c>
      <c r="B325">
        <v>2019</v>
      </c>
      <c r="C325" t="s">
        <v>16</v>
      </c>
      <c r="D325" t="s">
        <v>483</v>
      </c>
      <c r="E325">
        <v>557.84900000000005</v>
      </c>
      <c r="F325" t="s">
        <v>17</v>
      </c>
      <c r="G325">
        <v>557849</v>
      </c>
      <c r="H325">
        <v>293210.28070326621</v>
      </c>
    </row>
    <row r="326" spans="1:8" hidden="1" x14ac:dyDescent="0.35">
      <c r="A326" t="s">
        <v>7</v>
      </c>
      <c r="B326">
        <v>2020</v>
      </c>
      <c r="C326" t="s">
        <v>16</v>
      </c>
      <c r="D326" t="s">
        <v>483</v>
      </c>
      <c r="E326">
        <v>530.92100000000005</v>
      </c>
      <c r="F326" t="s">
        <v>17</v>
      </c>
      <c r="G326">
        <v>530921</v>
      </c>
      <c r="H326">
        <v>279056.68996674509</v>
      </c>
    </row>
    <row r="327" spans="1:8" hidden="1" x14ac:dyDescent="0.35">
      <c r="A327" t="s">
        <v>7</v>
      </c>
      <c r="B327">
        <v>2021</v>
      </c>
      <c r="C327" t="s">
        <v>16</v>
      </c>
      <c r="D327" t="s">
        <v>483</v>
      </c>
      <c r="E327">
        <v>488.52199999999999</v>
      </c>
      <c r="F327" t="s">
        <v>17</v>
      </c>
      <c r="G327">
        <v>488522</v>
      </c>
      <c r="H327">
        <v>256771.40722618668</v>
      </c>
    </row>
    <row r="328" spans="1:8" hidden="1" x14ac:dyDescent="0.35">
      <c r="A328" t="s">
        <v>7</v>
      </c>
      <c r="B328">
        <v>2022</v>
      </c>
      <c r="C328" t="s">
        <v>16</v>
      </c>
      <c r="D328" t="s">
        <v>483</v>
      </c>
      <c r="E328">
        <v>460.41500000000002</v>
      </c>
      <c r="F328" t="s">
        <v>17</v>
      </c>
      <c r="G328">
        <v>460415</v>
      </c>
      <c r="H328">
        <v>241998.12384712405</v>
      </c>
    </row>
    <row r="329" spans="1:8" hidden="1" x14ac:dyDescent="0.35">
      <c r="A329" t="s">
        <v>7</v>
      </c>
      <c r="B329">
        <v>2023</v>
      </c>
      <c r="C329" t="s">
        <v>16</v>
      </c>
      <c r="D329" t="s">
        <v>483</v>
      </c>
      <c r="E329">
        <v>404.04599999999999</v>
      </c>
      <c r="F329" t="s">
        <v>17</v>
      </c>
      <c r="G329">
        <v>404046</v>
      </c>
      <c r="H329">
        <v>212370.08774243906</v>
      </c>
    </row>
    <row r="330" spans="1:8" hidden="1" x14ac:dyDescent="0.35">
      <c r="A330" t="s">
        <v>7</v>
      </c>
      <c r="B330">
        <v>2024</v>
      </c>
      <c r="C330" t="s">
        <v>16</v>
      </c>
      <c r="D330" t="s">
        <v>483</v>
      </c>
      <c r="E330">
        <v>478.89299999999997</v>
      </c>
      <c r="F330" t="s">
        <v>17</v>
      </c>
      <c r="G330">
        <v>478893</v>
      </c>
      <c r="H330">
        <v>251710.32117442042</v>
      </c>
    </row>
    <row r="331" spans="1:8" hidden="1" x14ac:dyDescent="0.35">
      <c r="A331" t="s">
        <v>7</v>
      </c>
      <c r="B331">
        <v>2025</v>
      </c>
      <c r="C331" t="s">
        <v>16</v>
      </c>
      <c r="D331" t="s">
        <v>483</v>
      </c>
      <c r="E331">
        <v>483.88799999999998</v>
      </c>
      <c r="F331" t="s">
        <v>17</v>
      </c>
      <c r="G331">
        <v>483888</v>
      </c>
      <c r="H331">
        <v>254335.73656839406</v>
      </c>
    </row>
    <row r="332" spans="1:8" hidden="1" x14ac:dyDescent="0.35">
      <c r="A332" t="s">
        <v>7</v>
      </c>
      <c r="B332">
        <v>2026</v>
      </c>
      <c r="C332" t="s">
        <v>16</v>
      </c>
      <c r="D332" t="s">
        <v>483</v>
      </c>
      <c r="E332">
        <v>475.56599999999997</v>
      </c>
      <c r="F332" t="s">
        <v>17</v>
      </c>
      <c r="G332">
        <v>475566</v>
      </c>
      <c r="H332">
        <v>249961.62107116709</v>
      </c>
    </row>
    <row r="333" spans="1:8" hidden="1" x14ac:dyDescent="0.35">
      <c r="A333" t="s">
        <v>7</v>
      </c>
      <c r="B333">
        <v>2027</v>
      </c>
      <c r="C333" t="s">
        <v>16</v>
      </c>
      <c r="D333" t="s">
        <v>483</v>
      </c>
      <c r="E333">
        <v>494.964</v>
      </c>
      <c r="F333" t="s">
        <v>17</v>
      </c>
      <c r="G333">
        <v>494964</v>
      </c>
      <c r="H333">
        <v>260157.37839094709</v>
      </c>
    </row>
    <row r="334" spans="1:8" hidden="1" x14ac:dyDescent="0.35">
      <c r="A334" t="s">
        <v>7</v>
      </c>
      <c r="B334">
        <v>2028</v>
      </c>
      <c r="C334" t="s">
        <v>16</v>
      </c>
      <c r="D334" t="s">
        <v>483</v>
      </c>
      <c r="E334">
        <v>461.12</v>
      </c>
      <c r="F334" t="s">
        <v>17</v>
      </c>
      <c r="G334">
        <v>461120</v>
      </c>
      <c r="H334">
        <v>242368.67797179901</v>
      </c>
    </row>
    <row r="335" spans="1:8" hidden="1" x14ac:dyDescent="0.35">
      <c r="A335" t="s">
        <v>7</v>
      </c>
      <c r="B335">
        <v>2029</v>
      </c>
      <c r="C335" t="s">
        <v>16</v>
      </c>
      <c r="D335" t="s">
        <v>483</v>
      </c>
      <c r="E335">
        <v>348.255</v>
      </c>
      <c r="F335" t="s">
        <v>17</v>
      </c>
      <c r="G335">
        <v>348255</v>
      </c>
      <c r="H335">
        <v>183045.85345911881</v>
      </c>
    </row>
    <row r="336" spans="1:8" hidden="1" x14ac:dyDescent="0.35">
      <c r="A336" t="s">
        <v>7</v>
      </c>
      <c r="B336">
        <v>2030</v>
      </c>
      <c r="C336" t="s">
        <v>16</v>
      </c>
      <c r="D336" t="s">
        <v>483</v>
      </c>
      <c r="E336">
        <v>331.738</v>
      </c>
      <c r="F336" t="s">
        <v>17</v>
      </c>
      <c r="G336">
        <v>331738</v>
      </c>
      <c r="H336">
        <v>174364.37476797507</v>
      </c>
    </row>
    <row r="337" spans="1:10" hidden="1" x14ac:dyDescent="0.35">
      <c r="A337" t="s">
        <v>7</v>
      </c>
      <c r="B337">
        <v>2031</v>
      </c>
      <c r="C337" t="s">
        <v>16</v>
      </c>
      <c r="D337" t="s">
        <v>483</v>
      </c>
      <c r="E337">
        <v>311.14499999999998</v>
      </c>
      <c r="F337" t="s">
        <v>17</v>
      </c>
      <c r="G337">
        <v>311145</v>
      </c>
      <c r="H337">
        <v>163540.51506665381</v>
      </c>
    </row>
    <row r="338" spans="1:10" hidden="1" x14ac:dyDescent="0.35">
      <c r="A338" t="s">
        <v>7</v>
      </c>
      <c r="B338">
        <v>2032</v>
      </c>
      <c r="C338" t="s">
        <v>16</v>
      </c>
      <c r="D338" t="s">
        <v>483</v>
      </c>
      <c r="E338">
        <v>309.45299999999997</v>
      </c>
      <c r="F338" t="s">
        <v>17</v>
      </c>
      <c r="G338">
        <v>309453</v>
      </c>
      <c r="H338">
        <v>162651.1851674339</v>
      </c>
    </row>
    <row r="339" spans="1:10" hidden="1" x14ac:dyDescent="0.35">
      <c r="A339" t="s">
        <v>7</v>
      </c>
      <c r="B339">
        <v>2033</v>
      </c>
      <c r="C339" t="s">
        <v>16</v>
      </c>
      <c r="D339" t="s">
        <v>483</v>
      </c>
      <c r="E339">
        <v>276.87799999999999</v>
      </c>
      <c r="F339" t="s">
        <v>17</v>
      </c>
      <c r="G339">
        <v>276878</v>
      </c>
      <c r="H339">
        <v>145529.48217270075</v>
      </c>
    </row>
    <row r="340" spans="1:10" hidden="1" x14ac:dyDescent="0.35">
      <c r="A340" t="s">
        <v>7</v>
      </c>
      <c r="B340">
        <v>2034</v>
      </c>
      <c r="C340" t="s">
        <v>16</v>
      </c>
      <c r="D340" t="s">
        <v>483</v>
      </c>
      <c r="E340">
        <v>265.77800000000002</v>
      </c>
      <c r="F340" t="s">
        <v>17</v>
      </c>
      <c r="G340">
        <v>265778</v>
      </c>
      <c r="H340">
        <v>139695.22574164814</v>
      </c>
    </row>
    <row r="341" spans="1:10" hidden="1" x14ac:dyDescent="0.35">
      <c r="A341" t="s">
        <v>7</v>
      </c>
      <c r="B341">
        <v>2035</v>
      </c>
      <c r="C341" t="s">
        <v>16</v>
      </c>
      <c r="D341" t="s">
        <v>483</v>
      </c>
      <c r="E341">
        <v>268.899</v>
      </c>
      <c r="F341" t="s">
        <v>17</v>
      </c>
      <c r="G341">
        <v>268899</v>
      </c>
      <c r="H341">
        <v>141335.65045528015</v>
      </c>
    </row>
    <row r="342" spans="1:10" hidden="1" x14ac:dyDescent="0.35">
      <c r="A342" t="s">
        <v>7</v>
      </c>
      <c r="B342">
        <v>2036</v>
      </c>
      <c r="C342" t="s">
        <v>16</v>
      </c>
      <c r="D342" t="s">
        <v>483</v>
      </c>
      <c r="E342">
        <v>260.85899999999998</v>
      </c>
      <c r="F342" t="s">
        <v>17</v>
      </c>
      <c r="G342">
        <v>260858.99999999997</v>
      </c>
      <c r="H342">
        <v>137109.75660792313</v>
      </c>
    </row>
    <row r="343" spans="1:10" hidden="1" x14ac:dyDescent="0.35">
      <c r="A343" t="s">
        <v>7</v>
      </c>
      <c r="B343">
        <v>2037</v>
      </c>
      <c r="C343" t="s">
        <v>16</v>
      </c>
      <c r="D343" t="s">
        <v>483</v>
      </c>
      <c r="E343">
        <v>216.67500000000001</v>
      </c>
      <c r="F343" t="s">
        <v>17</v>
      </c>
      <c r="G343">
        <v>216675</v>
      </c>
      <c r="H343">
        <v>113886.26236020896</v>
      </c>
    </row>
    <row r="344" spans="1:10" hidden="1" x14ac:dyDescent="0.35">
      <c r="A344" t="s">
        <v>7</v>
      </c>
      <c r="B344">
        <v>2038</v>
      </c>
      <c r="C344" t="s">
        <v>16</v>
      </c>
      <c r="D344" t="s">
        <v>483</v>
      </c>
      <c r="E344">
        <v>149.63300000000001</v>
      </c>
      <c r="F344" t="s">
        <v>17</v>
      </c>
      <c r="G344">
        <v>149633</v>
      </c>
      <c r="H344">
        <v>78648.404734026277</v>
      </c>
    </row>
    <row r="345" spans="1:10" hidden="1" x14ac:dyDescent="0.35">
      <c r="A345" t="s">
        <v>7</v>
      </c>
      <c r="B345">
        <v>2039</v>
      </c>
      <c r="C345" t="s">
        <v>16</v>
      </c>
      <c r="D345" t="s">
        <v>483</v>
      </c>
      <c r="E345">
        <v>174.13</v>
      </c>
      <c r="F345" t="s">
        <v>17</v>
      </c>
      <c r="G345">
        <v>174130</v>
      </c>
      <c r="H345">
        <v>91524.240751278106</v>
      </c>
    </row>
    <row r="346" spans="1:10" hidden="1" x14ac:dyDescent="0.35">
      <c r="A346" t="s">
        <v>7</v>
      </c>
      <c r="B346">
        <v>2040</v>
      </c>
      <c r="C346" t="s">
        <v>16</v>
      </c>
      <c r="D346" t="s">
        <v>483</v>
      </c>
      <c r="E346">
        <v>183.01900000000001</v>
      </c>
      <c r="F346" t="s">
        <v>17</v>
      </c>
      <c r="G346">
        <v>183019</v>
      </c>
      <c r="H346">
        <v>96196.376374307525</v>
      </c>
    </row>
    <row r="347" spans="1:10" hidden="1" x14ac:dyDescent="0.35">
      <c r="A347" t="s">
        <v>7</v>
      </c>
      <c r="B347">
        <v>2018</v>
      </c>
      <c r="C347" t="s">
        <v>18</v>
      </c>
      <c r="D347" t="s">
        <v>483</v>
      </c>
      <c r="E347">
        <v>535.50900000000001</v>
      </c>
      <c r="F347" t="s">
        <v>17</v>
      </c>
      <c r="G347">
        <v>535509</v>
      </c>
      <c r="H347">
        <v>281468.18262491352</v>
      </c>
      <c r="J347">
        <f t="shared" ref="J347:J369" si="1">H347/G347</f>
        <v>0.52560868748221512</v>
      </c>
    </row>
    <row r="348" spans="1:10" hidden="1" x14ac:dyDescent="0.35">
      <c r="A348" t="s">
        <v>7</v>
      </c>
      <c r="B348">
        <v>2019</v>
      </c>
      <c r="C348" t="s">
        <v>18</v>
      </c>
      <c r="D348" t="s">
        <v>483</v>
      </c>
      <c r="E348">
        <v>557.84900000000005</v>
      </c>
      <c r="F348" t="s">
        <v>17</v>
      </c>
      <c r="G348">
        <v>557849</v>
      </c>
      <c r="H348">
        <v>293210.28070326621</v>
      </c>
      <c r="J348">
        <f t="shared" si="1"/>
        <v>0.52560868748221512</v>
      </c>
    </row>
    <row r="349" spans="1:10" hidden="1" x14ac:dyDescent="0.35">
      <c r="A349" t="s">
        <v>7</v>
      </c>
      <c r="B349">
        <v>2020</v>
      </c>
      <c r="C349" t="s">
        <v>18</v>
      </c>
      <c r="D349" t="s">
        <v>483</v>
      </c>
      <c r="E349">
        <v>530.92100000000005</v>
      </c>
      <c r="F349" t="s">
        <v>17</v>
      </c>
      <c r="G349">
        <v>530921</v>
      </c>
      <c r="H349">
        <v>279056.68996674509</v>
      </c>
      <c r="J349">
        <f t="shared" si="1"/>
        <v>0.52560868748221501</v>
      </c>
    </row>
    <row r="350" spans="1:10" hidden="1" x14ac:dyDescent="0.35">
      <c r="A350" t="s">
        <v>7</v>
      </c>
      <c r="B350">
        <v>2021</v>
      </c>
      <c r="C350" t="s">
        <v>18</v>
      </c>
      <c r="D350" t="s">
        <v>483</v>
      </c>
      <c r="E350">
        <v>488.52199999999999</v>
      </c>
      <c r="F350" t="s">
        <v>17</v>
      </c>
      <c r="G350">
        <v>488522</v>
      </c>
      <c r="H350">
        <v>256771.40722618668</v>
      </c>
      <c r="J350">
        <f t="shared" si="1"/>
        <v>0.52560868748221512</v>
      </c>
    </row>
    <row r="351" spans="1:10" hidden="1" x14ac:dyDescent="0.35">
      <c r="A351" t="s">
        <v>7</v>
      </c>
      <c r="B351">
        <v>2022</v>
      </c>
      <c r="C351" t="s">
        <v>18</v>
      </c>
      <c r="D351" t="s">
        <v>483</v>
      </c>
      <c r="E351">
        <v>460.41500000000002</v>
      </c>
      <c r="F351" t="s">
        <v>17</v>
      </c>
      <c r="G351">
        <v>460415</v>
      </c>
      <c r="H351">
        <v>241998.12384712405</v>
      </c>
      <c r="J351">
        <f t="shared" si="1"/>
        <v>0.52560868748221512</v>
      </c>
    </row>
    <row r="352" spans="1:10" hidden="1" x14ac:dyDescent="0.35">
      <c r="A352" t="s">
        <v>7</v>
      </c>
      <c r="B352">
        <v>2023</v>
      </c>
      <c r="C352" t="s">
        <v>18</v>
      </c>
      <c r="D352" t="s">
        <v>483</v>
      </c>
      <c r="E352">
        <v>483.96799647683338</v>
      </c>
      <c r="F352" t="s">
        <v>17</v>
      </c>
      <c r="G352">
        <v>483967.99647683336</v>
      </c>
      <c r="H352">
        <v>254377.78341158567</v>
      </c>
      <c r="J352">
        <f t="shared" si="1"/>
        <v>0.52560868748221512</v>
      </c>
    </row>
    <row r="353" spans="1:10" hidden="1" x14ac:dyDescent="0.35">
      <c r="A353" t="s">
        <v>7</v>
      </c>
      <c r="B353">
        <v>2024</v>
      </c>
      <c r="C353" t="s">
        <v>18</v>
      </c>
      <c r="D353" t="s">
        <v>483</v>
      </c>
      <c r="E353">
        <v>508.7258703860652</v>
      </c>
      <c r="F353" t="s">
        <v>17</v>
      </c>
      <c r="G353">
        <v>508725.87038606522</v>
      </c>
      <c r="H353">
        <v>267390.73702186719</v>
      </c>
      <c r="J353">
        <f t="shared" si="1"/>
        <v>0.52560868748221501</v>
      </c>
    </row>
    <row r="354" spans="1:10" hidden="1" x14ac:dyDescent="0.35">
      <c r="A354" t="s">
        <v>7</v>
      </c>
      <c r="B354">
        <v>2025</v>
      </c>
      <c r="C354" t="s">
        <v>18</v>
      </c>
      <c r="D354" t="s">
        <v>483</v>
      </c>
      <c r="E354">
        <v>534.75025845525715</v>
      </c>
      <c r="F354" t="s">
        <v>17</v>
      </c>
      <c r="G354">
        <v>534750.25845525716</v>
      </c>
      <c r="H354">
        <v>281069.38147744298</v>
      </c>
      <c r="J354">
        <f t="shared" si="1"/>
        <v>0.52560868748221501</v>
      </c>
    </row>
    <row r="355" spans="1:10" hidden="1" x14ac:dyDescent="0.35">
      <c r="A355" t="s">
        <v>7</v>
      </c>
      <c r="B355">
        <v>2026</v>
      </c>
      <c r="C355" t="s">
        <v>18</v>
      </c>
      <c r="D355" t="s">
        <v>483</v>
      </c>
      <c r="E355">
        <v>562.10595050130769</v>
      </c>
      <c r="F355" t="s">
        <v>17</v>
      </c>
      <c r="G355">
        <v>562105.95050130773</v>
      </c>
      <c r="H355">
        <v>295447.77086893533</v>
      </c>
      <c r="J355">
        <f t="shared" si="1"/>
        <v>0.52560868748221512</v>
      </c>
    </row>
    <row r="356" spans="1:10" hidden="1" x14ac:dyDescent="0.35">
      <c r="A356" t="s">
        <v>7</v>
      </c>
      <c r="B356">
        <v>2027</v>
      </c>
      <c r="C356" t="s">
        <v>18</v>
      </c>
      <c r="D356" t="s">
        <v>483</v>
      </c>
      <c r="E356">
        <v>590.86105072993712</v>
      </c>
      <c r="F356" t="s">
        <v>17</v>
      </c>
      <c r="G356">
        <v>590861.05072993715</v>
      </c>
      <c r="H356">
        <v>310561.70135852479</v>
      </c>
      <c r="J356">
        <f t="shared" si="1"/>
        <v>0.52560868748221512</v>
      </c>
    </row>
    <row r="357" spans="1:10" hidden="1" x14ac:dyDescent="0.35">
      <c r="A357" t="s">
        <v>7</v>
      </c>
      <c r="B357">
        <v>2028</v>
      </c>
      <c r="C357" t="s">
        <v>18</v>
      </c>
      <c r="D357" t="s">
        <v>483</v>
      </c>
      <c r="E357">
        <v>621.08714728660948</v>
      </c>
      <c r="F357" t="s">
        <v>17</v>
      </c>
      <c r="G357">
        <v>621087.14728660951</v>
      </c>
      <c r="H357">
        <v>326448.80029738799</v>
      </c>
      <c r="J357">
        <f t="shared" si="1"/>
        <v>0.52560868748221501</v>
      </c>
    </row>
    <row r="358" spans="1:10" hidden="1" x14ac:dyDescent="0.35">
      <c r="A358" t="s">
        <v>7</v>
      </c>
      <c r="B358">
        <v>2029</v>
      </c>
      <c r="C358" t="s">
        <v>18</v>
      </c>
      <c r="D358" t="s">
        <v>483</v>
      </c>
      <c r="E358">
        <v>652.85949048100599</v>
      </c>
      <c r="F358" t="s">
        <v>17</v>
      </c>
      <c r="G358">
        <v>652859.49048100598</v>
      </c>
      <c r="H358">
        <v>343148.61990202928</v>
      </c>
      <c r="J358">
        <f t="shared" si="1"/>
        <v>0.52560868748221512</v>
      </c>
    </row>
    <row r="359" spans="1:10" hidden="1" x14ac:dyDescent="0.35">
      <c r="A359" t="s">
        <v>7</v>
      </c>
      <c r="B359">
        <v>2030</v>
      </c>
      <c r="C359" t="s">
        <v>18</v>
      </c>
      <c r="D359" t="s">
        <v>483</v>
      </c>
      <c r="E359">
        <v>686.25718012875052</v>
      </c>
      <c r="F359" t="s">
        <v>17</v>
      </c>
      <c r="G359">
        <v>686257.18012875051</v>
      </c>
      <c r="H359">
        <v>360702.73572271864</v>
      </c>
      <c r="J359">
        <f t="shared" si="1"/>
        <v>0.52560868748221512</v>
      </c>
    </row>
    <row r="360" spans="1:10" hidden="1" x14ac:dyDescent="0.35">
      <c r="A360" t="s">
        <v>7</v>
      </c>
      <c r="B360">
        <v>2031</v>
      </c>
      <c r="C360" t="s">
        <v>18</v>
      </c>
      <c r="D360" t="s">
        <v>483</v>
      </c>
      <c r="E360">
        <v>721.3633624767931</v>
      </c>
      <c r="F360" t="s">
        <v>17</v>
      </c>
      <c r="G360">
        <v>721363.36247679312</v>
      </c>
      <c r="H360">
        <v>379154.85014918452</v>
      </c>
      <c r="J360">
        <f t="shared" si="1"/>
        <v>0.52560868748221501</v>
      </c>
    </row>
    <row r="361" spans="1:10" hidden="1" x14ac:dyDescent="0.35">
      <c r="A361" t="s">
        <v>7</v>
      </c>
      <c r="B361">
        <v>2032</v>
      </c>
      <c r="C361" t="s">
        <v>18</v>
      </c>
      <c r="D361" t="s">
        <v>483</v>
      </c>
      <c r="E361">
        <v>758.26543720270911</v>
      </c>
      <c r="F361" t="s">
        <v>17</v>
      </c>
      <c r="G361">
        <v>758265.43720270914</v>
      </c>
      <c r="H361">
        <v>398550.90121124394</v>
      </c>
      <c r="J361">
        <f t="shared" si="1"/>
        <v>0.52560868748221512</v>
      </c>
    </row>
    <row r="362" spans="1:10" hidden="1" x14ac:dyDescent="0.35">
      <c r="A362" t="s">
        <v>7</v>
      </c>
      <c r="B362">
        <v>2033</v>
      </c>
      <c r="C362" t="s">
        <v>18</v>
      </c>
      <c r="D362" t="s">
        <v>483</v>
      </c>
      <c r="E362">
        <v>797.05527500325866</v>
      </c>
      <c r="F362" t="s">
        <v>17</v>
      </c>
      <c r="G362">
        <v>797055.2750032586</v>
      </c>
      <c r="H362">
        <v>418939.17694523872</v>
      </c>
      <c r="J362">
        <f t="shared" si="1"/>
        <v>0.52560868748221501</v>
      </c>
    </row>
    <row r="363" spans="1:10" hidden="1" x14ac:dyDescent="0.35">
      <c r="A363" t="s">
        <v>7</v>
      </c>
      <c r="B363">
        <v>2034</v>
      </c>
      <c r="C363" t="s">
        <v>18</v>
      </c>
      <c r="D363" t="s">
        <v>483</v>
      </c>
      <c r="E363">
        <v>837.8294463139091</v>
      </c>
      <c r="F363" t="s">
        <v>17</v>
      </c>
      <c r="G363">
        <v>837829.44631390914</v>
      </c>
      <c r="H363">
        <v>440370.43561100477</v>
      </c>
      <c r="J363">
        <f t="shared" si="1"/>
        <v>0.52560868748221512</v>
      </c>
    </row>
    <row r="364" spans="1:10" hidden="1" x14ac:dyDescent="0.35">
      <c r="A364" t="s">
        <v>7</v>
      </c>
      <c r="B364">
        <v>2035</v>
      </c>
      <c r="C364" t="s">
        <v>18</v>
      </c>
      <c r="D364" t="s">
        <v>483</v>
      </c>
      <c r="E364">
        <v>880.68946172873859</v>
      </c>
      <c r="F364" t="s">
        <v>17</v>
      </c>
      <c r="G364">
        <v>880689.46172873862</v>
      </c>
      <c r="H364">
        <v>462898.03205866081</v>
      </c>
      <c r="J364">
        <f t="shared" si="1"/>
        <v>0.52560868748221512</v>
      </c>
    </row>
    <row r="365" spans="1:10" hidden="1" x14ac:dyDescent="0.35">
      <c r="A365" t="s">
        <v>7</v>
      </c>
      <c r="B365">
        <v>2036</v>
      </c>
      <c r="C365" t="s">
        <v>18</v>
      </c>
      <c r="D365" t="s">
        <v>483</v>
      </c>
      <c r="E365">
        <v>925.74202471926105</v>
      </c>
      <c r="F365" t="s">
        <v>17</v>
      </c>
      <c r="G365">
        <v>925742.0247192611</v>
      </c>
      <c r="H365">
        <v>486578.05055981915</v>
      </c>
      <c r="J365">
        <f t="shared" si="1"/>
        <v>0.52560868748221512</v>
      </c>
    </row>
    <row r="366" spans="1:10" hidden="1" x14ac:dyDescent="0.35">
      <c r="A366" t="s">
        <v>7</v>
      </c>
      <c r="B366">
        <v>2037</v>
      </c>
      <c r="C366" t="s">
        <v>18</v>
      </c>
      <c r="D366" t="s">
        <v>483</v>
      </c>
      <c r="E366">
        <v>973.09929728133943</v>
      </c>
      <c r="F366" t="s">
        <v>17</v>
      </c>
      <c r="G366">
        <v>973099.29728133942</v>
      </c>
      <c r="H366">
        <v>511469.4444339106</v>
      </c>
      <c r="J366">
        <f t="shared" si="1"/>
        <v>0.52560868748221501</v>
      </c>
    </row>
    <row r="367" spans="1:10" hidden="1" x14ac:dyDescent="0.35">
      <c r="A367" t="s">
        <v>7</v>
      </c>
      <c r="B367">
        <v>2038</v>
      </c>
      <c r="C367" t="s">
        <v>18</v>
      </c>
      <c r="D367" t="s">
        <v>483</v>
      </c>
      <c r="E367">
        <v>1022.8791791715392</v>
      </c>
      <c r="F367" t="s">
        <v>17</v>
      </c>
      <c r="G367">
        <v>1022879.1791715393</v>
      </c>
      <c r="H367">
        <v>537634.18281723827</v>
      </c>
      <c r="J367">
        <f t="shared" si="1"/>
        <v>0.52560868748221512</v>
      </c>
    </row>
    <row r="368" spans="1:10" hidden="1" x14ac:dyDescent="0.35">
      <c r="A368" t="s">
        <v>7</v>
      </c>
      <c r="B368">
        <v>2039</v>
      </c>
      <c r="C368" t="s">
        <v>18</v>
      </c>
      <c r="D368" t="s">
        <v>483</v>
      </c>
      <c r="E368">
        <v>1075.2056014280979</v>
      </c>
      <c r="F368" t="s">
        <v>17</v>
      </c>
      <c r="G368">
        <v>1075205.6014280978</v>
      </c>
      <c r="H368">
        <v>565137.40494014812</v>
      </c>
      <c r="J368">
        <f t="shared" si="1"/>
        <v>0.52560868748221501</v>
      </c>
    </row>
    <row r="369" spans="1:10" hidden="1" x14ac:dyDescent="0.35">
      <c r="A369" t="s">
        <v>7</v>
      </c>
      <c r="B369">
        <v>2040</v>
      </c>
      <c r="C369" t="s">
        <v>18</v>
      </c>
      <c r="D369" t="s">
        <v>483</v>
      </c>
      <c r="E369">
        <v>1130.2088349072583</v>
      </c>
      <c r="F369" t="s">
        <v>17</v>
      </c>
      <c r="G369">
        <v>1130208.8349072584</v>
      </c>
      <c r="H369">
        <v>594047.58229640755</v>
      </c>
      <c r="J369">
        <f t="shared" si="1"/>
        <v>0.52560868748221501</v>
      </c>
    </row>
    <row r="370" spans="1:10" hidden="1" x14ac:dyDescent="0.35">
      <c r="A370" t="s">
        <v>12</v>
      </c>
      <c r="B370">
        <v>2018</v>
      </c>
      <c r="C370" t="s">
        <v>16</v>
      </c>
      <c r="D370" t="s">
        <v>483</v>
      </c>
      <c r="E370">
        <v>0</v>
      </c>
      <c r="F370" t="s">
        <v>17</v>
      </c>
      <c r="G370">
        <v>0</v>
      </c>
      <c r="H370">
        <v>0</v>
      </c>
    </row>
    <row r="371" spans="1:10" hidden="1" x14ac:dyDescent="0.35">
      <c r="A371" t="s">
        <v>12</v>
      </c>
      <c r="B371">
        <v>2019</v>
      </c>
      <c r="C371" t="s">
        <v>16</v>
      </c>
      <c r="D371" t="s">
        <v>483</v>
      </c>
      <c r="E371">
        <v>0</v>
      </c>
      <c r="F371" t="s">
        <v>17</v>
      </c>
      <c r="G371">
        <v>0</v>
      </c>
      <c r="H371">
        <v>0</v>
      </c>
    </row>
    <row r="372" spans="1:10" hidden="1" x14ac:dyDescent="0.35">
      <c r="A372" t="s">
        <v>12</v>
      </c>
      <c r="B372">
        <v>2020</v>
      </c>
      <c r="C372" t="s">
        <v>16</v>
      </c>
      <c r="D372" t="s">
        <v>483</v>
      </c>
      <c r="E372">
        <v>0</v>
      </c>
      <c r="F372" t="s">
        <v>17</v>
      </c>
      <c r="G372">
        <v>0</v>
      </c>
      <c r="H372">
        <v>0</v>
      </c>
    </row>
    <row r="373" spans="1:10" hidden="1" x14ac:dyDescent="0.35">
      <c r="A373" t="s">
        <v>12</v>
      </c>
      <c r="B373">
        <v>2021</v>
      </c>
      <c r="C373" t="s">
        <v>16</v>
      </c>
      <c r="D373" t="s">
        <v>483</v>
      </c>
      <c r="E373">
        <v>0.188</v>
      </c>
      <c r="F373" t="s">
        <v>17</v>
      </c>
      <c r="G373">
        <v>188</v>
      </c>
      <c r="H373">
        <v>131.44404853212131</v>
      </c>
    </row>
    <row r="374" spans="1:10" hidden="1" x14ac:dyDescent="0.35">
      <c r="A374" t="s">
        <v>12</v>
      </c>
      <c r="B374">
        <v>2022</v>
      </c>
      <c r="C374" t="s">
        <v>16</v>
      </c>
      <c r="D374" t="s">
        <v>483</v>
      </c>
      <c r="E374">
        <v>3.4750000000000001</v>
      </c>
      <c r="F374" t="s">
        <v>17</v>
      </c>
      <c r="G374">
        <v>3475</v>
      </c>
      <c r="H374">
        <v>2429.6173864314978</v>
      </c>
    </row>
    <row r="375" spans="1:10" hidden="1" x14ac:dyDescent="0.35">
      <c r="A375" t="s">
        <v>12</v>
      </c>
      <c r="B375">
        <v>2023</v>
      </c>
      <c r="C375" t="s">
        <v>16</v>
      </c>
      <c r="D375" t="s">
        <v>483</v>
      </c>
      <c r="E375">
        <v>16.725999999999999</v>
      </c>
      <c r="F375" t="s">
        <v>17</v>
      </c>
      <c r="G375">
        <v>16726</v>
      </c>
      <c r="H375">
        <v>11694.325296533305</v>
      </c>
    </row>
    <row r="376" spans="1:10" hidden="1" x14ac:dyDescent="0.35">
      <c r="A376" t="s">
        <v>12</v>
      </c>
      <c r="B376">
        <v>2024</v>
      </c>
      <c r="C376" t="s">
        <v>16</v>
      </c>
      <c r="D376" t="s">
        <v>483</v>
      </c>
      <c r="E376">
        <v>39.863999999999997</v>
      </c>
      <c r="F376" t="s">
        <v>17</v>
      </c>
      <c r="G376">
        <v>39864</v>
      </c>
      <c r="H376">
        <v>27871.731652577044</v>
      </c>
    </row>
    <row r="377" spans="1:10" hidden="1" x14ac:dyDescent="0.35">
      <c r="A377" t="s">
        <v>12</v>
      </c>
      <c r="B377">
        <v>2025</v>
      </c>
      <c r="C377" t="s">
        <v>16</v>
      </c>
      <c r="D377" t="s">
        <v>483</v>
      </c>
      <c r="E377">
        <v>37.578000000000003</v>
      </c>
      <c r="F377" t="s">
        <v>17</v>
      </c>
      <c r="G377">
        <v>37578</v>
      </c>
      <c r="H377">
        <v>26273.427956064123</v>
      </c>
    </row>
    <row r="378" spans="1:10" hidden="1" x14ac:dyDescent="0.35">
      <c r="A378" t="s">
        <v>12</v>
      </c>
      <c r="B378">
        <v>2026</v>
      </c>
      <c r="C378" t="s">
        <v>16</v>
      </c>
      <c r="D378" t="s">
        <v>483</v>
      </c>
      <c r="E378">
        <v>39.969000000000001</v>
      </c>
      <c r="F378" t="s">
        <v>17</v>
      </c>
      <c r="G378">
        <v>39969</v>
      </c>
      <c r="H378">
        <v>27945.144552023175</v>
      </c>
    </row>
    <row r="379" spans="1:10" hidden="1" x14ac:dyDescent="0.35">
      <c r="A379" t="s">
        <v>12</v>
      </c>
      <c r="B379">
        <v>2027</v>
      </c>
      <c r="C379" t="s">
        <v>16</v>
      </c>
      <c r="D379" t="s">
        <v>483</v>
      </c>
      <c r="E379">
        <v>41.682000000000002</v>
      </c>
      <c r="F379" t="s">
        <v>17</v>
      </c>
      <c r="G379">
        <v>41682</v>
      </c>
      <c r="H379">
        <v>29142.823568701497</v>
      </c>
    </row>
    <row r="380" spans="1:10" hidden="1" x14ac:dyDescent="0.35">
      <c r="A380" t="s">
        <v>12</v>
      </c>
      <c r="B380">
        <v>2028</v>
      </c>
      <c r="C380" t="s">
        <v>16</v>
      </c>
      <c r="D380" t="s">
        <v>483</v>
      </c>
      <c r="E380">
        <v>40.292000000000002</v>
      </c>
      <c r="F380" t="s">
        <v>17</v>
      </c>
      <c r="G380">
        <v>40292</v>
      </c>
      <c r="H380">
        <v>28170.976614128896</v>
      </c>
    </row>
    <row r="381" spans="1:10" hidden="1" x14ac:dyDescent="0.35">
      <c r="A381" t="s">
        <v>12</v>
      </c>
      <c r="B381">
        <v>2029</v>
      </c>
      <c r="C381" t="s">
        <v>16</v>
      </c>
      <c r="D381" t="s">
        <v>483</v>
      </c>
      <c r="E381">
        <v>37.906999999999996</v>
      </c>
      <c r="F381" t="s">
        <v>17</v>
      </c>
      <c r="G381">
        <v>37907</v>
      </c>
      <c r="H381">
        <v>26503.455040995337</v>
      </c>
    </row>
    <row r="382" spans="1:10" hidden="1" x14ac:dyDescent="0.35">
      <c r="A382" t="s">
        <v>12</v>
      </c>
      <c r="B382">
        <v>2030</v>
      </c>
      <c r="C382" t="s">
        <v>16</v>
      </c>
      <c r="D382" t="s">
        <v>483</v>
      </c>
      <c r="E382">
        <v>38.978999999999999</v>
      </c>
      <c r="F382" t="s">
        <v>17</v>
      </c>
      <c r="G382">
        <v>38979</v>
      </c>
      <c r="H382">
        <v>27252.965785816792</v>
      </c>
    </row>
    <row r="383" spans="1:10" hidden="1" x14ac:dyDescent="0.35">
      <c r="A383" t="s">
        <v>12</v>
      </c>
      <c r="B383">
        <v>2031</v>
      </c>
      <c r="C383" t="s">
        <v>16</v>
      </c>
      <c r="D383" t="s">
        <v>483</v>
      </c>
      <c r="E383">
        <v>38.165999999999997</v>
      </c>
      <c r="F383" t="s">
        <v>17</v>
      </c>
      <c r="G383">
        <v>38166</v>
      </c>
      <c r="H383">
        <v>26684.54019296246</v>
      </c>
    </row>
    <row r="384" spans="1:10" hidden="1" x14ac:dyDescent="0.35">
      <c r="A384" t="s">
        <v>12</v>
      </c>
      <c r="B384">
        <v>2032</v>
      </c>
      <c r="C384" t="s">
        <v>16</v>
      </c>
      <c r="D384" t="s">
        <v>483</v>
      </c>
      <c r="E384">
        <v>40.61</v>
      </c>
      <c r="F384" t="s">
        <v>17</v>
      </c>
      <c r="G384">
        <v>40610</v>
      </c>
      <c r="H384">
        <v>28393.312823880038</v>
      </c>
    </row>
    <row r="385" spans="1:8" hidden="1" x14ac:dyDescent="0.35">
      <c r="A385" t="s">
        <v>12</v>
      </c>
      <c r="B385">
        <v>2033</v>
      </c>
      <c r="C385" t="s">
        <v>16</v>
      </c>
      <c r="D385" t="s">
        <v>483</v>
      </c>
      <c r="E385">
        <v>37.831000000000003</v>
      </c>
      <c r="F385" t="s">
        <v>17</v>
      </c>
      <c r="G385">
        <v>37831</v>
      </c>
      <c r="H385">
        <v>26450.318085205756</v>
      </c>
    </row>
    <row r="386" spans="1:8" hidden="1" x14ac:dyDescent="0.35">
      <c r="A386" t="s">
        <v>12</v>
      </c>
      <c r="B386">
        <v>2034</v>
      </c>
      <c r="C386" t="s">
        <v>16</v>
      </c>
      <c r="D386" t="s">
        <v>483</v>
      </c>
      <c r="E386">
        <v>39.773000000000003</v>
      </c>
      <c r="F386" t="s">
        <v>17</v>
      </c>
      <c r="G386">
        <v>39773</v>
      </c>
      <c r="H386">
        <v>27808.107139723732</v>
      </c>
    </row>
    <row r="387" spans="1:8" hidden="1" x14ac:dyDescent="0.35">
      <c r="A387" t="s">
        <v>12</v>
      </c>
      <c r="B387">
        <v>2035</v>
      </c>
      <c r="C387" t="s">
        <v>16</v>
      </c>
      <c r="D387" t="s">
        <v>483</v>
      </c>
      <c r="E387">
        <v>40.453000000000003</v>
      </c>
      <c r="F387" t="s">
        <v>17</v>
      </c>
      <c r="G387">
        <v>40453</v>
      </c>
      <c r="H387">
        <v>28283.543059946296</v>
      </c>
    </row>
    <row r="388" spans="1:8" hidden="1" x14ac:dyDescent="0.35">
      <c r="A388" t="s">
        <v>12</v>
      </c>
      <c r="B388">
        <v>2036</v>
      </c>
      <c r="C388" t="s">
        <v>16</v>
      </c>
      <c r="D388" t="s">
        <v>483</v>
      </c>
      <c r="E388">
        <v>37.189</v>
      </c>
      <c r="F388" t="s">
        <v>17</v>
      </c>
      <c r="G388">
        <v>37189</v>
      </c>
      <c r="H388">
        <v>26001.450642877979</v>
      </c>
    </row>
    <row r="389" spans="1:8" hidden="1" x14ac:dyDescent="0.35">
      <c r="A389" t="s">
        <v>12</v>
      </c>
      <c r="B389">
        <v>2037</v>
      </c>
      <c r="C389" t="s">
        <v>16</v>
      </c>
      <c r="D389" t="s">
        <v>483</v>
      </c>
      <c r="E389">
        <v>39.270000000000003</v>
      </c>
      <c r="F389" t="s">
        <v>17</v>
      </c>
      <c r="G389">
        <v>39270</v>
      </c>
      <c r="H389">
        <v>27456.424392853216</v>
      </c>
    </row>
    <row r="390" spans="1:8" hidden="1" x14ac:dyDescent="0.35">
      <c r="A390" t="s">
        <v>12</v>
      </c>
      <c r="B390">
        <v>2038</v>
      </c>
      <c r="C390" t="s">
        <v>16</v>
      </c>
      <c r="D390" t="s">
        <v>483</v>
      </c>
      <c r="E390">
        <v>42.575000000000003</v>
      </c>
      <c r="F390" t="s">
        <v>17</v>
      </c>
      <c r="G390">
        <v>42575</v>
      </c>
      <c r="H390">
        <v>29767.182799229071</v>
      </c>
    </row>
    <row r="391" spans="1:8" hidden="1" x14ac:dyDescent="0.35">
      <c r="A391" t="s">
        <v>12</v>
      </c>
      <c r="B391">
        <v>2039</v>
      </c>
      <c r="C391" t="s">
        <v>16</v>
      </c>
      <c r="D391" t="s">
        <v>483</v>
      </c>
      <c r="E391">
        <v>40.970999999999997</v>
      </c>
      <c r="F391" t="s">
        <v>17</v>
      </c>
      <c r="G391">
        <v>40971</v>
      </c>
      <c r="H391">
        <v>28645.713363880546</v>
      </c>
    </row>
    <row r="392" spans="1:8" hidden="1" x14ac:dyDescent="0.35">
      <c r="A392" t="s">
        <v>12</v>
      </c>
      <c r="B392">
        <v>2040</v>
      </c>
      <c r="C392" t="s">
        <v>16</v>
      </c>
      <c r="D392" t="s">
        <v>483</v>
      </c>
      <c r="E392">
        <v>42.826999999999998</v>
      </c>
      <c r="F392" t="s">
        <v>17</v>
      </c>
      <c r="G392">
        <v>42827</v>
      </c>
      <c r="H392">
        <v>29943.373757899786</v>
      </c>
    </row>
    <row r="393" spans="1:8" hidden="1" x14ac:dyDescent="0.35">
      <c r="A393" t="s">
        <v>12</v>
      </c>
      <c r="B393">
        <v>2018</v>
      </c>
      <c r="C393" t="s">
        <v>18</v>
      </c>
      <c r="D393" t="s">
        <v>483</v>
      </c>
      <c r="E393">
        <v>0</v>
      </c>
      <c r="F393" t="s">
        <v>17</v>
      </c>
      <c r="G393">
        <v>0</v>
      </c>
      <c r="H393">
        <v>0</v>
      </c>
    </row>
    <row r="394" spans="1:8" hidden="1" x14ac:dyDescent="0.35">
      <c r="A394" t="s">
        <v>12</v>
      </c>
      <c r="B394">
        <v>2019</v>
      </c>
      <c r="C394" t="s">
        <v>18</v>
      </c>
      <c r="D394" t="s">
        <v>483</v>
      </c>
      <c r="E394">
        <v>0</v>
      </c>
      <c r="F394" t="s">
        <v>17</v>
      </c>
      <c r="G394">
        <v>0</v>
      </c>
      <c r="H394">
        <v>0</v>
      </c>
    </row>
    <row r="395" spans="1:8" hidden="1" x14ac:dyDescent="0.35">
      <c r="A395" t="s">
        <v>12</v>
      </c>
      <c r="B395">
        <v>2020</v>
      </c>
      <c r="C395" t="s">
        <v>18</v>
      </c>
      <c r="D395" t="s">
        <v>483</v>
      </c>
      <c r="E395">
        <v>0</v>
      </c>
      <c r="F395" t="s">
        <v>17</v>
      </c>
      <c r="G395">
        <v>0</v>
      </c>
      <c r="H395">
        <v>0</v>
      </c>
    </row>
    <row r="396" spans="1:8" hidden="1" x14ac:dyDescent="0.35">
      <c r="A396" t="s">
        <v>12</v>
      </c>
      <c r="B396">
        <v>2021</v>
      </c>
      <c r="C396" t="s">
        <v>18</v>
      </c>
      <c r="D396" t="s">
        <v>483</v>
      </c>
      <c r="E396">
        <v>0.188</v>
      </c>
      <c r="F396" t="s">
        <v>17</v>
      </c>
      <c r="G396">
        <v>188</v>
      </c>
      <c r="H396">
        <v>131.44404853212131</v>
      </c>
    </row>
    <row r="397" spans="1:8" hidden="1" x14ac:dyDescent="0.35">
      <c r="A397" t="s">
        <v>12</v>
      </c>
      <c r="B397">
        <v>2022</v>
      </c>
      <c r="C397" t="s">
        <v>18</v>
      </c>
      <c r="D397" t="s">
        <v>483</v>
      </c>
      <c r="E397">
        <v>3.4750000000000001</v>
      </c>
      <c r="F397" t="s">
        <v>17</v>
      </c>
      <c r="G397">
        <v>3475</v>
      </c>
      <c r="H397">
        <v>2429.6173864314978</v>
      </c>
    </row>
    <row r="398" spans="1:8" hidden="1" x14ac:dyDescent="0.35">
      <c r="A398" t="s">
        <v>12</v>
      </c>
      <c r="B398">
        <v>2023</v>
      </c>
      <c r="C398" t="s">
        <v>18</v>
      </c>
      <c r="D398" t="s">
        <v>483</v>
      </c>
      <c r="E398">
        <v>16.725999999999999</v>
      </c>
      <c r="F398" t="s">
        <v>17</v>
      </c>
      <c r="G398">
        <v>16726</v>
      </c>
      <c r="H398">
        <v>11694.325296533305</v>
      </c>
    </row>
    <row r="399" spans="1:8" hidden="1" x14ac:dyDescent="0.35">
      <c r="A399" t="s">
        <v>12</v>
      </c>
      <c r="B399">
        <v>2024</v>
      </c>
      <c r="C399" t="s">
        <v>18</v>
      </c>
      <c r="D399" t="s">
        <v>483</v>
      </c>
      <c r="E399">
        <v>40.863999999999997</v>
      </c>
      <c r="F399" t="s">
        <v>17</v>
      </c>
      <c r="G399">
        <v>40864</v>
      </c>
      <c r="H399">
        <v>28570.902123492586</v>
      </c>
    </row>
    <row r="400" spans="1:8" hidden="1" x14ac:dyDescent="0.35">
      <c r="A400" t="s">
        <v>12</v>
      </c>
      <c r="B400">
        <v>2025</v>
      </c>
      <c r="C400" t="s">
        <v>18</v>
      </c>
      <c r="D400" t="s">
        <v>483</v>
      </c>
      <c r="E400">
        <v>84.85</v>
      </c>
      <c r="F400" t="s">
        <v>17</v>
      </c>
      <c r="G400">
        <v>84850</v>
      </c>
      <c r="H400">
        <v>59324.614457183481</v>
      </c>
    </row>
    <row r="401" spans="1:8" hidden="1" x14ac:dyDescent="0.35">
      <c r="A401" t="s">
        <v>12</v>
      </c>
      <c r="B401">
        <v>2026</v>
      </c>
      <c r="C401" t="s">
        <v>18</v>
      </c>
      <c r="D401" t="s">
        <v>483</v>
      </c>
      <c r="E401">
        <v>144.32900000000001</v>
      </c>
      <c r="F401" t="s">
        <v>17</v>
      </c>
      <c r="G401">
        <v>144329</v>
      </c>
      <c r="H401">
        <v>100910.57489676883</v>
      </c>
    </row>
    <row r="402" spans="1:8" hidden="1" x14ac:dyDescent="0.35">
      <c r="A402" t="s">
        <v>12</v>
      </c>
      <c r="B402">
        <v>2027</v>
      </c>
      <c r="C402" t="s">
        <v>18</v>
      </c>
      <c r="D402" t="s">
        <v>483</v>
      </c>
      <c r="E402">
        <v>154.74599999999998</v>
      </c>
      <c r="F402" t="s">
        <v>17</v>
      </c>
      <c r="G402">
        <v>154745.99999999997</v>
      </c>
      <c r="H402">
        <v>108193.83369229597</v>
      </c>
    </row>
    <row r="403" spans="1:8" hidden="1" x14ac:dyDescent="0.35">
      <c r="A403" t="s">
        <v>12</v>
      </c>
      <c r="B403">
        <v>2028</v>
      </c>
      <c r="C403" t="s">
        <v>18</v>
      </c>
      <c r="D403" t="s">
        <v>483</v>
      </c>
      <c r="E403">
        <v>162.58100000000002</v>
      </c>
      <c r="F403" t="s">
        <v>17</v>
      </c>
      <c r="G403">
        <v>162581.00000000003</v>
      </c>
      <c r="H403">
        <v>113671.83433191926</v>
      </c>
    </row>
    <row r="404" spans="1:8" hidden="1" x14ac:dyDescent="0.35">
      <c r="A404" t="s">
        <v>12</v>
      </c>
      <c r="B404">
        <v>2029</v>
      </c>
      <c r="C404" t="s">
        <v>18</v>
      </c>
      <c r="D404" t="s">
        <v>483</v>
      </c>
      <c r="E404">
        <v>152.81399999999999</v>
      </c>
      <c r="F404" t="s">
        <v>17</v>
      </c>
      <c r="G404">
        <v>152814</v>
      </c>
      <c r="H404">
        <v>106843.03634248718</v>
      </c>
    </row>
    <row r="405" spans="1:8" hidden="1" x14ac:dyDescent="0.35">
      <c r="A405" t="s">
        <v>12</v>
      </c>
      <c r="B405">
        <v>2030</v>
      </c>
      <c r="C405" t="s">
        <v>18</v>
      </c>
      <c r="D405" t="s">
        <v>483</v>
      </c>
      <c r="E405">
        <v>146.529</v>
      </c>
      <c r="F405" t="s">
        <v>17</v>
      </c>
      <c r="G405">
        <v>146529</v>
      </c>
      <c r="H405">
        <v>102448.74993278302</v>
      </c>
    </row>
    <row r="406" spans="1:8" hidden="1" x14ac:dyDescent="0.35">
      <c r="A406" t="s">
        <v>12</v>
      </c>
      <c r="B406">
        <v>2031</v>
      </c>
      <c r="C406" t="s">
        <v>18</v>
      </c>
      <c r="D406" t="s">
        <v>483</v>
      </c>
      <c r="E406">
        <v>144.92399999999998</v>
      </c>
      <c r="F406" t="s">
        <v>17</v>
      </c>
      <c r="G406">
        <v>144923.99999999997</v>
      </c>
      <c r="H406">
        <v>101326.58132696355</v>
      </c>
    </row>
    <row r="407" spans="1:8" hidden="1" x14ac:dyDescent="0.35">
      <c r="A407" t="s">
        <v>12</v>
      </c>
      <c r="B407">
        <v>2032</v>
      </c>
      <c r="C407" t="s">
        <v>18</v>
      </c>
      <c r="D407" t="s">
        <v>483</v>
      </c>
      <c r="E407">
        <v>147.25700000000001</v>
      </c>
      <c r="F407" t="s">
        <v>17</v>
      </c>
      <c r="G407">
        <v>147257</v>
      </c>
      <c r="H407">
        <v>102957.74603560953</v>
      </c>
    </row>
    <row r="408" spans="1:8" hidden="1" x14ac:dyDescent="0.35">
      <c r="A408" t="s">
        <v>12</v>
      </c>
      <c r="B408">
        <v>2033</v>
      </c>
      <c r="C408" t="s">
        <v>18</v>
      </c>
      <c r="D408" t="s">
        <v>483</v>
      </c>
      <c r="E408">
        <v>137.096</v>
      </c>
      <c r="F408" t="s">
        <v>17</v>
      </c>
      <c r="G408">
        <v>137096</v>
      </c>
      <c r="H408">
        <v>95853.474880636728</v>
      </c>
    </row>
    <row r="409" spans="1:8" hidden="1" x14ac:dyDescent="0.35">
      <c r="A409" t="s">
        <v>12</v>
      </c>
      <c r="B409">
        <v>2034</v>
      </c>
      <c r="C409" t="s">
        <v>18</v>
      </c>
      <c r="D409" t="s">
        <v>483</v>
      </c>
      <c r="E409">
        <v>142.85900000000001</v>
      </c>
      <c r="F409" t="s">
        <v>17</v>
      </c>
      <c r="G409">
        <v>142859</v>
      </c>
      <c r="H409">
        <v>99882.794304522977</v>
      </c>
    </row>
    <row r="410" spans="1:8" hidden="1" x14ac:dyDescent="0.35">
      <c r="A410" t="s">
        <v>12</v>
      </c>
      <c r="B410">
        <v>2035</v>
      </c>
      <c r="C410" t="s">
        <v>18</v>
      </c>
      <c r="D410" t="s">
        <v>483</v>
      </c>
      <c r="E410">
        <v>146.1213507094937</v>
      </c>
      <c r="F410" t="s">
        <v>17</v>
      </c>
      <c r="G410">
        <v>146121.35070949371</v>
      </c>
      <c r="H410">
        <v>102163.73358637134</v>
      </c>
    </row>
    <row r="411" spans="1:8" hidden="1" x14ac:dyDescent="0.35">
      <c r="A411" t="s">
        <v>12</v>
      </c>
      <c r="B411">
        <v>2036</v>
      </c>
      <c r="C411" t="s">
        <v>18</v>
      </c>
      <c r="D411" t="s">
        <v>483</v>
      </c>
      <c r="E411">
        <v>194.81312210065016</v>
      </c>
      <c r="F411" t="s">
        <v>17</v>
      </c>
      <c r="G411">
        <v>194813.12210065016</v>
      </c>
      <c r="H411">
        <v>136207.58231963796</v>
      </c>
    </row>
    <row r="412" spans="1:8" hidden="1" x14ac:dyDescent="0.35">
      <c r="A412" t="s">
        <v>12</v>
      </c>
      <c r="B412">
        <v>2037</v>
      </c>
      <c r="C412" t="s">
        <v>18</v>
      </c>
      <c r="D412" t="s">
        <v>483</v>
      </c>
      <c r="E412">
        <v>259.73037039642571</v>
      </c>
      <c r="F412" t="s">
        <v>17</v>
      </c>
      <c r="G412">
        <v>259730.37039642571</v>
      </c>
      <c r="H412">
        <v>181595.80538113634</v>
      </c>
    </row>
    <row r="413" spans="1:8" hidden="1" x14ac:dyDescent="0.35">
      <c r="A413" t="s">
        <v>12</v>
      </c>
      <c r="B413">
        <v>2038</v>
      </c>
      <c r="C413" t="s">
        <v>18</v>
      </c>
      <c r="D413" t="s">
        <v>483</v>
      </c>
      <c r="E413">
        <v>346.27988391568084</v>
      </c>
      <c r="F413" t="s">
        <v>17</v>
      </c>
      <c r="G413">
        <v>346279.88391568087</v>
      </c>
      <c r="H413">
        <v>242108.66950590475</v>
      </c>
    </row>
    <row r="414" spans="1:8" hidden="1" x14ac:dyDescent="0.35">
      <c r="A414" t="s">
        <v>12</v>
      </c>
      <c r="B414">
        <v>2039</v>
      </c>
      <c r="C414" t="s">
        <v>18</v>
      </c>
      <c r="D414" t="s">
        <v>483</v>
      </c>
      <c r="E414">
        <v>461.67014593495367</v>
      </c>
      <c r="F414" t="s">
        <v>17</v>
      </c>
      <c r="G414">
        <v>461670.14593495365</v>
      </c>
      <c r="H414">
        <v>322786.13334098714</v>
      </c>
    </row>
    <row r="415" spans="1:8" hidden="1" x14ac:dyDescent="0.35">
      <c r="A415" t="s">
        <v>12</v>
      </c>
      <c r="B415">
        <v>2040</v>
      </c>
      <c r="C415" t="s">
        <v>18</v>
      </c>
      <c r="D415" t="s">
        <v>483</v>
      </c>
      <c r="E415">
        <v>615.51171046222476</v>
      </c>
      <c r="F415" t="s">
        <v>17</v>
      </c>
      <c r="G415">
        <v>615511.71046222479</v>
      </c>
      <c r="H415">
        <v>430347.61245790258</v>
      </c>
    </row>
    <row r="416" spans="1:8" hidden="1" x14ac:dyDescent="0.35">
      <c r="A416" t="s">
        <v>8</v>
      </c>
      <c r="B416">
        <v>2018</v>
      </c>
      <c r="C416" t="s">
        <v>16</v>
      </c>
      <c r="D416" t="s">
        <v>483</v>
      </c>
      <c r="E416">
        <v>179.99</v>
      </c>
      <c r="F416" t="s">
        <v>17</v>
      </c>
      <c r="G416">
        <v>179990</v>
      </c>
      <c r="H416">
        <v>100952.7989193252</v>
      </c>
    </row>
    <row r="417" spans="1:8" hidden="1" x14ac:dyDescent="0.35">
      <c r="A417" t="s">
        <v>8</v>
      </c>
      <c r="B417">
        <v>2019</v>
      </c>
      <c r="C417" t="s">
        <v>16</v>
      </c>
      <c r="D417" t="s">
        <v>483</v>
      </c>
      <c r="E417">
        <v>187.73</v>
      </c>
      <c r="F417" t="s">
        <v>17</v>
      </c>
      <c r="G417">
        <v>187730</v>
      </c>
      <c r="H417">
        <v>105294.01045127463</v>
      </c>
    </row>
    <row r="418" spans="1:8" hidden="1" x14ac:dyDescent="0.35">
      <c r="A418" t="s">
        <v>8</v>
      </c>
      <c r="B418">
        <v>2020</v>
      </c>
      <c r="C418" t="s">
        <v>16</v>
      </c>
      <c r="D418" t="s">
        <v>483</v>
      </c>
      <c r="E418">
        <v>154.41399999999999</v>
      </c>
      <c r="F418" t="s">
        <v>17</v>
      </c>
      <c r="G418">
        <v>154414</v>
      </c>
      <c r="H418">
        <v>86607.730942433918</v>
      </c>
    </row>
    <row r="419" spans="1:8" hidden="1" x14ac:dyDescent="0.35">
      <c r="A419" t="s">
        <v>8</v>
      </c>
      <c r="B419">
        <v>2021</v>
      </c>
      <c r="C419" t="s">
        <v>16</v>
      </c>
      <c r="D419" t="s">
        <v>483</v>
      </c>
      <c r="E419">
        <v>138.86600000000001</v>
      </c>
      <c r="F419" t="s">
        <v>17</v>
      </c>
      <c r="G419">
        <v>138866</v>
      </c>
      <c r="H419">
        <v>77887.168035618713</v>
      </c>
    </row>
    <row r="420" spans="1:8" hidden="1" x14ac:dyDescent="0.35">
      <c r="A420" t="s">
        <v>8</v>
      </c>
      <c r="B420">
        <v>2022</v>
      </c>
      <c r="C420" t="s">
        <v>16</v>
      </c>
      <c r="D420" t="s">
        <v>483</v>
      </c>
      <c r="E420">
        <v>126.58199999999999</v>
      </c>
      <c r="F420" t="s">
        <v>17</v>
      </c>
      <c r="G420">
        <v>126582</v>
      </c>
      <c r="H420">
        <v>70997.317588788399</v>
      </c>
    </row>
    <row r="421" spans="1:8" hidden="1" x14ac:dyDescent="0.35">
      <c r="A421" t="s">
        <v>8</v>
      </c>
      <c r="B421">
        <v>2023</v>
      </c>
      <c r="C421" t="s">
        <v>16</v>
      </c>
      <c r="D421" t="s">
        <v>483</v>
      </c>
      <c r="E421">
        <v>186.81299999999999</v>
      </c>
      <c r="F421" t="s">
        <v>17</v>
      </c>
      <c r="G421">
        <v>186813</v>
      </c>
      <c r="H421">
        <v>104779.68345194678</v>
      </c>
    </row>
    <row r="422" spans="1:8" hidden="1" x14ac:dyDescent="0.35">
      <c r="A422" t="s">
        <v>8</v>
      </c>
      <c r="B422">
        <v>2024</v>
      </c>
      <c r="C422" t="s">
        <v>16</v>
      </c>
      <c r="D422" t="s">
        <v>483</v>
      </c>
      <c r="E422">
        <v>134.57900000000001</v>
      </c>
      <c r="F422" t="s">
        <v>17</v>
      </c>
      <c r="G422">
        <v>134579</v>
      </c>
      <c r="H422">
        <v>75482.675291759908</v>
      </c>
    </row>
    <row r="423" spans="1:8" hidden="1" x14ac:dyDescent="0.35">
      <c r="A423" t="s">
        <v>8</v>
      </c>
      <c r="B423">
        <v>2025</v>
      </c>
      <c r="C423" t="s">
        <v>16</v>
      </c>
      <c r="D423" t="s">
        <v>483</v>
      </c>
      <c r="E423">
        <v>154.58600000000001</v>
      </c>
      <c r="F423" t="s">
        <v>17</v>
      </c>
      <c r="G423">
        <v>154586</v>
      </c>
      <c r="H423">
        <v>86704.202309810571</v>
      </c>
    </row>
    <row r="424" spans="1:8" hidden="1" x14ac:dyDescent="0.35">
      <c r="A424" t="s">
        <v>8</v>
      </c>
      <c r="B424">
        <v>2026</v>
      </c>
      <c r="C424" t="s">
        <v>16</v>
      </c>
      <c r="D424" t="s">
        <v>483</v>
      </c>
      <c r="E424">
        <v>158.54400000000001</v>
      </c>
      <c r="F424" t="s">
        <v>17</v>
      </c>
      <c r="G424">
        <v>158544</v>
      </c>
      <c r="H424">
        <v>88924.165519559378</v>
      </c>
    </row>
    <row r="425" spans="1:8" hidden="1" x14ac:dyDescent="0.35">
      <c r="A425" t="s">
        <v>8</v>
      </c>
      <c r="B425">
        <v>2027</v>
      </c>
      <c r="C425" t="s">
        <v>16</v>
      </c>
      <c r="D425" t="s">
        <v>483</v>
      </c>
      <c r="E425">
        <v>158.54400000000001</v>
      </c>
      <c r="F425" t="s">
        <v>17</v>
      </c>
      <c r="G425">
        <v>158544</v>
      </c>
      <c r="H425">
        <v>88924.165519559378</v>
      </c>
    </row>
    <row r="426" spans="1:8" hidden="1" x14ac:dyDescent="0.35">
      <c r="A426" t="s">
        <v>8</v>
      </c>
      <c r="B426">
        <v>2028</v>
      </c>
      <c r="C426" t="s">
        <v>16</v>
      </c>
      <c r="D426" t="s">
        <v>483</v>
      </c>
      <c r="E426">
        <v>154.76400000000001</v>
      </c>
      <c r="F426" t="s">
        <v>17</v>
      </c>
      <c r="G426">
        <v>154764</v>
      </c>
      <c r="H426">
        <v>86804.038957444558</v>
      </c>
    </row>
    <row r="427" spans="1:8" hidden="1" x14ac:dyDescent="0.35">
      <c r="A427" t="s">
        <v>8</v>
      </c>
      <c r="B427">
        <v>2029</v>
      </c>
      <c r="C427" t="s">
        <v>16</v>
      </c>
      <c r="D427" t="s">
        <v>483</v>
      </c>
      <c r="E427">
        <v>152.07400000000001</v>
      </c>
      <c r="F427" t="s">
        <v>17</v>
      </c>
      <c r="G427">
        <v>152074</v>
      </c>
      <c r="H427">
        <v>85295.271642077118</v>
      </c>
    </row>
    <row r="428" spans="1:8" hidden="1" x14ac:dyDescent="0.35">
      <c r="A428" t="s">
        <v>8</v>
      </c>
      <c r="B428">
        <v>2030</v>
      </c>
      <c r="C428" t="s">
        <v>16</v>
      </c>
      <c r="D428" t="s">
        <v>483</v>
      </c>
      <c r="E428">
        <v>150.184</v>
      </c>
      <c r="F428" t="s">
        <v>17</v>
      </c>
      <c r="G428">
        <v>150184</v>
      </c>
      <c r="H428">
        <v>84235.208361019701</v>
      </c>
    </row>
    <row r="429" spans="1:8" hidden="1" x14ac:dyDescent="0.35">
      <c r="A429" t="s">
        <v>8</v>
      </c>
      <c r="B429">
        <v>2031</v>
      </c>
      <c r="C429" t="s">
        <v>16</v>
      </c>
      <c r="D429" t="s">
        <v>483</v>
      </c>
      <c r="E429">
        <v>139.27799999999999</v>
      </c>
      <c r="F429" t="s">
        <v>17</v>
      </c>
      <c r="G429">
        <v>139278</v>
      </c>
      <c r="H429">
        <v>78118.250613288372</v>
      </c>
    </row>
    <row r="430" spans="1:8" hidden="1" x14ac:dyDescent="0.35">
      <c r="A430" t="s">
        <v>8</v>
      </c>
      <c r="B430">
        <v>2032</v>
      </c>
      <c r="C430" t="s">
        <v>16</v>
      </c>
      <c r="D430" t="s">
        <v>483</v>
      </c>
      <c r="E430">
        <v>139.27799999999999</v>
      </c>
      <c r="F430" t="s">
        <v>17</v>
      </c>
      <c r="G430">
        <v>139278</v>
      </c>
      <c r="H430">
        <v>78118.250613288372</v>
      </c>
    </row>
    <row r="431" spans="1:8" hidden="1" x14ac:dyDescent="0.35">
      <c r="A431" t="s">
        <v>8</v>
      </c>
      <c r="B431">
        <v>2033</v>
      </c>
      <c r="C431" t="s">
        <v>16</v>
      </c>
      <c r="D431" t="s">
        <v>483</v>
      </c>
      <c r="E431">
        <v>120.288</v>
      </c>
      <c r="F431" t="s">
        <v>17</v>
      </c>
      <c r="G431">
        <v>120288</v>
      </c>
      <c r="H431">
        <v>67467.138598854319</v>
      </c>
    </row>
    <row r="432" spans="1:8" hidden="1" x14ac:dyDescent="0.35">
      <c r="A432" t="s">
        <v>8</v>
      </c>
      <c r="B432">
        <v>2034</v>
      </c>
      <c r="C432" t="s">
        <v>16</v>
      </c>
      <c r="D432" t="s">
        <v>483</v>
      </c>
      <c r="E432">
        <v>118</v>
      </c>
      <c r="F432" t="s">
        <v>17</v>
      </c>
      <c r="G432">
        <v>118000</v>
      </c>
      <c r="H432">
        <v>66183.845060727675</v>
      </c>
    </row>
    <row r="433" spans="1:8" hidden="1" x14ac:dyDescent="0.35">
      <c r="A433" t="s">
        <v>8</v>
      </c>
      <c r="B433">
        <v>2035</v>
      </c>
      <c r="C433" t="s">
        <v>16</v>
      </c>
      <c r="D433" t="s">
        <v>483</v>
      </c>
      <c r="E433">
        <v>118</v>
      </c>
      <c r="F433" t="s">
        <v>17</v>
      </c>
      <c r="G433">
        <v>118000</v>
      </c>
      <c r="H433">
        <v>66183.845060727675</v>
      </c>
    </row>
    <row r="434" spans="1:8" hidden="1" x14ac:dyDescent="0.35">
      <c r="A434" t="s">
        <v>8</v>
      </c>
      <c r="B434">
        <v>2036</v>
      </c>
      <c r="C434" t="s">
        <v>16</v>
      </c>
      <c r="D434" t="s">
        <v>483</v>
      </c>
      <c r="E434">
        <v>116.68</v>
      </c>
      <c r="F434" t="s">
        <v>17</v>
      </c>
      <c r="G434">
        <v>116680</v>
      </c>
      <c r="H434">
        <v>65443.483404116138</v>
      </c>
    </row>
    <row r="435" spans="1:8" hidden="1" x14ac:dyDescent="0.35">
      <c r="A435" t="s">
        <v>8</v>
      </c>
      <c r="B435">
        <v>2037</v>
      </c>
      <c r="C435" t="s">
        <v>16</v>
      </c>
      <c r="D435" t="s">
        <v>483</v>
      </c>
      <c r="E435">
        <v>82.66</v>
      </c>
      <c r="F435" t="s">
        <v>17</v>
      </c>
      <c r="G435">
        <v>82660</v>
      </c>
      <c r="H435">
        <v>46362.344345082623</v>
      </c>
    </row>
    <row r="436" spans="1:8" hidden="1" x14ac:dyDescent="0.35">
      <c r="A436" t="s">
        <v>8</v>
      </c>
      <c r="B436">
        <v>2038</v>
      </c>
      <c r="C436" t="s">
        <v>16</v>
      </c>
      <c r="D436" t="s">
        <v>483</v>
      </c>
      <c r="E436">
        <v>40.840000000000003</v>
      </c>
      <c r="F436" t="s">
        <v>17</v>
      </c>
      <c r="G436">
        <v>40840</v>
      </c>
      <c r="H436">
        <v>22906.340951526425</v>
      </c>
    </row>
    <row r="437" spans="1:8" hidden="1" x14ac:dyDescent="0.35">
      <c r="A437" t="s">
        <v>8</v>
      </c>
      <c r="B437">
        <v>2039</v>
      </c>
      <c r="C437" t="s">
        <v>16</v>
      </c>
      <c r="D437" t="s">
        <v>483</v>
      </c>
      <c r="E437">
        <v>37</v>
      </c>
      <c r="F437" t="s">
        <v>17</v>
      </c>
      <c r="G437">
        <v>37000</v>
      </c>
      <c r="H437">
        <v>20752.561586838339</v>
      </c>
    </row>
    <row r="438" spans="1:8" hidden="1" x14ac:dyDescent="0.35">
      <c r="A438" t="s">
        <v>8</v>
      </c>
      <c r="B438">
        <v>2040</v>
      </c>
      <c r="C438" t="s">
        <v>16</v>
      </c>
      <c r="D438" t="s">
        <v>483</v>
      </c>
      <c r="E438">
        <v>37</v>
      </c>
      <c r="F438" t="s">
        <v>17</v>
      </c>
      <c r="G438">
        <v>37000</v>
      </c>
      <c r="H438">
        <v>20752.561586838339</v>
      </c>
    </row>
    <row r="439" spans="1:8" hidden="1" x14ac:dyDescent="0.35">
      <c r="A439" t="s">
        <v>8</v>
      </c>
      <c r="B439">
        <v>2018</v>
      </c>
      <c r="C439" t="s">
        <v>18</v>
      </c>
      <c r="D439" t="s">
        <v>483</v>
      </c>
      <c r="E439">
        <v>179.99</v>
      </c>
      <c r="F439" t="s">
        <v>17</v>
      </c>
      <c r="G439">
        <v>179990</v>
      </c>
      <c r="H439">
        <v>100952.7989193252</v>
      </c>
    </row>
    <row r="440" spans="1:8" hidden="1" x14ac:dyDescent="0.35">
      <c r="A440" t="s">
        <v>8</v>
      </c>
      <c r="B440">
        <v>2019</v>
      </c>
      <c r="C440" t="s">
        <v>18</v>
      </c>
      <c r="D440" t="s">
        <v>483</v>
      </c>
      <c r="E440">
        <v>187.73</v>
      </c>
      <c r="F440" t="s">
        <v>17</v>
      </c>
      <c r="G440">
        <v>187730</v>
      </c>
      <c r="H440">
        <v>105294.01045127463</v>
      </c>
    </row>
    <row r="441" spans="1:8" hidden="1" x14ac:dyDescent="0.35">
      <c r="A441" t="s">
        <v>8</v>
      </c>
      <c r="B441">
        <v>2020</v>
      </c>
      <c r="C441" t="s">
        <v>18</v>
      </c>
      <c r="D441" t="s">
        <v>483</v>
      </c>
      <c r="E441">
        <v>154.41399999999999</v>
      </c>
      <c r="F441" t="s">
        <v>17</v>
      </c>
      <c r="G441">
        <v>154414</v>
      </c>
      <c r="H441">
        <v>86607.730942433918</v>
      </c>
    </row>
    <row r="442" spans="1:8" hidden="1" x14ac:dyDescent="0.35">
      <c r="A442" t="s">
        <v>8</v>
      </c>
      <c r="B442">
        <v>2021</v>
      </c>
      <c r="C442" t="s">
        <v>18</v>
      </c>
      <c r="D442" t="s">
        <v>483</v>
      </c>
      <c r="E442">
        <v>138.86600000000001</v>
      </c>
      <c r="F442" t="s">
        <v>17</v>
      </c>
      <c r="G442">
        <v>138866</v>
      </c>
      <c r="H442">
        <v>77887.168035618713</v>
      </c>
    </row>
    <row r="443" spans="1:8" hidden="1" x14ac:dyDescent="0.35">
      <c r="A443" t="s">
        <v>8</v>
      </c>
      <c r="B443">
        <v>2022</v>
      </c>
      <c r="C443" t="s">
        <v>18</v>
      </c>
      <c r="D443" t="s">
        <v>483</v>
      </c>
      <c r="E443">
        <v>126.58199999999999</v>
      </c>
      <c r="F443" t="s">
        <v>17</v>
      </c>
      <c r="G443">
        <v>126582</v>
      </c>
      <c r="H443">
        <v>70997.317588788399</v>
      </c>
    </row>
    <row r="444" spans="1:8" hidden="1" x14ac:dyDescent="0.35">
      <c r="A444" t="s">
        <v>8</v>
      </c>
      <c r="B444">
        <v>2023</v>
      </c>
      <c r="C444" t="s">
        <v>18</v>
      </c>
      <c r="D444" t="s">
        <v>483</v>
      </c>
      <c r="E444">
        <v>186.81299999999999</v>
      </c>
      <c r="F444" t="s">
        <v>17</v>
      </c>
      <c r="G444">
        <v>186813</v>
      </c>
      <c r="H444">
        <v>104779.68345194678</v>
      </c>
    </row>
    <row r="445" spans="1:8" hidden="1" x14ac:dyDescent="0.35">
      <c r="A445" t="s">
        <v>8</v>
      </c>
      <c r="B445">
        <v>2024</v>
      </c>
      <c r="C445" t="s">
        <v>18</v>
      </c>
      <c r="D445" t="s">
        <v>483</v>
      </c>
      <c r="E445">
        <v>138.37165055414135</v>
      </c>
      <c r="F445" t="s">
        <v>17</v>
      </c>
      <c r="G445">
        <v>138371.65055414135</v>
      </c>
      <c r="H445">
        <v>77609.897297224088</v>
      </c>
    </row>
    <row r="446" spans="1:8" hidden="1" x14ac:dyDescent="0.35">
      <c r="A446" t="s">
        <v>8</v>
      </c>
      <c r="B446">
        <v>2025</v>
      </c>
      <c r="C446" t="s">
        <v>18</v>
      </c>
      <c r="D446" t="s">
        <v>483</v>
      </c>
      <c r="E446">
        <v>154.58600000000001</v>
      </c>
      <c r="F446" t="s">
        <v>17</v>
      </c>
      <c r="G446">
        <v>154586</v>
      </c>
      <c r="H446">
        <v>86704.202309810571</v>
      </c>
    </row>
    <row r="447" spans="1:8" hidden="1" x14ac:dyDescent="0.35">
      <c r="A447" t="s">
        <v>8</v>
      </c>
      <c r="B447">
        <v>2026</v>
      </c>
      <c r="C447" t="s">
        <v>18</v>
      </c>
      <c r="D447" t="s">
        <v>483</v>
      </c>
      <c r="E447">
        <v>208.96100000000001</v>
      </c>
      <c r="F447" t="s">
        <v>17</v>
      </c>
      <c r="G447">
        <v>208961</v>
      </c>
      <c r="H447">
        <v>117202.05464181963</v>
      </c>
    </row>
    <row r="448" spans="1:8" hidden="1" x14ac:dyDescent="0.35">
      <c r="A448" t="s">
        <v>8</v>
      </c>
      <c r="B448">
        <v>2027</v>
      </c>
      <c r="C448" t="s">
        <v>18</v>
      </c>
      <c r="D448" t="s">
        <v>483</v>
      </c>
      <c r="E448">
        <v>215.85400000000001</v>
      </c>
      <c r="F448" t="s">
        <v>17</v>
      </c>
      <c r="G448">
        <v>215854</v>
      </c>
      <c r="H448">
        <v>121068.2007774433</v>
      </c>
    </row>
    <row r="449" spans="1:8" hidden="1" x14ac:dyDescent="0.35">
      <c r="A449" t="s">
        <v>8</v>
      </c>
      <c r="B449">
        <v>2028</v>
      </c>
      <c r="C449" t="s">
        <v>18</v>
      </c>
      <c r="D449" t="s">
        <v>483</v>
      </c>
      <c r="E449">
        <v>210.04700000000003</v>
      </c>
      <c r="F449" t="s">
        <v>17</v>
      </c>
      <c r="G449">
        <v>210047.00000000003</v>
      </c>
      <c r="H449">
        <v>117811.17036839548</v>
      </c>
    </row>
    <row r="450" spans="1:8" hidden="1" x14ac:dyDescent="0.35">
      <c r="A450" t="s">
        <v>8</v>
      </c>
      <c r="B450">
        <v>2029</v>
      </c>
      <c r="C450" t="s">
        <v>18</v>
      </c>
      <c r="D450" t="s">
        <v>483</v>
      </c>
      <c r="E450">
        <v>190.72400000000002</v>
      </c>
      <c r="F450" t="s">
        <v>17</v>
      </c>
      <c r="G450">
        <v>190724.00000000003</v>
      </c>
      <c r="H450">
        <v>106973.28529967989</v>
      </c>
    </row>
    <row r="451" spans="1:8" hidden="1" x14ac:dyDescent="0.35">
      <c r="A451" t="s">
        <v>8</v>
      </c>
      <c r="B451">
        <v>2030</v>
      </c>
      <c r="C451" t="s">
        <v>18</v>
      </c>
      <c r="D451" t="s">
        <v>483</v>
      </c>
      <c r="E451">
        <v>193.08099999999999</v>
      </c>
      <c r="F451" t="s">
        <v>17</v>
      </c>
      <c r="G451">
        <v>193081</v>
      </c>
      <c r="H451">
        <v>108295.27956076575</v>
      </c>
    </row>
    <row r="452" spans="1:8" hidden="1" x14ac:dyDescent="0.35">
      <c r="A452" t="s">
        <v>8</v>
      </c>
      <c r="B452">
        <v>2031</v>
      </c>
      <c r="C452" t="s">
        <v>18</v>
      </c>
      <c r="D452" t="s">
        <v>483</v>
      </c>
      <c r="E452">
        <v>192.804</v>
      </c>
      <c r="F452" t="s">
        <v>17</v>
      </c>
      <c r="G452">
        <v>192804</v>
      </c>
      <c r="H452">
        <v>108139.91578888592</v>
      </c>
    </row>
    <row r="453" spans="1:8" hidden="1" x14ac:dyDescent="0.35">
      <c r="A453" t="s">
        <v>8</v>
      </c>
      <c r="B453">
        <v>2032</v>
      </c>
      <c r="C453" t="s">
        <v>18</v>
      </c>
      <c r="D453" t="s">
        <v>483</v>
      </c>
      <c r="E453">
        <v>197.58218962964116</v>
      </c>
      <c r="F453" t="s">
        <v>17</v>
      </c>
      <c r="G453">
        <v>197582.18962964116</v>
      </c>
      <c r="H453">
        <v>110819.90699328377</v>
      </c>
    </row>
    <row r="454" spans="1:8" hidden="1" x14ac:dyDescent="0.35">
      <c r="A454" t="s">
        <v>8</v>
      </c>
      <c r="B454">
        <v>2033</v>
      </c>
      <c r="C454" t="s">
        <v>18</v>
      </c>
      <c r="D454" t="s">
        <v>483</v>
      </c>
      <c r="E454">
        <v>206.5786229524189</v>
      </c>
      <c r="F454" t="s">
        <v>17</v>
      </c>
      <c r="G454">
        <v>206578.6229524189</v>
      </c>
      <c r="H454">
        <v>115865.82690119807</v>
      </c>
    </row>
    <row r="455" spans="1:8" hidden="1" x14ac:dyDescent="0.35">
      <c r="A455" t="s">
        <v>8</v>
      </c>
      <c r="B455">
        <v>2034</v>
      </c>
      <c r="C455" t="s">
        <v>18</v>
      </c>
      <c r="D455" t="s">
        <v>483</v>
      </c>
      <c r="E455">
        <v>215.98468738963513</v>
      </c>
      <c r="F455" t="s">
        <v>17</v>
      </c>
      <c r="G455">
        <v>215984.68738963513</v>
      </c>
      <c r="H455">
        <v>121141.50072614673</v>
      </c>
    </row>
    <row r="456" spans="1:8" hidden="1" x14ac:dyDescent="0.35">
      <c r="A456" t="s">
        <v>8</v>
      </c>
      <c r="B456">
        <v>2035</v>
      </c>
      <c r="C456" t="s">
        <v>18</v>
      </c>
      <c r="D456" t="s">
        <v>483</v>
      </c>
      <c r="E456">
        <v>225.81903451618578</v>
      </c>
      <c r="F456" t="s">
        <v>17</v>
      </c>
      <c r="G456">
        <v>225819.03451618578</v>
      </c>
      <c r="H456">
        <v>126657.38976425724</v>
      </c>
    </row>
    <row r="457" spans="1:8" hidden="1" x14ac:dyDescent="0.35">
      <c r="A457" t="s">
        <v>8</v>
      </c>
      <c r="B457">
        <v>2036</v>
      </c>
      <c r="C457" t="s">
        <v>18</v>
      </c>
      <c r="D457" t="s">
        <v>483</v>
      </c>
      <c r="E457">
        <v>236.1011651619034</v>
      </c>
      <c r="F457" t="s">
        <v>17</v>
      </c>
      <c r="G457">
        <v>236101.16516190339</v>
      </c>
      <c r="H457">
        <v>132424.43164180245</v>
      </c>
    </row>
    <row r="458" spans="1:8" hidden="1" x14ac:dyDescent="0.35">
      <c r="A458" t="s">
        <v>8</v>
      </c>
      <c r="B458">
        <v>2037</v>
      </c>
      <c r="C458" t="s">
        <v>18</v>
      </c>
      <c r="D458" t="s">
        <v>483</v>
      </c>
      <c r="E458">
        <v>246.85146808035299</v>
      </c>
      <c r="F458" t="s">
        <v>17</v>
      </c>
      <c r="G458">
        <v>246851.46808035299</v>
      </c>
      <c r="H458">
        <v>138454.06200375632</v>
      </c>
    </row>
    <row r="459" spans="1:8" hidden="1" x14ac:dyDescent="0.35">
      <c r="A459" t="s">
        <v>8</v>
      </c>
      <c r="B459">
        <v>2038</v>
      </c>
      <c r="C459" t="s">
        <v>18</v>
      </c>
      <c r="D459" t="s">
        <v>483</v>
      </c>
      <c r="E459">
        <v>258.09126037831999</v>
      </c>
      <c r="F459" t="s">
        <v>17</v>
      </c>
      <c r="G459">
        <v>258091.26037831997</v>
      </c>
      <c r="H459">
        <v>144758.23718988689</v>
      </c>
    </row>
    <row r="460" spans="1:8" hidden="1" x14ac:dyDescent="0.35">
      <c r="A460" t="s">
        <v>8</v>
      </c>
      <c r="B460">
        <v>2039</v>
      </c>
      <c r="C460" t="s">
        <v>18</v>
      </c>
      <c r="D460" t="s">
        <v>483</v>
      </c>
      <c r="E460">
        <v>269.84282978615749</v>
      </c>
      <c r="F460" t="s">
        <v>17</v>
      </c>
      <c r="G460">
        <v>269842.82978615747</v>
      </c>
      <c r="H460">
        <v>151349.45794335048</v>
      </c>
    </row>
    <row r="461" spans="1:8" hidden="1" x14ac:dyDescent="0.35">
      <c r="A461" t="s">
        <v>8</v>
      </c>
      <c r="B461">
        <v>2040</v>
      </c>
      <c r="C461" t="s">
        <v>18</v>
      </c>
      <c r="D461" t="s">
        <v>483</v>
      </c>
      <c r="E461">
        <v>282.12947885281312</v>
      </c>
      <c r="F461" t="s">
        <v>17</v>
      </c>
      <c r="G461">
        <v>282129.47885281313</v>
      </c>
      <c r="H461">
        <v>158240.79419880023</v>
      </c>
    </row>
    <row r="462" spans="1:8" hidden="1" x14ac:dyDescent="0.35">
      <c r="A462" t="s">
        <v>13</v>
      </c>
      <c r="B462">
        <v>2018</v>
      </c>
      <c r="C462" t="s">
        <v>16</v>
      </c>
      <c r="D462" t="s">
        <v>483</v>
      </c>
      <c r="E462">
        <v>13.493</v>
      </c>
      <c r="F462" t="s">
        <v>17</v>
      </c>
      <c r="G462">
        <v>13493</v>
      </c>
      <c r="H462">
        <v>4452.6900000000005</v>
      </c>
    </row>
    <row r="463" spans="1:8" hidden="1" x14ac:dyDescent="0.35">
      <c r="A463" t="s">
        <v>13</v>
      </c>
      <c r="B463">
        <v>2019</v>
      </c>
      <c r="C463" t="s">
        <v>16</v>
      </c>
      <c r="D463" t="s">
        <v>483</v>
      </c>
      <c r="E463">
        <v>13.91</v>
      </c>
      <c r="F463" t="s">
        <v>17</v>
      </c>
      <c r="G463">
        <v>13910</v>
      </c>
      <c r="H463">
        <v>4590.3</v>
      </c>
    </row>
    <row r="464" spans="1:8" hidden="1" x14ac:dyDescent="0.35">
      <c r="A464" t="s">
        <v>13</v>
      </c>
      <c r="B464">
        <v>2020</v>
      </c>
      <c r="C464" t="s">
        <v>16</v>
      </c>
      <c r="D464" t="s">
        <v>483</v>
      </c>
      <c r="E464">
        <v>8.1709999999999994</v>
      </c>
      <c r="F464" t="s">
        <v>17</v>
      </c>
      <c r="G464">
        <v>8170.9999999999991</v>
      </c>
      <c r="H464">
        <v>2696.43</v>
      </c>
    </row>
    <row r="465" spans="1:8" hidden="1" x14ac:dyDescent="0.35">
      <c r="A465" t="s">
        <v>13</v>
      </c>
      <c r="B465">
        <v>2021</v>
      </c>
      <c r="C465" t="s">
        <v>16</v>
      </c>
      <c r="D465" t="s">
        <v>483</v>
      </c>
      <c r="E465">
        <v>4.18</v>
      </c>
      <c r="F465" t="s">
        <v>17</v>
      </c>
      <c r="G465">
        <v>4180</v>
      </c>
      <c r="H465">
        <v>1379.4</v>
      </c>
    </row>
    <row r="466" spans="1:8" hidden="1" x14ac:dyDescent="0.35">
      <c r="A466" t="s">
        <v>13</v>
      </c>
      <c r="B466">
        <v>2022</v>
      </c>
      <c r="C466" t="s">
        <v>16</v>
      </c>
      <c r="D466" t="s">
        <v>483</v>
      </c>
      <c r="E466">
        <v>13.563000000000001</v>
      </c>
      <c r="F466" t="s">
        <v>17</v>
      </c>
      <c r="G466">
        <v>13563</v>
      </c>
      <c r="H466">
        <v>4475.79</v>
      </c>
    </row>
    <row r="467" spans="1:8" hidden="1" x14ac:dyDescent="0.35">
      <c r="A467" t="s">
        <v>13</v>
      </c>
      <c r="B467">
        <v>2023</v>
      </c>
      <c r="C467" t="s">
        <v>16</v>
      </c>
      <c r="D467" t="s">
        <v>483</v>
      </c>
      <c r="E467">
        <v>4.194</v>
      </c>
      <c r="F467" t="s">
        <v>17</v>
      </c>
      <c r="G467">
        <v>4194</v>
      </c>
      <c r="H467">
        <v>1384.02</v>
      </c>
    </row>
    <row r="468" spans="1:8" hidden="1" x14ac:dyDescent="0.35">
      <c r="A468" t="s">
        <v>13</v>
      </c>
      <c r="B468">
        <v>2024</v>
      </c>
      <c r="C468" t="s">
        <v>16</v>
      </c>
      <c r="D468" t="s">
        <v>483</v>
      </c>
      <c r="E468">
        <v>6.3</v>
      </c>
      <c r="F468" t="s">
        <v>17</v>
      </c>
      <c r="G468">
        <v>6300</v>
      </c>
      <c r="H468">
        <v>2079</v>
      </c>
    </row>
    <row r="469" spans="1:8" hidden="1" x14ac:dyDescent="0.35">
      <c r="A469" t="s">
        <v>13</v>
      </c>
      <c r="B469">
        <v>2025</v>
      </c>
      <c r="C469" t="s">
        <v>16</v>
      </c>
      <c r="D469" t="s">
        <v>483</v>
      </c>
      <c r="E469">
        <v>0</v>
      </c>
      <c r="F469" t="s">
        <v>17</v>
      </c>
      <c r="G469">
        <v>0</v>
      </c>
      <c r="H469">
        <v>0</v>
      </c>
    </row>
    <row r="470" spans="1:8" hidden="1" x14ac:dyDescent="0.35">
      <c r="A470" t="s">
        <v>13</v>
      </c>
      <c r="B470">
        <v>2026</v>
      </c>
      <c r="C470" t="s">
        <v>16</v>
      </c>
      <c r="D470" t="s">
        <v>483</v>
      </c>
      <c r="E470">
        <v>0</v>
      </c>
      <c r="F470" t="s">
        <v>17</v>
      </c>
      <c r="G470">
        <v>0</v>
      </c>
      <c r="H470">
        <v>0</v>
      </c>
    </row>
    <row r="471" spans="1:8" hidden="1" x14ac:dyDescent="0.35">
      <c r="A471" t="s">
        <v>13</v>
      </c>
      <c r="B471">
        <v>2027</v>
      </c>
      <c r="C471" t="s">
        <v>16</v>
      </c>
      <c r="D471" t="s">
        <v>483</v>
      </c>
      <c r="E471">
        <v>0</v>
      </c>
      <c r="F471" t="s">
        <v>17</v>
      </c>
      <c r="G471">
        <v>0</v>
      </c>
      <c r="H471">
        <v>0</v>
      </c>
    </row>
    <row r="472" spans="1:8" hidden="1" x14ac:dyDescent="0.35">
      <c r="A472" t="s">
        <v>13</v>
      </c>
      <c r="B472">
        <v>2028</v>
      </c>
      <c r="C472" t="s">
        <v>16</v>
      </c>
      <c r="D472" t="s">
        <v>483</v>
      </c>
      <c r="E472">
        <v>0</v>
      </c>
      <c r="F472" t="s">
        <v>17</v>
      </c>
      <c r="G472">
        <v>0</v>
      </c>
      <c r="H472">
        <v>0</v>
      </c>
    </row>
    <row r="473" spans="1:8" hidden="1" x14ac:dyDescent="0.35">
      <c r="A473" t="s">
        <v>13</v>
      </c>
      <c r="B473">
        <v>2029</v>
      </c>
      <c r="C473" t="s">
        <v>16</v>
      </c>
      <c r="D473" t="s">
        <v>483</v>
      </c>
      <c r="E473">
        <v>0</v>
      </c>
      <c r="F473" t="s">
        <v>17</v>
      </c>
      <c r="G473">
        <v>0</v>
      </c>
      <c r="H473">
        <v>0</v>
      </c>
    </row>
    <row r="474" spans="1:8" hidden="1" x14ac:dyDescent="0.35">
      <c r="A474" t="s">
        <v>13</v>
      </c>
      <c r="B474">
        <v>2030</v>
      </c>
      <c r="C474" t="s">
        <v>16</v>
      </c>
      <c r="D474" t="s">
        <v>483</v>
      </c>
      <c r="E474">
        <v>0</v>
      </c>
      <c r="F474" t="s">
        <v>17</v>
      </c>
      <c r="G474">
        <v>0</v>
      </c>
      <c r="H474">
        <v>0</v>
      </c>
    </row>
    <row r="475" spans="1:8" hidden="1" x14ac:dyDescent="0.35">
      <c r="A475" t="s">
        <v>13</v>
      </c>
      <c r="B475">
        <v>2031</v>
      </c>
      <c r="C475" t="s">
        <v>16</v>
      </c>
      <c r="D475" t="s">
        <v>483</v>
      </c>
      <c r="E475">
        <v>0</v>
      </c>
      <c r="F475" t="s">
        <v>17</v>
      </c>
      <c r="G475">
        <v>0</v>
      </c>
      <c r="H475">
        <v>0</v>
      </c>
    </row>
    <row r="476" spans="1:8" hidden="1" x14ac:dyDescent="0.35">
      <c r="A476" t="s">
        <v>13</v>
      </c>
      <c r="B476">
        <v>2032</v>
      </c>
      <c r="C476" t="s">
        <v>16</v>
      </c>
      <c r="D476" t="s">
        <v>483</v>
      </c>
      <c r="E476">
        <v>0</v>
      </c>
      <c r="F476" t="s">
        <v>17</v>
      </c>
      <c r="G476">
        <v>0</v>
      </c>
      <c r="H476">
        <v>0</v>
      </c>
    </row>
    <row r="477" spans="1:8" hidden="1" x14ac:dyDescent="0.35">
      <c r="A477" t="s">
        <v>13</v>
      </c>
      <c r="B477">
        <v>2033</v>
      </c>
      <c r="C477" t="s">
        <v>16</v>
      </c>
      <c r="D477" t="s">
        <v>483</v>
      </c>
      <c r="E477">
        <v>0</v>
      </c>
      <c r="F477" t="s">
        <v>17</v>
      </c>
      <c r="G477">
        <v>0</v>
      </c>
      <c r="H477">
        <v>0</v>
      </c>
    </row>
    <row r="478" spans="1:8" hidden="1" x14ac:dyDescent="0.35">
      <c r="A478" t="s">
        <v>13</v>
      </c>
      <c r="B478">
        <v>2034</v>
      </c>
      <c r="C478" t="s">
        <v>16</v>
      </c>
      <c r="D478" t="s">
        <v>483</v>
      </c>
      <c r="E478">
        <v>0</v>
      </c>
      <c r="F478" t="s">
        <v>17</v>
      </c>
      <c r="G478">
        <v>0</v>
      </c>
      <c r="H478">
        <v>0</v>
      </c>
    </row>
    <row r="479" spans="1:8" hidden="1" x14ac:dyDescent="0.35">
      <c r="A479" t="s">
        <v>13</v>
      </c>
      <c r="B479">
        <v>2035</v>
      </c>
      <c r="C479" t="s">
        <v>16</v>
      </c>
      <c r="D479" t="s">
        <v>483</v>
      </c>
      <c r="E479">
        <v>0</v>
      </c>
      <c r="F479" t="s">
        <v>17</v>
      </c>
      <c r="G479">
        <v>0</v>
      </c>
      <c r="H479">
        <v>0</v>
      </c>
    </row>
    <row r="480" spans="1:8" hidden="1" x14ac:dyDescent="0.35">
      <c r="A480" t="s">
        <v>13</v>
      </c>
      <c r="B480">
        <v>2036</v>
      </c>
      <c r="C480" t="s">
        <v>16</v>
      </c>
      <c r="D480" t="s">
        <v>483</v>
      </c>
      <c r="E480">
        <v>0</v>
      </c>
      <c r="F480" t="s">
        <v>17</v>
      </c>
      <c r="G480">
        <v>0</v>
      </c>
      <c r="H480">
        <v>0</v>
      </c>
    </row>
    <row r="481" spans="1:8" hidden="1" x14ac:dyDescent="0.35">
      <c r="A481" t="s">
        <v>13</v>
      </c>
      <c r="B481">
        <v>2037</v>
      </c>
      <c r="C481" t="s">
        <v>16</v>
      </c>
      <c r="D481" t="s">
        <v>483</v>
      </c>
      <c r="E481">
        <v>0</v>
      </c>
      <c r="F481" t="s">
        <v>17</v>
      </c>
      <c r="G481">
        <v>0</v>
      </c>
      <c r="H481">
        <v>0</v>
      </c>
    </row>
    <row r="482" spans="1:8" hidden="1" x14ac:dyDescent="0.35">
      <c r="A482" t="s">
        <v>13</v>
      </c>
      <c r="B482">
        <v>2038</v>
      </c>
      <c r="C482" t="s">
        <v>16</v>
      </c>
      <c r="D482" t="s">
        <v>483</v>
      </c>
      <c r="E482">
        <v>0</v>
      </c>
      <c r="F482" t="s">
        <v>17</v>
      </c>
      <c r="G482">
        <v>0</v>
      </c>
      <c r="H482">
        <v>0</v>
      </c>
    </row>
    <row r="483" spans="1:8" hidden="1" x14ac:dyDescent="0.35">
      <c r="A483" t="s">
        <v>13</v>
      </c>
      <c r="B483">
        <v>2039</v>
      </c>
      <c r="C483" t="s">
        <v>16</v>
      </c>
      <c r="D483" t="s">
        <v>483</v>
      </c>
      <c r="E483">
        <v>0</v>
      </c>
      <c r="F483" t="s">
        <v>17</v>
      </c>
      <c r="G483">
        <v>0</v>
      </c>
      <c r="H483">
        <v>0</v>
      </c>
    </row>
    <row r="484" spans="1:8" hidden="1" x14ac:dyDescent="0.35">
      <c r="A484" t="s">
        <v>13</v>
      </c>
      <c r="B484">
        <v>2040</v>
      </c>
      <c r="C484" t="s">
        <v>16</v>
      </c>
      <c r="D484" t="s">
        <v>483</v>
      </c>
      <c r="E484">
        <v>0</v>
      </c>
      <c r="F484" t="s">
        <v>17</v>
      </c>
      <c r="G484">
        <v>0</v>
      </c>
      <c r="H484">
        <v>0</v>
      </c>
    </row>
    <row r="485" spans="1:8" hidden="1" x14ac:dyDescent="0.35">
      <c r="A485" t="s">
        <v>13</v>
      </c>
      <c r="B485">
        <v>2018</v>
      </c>
      <c r="C485" t="s">
        <v>18</v>
      </c>
      <c r="D485" t="s">
        <v>483</v>
      </c>
      <c r="E485">
        <v>13.493</v>
      </c>
      <c r="F485" t="s">
        <v>17</v>
      </c>
      <c r="G485">
        <v>13493</v>
      </c>
      <c r="H485">
        <v>4452.6900000000005</v>
      </c>
    </row>
    <row r="486" spans="1:8" hidden="1" x14ac:dyDescent="0.35">
      <c r="A486" t="s">
        <v>13</v>
      </c>
      <c r="B486">
        <v>2019</v>
      </c>
      <c r="C486" t="s">
        <v>18</v>
      </c>
      <c r="D486" t="s">
        <v>483</v>
      </c>
      <c r="E486">
        <v>13.91</v>
      </c>
      <c r="F486" t="s">
        <v>17</v>
      </c>
      <c r="G486">
        <v>13910</v>
      </c>
      <c r="H486">
        <v>4590.3</v>
      </c>
    </row>
    <row r="487" spans="1:8" hidden="1" x14ac:dyDescent="0.35">
      <c r="A487" t="s">
        <v>13</v>
      </c>
      <c r="B487">
        <v>2020</v>
      </c>
      <c r="C487" t="s">
        <v>18</v>
      </c>
      <c r="D487" t="s">
        <v>483</v>
      </c>
      <c r="E487">
        <v>8.1709999999999994</v>
      </c>
      <c r="F487" t="s">
        <v>17</v>
      </c>
      <c r="G487">
        <v>8170.9999999999991</v>
      </c>
      <c r="H487">
        <v>2696.43</v>
      </c>
    </row>
    <row r="488" spans="1:8" hidden="1" x14ac:dyDescent="0.35">
      <c r="A488" t="s">
        <v>13</v>
      </c>
      <c r="B488">
        <v>2021</v>
      </c>
      <c r="C488" t="s">
        <v>18</v>
      </c>
      <c r="D488" t="s">
        <v>483</v>
      </c>
      <c r="E488">
        <v>4.18</v>
      </c>
      <c r="F488" t="s">
        <v>17</v>
      </c>
      <c r="G488">
        <v>4180</v>
      </c>
      <c r="H488">
        <v>1379.4</v>
      </c>
    </row>
    <row r="489" spans="1:8" hidden="1" x14ac:dyDescent="0.35">
      <c r="A489" t="s">
        <v>13</v>
      </c>
      <c r="B489">
        <v>2022</v>
      </c>
      <c r="C489" t="s">
        <v>18</v>
      </c>
      <c r="D489" t="s">
        <v>483</v>
      </c>
      <c r="E489">
        <v>13.563000000000001</v>
      </c>
      <c r="F489" t="s">
        <v>17</v>
      </c>
      <c r="G489">
        <v>13563</v>
      </c>
      <c r="H489">
        <v>4475.79</v>
      </c>
    </row>
    <row r="490" spans="1:8" hidden="1" x14ac:dyDescent="0.35">
      <c r="A490" t="s">
        <v>13</v>
      </c>
      <c r="B490">
        <v>2023</v>
      </c>
      <c r="C490" t="s">
        <v>18</v>
      </c>
      <c r="D490" t="s">
        <v>483</v>
      </c>
      <c r="E490">
        <v>103.93600000000001</v>
      </c>
      <c r="F490" t="s">
        <v>17</v>
      </c>
      <c r="G490">
        <v>103936</v>
      </c>
      <c r="H490">
        <v>34298.880000000005</v>
      </c>
    </row>
    <row r="491" spans="1:8" hidden="1" x14ac:dyDescent="0.35">
      <c r="A491" t="s">
        <v>13</v>
      </c>
      <c r="B491">
        <v>2024</v>
      </c>
      <c r="C491" t="s">
        <v>18</v>
      </c>
      <c r="D491" t="s">
        <v>483</v>
      </c>
      <c r="E491">
        <v>106.03099999999999</v>
      </c>
      <c r="F491" t="s">
        <v>17</v>
      </c>
      <c r="G491">
        <v>106030.99999999999</v>
      </c>
      <c r="H491">
        <v>34990.229999999996</v>
      </c>
    </row>
    <row r="492" spans="1:8" hidden="1" x14ac:dyDescent="0.35">
      <c r="A492" t="s">
        <v>13</v>
      </c>
      <c r="B492">
        <v>2025</v>
      </c>
      <c r="C492" t="s">
        <v>18</v>
      </c>
      <c r="D492" t="s">
        <v>483</v>
      </c>
      <c r="E492">
        <v>99.546999999999997</v>
      </c>
      <c r="F492" t="s">
        <v>17</v>
      </c>
      <c r="G492">
        <v>99547</v>
      </c>
      <c r="H492">
        <v>32850.51</v>
      </c>
    </row>
    <row r="493" spans="1:8" hidden="1" x14ac:dyDescent="0.35">
      <c r="A493" t="s">
        <v>13</v>
      </c>
      <c r="B493">
        <v>2026</v>
      </c>
      <c r="C493" t="s">
        <v>18</v>
      </c>
      <c r="D493" t="s">
        <v>483</v>
      </c>
      <c r="E493">
        <v>99.67</v>
      </c>
      <c r="F493" t="s">
        <v>17</v>
      </c>
      <c r="G493">
        <v>99670</v>
      </c>
      <c r="H493">
        <v>32891.1</v>
      </c>
    </row>
    <row r="494" spans="1:8" hidden="1" x14ac:dyDescent="0.35">
      <c r="A494" t="s">
        <v>13</v>
      </c>
      <c r="B494">
        <v>2027</v>
      </c>
      <c r="C494" t="s">
        <v>18</v>
      </c>
      <c r="D494" t="s">
        <v>483</v>
      </c>
      <c r="E494">
        <v>99.778000000000006</v>
      </c>
      <c r="F494" t="s">
        <v>17</v>
      </c>
      <c r="G494">
        <v>99778</v>
      </c>
      <c r="H494">
        <v>32926.74</v>
      </c>
    </row>
    <row r="495" spans="1:8" hidden="1" x14ac:dyDescent="0.35">
      <c r="A495" t="s">
        <v>13</v>
      </c>
      <c r="B495">
        <v>2028</v>
      </c>
      <c r="C495" t="s">
        <v>18</v>
      </c>
      <c r="D495" t="s">
        <v>483</v>
      </c>
      <c r="E495">
        <v>99.734999999999999</v>
      </c>
      <c r="F495" t="s">
        <v>17</v>
      </c>
      <c r="G495">
        <v>99735</v>
      </c>
      <c r="H495">
        <v>32912.550000000003</v>
      </c>
    </row>
    <row r="496" spans="1:8" hidden="1" x14ac:dyDescent="0.35">
      <c r="A496" t="s">
        <v>13</v>
      </c>
      <c r="B496">
        <v>2029</v>
      </c>
      <c r="C496" t="s">
        <v>18</v>
      </c>
      <c r="D496" t="s">
        <v>483</v>
      </c>
      <c r="E496">
        <v>99.513999999999996</v>
      </c>
      <c r="F496" t="s">
        <v>17</v>
      </c>
      <c r="G496">
        <v>99514</v>
      </c>
      <c r="H496">
        <v>32839.620000000003</v>
      </c>
    </row>
    <row r="497" spans="1:8" hidden="1" x14ac:dyDescent="0.35">
      <c r="A497" t="s">
        <v>13</v>
      </c>
      <c r="B497">
        <v>2030</v>
      </c>
      <c r="C497" t="s">
        <v>18</v>
      </c>
      <c r="D497" t="s">
        <v>483</v>
      </c>
      <c r="E497">
        <v>99.712000000000003</v>
      </c>
      <c r="F497" t="s">
        <v>17</v>
      </c>
      <c r="G497">
        <v>99712</v>
      </c>
      <c r="H497">
        <v>32904.959999999999</v>
      </c>
    </row>
    <row r="498" spans="1:8" hidden="1" x14ac:dyDescent="0.35">
      <c r="A498" t="s">
        <v>13</v>
      </c>
      <c r="B498">
        <v>2031</v>
      </c>
      <c r="C498" t="s">
        <v>18</v>
      </c>
      <c r="D498" t="s">
        <v>483</v>
      </c>
      <c r="E498">
        <v>99.847999999999999</v>
      </c>
      <c r="F498" t="s">
        <v>17</v>
      </c>
      <c r="G498">
        <v>99848</v>
      </c>
      <c r="H498">
        <v>32949.840000000004</v>
      </c>
    </row>
    <row r="499" spans="1:8" hidden="1" x14ac:dyDescent="0.35">
      <c r="A499" t="s">
        <v>13</v>
      </c>
      <c r="B499">
        <v>2032</v>
      </c>
      <c r="C499" t="s">
        <v>18</v>
      </c>
      <c r="D499" t="s">
        <v>483</v>
      </c>
      <c r="E499">
        <v>88.9360447423349</v>
      </c>
      <c r="F499" t="s">
        <v>17</v>
      </c>
      <c r="G499">
        <v>88936.044742334896</v>
      </c>
      <c r="H499">
        <v>29348.894764970519</v>
      </c>
    </row>
    <row r="500" spans="1:8" hidden="1" x14ac:dyDescent="0.35">
      <c r="A500" t="s">
        <v>13</v>
      </c>
      <c r="B500">
        <v>2033</v>
      </c>
      <c r="C500" t="s">
        <v>18</v>
      </c>
      <c r="D500" t="s">
        <v>483</v>
      </c>
      <c r="E500">
        <v>107.33713919856019</v>
      </c>
      <c r="F500" t="s">
        <v>17</v>
      </c>
      <c r="G500">
        <v>107337.13919856019</v>
      </c>
      <c r="H500">
        <v>35421.255935524867</v>
      </c>
    </row>
    <row r="501" spans="1:8" hidden="1" x14ac:dyDescent="0.35">
      <c r="A501" t="s">
        <v>13</v>
      </c>
      <c r="B501">
        <v>2034</v>
      </c>
      <c r="C501" t="s">
        <v>18</v>
      </c>
      <c r="D501" t="s">
        <v>483</v>
      </c>
      <c r="E501">
        <v>129.54546702307746</v>
      </c>
      <c r="F501" t="s">
        <v>17</v>
      </c>
      <c r="G501">
        <v>129545.46702307746</v>
      </c>
      <c r="H501">
        <v>42750.004117615565</v>
      </c>
    </row>
    <row r="502" spans="1:8" hidden="1" x14ac:dyDescent="0.35">
      <c r="A502" t="s">
        <v>13</v>
      </c>
      <c r="B502">
        <v>2035</v>
      </c>
      <c r="C502" t="s">
        <v>18</v>
      </c>
      <c r="D502" t="s">
        <v>483</v>
      </c>
      <c r="E502">
        <v>156.34875450875035</v>
      </c>
      <c r="F502" t="s">
        <v>17</v>
      </c>
      <c r="G502">
        <v>156348.75450875034</v>
      </c>
      <c r="H502">
        <v>51595.088987887611</v>
      </c>
    </row>
    <row r="503" spans="1:8" hidden="1" x14ac:dyDescent="0.35">
      <c r="A503" t="s">
        <v>13</v>
      </c>
      <c r="B503">
        <v>2036</v>
      </c>
      <c r="C503" t="s">
        <v>18</v>
      </c>
      <c r="D503" t="s">
        <v>483</v>
      </c>
      <c r="E503">
        <v>188.69771052724536</v>
      </c>
      <c r="F503" t="s">
        <v>17</v>
      </c>
      <c r="G503">
        <v>188697.71052724536</v>
      </c>
      <c r="H503">
        <v>62270.24447399097</v>
      </c>
    </row>
    <row r="504" spans="1:8" hidden="1" x14ac:dyDescent="0.35">
      <c r="A504" t="s">
        <v>13</v>
      </c>
      <c r="B504">
        <v>2037</v>
      </c>
      <c r="C504" t="s">
        <v>18</v>
      </c>
      <c r="D504" t="s">
        <v>483</v>
      </c>
      <c r="E504">
        <v>227.73974804021404</v>
      </c>
      <c r="F504" t="s">
        <v>17</v>
      </c>
      <c r="G504">
        <v>227739.74804021404</v>
      </c>
      <c r="H504">
        <v>75154.116853270636</v>
      </c>
    </row>
    <row r="505" spans="1:8" hidden="1" x14ac:dyDescent="0.35">
      <c r="A505" t="s">
        <v>13</v>
      </c>
      <c r="B505">
        <v>2038</v>
      </c>
      <c r="C505" t="s">
        <v>18</v>
      </c>
      <c r="D505" t="s">
        <v>483</v>
      </c>
      <c r="E505">
        <v>274.85968267713315</v>
      </c>
      <c r="F505" t="s">
        <v>17</v>
      </c>
      <c r="G505">
        <v>274859.68267713313</v>
      </c>
      <c r="H505">
        <v>90703.695283453941</v>
      </c>
    </row>
    <row r="506" spans="1:8" hidden="1" x14ac:dyDescent="0.35">
      <c r="A506" t="s">
        <v>13</v>
      </c>
      <c r="B506">
        <v>2039</v>
      </c>
      <c r="C506" t="s">
        <v>18</v>
      </c>
      <c r="D506" t="s">
        <v>483</v>
      </c>
      <c r="E506">
        <v>331.72885195268657</v>
      </c>
      <c r="F506" t="s">
        <v>17</v>
      </c>
      <c r="G506">
        <v>331728.85195268656</v>
      </c>
      <c r="H506">
        <v>109470.52114438657</v>
      </c>
    </row>
    <row r="507" spans="1:8" hidden="1" x14ac:dyDescent="0.35">
      <c r="A507" t="s">
        <v>13</v>
      </c>
      <c r="B507">
        <v>2040</v>
      </c>
      <c r="C507" t="s">
        <v>18</v>
      </c>
      <c r="D507" t="s">
        <v>483</v>
      </c>
      <c r="E507">
        <v>400.36439737548505</v>
      </c>
      <c r="F507" t="s">
        <v>17</v>
      </c>
      <c r="G507">
        <v>400364.39737548504</v>
      </c>
      <c r="H507">
        <v>132120.25113391006</v>
      </c>
    </row>
    <row r="508" spans="1:8" hidden="1" x14ac:dyDescent="0.35">
      <c r="A508" t="s">
        <v>11</v>
      </c>
      <c r="B508">
        <v>2018</v>
      </c>
      <c r="C508" t="s">
        <v>16</v>
      </c>
      <c r="D508" t="s">
        <v>483</v>
      </c>
      <c r="E508">
        <v>0</v>
      </c>
      <c r="F508" t="s">
        <v>17</v>
      </c>
      <c r="G508">
        <v>0</v>
      </c>
      <c r="H508">
        <v>0</v>
      </c>
    </row>
    <row r="509" spans="1:8" hidden="1" x14ac:dyDescent="0.35">
      <c r="A509" t="s">
        <v>11</v>
      </c>
      <c r="B509">
        <v>2019</v>
      </c>
      <c r="C509" t="s">
        <v>16</v>
      </c>
      <c r="D509" t="s">
        <v>483</v>
      </c>
      <c r="E509">
        <v>0</v>
      </c>
      <c r="F509" t="s">
        <v>17</v>
      </c>
      <c r="G509">
        <v>0</v>
      </c>
      <c r="H509">
        <v>0</v>
      </c>
    </row>
    <row r="510" spans="1:8" hidden="1" x14ac:dyDescent="0.35">
      <c r="A510" t="s">
        <v>11</v>
      </c>
      <c r="B510">
        <v>2020</v>
      </c>
      <c r="C510" t="s">
        <v>16</v>
      </c>
      <c r="D510" t="s">
        <v>483</v>
      </c>
      <c r="E510">
        <v>0</v>
      </c>
      <c r="F510" t="s">
        <v>17</v>
      </c>
      <c r="G510">
        <v>0</v>
      </c>
      <c r="H510">
        <v>0</v>
      </c>
    </row>
    <row r="511" spans="1:8" hidden="1" x14ac:dyDescent="0.35">
      <c r="A511" t="s">
        <v>11</v>
      </c>
      <c r="B511">
        <v>2021</v>
      </c>
      <c r="C511" t="s">
        <v>16</v>
      </c>
      <c r="D511" t="s">
        <v>483</v>
      </c>
      <c r="E511">
        <v>0</v>
      </c>
      <c r="F511" t="s">
        <v>17</v>
      </c>
      <c r="G511">
        <v>0</v>
      </c>
      <c r="H511">
        <v>0</v>
      </c>
    </row>
    <row r="512" spans="1:8" hidden="1" x14ac:dyDescent="0.35">
      <c r="A512" t="s">
        <v>11</v>
      </c>
      <c r="B512">
        <v>2022</v>
      </c>
      <c r="C512" t="s">
        <v>16</v>
      </c>
      <c r="D512" t="s">
        <v>483</v>
      </c>
      <c r="E512">
        <v>0</v>
      </c>
      <c r="F512" t="s">
        <v>17</v>
      </c>
      <c r="G512">
        <v>0</v>
      </c>
      <c r="H512">
        <v>0</v>
      </c>
    </row>
    <row r="513" spans="1:8" hidden="1" x14ac:dyDescent="0.35">
      <c r="A513" t="s">
        <v>11</v>
      </c>
      <c r="B513">
        <v>2023</v>
      </c>
      <c r="C513" t="s">
        <v>16</v>
      </c>
      <c r="D513" t="s">
        <v>483</v>
      </c>
      <c r="E513">
        <v>0</v>
      </c>
      <c r="F513" t="s">
        <v>17</v>
      </c>
      <c r="G513">
        <v>0</v>
      </c>
      <c r="H513">
        <v>0</v>
      </c>
    </row>
    <row r="514" spans="1:8" hidden="1" x14ac:dyDescent="0.35">
      <c r="A514" t="s">
        <v>11</v>
      </c>
      <c r="B514">
        <v>2024</v>
      </c>
      <c r="C514" t="s">
        <v>16</v>
      </c>
      <c r="D514" t="s">
        <v>483</v>
      </c>
      <c r="E514">
        <v>0</v>
      </c>
      <c r="F514" t="s">
        <v>17</v>
      </c>
      <c r="G514">
        <v>0</v>
      </c>
      <c r="H514">
        <v>0</v>
      </c>
    </row>
    <row r="515" spans="1:8" hidden="1" x14ac:dyDescent="0.35">
      <c r="A515" t="s">
        <v>11</v>
      </c>
      <c r="B515">
        <v>2025</v>
      </c>
      <c r="C515" t="s">
        <v>16</v>
      </c>
      <c r="D515" t="s">
        <v>483</v>
      </c>
      <c r="E515">
        <v>0</v>
      </c>
      <c r="F515" t="s">
        <v>17</v>
      </c>
      <c r="G515">
        <v>0</v>
      </c>
      <c r="H515">
        <v>0</v>
      </c>
    </row>
    <row r="516" spans="1:8" hidden="1" x14ac:dyDescent="0.35">
      <c r="A516" t="s">
        <v>11</v>
      </c>
      <c r="B516">
        <v>2026</v>
      </c>
      <c r="C516" t="s">
        <v>16</v>
      </c>
      <c r="D516" t="s">
        <v>483</v>
      </c>
      <c r="E516">
        <v>0</v>
      </c>
      <c r="F516" t="s">
        <v>17</v>
      </c>
      <c r="G516">
        <v>0</v>
      </c>
      <c r="H516">
        <v>0</v>
      </c>
    </row>
    <row r="517" spans="1:8" hidden="1" x14ac:dyDescent="0.35">
      <c r="A517" t="s">
        <v>11</v>
      </c>
      <c r="B517">
        <v>2027</v>
      </c>
      <c r="C517" t="s">
        <v>16</v>
      </c>
      <c r="D517" t="s">
        <v>483</v>
      </c>
      <c r="E517">
        <v>0</v>
      </c>
      <c r="F517" t="s">
        <v>17</v>
      </c>
      <c r="G517">
        <v>0</v>
      </c>
      <c r="H517">
        <v>0</v>
      </c>
    </row>
    <row r="518" spans="1:8" hidden="1" x14ac:dyDescent="0.35">
      <c r="A518" t="s">
        <v>11</v>
      </c>
      <c r="B518">
        <v>2028</v>
      </c>
      <c r="C518" t="s">
        <v>16</v>
      </c>
      <c r="D518" t="s">
        <v>483</v>
      </c>
      <c r="E518">
        <v>0</v>
      </c>
      <c r="F518" t="s">
        <v>17</v>
      </c>
      <c r="G518">
        <v>0</v>
      </c>
      <c r="H518">
        <v>0</v>
      </c>
    </row>
    <row r="519" spans="1:8" hidden="1" x14ac:dyDescent="0.35">
      <c r="A519" t="s">
        <v>11</v>
      </c>
      <c r="B519">
        <v>2029</v>
      </c>
      <c r="C519" t="s">
        <v>16</v>
      </c>
      <c r="D519" t="s">
        <v>483</v>
      </c>
      <c r="E519">
        <v>0</v>
      </c>
      <c r="F519" t="s">
        <v>17</v>
      </c>
      <c r="G519">
        <v>0</v>
      </c>
      <c r="H519">
        <v>0</v>
      </c>
    </row>
    <row r="520" spans="1:8" hidden="1" x14ac:dyDescent="0.35">
      <c r="A520" t="s">
        <v>11</v>
      </c>
      <c r="B520">
        <v>2030</v>
      </c>
      <c r="C520" t="s">
        <v>16</v>
      </c>
      <c r="D520" t="s">
        <v>483</v>
      </c>
      <c r="E520">
        <v>0</v>
      </c>
      <c r="F520" t="s">
        <v>17</v>
      </c>
      <c r="G520">
        <v>0</v>
      </c>
      <c r="H520">
        <v>0</v>
      </c>
    </row>
    <row r="521" spans="1:8" hidden="1" x14ac:dyDescent="0.35">
      <c r="A521" t="s">
        <v>11</v>
      </c>
      <c r="B521">
        <v>2031</v>
      </c>
      <c r="C521" t="s">
        <v>16</v>
      </c>
      <c r="D521" t="s">
        <v>483</v>
      </c>
      <c r="E521">
        <v>0</v>
      </c>
      <c r="F521" t="s">
        <v>17</v>
      </c>
      <c r="G521">
        <v>0</v>
      </c>
      <c r="H521">
        <v>0</v>
      </c>
    </row>
    <row r="522" spans="1:8" hidden="1" x14ac:dyDescent="0.35">
      <c r="A522" t="s">
        <v>11</v>
      </c>
      <c r="B522">
        <v>2032</v>
      </c>
      <c r="C522" t="s">
        <v>16</v>
      </c>
      <c r="D522" t="s">
        <v>483</v>
      </c>
      <c r="E522">
        <v>0</v>
      </c>
      <c r="F522" t="s">
        <v>17</v>
      </c>
      <c r="G522">
        <v>0</v>
      </c>
      <c r="H522">
        <v>0</v>
      </c>
    </row>
    <row r="523" spans="1:8" hidden="1" x14ac:dyDescent="0.35">
      <c r="A523" t="s">
        <v>11</v>
      </c>
      <c r="B523">
        <v>2033</v>
      </c>
      <c r="C523" t="s">
        <v>16</v>
      </c>
      <c r="D523" t="s">
        <v>483</v>
      </c>
      <c r="E523">
        <v>0</v>
      </c>
      <c r="F523" t="s">
        <v>17</v>
      </c>
      <c r="G523">
        <v>0</v>
      </c>
      <c r="H523">
        <v>0</v>
      </c>
    </row>
    <row r="524" spans="1:8" hidden="1" x14ac:dyDescent="0.35">
      <c r="A524" t="s">
        <v>11</v>
      </c>
      <c r="B524">
        <v>2034</v>
      </c>
      <c r="C524" t="s">
        <v>16</v>
      </c>
      <c r="D524" t="s">
        <v>483</v>
      </c>
      <c r="E524">
        <v>0</v>
      </c>
      <c r="F524" t="s">
        <v>17</v>
      </c>
      <c r="G524">
        <v>0</v>
      </c>
      <c r="H524">
        <v>0</v>
      </c>
    </row>
    <row r="525" spans="1:8" hidden="1" x14ac:dyDescent="0.35">
      <c r="A525" t="s">
        <v>11</v>
      </c>
      <c r="B525">
        <v>2035</v>
      </c>
      <c r="C525" t="s">
        <v>16</v>
      </c>
      <c r="D525" t="s">
        <v>483</v>
      </c>
      <c r="E525">
        <v>0</v>
      </c>
      <c r="F525" t="s">
        <v>17</v>
      </c>
      <c r="G525">
        <v>0</v>
      </c>
      <c r="H525">
        <v>0</v>
      </c>
    </row>
    <row r="526" spans="1:8" hidden="1" x14ac:dyDescent="0.35">
      <c r="A526" t="s">
        <v>11</v>
      </c>
      <c r="B526">
        <v>2036</v>
      </c>
      <c r="C526" t="s">
        <v>16</v>
      </c>
      <c r="D526" t="s">
        <v>483</v>
      </c>
      <c r="E526">
        <v>0</v>
      </c>
      <c r="F526" t="s">
        <v>17</v>
      </c>
      <c r="G526">
        <v>0</v>
      </c>
      <c r="H526">
        <v>0</v>
      </c>
    </row>
    <row r="527" spans="1:8" hidden="1" x14ac:dyDescent="0.35">
      <c r="A527" t="s">
        <v>11</v>
      </c>
      <c r="B527">
        <v>2037</v>
      </c>
      <c r="C527" t="s">
        <v>16</v>
      </c>
      <c r="D527" t="s">
        <v>483</v>
      </c>
      <c r="E527">
        <v>0</v>
      </c>
      <c r="F527" t="s">
        <v>17</v>
      </c>
      <c r="G527">
        <v>0</v>
      </c>
      <c r="H527">
        <v>0</v>
      </c>
    </row>
    <row r="528" spans="1:8" hidden="1" x14ac:dyDescent="0.35">
      <c r="A528" t="s">
        <v>11</v>
      </c>
      <c r="B528">
        <v>2038</v>
      </c>
      <c r="C528" t="s">
        <v>16</v>
      </c>
      <c r="D528" t="s">
        <v>483</v>
      </c>
      <c r="E528">
        <v>0</v>
      </c>
      <c r="F528" t="s">
        <v>17</v>
      </c>
      <c r="G528">
        <v>0</v>
      </c>
      <c r="H528">
        <v>0</v>
      </c>
    </row>
    <row r="529" spans="1:8" hidden="1" x14ac:dyDescent="0.35">
      <c r="A529" t="s">
        <v>11</v>
      </c>
      <c r="B529">
        <v>2039</v>
      </c>
      <c r="C529" t="s">
        <v>16</v>
      </c>
      <c r="D529" t="s">
        <v>483</v>
      </c>
      <c r="E529">
        <v>0</v>
      </c>
      <c r="F529" t="s">
        <v>17</v>
      </c>
      <c r="G529">
        <v>0</v>
      </c>
      <c r="H529">
        <v>0</v>
      </c>
    </row>
    <row r="530" spans="1:8" hidden="1" x14ac:dyDescent="0.35">
      <c r="A530" t="s">
        <v>11</v>
      </c>
      <c r="B530">
        <v>2040</v>
      </c>
      <c r="C530" t="s">
        <v>16</v>
      </c>
      <c r="D530" t="s">
        <v>483</v>
      </c>
      <c r="E530">
        <v>0</v>
      </c>
      <c r="F530" t="s">
        <v>17</v>
      </c>
      <c r="G530">
        <v>0</v>
      </c>
      <c r="H530">
        <v>0</v>
      </c>
    </row>
    <row r="531" spans="1:8" hidden="1" x14ac:dyDescent="0.35">
      <c r="A531" t="s">
        <v>11</v>
      </c>
      <c r="B531">
        <v>2018</v>
      </c>
      <c r="C531" t="s">
        <v>18</v>
      </c>
      <c r="D531" t="s">
        <v>483</v>
      </c>
      <c r="E531">
        <v>0</v>
      </c>
      <c r="F531" t="s">
        <v>17</v>
      </c>
      <c r="G531">
        <v>0</v>
      </c>
      <c r="H531">
        <v>0</v>
      </c>
    </row>
    <row r="532" spans="1:8" hidden="1" x14ac:dyDescent="0.35">
      <c r="A532" t="s">
        <v>11</v>
      </c>
      <c r="B532">
        <v>2019</v>
      </c>
      <c r="C532" t="s">
        <v>18</v>
      </c>
      <c r="D532" t="s">
        <v>483</v>
      </c>
      <c r="E532">
        <v>0</v>
      </c>
      <c r="F532" t="s">
        <v>17</v>
      </c>
      <c r="G532">
        <v>0</v>
      </c>
      <c r="H532">
        <v>0</v>
      </c>
    </row>
    <row r="533" spans="1:8" hidden="1" x14ac:dyDescent="0.35">
      <c r="A533" t="s">
        <v>11</v>
      </c>
      <c r="B533">
        <v>2020</v>
      </c>
      <c r="C533" t="s">
        <v>18</v>
      </c>
      <c r="D533" t="s">
        <v>483</v>
      </c>
      <c r="E533">
        <v>0</v>
      </c>
      <c r="F533" t="s">
        <v>17</v>
      </c>
      <c r="G533">
        <v>0</v>
      </c>
      <c r="H533">
        <v>0</v>
      </c>
    </row>
    <row r="534" spans="1:8" hidden="1" x14ac:dyDescent="0.35">
      <c r="A534" t="s">
        <v>11</v>
      </c>
      <c r="B534">
        <v>2021</v>
      </c>
      <c r="C534" t="s">
        <v>18</v>
      </c>
      <c r="D534" t="s">
        <v>483</v>
      </c>
      <c r="E534">
        <v>0</v>
      </c>
      <c r="F534" t="s">
        <v>17</v>
      </c>
      <c r="G534">
        <v>0</v>
      </c>
      <c r="H534">
        <v>0</v>
      </c>
    </row>
    <row r="535" spans="1:8" hidden="1" x14ac:dyDescent="0.35">
      <c r="A535" t="s">
        <v>11</v>
      </c>
      <c r="B535">
        <v>2022</v>
      </c>
      <c r="C535" t="s">
        <v>18</v>
      </c>
      <c r="D535" t="s">
        <v>483</v>
      </c>
      <c r="E535">
        <v>0</v>
      </c>
      <c r="F535" t="s">
        <v>17</v>
      </c>
      <c r="G535">
        <v>0</v>
      </c>
      <c r="H535">
        <v>0</v>
      </c>
    </row>
    <row r="536" spans="1:8" hidden="1" x14ac:dyDescent="0.35">
      <c r="A536" t="s">
        <v>11</v>
      </c>
      <c r="B536">
        <v>2023</v>
      </c>
      <c r="C536" t="s">
        <v>18</v>
      </c>
      <c r="D536" t="s">
        <v>483</v>
      </c>
      <c r="E536">
        <v>1.4008889791940259E-3</v>
      </c>
      <c r="F536" t="s">
        <v>17</v>
      </c>
      <c r="G536">
        <v>1.4008889791940258</v>
      </c>
      <c r="H536">
        <v>0.8384935726722027</v>
      </c>
    </row>
    <row r="537" spans="1:8" hidden="1" x14ac:dyDescent="0.35">
      <c r="A537" t="s">
        <v>11</v>
      </c>
      <c r="B537">
        <v>2024</v>
      </c>
      <c r="C537" t="s">
        <v>18</v>
      </c>
      <c r="D537" t="s">
        <v>483</v>
      </c>
      <c r="E537">
        <v>1.9624899320272796E-3</v>
      </c>
      <c r="F537" t="s">
        <v>17</v>
      </c>
      <c r="G537">
        <v>1.9624899320272795</v>
      </c>
      <c r="H537">
        <v>1.1746364050815137</v>
      </c>
    </row>
    <row r="538" spans="1:8" hidden="1" x14ac:dyDescent="0.35">
      <c r="A538" t="s">
        <v>11</v>
      </c>
      <c r="B538">
        <v>2025</v>
      </c>
      <c r="C538" t="s">
        <v>18</v>
      </c>
      <c r="D538" t="s">
        <v>483</v>
      </c>
      <c r="E538">
        <v>2.7492305175562488E-3</v>
      </c>
      <c r="F538" t="s">
        <v>17</v>
      </c>
      <c r="G538">
        <v>2.7492305175562488</v>
      </c>
      <c r="H538">
        <v>1.6455351944387819</v>
      </c>
    </row>
    <row r="539" spans="1:8" hidden="1" x14ac:dyDescent="0.35">
      <c r="A539" t="s">
        <v>11</v>
      </c>
      <c r="B539">
        <v>2026</v>
      </c>
      <c r="C539" t="s">
        <v>18</v>
      </c>
      <c r="D539" t="s">
        <v>483</v>
      </c>
      <c r="E539">
        <v>3.8513667333084363E-3</v>
      </c>
      <c r="F539" t="s">
        <v>17</v>
      </c>
      <c r="G539">
        <v>3.8513667333084363</v>
      </c>
      <c r="H539">
        <v>2.3052121187651879</v>
      </c>
    </row>
    <row r="540" spans="1:8" hidden="1" x14ac:dyDescent="0.35">
      <c r="A540" t="s">
        <v>11</v>
      </c>
      <c r="B540">
        <v>2027</v>
      </c>
      <c r="C540" t="s">
        <v>18</v>
      </c>
      <c r="D540" t="s">
        <v>483</v>
      </c>
      <c r="E540">
        <v>5.3953372115262853E-3</v>
      </c>
      <c r="F540" t="s">
        <v>17</v>
      </c>
      <c r="G540">
        <v>5.395337211526285</v>
      </c>
      <c r="H540">
        <v>3.229346251882661</v>
      </c>
    </row>
    <row r="541" spans="1:8" hidden="1" x14ac:dyDescent="0.35">
      <c r="A541" t="s">
        <v>11</v>
      </c>
      <c r="B541">
        <v>2028</v>
      </c>
      <c r="C541" t="s">
        <v>18</v>
      </c>
      <c r="D541" t="s">
        <v>483</v>
      </c>
      <c r="E541">
        <v>7.5582684386625984E-3</v>
      </c>
      <c r="F541" t="s">
        <v>17</v>
      </c>
      <c r="G541">
        <v>7.5582684386625987</v>
      </c>
      <c r="H541">
        <v>4.5239555742639546</v>
      </c>
    </row>
    <row r="542" spans="1:8" hidden="1" x14ac:dyDescent="0.35">
      <c r="A542" t="s">
        <v>11</v>
      </c>
      <c r="B542">
        <v>2029</v>
      </c>
      <c r="C542" t="s">
        <v>18</v>
      </c>
      <c r="D542" t="s">
        <v>483</v>
      </c>
      <c r="E542">
        <v>1.0588294957512472E-2</v>
      </c>
      <c r="F542" t="s">
        <v>17</v>
      </c>
      <c r="G542">
        <v>10.588294957512472</v>
      </c>
      <c r="H542">
        <v>6.3375595063497547</v>
      </c>
    </row>
    <row r="543" spans="1:8" hidden="1" x14ac:dyDescent="0.35">
      <c r="A543" t="s">
        <v>11</v>
      </c>
      <c r="B543">
        <v>2030</v>
      </c>
      <c r="C543" t="s">
        <v>18</v>
      </c>
      <c r="D543" t="s">
        <v>483</v>
      </c>
      <c r="E543">
        <v>1.4833025714434896E-2</v>
      </c>
      <c r="F543" t="s">
        <v>17</v>
      </c>
      <c r="G543">
        <v>14.833025714434896</v>
      </c>
      <c r="H543">
        <v>8.878217267431701</v>
      </c>
    </row>
    <row r="544" spans="1:8" hidden="1" x14ac:dyDescent="0.35">
      <c r="A544" t="s">
        <v>11</v>
      </c>
      <c r="B544">
        <v>2031</v>
      </c>
      <c r="C544" t="s">
        <v>18</v>
      </c>
      <c r="D544" t="s">
        <v>483</v>
      </c>
      <c r="E544">
        <v>2.0779422251453437E-2</v>
      </c>
      <c r="F544" t="s">
        <v>17</v>
      </c>
      <c r="G544">
        <v>20.779422251453436</v>
      </c>
      <c r="H544">
        <v>12.437396724835168</v>
      </c>
    </row>
    <row r="545" spans="1:8" hidden="1" x14ac:dyDescent="0.35">
      <c r="A545" t="s">
        <v>11</v>
      </c>
      <c r="B545">
        <v>2032</v>
      </c>
      <c r="C545" t="s">
        <v>18</v>
      </c>
      <c r="D545" t="s">
        <v>483</v>
      </c>
      <c r="E545">
        <v>2.9109663626080227E-2</v>
      </c>
      <c r="F545" t="s">
        <v>17</v>
      </c>
      <c r="G545">
        <v>29.109663626080227</v>
      </c>
      <c r="H545">
        <v>17.423412001685456</v>
      </c>
    </row>
    <row r="546" spans="1:8" hidden="1" x14ac:dyDescent="0.35">
      <c r="A546" t="s">
        <v>11</v>
      </c>
      <c r="B546">
        <v>2033</v>
      </c>
      <c r="C546" t="s">
        <v>18</v>
      </c>
      <c r="D546" t="s">
        <v>483</v>
      </c>
      <c r="E546">
        <v>4.0779406961820995E-2</v>
      </c>
      <c r="F546" t="s">
        <v>17</v>
      </c>
      <c r="G546">
        <v>40.779406961820996</v>
      </c>
      <c r="H546">
        <v>24.408265853118078</v>
      </c>
    </row>
    <row r="547" spans="1:8" hidden="1" x14ac:dyDescent="0.35">
      <c r="A547" t="s">
        <v>11</v>
      </c>
      <c r="B547">
        <v>2034</v>
      </c>
      <c r="C547" t="s">
        <v>18</v>
      </c>
      <c r="D547" t="s">
        <v>483</v>
      </c>
      <c r="E547">
        <v>5.7127421790883162E-2</v>
      </c>
      <c r="F547" t="s">
        <v>17</v>
      </c>
      <c r="G547">
        <v>57.127421790883162</v>
      </c>
      <c r="H547">
        <v>34.193270634870984</v>
      </c>
    </row>
    <row r="548" spans="1:8" hidden="1" x14ac:dyDescent="0.35">
      <c r="A548" t="s">
        <v>11</v>
      </c>
      <c r="B548">
        <v>2035</v>
      </c>
      <c r="C548" t="s">
        <v>18</v>
      </c>
      <c r="D548" t="s">
        <v>483</v>
      </c>
      <c r="E548">
        <v>8.0029175596616847E-2</v>
      </c>
      <c r="F548" t="s">
        <v>17</v>
      </c>
      <c r="G548">
        <v>80.029175596616852</v>
      </c>
      <c r="H548">
        <v>47.900975994989466</v>
      </c>
    </row>
    <row r="549" spans="1:8" hidden="1" x14ac:dyDescent="0.35">
      <c r="A549" t="s">
        <v>11</v>
      </c>
      <c r="B549">
        <v>2036</v>
      </c>
      <c r="C549" t="s">
        <v>18</v>
      </c>
      <c r="D549" t="s">
        <v>483</v>
      </c>
      <c r="E549">
        <v>0.11211199010728401</v>
      </c>
      <c r="F549" t="s">
        <v>17</v>
      </c>
      <c r="G549">
        <v>112.11199010728402</v>
      </c>
      <c r="H549">
        <v>67.10394936401832</v>
      </c>
    </row>
    <row r="550" spans="1:8" hidden="1" x14ac:dyDescent="0.35">
      <c r="A550" t="s">
        <v>11</v>
      </c>
      <c r="B550">
        <v>2037</v>
      </c>
      <c r="C550" t="s">
        <v>18</v>
      </c>
      <c r="D550" t="s">
        <v>483</v>
      </c>
      <c r="E550">
        <v>0.15705645137680382</v>
      </c>
      <c r="F550" t="s">
        <v>17</v>
      </c>
      <c r="G550">
        <v>157.05645137680384</v>
      </c>
      <c r="H550">
        <v>94.005183124447228</v>
      </c>
    </row>
    <row r="551" spans="1:8" hidden="1" x14ac:dyDescent="0.35">
      <c r="A551" t="s">
        <v>11</v>
      </c>
      <c r="B551">
        <v>2038</v>
      </c>
      <c r="C551" t="s">
        <v>18</v>
      </c>
      <c r="D551" t="s">
        <v>483</v>
      </c>
      <c r="E551">
        <v>0.22001865184508684</v>
      </c>
      <c r="F551" t="s">
        <v>17</v>
      </c>
      <c r="G551">
        <v>220.01865184508685</v>
      </c>
      <c r="H551">
        <v>131.69082502615433</v>
      </c>
    </row>
    <row r="552" spans="1:8" hidden="1" x14ac:dyDescent="0.35">
      <c r="A552" t="s">
        <v>11</v>
      </c>
      <c r="B552">
        <v>2039</v>
      </c>
      <c r="C552" t="s">
        <v>18</v>
      </c>
      <c r="D552" t="s">
        <v>483</v>
      </c>
      <c r="E552">
        <v>0.30822170458690951</v>
      </c>
      <c r="F552" t="s">
        <v>17</v>
      </c>
      <c r="G552">
        <v>308.22170458690948</v>
      </c>
      <c r="H552">
        <v>184.48422544010839</v>
      </c>
    </row>
    <row r="553" spans="1:8" hidden="1" x14ac:dyDescent="0.35">
      <c r="A553" t="s">
        <v>11</v>
      </c>
      <c r="B553">
        <v>2040</v>
      </c>
      <c r="C553" t="s">
        <v>18</v>
      </c>
      <c r="D553" t="s">
        <v>483</v>
      </c>
      <c r="E553">
        <v>0.4317843891041982</v>
      </c>
      <c r="F553" t="s">
        <v>17</v>
      </c>
      <c r="G553">
        <v>431.78438910419817</v>
      </c>
      <c r="H553">
        <v>258.44191825419398</v>
      </c>
    </row>
  </sheetData>
  <autoFilter ref="A1:H553" xr:uid="{A7D98D3D-BB27-4896-BD05-AB96D548E28E}">
    <filterColumn colId="0">
      <filters>
        <filter val="Copper"/>
      </filters>
    </filterColumn>
    <filterColumn colId="1">
      <filters>
        <filter val="2025"/>
        <filter val="2026"/>
        <filter val="2027"/>
        <filter val="2028"/>
        <filter val="2029"/>
        <filter val="2030"/>
        <filter val="2031"/>
        <filter val="2032"/>
        <filter val="2033"/>
        <filter val="2034"/>
        <filter val="2035"/>
        <filter val="2036"/>
        <filter val="2037"/>
        <filter val="2038"/>
        <filter val="2039"/>
        <filter val="2040"/>
      </filters>
    </filterColumn>
    <filterColumn colId="2">
      <filters>
        <filter val="Production potential"/>
      </filters>
    </filterColumn>
    <filterColumn colId="3">
      <filters>
        <filter val="100% CAN"/>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DF36-0CB8-433F-8716-DDB7C1B25226}">
  <sheetPr filterMode="1"/>
  <dimension ref="A1:J49"/>
  <sheetViews>
    <sheetView workbookViewId="0">
      <selection sqref="A1:XFD1"/>
    </sheetView>
  </sheetViews>
  <sheetFormatPr baseColWidth="10" defaultColWidth="11.453125" defaultRowHeight="14.5" x14ac:dyDescent="0.35"/>
  <cols>
    <col min="1" max="1" width="24.7265625" bestFit="1" customWidth="1"/>
    <col min="2" max="2" width="47.81640625" bestFit="1" customWidth="1"/>
    <col min="3" max="3" width="7.26953125" bestFit="1" customWidth="1"/>
    <col min="4" max="4" width="12" bestFit="1" customWidth="1"/>
    <col min="5" max="5" width="17.26953125" bestFit="1" customWidth="1"/>
    <col min="6" max="6" width="12.81640625" bestFit="1" customWidth="1"/>
    <col min="7" max="8" width="12" bestFit="1" customWidth="1"/>
    <col min="9" max="9" width="17.54296875" bestFit="1" customWidth="1"/>
    <col min="10" max="10" width="11.54296875" bestFit="1" customWidth="1"/>
  </cols>
  <sheetData>
    <row r="1" spans="1:10" s="1" customFormat="1" x14ac:dyDescent="0.35">
      <c r="A1" s="1" t="s">
        <v>0</v>
      </c>
      <c r="B1" s="1" t="s">
        <v>526</v>
      </c>
      <c r="C1" s="1" t="s">
        <v>2</v>
      </c>
      <c r="D1" s="1" t="s">
        <v>3</v>
      </c>
      <c r="E1" s="1" t="s">
        <v>88</v>
      </c>
      <c r="F1" s="1" t="s">
        <v>15</v>
      </c>
      <c r="G1" s="1" t="s">
        <v>46</v>
      </c>
      <c r="H1" s="1" t="s">
        <v>50</v>
      </c>
      <c r="I1" s="1" t="s">
        <v>52</v>
      </c>
      <c r="J1" s="1" t="s">
        <v>530</v>
      </c>
    </row>
    <row r="2" spans="1:10" s="1" customFormat="1" hidden="1" x14ac:dyDescent="0.35">
      <c r="A2" t="s">
        <v>490</v>
      </c>
      <c r="B2" t="s">
        <v>527</v>
      </c>
      <c r="C2">
        <v>2025</v>
      </c>
      <c r="D2" t="s">
        <v>6</v>
      </c>
      <c r="E2" t="s">
        <v>89</v>
      </c>
      <c r="F2" t="s">
        <v>91</v>
      </c>
      <c r="G2"/>
      <c r="H2"/>
      <c r="I2"/>
    </row>
    <row r="3" spans="1:10" s="1" customFormat="1" hidden="1" x14ac:dyDescent="0.35">
      <c r="A3" t="s">
        <v>490</v>
      </c>
      <c r="B3" t="s">
        <v>527</v>
      </c>
      <c r="C3">
        <v>2025</v>
      </c>
      <c r="D3" t="s">
        <v>6</v>
      </c>
      <c r="E3" t="s">
        <v>90</v>
      </c>
      <c r="F3" t="s">
        <v>92</v>
      </c>
      <c r="G3"/>
      <c r="H3"/>
      <c r="I3"/>
    </row>
    <row r="4" spans="1:10" s="1" customFormat="1" hidden="1" x14ac:dyDescent="0.35">
      <c r="A4" t="s">
        <v>490</v>
      </c>
      <c r="B4" t="s">
        <v>527</v>
      </c>
      <c r="C4">
        <v>2025</v>
      </c>
      <c r="D4" t="s">
        <v>7</v>
      </c>
      <c r="E4" t="s">
        <v>89</v>
      </c>
      <c r="F4" t="s">
        <v>91</v>
      </c>
      <c r="G4"/>
      <c r="H4"/>
      <c r="I4">
        <f>EQ_LCA_results!AC73</f>
        <v>38.143652377469287</v>
      </c>
    </row>
    <row r="5" spans="1:10" s="1" customFormat="1" hidden="1" x14ac:dyDescent="0.35">
      <c r="A5" t="s">
        <v>490</v>
      </c>
      <c r="B5" t="s">
        <v>527</v>
      </c>
      <c r="C5">
        <v>2025</v>
      </c>
      <c r="D5" t="s">
        <v>7</v>
      </c>
      <c r="E5" t="s">
        <v>90</v>
      </c>
      <c r="F5" t="s">
        <v>92</v>
      </c>
      <c r="G5"/>
      <c r="H5"/>
      <c r="I5"/>
    </row>
    <row r="6" spans="1:10" s="1" customFormat="1" hidden="1" x14ac:dyDescent="0.35">
      <c r="A6" t="s">
        <v>490</v>
      </c>
      <c r="B6" t="s">
        <v>527</v>
      </c>
      <c r="C6">
        <v>2025</v>
      </c>
      <c r="D6" t="s">
        <v>13</v>
      </c>
      <c r="E6" t="s">
        <v>89</v>
      </c>
      <c r="F6" t="s">
        <v>91</v>
      </c>
      <c r="G6"/>
      <c r="H6"/>
      <c r="I6"/>
    </row>
    <row r="7" spans="1:10" s="1" customFormat="1" hidden="1" x14ac:dyDescent="0.35">
      <c r="A7" t="s">
        <v>490</v>
      </c>
      <c r="B7" t="s">
        <v>527</v>
      </c>
      <c r="C7">
        <v>2025</v>
      </c>
      <c r="D7" t="s">
        <v>13</v>
      </c>
      <c r="E7" t="s">
        <v>90</v>
      </c>
      <c r="F7" t="s">
        <v>92</v>
      </c>
      <c r="G7"/>
      <c r="H7"/>
      <c r="I7"/>
    </row>
    <row r="8" spans="1:10" s="1" customFormat="1" hidden="1" x14ac:dyDescent="0.35">
      <c r="A8" t="s">
        <v>490</v>
      </c>
      <c r="B8" t="s">
        <v>527</v>
      </c>
      <c r="C8">
        <v>2025</v>
      </c>
      <c r="D8" t="s">
        <v>12</v>
      </c>
      <c r="E8" t="s">
        <v>89</v>
      </c>
      <c r="F8" t="s">
        <v>91</v>
      </c>
      <c r="G8"/>
      <c r="H8"/>
      <c r="I8"/>
    </row>
    <row r="9" spans="1:10" s="1" customFormat="1" hidden="1" x14ac:dyDescent="0.35">
      <c r="A9" t="s">
        <v>490</v>
      </c>
      <c r="B9" t="s">
        <v>527</v>
      </c>
      <c r="C9">
        <v>2025</v>
      </c>
      <c r="D9" t="s">
        <v>12</v>
      </c>
      <c r="E9" t="s">
        <v>90</v>
      </c>
      <c r="F9" t="s">
        <v>92</v>
      </c>
      <c r="G9"/>
      <c r="H9"/>
      <c r="I9"/>
    </row>
    <row r="10" spans="1:10" s="1" customFormat="1" hidden="1" x14ac:dyDescent="0.35">
      <c r="A10" t="s">
        <v>490</v>
      </c>
      <c r="B10" t="s">
        <v>527</v>
      </c>
      <c r="C10">
        <v>2025</v>
      </c>
      <c r="D10" t="s">
        <v>11</v>
      </c>
      <c r="E10" t="s">
        <v>89</v>
      </c>
      <c r="F10" t="s">
        <v>91</v>
      </c>
      <c r="G10"/>
      <c r="H10"/>
      <c r="I10"/>
    </row>
    <row r="11" spans="1:10" s="1" customFormat="1" hidden="1" x14ac:dyDescent="0.35">
      <c r="A11" t="s">
        <v>490</v>
      </c>
      <c r="B11" t="s">
        <v>527</v>
      </c>
      <c r="C11">
        <v>2025</v>
      </c>
      <c r="D11" t="s">
        <v>11</v>
      </c>
      <c r="E11" t="s">
        <v>90</v>
      </c>
      <c r="F11" t="s">
        <v>92</v>
      </c>
      <c r="G11"/>
      <c r="H11"/>
      <c r="I11"/>
    </row>
    <row r="12" spans="1:10" s="1" customFormat="1" x14ac:dyDescent="0.35">
      <c r="A12" t="s">
        <v>490</v>
      </c>
      <c r="B12" t="s">
        <v>527</v>
      </c>
      <c r="C12">
        <v>2025</v>
      </c>
      <c r="D12" t="s">
        <v>8</v>
      </c>
      <c r="E12" t="s">
        <v>89</v>
      </c>
      <c r="F12" t="s">
        <v>91</v>
      </c>
      <c r="G12">
        <f>EQ_LCA_results!AC108</f>
        <v>0.35636317829884634</v>
      </c>
      <c r="H12">
        <f>EQ_LCA_results!AC118</f>
        <v>3.0408316023939523</v>
      </c>
      <c r="I12"/>
    </row>
    <row r="13" spans="1:10" s="1" customFormat="1" x14ac:dyDescent="0.35">
      <c r="A13" t="s">
        <v>490</v>
      </c>
      <c r="B13" t="s">
        <v>527</v>
      </c>
      <c r="C13">
        <v>2025</v>
      </c>
      <c r="D13" t="s">
        <v>8</v>
      </c>
      <c r="E13" t="s">
        <v>90</v>
      </c>
      <c r="F13" t="s">
        <v>92</v>
      </c>
      <c r="G13"/>
      <c r="H13"/>
      <c r="I13"/>
    </row>
    <row r="14" spans="1:10" hidden="1" x14ac:dyDescent="0.35">
      <c r="A14" t="s">
        <v>522</v>
      </c>
      <c r="B14" t="s">
        <v>529</v>
      </c>
      <c r="C14">
        <v>2025</v>
      </c>
      <c r="D14" t="s">
        <v>6</v>
      </c>
      <c r="E14" t="s">
        <v>89</v>
      </c>
      <c r="F14" t="s">
        <v>91</v>
      </c>
    </row>
    <row r="15" spans="1:10" hidden="1" x14ac:dyDescent="0.35">
      <c r="A15" t="s">
        <v>522</v>
      </c>
      <c r="B15" t="s">
        <v>529</v>
      </c>
      <c r="C15">
        <v>2025</v>
      </c>
      <c r="D15" t="s">
        <v>6</v>
      </c>
      <c r="E15" t="s">
        <v>90</v>
      </c>
      <c r="F15" t="s">
        <v>92</v>
      </c>
    </row>
    <row r="16" spans="1:10" hidden="1" x14ac:dyDescent="0.35">
      <c r="A16" t="s">
        <v>522</v>
      </c>
      <c r="B16" t="s">
        <v>529</v>
      </c>
      <c r="C16">
        <v>2025</v>
      </c>
      <c r="D16" t="s">
        <v>7</v>
      </c>
      <c r="E16" t="s">
        <v>89</v>
      </c>
      <c r="F16" t="s">
        <v>91</v>
      </c>
      <c r="I16">
        <f>EQ_LCA_results!AC78</f>
        <v>18.763247286607363</v>
      </c>
    </row>
    <row r="17" spans="1:6" hidden="1" x14ac:dyDescent="0.35">
      <c r="A17" t="s">
        <v>522</v>
      </c>
      <c r="B17" t="s">
        <v>529</v>
      </c>
      <c r="C17">
        <v>2025</v>
      </c>
      <c r="D17" t="s">
        <v>7</v>
      </c>
      <c r="E17" t="s">
        <v>90</v>
      </c>
      <c r="F17" t="s">
        <v>92</v>
      </c>
    </row>
    <row r="18" spans="1:6" hidden="1" x14ac:dyDescent="0.35">
      <c r="A18" t="s">
        <v>522</v>
      </c>
      <c r="B18" t="s">
        <v>529</v>
      </c>
      <c r="C18">
        <v>2025</v>
      </c>
      <c r="D18" t="s">
        <v>13</v>
      </c>
      <c r="E18" t="s">
        <v>89</v>
      </c>
      <c r="F18" t="s">
        <v>91</v>
      </c>
    </row>
    <row r="19" spans="1:6" hidden="1" x14ac:dyDescent="0.35">
      <c r="A19" t="s">
        <v>522</v>
      </c>
      <c r="B19" t="s">
        <v>529</v>
      </c>
      <c r="C19">
        <v>2025</v>
      </c>
      <c r="D19" t="s">
        <v>13</v>
      </c>
      <c r="E19" t="s">
        <v>90</v>
      </c>
      <c r="F19" t="s">
        <v>92</v>
      </c>
    </row>
    <row r="20" spans="1:6" hidden="1" x14ac:dyDescent="0.35">
      <c r="A20" t="s">
        <v>522</v>
      </c>
      <c r="B20" t="s">
        <v>529</v>
      </c>
      <c r="C20">
        <v>2025</v>
      </c>
      <c r="D20" t="s">
        <v>12</v>
      </c>
      <c r="E20" t="s">
        <v>89</v>
      </c>
      <c r="F20" t="s">
        <v>91</v>
      </c>
    </row>
    <row r="21" spans="1:6" hidden="1" x14ac:dyDescent="0.35">
      <c r="A21" t="s">
        <v>522</v>
      </c>
      <c r="B21" t="s">
        <v>529</v>
      </c>
      <c r="C21">
        <v>2025</v>
      </c>
      <c r="D21" t="s">
        <v>12</v>
      </c>
      <c r="E21" t="s">
        <v>90</v>
      </c>
      <c r="F21" t="s">
        <v>92</v>
      </c>
    </row>
    <row r="22" spans="1:6" hidden="1" x14ac:dyDescent="0.35">
      <c r="A22" t="s">
        <v>522</v>
      </c>
      <c r="B22" t="s">
        <v>529</v>
      </c>
      <c r="C22">
        <v>2025</v>
      </c>
      <c r="D22" t="s">
        <v>11</v>
      </c>
      <c r="E22" t="s">
        <v>89</v>
      </c>
      <c r="F22" t="s">
        <v>91</v>
      </c>
    </row>
    <row r="23" spans="1:6" hidden="1" x14ac:dyDescent="0.35">
      <c r="A23" t="s">
        <v>522</v>
      </c>
      <c r="B23" t="s">
        <v>529</v>
      </c>
      <c r="C23">
        <v>2025</v>
      </c>
      <c r="D23" t="s">
        <v>11</v>
      </c>
      <c r="E23" t="s">
        <v>90</v>
      </c>
      <c r="F23" t="s">
        <v>92</v>
      </c>
    </row>
    <row r="24" spans="1:6" x14ac:dyDescent="0.35">
      <c r="A24" t="s">
        <v>522</v>
      </c>
      <c r="B24" t="s">
        <v>529</v>
      </c>
      <c r="C24">
        <v>2025</v>
      </c>
      <c r="D24" t="s">
        <v>8</v>
      </c>
      <c r="E24" t="s">
        <v>89</v>
      </c>
      <c r="F24" t="s">
        <v>91</v>
      </c>
    </row>
    <row r="25" spans="1:6" x14ac:dyDescent="0.35">
      <c r="A25" t="s">
        <v>522</v>
      </c>
      <c r="B25" t="s">
        <v>529</v>
      </c>
      <c r="C25">
        <v>2025</v>
      </c>
      <c r="D25" t="s">
        <v>8</v>
      </c>
      <c r="E25" t="s">
        <v>90</v>
      </c>
      <c r="F25" t="s">
        <v>92</v>
      </c>
    </row>
    <row r="26" spans="1:6" hidden="1" x14ac:dyDescent="0.35">
      <c r="A26" t="s">
        <v>524</v>
      </c>
      <c r="B26" t="s">
        <v>523</v>
      </c>
      <c r="C26">
        <v>2025</v>
      </c>
      <c r="D26" t="s">
        <v>6</v>
      </c>
      <c r="E26" t="s">
        <v>89</v>
      </c>
      <c r="F26" t="s">
        <v>91</v>
      </c>
    </row>
    <row r="27" spans="1:6" hidden="1" x14ac:dyDescent="0.35">
      <c r="A27" t="s">
        <v>524</v>
      </c>
      <c r="B27" t="s">
        <v>523</v>
      </c>
      <c r="C27">
        <v>2025</v>
      </c>
      <c r="D27" t="s">
        <v>6</v>
      </c>
      <c r="E27" t="s">
        <v>90</v>
      </c>
      <c r="F27" t="s">
        <v>92</v>
      </c>
    </row>
    <row r="28" spans="1:6" hidden="1" x14ac:dyDescent="0.35">
      <c r="A28" t="s">
        <v>524</v>
      </c>
      <c r="B28" t="s">
        <v>523</v>
      </c>
      <c r="C28">
        <v>2025</v>
      </c>
      <c r="D28" t="s">
        <v>7</v>
      </c>
      <c r="E28" t="s">
        <v>89</v>
      </c>
      <c r="F28" t="s">
        <v>91</v>
      </c>
    </row>
    <row r="29" spans="1:6" hidden="1" x14ac:dyDescent="0.35">
      <c r="A29" t="s">
        <v>524</v>
      </c>
      <c r="B29" t="s">
        <v>523</v>
      </c>
      <c r="C29">
        <v>2025</v>
      </c>
      <c r="D29" t="s">
        <v>7</v>
      </c>
      <c r="E29" t="s">
        <v>90</v>
      </c>
      <c r="F29" t="s">
        <v>92</v>
      </c>
    </row>
    <row r="30" spans="1:6" hidden="1" x14ac:dyDescent="0.35">
      <c r="A30" t="s">
        <v>524</v>
      </c>
      <c r="B30" t="s">
        <v>523</v>
      </c>
      <c r="C30">
        <v>2025</v>
      </c>
      <c r="D30" t="s">
        <v>13</v>
      </c>
      <c r="E30" t="s">
        <v>89</v>
      </c>
      <c r="F30" t="s">
        <v>91</v>
      </c>
    </row>
    <row r="31" spans="1:6" hidden="1" x14ac:dyDescent="0.35">
      <c r="A31" t="s">
        <v>524</v>
      </c>
      <c r="B31" t="s">
        <v>523</v>
      </c>
      <c r="C31">
        <v>2025</v>
      </c>
      <c r="D31" t="s">
        <v>13</v>
      </c>
      <c r="E31" t="s">
        <v>90</v>
      </c>
      <c r="F31" t="s">
        <v>92</v>
      </c>
    </row>
    <row r="32" spans="1:6" hidden="1" x14ac:dyDescent="0.35">
      <c r="A32" t="s">
        <v>524</v>
      </c>
      <c r="B32" t="s">
        <v>523</v>
      </c>
      <c r="C32">
        <v>2025</v>
      </c>
      <c r="D32" t="s">
        <v>12</v>
      </c>
      <c r="E32" t="s">
        <v>89</v>
      </c>
      <c r="F32" t="s">
        <v>91</v>
      </c>
    </row>
    <row r="33" spans="1:6" hidden="1" x14ac:dyDescent="0.35">
      <c r="A33" t="s">
        <v>524</v>
      </c>
      <c r="B33" t="s">
        <v>523</v>
      </c>
      <c r="C33">
        <v>2025</v>
      </c>
      <c r="D33" t="s">
        <v>12</v>
      </c>
      <c r="E33" t="s">
        <v>90</v>
      </c>
      <c r="F33" t="s">
        <v>92</v>
      </c>
    </row>
    <row r="34" spans="1:6" hidden="1" x14ac:dyDescent="0.35">
      <c r="A34" t="s">
        <v>524</v>
      </c>
      <c r="B34" t="s">
        <v>523</v>
      </c>
      <c r="C34">
        <v>2025</v>
      </c>
      <c r="D34" t="s">
        <v>11</v>
      </c>
      <c r="E34" t="s">
        <v>89</v>
      </c>
      <c r="F34" t="s">
        <v>91</v>
      </c>
    </row>
    <row r="35" spans="1:6" hidden="1" x14ac:dyDescent="0.35">
      <c r="A35" t="s">
        <v>524</v>
      </c>
      <c r="B35" t="s">
        <v>523</v>
      </c>
      <c r="C35">
        <v>2025</v>
      </c>
      <c r="D35" t="s">
        <v>11</v>
      </c>
      <c r="E35" t="s">
        <v>90</v>
      </c>
      <c r="F35" t="s">
        <v>92</v>
      </c>
    </row>
    <row r="36" spans="1:6" x14ac:dyDescent="0.35">
      <c r="A36" t="s">
        <v>524</v>
      </c>
      <c r="B36" t="s">
        <v>523</v>
      </c>
      <c r="C36">
        <v>2025</v>
      </c>
      <c r="D36" t="s">
        <v>8</v>
      </c>
      <c r="E36" t="s">
        <v>89</v>
      </c>
      <c r="F36" t="s">
        <v>91</v>
      </c>
    </row>
    <row r="37" spans="1:6" x14ac:dyDescent="0.35">
      <c r="A37" t="s">
        <v>524</v>
      </c>
      <c r="B37" t="s">
        <v>523</v>
      </c>
      <c r="C37">
        <v>2025</v>
      </c>
      <c r="D37" t="s">
        <v>8</v>
      </c>
      <c r="E37" t="s">
        <v>90</v>
      </c>
      <c r="F37" t="s">
        <v>92</v>
      </c>
    </row>
    <row r="38" spans="1:6" hidden="1" x14ac:dyDescent="0.35">
      <c r="A38" t="s">
        <v>525</v>
      </c>
      <c r="B38" t="s">
        <v>528</v>
      </c>
      <c r="C38">
        <v>2025</v>
      </c>
      <c r="D38" t="s">
        <v>6</v>
      </c>
      <c r="E38" t="s">
        <v>89</v>
      </c>
      <c r="F38" t="s">
        <v>91</v>
      </c>
    </row>
    <row r="39" spans="1:6" hidden="1" x14ac:dyDescent="0.35">
      <c r="A39" t="s">
        <v>525</v>
      </c>
      <c r="B39" t="s">
        <v>528</v>
      </c>
      <c r="C39">
        <v>2025</v>
      </c>
      <c r="D39" t="s">
        <v>6</v>
      </c>
      <c r="E39" t="s">
        <v>90</v>
      </c>
      <c r="F39" t="s">
        <v>92</v>
      </c>
    </row>
    <row r="40" spans="1:6" hidden="1" x14ac:dyDescent="0.35">
      <c r="A40" t="s">
        <v>525</v>
      </c>
      <c r="B40" t="s">
        <v>528</v>
      </c>
      <c r="C40">
        <v>2025</v>
      </c>
      <c r="D40" t="s">
        <v>7</v>
      </c>
      <c r="E40" t="s">
        <v>89</v>
      </c>
      <c r="F40" t="s">
        <v>91</v>
      </c>
    </row>
    <row r="41" spans="1:6" hidden="1" x14ac:dyDescent="0.35">
      <c r="A41" t="s">
        <v>525</v>
      </c>
      <c r="B41" t="s">
        <v>528</v>
      </c>
      <c r="C41">
        <v>2025</v>
      </c>
      <c r="D41" t="s">
        <v>7</v>
      </c>
      <c r="E41" t="s">
        <v>90</v>
      </c>
      <c r="F41" t="s">
        <v>92</v>
      </c>
    </row>
    <row r="42" spans="1:6" hidden="1" x14ac:dyDescent="0.35">
      <c r="A42" t="s">
        <v>525</v>
      </c>
      <c r="B42" t="s">
        <v>528</v>
      </c>
      <c r="C42">
        <v>2025</v>
      </c>
      <c r="D42" t="s">
        <v>13</v>
      </c>
      <c r="E42" t="s">
        <v>89</v>
      </c>
      <c r="F42" t="s">
        <v>91</v>
      </c>
    </row>
    <row r="43" spans="1:6" hidden="1" x14ac:dyDescent="0.35">
      <c r="A43" t="s">
        <v>525</v>
      </c>
      <c r="B43" t="s">
        <v>528</v>
      </c>
      <c r="C43">
        <v>2025</v>
      </c>
      <c r="D43" t="s">
        <v>13</v>
      </c>
      <c r="E43" t="s">
        <v>90</v>
      </c>
      <c r="F43" t="s">
        <v>92</v>
      </c>
    </row>
    <row r="44" spans="1:6" hidden="1" x14ac:dyDescent="0.35">
      <c r="A44" t="s">
        <v>525</v>
      </c>
      <c r="B44" t="s">
        <v>528</v>
      </c>
      <c r="C44">
        <v>2025</v>
      </c>
      <c r="D44" t="s">
        <v>12</v>
      </c>
      <c r="E44" t="s">
        <v>89</v>
      </c>
      <c r="F44" t="s">
        <v>91</v>
      </c>
    </row>
    <row r="45" spans="1:6" hidden="1" x14ac:dyDescent="0.35">
      <c r="A45" t="s">
        <v>525</v>
      </c>
      <c r="B45" t="s">
        <v>528</v>
      </c>
      <c r="C45">
        <v>2025</v>
      </c>
      <c r="D45" t="s">
        <v>12</v>
      </c>
      <c r="E45" t="s">
        <v>90</v>
      </c>
      <c r="F45" t="s">
        <v>92</v>
      </c>
    </row>
    <row r="46" spans="1:6" hidden="1" x14ac:dyDescent="0.35">
      <c r="A46" t="s">
        <v>525</v>
      </c>
      <c r="B46" t="s">
        <v>528</v>
      </c>
      <c r="C46">
        <v>2025</v>
      </c>
      <c r="D46" t="s">
        <v>11</v>
      </c>
      <c r="E46" t="s">
        <v>89</v>
      </c>
      <c r="F46" t="s">
        <v>91</v>
      </c>
    </row>
    <row r="47" spans="1:6" hidden="1" x14ac:dyDescent="0.35">
      <c r="A47" t="s">
        <v>525</v>
      </c>
      <c r="B47" t="s">
        <v>528</v>
      </c>
      <c r="C47">
        <v>2025</v>
      </c>
      <c r="D47" t="s">
        <v>11</v>
      </c>
      <c r="E47" t="s">
        <v>90</v>
      </c>
      <c r="F47" t="s">
        <v>92</v>
      </c>
    </row>
    <row r="48" spans="1:6" x14ac:dyDescent="0.35">
      <c r="A48" t="s">
        <v>525</v>
      </c>
      <c r="B48" t="s">
        <v>528</v>
      </c>
      <c r="C48">
        <v>2025</v>
      </c>
      <c r="D48" t="s">
        <v>8</v>
      </c>
      <c r="E48" t="s">
        <v>89</v>
      </c>
      <c r="F48" t="s">
        <v>91</v>
      </c>
    </row>
    <row r="49" spans="1:6" x14ac:dyDescent="0.35">
      <c r="A49" t="s">
        <v>525</v>
      </c>
      <c r="B49" t="s">
        <v>528</v>
      </c>
      <c r="C49">
        <v>2025</v>
      </c>
      <c r="D49" t="s">
        <v>8</v>
      </c>
      <c r="E49" t="s">
        <v>90</v>
      </c>
      <c r="F49" t="s">
        <v>92</v>
      </c>
    </row>
  </sheetData>
  <autoFilter ref="A1:J49" xr:uid="{9729DF36-0CB8-433F-8716-DDB7C1B25226}">
    <filterColumn colId="3">
      <filters>
        <filter val="Nickel"/>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FBFE-52D7-4854-B1DB-F3F68E98903A}">
  <sheetPr filterMode="1"/>
  <dimension ref="A1:AC136"/>
  <sheetViews>
    <sheetView workbookViewId="0">
      <pane xSplit="6" ySplit="1" topLeftCell="AC2" activePane="bottomRight" state="frozen"/>
      <selection pane="topRight" activeCell="G1" sqref="G1"/>
      <selection pane="bottomLeft" activeCell="A2" sqref="A2"/>
      <selection pane="bottomRight" activeCell="AC82" sqref="AC82"/>
    </sheetView>
  </sheetViews>
  <sheetFormatPr baseColWidth="10" defaultColWidth="9.1796875" defaultRowHeight="14.5" x14ac:dyDescent="0.35"/>
  <cols>
    <col min="1" max="1" width="13.1796875" bestFit="1" customWidth="1"/>
    <col min="2" max="2" width="9.54296875" bestFit="1" customWidth="1"/>
    <col min="3" max="3" width="17" bestFit="1" customWidth="1"/>
    <col min="4" max="4" width="15.26953125" bestFit="1" customWidth="1"/>
    <col min="5" max="5" width="12" bestFit="1" customWidth="1"/>
    <col min="6" max="6" width="19.81640625" bestFit="1" customWidth="1"/>
    <col min="7" max="7" width="35.54296875" bestFit="1" customWidth="1"/>
    <col min="8" max="8" width="35.7265625" bestFit="1" customWidth="1"/>
    <col min="9" max="9" width="31.26953125" bestFit="1" customWidth="1"/>
    <col min="10" max="10" width="38.26953125" bestFit="1" customWidth="1"/>
    <col min="11" max="11" width="39.453125" bestFit="1" customWidth="1"/>
    <col min="12" max="12" width="39.54296875" bestFit="1" customWidth="1"/>
    <col min="13" max="13" width="40.54296875" bestFit="1" customWidth="1"/>
    <col min="14" max="14" width="36.1796875" bestFit="1" customWidth="1"/>
    <col min="15" max="15" width="42.453125" bestFit="1" customWidth="1"/>
    <col min="16" max="16" width="46" bestFit="1" customWidth="1"/>
    <col min="17" max="17" width="37" bestFit="1" customWidth="1"/>
    <col min="18" max="18" width="37.1796875" bestFit="1" customWidth="1"/>
    <col min="19" max="19" width="35.7265625" bestFit="1" customWidth="1"/>
    <col min="20" max="20" width="35.81640625" bestFit="1" customWidth="1"/>
    <col min="21" max="21" width="37" bestFit="1" customWidth="1"/>
    <col min="22" max="22" width="38.81640625" bestFit="1" customWidth="1"/>
    <col min="23" max="23" width="37.453125" bestFit="1" customWidth="1"/>
    <col min="24" max="24" width="38.54296875" bestFit="1" customWidth="1"/>
    <col min="25" max="25" width="38.7265625" bestFit="1" customWidth="1"/>
    <col min="26" max="26" width="39.453125" bestFit="1" customWidth="1"/>
    <col min="27" max="27" width="43" bestFit="1" customWidth="1"/>
    <col min="28" max="28" width="42.1796875" bestFit="1" customWidth="1"/>
    <col min="29" max="29" width="12.81640625" style="5" bestFit="1" customWidth="1"/>
  </cols>
  <sheetData>
    <row r="1" spans="1:29" x14ac:dyDescent="0.35">
      <c r="A1" s="2" t="s">
        <v>0</v>
      </c>
      <c r="B1" s="2" t="s">
        <v>2</v>
      </c>
      <c r="C1" s="2" t="s">
        <v>19</v>
      </c>
      <c r="D1" s="2" t="s">
        <v>20</v>
      </c>
      <c r="E1" s="2" t="s">
        <v>3</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4" t="s">
        <v>93</v>
      </c>
    </row>
    <row r="2" spans="1:29" hidden="1" x14ac:dyDescent="0.35">
      <c r="A2" t="s">
        <v>44</v>
      </c>
      <c r="B2">
        <v>2020</v>
      </c>
      <c r="C2" t="s">
        <v>45</v>
      </c>
      <c r="D2" t="s">
        <v>5</v>
      </c>
      <c r="E2" t="s">
        <v>13</v>
      </c>
      <c r="F2" t="s">
        <v>46</v>
      </c>
      <c r="G2">
        <v>4.4140233165489984E-3</v>
      </c>
      <c r="H2">
        <v>1.3540926744453571E-3</v>
      </c>
      <c r="I2">
        <v>9.0255916812843487E-17</v>
      </c>
      <c r="J2">
        <v>9.159360684303699E-9</v>
      </c>
      <c r="K2">
        <v>3.0948318367017531E-4</v>
      </c>
      <c r="L2">
        <v>2.3297993637356109E-4</v>
      </c>
      <c r="M2">
        <v>1.3657046450360659E-10</v>
      </c>
      <c r="N2">
        <v>2.5607707521230641E-13</v>
      </c>
      <c r="O2">
        <v>1.6106544454662249E-8</v>
      </c>
      <c r="P2">
        <v>1.9561119467169889E-8</v>
      </c>
      <c r="Q2">
        <v>1.580598962019191E-3</v>
      </c>
      <c r="R2">
        <v>1.7157668954772599E-4</v>
      </c>
      <c r="S2">
        <v>2.8141913839166759E-10</v>
      </c>
      <c r="T2">
        <v>4.812451205433661E-10</v>
      </c>
      <c r="U2">
        <v>1.1808555886177321E-6</v>
      </c>
      <c r="V2">
        <v>1.6491283706157771E-6</v>
      </c>
      <c r="W2">
        <v>6.0190237535148042E-8</v>
      </c>
      <c r="X2">
        <v>1.0272339242882451E-5</v>
      </c>
      <c r="Y2">
        <v>1.7565446635591039E-5</v>
      </c>
      <c r="Z2">
        <v>6.652059716683784E-11</v>
      </c>
      <c r="AA2">
        <v>4.9920335164584656E-12</v>
      </c>
      <c r="AB2">
        <v>6.4150873934306912E-11</v>
      </c>
      <c r="AC2" s="5">
        <f>SUM(G2:AB2)</f>
        <v>8.0935285848592487E-3</v>
      </c>
    </row>
    <row r="3" spans="1:29" hidden="1" x14ac:dyDescent="0.35">
      <c r="A3" t="s">
        <v>44</v>
      </c>
      <c r="B3">
        <v>2025</v>
      </c>
      <c r="C3" t="s">
        <v>45</v>
      </c>
      <c r="D3" t="s">
        <v>5</v>
      </c>
      <c r="E3" t="s">
        <v>13</v>
      </c>
      <c r="F3" t="s">
        <v>46</v>
      </c>
      <c r="G3">
        <v>4.4140233165489984E-3</v>
      </c>
      <c r="H3">
        <v>1.3540926744453571E-3</v>
      </c>
      <c r="I3">
        <v>9.0255916812843487E-17</v>
      </c>
      <c r="J3">
        <v>9.159360684303699E-9</v>
      </c>
      <c r="K3">
        <v>3.0948318367017531E-4</v>
      </c>
      <c r="L3">
        <v>2.3297993637356109E-4</v>
      </c>
      <c r="M3">
        <v>1.3657046450360659E-10</v>
      </c>
      <c r="N3">
        <v>2.5607707521230641E-13</v>
      </c>
      <c r="O3">
        <v>1.6106544454662249E-8</v>
      </c>
      <c r="P3">
        <v>1.9561119467169889E-8</v>
      </c>
      <c r="Q3">
        <v>1.580598962019191E-3</v>
      </c>
      <c r="R3">
        <v>1.7157668954772599E-4</v>
      </c>
      <c r="S3">
        <v>2.8141913839166759E-10</v>
      </c>
      <c r="T3">
        <v>4.812451205433661E-10</v>
      </c>
      <c r="U3">
        <v>1.1808555886177321E-6</v>
      </c>
      <c r="V3">
        <v>1.6491283706157771E-6</v>
      </c>
      <c r="W3">
        <v>6.0190237535148042E-8</v>
      </c>
      <c r="X3">
        <v>1.0272339242882451E-5</v>
      </c>
      <c r="Y3">
        <v>1.7565446635591039E-5</v>
      </c>
      <c r="Z3">
        <v>6.652059716683784E-11</v>
      </c>
      <c r="AA3">
        <v>4.9920335164584656E-12</v>
      </c>
      <c r="AB3">
        <v>6.4150873934306912E-11</v>
      </c>
      <c r="AC3" s="5">
        <f t="shared" ref="AC3:AC66" si="0">SUM(G3:AB3)</f>
        <v>8.0935285848592487E-3</v>
      </c>
    </row>
    <row r="4" spans="1:29" hidden="1" x14ac:dyDescent="0.35">
      <c r="A4" t="s">
        <v>44</v>
      </c>
      <c r="B4">
        <v>2030</v>
      </c>
      <c r="C4" t="s">
        <v>45</v>
      </c>
      <c r="D4" t="s">
        <v>5</v>
      </c>
      <c r="E4" t="s">
        <v>13</v>
      </c>
      <c r="F4" t="s">
        <v>46</v>
      </c>
      <c r="G4">
        <v>4.4140233165489984E-3</v>
      </c>
      <c r="H4">
        <v>1.3540926744453571E-3</v>
      </c>
      <c r="I4">
        <v>9.0255916812843487E-17</v>
      </c>
      <c r="J4">
        <v>9.159360684303699E-9</v>
      </c>
      <c r="K4">
        <v>3.0948318367017531E-4</v>
      </c>
      <c r="L4">
        <v>2.3297993637356109E-4</v>
      </c>
      <c r="M4">
        <v>1.3657046450360659E-10</v>
      </c>
      <c r="N4">
        <v>2.5607707521230641E-13</v>
      </c>
      <c r="O4">
        <v>1.6106544454662249E-8</v>
      </c>
      <c r="P4">
        <v>1.9561119467169889E-8</v>
      </c>
      <c r="Q4">
        <v>1.580598962019191E-3</v>
      </c>
      <c r="R4">
        <v>1.7157668954772599E-4</v>
      </c>
      <c r="S4">
        <v>2.8141913839166759E-10</v>
      </c>
      <c r="T4">
        <v>4.812451205433661E-10</v>
      </c>
      <c r="U4">
        <v>1.1808555886177321E-6</v>
      </c>
      <c r="V4">
        <v>1.6491283706157771E-6</v>
      </c>
      <c r="W4">
        <v>6.0190237535148042E-8</v>
      </c>
      <c r="X4">
        <v>1.0272339242882451E-5</v>
      </c>
      <c r="Y4">
        <v>1.7565446635591039E-5</v>
      </c>
      <c r="Z4">
        <v>6.652059716683784E-11</v>
      </c>
      <c r="AA4">
        <v>4.9920335164584656E-12</v>
      </c>
      <c r="AB4">
        <v>6.4150873934306912E-11</v>
      </c>
      <c r="AC4" s="5">
        <f t="shared" si="0"/>
        <v>8.0935285848592487E-3</v>
      </c>
    </row>
    <row r="5" spans="1:29" hidden="1" x14ac:dyDescent="0.35">
      <c r="A5" t="s">
        <v>44</v>
      </c>
      <c r="B5">
        <v>2035</v>
      </c>
      <c r="C5" t="s">
        <v>45</v>
      </c>
      <c r="D5" t="s">
        <v>5</v>
      </c>
      <c r="E5" t="s">
        <v>13</v>
      </c>
      <c r="F5" t="s">
        <v>46</v>
      </c>
      <c r="G5">
        <v>4.4140233165489984E-3</v>
      </c>
      <c r="H5">
        <v>1.3540926744453571E-3</v>
      </c>
      <c r="I5">
        <v>9.0255916812843487E-17</v>
      </c>
      <c r="J5">
        <v>9.159360684303699E-9</v>
      </c>
      <c r="K5">
        <v>3.0948318367017531E-4</v>
      </c>
      <c r="L5">
        <v>2.3297993637356109E-4</v>
      </c>
      <c r="M5">
        <v>1.3657046450360659E-10</v>
      </c>
      <c r="N5">
        <v>2.5607707521230641E-13</v>
      </c>
      <c r="O5">
        <v>1.6106544454662249E-8</v>
      </c>
      <c r="P5">
        <v>1.9561119467169889E-8</v>
      </c>
      <c r="Q5">
        <v>1.580598962019191E-3</v>
      </c>
      <c r="R5">
        <v>1.7157668954772599E-4</v>
      </c>
      <c r="S5">
        <v>2.8141913839166759E-10</v>
      </c>
      <c r="T5">
        <v>4.812451205433661E-10</v>
      </c>
      <c r="U5">
        <v>1.1808555886177321E-6</v>
      </c>
      <c r="V5">
        <v>1.6491283706157771E-6</v>
      </c>
      <c r="W5">
        <v>6.0190237535148042E-8</v>
      </c>
      <c r="X5">
        <v>1.0272339242882451E-5</v>
      </c>
      <c r="Y5">
        <v>1.7565446635591039E-5</v>
      </c>
      <c r="Z5">
        <v>6.652059716683784E-11</v>
      </c>
      <c r="AA5">
        <v>4.9920335164584656E-12</v>
      </c>
      <c r="AB5">
        <v>6.4150873934306912E-11</v>
      </c>
      <c r="AC5" s="5">
        <f t="shared" si="0"/>
        <v>8.0935285848592487E-3</v>
      </c>
    </row>
    <row r="6" spans="1:29" hidden="1" x14ac:dyDescent="0.35">
      <c r="A6" t="s">
        <v>44</v>
      </c>
      <c r="B6">
        <v>2040</v>
      </c>
      <c r="C6" t="s">
        <v>45</v>
      </c>
      <c r="D6" t="s">
        <v>5</v>
      </c>
      <c r="E6" t="s">
        <v>13</v>
      </c>
      <c r="F6" t="s">
        <v>46</v>
      </c>
      <c r="G6">
        <v>4.4140233165489984E-3</v>
      </c>
      <c r="H6">
        <v>1.3540926744453571E-3</v>
      </c>
      <c r="I6">
        <v>9.0255916812843487E-17</v>
      </c>
      <c r="J6">
        <v>9.159360684303699E-9</v>
      </c>
      <c r="K6">
        <v>3.0948318367017531E-4</v>
      </c>
      <c r="L6">
        <v>2.3297993637356109E-4</v>
      </c>
      <c r="M6">
        <v>1.3657046450360659E-10</v>
      </c>
      <c r="N6">
        <v>2.5607707521230641E-13</v>
      </c>
      <c r="O6">
        <v>1.6106544454662249E-8</v>
      </c>
      <c r="P6">
        <v>1.9561119467169889E-8</v>
      </c>
      <c r="Q6">
        <v>1.580598962019191E-3</v>
      </c>
      <c r="R6">
        <v>1.7157668954772599E-4</v>
      </c>
      <c r="S6">
        <v>2.8141913839166759E-10</v>
      </c>
      <c r="T6">
        <v>4.812451205433661E-10</v>
      </c>
      <c r="U6">
        <v>1.1808555886177321E-6</v>
      </c>
      <c r="V6">
        <v>1.6491283706157771E-6</v>
      </c>
      <c r="W6">
        <v>6.0190237535148042E-8</v>
      </c>
      <c r="X6">
        <v>1.0272339242882451E-5</v>
      </c>
      <c r="Y6">
        <v>1.7565446635591039E-5</v>
      </c>
      <c r="Z6">
        <v>6.652059716683784E-11</v>
      </c>
      <c r="AA6">
        <v>4.9920335164584656E-12</v>
      </c>
      <c r="AB6">
        <v>6.4150873934306912E-11</v>
      </c>
      <c r="AC6" s="5">
        <f t="shared" si="0"/>
        <v>8.0935285848592487E-3</v>
      </c>
    </row>
    <row r="7" spans="1:29" hidden="1" x14ac:dyDescent="0.35">
      <c r="A7" t="s">
        <v>44</v>
      </c>
      <c r="B7">
        <v>2020</v>
      </c>
      <c r="C7" t="s">
        <v>47</v>
      </c>
      <c r="D7" t="s">
        <v>48</v>
      </c>
      <c r="E7" t="s">
        <v>13</v>
      </c>
      <c r="F7" t="s">
        <v>46</v>
      </c>
      <c r="G7">
        <v>5.6765328499652733E-2</v>
      </c>
      <c r="H7">
        <v>1.720460131384393E-2</v>
      </c>
      <c r="I7">
        <v>9.6444357608516051E-16</v>
      </c>
      <c r="J7">
        <v>2.81225558425113E-8</v>
      </c>
      <c r="K7">
        <v>3.288820083947742E-3</v>
      </c>
      <c r="L7">
        <v>2.8802482736370741E-3</v>
      </c>
      <c r="M7">
        <v>6.3805586875125007E-10</v>
      </c>
      <c r="N7">
        <v>4.752804746182266E-13</v>
      </c>
      <c r="O7">
        <v>9.5448627923591114E-8</v>
      </c>
      <c r="P7">
        <v>1.7547760513714501E-7</v>
      </c>
      <c r="Q7">
        <v>2.0512608713484131E-2</v>
      </c>
      <c r="R7">
        <v>2.2266888514372689E-3</v>
      </c>
      <c r="S7">
        <v>3.674224965325275E-9</v>
      </c>
      <c r="T7">
        <v>6.5616287560105849E-9</v>
      </c>
      <c r="U7">
        <v>1.0162529889972519E-5</v>
      </c>
      <c r="V7">
        <v>2.157002742592063E-5</v>
      </c>
      <c r="W7">
        <v>1.850375003251362E-7</v>
      </c>
      <c r="X7">
        <v>1.3411561112459171E-4</v>
      </c>
      <c r="Y7">
        <v>2.3949944482104589E-4</v>
      </c>
      <c r="Z7">
        <v>3.3357018022645542E-10</v>
      </c>
      <c r="AA7">
        <v>1.5215424268054649E-11</v>
      </c>
      <c r="AB7">
        <v>7.6637922888368179E-10</v>
      </c>
      <c r="AC7" s="5">
        <f t="shared" si="0"/>
        <v>0.1032841394251043</v>
      </c>
    </row>
    <row r="8" spans="1:29" hidden="1" x14ac:dyDescent="0.35">
      <c r="A8" t="s">
        <v>44</v>
      </c>
      <c r="B8">
        <v>2025</v>
      </c>
      <c r="C8" t="s">
        <v>47</v>
      </c>
      <c r="D8" t="s">
        <v>48</v>
      </c>
      <c r="E8" t="s">
        <v>13</v>
      </c>
      <c r="F8" t="s">
        <v>46</v>
      </c>
      <c r="G8">
        <v>5.6765328499652733E-2</v>
      </c>
      <c r="H8">
        <v>1.720460131384393E-2</v>
      </c>
      <c r="I8">
        <v>9.6444357608516051E-16</v>
      </c>
      <c r="J8">
        <v>2.81225558425113E-8</v>
      </c>
      <c r="K8">
        <v>3.288820083947742E-3</v>
      </c>
      <c r="L8">
        <v>2.8802482736370741E-3</v>
      </c>
      <c r="M8">
        <v>6.3805586875125007E-10</v>
      </c>
      <c r="N8">
        <v>4.752804746182266E-13</v>
      </c>
      <c r="O8">
        <v>9.5448627923591114E-8</v>
      </c>
      <c r="P8">
        <v>1.7547760513714501E-7</v>
      </c>
      <c r="Q8">
        <v>2.0512608713484131E-2</v>
      </c>
      <c r="R8">
        <v>2.2266888514372689E-3</v>
      </c>
      <c r="S8">
        <v>3.674224965325275E-9</v>
      </c>
      <c r="T8">
        <v>6.5616287560105849E-9</v>
      </c>
      <c r="U8">
        <v>1.0162529889972519E-5</v>
      </c>
      <c r="V8">
        <v>2.157002742592063E-5</v>
      </c>
      <c r="W8">
        <v>1.850375003251362E-7</v>
      </c>
      <c r="X8">
        <v>1.3411561112459171E-4</v>
      </c>
      <c r="Y8">
        <v>2.3949944482104589E-4</v>
      </c>
      <c r="Z8">
        <v>3.3357018022645542E-10</v>
      </c>
      <c r="AA8">
        <v>1.5215424268054649E-11</v>
      </c>
      <c r="AB8">
        <v>7.6637922888368179E-10</v>
      </c>
      <c r="AC8" s="5">
        <f t="shared" si="0"/>
        <v>0.1032841394251043</v>
      </c>
    </row>
    <row r="9" spans="1:29" hidden="1" x14ac:dyDescent="0.35">
      <c r="A9" t="s">
        <v>44</v>
      </c>
      <c r="B9">
        <v>2030</v>
      </c>
      <c r="C9" t="s">
        <v>47</v>
      </c>
      <c r="D9" t="s">
        <v>48</v>
      </c>
      <c r="E9" t="s">
        <v>13</v>
      </c>
      <c r="F9" t="s">
        <v>46</v>
      </c>
      <c r="G9">
        <v>5.6765328499652733E-2</v>
      </c>
      <c r="H9">
        <v>1.720460131384393E-2</v>
      </c>
      <c r="I9">
        <v>9.6444357608516051E-16</v>
      </c>
      <c r="J9">
        <v>2.81225558425113E-8</v>
      </c>
      <c r="K9">
        <v>3.288820083947742E-3</v>
      </c>
      <c r="L9">
        <v>2.8802482736370741E-3</v>
      </c>
      <c r="M9">
        <v>6.3805586875125007E-10</v>
      </c>
      <c r="N9">
        <v>4.752804746182266E-13</v>
      </c>
      <c r="O9">
        <v>9.5448627923591114E-8</v>
      </c>
      <c r="P9">
        <v>1.7547760513714501E-7</v>
      </c>
      <c r="Q9">
        <v>2.0512608713484131E-2</v>
      </c>
      <c r="R9">
        <v>2.2266888514372689E-3</v>
      </c>
      <c r="S9">
        <v>3.674224965325275E-9</v>
      </c>
      <c r="T9">
        <v>6.5616287560105849E-9</v>
      </c>
      <c r="U9">
        <v>1.0162529889972519E-5</v>
      </c>
      <c r="V9">
        <v>2.157002742592063E-5</v>
      </c>
      <c r="W9">
        <v>1.850375003251362E-7</v>
      </c>
      <c r="X9">
        <v>1.3411561112459171E-4</v>
      </c>
      <c r="Y9">
        <v>2.3949944482104589E-4</v>
      </c>
      <c r="Z9">
        <v>3.3357018022645542E-10</v>
      </c>
      <c r="AA9">
        <v>1.5215424268054649E-11</v>
      </c>
      <c r="AB9">
        <v>7.6637922888368179E-10</v>
      </c>
      <c r="AC9" s="5">
        <f t="shared" si="0"/>
        <v>0.1032841394251043</v>
      </c>
    </row>
    <row r="10" spans="1:29" hidden="1" x14ac:dyDescent="0.35">
      <c r="A10" t="s">
        <v>44</v>
      </c>
      <c r="B10">
        <v>2035</v>
      </c>
      <c r="C10" t="s">
        <v>47</v>
      </c>
      <c r="D10" t="s">
        <v>48</v>
      </c>
      <c r="E10" t="s">
        <v>13</v>
      </c>
      <c r="F10" t="s">
        <v>46</v>
      </c>
      <c r="G10">
        <v>5.6765328499652733E-2</v>
      </c>
      <c r="H10">
        <v>1.720460131384393E-2</v>
      </c>
      <c r="I10">
        <v>9.6444357608516051E-16</v>
      </c>
      <c r="J10">
        <v>2.81225558425113E-8</v>
      </c>
      <c r="K10">
        <v>3.288820083947742E-3</v>
      </c>
      <c r="L10">
        <v>2.8802482736370741E-3</v>
      </c>
      <c r="M10">
        <v>6.3805586875125007E-10</v>
      </c>
      <c r="N10">
        <v>4.752804746182266E-13</v>
      </c>
      <c r="O10">
        <v>9.5448627923591114E-8</v>
      </c>
      <c r="P10">
        <v>1.7547760513714501E-7</v>
      </c>
      <c r="Q10">
        <v>2.0512608713484131E-2</v>
      </c>
      <c r="R10">
        <v>2.2266888514372689E-3</v>
      </c>
      <c r="S10">
        <v>3.674224965325275E-9</v>
      </c>
      <c r="T10">
        <v>6.5616287560105849E-9</v>
      </c>
      <c r="U10">
        <v>1.0162529889972519E-5</v>
      </c>
      <c r="V10">
        <v>2.157002742592063E-5</v>
      </c>
      <c r="W10">
        <v>1.850375003251362E-7</v>
      </c>
      <c r="X10">
        <v>1.3411561112459171E-4</v>
      </c>
      <c r="Y10">
        <v>2.3949944482104589E-4</v>
      </c>
      <c r="Z10">
        <v>3.3357018022645542E-10</v>
      </c>
      <c r="AA10">
        <v>1.5215424268054649E-11</v>
      </c>
      <c r="AB10">
        <v>7.6637922888368179E-10</v>
      </c>
      <c r="AC10" s="5">
        <f t="shared" si="0"/>
        <v>0.1032841394251043</v>
      </c>
    </row>
    <row r="11" spans="1:29" hidden="1" x14ac:dyDescent="0.35">
      <c r="A11" t="s">
        <v>44</v>
      </c>
      <c r="B11">
        <v>2040</v>
      </c>
      <c r="C11" t="s">
        <v>47</v>
      </c>
      <c r="D11" t="s">
        <v>48</v>
      </c>
      <c r="E11" t="s">
        <v>13</v>
      </c>
      <c r="F11" t="s">
        <v>46</v>
      </c>
      <c r="G11">
        <v>5.6765328499652733E-2</v>
      </c>
      <c r="H11">
        <v>1.720460131384393E-2</v>
      </c>
      <c r="I11">
        <v>9.6444357608516051E-16</v>
      </c>
      <c r="J11">
        <v>2.81225558425113E-8</v>
      </c>
      <c r="K11">
        <v>3.288820083947742E-3</v>
      </c>
      <c r="L11">
        <v>2.8802482736370741E-3</v>
      </c>
      <c r="M11">
        <v>6.3805586875125007E-10</v>
      </c>
      <c r="N11">
        <v>4.752804746182266E-13</v>
      </c>
      <c r="O11">
        <v>9.5448627923591114E-8</v>
      </c>
      <c r="P11">
        <v>1.7547760513714501E-7</v>
      </c>
      <c r="Q11">
        <v>2.0512608713484131E-2</v>
      </c>
      <c r="R11">
        <v>2.2266888514372689E-3</v>
      </c>
      <c r="S11">
        <v>3.674224965325275E-9</v>
      </c>
      <c r="T11">
        <v>6.5616287560105849E-9</v>
      </c>
      <c r="U11">
        <v>1.0162529889972519E-5</v>
      </c>
      <c r="V11">
        <v>2.157002742592063E-5</v>
      </c>
      <c r="W11">
        <v>1.850375003251362E-7</v>
      </c>
      <c r="X11">
        <v>1.3411561112459171E-4</v>
      </c>
      <c r="Y11">
        <v>2.3949944482104589E-4</v>
      </c>
      <c r="Z11">
        <v>3.3357018022645542E-10</v>
      </c>
      <c r="AA11">
        <v>1.5215424268054649E-11</v>
      </c>
      <c r="AB11">
        <v>7.6637922888368179E-10</v>
      </c>
      <c r="AC11" s="5">
        <f t="shared" si="0"/>
        <v>0.1032841394251043</v>
      </c>
    </row>
    <row r="12" spans="1:29" s="3" customFormat="1" hidden="1" x14ac:dyDescent="0.35">
      <c r="A12" s="3" t="s">
        <v>44</v>
      </c>
      <c r="B12" s="3">
        <v>2020</v>
      </c>
      <c r="C12" s="3" t="s">
        <v>49</v>
      </c>
      <c r="D12" s="3" t="s">
        <v>5</v>
      </c>
      <c r="E12" s="3" t="s">
        <v>13</v>
      </c>
      <c r="F12" s="3" t="s">
        <v>50</v>
      </c>
      <c r="G12" s="3">
        <f>G22-G2</f>
        <v>1.3184625362039391</v>
      </c>
      <c r="H12" s="3">
        <f t="shared" ref="H12:AB21" si="1">H22-H2</f>
        <v>0.42122001924962826</v>
      </c>
      <c r="I12" s="3">
        <f t="shared" si="1"/>
        <v>3.3981579553387323E-14</v>
      </c>
      <c r="J12" s="3">
        <f t="shared" si="1"/>
        <v>5.4856624658088025E-7</v>
      </c>
      <c r="K12" s="3">
        <f t="shared" si="1"/>
        <v>0.40464908382304532</v>
      </c>
      <c r="L12" s="3">
        <f t="shared" si="1"/>
        <v>0.25797191649303336</v>
      </c>
      <c r="M12" s="3">
        <f t="shared" si="1"/>
        <v>2.8698002104629444E-8</v>
      </c>
      <c r="N12" s="3">
        <f t="shared" si="1"/>
        <v>1.5321352020638629E-10</v>
      </c>
      <c r="O12" s="3">
        <f t="shared" si="1"/>
        <v>5.1644513292841527E-6</v>
      </c>
      <c r="P12" s="3">
        <f t="shared" si="1"/>
        <v>6.6506615145415679E-6</v>
      </c>
      <c r="Q12" s="3">
        <f t="shared" si="1"/>
        <v>0.4729091865787165</v>
      </c>
      <c r="R12" s="3">
        <f t="shared" si="1"/>
        <v>5.1335428722064078E-2</v>
      </c>
      <c r="S12" s="3">
        <f t="shared" si="1"/>
        <v>5.4984744273232558E-7</v>
      </c>
      <c r="T12" s="3">
        <f t="shared" si="1"/>
        <v>5.6800896123994411E-7</v>
      </c>
      <c r="U12" s="3">
        <f t="shared" si="1"/>
        <v>3.4485746130663824E-4</v>
      </c>
      <c r="V12" s="3">
        <f t="shared" si="1"/>
        <v>6.2276793574979979E-4</v>
      </c>
      <c r="W12" s="3">
        <f t="shared" si="1"/>
        <v>3.6686190509570987E-6</v>
      </c>
      <c r="X12" s="3">
        <f t="shared" si="1"/>
        <v>2.0069998840908997E-2</v>
      </c>
      <c r="Y12" s="3">
        <f t="shared" si="1"/>
        <v>2.0732327096050839E-2</v>
      </c>
      <c r="Z12" s="3">
        <f t="shared" si="1"/>
        <v>6.5589458058795521E-9</v>
      </c>
      <c r="AA12" s="3">
        <f t="shared" si="1"/>
        <v>2.9526665471646455E-10</v>
      </c>
      <c r="AB12" s="3">
        <f t="shared" si="1"/>
        <v>1.6253585467935941E-8</v>
      </c>
      <c r="AC12" s="5">
        <f t="shared" si="0"/>
        <v>2.9683353245180353</v>
      </c>
    </row>
    <row r="13" spans="1:29" s="3" customFormat="1" hidden="1" x14ac:dyDescent="0.35">
      <c r="A13" s="3" t="s">
        <v>44</v>
      </c>
      <c r="B13" s="3">
        <v>2025</v>
      </c>
      <c r="C13" s="3" t="s">
        <v>49</v>
      </c>
      <c r="D13" s="3" t="s">
        <v>5</v>
      </c>
      <c r="E13" s="3" t="s">
        <v>13</v>
      </c>
      <c r="F13" s="3" t="s">
        <v>50</v>
      </c>
      <c r="G13" s="3">
        <f t="shared" ref="G13:V21" si="2">G23-G3</f>
        <v>1.3184625362039391</v>
      </c>
      <c r="H13" s="3">
        <f t="shared" si="2"/>
        <v>0.42122001924962826</v>
      </c>
      <c r="I13" s="3">
        <f t="shared" si="2"/>
        <v>3.3981579553387323E-14</v>
      </c>
      <c r="J13" s="3">
        <f t="shared" si="2"/>
        <v>5.4856624658088025E-7</v>
      </c>
      <c r="K13" s="3">
        <f t="shared" si="2"/>
        <v>0.40464908382304532</v>
      </c>
      <c r="L13" s="3">
        <f t="shared" si="2"/>
        <v>0.25797191649303336</v>
      </c>
      <c r="M13" s="3">
        <f t="shared" si="2"/>
        <v>2.8698002104629444E-8</v>
      </c>
      <c r="N13" s="3">
        <f t="shared" si="2"/>
        <v>1.5321352020638629E-10</v>
      </c>
      <c r="O13" s="3">
        <f t="shared" si="2"/>
        <v>5.1644513292841527E-6</v>
      </c>
      <c r="P13" s="3">
        <f t="shared" si="2"/>
        <v>6.6506615145415679E-6</v>
      </c>
      <c r="Q13" s="3">
        <f t="shared" si="2"/>
        <v>0.4729091865787165</v>
      </c>
      <c r="R13" s="3">
        <f t="shared" si="2"/>
        <v>5.1335428722064078E-2</v>
      </c>
      <c r="S13" s="3">
        <f t="shared" si="2"/>
        <v>5.4984744273232558E-7</v>
      </c>
      <c r="T13" s="3">
        <f t="shared" si="2"/>
        <v>5.6800896123994411E-7</v>
      </c>
      <c r="U13" s="3">
        <f t="shared" si="2"/>
        <v>3.4485746130663824E-4</v>
      </c>
      <c r="V13" s="3">
        <f t="shared" si="2"/>
        <v>6.2276793574979979E-4</v>
      </c>
      <c r="W13" s="3">
        <f t="shared" si="1"/>
        <v>3.6686190509570987E-6</v>
      </c>
      <c r="X13" s="3">
        <f t="shared" si="1"/>
        <v>2.0069998840908997E-2</v>
      </c>
      <c r="Y13" s="3">
        <f t="shared" si="1"/>
        <v>2.0732327096050839E-2</v>
      </c>
      <c r="Z13" s="3">
        <f t="shared" si="1"/>
        <v>6.5589458058795521E-9</v>
      </c>
      <c r="AA13" s="3">
        <f t="shared" si="1"/>
        <v>2.9526665471646455E-10</v>
      </c>
      <c r="AB13" s="3">
        <f t="shared" si="1"/>
        <v>1.6253585467935941E-8</v>
      </c>
      <c r="AC13" s="5">
        <f t="shared" si="0"/>
        <v>2.9683353245180353</v>
      </c>
    </row>
    <row r="14" spans="1:29" s="3" customFormat="1" hidden="1" x14ac:dyDescent="0.35">
      <c r="A14" s="3" t="s">
        <v>44</v>
      </c>
      <c r="B14" s="3">
        <v>2030</v>
      </c>
      <c r="C14" s="3" t="s">
        <v>49</v>
      </c>
      <c r="D14" s="3" t="s">
        <v>5</v>
      </c>
      <c r="E14" s="3" t="s">
        <v>13</v>
      </c>
      <c r="F14" s="3" t="s">
        <v>50</v>
      </c>
      <c r="G14" s="3">
        <f t="shared" si="2"/>
        <v>1.3184625362039391</v>
      </c>
      <c r="H14" s="3">
        <f t="shared" si="1"/>
        <v>0.42122001924962826</v>
      </c>
      <c r="I14" s="3">
        <f t="shared" si="1"/>
        <v>3.3981579553387323E-14</v>
      </c>
      <c r="J14" s="3">
        <f t="shared" si="1"/>
        <v>5.4856624658088025E-7</v>
      </c>
      <c r="K14" s="3">
        <f t="shared" si="1"/>
        <v>0.40464908382304532</v>
      </c>
      <c r="L14" s="3">
        <f t="shared" si="1"/>
        <v>0.25797191649303336</v>
      </c>
      <c r="M14" s="3">
        <f t="shared" si="1"/>
        <v>2.8698002104629444E-8</v>
      </c>
      <c r="N14" s="3">
        <f t="shared" si="1"/>
        <v>1.5321352020638629E-10</v>
      </c>
      <c r="O14" s="3">
        <f t="shared" si="1"/>
        <v>5.1644513292841527E-6</v>
      </c>
      <c r="P14" s="3">
        <f t="shared" si="1"/>
        <v>6.6506615145415679E-6</v>
      </c>
      <c r="Q14" s="3">
        <f t="shared" si="1"/>
        <v>0.4729091865787165</v>
      </c>
      <c r="R14" s="3">
        <f t="shared" si="1"/>
        <v>5.1335428722064078E-2</v>
      </c>
      <c r="S14" s="3">
        <f t="shared" si="1"/>
        <v>5.4984744273232558E-7</v>
      </c>
      <c r="T14" s="3">
        <f t="shared" si="1"/>
        <v>5.6800896123994411E-7</v>
      </c>
      <c r="U14" s="3">
        <f t="shared" si="1"/>
        <v>3.4485746130663824E-4</v>
      </c>
      <c r="V14" s="3">
        <f t="shared" si="1"/>
        <v>6.2276793574979979E-4</v>
      </c>
      <c r="W14" s="3">
        <f t="shared" si="1"/>
        <v>3.6686190509570987E-6</v>
      </c>
      <c r="X14" s="3">
        <f t="shared" si="1"/>
        <v>2.0069998840908997E-2</v>
      </c>
      <c r="Y14" s="3">
        <f t="shared" si="1"/>
        <v>2.0732327096050839E-2</v>
      </c>
      <c r="Z14" s="3">
        <f t="shared" si="1"/>
        <v>6.5589458058795521E-9</v>
      </c>
      <c r="AA14" s="3">
        <f t="shared" si="1"/>
        <v>2.9526665471646455E-10</v>
      </c>
      <c r="AB14" s="3">
        <f t="shared" si="1"/>
        <v>1.6253585467935941E-8</v>
      </c>
      <c r="AC14" s="5">
        <f t="shared" si="0"/>
        <v>2.9683353245180353</v>
      </c>
    </row>
    <row r="15" spans="1:29" s="3" customFormat="1" hidden="1" x14ac:dyDescent="0.35">
      <c r="A15" s="3" t="s">
        <v>44</v>
      </c>
      <c r="B15" s="3">
        <v>2035</v>
      </c>
      <c r="C15" s="3" t="s">
        <v>49</v>
      </c>
      <c r="D15" s="3" t="s">
        <v>5</v>
      </c>
      <c r="E15" s="3" t="s">
        <v>13</v>
      </c>
      <c r="F15" s="3" t="s">
        <v>50</v>
      </c>
      <c r="G15" s="3">
        <f t="shared" si="2"/>
        <v>1.3184625362039391</v>
      </c>
      <c r="H15" s="3">
        <f t="shared" si="1"/>
        <v>0.42122001924962826</v>
      </c>
      <c r="I15" s="3">
        <f t="shared" si="1"/>
        <v>3.3981579553387323E-14</v>
      </c>
      <c r="J15" s="3">
        <f t="shared" si="1"/>
        <v>5.4856624658088025E-7</v>
      </c>
      <c r="K15" s="3">
        <f t="shared" si="1"/>
        <v>0.40464908382304532</v>
      </c>
      <c r="L15" s="3">
        <f t="shared" si="1"/>
        <v>0.25797191649303336</v>
      </c>
      <c r="M15" s="3">
        <f t="shared" si="1"/>
        <v>2.8698002104629444E-8</v>
      </c>
      <c r="N15" s="3">
        <f t="shared" si="1"/>
        <v>1.5321352020638629E-10</v>
      </c>
      <c r="O15" s="3">
        <f t="shared" si="1"/>
        <v>5.1644513292841527E-6</v>
      </c>
      <c r="P15" s="3">
        <f t="shared" si="1"/>
        <v>6.6506615145415679E-6</v>
      </c>
      <c r="Q15" s="3">
        <f t="shared" si="1"/>
        <v>0.4729091865787165</v>
      </c>
      <c r="R15" s="3">
        <f t="shared" si="1"/>
        <v>5.1335428722064078E-2</v>
      </c>
      <c r="S15" s="3">
        <f t="shared" si="1"/>
        <v>5.4984744273232558E-7</v>
      </c>
      <c r="T15" s="3">
        <f t="shared" si="1"/>
        <v>5.6800896123994411E-7</v>
      </c>
      <c r="U15" s="3">
        <f t="shared" si="1"/>
        <v>3.4485746130663824E-4</v>
      </c>
      <c r="V15" s="3">
        <f t="shared" si="1"/>
        <v>6.2276793574979979E-4</v>
      </c>
      <c r="W15" s="3">
        <f t="shared" si="1"/>
        <v>3.6686190509570987E-6</v>
      </c>
      <c r="X15" s="3">
        <f t="shared" si="1"/>
        <v>2.0069998840908997E-2</v>
      </c>
      <c r="Y15" s="3">
        <f t="shared" si="1"/>
        <v>2.0732327096050839E-2</v>
      </c>
      <c r="Z15" s="3">
        <f t="shared" si="1"/>
        <v>6.5589458058795521E-9</v>
      </c>
      <c r="AA15" s="3">
        <f t="shared" si="1"/>
        <v>2.9526665471646455E-10</v>
      </c>
      <c r="AB15" s="3">
        <f t="shared" si="1"/>
        <v>1.6253585467935941E-8</v>
      </c>
      <c r="AC15" s="5">
        <f t="shared" si="0"/>
        <v>2.9683353245180353</v>
      </c>
    </row>
    <row r="16" spans="1:29" s="3" customFormat="1" hidden="1" x14ac:dyDescent="0.35">
      <c r="A16" s="3" t="s">
        <v>44</v>
      </c>
      <c r="B16" s="3">
        <v>2040</v>
      </c>
      <c r="C16" s="3" t="s">
        <v>49</v>
      </c>
      <c r="D16" s="3" t="s">
        <v>5</v>
      </c>
      <c r="E16" s="3" t="s">
        <v>13</v>
      </c>
      <c r="F16" s="3" t="s">
        <v>50</v>
      </c>
      <c r="G16" s="3">
        <f t="shared" si="2"/>
        <v>1.3184625362039391</v>
      </c>
      <c r="H16" s="3">
        <f t="shared" si="1"/>
        <v>0.42122001924962826</v>
      </c>
      <c r="I16" s="3">
        <f t="shared" si="1"/>
        <v>3.3981579553387323E-14</v>
      </c>
      <c r="J16" s="3">
        <f t="shared" si="1"/>
        <v>5.4856624658088025E-7</v>
      </c>
      <c r="K16" s="3">
        <f t="shared" si="1"/>
        <v>0.40464908382304532</v>
      </c>
      <c r="L16" s="3">
        <f t="shared" si="1"/>
        <v>0.25797191649303336</v>
      </c>
      <c r="M16" s="3">
        <f t="shared" si="1"/>
        <v>2.8698002104629444E-8</v>
      </c>
      <c r="N16" s="3">
        <f t="shared" si="1"/>
        <v>1.5321352020638629E-10</v>
      </c>
      <c r="O16" s="3">
        <f t="shared" si="1"/>
        <v>5.1644513292841527E-6</v>
      </c>
      <c r="P16" s="3">
        <f t="shared" si="1"/>
        <v>6.6506615145415679E-6</v>
      </c>
      <c r="Q16" s="3">
        <f t="shared" si="1"/>
        <v>0.4729091865787165</v>
      </c>
      <c r="R16" s="3">
        <f t="shared" si="1"/>
        <v>5.1335428722064078E-2</v>
      </c>
      <c r="S16" s="3">
        <f t="shared" si="1"/>
        <v>5.4984744273232558E-7</v>
      </c>
      <c r="T16" s="3">
        <f t="shared" si="1"/>
        <v>5.6800896123994411E-7</v>
      </c>
      <c r="U16" s="3">
        <f t="shared" si="1"/>
        <v>3.4485746130663824E-4</v>
      </c>
      <c r="V16" s="3">
        <f t="shared" si="1"/>
        <v>6.2276793574979979E-4</v>
      </c>
      <c r="W16" s="3">
        <f t="shared" si="1"/>
        <v>3.6686190509570987E-6</v>
      </c>
      <c r="X16" s="3">
        <f t="shared" si="1"/>
        <v>2.0069998840908997E-2</v>
      </c>
      <c r="Y16" s="3">
        <f t="shared" si="1"/>
        <v>2.0732327096050839E-2</v>
      </c>
      <c r="Z16" s="3">
        <f t="shared" si="1"/>
        <v>6.5589458058795521E-9</v>
      </c>
      <c r="AA16" s="3">
        <f t="shared" si="1"/>
        <v>2.9526665471646455E-10</v>
      </c>
      <c r="AB16" s="3">
        <f t="shared" si="1"/>
        <v>1.6253585467935941E-8</v>
      </c>
      <c r="AC16" s="5">
        <f t="shared" si="0"/>
        <v>2.9683353245180353</v>
      </c>
    </row>
    <row r="17" spans="1:29" s="3" customFormat="1" hidden="1" x14ac:dyDescent="0.35">
      <c r="A17" s="3" t="s">
        <v>44</v>
      </c>
      <c r="B17" s="3">
        <v>2020</v>
      </c>
      <c r="C17" s="3" t="s">
        <v>51</v>
      </c>
      <c r="D17" s="3" t="s">
        <v>48</v>
      </c>
      <c r="E17" s="3" t="s">
        <v>13</v>
      </c>
      <c r="F17" s="3" t="s">
        <v>50</v>
      </c>
      <c r="G17" s="3">
        <f t="shared" si="2"/>
        <v>2.1329130789753572</v>
      </c>
      <c r="H17" s="3">
        <f t="shared" si="1"/>
        <v>0.67892309384467575</v>
      </c>
      <c r="I17" s="3">
        <f t="shared" si="1"/>
        <v>3.9908260214864716E-14</v>
      </c>
      <c r="J17" s="3">
        <f t="shared" si="1"/>
        <v>6.2171808494805938E-7</v>
      </c>
      <c r="K17" s="3">
        <f t="shared" si="1"/>
        <v>0.60186421005431912</v>
      </c>
      <c r="L17" s="3">
        <f t="shared" si="1"/>
        <v>0.3921386496014142</v>
      </c>
      <c r="M17" s="3">
        <f t="shared" si="1"/>
        <v>3.3582930860517541E-8</v>
      </c>
      <c r="N17" s="3">
        <f t="shared" si="1"/>
        <v>1.0031657542074218E-10</v>
      </c>
      <c r="O17" s="3">
        <f t="shared" si="1"/>
        <v>6.1534242065030852E-6</v>
      </c>
      <c r="P17" s="3">
        <f t="shared" si="1"/>
        <v>7.5493596041280626E-6</v>
      </c>
      <c r="Q17" s="3">
        <f t="shared" si="1"/>
        <v>0.76605400636035326</v>
      </c>
      <c r="R17" s="3">
        <f t="shared" si="1"/>
        <v>8.3157046060347906E-2</v>
      </c>
      <c r="S17" s="3">
        <f t="shared" si="1"/>
        <v>5.9278350104131164E-7</v>
      </c>
      <c r="T17" s="3">
        <f t="shared" si="1"/>
        <v>6.0769846617444873E-7</v>
      </c>
      <c r="U17" s="3">
        <f t="shared" si="1"/>
        <v>4.2305709898206968E-4</v>
      </c>
      <c r="V17" s="3">
        <f t="shared" si="1"/>
        <v>6.3730167875452551E-4</v>
      </c>
      <c r="W17" s="3">
        <f t="shared" si="1"/>
        <v>4.1667787665616607E-6</v>
      </c>
      <c r="X17" s="3">
        <f t="shared" si="1"/>
        <v>2.1638105446900889E-2</v>
      </c>
      <c r="Y17" s="3">
        <f t="shared" si="1"/>
        <v>2.2180994022036413E-2</v>
      </c>
      <c r="Z17" s="3">
        <f t="shared" si="1"/>
        <v>7.1333838134963178E-9</v>
      </c>
      <c r="AA17" s="3">
        <f t="shared" si="1"/>
        <v>3.4234854656696871E-10</v>
      </c>
      <c r="AB17" s="3">
        <f t="shared" si="1"/>
        <v>1.9057730434565559E-8</v>
      </c>
      <c r="AC17" s="5">
        <f t="shared" si="0"/>
        <v>4.6999492951225212</v>
      </c>
    </row>
    <row r="18" spans="1:29" s="3" customFormat="1" hidden="1" x14ac:dyDescent="0.35">
      <c r="A18" s="3" t="s">
        <v>44</v>
      </c>
      <c r="B18" s="3">
        <v>2025</v>
      </c>
      <c r="C18" s="3" t="s">
        <v>51</v>
      </c>
      <c r="D18" s="3" t="s">
        <v>48</v>
      </c>
      <c r="E18" s="3" t="s">
        <v>13</v>
      </c>
      <c r="F18" s="3" t="s">
        <v>50</v>
      </c>
      <c r="G18" s="3">
        <f t="shared" si="2"/>
        <v>2.1329130789753572</v>
      </c>
      <c r="H18" s="3">
        <f t="shared" si="1"/>
        <v>0.67892309384467575</v>
      </c>
      <c r="I18" s="3">
        <f t="shared" si="1"/>
        <v>3.9908260214864716E-14</v>
      </c>
      <c r="J18" s="3">
        <f t="shared" si="1"/>
        <v>6.2171808494805938E-7</v>
      </c>
      <c r="K18" s="3">
        <f t="shared" si="1"/>
        <v>0.60186421005431912</v>
      </c>
      <c r="L18" s="3">
        <f t="shared" si="1"/>
        <v>0.3921386496014142</v>
      </c>
      <c r="M18" s="3">
        <f t="shared" si="1"/>
        <v>3.3582930860517541E-8</v>
      </c>
      <c r="N18" s="3">
        <f t="shared" si="1"/>
        <v>1.0031657542074218E-10</v>
      </c>
      <c r="O18" s="3">
        <f t="shared" si="1"/>
        <v>6.1534242065030852E-6</v>
      </c>
      <c r="P18" s="3">
        <f t="shared" si="1"/>
        <v>7.5493596041280626E-6</v>
      </c>
      <c r="Q18" s="3">
        <f t="shared" si="1"/>
        <v>0.76605400636035326</v>
      </c>
      <c r="R18" s="3">
        <f t="shared" si="1"/>
        <v>8.3157046060347906E-2</v>
      </c>
      <c r="S18" s="3">
        <f t="shared" si="1"/>
        <v>5.9278350104131164E-7</v>
      </c>
      <c r="T18" s="3">
        <f t="shared" si="1"/>
        <v>6.0769846617444873E-7</v>
      </c>
      <c r="U18" s="3">
        <f t="shared" si="1"/>
        <v>4.2305709898206968E-4</v>
      </c>
      <c r="V18" s="3">
        <f t="shared" si="1"/>
        <v>6.3730167875452551E-4</v>
      </c>
      <c r="W18" s="3">
        <f t="shared" si="1"/>
        <v>4.1667787665616607E-6</v>
      </c>
      <c r="X18" s="3">
        <f t="shared" si="1"/>
        <v>2.1638105446900889E-2</v>
      </c>
      <c r="Y18" s="3">
        <f t="shared" si="1"/>
        <v>2.2180994022036413E-2</v>
      </c>
      <c r="Z18" s="3">
        <f t="shared" si="1"/>
        <v>7.1333838134963178E-9</v>
      </c>
      <c r="AA18" s="3">
        <f t="shared" si="1"/>
        <v>3.4234854656696871E-10</v>
      </c>
      <c r="AB18" s="3">
        <f t="shared" si="1"/>
        <v>1.9057730434565559E-8</v>
      </c>
      <c r="AC18" s="5">
        <f t="shared" si="0"/>
        <v>4.6999492951225212</v>
      </c>
    </row>
    <row r="19" spans="1:29" s="3" customFormat="1" hidden="1" x14ac:dyDescent="0.35">
      <c r="A19" s="3" t="s">
        <v>44</v>
      </c>
      <c r="B19" s="3">
        <v>2030</v>
      </c>
      <c r="C19" s="3" t="s">
        <v>51</v>
      </c>
      <c r="D19" s="3" t="s">
        <v>48</v>
      </c>
      <c r="E19" s="3" t="s">
        <v>13</v>
      </c>
      <c r="F19" s="3" t="s">
        <v>50</v>
      </c>
      <c r="G19" s="3">
        <f t="shared" si="2"/>
        <v>2.1329130789753572</v>
      </c>
      <c r="H19" s="3">
        <f t="shared" si="1"/>
        <v>0.67892309384467575</v>
      </c>
      <c r="I19" s="3">
        <f t="shared" si="1"/>
        <v>3.9908260214864716E-14</v>
      </c>
      <c r="J19" s="3">
        <f t="shared" si="1"/>
        <v>6.2171808494805938E-7</v>
      </c>
      <c r="K19" s="3">
        <f t="shared" si="1"/>
        <v>0.60186421005431912</v>
      </c>
      <c r="L19" s="3">
        <f t="shared" si="1"/>
        <v>0.3921386496014142</v>
      </c>
      <c r="M19" s="3">
        <f t="shared" si="1"/>
        <v>3.3582930860517541E-8</v>
      </c>
      <c r="N19" s="3">
        <f t="shared" si="1"/>
        <v>1.0031657542074218E-10</v>
      </c>
      <c r="O19" s="3">
        <f t="shared" si="1"/>
        <v>6.1534242065030852E-6</v>
      </c>
      <c r="P19" s="3">
        <f t="shared" si="1"/>
        <v>7.5493596041280626E-6</v>
      </c>
      <c r="Q19" s="3">
        <f t="shared" si="1"/>
        <v>0.76605400636035326</v>
      </c>
      <c r="R19" s="3">
        <f t="shared" si="1"/>
        <v>8.3157046060347906E-2</v>
      </c>
      <c r="S19" s="3">
        <f t="shared" si="1"/>
        <v>5.9278350104131164E-7</v>
      </c>
      <c r="T19" s="3">
        <f t="shared" si="1"/>
        <v>6.0769846617444873E-7</v>
      </c>
      <c r="U19" s="3">
        <f t="shared" si="1"/>
        <v>4.2305709898206968E-4</v>
      </c>
      <c r="V19" s="3">
        <f t="shared" si="1"/>
        <v>6.3730167875452551E-4</v>
      </c>
      <c r="W19" s="3">
        <f t="shared" si="1"/>
        <v>4.1667787665616607E-6</v>
      </c>
      <c r="X19" s="3">
        <f t="shared" si="1"/>
        <v>2.1638105446900889E-2</v>
      </c>
      <c r="Y19" s="3">
        <f t="shared" si="1"/>
        <v>2.2180994022036413E-2</v>
      </c>
      <c r="Z19" s="3">
        <f t="shared" si="1"/>
        <v>7.1333838134963178E-9</v>
      </c>
      <c r="AA19" s="3">
        <f t="shared" si="1"/>
        <v>3.4234854656696871E-10</v>
      </c>
      <c r="AB19" s="3">
        <f t="shared" si="1"/>
        <v>1.9057730434565559E-8</v>
      </c>
      <c r="AC19" s="5">
        <f t="shared" si="0"/>
        <v>4.6999492951225212</v>
      </c>
    </row>
    <row r="20" spans="1:29" s="3" customFormat="1" hidden="1" x14ac:dyDescent="0.35">
      <c r="A20" s="3" t="s">
        <v>44</v>
      </c>
      <c r="B20" s="3">
        <v>2035</v>
      </c>
      <c r="C20" s="3" t="s">
        <v>51</v>
      </c>
      <c r="D20" s="3" t="s">
        <v>48</v>
      </c>
      <c r="E20" s="3" t="s">
        <v>13</v>
      </c>
      <c r="F20" s="3" t="s">
        <v>50</v>
      </c>
      <c r="G20" s="3">
        <f t="shared" si="2"/>
        <v>2.1329130789753572</v>
      </c>
      <c r="H20" s="3">
        <f t="shared" si="1"/>
        <v>0.67892309384467575</v>
      </c>
      <c r="I20" s="3">
        <f t="shared" si="1"/>
        <v>3.9908260214864716E-14</v>
      </c>
      <c r="J20" s="3">
        <f t="shared" si="1"/>
        <v>6.2171808494805938E-7</v>
      </c>
      <c r="K20" s="3">
        <f t="shared" si="1"/>
        <v>0.60186421005431912</v>
      </c>
      <c r="L20" s="3">
        <f t="shared" si="1"/>
        <v>0.3921386496014142</v>
      </c>
      <c r="M20" s="3">
        <f t="shared" si="1"/>
        <v>3.3582930860517541E-8</v>
      </c>
      <c r="N20" s="3">
        <f t="shared" si="1"/>
        <v>1.0031657542074218E-10</v>
      </c>
      <c r="O20" s="3">
        <f t="shared" si="1"/>
        <v>6.1534242065030852E-6</v>
      </c>
      <c r="P20" s="3">
        <f t="shared" si="1"/>
        <v>7.5493596041280626E-6</v>
      </c>
      <c r="Q20" s="3">
        <f t="shared" si="1"/>
        <v>0.76605400636035326</v>
      </c>
      <c r="R20" s="3">
        <f t="shared" si="1"/>
        <v>8.3157046060347906E-2</v>
      </c>
      <c r="S20" s="3">
        <f t="shared" si="1"/>
        <v>5.9278350104131164E-7</v>
      </c>
      <c r="T20" s="3">
        <f t="shared" si="1"/>
        <v>6.0769846617444873E-7</v>
      </c>
      <c r="U20" s="3">
        <f t="shared" si="1"/>
        <v>4.2305709898206968E-4</v>
      </c>
      <c r="V20" s="3">
        <f t="shared" si="1"/>
        <v>6.3730167875452551E-4</v>
      </c>
      <c r="W20" s="3">
        <f t="shared" si="1"/>
        <v>4.1667787665616607E-6</v>
      </c>
      <c r="X20" s="3">
        <f t="shared" si="1"/>
        <v>2.1638105446900889E-2</v>
      </c>
      <c r="Y20" s="3">
        <f t="shared" si="1"/>
        <v>2.2180994022036413E-2</v>
      </c>
      <c r="Z20" s="3">
        <f t="shared" si="1"/>
        <v>7.1333838134963178E-9</v>
      </c>
      <c r="AA20" s="3">
        <f t="shared" si="1"/>
        <v>3.4234854656696871E-10</v>
      </c>
      <c r="AB20" s="3">
        <f t="shared" si="1"/>
        <v>1.9057730434565559E-8</v>
      </c>
      <c r="AC20" s="5">
        <f t="shared" si="0"/>
        <v>4.6999492951225212</v>
      </c>
    </row>
    <row r="21" spans="1:29" s="3" customFormat="1" hidden="1" x14ac:dyDescent="0.35">
      <c r="A21" s="3" t="s">
        <v>44</v>
      </c>
      <c r="B21" s="3">
        <v>2040</v>
      </c>
      <c r="C21" s="3" t="s">
        <v>51</v>
      </c>
      <c r="D21" s="3" t="s">
        <v>48</v>
      </c>
      <c r="E21" s="3" t="s">
        <v>13</v>
      </c>
      <c r="F21" s="3" t="s">
        <v>50</v>
      </c>
      <c r="G21" s="3">
        <f t="shared" si="2"/>
        <v>2.1329130789753572</v>
      </c>
      <c r="H21" s="3">
        <f t="shared" si="1"/>
        <v>0.67892309384467575</v>
      </c>
      <c r="I21" s="3">
        <f t="shared" si="1"/>
        <v>3.9908260214864716E-14</v>
      </c>
      <c r="J21" s="3">
        <f t="shared" si="1"/>
        <v>6.2171808494805938E-7</v>
      </c>
      <c r="K21" s="3">
        <f t="shared" si="1"/>
        <v>0.60186421005431912</v>
      </c>
      <c r="L21" s="3">
        <f t="shared" si="1"/>
        <v>0.3921386496014142</v>
      </c>
      <c r="M21" s="3">
        <f t="shared" si="1"/>
        <v>3.3582930860517541E-8</v>
      </c>
      <c r="N21" s="3">
        <f t="shared" si="1"/>
        <v>1.0031657542074218E-10</v>
      </c>
      <c r="O21" s="3">
        <f t="shared" si="1"/>
        <v>6.1534242065030852E-6</v>
      </c>
      <c r="P21" s="3">
        <f t="shared" si="1"/>
        <v>7.5493596041280626E-6</v>
      </c>
      <c r="Q21" s="3">
        <f t="shared" si="1"/>
        <v>0.76605400636035326</v>
      </c>
      <c r="R21" s="3">
        <f t="shared" si="1"/>
        <v>8.3157046060347906E-2</v>
      </c>
      <c r="S21" s="3">
        <f t="shared" si="1"/>
        <v>5.9278350104131164E-7</v>
      </c>
      <c r="T21" s="3">
        <f t="shared" si="1"/>
        <v>6.0769846617444873E-7</v>
      </c>
      <c r="U21" s="3">
        <f t="shared" si="1"/>
        <v>4.2305709898206968E-4</v>
      </c>
      <c r="V21" s="3">
        <f t="shared" si="1"/>
        <v>6.3730167875452551E-4</v>
      </c>
      <c r="W21" s="3">
        <f t="shared" si="1"/>
        <v>4.1667787665616607E-6</v>
      </c>
      <c r="X21" s="3">
        <f t="shared" si="1"/>
        <v>2.1638105446900889E-2</v>
      </c>
      <c r="Y21" s="3">
        <f t="shared" si="1"/>
        <v>2.2180994022036413E-2</v>
      </c>
      <c r="Z21" s="3">
        <f t="shared" si="1"/>
        <v>7.1333838134963178E-9</v>
      </c>
      <c r="AA21" s="3">
        <f t="shared" si="1"/>
        <v>3.4234854656696871E-10</v>
      </c>
      <c r="AB21" s="3">
        <f t="shared" si="1"/>
        <v>1.9057730434565559E-8</v>
      </c>
      <c r="AC21" s="5">
        <f t="shared" si="0"/>
        <v>4.6999492951225212</v>
      </c>
    </row>
    <row r="22" spans="1:29" hidden="1" x14ac:dyDescent="0.35">
      <c r="A22" t="s">
        <v>44</v>
      </c>
      <c r="B22">
        <v>2020</v>
      </c>
      <c r="C22" t="s">
        <v>49</v>
      </c>
      <c r="D22" t="s">
        <v>5</v>
      </c>
      <c r="E22" t="s">
        <v>13</v>
      </c>
      <c r="F22" t="s">
        <v>52</v>
      </c>
      <c r="G22">
        <v>1.3228765595204881</v>
      </c>
      <c r="H22">
        <v>0.42257411192407363</v>
      </c>
      <c r="I22">
        <v>3.4071835470200168E-14</v>
      </c>
      <c r="J22">
        <v>5.57725607265184E-7</v>
      </c>
      <c r="K22">
        <v>0.40495856700671551</v>
      </c>
      <c r="L22">
        <v>0.25820489642940692</v>
      </c>
      <c r="M22">
        <v>2.883457256913305E-8</v>
      </c>
      <c r="N22">
        <v>1.534695972815986E-10</v>
      </c>
      <c r="O22">
        <v>5.1805578737388151E-6</v>
      </c>
      <c r="P22">
        <v>6.6702226340087378E-6</v>
      </c>
      <c r="Q22">
        <v>0.47448978554073568</v>
      </c>
      <c r="R22">
        <v>5.1507005411611802E-2</v>
      </c>
      <c r="S22">
        <v>5.5012886187071727E-7</v>
      </c>
      <c r="T22">
        <v>5.6849020636048746E-7</v>
      </c>
      <c r="U22">
        <v>3.4603831689525598E-4</v>
      </c>
      <c r="V22">
        <v>6.2441706412041552E-4</v>
      </c>
      <c r="W22">
        <v>3.7288092884922469E-6</v>
      </c>
      <c r="X22">
        <v>2.008027118015188E-2</v>
      </c>
      <c r="Y22">
        <v>2.0749892542686429E-2</v>
      </c>
      <c r="Z22">
        <v>6.6254664030463899E-9</v>
      </c>
      <c r="AA22">
        <v>3.0025868823292302E-10</v>
      </c>
      <c r="AB22">
        <v>1.6317736341870249E-8</v>
      </c>
      <c r="AC22" s="5">
        <f t="shared" si="0"/>
        <v>2.9764288531028953</v>
      </c>
    </row>
    <row r="23" spans="1:29" hidden="1" x14ac:dyDescent="0.35">
      <c r="A23" t="s">
        <v>44</v>
      </c>
      <c r="B23">
        <v>2025</v>
      </c>
      <c r="C23" t="s">
        <v>49</v>
      </c>
      <c r="D23" t="s">
        <v>5</v>
      </c>
      <c r="E23" t="s">
        <v>13</v>
      </c>
      <c r="F23" t="s">
        <v>52</v>
      </c>
      <c r="G23">
        <v>1.3228765595204881</v>
      </c>
      <c r="H23">
        <v>0.42257411192407363</v>
      </c>
      <c r="I23">
        <v>3.4071835470200168E-14</v>
      </c>
      <c r="J23">
        <v>5.57725607265184E-7</v>
      </c>
      <c r="K23">
        <v>0.40495856700671551</v>
      </c>
      <c r="L23">
        <v>0.25820489642940692</v>
      </c>
      <c r="M23">
        <v>2.883457256913305E-8</v>
      </c>
      <c r="N23">
        <v>1.534695972815986E-10</v>
      </c>
      <c r="O23">
        <v>5.1805578737388151E-6</v>
      </c>
      <c r="P23">
        <v>6.6702226340087378E-6</v>
      </c>
      <c r="Q23">
        <v>0.47448978554073568</v>
      </c>
      <c r="R23">
        <v>5.1507005411611802E-2</v>
      </c>
      <c r="S23">
        <v>5.5012886187071727E-7</v>
      </c>
      <c r="T23">
        <v>5.6849020636048746E-7</v>
      </c>
      <c r="U23">
        <v>3.4603831689525598E-4</v>
      </c>
      <c r="V23">
        <v>6.2441706412041552E-4</v>
      </c>
      <c r="W23">
        <v>3.7288092884922469E-6</v>
      </c>
      <c r="X23">
        <v>2.008027118015188E-2</v>
      </c>
      <c r="Y23">
        <v>2.0749892542686429E-2</v>
      </c>
      <c r="Z23">
        <v>6.6254664030463899E-9</v>
      </c>
      <c r="AA23">
        <v>3.0025868823292302E-10</v>
      </c>
      <c r="AB23">
        <v>1.6317736341870249E-8</v>
      </c>
      <c r="AC23" s="5">
        <f t="shared" si="0"/>
        <v>2.9764288531028953</v>
      </c>
    </row>
    <row r="24" spans="1:29" hidden="1" x14ac:dyDescent="0.35">
      <c r="A24" t="s">
        <v>44</v>
      </c>
      <c r="B24">
        <v>2030</v>
      </c>
      <c r="C24" t="s">
        <v>49</v>
      </c>
      <c r="D24" t="s">
        <v>5</v>
      </c>
      <c r="E24" t="s">
        <v>13</v>
      </c>
      <c r="F24" t="s">
        <v>52</v>
      </c>
      <c r="G24">
        <v>1.3228765595204881</v>
      </c>
      <c r="H24">
        <v>0.42257411192407363</v>
      </c>
      <c r="I24">
        <v>3.4071835470200168E-14</v>
      </c>
      <c r="J24">
        <v>5.57725607265184E-7</v>
      </c>
      <c r="K24">
        <v>0.40495856700671551</v>
      </c>
      <c r="L24">
        <v>0.25820489642940692</v>
      </c>
      <c r="M24">
        <v>2.883457256913305E-8</v>
      </c>
      <c r="N24">
        <v>1.534695972815986E-10</v>
      </c>
      <c r="O24">
        <v>5.1805578737388151E-6</v>
      </c>
      <c r="P24">
        <v>6.6702226340087378E-6</v>
      </c>
      <c r="Q24">
        <v>0.47448978554073568</v>
      </c>
      <c r="R24">
        <v>5.1507005411611802E-2</v>
      </c>
      <c r="S24">
        <v>5.5012886187071727E-7</v>
      </c>
      <c r="T24">
        <v>5.6849020636048746E-7</v>
      </c>
      <c r="U24">
        <v>3.4603831689525598E-4</v>
      </c>
      <c r="V24">
        <v>6.2441706412041552E-4</v>
      </c>
      <c r="W24">
        <v>3.7288092884922469E-6</v>
      </c>
      <c r="X24">
        <v>2.008027118015188E-2</v>
      </c>
      <c r="Y24">
        <v>2.0749892542686429E-2</v>
      </c>
      <c r="Z24">
        <v>6.6254664030463899E-9</v>
      </c>
      <c r="AA24">
        <v>3.0025868823292302E-10</v>
      </c>
      <c r="AB24">
        <v>1.6317736341870249E-8</v>
      </c>
      <c r="AC24" s="5">
        <f t="shared" si="0"/>
        <v>2.9764288531028953</v>
      </c>
    </row>
    <row r="25" spans="1:29" hidden="1" x14ac:dyDescent="0.35">
      <c r="A25" t="s">
        <v>44</v>
      </c>
      <c r="B25">
        <v>2035</v>
      </c>
      <c r="C25" t="s">
        <v>49</v>
      </c>
      <c r="D25" t="s">
        <v>5</v>
      </c>
      <c r="E25" t="s">
        <v>13</v>
      </c>
      <c r="F25" t="s">
        <v>52</v>
      </c>
      <c r="G25">
        <v>1.3228765595204881</v>
      </c>
      <c r="H25">
        <v>0.42257411192407363</v>
      </c>
      <c r="I25">
        <v>3.4071835470200168E-14</v>
      </c>
      <c r="J25">
        <v>5.57725607265184E-7</v>
      </c>
      <c r="K25">
        <v>0.40495856700671551</v>
      </c>
      <c r="L25">
        <v>0.25820489642940692</v>
      </c>
      <c r="M25">
        <v>2.883457256913305E-8</v>
      </c>
      <c r="N25">
        <v>1.534695972815986E-10</v>
      </c>
      <c r="O25">
        <v>5.1805578737388151E-6</v>
      </c>
      <c r="P25">
        <v>6.6702226340087378E-6</v>
      </c>
      <c r="Q25">
        <v>0.47448978554073568</v>
      </c>
      <c r="R25">
        <v>5.1507005411611802E-2</v>
      </c>
      <c r="S25">
        <v>5.5012886187071727E-7</v>
      </c>
      <c r="T25">
        <v>5.6849020636048746E-7</v>
      </c>
      <c r="U25">
        <v>3.4603831689525598E-4</v>
      </c>
      <c r="V25">
        <v>6.2441706412041552E-4</v>
      </c>
      <c r="W25">
        <v>3.7288092884922469E-6</v>
      </c>
      <c r="X25">
        <v>2.008027118015188E-2</v>
      </c>
      <c r="Y25">
        <v>2.0749892542686429E-2</v>
      </c>
      <c r="Z25">
        <v>6.6254664030463899E-9</v>
      </c>
      <c r="AA25">
        <v>3.0025868823292302E-10</v>
      </c>
      <c r="AB25">
        <v>1.6317736341870249E-8</v>
      </c>
      <c r="AC25" s="5">
        <f t="shared" si="0"/>
        <v>2.9764288531028953</v>
      </c>
    </row>
    <row r="26" spans="1:29" hidden="1" x14ac:dyDescent="0.35">
      <c r="A26" t="s">
        <v>44</v>
      </c>
      <c r="B26">
        <v>2040</v>
      </c>
      <c r="C26" t="s">
        <v>49</v>
      </c>
      <c r="D26" t="s">
        <v>5</v>
      </c>
      <c r="E26" t="s">
        <v>13</v>
      </c>
      <c r="F26" t="s">
        <v>52</v>
      </c>
      <c r="G26">
        <v>1.3228765595204881</v>
      </c>
      <c r="H26">
        <v>0.42257411192407363</v>
      </c>
      <c r="I26">
        <v>3.4071835470200168E-14</v>
      </c>
      <c r="J26">
        <v>5.57725607265184E-7</v>
      </c>
      <c r="K26">
        <v>0.40495856700671551</v>
      </c>
      <c r="L26">
        <v>0.25820489642940692</v>
      </c>
      <c r="M26">
        <v>2.883457256913305E-8</v>
      </c>
      <c r="N26">
        <v>1.534695972815986E-10</v>
      </c>
      <c r="O26">
        <v>5.1805578737388151E-6</v>
      </c>
      <c r="P26">
        <v>6.6702226340087378E-6</v>
      </c>
      <c r="Q26">
        <v>0.47448978554073568</v>
      </c>
      <c r="R26">
        <v>5.1507005411611802E-2</v>
      </c>
      <c r="S26">
        <v>5.5012886187071727E-7</v>
      </c>
      <c r="T26">
        <v>5.6849020636048746E-7</v>
      </c>
      <c r="U26">
        <v>3.4603831689525598E-4</v>
      </c>
      <c r="V26">
        <v>6.2441706412041552E-4</v>
      </c>
      <c r="W26">
        <v>3.7288092884922469E-6</v>
      </c>
      <c r="X26">
        <v>2.008027118015188E-2</v>
      </c>
      <c r="Y26">
        <v>2.0749892542686429E-2</v>
      </c>
      <c r="Z26">
        <v>6.6254664030463899E-9</v>
      </c>
      <c r="AA26">
        <v>3.0025868823292302E-10</v>
      </c>
      <c r="AB26">
        <v>1.6317736341870249E-8</v>
      </c>
      <c r="AC26" s="5">
        <f t="shared" si="0"/>
        <v>2.9764288531028953</v>
      </c>
    </row>
    <row r="27" spans="1:29" hidden="1" x14ac:dyDescent="0.35">
      <c r="A27" t="s">
        <v>44</v>
      </c>
      <c r="B27">
        <v>2020</v>
      </c>
      <c r="C27" t="s">
        <v>51</v>
      </c>
      <c r="D27" t="s">
        <v>48</v>
      </c>
      <c r="E27" t="s">
        <v>13</v>
      </c>
      <c r="F27" t="s">
        <v>52</v>
      </c>
      <c r="G27">
        <v>2.18967840747501</v>
      </c>
      <c r="H27">
        <v>0.69612769515851969</v>
      </c>
      <c r="I27">
        <v>4.0872703790949878E-14</v>
      </c>
      <c r="J27">
        <v>6.4984064079057073E-7</v>
      </c>
      <c r="K27">
        <v>0.60515303013826682</v>
      </c>
      <c r="L27">
        <v>0.39501889787505129</v>
      </c>
      <c r="M27">
        <v>3.4220986729268793E-8</v>
      </c>
      <c r="N27">
        <v>1.0079185589536041E-10</v>
      </c>
      <c r="O27">
        <v>6.2488728344266767E-6</v>
      </c>
      <c r="P27">
        <v>7.7248372092652076E-6</v>
      </c>
      <c r="Q27">
        <v>0.78656661507383741</v>
      </c>
      <c r="R27">
        <v>8.5383734911785178E-2</v>
      </c>
      <c r="S27">
        <v>5.9645772600663692E-7</v>
      </c>
      <c r="T27">
        <v>6.1426009493045931E-7</v>
      </c>
      <c r="U27">
        <v>4.3321962887204221E-4</v>
      </c>
      <c r="V27">
        <v>6.5887170618044615E-4</v>
      </c>
      <c r="W27">
        <v>4.3518162668867968E-6</v>
      </c>
      <c r="X27">
        <v>2.1772221058025482E-2</v>
      </c>
      <c r="Y27">
        <v>2.2420493466857459E-2</v>
      </c>
      <c r="Z27">
        <v>7.466953993722773E-9</v>
      </c>
      <c r="AA27">
        <v>3.5756397083502338E-10</v>
      </c>
      <c r="AB27">
        <v>1.9824109663449241E-8</v>
      </c>
      <c r="AC27" s="5">
        <f t="shared" si="0"/>
        <v>4.8032334345476242</v>
      </c>
    </row>
    <row r="28" spans="1:29" hidden="1" x14ac:dyDescent="0.35">
      <c r="A28" t="s">
        <v>44</v>
      </c>
      <c r="B28">
        <v>2025</v>
      </c>
      <c r="C28" t="s">
        <v>51</v>
      </c>
      <c r="D28" t="s">
        <v>48</v>
      </c>
      <c r="E28" t="s">
        <v>13</v>
      </c>
      <c r="F28" t="s">
        <v>52</v>
      </c>
      <c r="G28">
        <v>2.18967840747501</v>
      </c>
      <c r="H28">
        <v>0.69612769515851969</v>
      </c>
      <c r="I28">
        <v>4.0872703790949878E-14</v>
      </c>
      <c r="J28">
        <v>6.4984064079057073E-7</v>
      </c>
      <c r="K28">
        <v>0.60515303013826682</v>
      </c>
      <c r="L28">
        <v>0.39501889787505129</v>
      </c>
      <c r="M28">
        <v>3.4220986729268793E-8</v>
      </c>
      <c r="N28">
        <v>1.0079185589536041E-10</v>
      </c>
      <c r="O28">
        <v>6.2488728344266767E-6</v>
      </c>
      <c r="P28">
        <v>7.7248372092652076E-6</v>
      </c>
      <c r="Q28">
        <v>0.78656661507383741</v>
      </c>
      <c r="R28">
        <v>8.5383734911785178E-2</v>
      </c>
      <c r="S28">
        <v>5.9645772600663692E-7</v>
      </c>
      <c r="T28">
        <v>6.1426009493045931E-7</v>
      </c>
      <c r="U28">
        <v>4.3321962887204221E-4</v>
      </c>
      <c r="V28">
        <v>6.5887170618044615E-4</v>
      </c>
      <c r="W28">
        <v>4.3518162668867968E-6</v>
      </c>
      <c r="X28">
        <v>2.1772221058025482E-2</v>
      </c>
      <c r="Y28">
        <v>2.2420493466857459E-2</v>
      </c>
      <c r="Z28">
        <v>7.466953993722773E-9</v>
      </c>
      <c r="AA28">
        <v>3.5756397083502338E-10</v>
      </c>
      <c r="AB28">
        <v>1.9824109663449241E-8</v>
      </c>
      <c r="AC28" s="5">
        <f t="shared" si="0"/>
        <v>4.8032334345476242</v>
      </c>
    </row>
    <row r="29" spans="1:29" hidden="1" x14ac:dyDescent="0.35">
      <c r="A29" t="s">
        <v>44</v>
      </c>
      <c r="B29">
        <v>2030</v>
      </c>
      <c r="C29" t="s">
        <v>51</v>
      </c>
      <c r="D29" t="s">
        <v>48</v>
      </c>
      <c r="E29" t="s">
        <v>13</v>
      </c>
      <c r="F29" t="s">
        <v>52</v>
      </c>
      <c r="G29">
        <v>2.18967840747501</v>
      </c>
      <c r="H29">
        <v>0.69612769515851969</v>
      </c>
      <c r="I29">
        <v>4.0872703790949878E-14</v>
      </c>
      <c r="J29">
        <v>6.4984064079057073E-7</v>
      </c>
      <c r="K29">
        <v>0.60515303013826682</v>
      </c>
      <c r="L29">
        <v>0.39501889787505129</v>
      </c>
      <c r="M29">
        <v>3.4220986729268793E-8</v>
      </c>
      <c r="N29">
        <v>1.0079185589536041E-10</v>
      </c>
      <c r="O29">
        <v>6.2488728344266767E-6</v>
      </c>
      <c r="P29">
        <v>7.7248372092652076E-6</v>
      </c>
      <c r="Q29">
        <v>0.78656661507383741</v>
      </c>
      <c r="R29">
        <v>8.5383734911785178E-2</v>
      </c>
      <c r="S29">
        <v>5.9645772600663692E-7</v>
      </c>
      <c r="T29">
        <v>6.1426009493045931E-7</v>
      </c>
      <c r="U29">
        <v>4.3321962887204221E-4</v>
      </c>
      <c r="V29">
        <v>6.5887170618044615E-4</v>
      </c>
      <c r="W29">
        <v>4.3518162668867968E-6</v>
      </c>
      <c r="X29">
        <v>2.1772221058025482E-2</v>
      </c>
      <c r="Y29">
        <v>2.2420493466857459E-2</v>
      </c>
      <c r="Z29">
        <v>7.466953993722773E-9</v>
      </c>
      <c r="AA29">
        <v>3.5756397083502338E-10</v>
      </c>
      <c r="AB29">
        <v>1.9824109663449241E-8</v>
      </c>
      <c r="AC29" s="5">
        <f t="shared" si="0"/>
        <v>4.8032334345476242</v>
      </c>
    </row>
    <row r="30" spans="1:29" hidden="1" x14ac:dyDescent="0.35">
      <c r="A30" t="s">
        <v>44</v>
      </c>
      <c r="B30">
        <v>2035</v>
      </c>
      <c r="C30" t="s">
        <v>51</v>
      </c>
      <c r="D30" t="s">
        <v>48</v>
      </c>
      <c r="E30" t="s">
        <v>13</v>
      </c>
      <c r="F30" t="s">
        <v>52</v>
      </c>
      <c r="G30">
        <v>2.18967840747501</v>
      </c>
      <c r="H30">
        <v>0.69612769515851969</v>
      </c>
      <c r="I30">
        <v>4.0872703790949878E-14</v>
      </c>
      <c r="J30">
        <v>6.4984064079057073E-7</v>
      </c>
      <c r="K30">
        <v>0.60515303013826682</v>
      </c>
      <c r="L30">
        <v>0.39501889787505129</v>
      </c>
      <c r="M30">
        <v>3.4220986729268793E-8</v>
      </c>
      <c r="N30">
        <v>1.0079185589536041E-10</v>
      </c>
      <c r="O30">
        <v>6.2488728344266767E-6</v>
      </c>
      <c r="P30">
        <v>7.7248372092652076E-6</v>
      </c>
      <c r="Q30">
        <v>0.78656661507383741</v>
      </c>
      <c r="R30">
        <v>8.5383734911785178E-2</v>
      </c>
      <c r="S30">
        <v>5.9645772600663692E-7</v>
      </c>
      <c r="T30">
        <v>6.1426009493045931E-7</v>
      </c>
      <c r="U30">
        <v>4.3321962887204221E-4</v>
      </c>
      <c r="V30">
        <v>6.5887170618044615E-4</v>
      </c>
      <c r="W30">
        <v>4.3518162668867968E-6</v>
      </c>
      <c r="X30">
        <v>2.1772221058025482E-2</v>
      </c>
      <c r="Y30">
        <v>2.2420493466857459E-2</v>
      </c>
      <c r="Z30">
        <v>7.466953993722773E-9</v>
      </c>
      <c r="AA30">
        <v>3.5756397083502338E-10</v>
      </c>
      <c r="AB30">
        <v>1.9824109663449241E-8</v>
      </c>
      <c r="AC30" s="5">
        <f t="shared" si="0"/>
        <v>4.8032334345476242</v>
      </c>
    </row>
    <row r="31" spans="1:29" hidden="1" x14ac:dyDescent="0.35">
      <c r="A31" t="s">
        <v>44</v>
      </c>
      <c r="B31">
        <v>2040</v>
      </c>
      <c r="C31" t="s">
        <v>51</v>
      </c>
      <c r="D31" t="s">
        <v>48</v>
      </c>
      <c r="E31" t="s">
        <v>13</v>
      </c>
      <c r="F31" t="s">
        <v>52</v>
      </c>
      <c r="G31">
        <v>2.18967840747501</v>
      </c>
      <c r="H31">
        <v>0.69612769515851969</v>
      </c>
      <c r="I31">
        <v>4.0872703790949878E-14</v>
      </c>
      <c r="J31">
        <v>6.4984064079057073E-7</v>
      </c>
      <c r="K31">
        <v>0.60515303013826682</v>
      </c>
      <c r="L31">
        <v>0.39501889787505129</v>
      </c>
      <c r="M31">
        <v>3.4220986729268793E-8</v>
      </c>
      <c r="N31">
        <v>1.0079185589536041E-10</v>
      </c>
      <c r="O31">
        <v>6.2488728344266767E-6</v>
      </c>
      <c r="P31">
        <v>7.7248372092652076E-6</v>
      </c>
      <c r="Q31">
        <v>0.78656661507383741</v>
      </c>
      <c r="R31">
        <v>8.5383734911785178E-2</v>
      </c>
      <c r="S31">
        <v>5.9645772600663692E-7</v>
      </c>
      <c r="T31">
        <v>6.1426009493045931E-7</v>
      </c>
      <c r="U31">
        <v>4.3321962887204221E-4</v>
      </c>
      <c r="V31">
        <v>6.5887170618044615E-4</v>
      </c>
      <c r="W31">
        <v>4.3518162668867968E-6</v>
      </c>
      <c r="X31">
        <v>2.1772221058025482E-2</v>
      </c>
      <c r="Y31">
        <v>2.2420493466857459E-2</v>
      </c>
      <c r="Z31">
        <v>7.466953993722773E-9</v>
      </c>
      <c r="AA31">
        <v>3.5756397083502338E-10</v>
      </c>
      <c r="AB31">
        <v>1.9824109663449241E-8</v>
      </c>
      <c r="AC31" s="5">
        <f t="shared" si="0"/>
        <v>4.8032334345476242</v>
      </c>
    </row>
    <row r="32" spans="1:29" hidden="1" x14ac:dyDescent="0.35">
      <c r="A32" t="s">
        <v>44</v>
      </c>
      <c r="B32">
        <v>2020</v>
      </c>
      <c r="C32" t="s">
        <v>53</v>
      </c>
      <c r="D32" t="s">
        <v>5</v>
      </c>
      <c r="E32" t="s">
        <v>6</v>
      </c>
      <c r="F32" t="s">
        <v>46</v>
      </c>
      <c r="G32">
        <v>1.3181433665086799E-2</v>
      </c>
      <c r="H32">
        <v>3.993012295909636E-3</v>
      </c>
      <c r="I32">
        <v>7.2038109976661837E-17</v>
      </c>
      <c r="J32">
        <v>1.5490258074411541E-8</v>
      </c>
      <c r="K32">
        <v>6.8311664095103031E-4</v>
      </c>
      <c r="L32">
        <v>6.6585495122714253E-4</v>
      </c>
      <c r="M32">
        <v>2.6505495675042148E-10</v>
      </c>
      <c r="N32">
        <v>8.211663084599402E-14</v>
      </c>
      <c r="O32">
        <v>3.7798042815535291E-8</v>
      </c>
      <c r="P32">
        <v>4.673871670983834E-8</v>
      </c>
      <c r="Q32">
        <v>4.7862556275202984E-3</v>
      </c>
      <c r="R32">
        <v>5.1955576611977547E-4</v>
      </c>
      <c r="S32">
        <v>4.1086658203040018E-10</v>
      </c>
      <c r="T32">
        <v>5.0712603150274127E-10</v>
      </c>
      <c r="U32">
        <v>2.3909561080539688E-6</v>
      </c>
      <c r="V32">
        <v>5.3903474253607677E-6</v>
      </c>
      <c r="W32">
        <v>1.008942017432146E-7</v>
      </c>
      <c r="X32">
        <v>1.4997641386704539E-5</v>
      </c>
      <c r="Y32">
        <v>1.8510100082819061E-5</v>
      </c>
      <c r="Z32">
        <v>2.2016032753776951E-10</v>
      </c>
      <c r="AA32">
        <v>5.9452408238247649E-12</v>
      </c>
      <c r="AB32">
        <v>1.706589238254643E-10</v>
      </c>
      <c r="AC32" s="5">
        <f t="shared" si="0"/>
        <v>2.3870720492931218E-2</v>
      </c>
    </row>
    <row r="33" spans="1:29" hidden="1" x14ac:dyDescent="0.35">
      <c r="A33" t="s">
        <v>44</v>
      </c>
      <c r="B33">
        <v>2025</v>
      </c>
      <c r="C33" t="s">
        <v>53</v>
      </c>
      <c r="D33" t="s">
        <v>5</v>
      </c>
      <c r="E33" t="s">
        <v>6</v>
      </c>
      <c r="F33" t="s">
        <v>46</v>
      </c>
      <c r="G33">
        <v>1.3181433665086799E-2</v>
      </c>
      <c r="H33">
        <v>3.993012295909636E-3</v>
      </c>
      <c r="I33">
        <v>7.2038109976661837E-17</v>
      </c>
      <c r="J33">
        <v>1.5490258074411541E-8</v>
      </c>
      <c r="K33">
        <v>6.8311664095103031E-4</v>
      </c>
      <c r="L33">
        <v>6.6585495122714253E-4</v>
      </c>
      <c r="M33">
        <v>2.6505495675042148E-10</v>
      </c>
      <c r="N33">
        <v>8.211663084599402E-14</v>
      </c>
      <c r="O33">
        <v>3.7798042815535291E-8</v>
      </c>
      <c r="P33">
        <v>4.673871670983834E-8</v>
      </c>
      <c r="Q33">
        <v>4.7862556275202984E-3</v>
      </c>
      <c r="R33">
        <v>5.1955576611977547E-4</v>
      </c>
      <c r="S33">
        <v>4.1086658203040018E-10</v>
      </c>
      <c r="T33">
        <v>5.0712603150274127E-10</v>
      </c>
      <c r="U33">
        <v>2.3909561080539688E-6</v>
      </c>
      <c r="V33">
        <v>5.3903474253607677E-6</v>
      </c>
      <c r="W33">
        <v>1.008942017432146E-7</v>
      </c>
      <c r="X33">
        <v>1.4997641386704539E-5</v>
      </c>
      <c r="Y33">
        <v>1.8510100082819061E-5</v>
      </c>
      <c r="Z33">
        <v>2.2016032753776951E-10</v>
      </c>
      <c r="AA33">
        <v>5.9452408238247649E-12</v>
      </c>
      <c r="AB33">
        <v>1.706589238254643E-10</v>
      </c>
      <c r="AC33" s="5">
        <f t="shared" si="0"/>
        <v>2.3870720492931218E-2</v>
      </c>
    </row>
    <row r="34" spans="1:29" hidden="1" x14ac:dyDescent="0.35">
      <c r="A34" t="s">
        <v>44</v>
      </c>
      <c r="B34">
        <v>2030</v>
      </c>
      <c r="C34" t="s">
        <v>53</v>
      </c>
      <c r="D34" t="s">
        <v>5</v>
      </c>
      <c r="E34" t="s">
        <v>6</v>
      </c>
      <c r="F34" t="s">
        <v>46</v>
      </c>
      <c r="G34">
        <v>1.3181433665086799E-2</v>
      </c>
      <c r="H34">
        <v>3.993012295909636E-3</v>
      </c>
      <c r="I34">
        <v>7.2038109976661837E-17</v>
      </c>
      <c r="J34">
        <v>1.5490258074411541E-8</v>
      </c>
      <c r="K34">
        <v>6.8311664095103031E-4</v>
      </c>
      <c r="L34">
        <v>6.6585495122714253E-4</v>
      </c>
      <c r="M34">
        <v>2.6505495675042148E-10</v>
      </c>
      <c r="N34">
        <v>8.211663084599402E-14</v>
      </c>
      <c r="O34">
        <v>3.7798042815535291E-8</v>
      </c>
      <c r="P34">
        <v>4.673871670983834E-8</v>
      </c>
      <c r="Q34">
        <v>4.7862556275202984E-3</v>
      </c>
      <c r="R34">
        <v>5.1955576611977547E-4</v>
      </c>
      <c r="S34">
        <v>4.1086658203040018E-10</v>
      </c>
      <c r="T34">
        <v>5.0712603150274127E-10</v>
      </c>
      <c r="U34">
        <v>2.3909561080539688E-6</v>
      </c>
      <c r="V34">
        <v>5.3903474253607677E-6</v>
      </c>
      <c r="W34">
        <v>1.008942017432146E-7</v>
      </c>
      <c r="X34">
        <v>1.4997641386704539E-5</v>
      </c>
      <c r="Y34">
        <v>1.8510100082819061E-5</v>
      </c>
      <c r="Z34">
        <v>2.2016032753776951E-10</v>
      </c>
      <c r="AA34">
        <v>5.9452408238247649E-12</v>
      </c>
      <c r="AB34">
        <v>1.706589238254643E-10</v>
      </c>
      <c r="AC34" s="5">
        <f t="shared" si="0"/>
        <v>2.3870720492931218E-2</v>
      </c>
    </row>
    <row r="35" spans="1:29" hidden="1" x14ac:dyDescent="0.35">
      <c r="A35" t="s">
        <v>44</v>
      </c>
      <c r="B35">
        <v>2035</v>
      </c>
      <c r="C35" t="s">
        <v>53</v>
      </c>
      <c r="D35" t="s">
        <v>5</v>
      </c>
      <c r="E35" t="s">
        <v>6</v>
      </c>
      <c r="F35" t="s">
        <v>46</v>
      </c>
      <c r="G35">
        <v>1.3181433665086799E-2</v>
      </c>
      <c r="H35">
        <v>3.993012295909636E-3</v>
      </c>
      <c r="I35">
        <v>7.2038109976661837E-17</v>
      </c>
      <c r="J35">
        <v>1.5490258074411541E-8</v>
      </c>
      <c r="K35">
        <v>6.8311664095103031E-4</v>
      </c>
      <c r="L35">
        <v>6.6585495122714253E-4</v>
      </c>
      <c r="M35">
        <v>2.6505495675042148E-10</v>
      </c>
      <c r="N35">
        <v>8.211663084599402E-14</v>
      </c>
      <c r="O35">
        <v>3.7798042815535291E-8</v>
      </c>
      <c r="P35">
        <v>4.673871670983834E-8</v>
      </c>
      <c r="Q35">
        <v>4.7862556275202984E-3</v>
      </c>
      <c r="R35">
        <v>5.1955576611977547E-4</v>
      </c>
      <c r="S35">
        <v>4.1086658203040018E-10</v>
      </c>
      <c r="T35">
        <v>5.0712603150274127E-10</v>
      </c>
      <c r="U35">
        <v>2.3909561080539688E-6</v>
      </c>
      <c r="V35">
        <v>5.3903474253607677E-6</v>
      </c>
      <c r="W35">
        <v>1.008942017432146E-7</v>
      </c>
      <c r="X35">
        <v>1.4997641386704539E-5</v>
      </c>
      <c r="Y35">
        <v>1.8510100082819061E-5</v>
      </c>
      <c r="Z35">
        <v>2.2016032753776951E-10</v>
      </c>
      <c r="AA35">
        <v>5.9452408238247649E-12</v>
      </c>
      <c r="AB35">
        <v>1.706589238254643E-10</v>
      </c>
      <c r="AC35" s="5">
        <f t="shared" si="0"/>
        <v>2.3870720492931218E-2</v>
      </c>
    </row>
    <row r="36" spans="1:29" hidden="1" x14ac:dyDescent="0.35">
      <c r="A36" t="s">
        <v>44</v>
      </c>
      <c r="B36">
        <v>2040</v>
      </c>
      <c r="C36" t="s">
        <v>53</v>
      </c>
      <c r="D36" t="s">
        <v>5</v>
      </c>
      <c r="E36" t="s">
        <v>6</v>
      </c>
      <c r="F36" t="s">
        <v>46</v>
      </c>
      <c r="G36">
        <v>1.3181433665086799E-2</v>
      </c>
      <c r="H36">
        <v>3.993012295909636E-3</v>
      </c>
      <c r="I36">
        <v>7.2038109976661837E-17</v>
      </c>
      <c r="J36">
        <v>1.5490258074411541E-8</v>
      </c>
      <c r="K36">
        <v>6.8311664095103031E-4</v>
      </c>
      <c r="L36">
        <v>6.6585495122714253E-4</v>
      </c>
      <c r="M36">
        <v>2.6505495675042148E-10</v>
      </c>
      <c r="N36">
        <v>8.211663084599402E-14</v>
      </c>
      <c r="O36">
        <v>3.7798042815535291E-8</v>
      </c>
      <c r="P36">
        <v>4.673871670983834E-8</v>
      </c>
      <c r="Q36">
        <v>4.7862556275202984E-3</v>
      </c>
      <c r="R36">
        <v>5.1955576611977547E-4</v>
      </c>
      <c r="S36">
        <v>4.1086658203040018E-10</v>
      </c>
      <c r="T36">
        <v>5.0712603150274127E-10</v>
      </c>
      <c r="U36">
        <v>2.3909561080539688E-6</v>
      </c>
      <c r="V36">
        <v>5.3903474253607677E-6</v>
      </c>
      <c r="W36">
        <v>1.008942017432146E-7</v>
      </c>
      <c r="X36">
        <v>1.4997641386704539E-5</v>
      </c>
      <c r="Y36">
        <v>1.8510100082819061E-5</v>
      </c>
      <c r="Z36">
        <v>2.2016032753776951E-10</v>
      </c>
      <c r="AA36">
        <v>5.9452408238247649E-12</v>
      </c>
      <c r="AB36">
        <v>1.706589238254643E-10</v>
      </c>
      <c r="AC36" s="5">
        <f t="shared" si="0"/>
        <v>2.3870720492931218E-2</v>
      </c>
    </row>
    <row r="37" spans="1:29" hidden="1" x14ac:dyDescent="0.35">
      <c r="A37" t="s">
        <v>44</v>
      </c>
      <c r="B37">
        <v>2020</v>
      </c>
      <c r="C37" t="s">
        <v>54</v>
      </c>
      <c r="D37" t="s">
        <v>48</v>
      </c>
      <c r="E37" t="s">
        <v>6</v>
      </c>
      <c r="F37" t="s">
        <v>46</v>
      </c>
      <c r="G37">
        <v>4.1630757137417547E-2</v>
      </c>
      <c r="H37">
        <v>1.259572354045531E-2</v>
      </c>
      <c r="I37">
        <v>5.6966790533313826E-16</v>
      </c>
      <c r="J37">
        <v>2.4897232351194331E-8</v>
      </c>
      <c r="K37">
        <v>2.1581295940575171E-3</v>
      </c>
      <c r="L37">
        <v>2.0229846350541258E-3</v>
      </c>
      <c r="M37">
        <v>5.2584969498749632E-10</v>
      </c>
      <c r="N37">
        <v>2.6014118666281019E-13</v>
      </c>
      <c r="O37">
        <v>7.9287043523357184E-8</v>
      </c>
      <c r="P37">
        <v>1.3211087929618561E-7</v>
      </c>
      <c r="Q37">
        <v>1.507397704553208E-2</v>
      </c>
      <c r="R37">
        <v>1.636311254892567E-3</v>
      </c>
      <c r="S37">
        <v>2.2934816100357319E-9</v>
      </c>
      <c r="T37">
        <v>3.9494097022240871E-9</v>
      </c>
      <c r="U37">
        <v>7.3154325131612742E-6</v>
      </c>
      <c r="V37">
        <v>1.6454355980755319E-5</v>
      </c>
      <c r="W37">
        <v>1.6292274191300551E-7</v>
      </c>
      <c r="X37">
        <v>8.3715536652446488E-5</v>
      </c>
      <c r="Y37">
        <v>1.441534514426629E-4</v>
      </c>
      <c r="Z37">
        <v>3.5287060768290748E-10</v>
      </c>
      <c r="AA37">
        <v>1.125689805907213E-11</v>
      </c>
      <c r="AB37">
        <v>5.6050315836443438E-10</v>
      </c>
      <c r="AC37" s="5">
        <f t="shared" si="0"/>
        <v>7.5369928895527641E-2</v>
      </c>
    </row>
    <row r="38" spans="1:29" hidden="1" x14ac:dyDescent="0.35">
      <c r="A38" t="s">
        <v>44</v>
      </c>
      <c r="B38">
        <v>2025</v>
      </c>
      <c r="C38" t="s">
        <v>54</v>
      </c>
      <c r="D38" t="s">
        <v>48</v>
      </c>
      <c r="E38" t="s">
        <v>6</v>
      </c>
      <c r="F38" t="s">
        <v>46</v>
      </c>
      <c r="G38">
        <v>4.1630757137417547E-2</v>
      </c>
      <c r="H38">
        <v>1.259572354045531E-2</v>
      </c>
      <c r="I38">
        <v>5.6966790533313826E-16</v>
      </c>
      <c r="J38">
        <v>2.4897232351194331E-8</v>
      </c>
      <c r="K38">
        <v>2.1581295940575171E-3</v>
      </c>
      <c r="L38">
        <v>2.0229846350541258E-3</v>
      </c>
      <c r="M38">
        <v>5.2584969498749632E-10</v>
      </c>
      <c r="N38">
        <v>2.6014118666281019E-13</v>
      </c>
      <c r="O38">
        <v>7.9287043523357184E-8</v>
      </c>
      <c r="P38">
        <v>1.3211087929618561E-7</v>
      </c>
      <c r="Q38">
        <v>1.507397704553208E-2</v>
      </c>
      <c r="R38">
        <v>1.636311254892567E-3</v>
      </c>
      <c r="S38">
        <v>2.2934816100357319E-9</v>
      </c>
      <c r="T38">
        <v>3.9494097022240871E-9</v>
      </c>
      <c r="U38">
        <v>7.3154325131612742E-6</v>
      </c>
      <c r="V38">
        <v>1.6454355980755319E-5</v>
      </c>
      <c r="W38">
        <v>1.6292274191300551E-7</v>
      </c>
      <c r="X38">
        <v>8.3715536652446488E-5</v>
      </c>
      <c r="Y38">
        <v>1.441534514426629E-4</v>
      </c>
      <c r="Z38">
        <v>3.5287060768290748E-10</v>
      </c>
      <c r="AA38">
        <v>1.125689805907213E-11</v>
      </c>
      <c r="AB38">
        <v>5.6050315836443438E-10</v>
      </c>
      <c r="AC38" s="5">
        <f t="shared" si="0"/>
        <v>7.5369928895527641E-2</v>
      </c>
    </row>
    <row r="39" spans="1:29" hidden="1" x14ac:dyDescent="0.35">
      <c r="A39" t="s">
        <v>44</v>
      </c>
      <c r="B39">
        <v>2030</v>
      </c>
      <c r="C39" t="s">
        <v>54</v>
      </c>
      <c r="D39" t="s">
        <v>48</v>
      </c>
      <c r="E39" t="s">
        <v>6</v>
      </c>
      <c r="F39" t="s">
        <v>46</v>
      </c>
      <c r="G39">
        <v>4.1630757137417547E-2</v>
      </c>
      <c r="H39">
        <v>1.259572354045531E-2</v>
      </c>
      <c r="I39">
        <v>5.6966790533313826E-16</v>
      </c>
      <c r="J39">
        <v>2.4897232351194331E-8</v>
      </c>
      <c r="K39">
        <v>2.1581295940575171E-3</v>
      </c>
      <c r="L39">
        <v>2.0229846350541258E-3</v>
      </c>
      <c r="M39">
        <v>5.2584969498749632E-10</v>
      </c>
      <c r="N39">
        <v>2.6014118666281019E-13</v>
      </c>
      <c r="O39">
        <v>7.9287043523357184E-8</v>
      </c>
      <c r="P39">
        <v>1.3211087929618561E-7</v>
      </c>
      <c r="Q39">
        <v>1.507397704553208E-2</v>
      </c>
      <c r="R39">
        <v>1.636311254892567E-3</v>
      </c>
      <c r="S39">
        <v>2.2934816100357319E-9</v>
      </c>
      <c r="T39">
        <v>3.9494097022240871E-9</v>
      </c>
      <c r="U39">
        <v>7.3154325131612742E-6</v>
      </c>
      <c r="V39">
        <v>1.6454355980755319E-5</v>
      </c>
      <c r="W39">
        <v>1.6292274191300551E-7</v>
      </c>
      <c r="X39">
        <v>8.3715536652446488E-5</v>
      </c>
      <c r="Y39">
        <v>1.441534514426629E-4</v>
      </c>
      <c r="Z39">
        <v>3.5287060768290748E-10</v>
      </c>
      <c r="AA39">
        <v>1.125689805907213E-11</v>
      </c>
      <c r="AB39">
        <v>5.6050315836443438E-10</v>
      </c>
      <c r="AC39" s="5">
        <f t="shared" si="0"/>
        <v>7.5369928895527641E-2</v>
      </c>
    </row>
    <row r="40" spans="1:29" hidden="1" x14ac:dyDescent="0.35">
      <c r="A40" t="s">
        <v>44</v>
      </c>
      <c r="B40">
        <v>2035</v>
      </c>
      <c r="C40" t="s">
        <v>54</v>
      </c>
      <c r="D40" t="s">
        <v>48</v>
      </c>
      <c r="E40" t="s">
        <v>6</v>
      </c>
      <c r="F40" t="s">
        <v>46</v>
      </c>
      <c r="G40">
        <v>4.1630757137417547E-2</v>
      </c>
      <c r="H40">
        <v>1.259572354045531E-2</v>
      </c>
      <c r="I40">
        <v>5.6966790533313826E-16</v>
      </c>
      <c r="J40">
        <v>2.4897232351194331E-8</v>
      </c>
      <c r="K40">
        <v>2.1581295940575171E-3</v>
      </c>
      <c r="L40">
        <v>2.0229846350541258E-3</v>
      </c>
      <c r="M40">
        <v>5.2584969498749632E-10</v>
      </c>
      <c r="N40">
        <v>2.6014118666281019E-13</v>
      </c>
      <c r="O40">
        <v>7.9287043523357184E-8</v>
      </c>
      <c r="P40">
        <v>1.3211087929618561E-7</v>
      </c>
      <c r="Q40">
        <v>1.507397704553208E-2</v>
      </c>
      <c r="R40">
        <v>1.636311254892567E-3</v>
      </c>
      <c r="S40">
        <v>2.2934816100357319E-9</v>
      </c>
      <c r="T40">
        <v>3.9494097022240871E-9</v>
      </c>
      <c r="U40">
        <v>7.3154325131612742E-6</v>
      </c>
      <c r="V40">
        <v>1.6454355980755319E-5</v>
      </c>
      <c r="W40">
        <v>1.6292274191300551E-7</v>
      </c>
      <c r="X40">
        <v>8.3715536652446488E-5</v>
      </c>
      <c r="Y40">
        <v>1.441534514426629E-4</v>
      </c>
      <c r="Z40">
        <v>3.5287060768290748E-10</v>
      </c>
      <c r="AA40">
        <v>1.125689805907213E-11</v>
      </c>
      <c r="AB40">
        <v>5.6050315836443438E-10</v>
      </c>
      <c r="AC40" s="5">
        <f t="shared" si="0"/>
        <v>7.5369928895527641E-2</v>
      </c>
    </row>
    <row r="41" spans="1:29" hidden="1" x14ac:dyDescent="0.35">
      <c r="A41" t="s">
        <v>44</v>
      </c>
      <c r="B41">
        <v>2040</v>
      </c>
      <c r="C41" t="s">
        <v>54</v>
      </c>
      <c r="D41" t="s">
        <v>48</v>
      </c>
      <c r="E41" t="s">
        <v>6</v>
      </c>
      <c r="F41" t="s">
        <v>46</v>
      </c>
      <c r="G41">
        <v>4.1630757137417547E-2</v>
      </c>
      <c r="H41">
        <v>1.259572354045531E-2</v>
      </c>
      <c r="I41">
        <v>5.6966790533313826E-16</v>
      </c>
      <c r="J41">
        <v>2.4897232351194331E-8</v>
      </c>
      <c r="K41">
        <v>2.1581295940575171E-3</v>
      </c>
      <c r="L41">
        <v>2.0229846350541258E-3</v>
      </c>
      <c r="M41">
        <v>5.2584969498749632E-10</v>
      </c>
      <c r="N41">
        <v>2.6014118666281019E-13</v>
      </c>
      <c r="O41">
        <v>7.9287043523357184E-8</v>
      </c>
      <c r="P41">
        <v>1.3211087929618561E-7</v>
      </c>
      <c r="Q41">
        <v>1.507397704553208E-2</v>
      </c>
      <c r="R41">
        <v>1.636311254892567E-3</v>
      </c>
      <c r="S41">
        <v>2.2934816100357319E-9</v>
      </c>
      <c r="T41">
        <v>3.9494097022240871E-9</v>
      </c>
      <c r="U41">
        <v>7.3154325131612742E-6</v>
      </c>
      <c r="V41">
        <v>1.6454355980755319E-5</v>
      </c>
      <c r="W41">
        <v>1.6292274191300551E-7</v>
      </c>
      <c r="X41">
        <v>8.3715536652446488E-5</v>
      </c>
      <c r="Y41">
        <v>1.441534514426629E-4</v>
      </c>
      <c r="Z41">
        <v>3.5287060768290748E-10</v>
      </c>
      <c r="AA41">
        <v>1.125689805907213E-11</v>
      </c>
      <c r="AB41">
        <v>5.6050315836443438E-10</v>
      </c>
      <c r="AC41" s="5">
        <f t="shared" si="0"/>
        <v>7.5369928895527641E-2</v>
      </c>
    </row>
    <row r="42" spans="1:29" s="3" customFormat="1" hidden="1" x14ac:dyDescent="0.35">
      <c r="A42" s="3" t="s">
        <v>44</v>
      </c>
      <c r="B42" s="3">
        <v>2020</v>
      </c>
      <c r="C42" s="3" t="s">
        <v>55</v>
      </c>
      <c r="D42" s="3" t="s">
        <v>5</v>
      </c>
      <c r="E42" s="3" t="s">
        <v>6</v>
      </c>
      <c r="F42" s="3" t="s">
        <v>50</v>
      </c>
      <c r="G42" s="3">
        <f>G52-G32</f>
        <v>4.0001552897997126</v>
      </c>
      <c r="H42" s="3">
        <f t="shared" ref="H42:AB51" si="3">H52-H32</f>
        <v>1.2000559762453735</v>
      </c>
      <c r="I42" s="3">
        <f t="shared" si="3"/>
        <v>7.6578605410108095E-13</v>
      </c>
      <c r="J42" s="3">
        <f t="shared" si="3"/>
        <v>6.3631621220671646E-6</v>
      </c>
      <c r="K42" s="3">
        <f t="shared" si="3"/>
        <v>1.1610115080712968</v>
      </c>
      <c r="L42" s="3">
        <f t="shared" si="3"/>
        <v>0.22373535517473456</v>
      </c>
      <c r="M42" s="3">
        <f t="shared" si="3"/>
        <v>3.7574043806742907E-7</v>
      </c>
      <c r="N42" s="3">
        <f t="shared" si="3"/>
        <v>8.3539846907043784E-10</v>
      </c>
      <c r="O42" s="3">
        <f t="shared" si="3"/>
        <v>7.1137088990011046E-5</v>
      </c>
      <c r="P42" s="3">
        <f t="shared" si="3"/>
        <v>7.0343612797874999E-5</v>
      </c>
      <c r="Q42" s="3">
        <f t="shared" si="3"/>
        <v>1.4453857131107708</v>
      </c>
      <c r="R42" s="3">
        <f t="shared" si="3"/>
        <v>0.15689924346411183</v>
      </c>
      <c r="S42" s="3">
        <f t="shared" si="3"/>
        <v>1.2679391597514135E-6</v>
      </c>
      <c r="T42" s="3">
        <f t="shared" si="3"/>
        <v>1.5344461642694052E-6</v>
      </c>
      <c r="U42" s="3">
        <f t="shared" si="3"/>
        <v>4.0913036697779164E-3</v>
      </c>
      <c r="V42" s="3">
        <f t="shared" si="3"/>
        <v>1.0952962490447242E-3</v>
      </c>
      <c r="W42" s="3">
        <f t="shared" si="3"/>
        <v>4.2799260605079401E-5</v>
      </c>
      <c r="X42" s="3">
        <f t="shared" si="3"/>
        <v>4.628232989591851E-2</v>
      </c>
      <c r="Y42" s="3">
        <f t="shared" si="3"/>
        <v>5.6007284326392966E-2</v>
      </c>
      <c r="Z42" s="3">
        <f t="shared" si="3"/>
        <v>7.1064129298896498E-8</v>
      </c>
      <c r="AA42" s="3">
        <f t="shared" si="3"/>
        <v>3.728344142461382E-9</v>
      </c>
      <c r="AB42" s="3">
        <f t="shared" si="3"/>
        <v>2.2084374718818102E-7</v>
      </c>
      <c r="AC42" s="5">
        <f t="shared" si="0"/>
        <v>8.294913417729795</v>
      </c>
    </row>
    <row r="43" spans="1:29" s="3" customFormat="1" hidden="1" x14ac:dyDescent="0.35">
      <c r="A43" s="3" t="s">
        <v>44</v>
      </c>
      <c r="B43" s="3">
        <v>2025</v>
      </c>
      <c r="C43" s="3" t="s">
        <v>55</v>
      </c>
      <c r="D43" s="3" t="s">
        <v>5</v>
      </c>
      <c r="E43" s="3" t="s">
        <v>6</v>
      </c>
      <c r="F43" s="3" t="s">
        <v>50</v>
      </c>
      <c r="G43" s="3">
        <f t="shared" ref="G43:V51" si="4">G53-G33</f>
        <v>4.0001552897997126</v>
      </c>
      <c r="H43" s="3">
        <f t="shared" si="4"/>
        <v>1.2000559762453735</v>
      </c>
      <c r="I43" s="3">
        <f t="shared" si="4"/>
        <v>7.6578605410108095E-13</v>
      </c>
      <c r="J43" s="3">
        <f t="shared" si="4"/>
        <v>6.3631621220671646E-6</v>
      </c>
      <c r="K43" s="3">
        <f t="shared" si="4"/>
        <v>1.1610115080712968</v>
      </c>
      <c r="L43" s="3">
        <f t="shared" si="4"/>
        <v>0.22373535517473456</v>
      </c>
      <c r="M43" s="3">
        <f t="shared" si="4"/>
        <v>3.7574043806742907E-7</v>
      </c>
      <c r="N43" s="3">
        <f t="shared" si="4"/>
        <v>8.3539846907043784E-10</v>
      </c>
      <c r="O43" s="3">
        <f t="shared" si="4"/>
        <v>7.1137088990011046E-5</v>
      </c>
      <c r="P43" s="3">
        <f t="shared" si="4"/>
        <v>7.0343612797874999E-5</v>
      </c>
      <c r="Q43" s="3">
        <f t="shared" si="4"/>
        <v>1.4453857131107708</v>
      </c>
      <c r="R43" s="3">
        <f t="shared" si="4"/>
        <v>0.15689924346411183</v>
      </c>
      <c r="S43" s="3">
        <f t="shared" si="4"/>
        <v>1.2679391597514135E-6</v>
      </c>
      <c r="T43" s="3">
        <f t="shared" si="4"/>
        <v>1.5344461642694052E-6</v>
      </c>
      <c r="U43" s="3">
        <f t="shared" si="4"/>
        <v>4.0913036697779164E-3</v>
      </c>
      <c r="V43" s="3">
        <f t="shared" si="4"/>
        <v>1.0952962490447242E-3</v>
      </c>
      <c r="W43" s="3">
        <f t="shared" si="3"/>
        <v>4.2799260605079401E-5</v>
      </c>
      <c r="X43" s="3">
        <f t="shared" si="3"/>
        <v>4.628232989591851E-2</v>
      </c>
      <c r="Y43" s="3">
        <f t="shared" si="3"/>
        <v>5.6007284326392966E-2</v>
      </c>
      <c r="Z43" s="3">
        <f t="shared" si="3"/>
        <v>7.1064129298896498E-8</v>
      </c>
      <c r="AA43" s="3">
        <f t="shared" si="3"/>
        <v>3.728344142461382E-9</v>
      </c>
      <c r="AB43" s="3">
        <f t="shared" si="3"/>
        <v>2.2084374718818102E-7</v>
      </c>
      <c r="AC43" s="5">
        <f t="shared" si="0"/>
        <v>8.294913417729795</v>
      </c>
    </row>
    <row r="44" spans="1:29" s="3" customFormat="1" hidden="1" x14ac:dyDescent="0.35">
      <c r="A44" s="3" t="s">
        <v>44</v>
      </c>
      <c r="B44" s="3">
        <v>2030</v>
      </c>
      <c r="C44" s="3" t="s">
        <v>55</v>
      </c>
      <c r="D44" s="3" t="s">
        <v>5</v>
      </c>
      <c r="E44" s="3" t="s">
        <v>6</v>
      </c>
      <c r="F44" s="3" t="s">
        <v>50</v>
      </c>
      <c r="G44" s="3">
        <f t="shared" si="4"/>
        <v>4.0001552897997126</v>
      </c>
      <c r="H44" s="3">
        <f t="shared" si="3"/>
        <v>1.2000559762453735</v>
      </c>
      <c r="I44" s="3">
        <f t="shared" si="3"/>
        <v>7.6578605410108095E-13</v>
      </c>
      <c r="J44" s="3">
        <f t="shared" si="3"/>
        <v>6.3631621220671646E-6</v>
      </c>
      <c r="K44" s="3">
        <f t="shared" si="3"/>
        <v>1.1610115080712968</v>
      </c>
      <c r="L44" s="3">
        <f t="shared" si="3"/>
        <v>0.22373535517473456</v>
      </c>
      <c r="M44" s="3">
        <f t="shared" si="3"/>
        <v>3.7574043806742907E-7</v>
      </c>
      <c r="N44" s="3">
        <f t="shared" si="3"/>
        <v>8.3539846907043784E-10</v>
      </c>
      <c r="O44" s="3">
        <f t="shared" si="3"/>
        <v>7.1137088990011046E-5</v>
      </c>
      <c r="P44" s="3">
        <f t="shared" si="3"/>
        <v>7.0343612797874999E-5</v>
      </c>
      <c r="Q44" s="3">
        <f t="shared" si="3"/>
        <v>1.4453857131107708</v>
      </c>
      <c r="R44" s="3">
        <f t="shared" si="3"/>
        <v>0.15689924346411183</v>
      </c>
      <c r="S44" s="3">
        <f t="shared" si="3"/>
        <v>1.2679391597514135E-6</v>
      </c>
      <c r="T44" s="3">
        <f t="shared" si="3"/>
        <v>1.5344461642694052E-6</v>
      </c>
      <c r="U44" s="3">
        <f t="shared" si="3"/>
        <v>4.0913036697779164E-3</v>
      </c>
      <c r="V44" s="3">
        <f t="shared" si="3"/>
        <v>1.0952962490447242E-3</v>
      </c>
      <c r="W44" s="3">
        <f t="shared" si="3"/>
        <v>4.2799260605079401E-5</v>
      </c>
      <c r="X44" s="3">
        <f t="shared" si="3"/>
        <v>4.628232989591851E-2</v>
      </c>
      <c r="Y44" s="3">
        <f t="shared" si="3"/>
        <v>5.6007284326392966E-2</v>
      </c>
      <c r="Z44" s="3">
        <f t="shared" si="3"/>
        <v>7.1064129298896498E-8</v>
      </c>
      <c r="AA44" s="3">
        <f t="shared" si="3"/>
        <v>3.728344142461382E-9</v>
      </c>
      <c r="AB44" s="3">
        <f t="shared" si="3"/>
        <v>2.2084374718818102E-7</v>
      </c>
      <c r="AC44" s="5">
        <f t="shared" si="0"/>
        <v>8.294913417729795</v>
      </c>
    </row>
    <row r="45" spans="1:29" s="3" customFormat="1" hidden="1" x14ac:dyDescent="0.35">
      <c r="A45" s="3" t="s">
        <v>44</v>
      </c>
      <c r="B45" s="3">
        <v>2035</v>
      </c>
      <c r="C45" s="3" t="s">
        <v>55</v>
      </c>
      <c r="D45" s="3" t="s">
        <v>5</v>
      </c>
      <c r="E45" s="3" t="s">
        <v>6</v>
      </c>
      <c r="F45" s="3" t="s">
        <v>50</v>
      </c>
      <c r="G45" s="3">
        <f t="shared" si="4"/>
        <v>4.0001552897997126</v>
      </c>
      <c r="H45" s="3">
        <f t="shared" si="3"/>
        <v>1.2000559762453735</v>
      </c>
      <c r="I45" s="3">
        <f t="shared" si="3"/>
        <v>7.6578605410108095E-13</v>
      </c>
      <c r="J45" s="3">
        <f t="shared" si="3"/>
        <v>6.3631621220671646E-6</v>
      </c>
      <c r="K45" s="3">
        <f t="shared" si="3"/>
        <v>1.1610115080712968</v>
      </c>
      <c r="L45" s="3">
        <f t="shared" si="3"/>
        <v>0.22373535517473456</v>
      </c>
      <c r="M45" s="3">
        <f t="shared" si="3"/>
        <v>3.7574043806742907E-7</v>
      </c>
      <c r="N45" s="3">
        <f t="shared" si="3"/>
        <v>8.3539846907043784E-10</v>
      </c>
      <c r="O45" s="3">
        <f t="shared" si="3"/>
        <v>7.1137088990011046E-5</v>
      </c>
      <c r="P45" s="3">
        <f t="shared" si="3"/>
        <v>7.0343612797874999E-5</v>
      </c>
      <c r="Q45" s="3">
        <f t="shared" si="3"/>
        <v>1.4453857131107708</v>
      </c>
      <c r="R45" s="3">
        <f t="shared" si="3"/>
        <v>0.15689924346411183</v>
      </c>
      <c r="S45" s="3">
        <f t="shared" si="3"/>
        <v>1.2679391597514135E-6</v>
      </c>
      <c r="T45" s="3">
        <f t="shared" si="3"/>
        <v>1.5344461642694052E-6</v>
      </c>
      <c r="U45" s="3">
        <f t="shared" si="3"/>
        <v>4.0913036697779164E-3</v>
      </c>
      <c r="V45" s="3">
        <f t="shared" si="3"/>
        <v>1.0952962490447242E-3</v>
      </c>
      <c r="W45" s="3">
        <f t="shared" si="3"/>
        <v>4.2799260605079401E-5</v>
      </c>
      <c r="X45" s="3">
        <f t="shared" si="3"/>
        <v>4.628232989591851E-2</v>
      </c>
      <c r="Y45" s="3">
        <f t="shared" si="3"/>
        <v>5.6007284326392966E-2</v>
      </c>
      <c r="Z45" s="3">
        <f t="shared" si="3"/>
        <v>7.1064129298896498E-8</v>
      </c>
      <c r="AA45" s="3">
        <f t="shared" si="3"/>
        <v>3.728344142461382E-9</v>
      </c>
      <c r="AB45" s="3">
        <f t="shared" si="3"/>
        <v>2.2084374718818102E-7</v>
      </c>
      <c r="AC45" s="5">
        <f t="shared" si="0"/>
        <v>8.294913417729795</v>
      </c>
    </row>
    <row r="46" spans="1:29" s="3" customFormat="1" hidden="1" x14ac:dyDescent="0.35">
      <c r="A46" s="3" t="s">
        <v>44</v>
      </c>
      <c r="B46" s="3">
        <v>2040</v>
      </c>
      <c r="C46" s="3" t="s">
        <v>55</v>
      </c>
      <c r="D46" s="3" t="s">
        <v>5</v>
      </c>
      <c r="E46" s="3" t="s">
        <v>6</v>
      </c>
      <c r="F46" s="3" t="s">
        <v>50</v>
      </c>
      <c r="G46" s="3">
        <f t="shared" si="4"/>
        <v>4.0001552897997126</v>
      </c>
      <c r="H46" s="3">
        <f t="shared" si="3"/>
        <v>1.2000559762453735</v>
      </c>
      <c r="I46" s="3">
        <f t="shared" si="3"/>
        <v>7.6578605410108095E-13</v>
      </c>
      <c r="J46" s="3">
        <f t="shared" si="3"/>
        <v>6.3631621220671646E-6</v>
      </c>
      <c r="K46" s="3">
        <f t="shared" si="3"/>
        <v>1.1610115080712968</v>
      </c>
      <c r="L46" s="3">
        <f t="shared" si="3"/>
        <v>0.22373535517473456</v>
      </c>
      <c r="M46" s="3">
        <f t="shared" si="3"/>
        <v>3.7574043806742907E-7</v>
      </c>
      <c r="N46" s="3">
        <f t="shared" si="3"/>
        <v>8.3539846907043784E-10</v>
      </c>
      <c r="O46" s="3">
        <f t="shared" si="3"/>
        <v>7.1137088990011046E-5</v>
      </c>
      <c r="P46" s="3">
        <f t="shared" si="3"/>
        <v>7.0343612797874999E-5</v>
      </c>
      <c r="Q46" s="3">
        <f t="shared" si="3"/>
        <v>1.4453857131107708</v>
      </c>
      <c r="R46" s="3">
        <f t="shared" si="3"/>
        <v>0.15689924346411183</v>
      </c>
      <c r="S46" s="3">
        <f t="shared" si="3"/>
        <v>1.2679391597514135E-6</v>
      </c>
      <c r="T46" s="3">
        <f t="shared" si="3"/>
        <v>1.5344461642694052E-6</v>
      </c>
      <c r="U46" s="3">
        <f t="shared" si="3"/>
        <v>4.0913036697779164E-3</v>
      </c>
      <c r="V46" s="3">
        <f t="shared" si="3"/>
        <v>1.0952962490447242E-3</v>
      </c>
      <c r="W46" s="3">
        <f t="shared" si="3"/>
        <v>4.2799260605079401E-5</v>
      </c>
      <c r="X46" s="3">
        <f t="shared" si="3"/>
        <v>4.628232989591851E-2</v>
      </c>
      <c r="Y46" s="3">
        <f t="shared" si="3"/>
        <v>5.6007284326392966E-2</v>
      </c>
      <c r="Z46" s="3">
        <f t="shared" si="3"/>
        <v>7.1064129298896498E-8</v>
      </c>
      <c r="AA46" s="3">
        <f t="shared" si="3"/>
        <v>3.728344142461382E-9</v>
      </c>
      <c r="AB46" s="3">
        <f t="shared" si="3"/>
        <v>2.2084374718818102E-7</v>
      </c>
      <c r="AC46" s="5">
        <f t="shared" si="0"/>
        <v>8.294913417729795</v>
      </c>
    </row>
    <row r="47" spans="1:29" s="3" customFormat="1" hidden="1" x14ac:dyDescent="0.35">
      <c r="A47" s="3" t="s">
        <v>44</v>
      </c>
      <c r="B47" s="3">
        <v>2020</v>
      </c>
      <c r="C47" s="3" t="s">
        <v>56</v>
      </c>
      <c r="D47" s="3" t="s">
        <v>48</v>
      </c>
      <c r="E47" s="3" t="s">
        <v>6</v>
      </c>
      <c r="F47" s="3" t="s">
        <v>50</v>
      </c>
      <c r="G47" s="3">
        <f t="shared" si="4"/>
        <v>4.2395122506244869</v>
      </c>
      <c r="H47" s="3">
        <f t="shared" si="3"/>
        <v>1.2748940910961317</v>
      </c>
      <c r="I47" s="3">
        <f t="shared" si="3"/>
        <v>4.6594443137843642E-13</v>
      </c>
      <c r="J47" s="3">
        <f t="shared" si="3"/>
        <v>6.2856871171700372E-6</v>
      </c>
      <c r="K47" s="3">
        <f t="shared" si="3"/>
        <v>1.2042246672149695</v>
      </c>
      <c r="L47" s="3">
        <f t="shared" si="3"/>
        <v>0.25572658751088695</v>
      </c>
      <c r="M47" s="3">
        <f t="shared" si="3"/>
        <v>3.7002488874139928E-7</v>
      </c>
      <c r="N47" s="3">
        <f t="shared" si="3"/>
        <v>8.2419653769871168E-10</v>
      </c>
      <c r="O47" s="3">
        <f t="shared" si="3"/>
        <v>6.9371442071708853E-5</v>
      </c>
      <c r="P47" s="3">
        <f t="shared" si="3"/>
        <v>6.9050952414470313E-5</v>
      </c>
      <c r="Q47" s="3">
        <f t="shared" si="3"/>
        <v>1.5317538705801108</v>
      </c>
      <c r="R47" s="3">
        <f t="shared" si="3"/>
        <v>0.16627469516474713</v>
      </c>
      <c r="S47" s="3">
        <f t="shared" si="3"/>
        <v>1.2840410447706693E-6</v>
      </c>
      <c r="T47" s="3">
        <f t="shared" si="3"/>
        <v>1.5503989805542199E-6</v>
      </c>
      <c r="U47" s="3">
        <f t="shared" si="3"/>
        <v>4.1288394401491251E-3</v>
      </c>
      <c r="V47" s="3">
        <f t="shared" si="3"/>
        <v>1.1200659917319907E-3</v>
      </c>
      <c r="W47" s="3">
        <f t="shared" si="3"/>
        <v>4.2260828282406772E-5</v>
      </c>
      <c r="X47" s="3">
        <f t="shared" si="3"/>
        <v>4.6870257396783702E-2</v>
      </c>
      <c r="Y47" s="3">
        <f t="shared" si="3"/>
        <v>5.6589562117010335E-2</v>
      </c>
      <c r="Z47" s="3">
        <f t="shared" si="3"/>
        <v>7.0437133432134653E-8</v>
      </c>
      <c r="AA47" s="3">
        <f t="shared" si="3"/>
        <v>3.6814503707149001E-9</v>
      </c>
      <c r="AB47" s="3">
        <f t="shared" si="3"/>
        <v>2.1602479949503198E-7</v>
      </c>
      <c r="AC47" s="5">
        <f t="shared" si="0"/>
        <v>8.7812853514798519</v>
      </c>
    </row>
    <row r="48" spans="1:29" s="3" customFormat="1" hidden="1" x14ac:dyDescent="0.35">
      <c r="A48" s="3" t="s">
        <v>44</v>
      </c>
      <c r="B48" s="3">
        <v>2025</v>
      </c>
      <c r="C48" s="3" t="s">
        <v>56</v>
      </c>
      <c r="D48" s="3" t="s">
        <v>48</v>
      </c>
      <c r="E48" s="3" t="s">
        <v>6</v>
      </c>
      <c r="F48" s="3" t="s">
        <v>50</v>
      </c>
      <c r="G48" s="3">
        <f t="shared" si="4"/>
        <v>4.2395122506244869</v>
      </c>
      <c r="H48" s="3">
        <f t="shared" si="3"/>
        <v>1.2748940910961317</v>
      </c>
      <c r="I48" s="3">
        <f t="shared" si="3"/>
        <v>4.6594443137843642E-13</v>
      </c>
      <c r="J48" s="3">
        <f t="shared" si="3"/>
        <v>6.2856871171700372E-6</v>
      </c>
      <c r="K48" s="3">
        <f t="shared" si="3"/>
        <v>1.2042246672149695</v>
      </c>
      <c r="L48" s="3">
        <f t="shared" si="3"/>
        <v>0.25572658751088695</v>
      </c>
      <c r="M48" s="3">
        <f t="shared" si="3"/>
        <v>3.7002488874139928E-7</v>
      </c>
      <c r="N48" s="3">
        <f t="shared" si="3"/>
        <v>8.2419653769871168E-10</v>
      </c>
      <c r="O48" s="3">
        <f t="shared" si="3"/>
        <v>6.9371442071708853E-5</v>
      </c>
      <c r="P48" s="3">
        <f t="shared" si="3"/>
        <v>6.9050952414470313E-5</v>
      </c>
      <c r="Q48" s="3">
        <f t="shared" si="3"/>
        <v>1.5317538705801108</v>
      </c>
      <c r="R48" s="3">
        <f t="shared" si="3"/>
        <v>0.16627469516474713</v>
      </c>
      <c r="S48" s="3">
        <f t="shared" si="3"/>
        <v>1.2840410447706693E-6</v>
      </c>
      <c r="T48" s="3">
        <f t="shared" si="3"/>
        <v>1.5503989805542199E-6</v>
      </c>
      <c r="U48" s="3">
        <f t="shared" si="3"/>
        <v>4.1288394401491251E-3</v>
      </c>
      <c r="V48" s="3">
        <f t="shared" si="3"/>
        <v>1.1200659917319907E-3</v>
      </c>
      <c r="W48" s="3">
        <f t="shared" si="3"/>
        <v>4.2260828282406772E-5</v>
      </c>
      <c r="X48" s="3">
        <f t="shared" si="3"/>
        <v>4.6870257396783702E-2</v>
      </c>
      <c r="Y48" s="3">
        <f t="shared" si="3"/>
        <v>5.6589562117010335E-2</v>
      </c>
      <c r="Z48" s="3">
        <f t="shared" si="3"/>
        <v>7.0437133432134653E-8</v>
      </c>
      <c r="AA48" s="3">
        <f t="shared" si="3"/>
        <v>3.6814503707149001E-9</v>
      </c>
      <c r="AB48" s="3">
        <f t="shared" si="3"/>
        <v>2.1602479949503198E-7</v>
      </c>
      <c r="AC48" s="5">
        <f t="shared" si="0"/>
        <v>8.7812853514798519</v>
      </c>
    </row>
    <row r="49" spans="1:29" s="3" customFormat="1" hidden="1" x14ac:dyDescent="0.35">
      <c r="A49" s="3" t="s">
        <v>44</v>
      </c>
      <c r="B49" s="3">
        <v>2030</v>
      </c>
      <c r="C49" s="3" t="s">
        <v>56</v>
      </c>
      <c r="D49" s="3" t="s">
        <v>48</v>
      </c>
      <c r="E49" s="3" t="s">
        <v>6</v>
      </c>
      <c r="F49" s="3" t="s">
        <v>50</v>
      </c>
      <c r="G49" s="3">
        <f t="shared" si="4"/>
        <v>4.2395122506244869</v>
      </c>
      <c r="H49" s="3">
        <f t="shared" si="3"/>
        <v>1.2748940910961317</v>
      </c>
      <c r="I49" s="3">
        <f t="shared" si="3"/>
        <v>4.6594443137843642E-13</v>
      </c>
      <c r="J49" s="3">
        <f t="shared" si="3"/>
        <v>6.2856871171700372E-6</v>
      </c>
      <c r="K49" s="3">
        <f t="shared" si="3"/>
        <v>1.2042246672149695</v>
      </c>
      <c r="L49" s="3">
        <f t="shared" si="3"/>
        <v>0.25572658751088695</v>
      </c>
      <c r="M49" s="3">
        <f t="shared" si="3"/>
        <v>3.7002488874139928E-7</v>
      </c>
      <c r="N49" s="3">
        <f t="shared" si="3"/>
        <v>8.2419653769871168E-10</v>
      </c>
      <c r="O49" s="3">
        <f t="shared" si="3"/>
        <v>6.9371442071708853E-5</v>
      </c>
      <c r="P49" s="3">
        <f t="shared" si="3"/>
        <v>6.9050952414470313E-5</v>
      </c>
      <c r="Q49" s="3">
        <f t="shared" si="3"/>
        <v>1.5317538705801108</v>
      </c>
      <c r="R49" s="3">
        <f t="shared" si="3"/>
        <v>0.16627469516474713</v>
      </c>
      <c r="S49" s="3">
        <f t="shared" si="3"/>
        <v>1.2840410447706693E-6</v>
      </c>
      <c r="T49" s="3">
        <f t="shared" si="3"/>
        <v>1.5503989805542199E-6</v>
      </c>
      <c r="U49" s="3">
        <f t="shared" si="3"/>
        <v>4.1288394401491251E-3</v>
      </c>
      <c r="V49" s="3">
        <f t="shared" si="3"/>
        <v>1.1200659917319907E-3</v>
      </c>
      <c r="W49" s="3">
        <f t="shared" si="3"/>
        <v>4.2260828282406772E-5</v>
      </c>
      <c r="X49" s="3">
        <f t="shared" si="3"/>
        <v>4.6870257396783702E-2</v>
      </c>
      <c r="Y49" s="3">
        <f t="shared" si="3"/>
        <v>5.6589562117010335E-2</v>
      </c>
      <c r="Z49" s="3">
        <f t="shared" si="3"/>
        <v>7.0437133432134653E-8</v>
      </c>
      <c r="AA49" s="3">
        <f t="shared" si="3"/>
        <v>3.6814503707149001E-9</v>
      </c>
      <c r="AB49" s="3">
        <f t="shared" si="3"/>
        <v>2.1602479949503198E-7</v>
      </c>
      <c r="AC49" s="5">
        <f t="shared" si="0"/>
        <v>8.7812853514798519</v>
      </c>
    </row>
    <row r="50" spans="1:29" s="3" customFormat="1" hidden="1" x14ac:dyDescent="0.35">
      <c r="A50" s="3" t="s">
        <v>44</v>
      </c>
      <c r="B50" s="3">
        <v>2035</v>
      </c>
      <c r="C50" s="3" t="s">
        <v>56</v>
      </c>
      <c r="D50" s="3" t="s">
        <v>48</v>
      </c>
      <c r="E50" s="3" t="s">
        <v>6</v>
      </c>
      <c r="F50" s="3" t="s">
        <v>50</v>
      </c>
      <c r="G50" s="3">
        <f t="shared" si="4"/>
        <v>4.2395122506244869</v>
      </c>
      <c r="H50" s="3">
        <f t="shared" si="3"/>
        <v>1.2748940910961317</v>
      </c>
      <c r="I50" s="3">
        <f t="shared" si="3"/>
        <v>4.6594443137843642E-13</v>
      </c>
      <c r="J50" s="3">
        <f t="shared" si="3"/>
        <v>6.2856871171700372E-6</v>
      </c>
      <c r="K50" s="3">
        <f t="shared" si="3"/>
        <v>1.2042246672149695</v>
      </c>
      <c r="L50" s="3">
        <f t="shared" si="3"/>
        <v>0.25572658751088695</v>
      </c>
      <c r="M50" s="3">
        <f t="shared" si="3"/>
        <v>3.7002488874139928E-7</v>
      </c>
      <c r="N50" s="3">
        <f t="shared" si="3"/>
        <v>8.2419653769871168E-10</v>
      </c>
      <c r="O50" s="3">
        <f t="shared" si="3"/>
        <v>6.9371442071708853E-5</v>
      </c>
      <c r="P50" s="3">
        <f t="shared" si="3"/>
        <v>6.9050952414470313E-5</v>
      </c>
      <c r="Q50" s="3">
        <f t="shared" si="3"/>
        <v>1.5317538705801108</v>
      </c>
      <c r="R50" s="3">
        <f t="shared" si="3"/>
        <v>0.16627469516474713</v>
      </c>
      <c r="S50" s="3">
        <f t="shared" si="3"/>
        <v>1.2840410447706693E-6</v>
      </c>
      <c r="T50" s="3">
        <f t="shared" si="3"/>
        <v>1.5503989805542199E-6</v>
      </c>
      <c r="U50" s="3">
        <f t="shared" si="3"/>
        <v>4.1288394401491251E-3</v>
      </c>
      <c r="V50" s="3">
        <f t="shared" si="3"/>
        <v>1.1200659917319907E-3</v>
      </c>
      <c r="W50" s="3">
        <f t="shared" si="3"/>
        <v>4.2260828282406772E-5</v>
      </c>
      <c r="X50" s="3">
        <f t="shared" si="3"/>
        <v>4.6870257396783702E-2</v>
      </c>
      <c r="Y50" s="3">
        <f t="shared" si="3"/>
        <v>5.6589562117010335E-2</v>
      </c>
      <c r="Z50" s="3">
        <f t="shared" si="3"/>
        <v>7.0437133432134653E-8</v>
      </c>
      <c r="AA50" s="3">
        <f t="shared" si="3"/>
        <v>3.6814503707149001E-9</v>
      </c>
      <c r="AB50" s="3">
        <f t="shared" si="3"/>
        <v>2.1602479949503198E-7</v>
      </c>
      <c r="AC50" s="5">
        <f t="shared" si="0"/>
        <v>8.7812853514798519</v>
      </c>
    </row>
    <row r="51" spans="1:29" s="3" customFormat="1" hidden="1" x14ac:dyDescent="0.35">
      <c r="A51" s="3" t="s">
        <v>44</v>
      </c>
      <c r="B51" s="3">
        <v>2040</v>
      </c>
      <c r="C51" s="3" t="s">
        <v>56</v>
      </c>
      <c r="D51" s="3" t="s">
        <v>48</v>
      </c>
      <c r="E51" s="3" t="s">
        <v>6</v>
      </c>
      <c r="F51" s="3" t="s">
        <v>50</v>
      </c>
      <c r="G51" s="3">
        <f t="shared" si="4"/>
        <v>4.2395122506244869</v>
      </c>
      <c r="H51" s="3">
        <f t="shared" si="3"/>
        <v>1.2748940910961317</v>
      </c>
      <c r="I51" s="3">
        <f t="shared" si="3"/>
        <v>4.6594443137843642E-13</v>
      </c>
      <c r="J51" s="3">
        <f t="shared" si="3"/>
        <v>6.2856871171700372E-6</v>
      </c>
      <c r="K51" s="3">
        <f t="shared" si="3"/>
        <v>1.2042246672149695</v>
      </c>
      <c r="L51" s="3">
        <f t="shared" si="3"/>
        <v>0.25572658751088695</v>
      </c>
      <c r="M51" s="3">
        <f t="shared" si="3"/>
        <v>3.7002488874139928E-7</v>
      </c>
      <c r="N51" s="3">
        <f t="shared" si="3"/>
        <v>8.2419653769871168E-10</v>
      </c>
      <c r="O51" s="3">
        <f t="shared" si="3"/>
        <v>6.9371442071708853E-5</v>
      </c>
      <c r="P51" s="3">
        <f t="shared" si="3"/>
        <v>6.9050952414470313E-5</v>
      </c>
      <c r="Q51" s="3">
        <f t="shared" si="3"/>
        <v>1.5317538705801108</v>
      </c>
      <c r="R51" s="3">
        <f t="shared" si="3"/>
        <v>0.16627469516474713</v>
      </c>
      <c r="S51" s="3">
        <f t="shared" si="3"/>
        <v>1.2840410447706693E-6</v>
      </c>
      <c r="T51" s="3">
        <f t="shared" si="3"/>
        <v>1.5503989805542199E-6</v>
      </c>
      <c r="U51" s="3">
        <f t="shared" si="3"/>
        <v>4.1288394401491251E-3</v>
      </c>
      <c r="V51" s="3">
        <f t="shared" si="3"/>
        <v>1.1200659917319907E-3</v>
      </c>
      <c r="W51" s="3">
        <f t="shared" si="3"/>
        <v>4.2260828282406772E-5</v>
      </c>
      <c r="X51" s="3">
        <f t="shared" si="3"/>
        <v>4.6870257396783702E-2</v>
      </c>
      <c r="Y51" s="3">
        <f t="shared" si="3"/>
        <v>5.6589562117010335E-2</v>
      </c>
      <c r="Z51" s="3">
        <f t="shared" si="3"/>
        <v>7.0437133432134653E-8</v>
      </c>
      <c r="AA51" s="3">
        <f t="shared" si="3"/>
        <v>3.6814503707149001E-9</v>
      </c>
      <c r="AB51" s="3">
        <f t="shared" si="3"/>
        <v>2.1602479949503198E-7</v>
      </c>
      <c r="AC51" s="5">
        <f t="shared" si="0"/>
        <v>8.7812853514798519</v>
      </c>
    </row>
    <row r="52" spans="1:29" hidden="1" x14ac:dyDescent="0.35">
      <c r="A52" t="s">
        <v>44</v>
      </c>
      <c r="B52">
        <v>2020</v>
      </c>
      <c r="C52" t="s">
        <v>55</v>
      </c>
      <c r="D52" t="s">
        <v>5</v>
      </c>
      <c r="E52" t="s">
        <v>6</v>
      </c>
      <c r="F52" t="s">
        <v>52</v>
      </c>
      <c r="G52">
        <v>4.013336723464799</v>
      </c>
      <c r="H52">
        <v>1.2040489885412831</v>
      </c>
      <c r="I52">
        <v>7.6585809221105757E-13</v>
      </c>
      <c r="J52">
        <v>6.3786523801415757E-6</v>
      </c>
      <c r="K52">
        <v>1.1616946247122479</v>
      </c>
      <c r="L52">
        <v>0.2244012101259617</v>
      </c>
      <c r="M52">
        <v>3.7600549302417951E-7</v>
      </c>
      <c r="N52">
        <v>8.3548058570128384E-10</v>
      </c>
      <c r="O52">
        <v>7.1174887032826579E-5</v>
      </c>
      <c r="P52">
        <v>7.0390351514584837E-5</v>
      </c>
      <c r="Q52">
        <v>1.450171968738291</v>
      </c>
      <c r="R52">
        <v>0.15741879923023161</v>
      </c>
      <c r="S52">
        <v>1.268350026333444E-6</v>
      </c>
      <c r="T52">
        <v>1.5349532903009079E-6</v>
      </c>
      <c r="U52">
        <v>4.0936946258859708E-3</v>
      </c>
      <c r="V52">
        <v>1.1006865964700849E-3</v>
      </c>
      <c r="W52">
        <v>4.2900154806822613E-5</v>
      </c>
      <c r="X52">
        <v>4.6297327537305213E-2</v>
      </c>
      <c r="Y52">
        <v>5.6025794426475782E-2</v>
      </c>
      <c r="Z52">
        <v>7.1284289626434262E-8</v>
      </c>
      <c r="AA52">
        <v>3.734289383285207E-9</v>
      </c>
      <c r="AB52">
        <v>2.2101440611200649E-7</v>
      </c>
      <c r="AC52" s="5">
        <f t="shared" si="0"/>
        <v>8.3187841382227283</v>
      </c>
    </row>
    <row r="53" spans="1:29" hidden="1" x14ac:dyDescent="0.35">
      <c r="A53" t="s">
        <v>44</v>
      </c>
      <c r="B53">
        <v>2025</v>
      </c>
      <c r="C53" t="s">
        <v>55</v>
      </c>
      <c r="D53" t="s">
        <v>5</v>
      </c>
      <c r="E53" t="s">
        <v>6</v>
      </c>
      <c r="F53" t="s">
        <v>52</v>
      </c>
      <c r="G53">
        <v>4.013336723464799</v>
      </c>
      <c r="H53">
        <v>1.2040489885412831</v>
      </c>
      <c r="I53">
        <v>7.6585809221105757E-13</v>
      </c>
      <c r="J53">
        <v>6.3786523801415757E-6</v>
      </c>
      <c r="K53">
        <v>1.1616946247122479</v>
      </c>
      <c r="L53">
        <v>0.2244012101259617</v>
      </c>
      <c r="M53">
        <v>3.7600549302417951E-7</v>
      </c>
      <c r="N53">
        <v>8.3548058570128384E-10</v>
      </c>
      <c r="O53">
        <v>7.1174887032826579E-5</v>
      </c>
      <c r="P53">
        <v>7.0390351514584837E-5</v>
      </c>
      <c r="Q53">
        <v>1.450171968738291</v>
      </c>
      <c r="R53">
        <v>0.15741879923023161</v>
      </c>
      <c r="S53">
        <v>1.268350026333444E-6</v>
      </c>
      <c r="T53">
        <v>1.5349532903009079E-6</v>
      </c>
      <c r="U53">
        <v>4.0936946258859708E-3</v>
      </c>
      <c r="V53">
        <v>1.1006865964700849E-3</v>
      </c>
      <c r="W53">
        <v>4.2900154806822613E-5</v>
      </c>
      <c r="X53">
        <v>4.6297327537305213E-2</v>
      </c>
      <c r="Y53">
        <v>5.6025794426475782E-2</v>
      </c>
      <c r="Z53">
        <v>7.1284289626434262E-8</v>
      </c>
      <c r="AA53">
        <v>3.734289383285207E-9</v>
      </c>
      <c r="AB53">
        <v>2.2101440611200649E-7</v>
      </c>
      <c r="AC53" s="5">
        <f t="shared" si="0"/>
        <v>8.3187841382227283</v>
      </c>
    </row>
    <row r="54" spans="1:29" hidden="1" x14ac:dyDescent="0.35">
      <c r="A54" t="s">
        <v>44</v>
      </c>
      <c r="B54">
        <v>2030</v>
      </c>
      <c r="C54" t="s">
        <v>55</v>
      </c>
      <c r="D54" t="s">
        <v>5</v>
      </c>
      <c r="E54" t="s">
        <v>6</v>
      </c>
      <c r="F54" t="s">
        <v>52</v>
      </c>
      <c r="G54">
        <v>4.013336723464799</v>
      </c>
      <c r="H54">
        <v>1.2040489885412831</v>
      </c>
      <c r="I54">
        <v>7.6585809221105757E-13</v>
      </c>
      <c r="J54">
        <v>6.3786523801415757E-6</v>
      </c>
      <c r="K54">
        <v>1.1616946247122479</v>
      </c>
      <c r="L54">
        <v>0.2244012101259617</v>
      </c>
      <c r="M54">
        <v>3.7600549302417951E-7</v>
      </c>
      <c r="N54">
        <v>8.3548058570128384E-10</v>
      </c>
      <c r="O54">
        <v>7.1174887032826579E-5</v>
      </c>
      <c r="P54">
        <v>7.0390351514584837E-5</v>
      </c>
      <c r="Q54">
        <v>1.450171968738291</v>
      </c>
      <c r="R54">
        <v>0.15741879923023161</v>
      </c>
      <c r="S54">
        <v>1.268350026333444E-6</v>
      </c>
      <c r="T54">
        <v>1.5349532903009079E-6</v>
      </c>
      <c r="U54">
        <v>4.0936946258859708E-3</v>
      </c>
      <c r="V54">
        <v>1.1006865964700849E-3</v>
      </c>
      <c r="W54">
        <v>4.2900154806822613E-5</v>
      </c>
      <c r="X54">
        <v>4.6297327537305213E-2</v>
      </c>
      <c r="Y54">
        <v>5.6025794426475782E-2</v>
      </c>
      <c r="Z54">
        <v>7.1284289626434262E-8</v>
      </c>
      <c r="AA54">
        <v>3.734289383285207E-9</v>
      </c>
      <c r="AB54">
        <v>2.2101440611200649E-7</v>
      </c>
      <c r="AC54" s="5">
        <f t="shared" si="0"/>
        <v>8.3187841382227283</v>
      </c>
    </row>
    <row r="55" spans="1:29" hidden="1" x14ac:dyDescent="0.35">
      <c r="A55" t="s">
        <v>44</v>
      </c>
      <c r="B55">
        <v>2035</v>
      </c>
      <c r="C55" t="s">
        <v>55</v>
      </c>
      <c r="D55" t="s">
        <v>5</v>
      </c>
      <c r="E55" t="s">
        <v>6</v>
      </c>
      <c r="F55" t="s">
        <v>52</v>
      </c>
      <c r="G55">
        <v>4.013336723464799</v>
      </c>
      <c r="H55">
        <v>1.2040489885412831</v>
      </c>
      <c r="I55">
        <v>7.6585809221105757E-13</v>
      </c>
      <c r="J55">
        <v>6.3786523801415757E-6</v>
      </c>
      <c r="K55">
        <v>1.1616946247122479</v>
      </c>
      <c r="L55">
        <v>0.2244012101259617</v>
      </c>
      <c r="M55">
        <v>3.7600549302417951E-7</v>
      </c>
      <c r="N55">
        <v>8.3548058570128384E-10</v>
      </c>
      <c r="O55">
        <v>7.1174887032826579E-5</v>
      </c>
      <c r="P55">
        <v>7.0390351514584837E-5</v>
      </c>
      <c r="Q55">
        <v>1.450171968738291</v>
      </c>
      <c r="R55">
        <v>0.15741879923023161</v>
      </c>
      <c r="S55">
        <v>1.268350026333444E-6</v>
      </c>
      <c r="T55">
        <v>1.5349532903009079E-6</v>
      </c>
      <c r="U55">
        <v>4.0936946258859708E-3</v>
      </c>
      <c r="V55">
        <v>1.1006865964700849E-3</v>
      </c>
      <c r="W55">
        <v>4.2900154806822613E-5</v>
      </c>
      <c r="X55">
        <v>4.6297327537305213E-2</v>
      </c>
      <c r="Y55">
        <v>5.6025794426475782E-2</v>
      </c>
      <c r="Z55">
        <v>7.1284289626434262E-8</v>
      </c>
      <c r="AA55">
        <v>3.734289383285207E-9</v>
      </c>
      <c r="AB55">
        <v>2.2101440611200649E-7</v>
      </c>
      <c r="AC55" s="5">
        <f t="shared" si="0"/>
        <v>8.3187841382227283</v>
      </c>
    </row>
    <row r="56" spans="1:29" hidden="1" x14ac:dyDescent="0.35">
      <c r="A56" t="s">
        <v>44</v>
      </c>
      <c r="B56">
        <v>2040</v>
      </c>
      <c r="C56" t="s">
        <v>55</v>
      </c>
      <c r="D56" t="s">
        <v>5</v>
      </c>
      <c r="E56" t="s">
        <v>6</v>
      </c>
      <c r="F56" t="s">
        <v>52</v>
      </c>
      <c r="G56">
        <v>4.013336723464799</v>
      </c>
      <c r="H56">
        <v>1.2040489885412831</v>
      </c>
      <c r="I56">
        <v>7.6585809221105757E-13</v>
      </c>
      <c r="J56">
        <v>6.3786523801415757E-6</v>
      </c>
      <c r="K56">
        <v>1.1616946247122479</v>
      </c>
      <c r="L56">
        <v>0.2244012101259617</v>
      </c>
      <c r="M56">
        <v>3.7600549302417951E-7</v>
      </c>
      <c r="N56">
        <v>8.3548058570128384E-10</v>
      </c>
      <c r="O56">
        <v>7.1174887032826579E-5</v>
      </c>
      <c r="P56">
        <v>7.0390351514584837E-5</v>
      </c>
      <c r="Q56">
        <v>1.450171968738291</v>
      </c>
      <c r="R56">
        <v>0.15741879923023161</v>
      </c>
      <c r="S56">
        <v>1.268350026333444E-6</v>
      </c>
      <c r="T56">
        <v>1.5349532903009079E-6</v>
      </c>
      <c r="U56">
        <v>4.0936946258859708E-3</v>
      </c>
      <c r="V56">
        <v>1.1006865964700849E-3</v>
      </c>
      <c r="W56">
        <v>4.2900154806822613E-5</v>
      </c>
      <c r="X56">
        <v>4.6297327537305213E-2</v>
      </c>
      <c r="Y56">
        <v>5.6025794426475782E-2</v>
      </c>
      <c r="Z56">
        <v>7.1284289626434262E-8</v>
      </c>
      <c r="AA56">
        <v>3.734289383285207E-9</v>
      </c>
      <c r="AB56">
        <v>2.2101440611200649E-7</v>
      </c>
      <c r="AC56" s="5">
        <f t="shared" si="0"/>
        <v>8.3187841382227283</v>
      </c>
    </row>
    <row r="57" spans="1:29" hidden="1" x14ac:dyDescent="0.35">
      <c r="A57" t="s">
        <v>44</v>
      </c>
      <c r="B57">
        <v>2020</v>
      </c>
      <c r="C57" t="s">
        <v>56</v>
      </c>
      <c r="D57" t="s">
        <v>48</v>
      </c>
      <c r="E57" t="s">
        <v>6</v>
      </c>
      <c r="F57" t="s">
        <v>52</v>
      </c>
      <c r="G57">
        <v>4.2811430077619042</v>
      </c>
      <c r="H57">
        <v>1.287489814636587</v>
      </c>
      <c r="I57">
        <v>4.6651409928376957E-13</v>
      </c>
      <c r="J57">
        <v>6.3105843495212311E-6</v>
      </c>
      <c r="K57">
        <v>1.206382796809027</v>
      </c>
      <c r="L57">
        <v>0.25774957214594107</v>
      </c>
      <c r="M57">
        <v>3.7055073843638679E-7</v>
      </c>
      <c r="N57">
        <v>8.244566788853745E-10</v>
      </c>
      <c r="O57">
        <v>6.9450729115232214E-5</v>
      </c>
      <c r="P57">
        <v>6.91830632937665E-5</v>
      </c>
      <c r="Q57">
        <v>1.546827847625643</v>
      </c>
      <c r="R57">
        <v>0.16791100641963971</v>
      </c>
      <c r="S57">
        <v>1.2863345263807051E-6</v>
      </c>
      <c r="T57">
        <v>1.554348390256444E-6</v>
      </c>
      <c r="U57">
        <v>4.1361548726622866E-3</v>
      </c>
      <c r="V57">
        <v>1.136520347712746E-3</v>
      </c>
      <c r="W57">
        <v>4.2423751024319777E-5</v>
      </c>
      <c r="X57">
        <v>4.6953972933436151E-2</v>
      </c>
      <c r="Y57">
        <v>5.6733715568452997E-2</v>
      </c>
      <c r="Z57">
        <v>7.0790004039817565E-8</v>
      </c>
      <c r="AA57">
        <v>3.6927072687739721E-9</v>
      </c>
      <c r="AB57">
        <v>2.1658530265339641E-7</v>
      </c>
      <c r="AC57" s="5">
        <f t="shared" si="0"/>
        <v>8.8566552803753815</v>
      </c>
    </row>
    <row r="58" spans="1:29" hidden="1" x14ac:dyDescent="0.35">
      <c r="A58" t="s">
        <v>44</v>
      </c>
      <c r="B58">
        <v>2025</v>
      </c>
      <c r="C58" t="s">
        <v>56</v>
      </c>
      <c r="D58" t="s">
        <v>48</v>
      </c>
      <c r="E58" t="s">
        <v>6</v>
      </c>
      <c r="F58" t="s">
        <v>52</v>
      </c>
      <c r="G58">
        <v>4.2811430077619042</v>
      </c>
      <c r="H58">
        <v>1.287489814636587</v>
      </c>
      <c r="I58">
        <v>4.6651409928376957E-13</v>
      </c>
      <c r="J58">
        <v>6.3105843495212311E-6</v>
      </c>
      <c r="K58">
        <v>1.206382796809027</v>
      </c>
      <c r="L58">
        <v>0.25774957214594107</v>
      </c>
      <c r="M58">
        <v>3.7055073843638679E-7</v>
      </c>
      <c r="N58">
        <v>8.244566788853745E-10</v>
      </c>
      <c r="O58">
        <v>6.9450729115232214E-5</v>
      </c>
      <c r="P58">
        <v>6.91830632937665E-5</v>
      </c>
      <c r="Q58">
        <v>1.546827847625643</v>
      </c>
      <c r="R58">
        <v>0.16791100641963971</v>
      </c>
      <c r="S58">
        <v>1.2863345263807051E-6</v>
      </c>
      <c r="T58">
        <v>1.554348390256444E-6</v>
      </c>
      <c r="U58">
        <v>4.1361548726622866E-3</v>
      </c>
      <c r="V58">
        <v>1.136520347712746E-3</v>
      </c>
      <c r="W58">
        <v>4.2423751024319777E-5</v>
      </c>
      <c r="X58">
        <v>4.6953972933436151E-2</v>
      </c>
      <c r="Y58">
        <v>5.6733715568452997E-2</v>
      </c>
      <c r="Z58">
        <v>7.0790004039817565E-8</v>
      </c>
      <c r="AA58">
        <v>3.6927072687739721E-9</v>
      </c>
      <c r="AB58">
        <v>2.1658530265339641E-7</v>
      </c>
      <c r="AC58" s="5">
        <f t="shared" si="0"/>
        <v>8.8566552803753815</v>
      </c>
    </row>
    <row r="59" spans="1:29" hidden="1" x14ac:dyDescent="0.35">
      <c r="A59" t="s">
        <v>44</v>
      </c>
      <c r="B59">
        <v>2030</v>
      </c>
      <c r="C59" t="s">
        <v>56</v>
      </c>
      <c r="D59" t="s">
        <v>48</v>
      </c>
      <c r="E59" t="s">
        <v>6</v>
      </c>
      <c r="F59" t="s">
        <v>52</v>
      </c>
      <c r="G59">
        <v>4.2811430077619042</v>
      </c>
      <c r="H59">
        <v>1.287489814636587</v>
      </c>
      <c r="I59">
        <v>4.6651409928376957E-13</v>
      </c>
      <c r="J59">
        <v>6.3105843495212311E-6</v>
      </c>
      <c r="K59">
        <v>1.206382796809027</v>
      </c>
      <c r="L59">
        <v>0.25774957214594107</v>
      </c>
      <c r="M59">
        <v>3.7055073843638679E-7</v>
      </c>
      <c r="N59">
        <v>8.244566788853745E-10</v>
      </c>
      <c r="O59">
        <v>6.9450729115232214E-5</v>
      </c>
      <c r="P59">
        <v>6.91830632937665E-5</v>
      </c>
      <c r="Q59">
        <v>1.546827847625643</v>
      </c>
      <c r="R59">
        <v>0.16791100641963971</v>
      </c>
      <c r="S59">
        <v>1.2863345263807051E-6</v>
      </c>
      <c r="T59">
        <v>1.554348390256444E-6</v>
      </c>
      <c r="U59">
        <v>4.1361548726622866E-3</v>
      </c>
      <c r="V59">
        <v>1.136520347712746E-3</v>
      </c>
      <c r="W59">
        <v>4.2423751024319777E-5</v>
      </c>
      <c r="X59">
        <v>4.6953972933436151E-2</v>
      </c>
      <c r="Y59">
        <v>5.6733715568452997E-2</v>
      </c>
      <c r="Z59">
        <v>7.0790004039817565E-8</v>
      </c>
      <c r="AA59">
        <v>3.6927072687739721E-9</v>
      </c>
      <c r="AB59">
        <v>2.1658530265339641E-7</v>
      </c>
      <c r="AC59" s="5">
        <f t="shared" si="0"/>
        <v>8.8566552803753815</v>
      </c>
    </row>
    <row r="60" spans="1:29" hidden="1" x14ac:dyDescent="0.35">
      <c r="A60" t="s">
        <v>44</v>
      </c>
      <c r="B60">
        <v>2035</v>
      </c>
      <c r="C60" t="s">
        <v>56</v>
      </c>
      <c r="D60" t="s">
        <v>48</v>
      </c>
      <c r="E60" t="s">
        <v>6</v>
      </c>
      <c r="F60" t="s">
        <v>52</v>
      </c>
      <c r="G60">
        <v>4.2811430077619042</v>
      </c>
      <c r="H60">
        <v>1.287489814636587</v>
      </c>
      <c r="I60">
        <v>4.6651409928376957E-13</v>
      </c>
      <c r="J60">
        <v>6.3105843495212311E-6</v>
      </c>
      <c r="K60">
        <v>1.206382796809027</v>
      </c>
      <c r="L60">
        <v>0.25774957214594107</v>
      </c>
      <c r="M60">
        <v>3.7055073843638679E-7</v>
      </c>
      <c r="N60">
        <v>8.244566788853745E-10</v>
      </c>
      <c r="O60">
        <v>6.9450729115232214E-5</v>
      </c>
      <c r="P60">
        <v>6.91830632937665E-5</v>
      </c>
      <c r="Q60">
        <v>1.546827847625643</v>
      </c>
      <c r="R60">
        <v>0.16791100641963971</v>
      </c>
      <c r="S60">
        <v>1.2863345263807051E-6</v>
      </c>
      <c r="T60">
        <v>1.554348390256444E-6</v>
      </c>
      <c r="U60">
        <v>4.1361548726622866E-3</v>
      </c>
      <c r="V60">
        <v>1.136520347712746E-3</v>
      </c>
      <c r="W60">
        <v>4.2423751024319777E-5</v>
      </c>
      <c r="X60">
        <v>4.6953972933436151E-2</v>
      </c>
      <c r="Y60">
        <v>5.6733715568452997E-2</v>
      </c>
      <c r="Z60">
        <v>7.0790004039817565E-8</v>
      </c>
      <c r="AA60">
        <v>3.6927072687739721E-9</v>
      </c>
      <c r="AB60">
        <v>2.1658530265339641E-7</v>
      </c>
      <c r="AC60" s="5">
        <f t="shared" si="0"/>
        <v>8.8566552803753815</v>
      </c>
    </row>
    <row r="61" spans="1:29" hidden="1" x14ac:dyDescent="0.35">
      <c r="A61" t="s">
        <v>44</v>
      </c>
      <c r="B61">
        <v>2040</v>
      </c>
      <c r="C61" t="s">
        <v>56</v>
      </c>
      <c r="D61" t="s">
        <v>48</v>
      </c>
      <c r="E61" t="s">
        <v>6</v>
      </c>
      <c r="F61" t="s">
        <v>52</v>
      </c>
      <c r="G61">
        <v>4.2811430077619042</v>
      </c>
      <c r="H61">
        <v>1.287489814636587</v>
      </c>
      <c r="I61">
        <v>4.6651409928376957E-13</v>
      </c>
      <c r="J61">
        <v>6.3105843495212311E-6</v>
      </c>
      <c r="K61">
        <v>1.206382796809027</v>
      </c>
      <c r="L61">
        <v>0.25774957214594107</v>
      </c>
      <c r="M61">
        <v>3.7055073843638679E-7</v>
      </c>
      <c r="N61">
        <v>8.244566788853745E-10</v>
      </c>
      <c r="O61">
        <v>6.9450729115232214E-5</v>
      </c>
      <c r="P61">
        <v>6.91830632937665E-5</v>
      </c>
      <c r="Q61">
        <v>1.546827847625643</v>
      </c>
      <c r="R61">
        <v>0.16791100641963971</v>
      </c>
      <c r="S61">
        <v>1.2863345263807051E-6</v>
      </c>
      <c r="T61">
        <v>1.554348390256444E-6</v>
      </c>
      <c r="U61">
        <v>4.1361548726622866E-3</v>
      </c>
      <c r="V61">
        <v>1.136520347712746E-3</v>
      </c>
      <c r="W61">
        <v>4.2423751024319777E-5</v>
      </c>
      <c r="X61">
        <v>4.6953972933436151E-2</v>
      </c>
      <c r="Y61">
        <v>5.6733715568452997E-2</v>
      </c>
      <c r="Z61">
        <v>7.0790004039817565E-8</v>
      </c>
      <c r="AA61">
        <v>3.6927072687739721E-9</v>
      </c>
      <c r="AB61">
        <v>2.1658530265339641E-7</v>
      </c>
      <c r="AC61" s="5">
        <f t="shared" si="0"/>
        <v>8.8566552803753815</v>
      </c>
    </row>
    <row r="62" spans="1:29" hidden="1" x14ac:dyDescent="0.35">
      <c r="A62" t="s">
        <v>44</v>
      </c>
      <c r="B62">
        <v>2020</v>
      </c>
      <c r="C62" t="s">
        <v>57</v>
      </c>
      <c r="D62" t="s">
        <v>5</v>
      </c>
      <c r="E62" t="s">
        <v>7</v>
      </c>
      <c r="F62" t="s">
        <v>46</v>
      </c>
      <c r="G62">
        <v>0.3577041772093501</v>
      </c>
      <c r="H62">
        <v>0.11275367763283919</v>
      </c>
      <c r="I62">
        <v>5.522630630701322E-14</v>
      </c>
      <c r="J62">
        <v>1.412385916089763E-6</v>
      </c>
      <c r="K62">
        <v>8.1758098045540439</v>
      </c>
      <c r="L62">
        <v>3.2972112603458281E-2</v>
      </c>
      <c r="M62">
        <v>7.1739272288763113E-8</v>
      </c>
      <c r="N62">
        <v>6.4685274317547112E-11</v>
      </c>
      <c r="O62">
        <v>3.467967815356525E-6</v>
      </c>
      <c r="P62">
        <v>3.8937253306727329E-6</v>
      </c>
      <c r="Q62">
        <v>0.12559854279625679</v>
      </c>
      <c r="R62">
        <v>1.3633769713216519E-2</v>
      </c>
      <c r="S62">
        <v>7.1335478357634208E-7</v>
      </c>
      <c r="T62">
        <v>7.0830207225396407E-6</v>
      </c>
      <c r="U62">
        <v>3.635631092642878E-3</v>
      </c>
      <c r="V62">
        <v>1.3648927971551179E-4</v>
      </c>
      <c r="W62">
        <v>9.4067957907270343E-6</v>
      </c>
      <c r="X62">
        <v>2.6038837615065789E-2</v>
      </c>
      <c r="Y62">
        <v>0.25853024754091519</v>
      </c>
      <c r="Z62">
        <v>7.0219470649267914E-9</v>
      </c>
      <c r="AA62">
        <v>1.1485585405356469E-9</v>
      </c>
      <c r="AB62">
        <v>1.0796840951071629E-8</v>
      </c>
      <c r="AC62" s="5">
        <f t="shared" si="0"/>
        <v>9.1068393580592204</v>
      </c>
    </row>
    <row r="63" spans="1:29" hidden="1" x14ac:dyDescent="0.35">
      <c r="A63" t="s">
        <v>44</v>
      </c>
      <c r="B63">
        <v>2025</v>
      </c>
      <c r="C63" t="s">
        <v>57</v>
      </c>
      <c r="D63" t="s">
        <v>5</v>
      </c>
      <c r="E63" t="s">
        <v>7</v>
      </c>
      <c r="F63" t="s">
        <v>46</v>
      </c>
      <c r="G63">
        <v>0.3577041772093501</v>
      </c>
      <c r="H63">
        <v>0.11275367763283919</v>
      </c>
      <c r="I63">
        <v>5.522630630701322E-14</v>
      </c>
      <c r="J63">
        <v>1.412385916089763E-6</v>
      </c>
      <c r="K63">
        <v>8.1758098045540439</v>
      </c>
      <c r="L63">
        <v>3.2972112603458281E-2</v>
      </c>
      <c r="M63">
        <v>7.1739272288763113E-8</v>
      </c>
      <c r="N63">
        <v>6.4685274317547112E-11</v>
      </c>
      <c r="O63">
        <v>3.467967815356525E-6</v>
      </c>
      <c r="P63">
        <v>3.8937253306727329E-6</v>
      </c>
      <c r="Q63">
        <v>0.12559854279625679</v>
      </c>
      <c r="R63">
        <v>1.3633769713216519E-2</v>
      </c>
      <c r="S63">
        <v>7.1335478357634208E-7</v>
      </c>
      <c r="T63">
        <v>7.0830207225396407E-6</v>
      </c>
      <c r="U63">
        <v>3.635631092642878E-3</v>
      </c>
      <c r="V63">
        <v>1.3648927971551179E-4</v>
      </c>
      <c r="W63">
        <v>9.4067957907270343E-6</v>
      </c>
      <c r="X63">
        <v>2.6038837615065789E-2</v>
      </c>
      <c r="Y63">
        <v>0.25853024754091519</v>
      </c>
      <c r="Z63">
        <v>7.0219470649267914E-9</v>
      </c>
      <c r="AA63">
        <v>1.1485585405356469E-9</v>
      </c>
      <c r="AB63">
        <v>1.0796840951071629E-8</v>
      </c>
      <c r="AC63" s="5">
        <f t="shared" si="0"/>
        <v>9.1068393580592204</v>
      </c>
    </row>
    <row r="64" spans="1:29" hidden="1" x14ac:dyDescent="0.35">
      <c r="A64" t="s">
        <v>44</v>
      </c>
      <c r="B64">
        <v>2030</v>
      </c>
      <c r="C64" t="s">
        <v>57</v>
      </c>
      <c r="D64" t="s">
        <v>5</v>
      </c>
      <c r="E64" t="s">
        <v>7</v>
      </c>
      <c r="F64" t="s">
        <v>46</v>
      </c>
      <c r="G64">
        <v>0.3577041772093501</v>
      </c>
      <c r="H64">
        <v>0.11275367763283919</v>
      </c>
      <c r="I64">
        <v>5.522630630701322E-14</v>
      </c>
      <c r="J64">
        <v>1.412385916089763E-6</v>
      </c>
      <c r="K64">
        <v>8.1758098045540439</v>
      </c>
      <c r="L64">
        <v>3.2972112603458281E-2</v>
      </c>
      <c r="M64">
        <v>7.1739272288763113E-8</v>
      </c>
      <c r="N64">
        <v>6.4685274317547112E-11</v>
      </c>
      <c r="O64">
        <v>3.467967815356525E-6</v>
      </c>
      <c r="P64">
        <v>3.8937253306727329E-6</v>
      </c>
      <c r="Q64">
        <v>0.12559854279625679</v>
      </c>
      <c r="R64">
        <v>1.3633769713216519E-2</v>
      </c>
      <c r="S64">
        <v>7.1335478357634208E-7</v>
      </c>
      <c r="T64">
        <v>7.0830207225396407E-6</v>
      </c>
      <c r="U64">
        <v>3.635631092642878E-3</v>
      </c>
      <c r="V64">
        <v>1.3648927971551179E-4</v>
      </c>
      <c r="W64">
        <v>9.4067957907270343E-6</v>
      </c>
      <c r="X64">
        <v>2.6038837615065789E-2</v>
      </c>
      <c r="Y64">
        <v>0.25853024754091519</v>
      </c>
      <c r="Z64">
        <v>7.0219470649267914E-9</v>
      </c>
      <c r="AA64">
        <v>1.1485585405356469E-9</v>
      </c>
      <c r="AB64">
        <v>1.0796840951071629E-8</v>
      </c>
      <c r="AC64" s="5">
        <f t="shared" si="0"/>
        <v>9.1068393580592204</v>
      </c>
    </row>
    <row r="65" spans="1:29" hidden="1" x14ac:dyDescent="0.35">
      <c r="A65" t="s">
        <v>44</v>
      </c>
      <c r="B65">
        <v>2035</v>
      </c>
      <c r="C65" t="s">
        <v>57</v>
      </c>
      <c r="D65" t="s">
        <v>5</v>
      </c>
      <c r="E65" t="s">
        <v>7</v>
      </c>
      <c r="F65" t="s">
        <v>46</v>
      </c>
      <c r="G65">
        <v>0.3577041772093501</v>
      </c>
      <c r="H65">
        <v>0.11275367763283919</v>
      </c>
      <c r="I65">
        <v>5.522630630701322E-14</v>
      </c>
      <c r="J65">
        <v>1.412385916089763E-6</v>
      </c>
      <c r="K65">
        <v>8.1758098045540439</v>
      </c>
      <c r="L65">
        <v>3.2972112603458281E-2</v>
      </c>
      <c r="M65">
        <v>7.1739272288763113E-8</v>
      </c>
      <c r="N65">
        <v>6.4685274317547112E-11</v>
      </c>
      <c r="O65">
        <v>3.467967815356525E-6</v>
      </c>
      <c r="P65">
        <v>3.8937253306727329E-6</v>
      </c>
      <c r="Q65">
        <v>0.12559854279625679</v>
      </c>
      <c r="R65">
        <v>1.3633769713216519E-2</v>
      </c>
      <c r="S65">
        <v>7.1335478357634208E-7</v>
      </c>
      <c r="T65">
        <v>7.0830207225396407E-6</v>
      </c>
      <c r="U65">
        <v>3.635631092642878E-3</v>
      </c>
      <c r="V65">
        <v>1.3648927971551179E-4</v>
      </c>
      <c r="W65">
        <v>9.4067957907270343E-6</v>
      </c>
      <c r="X65">
        <v>2.6038837615065789E-2</v>
      </c>
      <c r="Y65">
        <v>0.25853024754091519</v>
      </c>
      <c r="Z65">
        <v>7.0219470649267914E-9</v>
      </c>
      <c r="AA65">
        <v>1.1485585405356469E-9</v>
      </c>
      <c r="AB65">
        <v>1.0796840951071629E-8</v>
      </c>
      <c r="AC65" s="5">
        <f t="shared" si="0"/>
        <v>9.1068393580592204</v>
      </c>
    </row>
    <row r="66" spans="1:29" hidden="1" x14ac:dyDescent="0.35">
      <c r="A66" t="s">
        <v>44</v>
      </c>
      <c r="B66">
        <v>2040</v>
      </c>
      <c r="C66" t="s">
        <v>57</v>
      </c>
      <c r="D66" t="s">
        <v>5</v>
      </c>
      <c r="E66" t="s">
        <v>7</v>
      </c>
      <c r="F66" t="s">
        <v>46</v>
      </c>
      <c r="G66">
        <v>0.3577041772093501</v>
      </c>
      <c r="H66">
        <v>0.11275367763283919</v>
      </c>
      <c r="I66">
        <v>5.522630630701322E-14</v>
      </c>
      <c r="J66">
        <v>1.412385916089763E-6</v>
      </c>
      <c r="K66">
        <v>8.1758098045540439</v>
      </c>
      <c r="L66">
        <v>3.2972112603458281E-2</v>
      </c>
      <c r="M66">
        <v>7.1739272288763113E-8</v>
      </c>
      <c r="N66">
        <v>6.4685274317547112E-11</v>
      </c>
      <c r="O66">
        <v>3.467967815356525E-6</v>
      </c>
      <c r="P66">
        <v>3.8937253306727329E-6</v>
      </c>
      <c r="Q66">
        <v>0.12559854279625679</v>
      </c>
      <c r="R66">
        <v>1.3633769713216519E-2</v>
      </c>
      <c r="S66">
        <v>7.1335478357634208E-7</v>
      </c>
      <c r="T66">
        <v>7.0830207225396407E-6</v>
      </c>
      <c r="U66">
        <v>3.635631092642878E-3</v>
      </c>
      <c r="V66">
        <v>1.3648927971551179E-4</v>
      </c>
      <c r="W66">
        <v>9.4067957907270343E-6</v>
      </c>
      <c r="X66">
        <v>2.6038837615065789E-2</v>
      </c>
      <c r="Y66">
        <v>0.25853024754091519</v>
      </c>
      <c r="Z66">
        <v>7.0219470649267914E-9</v>
      </c>
      <c r="AA66">
        <v>1.1485585405356469E-9</v>
      </c>
      <c r="AB66">
        <v>1.0796840951071629E-8</v>
      </c>
      <c r="AC66" s="5">
        <f t="shared" si="0"/>
        <v>9.1068393580592204</v>
      </c>
    </row>
    <row r="67" spans="1:29" hidden="1" x14ac:dyDescent="0.35">
      <c r="A67" t="s">
        <v>44</v>
      </c>
      <c r="B67">
        <v>2020</v>
      </c>
      <c r="C67" t="s">
        <v>58</v>
      </c>
      <c r="D67" t="s">
        <v>48</v>
      </c>
      <c r="E67" t="s">
        <v>7</v>
      </c>
      <c r="F67" t="s">
        <v>46</v>
      </c>
      <c r="G67">
        <v>0.36443035705621463</v>
      </c>
      <c r="H67">
        <v>0.1139184986061829</v>
      </c>
      <c r="I67">
        <v>3.997668746677274E-14</v>
      </c>
      <c r="J67">
        <v>7.7083338947279705E-6</v>
      </c>
      <c r="K67">
        <v>5.7028694490192233</v>
      </c>
      <c r="L67">
        <v>2.889166227973072E-2</v>
      </c>
      <c r="M67">
        <v>1.590203378249166E-6</v>
      </c>
      <c r="N67">
        <v>2.10126924253061E-10</v>
      </c>
      <c r="O67">
        <v>1.362644225944469E-5</v>
      </c>
      <c r="P67">
        <v>1.7797915918182399E-5</v>
      </c>
      <c r="Q67">
        <v>0.12837563768199051</v>
      </c>
      <c r="R67">
        <v>1.3935308574993199E-2</v>
      </c>
      <c r="S67">
        <v>3.8118851852815481E-7</v>
      </c>
      <c r="T67">
        <v>3.0814556930305268E-6</v>
      </c>
      <c r="U67">
        <v>2.8855868356644E-3</v>
      </c>
      <c r="V67">
        <v>1.4087460603237211E-4</v>
      </c>
      <c r="W67">
        <v>5.2316870964391183E-5</v>
      </c>
      <c r="X67">
        <v>1.3914273259608411E-2</v>
      </c>
      <c r="Y67">
        <v>0.11247312901235421</v>
      </c>
      <c r="Z67">
        <v>1.1398642781370861E-7</v>
      </c>
      <c r="AA67">
        <v>1.1858057503595011E-8</v>
      </c>
      <c r="AB67">
        <v>4.3071861432481029E-8</v>
      </c>
      <c r="AC67" s="5">
        <f t="shared" ref="AC67:AC130" si="5">SUM(G67:AB67)</f>
        <v>6.481931448469135</v>
      </c>
    </row>
    <row r="68" spans="1:29" hidden="1" x14ac:dyDescent="0.35">
      <c r="A68" t="s">
        <v>44</v>
      </c>
      <c r="B68">
        <v>2025</v>
      </c>
      <c r="C68" t="s">
        <v>58</v>
      </c>
      <c r="D68" t="s">
        <v>48</v>
      </c>
      <c r="E68" t="s">
        <v>7</v>
      </c>
      <c r="F68" t="s">
        <v>46</v>
      </c>
      <c r="G68">
        <v>0.36443035705621463</v>
      </c>
      <c r="H68">
        <v>0.1139184986061829</v>
      </c>
      <c r="I68">
        <v>3.997668746677274E-14</v>
      </c>
      <c r="J68">
        <v>7.7083338947279705E-6</v>
      </c>
      <c r="K68">
        <v>5.7028694490192233</v>
      </c>
      <c r="L68">
        <v>2.889166227973072E-2</v>
      </c>
      <c r="M68">
        <v>1.590203378249166E-6</v>
      </c>
      <c r="N68">
        <v>2.10126924253061E-10</v>
      </c>
      <c r="O68">
        <v>1.362644225944469E-5</v>
      </c>
      <c r="P68">
        <v>1.7797915918182399E-5</v>
      </c>
      <c r="Q68">
        <v>0.12837563768199051</v>
      </c>
      <c r="R68">
        <v>1.3935308574993199E-2</v>
      </c>
      <c r="S68">
        <v>3.8118851852815481E-7</v>
      </c>
      <c r="T68">
        <v>3.0814556930305268E-6</v>
      </c>
      <c r="U68">
        <v>2.8855868356644E-3</v>
      </c>
      <c r="V68">
        <v>1.4087460603237211E-4</v>
      </c>
      <c r="W68">
        <v>5.2316870964391183E-5</v>
      </c>
      <c r="X68">
        <v>1.3914273259608411E-2</v>
      </c>
      <c r="Y68">
        <v>0.11247312901235421</v>
      </c>
      <c r="Z68">
        <v>1.1398642781370861E-7</v>
      </c>
      <c r="AA68">
        <v>1.1858057503595011E-8</v>
      </c>
      <c r="AB68">
        <v>4.3071861432481029E-8</v>
      </c>
      <c r="AC68" s="5">
        <f t="shared" si="5"/>
        <v>6.481931448469135</v>
      </c>
    </row>
    <row r="69" spans="1:29" hidden="1" x14ac:dyDescent="0.35">
      <c r="A69" t="s">
        <v>44</v>
      </c>
      <c r="B69">
        <v>2030</v>
      </c>
      <c r="C69" t="s">
        <v>58</v>
      </c>
      <c r="D69" t="s">
        <v>48</v>
      </c>
      <c r="E69" t="s">
        <v>7</v>
      </c>
      <c r="F69" t="s">
        <v>46</v>
      </c>
      <c r="G69">
        <v>0.36443035705621463</v>
      </c>
      <c r="H69">
        <v>0.1139184986061829</v>
      </c>
      <c r="I69">
        <v>3.997668746677274E-14</v>
      </c>
      <c r="J69">
        <v>7.7083338947279705E-6</v>
      </c>
      <c r="K69">
        <v>5.7028694490192233</v>
      </c>
      <c r="L69">
        <v>2.889166227973072E-2</v>
      </c>
      <c r="M69">
        <v>1.590203378249166E-6</v>
      </c>
      <c r="N69">
        <v>2.10126924253061E-10</v>
      </c>
      <c r="O69">
        <v>1.362644225944469E-5</v>
      </c>
      <c r="P69">
        <v>1.7797915918182399E-5</v>
      </c>
      <c r="Q69">
        <v>0.12837563768199051</v>
      </c>
      <c r="R69">
        <v>1.3935308574993199E-2</v>
      </c>
      <c r="S69">
        <v>3.8118851852815481E-7</v>
      </c>
      <c r="T69">
        <v>3.0814556930305268E-6</v>
      </c>
      <c r="U69">
        <v>2.8855868356644E-3</v>
      </c>
      <c r="V69">
        <v>1.4087460603237211E-4</v>
      </c>
      <c r="W69">
        <v>5.2316870964391183E-5</v>
      </c>
      <c r="X69">
        <v>1.3914273259608411E-2</v>
      </c>
      <c r="Y69">
        <v>0.11247312901235421</v>
      </c>
      <c r="Z69">
        <v>1.1398642781370861E-7</v>
      </c>
      <c r="AA69">
        <v>1.1858057503595011E-8</v>
      </c>
      <c r="AB69">
        <v>4.3071861432481029E-8</v>
      </c>
      <c r="AC69" s="5">
        <f t="shared" si="5"/>
        <v>6.481931448469135</v>
      </c>
    </row>
    <row r="70" spans="1:29" hidden="1" x14ac:dyDescent="0.35">
      <c r="A70" t="s">
        <v>44</v>
      </c>
      <c r="B70">
        <v>2035</v>
      </c>
      <c r="C70" t="s">
        <v>58</v>
      </c>
      <c r="D70" t="s">
        <v>48</v>
      </c>
      <c r="E70" t="s">
        <v>7</v>
      </c>
      <c r="F70" t="s">
        <v>46</v>
      </c>
      <c r="G70">
        <v>0.36443035705621463</v>
      </c>
      <c r="H70">
        <v>0.1139184986061829</v>
      </c>
      <c r="I70">
        <v>3.997668746677274E-14</v>
      </c>
      <c r="J70">
        <v>7.7083338947279705E-6</v>
      </c>
      <c r="K70">
        <v>5.7028694490192233</v>
      </c>
      <c r="L70">
        <v>2.889166227973072E-2</v>
      </c>
      <c r="M70">
        <v>1.590203378249166E-6</v>
      </c>
      <c r="N70">
        <v>2.10126924253061E-10</v>
      </c>
      <c r="O70">
        <v>1.362644225944469E-5</v>
      </c>
      <c r="P70">
        <v>1.7797915918182399E-5</v>
      </c>
      <c r="Q70">
        <v>0.12837563768199051</v>
      </c>
      <c r="R70">
        <v>1.3935308574993199E-2</v>
      </c>
      <c r="S70">
        <v>3.8118851852815481E-7</v>
      </c>
      <c r="T70">
        <v>3.0814556930305268E-6</v>
      </c>
      <c r="U70">
        <v>2.8855868356644E-3</v>
      </c>
      <c r="V70">
        <v>1.4087460603237211E-4</v>
      </c>
      <c r="W70">
        <v>5.2316870964391183E-5</v>
      </c>
      <c r="X70">
        <v>1.3914273259608411E-2</v>
      </c>
      <c r="Y70">
        <v>0.11247312901235421</v>
      </c>
      <c r="Z70">
        <v>1.1398642781370861E-7</v>
      </c>
      <c r="AA70">
        <v>1.1858057503595011E-8</v>
      </c>
      <c r="AB70">
        <v>4.3071861432481029E-8</v>
      </c>
      <c r="AC70" s="5">
        <f t="shared" si="5"/>
        <v>6.481931448469135</v>
      </c>
    </row>
    <row r="71" spans="1:29" hidden="1" x14ac:dyDescent="0.35">
      <c r="A71" t="s">
        <v>44</v>
      </c>
      <c r="B71">
        <v>2040</v>
      </c>
      <c r="C71" t="s">
        <v>58</v>
      </c>
      <c r="D71" t="s">
        <v>48</v>
      </c>
      <c r="E71" t="s">
        <v>7</v>
      </c>
      <c r="F71" t="s">
        <v>46</v>
      </c>
      <c r="G71">
        <v>0.36443035705621463</v>
      </c>
      <c r="H71">
        <v>0.1139184986061829</v>
      </c>
      <c r="I71">
        <v>3.997668746677274E-14</v>
      </c>
      <c r="J71">
        <v>7.7083338947279705E-6</v>
      </c>
      <c r="K71">
        <v>5.7028694490192233</v>
      </c>
      <c r="L71">
        <v>2.889166227973072E-2</v>
      </c>
      <c r="M71">
        <v>1.590203378249166E-6</v>
      </c>
      <c r="N71">
        <v>2.10126924253061E-10</v>
      </c>
      <c r="O71">
        <v>1.362644225944469E-5</v>
      </c>
      <c r="P71">
        <v>1.7797915918182399E-5</v>
      </c>
      <c r="Q71">
        <v>0.12837563768199051</v>
      </c>
      <c r="R71">
        <v>1.3935308574993199E-2</v>
      </c>
      <c r="S71">
        <v>3.8118851852815481E-7</v>
      </c>
      <c r="T71">
        <v>3.0814556930305268E-6</v>
      </c>
      <c r="U71">
        <v>2.8855868356644E-3</v>
      </c>
      <c r="V71">
        <v>1.4087460603237211E-4</v>
      </c>
      <c r="W71">
        <v>5.2316870964391183E-5</v>
      </c>
      <c r="X71">
        <v>1.3914273259608411E-2</v>
      </c>
      <c r="Y71">
        <v>0.11247312901235421</v>
      </c>
      <c r="Z71">
        <v>1.1398642781370861E-7</v>
      </c>
      <c r="AA71">
        <v>1.1858057503595011E-8</v>
      </c>
      <c r="AB71">
        <v>4.3071861432481029E-8</v>
      </c>
      <c r="AC71" s="5">
        <f t="shared" si="5"/>
        <v>6.481931448469135</v>
      </c>
    </row>
    <row r="72" spans="1:29" s="3" customFormat="1" hidden="1" x14ac:dyDescent="0.35">
      <c r="A72" s="3" t="s">
        <v>44</v>
      </c>
      <c r="B72" s="3">
        <v>2020</v>
      </c>
      <c r="C72" s="3" t="s">
        <v>59</v>
      </c>
      <c r="D72" s="3" t="s">
        <v>5</v>
      </c>
      <c r="E72" s="3" t="s">
        <v>7</v>
      </c>
      <c r="F72" s="3" t="s">
        <v>50</v>
      </c>
      <c r="G72" s="3">
        <f>G82-G62</f>
        <v>1.2248571103588288</v>
      </c>
      <c r="H72" s="3">
        <f t="shared" ref="H72:AB81" si="6">H82-H62</f>
        <v>0.38769581666103414</v>
      </c>
      <c r="I72" s="3">
        <f t="shared" si="6"/>
        <v>2.5582567741723249E-13</v>
      </c>
      <c r="J72" s="3">
        <f t="shared" si="6"/>
        <v>6.2844265196628148E-6</v>
      </c>
      <c r="K72" s="3">
        <f t="shared" si="6"/>
        <v>35.492430818090526</v>
      </c>
      <c r="L72" s="3">
        <f t="shared" si="6"/>
        <v>0.10012355496984421</v>
      </c>
      <c r="M72" s="3">
        <f t="shared" si="6"/>
        <v>2.8370054846794172E-7</v>
      </c>
      <c r="N72" s="3">
        <f t="shared" si="6"/>
        <v>1.1652852145382528E-10</v>
      </c>
      <c r="O72" s="3">
        <f t="shared" si="6"/>
        <v>1.3056311101335565E-5</v>
      </c>
      <c r="P72" s="3">
        <f t="shared" si="6"/>
        <v>1.6639155143110748E-5</v>
      </c>
      <c r="Q72" s="3">
        <f t="shared" si="6"/>
        <v>0.42724654559611364</v>
      </c>
      <c r="R72" s="3">
        <f t="shared" si="6"/>
        <v>4.6377376772819452E-2</v>
      </c>
      <c r="S72" s="3">
        <f t="shared" si="6"/>
        <v>1.1527194686604408E-6</v>
      </c>
      <c r="T72" s="3">
        <f t="shared" si="6"/>
        <v>1.1635020318287261E-5</v>
      </c>
      <c r="U72" s="3">
        <f t="shared" si="6"/>
        <v>-2.3801381025966573E-3</v>
      </c>
      <c r="V72" s="3">
        <f t="shared" si="6"/>
        <v>4.5751204801340291E-4</v>
      </c>
      <c r="W72" s="3">
        <f t="shared" si="6"/>
        <v>4.1762912743764715E-5</v>
      </c>
      <c r="X72" s="3">
        <f t="shared" si="6"/>
        <v>4.2074659090822794E-2</v>
      </c>
      <c r="Y72" s="3">
        <f t="shared" si="6"/>
        <v>0.42467822706448205</v>
      </c>
      <c r="Z72" s="3">
        <f t="shared" si="6"/>
        <v>3.3309661815709046E-8</v>
      </c>
      <c r="AA72" s="3">
        <f t="shared" si="6"/>
        <v>4.8535835946170366E-9</v>
      </c>
      <c r="AB72" s="3">
        <f t="shared" si="6"/>
        <v>4.2393526492819469E-8</v>
      </c>
      <c r="AC72" s="5">
        <f t="shared" si="5"/>
        <v>38.143652377469287</v>
      </c>
    </row>
    <row r="73" spans="1:29" s="3" customFormat="1" hidden="1" x14ac:dyDescent="0.35">
      <c r="A73" s="3" t="s">
        <v>44</v>
      </c>
      <c r="B73" s="3">
        <v>2025</v>
      </c>
      <c r="C73" s="3" t="s">
        <v>59</v>
      </c>
      <c r="D73" s="3" t="s">
        <v>5</v>
      </c>
      <c r="E73" s="3" t="s">
        <v>7</v>
      </c>
      <c r="F73" s="3" t="s">
        <v>50</v>
      </c>
      <c r="G73" s="3">
        <f t="shared" ref="G73:V81" si="7">G83-G63</f>
        <v>1.2248571103588288</v>
      </c>
      <c r="H73" s="3">
        <f t="shared" si="7"/>
        <v>0.38769581666103414</v>
      </c>
      <c r="I73" s="3">
        <f t="shared" si="7"/>
        <v>2.5582567741723249E-13</v>
      </c>
      <c r="J73" s="3">
        <f t="shared" si="7"/>
        <v>6.2844265196628148E-6</v>
      </c>
      <c r="K73" s="3">
        <f t="shared" si="7"/>
        <v>35.492430818090526</v>
      </c>
      <c r="L73" s="3">
        <f t="shared" si="7"/>
        <v>0.10012355496984421</v>
      </c>
      <c r="M73" s="3">
        <f t="shared" si="7"/>
        <v>2.8370054846794172E-7</v>
      </c>
      <c r="N73" s="3">
        <f t="shared" si="7"/>
        <v>1.1652852145382528E-10</v>
      </c>
      <c r="O73" s="3">
        <f t="shared" si="7"/>
        <v>1.3056311101335565E-5</v>
      </c>
      <c r="P73" s="3">
        <f t="shared" si="7"/>
        <v>1.6639155143110748E-5</v>
      </c>
      <c r="Q73" s="3">
        <f t="shared" si="7"/>
        <v>0.42724654559611364</v>
      </c>
      <c r="R73" s="3">
        <f t="shared" si="7"/>
        <v>4.6377376772819452E-2</v>
      </c>
      <c r="S73" s="3">
        <f t="shared" si="7"/>
        <v>1.1527194686604408E-6</v>
      </c>
      <c r="T73" s="3">
        <f t="shared" si="7"/>
        <v>1.1635020318287261E-5</v>
      </c>
      <c r="U73" s="3">
        <f t="shared" si="7"/>
        <v>-2.3801381025966573E-3</v>
      </c>
      <c r="V73" s="3">
        <f t="shared" si="7"/>
        <v>4.5751204801340291E-4</v>
      </c>
      <c r="W73" s="3">
        <f t="shared" si="6"/>
        <v>4.1762912743764715E-5</v>
      </c>
      <c r="X73" s="3">
        <f t="shared" si="6"/>
        <v>4.2074659090822794E-2</v>
      </c>
      <c r="Y73" s="3">
        <f t="shared" si="6"/>
        <v>0.42467822706448205</v>
      </c>
      <c r="Z73" s="3">
        <f t="shared" si="6"/>
        <v>3.3309661815709046E-8</v>
      </c>
      <c r="AA73" s="3">
        <f t="shared" si="6"/>
        <v>4.8535835946170366E-9</v>
      </c>
      <c r="AB73" s="3">
        <f t="shared" si="6"/>
        <v>4.2393526492819469E-8</v>
      </c>
      <c r="AC73" s="5">
        <f t="shared" si="5"/>
        <v>38.143652377469287</v>
      </c>
    </row>
    <row r="74" spans="1:29" s="3" customFormat="1" hidden="1" x14ac:dyDescent="0.35">
      <c r="A74" s="3" t="s">
        <v>44</v>
      </c>
      <c r="B74" s="3">
        <v>2030</v>
      </c>
      <c r="C74" s="3" t="s">
        <v>59</v>
      </c>
      <c r="D74" s="3" t="s">
        <v>5</v>
      </c>
      <c r="E74" s="3" t="s">
        <v>7</v>
      </c>
      <c r="F74" s="3" t="s">
        <v>50</v>
      </c>
      <c r="G74" s="3">
        <f t="shared" si="7"/>
        <v>1.2248571103588288</v>
      </c>
      <c r="H74" s="3">
        <f t="shared" si="6"/>
        <v>0.38769581666103414</v>
      </c>
      <c r="I74" s="3">
        <f t="shared" si="6"/>
        <v>2.5582567741723249E-13</v>
      </c>
      <c r="J74" s="3">
        <f t="shared" si="6"/>
        <v>6.2844265196628148E-6</v>
      </c>
      <c r="K74" s="3">
        <f t="shared" si="6"/>
        <v>35.492430818090526</v>
      </c>
      <c r="L74" s="3">
        <f t="shared" si="6"/>
        <v>0.10012355496984421</v>
      </c>
      <c r="M74" s="3">
        <f t="shared" si="6"/>
        <v>2.8370054846794172E-7</v>
      </c>
      <c r="N74" s="3">
        <f t="shared" si="6"/>
        <v>1.1652852145382528E-10</v>
      </c>
      <c r="O74" s="3">
        <f t="shared" si="6"/>
        <v>1.3056311101335565E-5</v>
      </c>
      <c r="P74" s="3">
        <f t="shared" si="6"/>
        <v>1.6639155143110748E-5</v>
      </c>
      <c r="Q74" s="3">
        <f t="shared" si="6"/>
        <v>0.42724654559611364</v>
      </c>
      <c r="R74" s="3">
        <f t="shared" si="6"/>
        <v>4.6377376772819452E-2</v>
      </c>
      <c r="S74" s="3">
        <f t="shared" si="6"/>
        <v>1.1527194686604408E-6</v>
      </c>
      <c r="T74" s="3">
        <f t="shared" si="6"/>
        <v>1.1635020318287261E-5</v>
      </c>
      <c r="U74" s="3">
        <f t="shared" si="6"/>
        <v>-2.3801381025966573E-3</v>
      </c>
      <c r="V74" s="3">
        <f t="shared" si="6"/>
        <v>4.5751204801340291E-4</v>
      </c>
      <c r="W74" s="3">
        <f t="shared" si="6"/>
        <v>4.1762912743764715E-5</v>
      </c>
      <c r="X74" s="3">
        <f t="shared" si="6"/>
        <v>4.2074659090822794E-2</v>
      </c>
      <c r="Y74" s="3">
        <f t="shared" si="6"/>
        <v>0.42467822706448205</v>
      </c>
      <c r="Z74" s="3">
        <f t="shared" si="6"/>
        <v>3.3309661815709046E-8</v>
      </c>
      <c r="AA74" s="3">
        <f t="shared" si="6"/>
        <v>4.8535835946170366E-9</v>
      </c>
      <c r="AB74" s="3">
        <f t="shared" si="6"/>
        <v>4.2393526492819469E-8</v>
      </c>
      <c r="AC74" s="5">
        <f t="shared" si="5"/>
        <v>38.143652377469287</v>
      </c>
    </row>
    <row r="75" spans="1:29" s="3" customFormat="1" hidden="1" x14ac:dyDescent="0.35">
      <c r="A75" s="3" t="s">
        <v>44</v>
      </c>
      <c r="B75" s="3">
        <v>2035</v>
      </c>
      <c r="C75" s="3" t="s">
        <v>59</v>
      </c>
      <c r="D75" s="3" t="s">
        <v>5</v>
      </c>
      <c r="E75" s="3" t="s">
        <v>7</v>
      </c>
      <c r="F75" s="3" t="s">
        <v>50</v>
      </c>
      <c r="G75" s="3">
        <f t="shared" si="7"/>
        <v>1.2248571103588288</v>
      </c>
      <c r="H75" s="3">
        <f t="shared" si="6"/>
        <v>0.38769581666103414</v>
      </c>
      <c r="I75" s="3">
        <f t="shared" si="6"/>
        <v>2.5582567741723249E-13</v>
      </c>
      <c r="J75" s="3">
        <f t="shared" si="6"/>
        <v>6.2844265196628148E-6</v>
      </c>
      <c r="K75" s="3">
        <f t="shared" si="6"/>
        <v>35.492430818090526</v>
      </c>
      <c r="L75" s="3">
        <f t="shared" si="6"/>
        <v>0.10012355496984421</v>
      </c>
      <c r="M75" s="3">
        <f t="shared" si="6"/>
        <v>2.8370054846794172E-7</v>
      </c>
      <c r="N75" s="3">
        <f t="shared" si="6"/>
        <v>1.1652852145382528E-10</v>
      </c>
      <c r="O75" s="3">
        <f t="shared" si="6"/>
        <v>1.3056311101335565E-5</v>
      </c>
      <c r="P75" s="3">
        <f t="shared" si="6"/>
        <v>1.6639155143110748E-5</v>
      </c>
      <c r="Q75" s="3">
        <f t="shared" si="6"/>
        <v>0.42724654559611364</v>
      </c>
      <c r="R75" s="3">
        <f t="shared" si="6"/>
        <v>4.6377376772819452E-2</v>
      </c>
      <c r="S75" s="3">
        <f t="shared" si="6"/>
        <v>1.1527194686604408E-6</v>
      </c>
      <c r="T75" s="3">
        <f t="shared" si="6"/>
        <v>1.1635020318287261E-5</v>
      </c>
      <c r="U75" s="3">
        <f t="shared" si="6"/>
        <v>-2.3801381025966573E-3</v>
      </c>
      <c r="V75" s="3">
        <f t="shared" si="6"/>
        <v>4.5751204801340291E-4</v>
      </c>
      <c r="W75" s="3">
        <f t="shared" si="6"/>
        <v>4.1762912743764715E-5</v>
      </c>
      <c r="X75" s="3">
        <f t="shared" si="6"/>
        <v>4.2074659090822794E-2</v>
      </c>
      <c r="Y75" s="3">
        <f t="shared" si="6"/>
        <v>0.42467822706448205</v>
      </c>
      <c r="Z75" s="3">
        <f t="shared" si="6"/>
        <v>3.3309661815709046E-8</v>
      </c>
      <c r="AA75" s="3">
        <f t="shared" si="6"/>
        <v>4.8535835946170366E-9</v>
      </c>
      <c r="AB75" s="3">
        <f t="shared" si="6"/>
        <v>4.2393526492819469E-8</v>
      </c>
      <c r="AC75" s="5">
        <f t="shared" si="5"/>
        <v>38.143652377469287</v>
      </c>
    </row>
    <row r="76" spans="1:29" s="3" customFormat="1" hidden="1" x14ac:dyDescent="0.35">
      <c r="A76" s="3" t="s">
        <v>44</v>
      </c>
      <c r="B76" s="3">
        <v>2040</v>
      </c>
      <c r="C76" s="3" t="s">
        <v>59</v>
      </c>
      <c r="D76" s="3" t="s">
        <v>5</v>
      </c>
      <c r="E76" s="3" t="s">
        <v>7</v>
      </c>
      <c r="F76" s="3" t="s">
        <v>50</v>
      </c>
      <c r="G76" s="3">
        <f t="shared" si="7"/>
        <v>1.2248571103588288</v>
      </c>
      <c r="H76" s="3">
        <f t="shared" si="6"/>
        <v>0.38769581666103414</v>
      </c>
      <c r="I76" s="3">
        <f t="shared" si="6"/>
        <v>2.5582567741723249E-13</v>
      </c>
      <c r="J76" s="3">
        <f t="shared" si="6"/>
        <v>6.2844265196628148E-6</v>
      </c>
      <c r="K76" s="3">
        <f t="shared" si="6"/>
        <v>35.492430818090526</v>
      </c>
      <c r="L76" s="3">
        <f t="shared" si="6"/>
        <v>0.10012355496984421</v>
      </c>
      <c r="M76" s="3">
        <f t="shared" si="6"/>
        <v>2.8370054846794172E-7</v>
      </c>
      <c r="N76" s="3">
        <f t="shared" si="6"/>
        <v>1.1652852145382528E-10</v>
      </c>
      <c r="O76" s="3">
        <f t="shared" si="6"/>
        <v>1.3056311101335565E-5</v>
      </c>
      <c r="P76" s="3">
        <f t="shared" si="6"/>
        <v>1.6639155143110748E-5</v>
      </c>
      <c r="Q76" s="3">
        <f t="shared" si="6"/>
        <v>0.42724654559611364</v>
      </c>
      <c r="R76" s="3">
        <f t="shared" si="6"/>
        <v>4.6377376772819452E-2</v>
      </c>
      <c r="S76" s="3">
        <f t="shared" si="6"/>
        <v>1.1527194686604408E-6</v>
      </c>
      <c r="T76" s="3">
        <f t="shared" si="6"/>
        <v>1.1635020318287261E-5</v>
      </c>
      <c r="U76" s="3">
        <f t="shared" si="6"/>
        <v>-2.3801381025966573E-3</v>
      </c>
      <c r="V76" s="3">
        <f t="shared" si="6"/>
        <v>4.5751204801340291E-4</v>
      </c>
      <c r="W76" s="3">
        <f t="shared" si="6"/>
        <v>4.1762912743764715E-5</v>
      </c>
      <c r="X76" s="3">
        <f t="shared" si="6"/>
        <v>4.2074659090822794E-2</v>
      </c>
      <c r="Y76" s="3">
        <f t="shared" si="6"/>
        <v>0.42467822706448205</v>
      </c>
      <c r="Z76" s="3">
        <f t="shared" si="6"/>
        <v>3.3309661815709046E-8</v>
      </c>
      <c r="AA76" s="3">
        <f t="shared" si="6"/>
        <v>4.8535835946170366E-9</v>
      </c>
      <c r="AB76" s="3">
        <f t="shared" si="6"/>
        <v>4.2393526492819469E-8</v>
      </c>
      <c r="AC76" s="5">
        <f t="shared" si="5"/>
        <v>38.143652377469287</v>
      </c>
    </row>
    <row r="77" spans="1:29" s="3" customFormat="1" hidden="1" x14ac:dyDescent="0.35">
      <c r="A77" s="3" t="s">
        <v>44</v>
      </c>
      <c r="B77" s="3">
        <v>2020</v>
      </c>
      <c r="C77" s="3" t="s">
        <v>60</v>
      </c>
      <c r="D77" s="3" t="s">
        <v>48</v>
      </c>
      <c r="E77" s="3" t="s">
        <v>7</v>
      </c>
      <c r="F77" s="3" t="s">
        <v>50</v>
      </c>
      <c r="G77" s="3">
        <f t="shared" si="7"/>
        <v>1.6481449164929292</v>
      </c>
      <c r="H77" s="3">
        <f t="shared" si="6"/>
        <v>0.50949485423870378</v>
      </c>
      <c r="I77" s="3">
        <f t="shared" si="6"/>
        <v>1.6313099208262396E-13</v>
      </c>
      <c r="J77" s="3">
        <f t="shared" si="6"/>
        <v>1.4770561557656408E-5</v>
      </c>
      <c r="K77" s="3">
        <f t="shared" si="6"/>
        <v>14.176851128438296</v>
      </c>
      <c r="L77" s="3">
        <f t="shared" si="6"/>
        <v>0.23954229256627096</v>
      </c>
      <c r="M77" s="3">
        <f t="shared" si="6"/>
        <v>2.9332145661549844E-6</v>
      </c>
      <c r="N77" s="3">
        <f t="shared" si="6"/>
        <v>4.8477738847154395E-10</v>
      </c>
      <c r="O77" s="3">
        <f t="shared" si="6"/>
        <v>3.024048871145891E-5</v>
      </c>
      <c r="P77" s="3">
        <f t="shared" si="6"/>
        <v>3.8908410815220195E-5</v>
      </c>
      <c r="Q77" s="3">
        <f t="shared" si="6"/>
        <v>0.58827594892089374</v>
      </c>
      <c r="R77" s="3">
        <f t="shared" si="6"/>
        <v>6.3858275975284581E-2</v>
      </c>
      <c r="S77" s="3">
        <f t="shared" si="6"/>
        <v>2.0723732242683766E-5</v>
      </c>
      <c r="T77" s="3">
        <f t="shared" si="6"/>
        <v>2.1238641860851462E-5</v>
      </c>
      <c r="U77" s="3">
        <f t="shared" si="6"/>
        <v>4.7409018770446162E-3</v>
      </c>
      <c r="V77" s="3">
        <f t="shared" si="6"/>
        <v>4.5730937000740312E-4</v>
      </c>
      <c r="W77" s="3">
        <f t="shared" si="6"/>
        <v>1.001869259082205E-4</v>
      </c>
      <c r="X77" s="3">
        <f t="shared" si="6"/>
        <v>0.75644190188789506</v>
      </c>
      <c r="Y77" s="3">
        <f t="shared" si="6"/>
        <v>0.77521042362979964</v>
      </c>
      <c r="Z77" s="3">
        <f t="shared" si="6"/>
        <v>2.1387702674742242E-7</v>
      </c>
      <c r="AA77" s="3">
        <f t="shared" si="6"/>
        <v>2.2219112365825183E-8</v>
      </c>
      <c r="AB77" s="3">
        <f t="shared" si="6"/>
        <v>9.4653494218035875E-8</v>
      </c>
      <c r="AC77" s="5">
        <f t="shared" si="5"/>
        <v>18.763247286607363</v>
      </c>
    </row>
    <row r="78" spans="1:29" s="3" customFormat="1" hidden="1" x14ac:dyDescent="0.35">
      <c r="A78" s="3" t="s">
        <v>44</v>
      </c>
      <c r="B78" s="3">
        <v>2025</v>
      </c>
      <c r="C78" s="3" t="s">
        <v>60</v>
      </c>
      <c r="D78" s="3" t="s">
        <v>48</v>
      </c>
      <c r="E78" s="3" t="s">
        <v>7</v>
      </c>
      <c r="F78" s="3" t="s">
        <v>50</v>
      </c>
      <c r="G78" s="3">
        <f t="shared" si="7"/>
        <v>1.6481449164929292</v>
      </c>
      <c r="H78" s="3">
        <f t="shared" si="6"/>
        <v>0.50949485423870378</v>
      </c>
      <c r="I78" s="3">
        <f t="shared" si="6"/>
        <v>1.6313099208262396E-13</v>
      </c>
      <c r="J78" s="3">
        <f t="shared" si="6"/>
        <v>1.4770561557656408E-5</v>
      </c>
      <c r="K78" s="3">
        <f t="shared" si="6"/>
        <v>14.176851128438296</v>
      </c>
      <c r="L78" s="3">
        <f t="shared" si="6"/>
        <v>0.23954229256627096</v>
      </c>
      <c r="M78" s="3">
        <f t="shared" si="6"/>
        <v>2.9332145661549844E-6</v>
      </c>
      <c r="N78" s="3">
        <f t="shared" si="6"/>
        <v>4.8477738847154395E-10</v>
      </c>
      <c r="O78" s="3">
        <f t="shared" si="6"/>
        <v>3.024048871145891E-5</v>
      </c>
      <c r="P78" s="3">
        <f t="shared" si="6"/>
        <v>3.8908410815220195E-5</v>
      </c>
      <c r="Q78" s="3">
        <f t="shared" si="6"/>
        <v>0.58827594892089374</v>
      </c>
      <c r="R78" s="3">
        <f t="shared" si="6"/>
        <v>6.3858275975284581E-2</v>
      </c>
      <c r="S78" s="3">
        <f t="shared" si="6"/>
        <v>2.0723732242683766E-5</v>
      </c>
      <c r="T78" s="3">
        <f t="shared" si="6"/>
        <v>2.1238641860851462E-5</v>
      </c>
      <c r="U78" s="3">
        <f t="shared" si="6"/>
        <v>4.7409018770446162E-3</v>
      </c>
      <c r="V78" s="3">
        <f t="shared" si="6"/>
        <v>4.5730937000740312E-4</v>
      </c>
      <c r="W78" s="3">
        <f t="shared" si="6"/>
        <v>1.001869259082205E-4</v>
      </c>
      <c r="X78" s="3">
        <f t="shared" si="6"/>
        <v>0.75644190188789506</v>
      </c>
      <c r="Y78" s="3">
        <f t="shared" si="6"/>
        <v>0.77521042362979964</v>
      </c>
      <c r="Z78" s="3">
        <f t="shared" si="6"/>
        <v>2.1387702674742242E-7</v>
      </c>
      <c r="AA78" s="3">
        <f t="shared" si="6"/>
        <v>2.2219112365825183E-8</v>
      </c>
      <c r="AB78" s="3">
        <f t="shared" si="6"/>
        <v>9.4653494218035875E-8</v>
      </c>
      <c r="AC78" s="5">
        <f t="shared" si="5"/>
        <v>18.763247286607363</v>
      </c>
    </row>
    <row r="79" spans="1:29" s="3" customFormat="1" hidden="1" x14ac:dyDescent="0.35">
      <c r="A79" s="3" t="s">
        <v>44</v>
      </c>
      <c r="B79" s="3">
        <v>2030</v>
      </c>
      <c r="C79" s="3" t="s">
        <v>60</v>
      </c>
      <c r="D79" s="3" t="s">
        <v>48</v>
      </c>
      <c r="E79" s="3" t="s">
        <v>7</v>
      </c>
      <c r="F79" s="3" t="s">
        <v>50</v>
      </c>
      <c r="G79" s="3">
        <f t="shared" si="7"/>
        <v>1.6481449164929292</v>
      </c>
      <c r="H79" s="3">
        <f t="shared" si="6"/>
        <v>0.50949485423870378</v>
      </c>
      <c r="I79" s="3">
        <f t="shared" si="6"/>
        <v>1.6313099208262396E-13</v>
      </c>
      <c r="J79" s="3">
        <f t="shared" si="6"/>
        <v>1.4770561557656408E-5</v>
      </c>
      <c r="K79" s="3">
        <f t="shared" si="6"/>
        <v>14.176851128438296</v>
      </c>
      <c r="L79" s="3">
        <f t="shared" si="6"/>
        <v>0.23954229256627096</v>
      </c>
      <c r="M79" s="3">
        <f t="shared" si="6"/>
        <v>2.9332145661549844E-6</v>
      </c>
      <c r="N79" s="3">
        <f t="shared" si="6"/>
        <v>4.8477738847154395E-10</v>
      </c>
      <c r="O79" s="3">
        <f t="shared" si="6"/>
        <v>3.024048871145891E-5</v>
      </c>
      <c r="P79" s="3">
        <f t="shared" si="6"/>
        <v>3.8908410815220195E-5</v>
      </c>
      <c r="Q79" s="3">
        <f t="shared" si="6"/>
        <v>0.58827594892089374</v>
      </c>
      <c r="R79" s="3">
        <f t="shared" si="6"/>
        <v>6.3858275975284581E-2</v>
      </c>
      <c r="S79" s="3">
        <f t="shared" si="6"/>
        <v>2.0723732242683766E-5</v>
      </c>
      <c r="T79" s="3">
        <f t="shared" si="6"/>
        <v>2.1238641860851462E-5</v>
      </c>
      <c r="U79" s="3">
        <f t="shared" si="6"/>
        <v>4.7409018770446162E-3</v>
      </c>
      <c r="V79" s="3">
        <f t="shared" si="6"/>
        <v>4.5730937000740312E-4</v>
      </c>
      <c r="W79" s="3">
        <f t="shared" si="6"/>
        <v>1.001869259082205E-4</v>
      </c>
      <c r="X79" s="3">
        <f t="shared" si="6"/>
        <v>0.75644190188789506</v>
      </c>
      <c r="Y79" s="3">
        <f t="shared" si="6"/>
        <v>0.77521042362979964</v>
      </c>
      <c r="Z79" s="3">
        <f t="shared" si="6"/>
        <v>2.1387702674742242E-7</v>
      </c>
      <c r="AA79" s="3">
        <f t="shared" si="6"/>
        <v>2.2219112365825183E-8</v>
      </c>
      <c r="AB79" s="3">
        <f t="shared" si="6"/>
        <v>9.4653494218035875E-8</v>
      </c>
      <c r="AC79" s="5">
        <f t="shared" si="5"/>
        <v>18.763247286607363</v>
      </c>
    </row>
    <row r="80" spans="1:29" s="3" customFormat="1" hidden="1" x14ac:dyDescent="0.35">
      <c r="A80" s="3" t="s">
        <v>44</v>
      </c>
      <c r="B80" s="3">
        <v>2035</v>
      </c>
      <c r="C80" s="3" t="s">
        <v>60</v>
      </c>
      <c r="D80" s="3" t="s">
        <v>48</v>
      </c>
      <c r="E80" s="3" t="s">
        <v>7</v>
      </c>
      <c r="F80" s="3" t="s">
        <v>50</v>
      </c>
      <c r="G80" s="3">
        <f t="shared" si="7"/>
        <v>1.6481449164929292</v>
      </c>
      <c r="H80" s="3">
        <f t="shared" si="6"/>
        <v>0.50949485423870378</v>
      </c>
      <c r="I80" s="3">
        <f t="shared" si="6"/>
        <v>1.6313099208262396E-13</v>
      </c>
      <c r="J80" s="3">
        <f t="shared" si="6"/>
        <v>1.4770561557656408E-5</v>
      </c>
      <c r="K80" s="3">
        <f t="shared" si="6"/>
        <v>14.176851128438296</v>
      </c>
      <c r="L80" s="3">
        <f t="shared" si="6"/>
        <v>0.23954229256627096</v>
      </c>
      <c r="M80" s="3">
        <f t="shared" si="6"/>
        <v>2.9332145661549844E-6</v>
      </c>
      <c r="N80" s="3">
        <f t="shared" si="6"/>
        <v>4.8477738847154395E-10</v>
      </c>
      <c r="O80" s="3">
        <f t="shared" si="6"/>
        <v>3.024048871145891E-5</v>
      </c>
      <c r="P80" s="3">
        <f t="shared" si="6"/>
        <v>3.8908410815220195E-5</v>
      </c>
      <c r="Q80" s="3">
        <f t="shared" si="6"/>
        <v>0.58827594892089374</v>
      </c>
      <c r="R80" s="3">
        <f t="shared" si="6"/>
        <v>6.3858275975284581E-2</v>
      </c>
      <c r="S80" s="3">
        <f t="shared" si="6"/>
        <v>2.0723732242683766E-5</v>
      </c>
      <c r="T80" s="3">
        <f t="shared" si="6"/>
        <v>2.1238641860851462E-5</v>
      </c>
      <c r="U80" s="3">
        <f t="shared" si="6"/>
        <v>4.7409018770446162E-3</v>
      </c>
      <c r="V80" s="3">
        <f t="shared" si="6"/>
        <v>4.5730937000740312E-4</v>
      </c>
      <c r="W80" s="3">
        <f t="shared" si="6"/>
        <v>1.001869259082205E-4</v>
      </c>
      <c r="X80" s="3">
        <f t="shared" si="6"/>
        <v>0.75644190188789506</v>
      </c>
      <c r="Y80" s="3">
        <f t="shared" si="6"/>
        <v>0.77521042362979964</v>
      </c>
      <c r="Z80" s="3">
        <f t="shared" si="6"/>
        <v>2.1387702674742242E-7</v>
      </c>
      <c r="AA80" s="3">
        <f t="shared" si="6"/>
        <v>2.2219112365825183E-8</v>
      </c>
      <c r="AB80" s="3">
        <f t="shared" si="6"/>
        <v>9.4653494218035875E-8</v>
      </c>
      <c r="AC80" s="5">
        <f t="shared" si="5"/>
        <v>18.763247286607363</v>
      </c>
    </row>
    <row r="81" spans="1:29" s="3" customFormat="1" hidden="1" x14ac:dyDescent="0.35">
      <c r="A81" s="3" t="s">
        <v>44</v>
      </c>
      <c r="B81" s="3">
        <v>2040</v>
      </c>
      <c r="C81" s="3" t="s">
        <v>60</v>
      </c>
      <c r="D81" s="3" t="s">
        <v>48</v>
      </c>
      <c r="E81" s="3" t="s">
        <v>7</v>
      </c>
      <c r="F81" s="3" t="s">
        <v>50</v>
      </c>
      <c r="G81" s="3">
        <f t="shared" si="7"/>
        <v>1.6481449164929292</v>
      </c>
      <c r="H81" s="3">
        <f t="shared" si="6"/>
        <v>0.50949485423870378</v>
      </c>
      <c r="I81" s="3">
        <f t="shared" si="6"/>
        <v>1.6313099208262396E-13</v>
      </c>
      <c r="J81" s="3">
        <f t="shared" si="6"/>
        <v>1.4770561557656408E-5</v>
      </c>
      <c r="K81" s="3">
        <f t="shared" si="6"/>
        <v>14.176851128438296</v>
      </c>
      <c r="L81" s="3">
        <f t="shared" si="6"/>
        <v>0.23954229256627096</v>
      </c>
      <c r="M81" s="3">
        <f t="shared" si="6"/>
        <v>2.9332145661549844E-6</v>
      </c>
      <c r="N81" s="3">
        <f t="shared" si="6"/>
        <v>4.8477738847154395E-10</v>
      </c>
      <c r="O81" s="3">
        <f t="shared" si="6"/>
        <v>3.024048871145891E-5</v>
      </c>
      <c r="P81" s="3">
        <f t="shared" si="6"/>
        <v>3.8908410815220195E-5</v>
      </c>
      <c r="Q81" s="3">
        <f t="shared" si="6"/>
        <v>0.58827594892089374</v>
      </c>
      <c r="R81" s="3">
        <f t="shared" si="6"/>
        <v>6.3858275975284581E-2</v>
      </c>
      <c r="S81" s="3">
        <f t="shared" si="6"/>
        <v>2.0723732242683766E-5</v>
      </c>
      <c r="T81" s="3">
        <f t="shared" si="6"/>
        <v>2.1238641860851462E-5</v>
      </c>
      <c r="U81" s="3">
        <f t="shared" si="6"/>
        <v>4.7409018770446162E-3</v>
      </c>
      <c r="V81" s="3">
        <f t="shared" si="6"/>
        <v>4.5730937000740312E-4</v>
      </c>
      <c r="W81" s="3">
        <f t="shared" si="6"/>
        <v>1.001869259082205E-4</v>
      </c>
      <c r="X81" s="3">
        <f t="shared" si="6"/>
        <v>0.75644190188789506</v>
      </c>
      <c r="Y81" s="3">
        <f t="shared" si="6"/>
        <v>0.77521042362979964</v>
      </c>
      <c r="Z81" s="3">
        <f t="shared" si="6"/>
        <v>2.1387702674742242E-7</v>
      </c>
      <c r="AA81" s="3">
        <f t="shared" si="6"/>
        <v>2.2219112365825183E-8</v>
      </c>
      <c r="AB81" s="3">
        <f t="shared" si="6"/>
        <v>9.4653494218035875E-8</v>
      </c>
      <c r="AC81" s="5">
        <f t="shared" si="5"/>
        <v>18.763247286607363</v>
      </c>
    </row>
    <row r="82" spans="1:29" hidden="1" x14ac:dyDescent="0.35">
      <c r="A82" t="s">
        <v>44</v>
      </c>
      <c r="B82">
        <v>2020</v>
      </c>
      <c r="C82" t="s">
        <v>59</v>
      </c>
      <c r="D82" t="s">
        <v>5</v>
      </c>
      <c r="E82" t="s">
        <v>7</v>
      </c>
      <c r="F82" t="s">
        <v>52</v>
      </c>
      <c r="G82">
        <v>1.5825612875681789</v>
      </c>
      <c r="H82">
        <v>0.50044949429387331</v>
      </c>
      <c r="I82">
        <v>3.110519837242457E-13</v>
      </c>
      <c r="J82">
        <v>7.6968124357525778E-6</v>
      </c>
      <c r="K82">
        <v>43.668240622644568</v>
      </c>
      <c r="L82">
        <v>0.13309566757330249</v>
      </c>
      <c r="M82">
        <v>3.5543982075670482E-7</v>
      </c>
      <c r="N82">
        <v>1.812137957713724E-10</v>
      </c>
      <c r="O82">
        <v>1.652427891669209E-5</v>
      </c>
      <c r="P82">
        <v>2.0532880473783481E-5</v>
      </c>
      <c r="Q82">
        <v>0.55284508839237045</v>
      </c>
      <c r="R82">
        <v>6.001114648603597E-2</v>
      </c>
      <c r="S82">
        <v>1.866074252236783E-6</v>
      </c>
      <c r="T82">
        <v>1.8718041040826901E-5</v>
      </c>
      <c r="U82">
        <v>1.255492990046221E-3</v>
      </c>
      <c r="V82">
        <v>5.9400132772891468E-4</v>
      </c>
      <c r="W82">
        <v>5.116970853449175E-5</v>
      </c>
      <c r="X82">
        <v>6.8113496705888579E-2</v>
      </c>
      <c r="Y82">
        <v>0.68320847460539724</v>
      </c>
      <c r="Z82">
        <v>4.0331608880635837E-8</v>
      </c>
      <c r="AA82">
        <v>6.0021421351526833E-9</v>
      </c>
      <c r="AB82">
        <v>5.31903674438911E-8</v>
      </c>
      <c r="AC82" s="5">
        <f>SUM(G82:AB82)</f>
        <v>47.250491735528513</v>
      </c>
    </row>
    <row r="83" spans="1:29" hidden="1" x14ac:dyDescent="0.35">
      <c r="A83" t="s">
        <v>44</v>
      </c>
      <c r="B83">
        <v>2025</v>
      </c>
      <c r="C83" t="s">
        <v>59</v>
      </c>
      <c r="D83" t="s">
        <v>5</v>
      </c>
      <c r="E83" t="s">
        <v>7</v>
      </c>
      <c r="F83" t="s">
        <v>52</v>
      </c>
      <c r="G83">
        <v>1.5825612875681789</v>
      </c>
      <c r="H83">
        <v>0.50044949429387331</v>
      </c>
      <c r="I83">
        <v>3.110519837242457E-13</v>
      </c>
      <c r="J83">
        <v>7.6968124357525778E-6</v>
      </c>
      <c r="K83">
        <v>43.668240622644568</v>
      </c>
      <c r="L83">
        <v>0.13309566757330249</v>
      </c>
      <c r="M83">
        <v>3.5543982075670482E-7</v>
      </c>
      <c r="N83">
        <v>1.812137957713724E-10</v>
      </c>
      <c r="O83">
        <v>1.652427891669209E-5</v>
      </c>
      <c r="P83">
        <v>2.0532880473783481E-5</v>
      </c>
      <c r="Q83">
        <v>0.55284508839237045</v>
      </c>
      <c r="R83">
        <v>6.001114648603597E-2</v>
      </c>
      <c r="S83">
        <v>1.866074252236783E-6</v>
      </c>
      <c r="T83">
        <v>1.8718041040826901E-5</v>
      </c>
      <c r="U83">
        <v>1.255492990046221E-3</v>
      </c>
      <c r="V83">
        <v>5.9400132772891468E-4</v>
      </c>
      <c r="W83">
        <v>5.116970853449175E-5</v>
      </c>
      <c r="X83">
        <v>6.8113496705888579E-2</v>
      </c>
      <c r="Y83">
        <v>0.68320847460539724</v>
      </c>
      <c r="Z83">
        <v>4.0331608880635837E-8</v>
      </c>
      <c r="AA83">
        <v>6.0021421351526833E-9</v>
      </c>
      <c r="AB83">
        <v>5.31903674438911E-8</v>
      </c>
      <c r="AC83" s="5">
        <f t="shared" si="5"/>
        <v>47.250491735528513</v>
      </c>
    </row>
    <row r="84" spans="1:29" hidden="1" x14ac:dyDescent="0.35">
      <c r="A84" t="s">
        <v>44</v>
      </c>
      <c r="B84">
        <v>2030</v>
      </c>
      <c r="C84" t="s">
        <v>59</v>
      </c>
      <c r="D84" t="s">
        <v>5</v>
      </c>
      <c r="E84" t="s">
        <v>7</v>
      </c>
      <c r="F84" t="s">
        <v>52</v>
      </c>
      <c r="G84">
        <v>1.5825612875681789</v>
      </c>
      <c r="H84">
        <v>0.50044949429387331</v>
      </c>
      <c r="I84">
        <v>3.110519837242457E-13</v>
      </c>
      <c r="J84">
        <v>7.6968124357525778E-6</v>
      </c>
      <c r="K84">
        <v>43.668240622644568</v>
      </c>
      <c r="L84">
        <v>0.13309566757330249</v>
      </c>
      <c r="M84">
        <v>3.5543982075670482E-7</v>
      </c>
      <c r="N84">
        <v>1.812137957713724E-10</v>
      </c>
      <c r="O84">
        <v>1.652427891669209E-5</v>
      </c>
      <c r="P84">
        <v>2.0532880473783481E-5</v>
      </c>
      <c r="Q84">
        <v>0.55284508839237045</v>
      </c>
      <c r="R84">
        <v>6.001114648603597E-2</v>
      </c>
      <c r="S84">
        <v>1.866074252236783E-6</v>
      </c>
      <c r="T84">
        <v>1.8718041040826901E-5</v>
      </c>
      <c r="U84">
        <v>1.255492990046221E-3</v>
      </c>
      <c r="V84">
        <v>5.9400132772891468E-4</v>
      </c>
      <c r="W84">
        <v>5.116970853449175E-5</v>
      </c>
      <c r="X84">
        <v>6.8113496705888579E-2</v>
      </c>
      <c r="Y84">
        <v>0.68320847460539724</v>
      </c>
      <c r="Z84">
        <v>4.0331608880635837E-8</v>
      </c>
      <c r="AA84">
        <v>6.0021421351526833E-9</v>
      </c>
      <c r="AB84">
        <v>5.31903674438911E-8</v>
      </c>
      <c r="AC84" s="5">
        <f t="shared" si="5"/>
        <v>47.250491735528513</v>
      </c>
    </row>
    <row r="85" spans="1:29" hidden="1" x14ac:dyDescent="0.35">
      <c r="A85" t="s">
        <v>44</v>
      </c>
      <c r="B85">
        <v>2035</v>
      </c>
      <c r="C85" t="s">
        <v>59</v>
      </c>
      <c r="D85" t="s">
        <v>5</v>
      </c>
      <c r="E85" t="s">
        <v>7</v>
      </c>
      <c r="F85" t="s">
        <v>52</v>
      </c>
      <c r="G85">
        <v>1.5825612875681789</v>
      </c>
      <c r="H85">
        <v>0.50044949429387331</v>
      </c>
      <c r="I85">
        <v>3.110519837242457E-13</v>
      </c>
      <c r="J85">
        <v>7.6968124357525778E-6</v>
      </c>
      <c r="K85">
        <v>43.668240622644568</v>
      </c>
      <c r="L85">
        <v>0.13309566757330249</v>
      </c>
      <c r="M85">
        <v>3.5543982075670482E-7</v>
      </c>
      <c r="N85">
        <v>1.812137957713724E-10</v>
      </c>
      <c r="O85">
        <v>1.652427891669209E-5</v>
      </c>
      <c r="P85">
        <v>2.0532880473783481E-5</v>
      </c>
      <c r="Q85">
        <v>0.55284508839237045</v>
      </c>
      <c r="R85">
        <v>6.001114648603597E-2</v>
      </c>
      <c r="S85">
        <v>1.866074252236783E-6</v>
      </c>
      <c r="T85">
        <v>1.8718041040826901E-5</v>
      </c>
      <c r="U85">
        <v>1.255492990046221E-3</v>
      </c>
      <c r="V85">
        <v>5.9400132772891468E-4</v>
      </c>
      <c r="W85">
        <v>5.116970853449175E-5</v>
      </c>
      <c r="X85">
        <v>6.8113496705888579E-2</v>
      </c>
      <c r="Y85">
        <v>0.68320847460539724</v>
      </c>
      <c r="Z85">
        <v>4.0331608880635837E-8</v>
      </c>
      <c r="AA85">
        <v>6.0021421351526833E-9</v>
      </c>
      <c r="AB85">
        <v>5.31903674438911E-8</v>
      </c>
      <c r="AC85" s="5">
        <f t="shared" si="5"/>
        <v>47.250491735528513</v>
      </c>
    </row>
    <row r="86" spans="1:29" hidden="1" x14ac:dyDescent="0.35">
      <c r="A86" t="s">
        <v>44</v>
      </c>
      <c r="B86">
        <v>2040</v>
      </c>
      <c r="C86" t="s">
        <v>59</v>
      </c>
      <c r="D86" t="s">
        <v>5</v>
      </c>
      <c r="E86" t="s">
        <v>7</v>
      </c>
      <c r="F86" t="s">
        <v>52</v>
      </c>
      <c r="G86">
        <v>1.5825612875681789</v>
      </c>
      <c r="H86">
        <v>0.50044949429387331</v>
      </c>
      <c r="I86">
        <v>3.110519837242457E-13</v>
      </c>
      <c r="J86">
        <v>7.6968124357525778E-6</v>
      </c>
      <c r="K86">
        <v>43.668240622644568</v>
      </c>
      <c r="L86">
        <v>0.13309566757330249</v>
      </c>
      <c r="M86">
        <v>3.5543982075670482E-7</v>
      </c>
      <c r="N86">
        <v>1.812137957713724E-10</v>
      </c>
      <c r="O86">
        <v>1.652427891669209E-5</v>
      </c>
      <c r="P86">
        <v>2.0532880473783481E-5</v>
      </c>
      <c r="Q86">
        <v>0.55284508839237045</v>
      </c>
      <c r="R86">
        <v>6.001114648603597E-2</v>
      </c>
      <c r="S86">
        <v>1.866074252236783E-6</v>
      </c>
      <c r="T86">
        <v>1.8718041040826901E-5</v>
      </c>
      <c r="U86">
        <v>1.255492990046221E-3</v>
      </c>
      <c r="V86">
        <v>5.9400132772891468E-4</v>
      </c>
      <c r="W86">
        <v>5.116970853449175E-5</v>
      </c>
      <c r="X86">
        <v>6.8113496705888579E-2</v>
      </c>
      <c r="Y86">
        <v>0.68320847460539724</v>
      </c>
      <c r="Z86">
        <v>4.0331608880635837E-8</v>
      </c>
      <c r="AA86">
        <v>6.0021421351526833E-9</v>
      </c>
      <c r="AB86">
        <v>5.31903674438911E-8</v>
      </c>
      <c r="AC86" s="5">
        <f t="shared" si="5"/>
        <v>47.250491735528513</v>
      </c>
    </row>
    <row r="87" spans="1:29" hidden="1" x14ac:dyDescent="0.35">
      <c r="A87" t="s">
        <v>44</v>
      </c>
      <c r="B87">
        <v>2020</v>
      </c>
      <c r="C87" t="s">
        <v>60</v>
      </c>
      <c r="D87" t="s">
        <v>48</v>
      </c>
      <c r="E87" t="s">
        <v>7</v>
      </c>
      <c r="F87" t="s">
        <v>52</v>
      </c>
      <c r="G87">
        <v>2.0125752735491438</v>
      </c>
      <c r="H87">
        <v>0.62341335284488664</v>
      </c>
      <c r="I87">
        <v>2.0310767954939671E-13</v>
      </c>
      <c r="J87">
        <v>2.2478895452384379E-5</v>
      </c>
      <c r="K87">
        <v>19.879720577457519</v>
      </c>
      <c r="L87">
        <v>0.26843395484600169</v>
      </c>
      <c r="M87">
        <v>4.5234179444041504E-6</v>
      </c>
      <c r="N87">
        <v>6.9490431272460495E-10</v>
      </c>
      <c r="O87">
        <v>4.3866930970903602E-5</v>
      </c>
      <c r="P87">
        <v>5.6706326733402597E-5</v>
      </c>
      <c r="Q87">
        <v>0.71665158660288431</v>
      </c>
      <c r="R87">
        <v>7.7793584550277781E-2</v>
      </c>
      <c r="S87">
        <v>2.1104920761211921E-5</v>
      </c>
      <c r="T87">
        <v>2.4320097553881989E-5</v>
      </c>
      <c r="U87">
        <v>7.6264887127090166E-3</v>
      </c>
      <c r="V87">
        <v>5.9818397603977522E-4</v>
      </c>
      <c r="W87">
        <v>1.5250379687261169E-4</v>
      </c>
      <c r="X87">
        <v>0.77035617514750343</v>
      </c>
      <c r="Y87">
        <v>0.88768355264215382</v>
      </c>
      <c r="Z87">
        <v>3.2786345456113101E-7</v>
      </c>
      <c r="AA87">
        <v>3.4077169869420192E-8</v>
      </c>
      <c r="AB87">
        <v>1.377253556505169E-7</v>
      </c>
      <c r="AC87" s="5">
        <f t="shared" si="5"/>
        <v>25.245178735076504</v>
      </c>
    </row>
    <row r="88" spans="1:29" hidden="1" x14ac:dyDescent="0.35">
      <c r="A88" t="s">
        <v>44</v>
      </c>
      <c r="B88">
        <v>2025</v>
      </c>
      <c r="C88" t="s">
        <v>60</v>
      </c>
      <c r="D88" t="s">
        <v>48</v>
      </c>
      <c r="E88" t="s">
        <v>7</v>
      </c>
      <c r="F88" t="s">
        <v>52</v>
      </c>
      <c r="G88">
        <v>2.0125752735491438</v>
      </c>
      <c r="H88">
        <v>0.62341335284488664</v>
      </c>
      <c r="I88">
        <v>2.0310767954939671E-13</v>
      </c>
      <c r="J88">
        <v>2.2478895452384379E-5</v>
      </c>
      <c r="K88">
        <v>19.879720577457519</v>
      </c>
      <c r="L88">
        <v>0.26843395484600169</v>
      </c>
      <c r="M88">
        <v>4.5234179444041504E-6</v>
      </c>
      <c r="N88">
        <v>6.9490431272460495E-10</v>
      </c>
      <c r="O88">
        <v>4.3866930970903602E-5</v>
      </c>
      <c r="P88">
        <v>5.6706326733402597E-5</v>
      </c>
      <c r="Q88">
        <v>0.71665158660288431</v>
      </c>
      <c r="R88">
        <v>7.7793584550277781E-2</v>
      </c>
      <c r="S88">
        <v>2.1104920761211921E-5</v>
      </c>
      <c r="T88">
        <v>2.4320097553881989E-5</v>
      </c>
      <c r="U88">
        <v>7.6264887127090166E-3</v>
      </c>
      <c r="V88">
        <v>5.9818397603977522E-4</v>
      </c>
      <c r="W88">
        <v>1.5250379687261169E-4</v>
      </c>
      <c r="X88">
        <v>0.77035617514750343</v>
      </c>
      <c r="Y88">
        <v>0.88768355264215382</v>
      </c>
      <c r="Z88">
        <v>3.2786345456113101E-7</v>
      </c>
      <c r="AA88">
        <v>3.4077169869420192E-8</v>
      </c>
      <c r="AB88">
        <v>1.377253556505169E-7</v>
      </c>
      <c r="AC88" s="5">
        <f t="shared" si="5"/>
        <v>25.245178735076504</v>
      </c>
    </row>
    <row r="89" spans="1:29" hidden="1" x14ac:dyDescent="0.35">
      <c r="A89" t="s">
        <v>44</v>
      </c>
      <c r="B89">
        <v>2030</v>
      </c>
      <c r="C89" t="s">
        <v>60</v>
      </c>
      <c r="D89" t="s">
        <v>48</v>
      </c>
      <c r="E89" t="s">
        <v>7</v>
      </c>
      <c r="F89" t="s">
        <v>52</v>
      </c>
      <c r="G89">
        <v>2.0125752735491438</v>
      </c>
      <c r="H89">
        <v>0.62341335284488664</v>
      </c>
      <c r="I89">
        <v>2.0310767954939671E-13</v>
      </c>
      <c r="J89">
        <v>2.2478895452384379E-5</v>
      </c>
      <c r="K89">
        <v>19.879720577457519</v>
      </c>
      <c r="L89">
        <v>0.26843395484600169</v>
      </c>
      <c r="M89">
        <v>4.5234179444041504E-6</v>
      </c>
      <c r="N89">
        <v>6.9490431272460495E-10</v>
      </c>
      <c r="O89">
        <v>4.3866930970903602E-5</v>
      </c>
      <c r="P89">
        <v>5.6706326733402597E-5</v>
      </c>
      <c r="Q89">
        <v>0.71665158660288431</v>
      </c>
      <c r="R89">
        <v>7.7793584550277781E-2</v>
      </c>
      <c r="S89">
        <v>2.1104920761211921E-5</v>
      </c>
      <c r="T89">
        <v>2.4320097553881989E-5</v>
      </c>
      <c r="U89">
        <v>7.6264887127090166E-3</v>
      </c>
      <c r="V89">
        <v>5.9818397603977522E-4</v>
      </c>
      <c r="W89">
        <v>1.5250379687261169E-4</v>
      </c>
      <c r="X89">
        <v>0.77035617514750343</v>
      </c>
      <c r="Y89">
        <v>0.88768355264215382</v>
      </c>
      <c r="Z89">
        <v>3.2786345456113101E-7</v>
      </c>
      <c r="AA89">
        <v>3.4077169869420192E-8</v>
      </c>
      <c r="AB89">
        <v>1.377253556505169E-7</v>
      </c>
      <c r="AC89" s="5">
        <f t="shared" si="5"/>
        <v>25.245178735076504</v>
      </c>
    </row>
    <row r="90" spans="1:29" hidden="1" x14ac:dyDescent="0.35">
      <c r="A90" t="s">
        <v>44</v>
      </c>
      <c r="B90">
        <v>2035</v>
      </c>
      <c r="C90" t="s">
        <v>60</v>
      </c>
      <c r="D90" t="s">
        <v>48</v>
      </c>
      <c r="E90" t="s">
        <v>7</v>
      </c>
      <c r="F90" t="s">
        <v>52</v>
      </c>
      <c r="G90">
        <v>2.0125752735491438</v>
      </c>
      <c r="H90">
        <v>0.62341335284488664</v>
      </c>
      <c r="I90">
        <v>2.0310767954939671E-13</v>
      </c>
      <c r="J90">
        <v>2.2478895452384379E-5</v>
      </c>
      <c r="K90">
        <v>19.879720577457519</v>
      </c>
      <c r="L90">
        <v>0.26843395484600169</v>
      </c>
      <c r="M90">
        <v>4.5234179444041504E-6</v>
      </c>
      <c r="N90">
        <v>6.9490431272460495E-10</v>
      </c>
      <c r="O90">
        <v>4.3866930970903602E-5</v>
      </c>
      <c r="P90">
        <v>5.6706326733402597E-5</v>
      </c>
      <c r="Q90">
        <v>0.71665158660288431</v>
      </c>
      <c r="R90">
        <v>7.7793584550277781E-2</v>
      </c>
      <c r="S90">
        <v>2.1104920761211921E-5</v>
      </c>
      <c r="T90">
        <v>2.4320097553881989E-5</v>
      </c>
      <c r="U90">
        <v>7.6264887127090166E-3</v>
      </c>
      <c r="V90">
        <v>5.9818397603977522E-4</v>
      </c>
      <c r="W90">
        <v>1.5250379687261169E-4</v>
      </c>
      <c r="X90">
        <v>0.77035617514750343</v>
      </c>
      <c r="Y90">
        <v>0.88768355264215382</v>
      </c>
      <c r="Z90">
        <v>3.2786345456113101E-7</v>
      </c>
      <c r="AA90">
        <v>3.4077169869420192E-8</v>
      </c>
      <c r="AB90">
        <v>1.377253556505169E-7</v>
      </c>
      <c r="AC90" s="5">
        <f t="shared" si="5"/>
        <v>25.245178735076504</v>
      </c>
    </row>
    <row r="91" spans="1:29" hidden="1" x14ac:dyDescent="0.35">
      <c r="A91" t="s">
        <v>44</v>
      </c>
      <c r="B91">
        <v>2040</v>
      </c>
      <c r="C91" t="s">
        <v>60</v>
      </c>
      <c r="D91" t="s">
        <v>48</v>
      </c>
      <c r="E91" t="s">
        <v>7</v>
      </c>
      <c r="F91" t="s">
        <v>52</v>
      </c>
      <c r="G91">
        <v>2.0125752735491438</v>
      </c>
      <c r="H91">
        <v>0.62341335284488664</v>
      </c>
      <c r="I91">
        <v>2.0310767954939671E-13</v>
      </c>
      <c r="J91">
        <v>2.2478895452384379E-5</v>
      </c>
      <c r="K91">
        <v>19.879720577457519</v>
      </c>
      <c r="L91">
        <v>0.26843395484600169</v>
      </c>
      <c r="M91">
        <v>4.5234179444041504E-6</v>
      </c>
      <c r="N91">
        <v>6.9490431272460495E-10</v>
      </c>
      <c r="O91">
        <v>4.3866930970903602E-5</v>
      </c>
      <c r="P91">
        <v>5.6706326733402597E-5</v>
      </c>
      <c r="Q91">
        <v>0.71665158660288431</v>
      </c>
      <c r="R91">
        <v>7.7793584550277781E-2</v>
      </c>
      <c r="S91">
        <v>2.1104920761211921E-5</v>
      </c>
      <c r="T91">
        <v>2.4320097553881989E-5</v>
      </c>
      <c r="U91">
        <v>7.6264887127090166E-3</v>
      </c>
      <c r="V91">
        <v>5.9818397603977522E-4</v>
      </c>
      <c r="W91">
        <v>1.5250379687261169E-4</v>
      </c>
      <c r="X91">
        <v>0.77035617514750343</v>
      </c>
      <c r="Y91">
        <v>0.88768355264215382</v>
      </c>
      <c r="Z91">
        <v>3.2786345456113101E-7</v>
      </c>
      <c r="AA91">
        <v>3.4077169869420192E-8</v>
      </c>
      <c r="AB91">
        <v>1.377253556505169E-7</v>
      </c>
      <c r="AC91" s="5">
        <f t="shared" si="5"/>
        <v>25.245178735076504</v>
      </c>
    </row>
    <row r="92" spans="1:29" hidden="1" x14ac:dyDescent="0.35">
      <c r="A92" t="s">
        <v>44</v>
      </c>
      <c r="B92">
        <v>2020</v>
      </c>
      <c r="C92" t="s">
        <v>61</v>
      </c>
      <c r="D92" t="s">
        <v>5</v>
      </c>
      <c r="E92" t="s">
        <v>12</v>
      </c>
      <c r="F92" t="s">
        <v>52</v>
      </c>
      <c r="G92">
        <v>1.9702471077024331</v>
      </c>
      <c r="H92">
        <v>0.59515954381513858</v>
      </c>
      <c r="I92">
        <v>5.1634307638788755E-13</v>
      </c>
      <c r="J92">
        <v>4.5432129252479387E-5</v>
      </c>
      <c r="K92">
        <v>1.2009227664720801</v>
      </c>
      <c r="L92">
        <v>0.18982119624934971</v>
      </c>
      <c r="M92">
        <v>5.126069424181869E-7</v>
      </c>
      <c r="N92">
        <v>2.5245761323754431E-10</v>
      </c>
      <c r="O92">
        <v>6.3935818073388074E-5</v>
      </c>
      <c r="P92">
        <v>8.3360156634681992E-5</v>
      </c>
      <c r="Q92">
        <v>0.71140932804315626</v>
      </c>
      <c r="R92">
        <v>7.7224712665960663E-2</v>
      </c>
      <c r="S92">
        <v>1.813999164674427E-6</v>
      </c>
      <c r="T92">
        <v>2.084866667555779E-6</v>
      </c>
      <c r="U92">
        <v>0.23909124390411141</v>
      </c>
      <c r="V92">
        <v>6.8508088163747648E-4</v>
      </c>
      <c r="W92">
        <v>2.8455205945437738E-4</v>
      </c>
      <c r="X92">
        <v>6.6212584540326344E-2</v>
      </c>
      <c r="Y92">
        <v>7.6097632709594812E-2</v>
      </c>
      <c r="Z92">
        <v>4.3833610183017608E-7</v>
      </c>
      <c r="AA92">
        <v>1.471456485560837E-8</v>
      </c>
      <c r="AB92">
        <v>2.0511439781055749E-7</v>
      </c>
      <c r="AC92" s="5">
        <f t="shared" si="5"/>
        <v>5.1273535470380169</v>
      </c>
    </row>
    <row r="93" spans="1:29" hidden="1" x14ac:dyDescent="0.35">
      <c r="A93" t="s">
        <v>44</v>
      </c>
      <c r="B93">
        <v>2025</v>
      </c>
      <c r="C93" t="s">
        <v>61</v>
      </c>
      <c r="D93" t="s">
        <v>5</v>
      </c>
      <c r="E93" t="s">
        <v>12</v>
      </c>
      <c r="F93" t="s">
        <v>52</v>
      </c>
      <c r="G93">
        <v>1.9702471077024331</v>
      </c>
      <c r="H93">
        <v>0.59515954381513858</v>
      </c>
      <c r="I93">
        <v>5.1634307638788755E-13</v>
      </c>
      <c r="J93">
        <v>4.5432129252479387E-5</v>
      </c>
      <c r="K93">
        <v>1.2009227664720801</v>
      </c>
      <c r="L93">
        <v>0.18982119624934971</v>
      </c>
      <c r="M93">
        <v>5.126069424181869E-7</v>
      </c>
      <c r="N93">
        <v>2.5245761323754431E-10</v>
      </c>
      <c r="O93">
        <v>6.3935818073388074E-5</v>
      </c>
      <c r="P93">
        <v>8.3360156634681992E-5</v>
      </c>
      <c r="Q93">
        <v>0.71140932804315626</v>
      </c>
      <c r="R93">
        <v>7.7224712665960663E-2</v>
      </c>
      <c r="S93">
        <v>1.813999164674427E-6</v>
      </c>
      <c r="T93">
        <v>2.084866667555779E-6</v>
      </c>
      <c r="U93">
        <v>0.23909124390411141</v>
      </c>
      <c r="V93">
        <v>6.8508088163747648E-4</v>
      </c>
      <c r="W93">
        <v>2.8455205945437738E-4</v>
      </c>
      <c r="X93">
        <v>6.6212584540326344E-2</v>
      </c>
      <c r="Y93">
        <v>7.6097632709594812E-2</v>
      </c>
      <c r="Z93">
        <v>4.3833610183017608E-7</v>
      </c>
      <c r="AA93">
        <v>1.471456485560837E-8</v>
      </c>
      <c r="AB93">
        <v>2.0511439781055749E-7</v>
      </c>
      <c r="AC93" s="5">
        <f t="shared" si="5"/>
        <v>5.1273535470380169</v>
      </c>
    </row>
    <row r="94" spans="1:29" hidden="1" x14ac:dyDescent="0.35">
      <c r="A94" t="s">
        <v>44</v>
      </c>
      <c r="B94">
        <v>2030</v>
      </c>
      <c r="C94" t="s">
        <v>61</v>
      </c>
      <c r="D94" t="s">
        <v>5</v>
      </c>
      <c r="E94" t="s">
        <v>12</v>
      </c>
      <c r="F94" t="s">
        <v>52</v>
      </c>
      <c r="G94">
        <v>1.9702471077024331</v>
      </c>
      <c r="H94">
        <v>0.59515954381513858</v>
      </c>
      <c r="I94">
        <v>5.1634307638788755E-13</v>
      </c>
      <c r="J94">
        <v>4.5432129252479387E-5</v>
      </c>
      <c r="K94">
        <v>1.2009227664720801</v>
      </c>
      <c r="L94">
        <v>0.18982119624934971</v>
      </c>
      <c r="M94">
        <v>5.126069424181869E-7</v>
      </c>
      <c r="N94">
        <v>2.5245761323754431E-10</v>
      </c>
      <c r="O94">
        <v>6.3935818073388074E-5</v>
      </c>
      <c r="P94">
        <v>8.3360156634681992E-5</v>
      </c>
      <c r="Q94">
        <v>0.71140932804315626</v>
      </c>
      <c r="R94">
        <v>7.7224712665960663E-2</v>
      </c>
      <c r="S94">
        <v>1.813999164674427E-6</v>
      </c>
      <c r="T94">
        <v>2.084866667555779E-6</v>
      </c>
      <c r="U94">
        <v>0.23909124390411141</v>
      </c>
      <c r="V94">
        <v>6.8508088163747648E-4</v>
      </c>
      <c r="W94">
        <v>2.8455205945437738E-4</v>
      </c>
      <c r="X94">
        <v>6.6212584540326344E-2</v>
      </c>
      <c r="Y94">
        <v>7.6097632709594812E-2</v>
      </c>
      <c r="Z94">
        <v>4.3833610183017608E-7</v>
      </c>
      <c r="AA94">
        <v>1.471456485560837E-8</v>
      </c>
      <c r="AB94">
        <v>2.0511439781055749E-7</v>
      </c>
      <c r="AC94" s="5">
        <f t="shared" si="5"/>
        <v>5.1273535470380169</v>
      </c>
    </row>
    <row r="95" spans="1:29" hidden="1" x14ac:dyDescent="0.35">
      <c r="A95" t="s">
        <v>44</v>
      </c>
      <c r="B95">
        <v>2035</v>
      </c>
      <c r="C95" t="s">
        <v>61</v>
      </c>
      <c r="D95" t="s">
        <v>5</v>
      </c>
      <c r="E95" t="s">
        <v>12</v>
      </c>
      <c r="F95" t="s">
        <v>52</v>
      </c>
      <c r="G95">
        <v>1.9702471077024331</v>
      </c>
      <c r="H95">
        <v>0.59515954381513858</v>
      </c>
      <c r="I95">
        <v>5.1634307638788755E-13</v>
      </c>
      <c r="J95">
        <v>4.5432129252479387E-5</v>
      </c>
      <c r="K95">
        <v>1.2009227664720801</v>
      </c>
      <c r="L95">
        <v>0.18982119624934971</v>
      </c>
      <c r="M95">
        <v>5.126069424181869E-7</v>
      </c>
      <c r="N95">
        <v>2.5245761323754431E-10</v>
      </c>
      <c r="O95">
        <v>6.3935818073388074E-5</v>
      </c>
      <c r="P95">
        <v>8.3360156634681992E-5</v>
      </c>
      <c r="Q95">
        <v>0.71140932804315626</v>
      </c>
      <c r="R95">
        <v>7.7224712665960663E-2</v>
      </c>
      <c r="S95">
        <v>1.813999164674427E-6</v>
      </c>
      <c r="T95">
        <v>2.084866667555779E-6</v>
      </c>
      <c r="U95">
        <v>0.23909124390411141</v>
      </c>
      <c r="V95">
        <v>6.8508088163747648E-4</v>
      </c>
      <c r="W95">
        <v>2.8455205945437738E-4</v>
      </c>
      <c r="X95">
        <v>6.6212584540326344E-2</v>
      </c>
      <c r="Y95">
        <v>7.6097632709594812E-2</v>
      </c>
      <c r="Z95">
        <v>4.3833610183017608E-7</v>
      </c>
      <c r="AA95">
        <v>1.471456485560837E-8</v>
      </c>
      <c r="AB95">
        <v>2.0511439781055749E-7</v>
      </c>
      <c r="AC95" s="5">
        <f t="shared" si="5"/>
        <v>5.1273535470380169</v>
      </c>
    </row>
    <row r="96" spans="1:29" hidden="1" x14ac:dyDescent="0.35">
      <c r="A96" t="s">
        <v>44</v>
      </c>
      <c r="B96">
        <v>2040</v>
      </c>
      <c r="C96" t="s">
        <v>61</v>
      </c>
      <c r="D96" t="s">
        <v>5</v>
      </c>
      <c r="E96" t="s">
        <v>12</v>
      </c>
      <c r="F96" t="s">
        <v>52</v>
      </c>
      <c r="G96">
        <v>1.9702471077024331</v>
      </c>
      <c r="H96">
        <v>0.59515954381513858</v>
      </c>
      <c r="I96">
        <v>5.1634307638788755E-13</v>
      </c>
      <c r="J96">
        <v>4.5432129252479387E-5</v>
      </c>
      <c r="K96">
        <v>1.2009227664720801</v>
      </c>
      <c r="L96">
        <v>0.18982119624934971</v>
      </c>
      <c r="M96">
        <v>5.126069424181869E-7</v>
      </c>
      <c r="N96">
        <v>2.5245761323754431E-10</v>
      </c>
      <c r="O96">
        <v>6.3935818073388074E-5</v>
      </c>
      <c r="P96">
        <v>8.3360156634681992E-5</v>
      </c>
      <c r="Q96">
        <v>0.71140932804315626</v>
      </c>
      <c r="R96">
        <v>7.7224712665960663E-2</v>
      </c>
      <c r="S96">
        <v>1.813999164674427E-6</v>
      </c>
      <c r="T96">
        <v>2.084866667555779E-6</v>
      </c>
      <c r="U96">
        <v>0.23909124390411141</v>
      </c>
      <c r="V96">
        <v>6.8508088163747648E-4</v>
      </c>
      <c r="W96">
        <v>2.8455205945437738E-4</v>
      </c>
      <c r="X96">
        <v>6.6212584540326344E-2</v>
      </c>
      <c r="Y96">
        <v>7.6097632709594812E-2</v>
      </c>
      <c r="Z96">
        <v>4.3833610183017608E-7</v>
      </c>
      <c r="AA96">
        <v>1.471456485560837E-8</v>
      </c>
      <c r="AB96">
        <v>2.0511439781055749E-7</v>
      </c>
      <c r="AC96" s="5">
        <f t="shared" si="5"/>
        <v>5.1273535470380169</v>
      </c>
    </row>
    <row r="97" spans="1:29" hidden="1" x14ac:dyDescent="0.35">
      <c r="A97" t="s">
        <v>44</v>
      </c>
      <c r="B97">
        <v>2020</v>
      </c>
      <c r="C97" t="s">
        <v>62</v>
      </c>
      <c r="D97" t="s">
        <v>48</v>
      </c>
      <c r="E97" t="s">
        <v>12</v>
      </c>
      <c r="F97" t="s">
        <v>52</v>
      </c>
      <c r="G97">
        <v>6.0728638236709482</v>
      </c>
      <c r="H97">
        <v>1.839784296596777</v>
      </c>
      <c r="I97">
        <v>3.6553872709185732E-13</v>
      </c>
      <c r="J97">
        <v>1.3226806770998371E-5</v>
      </c>
      <c r="K97">
        <v>1.759923779502031</v>
      </c>
      <c r="L97">
        <v>0.46788074274688818</v>
      </c>
      <c r="M97">
        <v>3.0213253530685341E-7</v>
      </c>
      <c r="N97">
        <v>1.6796054688498611E-10</v>
      </c>
      <c r="O97">
        <v>4.9765647665335563E-5</v>
      </c>
      <c r="P97">
        <v>5.460000345684779E-5</v>
      </c>
      <c r="Q97">
        <v>2.1968294943589548</v>
      </c>
      <c r="R97">
        <v>0.23847084481431691</v>
      </c>
      <c r="S97">
        <v>1.56996073970132E-6</v>
      </c>
      <c r="T97">
        <v>1.6481322831311911E-6</v>
      </c>
      <c r="U97">
        <v>9.3266969131886049E-2</v>
      </c>
      <c r="V97">
        <v>1.471879161693414E-3</v>
      </c>
      <c r="W97">
        <v>8.4247679090548519E-5</v>
      </c>
      <c r="X97">
        <v>5.7306410037919517E-2</v>
      </c>
      <c r="Y97">
        <v>6.0156827548492199E-2</v>
      </c>
      <c r="Z97">
        <v>1.302764822567805E-7</v>
      </c>
      <c r="AA97">
        <v>5.1382471817468797E-9</v>
      </c>
      <c r="AB97">
        <v>1.5416967705979841E-7</v>
      </c>
      <c r="AC97" s="5">
        <f t="shared" si="5"/>
        <v>12.788160717685184</v>
      </c>
    </row>
    <row r="98" spans="1:29" hidden="1" x14ac:dyDescent="0.35">
      <c r="A98" t="s">
        <v>44</v>
      </c>
      <c r="B98">
        <v>2025</v>
      </c>
      <c r="C98" t="s">
        <v>62</v>
      </c>
      <c r="D98" t="s">
        <v>48</v>
      </c>
      <c r="E98" t="s">
        <v>12</v>
      </c>
      <c r="F98" t="s">
        <v>52</v>
      </c>
      <c r="G98">
        <v>6.0728638236709482</v>
      </c>
      <c r="H98">
        <v>1.839784296596777</v>
      </c>
      <c r="I98">
        <v>3.6553872709185732E-13</v>
      </c>
      <c r="J98">
        <v>1.3226806770998371E-5</v>
      </c>
      <c r="K98">
        <v>1.759923779502031</v>
      </c>
      <c r="L98">
        <v>0.46788074274688818</v>
      </c>
      <c r="M98">
        <v>3.0213253530685341E-7</v>
      </c>
      <c r="N98">
        <v>1.6796054688498611E-10</v>
      </c>
      <c r="O98">
        <v>4.9765647665335563E-5</v>
      </c>
      <c r="P98">
        <v>5.460000345684779E-5</v>
      </c>
      <c r="Q98">
        <v>2.1968294943589548</v>
      </c>
      <c r="R98">
        <v>0.23847084481431691</v>
      </c>
      <c r="S98">
        <v>1.56996073970132E-6</v>
      </c>
      <c r="T98">
        <v>1.6481322831311911E-6</v>
      </c>
      <c r="U98">
        <v>9.3266969131886049E-2</v>
      </c>
      <c r="V98">
        <v>1.471879161693414E-3</v>
      </c>
      <c r="W98">
        <v>8.4247679090548519E-5</v>
      </c>
      <c r="X98">
        <v>5.7306410037919517E-2</v>
      </c>
      <c r="Y98">
        <v>6.0156827548492199E-2</v>
      </c>
      <c r="Z98">
        <v>1.302764822567805E-7</v>
      </c>
      <c r="AA98">
        <v>5.1382471817468797E-9</v>
      </c>
      <c r="AB98">
        <v>1.5416967705979841E-7</v>
      </c>
      <c r="AC98" s="5">
        <f t="shared" si="5"/>
        <v>12.788160717685184</v>
      </c>
    </row>
    <row r="99" spans="1:29" hidden="1" x14ac:dyDescent="0.35">
      <c r="A99" t="s">
        <v>44</v>
      </c>
      <c r="B99">
        <v>2030</v>
      </c>
      <c r="C99" t="s">
        <v>62</v>
      </c>
      <c r="D99" t="s">
        <v>48</v>
      </c>
      <c r="E99" t="s">
        <v>12</v>
      </c>
      <c r="F99" t="s">
        <v>52</v>
      </c>
      <c r="G99">
        <v>6.0728638236709482</v>
      </c>
      <c r="H99">
        <v>1.839784296596777</v>
      </c>
      <c r="I99">
        <v>3.6553872709185732E-13</v>
      </c>
      <c r="J99">
        <v>1.3226806770998371E-5</v>
      </c>
      <c r="K99">
        <v>1.759923779502031</v>
      </c>
      <c r="L99">
        <v>0.46788074274688818</v>
      </c>
      <c r="M99">
        <v>3.0213253530685341E-7</v>
      </c>
      <c r="N99">
        <v>1.6796054688498611E-10</v>
      </c>
      <c r="O99">
        <v>4.9765647665335563E-5</v>
      </c>
      <c r="P99">
        <v>5.460000345684779E-5</v>
      </c>
      <c r="Q99">
        <v>2.1968294943589548</v>
      </c>
      <c r="R99">
        <v>0.23847084481431691</v>
      </c>
      <c r="S99">
        <v>1.56996073970132E-6</v>
      </c>
      <c r="T99">
        <v>1.6481322831311911E-6</v>
      </c>
      <c r="U99">
        <v>9.3266969131886049E-2</v>
      </c>
      <c r="V99">
        <v>1.471879161693414E-3</v>
      </c>
      <c r="W99">
        <v>8.4247679090548519E-5</v>
      </c>
      <c r="X99">
        <v>5.7306410037919517E-2</v>
      </c>
      <c r="Y99">
        <v>6.0156827548492199E-2</v>
      </c>
      <c r="Z99">
        <v>1.302764822567805E-7</v>
      </c>
      <c r="AA99">
        <v>5.1382471817468797E-9</v>
      </c>
      <c r="AB99">
        <v>1.5416967705979841E-7</v>
      </c>
      <c r="AC99" s="5">
        <f t="shared" si="5"/>
        <v>12.788160717685184</v>
      </c>
    </row>
    <row r="100" spans="1:29" hidden="1" x14ac:dyDescent="0.35">
      <c r="A100" t="s">
        <v>44</v>
      </c>
      <c r="B100">
        <v>2035</v>
      </c>
      <c r="C100" t="s">
        <v>62</v>
      </c>
      <c r="D100" t="s">
        <v>48</v>
      </c>
      <c r="E100" t="s">
        <v>12</v>
      </c>
      <c r="F100" t="s">
        <v>52</v>
      </c>
      <c r="G100">
        <v>6.0728638236709482</v>
      </c>
      <c r="H100">
        <v>1.839784296596777</v>
      </c>
      <c r="I100">
        <v>3.6553872709185732E-13</v>
      </c>
      <c r="J100">
        <v>1.3226806770998371E-5</v>
      </c>
      <c r="K100">
        <v>1.759923779502031</v>
      </c>
      <c r="L100">
        <v>0.46788074274688818</v>
      </c>
      <c r="M100">
        <v>3.0213253530685341E-7</v>
      </c>
      <c r="N100">
        <v>1.6796054688498611E-10</v>
      </c>
      <c r="O100">
        <v>4.9765647665335563E-5</v>
      </c>
      <c r="P100">
        <v>5.460000345684779E-5</v>
      </c>
      <c r="Q100">
        <v>2.1968294943589548</v>
      </c>
      <c r="R100">
        <v>0.23847084481431691</v>
      </c>
      <c r="S100">
        <v>1.56996073970132E-6</v>
      </c>
      <c r="T100">
        <v>1.6481322831311911E-6</v>
      </c>
      <c r="U100">
        <v>9.3266969131886049E-2</v>
      </c>
      <c r="V100">
        <v>1.471879161693414E-3</v>
      </c>
      <c r="W100">
        <v>8.4247679090548519E-5</v>
      </c>
      <c r="X100">
        <v>5.7306410037919517E-2</v>
      </c>
      <c r="Y100">
        <v>6.0156827548492199E-2</v>
      </c>
      <c r="Z100">
        <v>1.302764822567805E-7</v>
      </c>
      <c r="AA100">
        <v>5.1382471817468797E-9</v>
      </c>
      <c r="AB100">
        <v>1.5416967705979841E-7</v>
      </c>
      <c r="AC100" s="5">
        <f t="shared" si="5"/>
        <v>12.788160717685184</v>
      </c>
    </row>
    <row r="101" spans="1:29" hidden="1" x14ac:dyDescent="0.35">
      <c r="A101" t="s">
        <v>44</v>
      </c>
      <c r="B101">
        <v>2040</v>
      </c>
      <c r="C101" t="s">
        <v>62</v>
      </c>
      <c r="D101" t="s">
        <v>48</v>
      </c>
      <c r="E101" t="s">
        <v>12</v>
      </c>
      <c r="F101" t="s">
        <v>52</v>
      </c>
      <c r="G101">
        <v>6.0728638236709482</v>
      </c>
      <c r="H101">
        <v>1.839784296596777</v>
      </c>
      <c r="I101">
        <v>3.6553872709185732E-13</v>
      </c>
      <c r="J101">
        <v>1.3226806770998371E-5</v>
      </c>
      <c r="K101">
        <v>1.759923779502031</v>
      </c>
      <c r="L101">
        <v>0.46788074274688818</v>
      </c>
      <c r="M101">
        <v>3.0213253530685341E-7</v>
      </c>
      <c r="N101">
        <v>1.6796054688498611E-10</v>
      </c>
      <c r="O101">
        <v>4.9765647665335563E-5</v>
      </c>
      <c r="P101">
        <v>5.460000345684779E-5</v>
      </c>
      <c r="Q101">
        <v>2.1968294943589548</v>
      </c>
      <c r="R101">
        <v>0.23847084481431691</v>
      </c>
      <c r="S101">
        <v>1.56996073970132E-6</v>
      </c>
      <c r="T101">
        <v>1.6481322831311911E-6</v>
      </c>
      <c r="U101">
        <v>9.3266969131886049E-2</v>
      </c>
      <c r="V101">
        <v>1.471879161693414E-3</v>
      </c>
      <c r="W101">
        <v>8.4247679090548519E-5</v>
      </c>
      <c r="X101">
        <v>5.7306410037919517E-2</v>
      </c>
      <c r="Y101">
        <v>6.0156827548492199E-2</v>
      </c>
      <c r="Z101">
        <v>1.302764822567805E-7</v>
      </c>
      <c r="AA101">
        <v>5.1382471817468797E-9</v>
      </c>
      <c r="AB101">
        <v>1.5416967705979841E-7</v>
      </c>
      <c r="AC101" s="5">
        <f t="shared" si="5"/>
        <v>12.788160717685184</v>
      </c>
    </row>
    <row r="102" spans="1:29" hidden="1" x14ac:dyDescent="0.35">
      <c r="A102" t="s">
        <v>44</v>
      </c>
      <c r="B102">
        <v>2020</v>
      </c>
      <c r="C102" t="s">
        <v>63</v>
      </c>
      <c r="D102" t="s">
        <v>48</v>
      </c>
      <c r="E102" t="s">
        <v>11</v>
      </c>
      <c r="F102" t="s">
        <v>52</v>
      </c>
      <c r="G102">
        <v>18.44560425998284</v>
      </c>
      <c r="H102">
        <v>5.7259603955816276</v>
      </c>
      <c r="I102">
        <v>1.753107996931084E-12</v>
      </c>
      <c r="J102">
        <v>0.16465028359516179</v>
      </c>
      <c r="K102">
        <v>19.076674454010188</v>
      </c>
      <c r="L102">
        <v>1.899071691926987</v>
      </c>
      <c r="M102">
        <v>1.108112126246315E-2</v>
      </c>
      <c r="N102">
        <v>2.2617908298640069E-7</v>
      </c>
      <c r="O102">
        <v>3.1371875898687511</v>
      </c>
      <c r="P102">
        <v>2.562776085192354</v>
      </c>
      <c r="Q102">
        <v>6.6285654201323974</v>
      </c>
      <c r="R102">
        <v>0.71954133411549659</v>
      </c>
      <c r="S102">
        <v>4.4470995394722722E-5</v>
      </c>
      <c r="T102">
        <v>3.468881275743359E-5</v>
      </c>
      <c r="U102">
        <v>23.764187473814619</v>
      </c>
      <c r="V102">
        <v>0.2824038883744987</v>
      </c>
      <c r="W102">
        <v>1.133649883378695</v>
      </c>
      <c r="X102">
        <v>1.623335077587426</v>
      </c>
      <c r="Y102">
        <v>1.2661416598055379</v>
      </c>
      <c r="Z102">
        <v>1.455239940283628E-3</v>
      </c>
      <c r="AA102">
        <v>1.0040563951095701E-4</v>
      </c>
      <c r="AB102">
        <v>9.3398915281159376E-3</v>
      </c>
      <c r="AC102" s="5">
        <f t="shared" si="5"/>
        <v>86.45180554172596</v>
      </c>
    </row>
    <row r="103" spans="1:29" hidden="1" x14ac:dyDescent="0.35">
      <c r="A103" t="s">
        <v>44</v>
      </c>
      <c r="B103">
        <v>2025</v>
      </c>
      <c r="C103" t="s">
        <v>63</v>
      </c>
      <c r="D103" t="s">
        <v>48</v>
      </c>
      <c r="E103" t="s">
        <v>11</v>
      </c>
      <c r="F103" t="s">
        <v>52</v>
      </c>
      <c r="G103">
        <v>18.44560425998284</v>
      </c>
      <c r="H103">
        <v>5.7259603955816276</v>
      </c>
      <c r="I103">
        <v>1.753107996931084E-12</v>
      </c>
      <c r="J103">
        <v>0.16465028359516179</v>
      </c>
      <c r="K103">
        <v>19.076674454010188</v>
      </c>
      <c r="L103">
        <v>1.899071691926987</v>
      </c>
      <c r="M103">
        <v>1.108112126246315E-2</v>
      </c>
      <c r="N103">
        <v>2.2617908298640069E-7</v>
      </c>
      <c r="O103">
        <v>3.1371875898687511</v>
      </c>
      <c r="P103">
        <v>2.562776085192354</v>
      </c>
      <c r="Q103">
        <v>6.6285654201323974</v>
      </c>
      <c r="R103">
        <v>0.71954133411549659</v>
      </c>
      <c r="S103">
        <v>4.4470995394722722E-5</v>
      </c>
      <c r="T103">
        <v>3.468881275743359E-5</v>
      </c>
      <c r="U103">
        <v>23.764187473814619</v>
      </c>
      <c r="V103">
        <v>0.2824038883744987</v>
      </c>
      <c r="W103">
        <v>1.133649883378695</v>
      </c>
      <c r="X103">
        <v>1.623335077587426</v>
      </c>
      <c r="Y103">
        <v>1.2661416598055379</v>
      </c>
      <c r="Z103">
        <v>1.455239940283628E-3</v>
      </c>
      <c r="AA103">
        <v>1.0040563951095701E-4</v>
      </c>
      <c r="AB103">
        <v>9.3398915281159376E-3</v>
      </c>
      <c r="AC103" s="5">
        <f t="shared" si="5"/>
        <v>86.45180554172596</v>
      </c>
    </row>
    <row r="104" spans="1:29" hidden="1" x14ac:dyDescent="0.35">
      <c r="A104" t="s">
        <v>44</v>
      </c>
      <c r="B104">
        <v>2030</v>
      </c>
      <c r="C104" t="s">
        <v>63</v>
      </c>
      <c r="D104" t="s">
        <v>48</v>
      </c>
      <c r="E104" t="s">
        <v>11</v>
      </c>
      <c r="F104" t="s">
        <v>52</v>
      </c>
      <c r="G104">
        <v>18.44560425998284</v>
      </c>
      <c r="H104">
        <v>5.7259603955816276</v>
      </c>
      <c r="I104">
        <v>1.753107996931084E-12</v>
      </c>
      <c r="J104">
        <v>0.16465028359516179</v>
      </c>
      <c r="K104">
        <v>19.076674454010188</v>
      </c>
      <c r="L104">
        <v>1.899071691926987</v>
      </c>
      <c r="M104">
        <v>1.108112126246315E-2</v>
      </c>
      <c r="N104">
        <v>2.2617908298640069E-7</v>
      </c>
      <c r="O104">
        <v>3.1371875898687511</v>
      </c>
      <c r="P104">
        <v>2.562776085192354</v>
      </c>
      <c r="Q104">
        <v>6.6285654201323974</v>
      </c>
      <c r="R104">
        <v>0.71954133411549659</v>
      </c>
      <c r="S104">
        <v>4.4470995394722722E-5</v>
      </c>
      <c r="T104">
        <v>3.468881275743359E-5</v>
      </c>
      <c r="U104">
        <v>23.764187473814619</v>
      </c>
      <c r="V104">
        <v>0.2824038883744987</v>
      </c>
      <c r="W104">
        <v>1.133649883378695</v>
      </c>
      <c r="X104">
        <v>1.623335077587426</v>
      </c>
      <c r="Y104">
        <v>1.2661416598055379</v>
      </c>
      <c r="Z104">
        <v>1.455239940283628E-3</v>
      </c>
      <c r="AA104">
        <v>1.0040563951095701E-4</v>
      </c>
      <c r="AB104">
        <v>9.3398915281159376E-3</v>
      </c>
      <c r="AC104" s="5">
        <f t="shared" si="5"/>
        <v>86.45180554172596</v>
      </c>
    </row>
    <row r="105" spans="1:29" hidden="1" x14ac:dyDescent="0.35">
      <c r="A105" t="s">
        <v>44</v>
      </c>
      <c r="B105">
        <v>2035</v>
      </c>
      <c r="C105" t="s">
        <v>63</v>
      </c>
      <c r="D105" t="s">
        <v>48</v>
      </c>
      <c r="E105" t="s">
        <v>11</v>
      </c>
      <c r="F105" t="s">
        <v>52</v>
      </c>
      <c r="G105">
        <v>18.44560425998284</v>
      </c>
      <c r="H105">
        <v>5.7259603955816276</v>
      </c>
      <c r="I105">
        <v>1.753107996931084E-12</v>
      </c>
      <c r="J105">
        <v>0.16465028359516179</v>
      </c>
      <c r="K105">
        <v>19.076674454010188</v>
      </c>
      <c r="L105">
        <v>1.899071691926987</v>
      </c>
      <c r="M105">
        <v>1.108112126246315E-2</v>
      </c>
      <c r="N105">
        <v>2.2617908298640069E-7</v>
      </c>
      <c r="O105">
        <v>3.1371875898687511</v>
      </c>
      <c r="P105">
        <v>2.562776085192354</v>
      </c>
      <c r="Q105">
        <v>6.6285654201323974</v>
      </c>
      <c r="R105">
        <v>0.71954133411549659</v>
      </c>
      <c r="S105">
        <v>4.4470995394722722E-5</v>
      </c>
      <c r="T105">
        <v>3.468881275743359E-5</v>
      </c>
      <c r="U105">
        <v>23.764187473814619</v>
      </c>
      <c r="V105">
        <v>0.2824038883744987</v>
      </c>
      <c r="W105">
        <v>1.133649883378695</v>
      </c>
      <c r="X105">
        <v>1.623335077587426</v>
      </c>
      <c r="Y105">
        <v>1.2661416598055379</v>
      </c>
      <c r="Z105">
        <v>1.455239940283628E-3</v>
      </c>
      <c r="AA105">
        <v>1.0040563951095701E-4</v>
      </c>
      <c r="AB105">
        <v>9.3398915281159376E-3</v>
      </c>
      <c r="AC105" s="5">
        <f t="shared" si="5"/>
        <v>86.45180554172596</v>
      </c>
    </row>
    <row r="106" spans="1:29" hidden="1" x14ac:dyDescent="0.35">
      <c r="A106" t="s">
        <v>44</v>
      </c>
      <c r="B106">
        <v>2040</v>
      </c>
      <c r="C106" t="s">
        <v>63</v>
      </c>
      <c r="D106" t="s">
        <v>48</v>
      </c>
      <c r="E106" t="s">
        <v>11</v>
      </c>
      <c r="F106" t="s">
        <v>52</v>
      </c>
      <c r="G106">
        <v>18.44560425998284</v>
      </c>
      <c r="H106">
        <v>5.7259603955816276</v>
      </c>
      <c r="I106">
        <v>1.753107996931084E-12</v>
      </c>
      <c r="J106">
        <v>0.16465028359516179</v>
      </c>
      <c r="K106">
        <v>19.076674454010188</v>
      </c>
      <c r="L106">
        <v>1.899071691926987</v>
      </c>
      <c r="M106">
        <v>1.108112126246315E-2</v>
      </c>
      <c r="N106">
        <v>2.2617908298640069E-7</v>
      </c>
      <c r="O106">
        <v>3.1371875898687511</v>
      </c>
      <c r="P106">
        <v>2.562776085192354</v>
      </c>
      <c r="Q106">
        <v>6.6285654201323974</v>
      </c>
      <c r="R106">
        <v>0.71954133411549659</v>
      </c>
      <c r="S106">
        <v>4.4470995394722722E-5</v>
      </c>
      <c r="T106">
        <v>3.468881275743359E-5</v>
      </c>
      <c r="U106">
        <v>23.764187473814619</v>
      </c>
      <c r="V106">
        <v>0.2824038883744987</v>
      </c>
      <c r="W106">
        <v>1.133649883378695</v>
      </c>
      <c r="X106">
        <v>1.623335077587426</v>
      </c>
      <c r="Y106">
        <v>1.2661416598055379</v>
      </c>
      <c r="Z106">
        <v>1.455239940283628E-3</v>
      </c>
      <c r="AA106">
        <v>1.0040563951095701E-4</v>
      </c>
      <c r="AB106">
        <v>9.3398915281159376E-3</v>
      </c>
      <c r="AC106" s="5">
        <f t="shared" si="5"/>
        <v>86.45180554172596</v>
      </c>
    </row>
    <row r="107" spans="1:29" x14ac:dyDescent="0.35">
      <c r="A107" t="s">
        <v>44</v>
      </c>
      <c r="B107">
        <v>2020</v>
      </c>
      <c r="C107" t="s">
        <v>64</v>
      </c>
      <c r="D107" t="s">
        <v>5</v>
      </c>
      <c r="E107" t="s">
        <v>8</v>
      </c>
      <c r="F107" t="s">
        <v>46</v>
      </c>
      <c r="G107">
        <v>0.1874709749576482</v>
      </c>
      <c r="H107">
        <v>5.7852688487956931E-2</v>
      </c>
      <c r="I107">
        <v>1.8435659431724471E-14</v>
      </c>
      <c r="J107">
        <v>1.485944278647851E-6</v>
      </c>
      <c r="K107">
        <v>2.533402221234202E-2</v>
      </c>
      <c r="L107">
        <v>8.7135801874259466E-3</v>
      </c>
      <c r="M107">
        <v>7.3240760701335052E-9</v>
      </c>
      <c r="N107">
        <v>4.2499961375491676E-12</v>
      </c>
      <c r="O107">
        <v>1.2456183054873499E-6</v>
      </c>
      <c r="P107">
        <v>1.337377649243872E-6</v>
      </c>
      <c r="Q107">
        <v>6.6767079897248754E-2</v>
      </c>
      <c r="R107">
        <v>7.2476877129035383E-3</v>
      </c>
      <c r="S107">
        <v>2.2890495289425259E-8</v>
      </c>
      <c r="T107">
        <v>3.1110323175153859E-8</v>
      </c>
      <c r="U107">
        <v>9.3456717413765923E-4</v>
      </c>
      <c r="V107">
        <v>5.7542217717448161E-5</v>
      </c>
      <c r="W107">
        <v>9.8058409556079289E-6</v>
      </c>
      <c r="X107">
        <v>8.3555489568449279E-4</v>
      </c>
      <c r="Y107">
        <v>1.135526779402657E-3</v>
      </c>
      <c r="Z107">
        <v>2.4361451357914899E-9</v>
      </c>
      <c r="AA107">
        <v>1.9270426944093661E-10</v>
      </c>
      <c r="AB107">
        <v>1.5037177448680411E-8</v>
      </c>
      <c r="AC107" s="5">
        <f t="shared" si="5"/>
        <v>0.35636317829884634</v>
      </c>
    </row>
    <row r="108" spans="1:29" x14ac:dyDescent="0.35">
      <c r="A108" t="s">
        <v>44</v>
      </c>
      <c r="B108">
        <v>2025</v>
      </c>
      <c r="C108" t="s">
        <v>64</v>
      </c>
      <c r="D108" t="s">
        <v>5</v>
      </c>
      <c r="E108" t="s">
        <v>8</v>
      </c>
      <c r="F108" t="s">
        <v>46</v>
      </c>
      <c r="G108">
        <v>0.1874709749576482</v>
      </c>
      <c r="H108">
        <v>5.7852688487956931E-2</v>
      </c>
      <c r="I108">
        <v>1.8435659431724471E-14</v>
      </c>
      <c r="J108">
        <v>1.485944278647851E-6</v>
      </c>
      <c r="K108">
        <v>2.533402221234202E-2</v>
      </c>
      <c r="L108">
        <v>8.7135801874259466E-3</v>
      </c>
      <c r="M108">
        <v>7.3240760701335052E-9</v>
      </c>
      <c r="N108">
        <v>4.2499961375491676E-12</v>
      </c>
      <c r="O108">
        <v>1.2456183054873499E-6</v>
      </c>
      <c r="P108">
        <v>1.337377649243872E-6</v>
      </c>
      <c r="Q108">
        <v>6.6767079897248754E-2</v>
      </c>
      <c r="R108">
        <v>7.2476877129035383E-3</v>
      </c>
      <c r="S108">
        <v>2.2890495289425259E-8</v>
      </c>
      <c r="T108">
        <v>3.1110323175153859E-8</v>
      </c>
      <c r="U108">
        <v>9.3456717413765923E-4</v>
      </c>
      <c r="V108">
        <v>5.7542217717448161E-5</v>
      </c>
      <c r="W108">
        <v>9.8058409556079289E-6</v>
      </c>
      <c r="X108">
        <v>8.3555489568449279E-4</v>
      </c>
      <c r="Y108">
        <v>1.135526779402657E-3</v>
      </c>
      <c r="Z108">
        <v>2.4361451357914899E-9</v>
      </c>
      <c r="AA108">
        <v>1.9270426944093661E-10</v>
      </c>
      <c r="AB108">
        <v>1.5037177448680411E-8</v>
      </c>
      <c r="AC108" s="5">
        <f t="shared" si="5"/>
        <v>0.35636317829884634</v>
      </c>
    </row>
    <row r="109" spans="1:29" x14ac:dyDescent="0.35">
      <c r="A109" t="s">
        <v>44</v>
      </c>
      <c r="B109">
        <v>2030</v>
      </c>
      <c r="C109" t="s">
        <v>64</v>
      </c>
      <c r="D109" t="s">
        <v>5</v>
      </c>
      <c r="E109" t="s">
        <v>8</v>
      </c>
      <c r="F109" t="s">
        <v>46</v>
      </c>
      <c r="G109">
        <v>0.1874709749576482</v>
      </c>
      <c r="H109">
        <v>5.7852688487956931E-2</v>
      </c>
      <c r="I109">
        <v>1.8435659431724471E-14</v>
      </c>
      <c r="J109">
        <v>1.485944278647851E-6</v>
      </c>
      <c r="K109">
        <v>2.533402221234202E-2</v>
      </c>
      <c r="L109">
        <v>8.7135801874259466E-3</v>
      </c>
      <c r="M109">
        <v>7.3240760701335052E-9</v>
      </c>
      <c r="N109">
        <v>4.2499961375491676E-12</v>
      </c>
      <c r="O109">
        <v>1.2456183054873499E-6</v>
      </c>
      <c r="P109">
        <v>1.337377649243872E-6</v>
      </c>
      <c r="Q109">
        <v>6.6767079897248754E-2</v>
      </c>
      <c r="R109">
        <v>7.2476877129035383E-3</v>
      </c>
      <c r="S109">
        <v>2.2890495289425259E-8</v>
      </c>
      <c r="T109">
        <v>3.1110323175153859E-8</v>
      </c>
      <c r="U109">
        <v>9.3456717413765923E-4</v>
      </c>
      <c r="V109">
        <v>5.7542217717448161E-5</v>
      </c>
      <c r="W109">
        <v>9.8058409556079289E-6</v>
      </c>
      <c r="X109">
        <v>8.3555489568449279E-4</v>
      </c>
      <c r="Y109">
        <v>1.135526779402657E-3</v>
      </c>
      <c r="Z109">
        <v>2.4361451357914899E-9</v>
      </c>
      <c r="AA109">
        <v>1.9270426944093661E-10</v>
      </c>
      <c r="AB109">
        <v>1.5037177448680411E-8</v>
      </c>
      <c r="AC109" s="5">
        <f t="shared" si="5"/>
        <v>0.35636317829884634</v>
      </c>
    </row>
    <row r="110" spans="1:29" x14ac:dyDescent="0.35">
      <c r="A110" t="s">
        <v>44</v>
      </c>
      <c r="B110">
        <v>2035</v>
      </c>
      <c r="C110" t="s">
        <v>64</v>
      </c>
      <c r="D110" t="s">
        <v>5</v>
      </c>
      <c r="E110" t="s">
        <v>8</v>
      </c>
      <c r="F110" t="s">
        <v>46</v>
      </c>
      <c r="G110">
        <v>0.1874709749576482</v>
      </c>
      <c r="H110">
        <v>5.7852688487956931E-2</v>
      </c>
      <c r="I110">
        <v>1.8435659431724471E-14</v>
      </c>
      <c r="J110">
        <v>1.485944278647851E-6</v>
      </c>
      <c r="K110">
        <v>2.533402221234202E-2</v>
      </c>
      <c r="L110">
        <v>8.7135801874259466E-3</v>
      </c>
      <c r="M110">
        <v>7.3240760701335052E-9</v>
      </c>
      <c r="N110">
        <v>4.2499961375491676E-12</v>
      </c>
      <c r="O110">
        <v>1.2456183054873499E-6</v>
      </c>
      <c r="P110">
        <v>1.337377649243872E-6</v>
      </c>
      <c r="Q110">
        <v>6.6767079897248754E-2</v>
      </c>
      <c r="R110">
        <v>7.2476877129035383E-3</v>
      </c>
      <c r="S110">
        <v>2.2890495289425259E-8</v>
      </c>
      <c r="T110">
        <v>3.1110323175153859E-8</v>
      </c>
      <c r="U110">
        <v>9.3456717413765923E-4</v>
      </c>
      <c r="V110">
        <v>5.7542217717448161E-5</v>
      </c>
      <c r="W110">
        <v>9.8058409556079289E-6</v>
      </c>
      <c r="X110">
        <v>8.3555489568449279E-4</v>
      </c>
      <c r="Y110">
        <v>1.135526779402657E-3</v>
      </c>
      <c r="Z110">
        <v>2.4361451357914899E-9</v>
      </c>
      <c r="AA110">
        <v>1.9270426944093661E-10</v>
      </c>
      <c r="AB110">
        <v>1.5037177448680411E-8</v>
      </c>
      <c r="AC110" s="5">
        <f t="shared" si="5"/>
        <v>0.35636317829884634</v>
      </c>
    </row>
    <row r="111" spans="1:29" x14ac:dyDescent="0.35">
      <c r="A111" t="s">
        <v>44</v>
      </c>
      <c r="B111">
        <v>2040</v>
      </c>
      <c r="C111" t="s">
        <v>64</v>
      </c>
      <c r="D111" t="s">
        <v>5</v>
      </c>
      <c r="E111" t="s">
        <v>8</v>
      </c>
      <c r="F111" t="s">
        <v>46</v>
      </c>
      <c r="G111">
        <v>0.1874709749576482</v>
      </c>
      <c r="H111">
        <v>5.7852688487956931E-2</v>
      </c>
      <c r="I111">
        <v>1.8435659431724471E-14</v>
      </c>
      <c r="J111">
        <v>1.485944278647851E-6</v>
      </c>
      <c r="K111">
        <v>2.533402221234202E-2</v>
      </c>
      <c r="L111">
        <v>8.7135801874259466E-3</v>
      </c>
      <c r="M111">
        <v>7.3240760701335052E-9</v>
      </c>
      <c r="N111">
        <v>4.2499961375491676E-12</v>
      </c>
      <c r="O111">
        <v>1.2456183054873499E-6</v>
      </c>
      <c r="P111">
        <v>1.337377649243872E-6</v>
      </c>
      <c r="Q111">
        <v>6.6767079897248754E-2</v>
      </c>
      <c r="R111">
        <v>7.2476877129035383E-3</v>
      </c>
      <c r="S111">
        <v>2.2890495289425259E-8</v>
      </c>
      <c r="T111">
        <v>3.1110323175153859E-8</v>
      </c>
      <c r="U111">
        <v>9.3456717413765923E-4</v>
      </c>
      <c r="V111">
        <v>5.7542217717448161E-5</v>
      </c>
      <c r="W111">
        <v>9.8058409556079289E-6</v>
      </c>
      <c r="X111">
        <v>8.3555489568449279E-4</v>
      </c>
      <c r="Y111">
        <v>1.135526779402657E-3</v>
      </c>
      <c r="Z111">
        <v>2.4361451357914899E-9</v>
      </c>
      <c r="AA111">
        <v>1.9270426944093661E-10</v>
      </c>
      <c r="AB111">
        <v>1.5037177448680411E-8</v>
      </c>
      <c r="AC111" s="5">
        <f t="shared" si="5"/>
        <v>0.35636317829884634</v>
      </c>
    </row>
    <row r="112" spans="1:29" x14ac:dyDescent="0.35">
      <c r="A112" t="s">
        <v>44</v>
      </c>
      <c r="B112">
        <v>2020</v>
      </c>
      <c r="C112" t="s">
        <v>65</v>
      </c>
      <c r="D112" t="s">
        <v>48</v>
      </c>
      <c r="E112" t="s">
        <v>8</v>
      </c>
      <c r="F112" t="s">
        <v>46</v>
      </c>
      <c r="G112">
        <v>0.24074408521117749</v>
      </c>
      <c r="H112">
        <v>7.3995084518743856E-2</v>
      </c>
      <c r="I112">
        <v>2.043181381047516E-14</v>
      </c>
      <c r="J112">
        <v>3.7168229925325141E-6</v>
      </c>
      <c r="K112">
        <v>3.7527836589564469E-2</v>
      </c>
      <c r="L112">
        <v>1.178613588928611E-2</v>
      </c>
      <c r="M112">
        <v>5.1745666283511947E-7</v>
      </c>
      <c r="N112">
        <v>6.3700217416492624E-11</v>
      </c>
      <c r="O112">
        <v>5.2071218987550656E-6</v>
      </c>
      <c r="P112">
        <v>6.5926542628998597E-6</v>
      </c>
      <c r="Q112">
        <v>8.581092854469799E-2</v>
      </c>
      <c r="R112">
        <v>9.3149366774688998E-3</v>
      </c>
      <c r="S112">
        <v>3.9302082096596097E-8</v>
      </c>
      <c r="T112">
        <v>4.7406867634192761E-8</v>
      </c>
      <c r="U112">
        <v>9.8962224956959709E-4</v>
      </c>
      <c r="V112">
        <v>8.4992563874059155E-5</v>
      </c>
      <c r="W112">
        <v>2.4989556773881629E-5</v>
      </c>
      <c r="X112">
        <v>1.434642597162169E-3</v>
      </c>
      <c r="Y112">
        <v>1.730350642463909E-3</v>
      </c>
      <c r="Z112">
        <v>3.8772938976569642E-8</v>
      </c>
      <c r="AA112">
        <v>3.8602749484019816E-9</v>
      </c>
      <c r="AB112">
        <v>2.764195535760419E-8</v>
      </c>
      <c r="AC112" s="5">
        <f t="shared" si="5"/>
        <v>0.46345979614443922</v>
      </c>
    </row>
    <row r="113" spans="1:29" x14ac:dyDescent="0.35">
      <c r="A113" t="s">
        <v>44</v>
      </c>
      <c r="B113">
        <v>2025</v>
      </c>
      <c r="C113" t="s">
        <v>65</v>
      </c>
      <c r="D113" t="s">
        <v>48</v>
      </c>
      <c r="E113" t="s">
        <v>8</v>
      </c>
      <c r="F113" t="s">
        <v>46</v>
      </c>
      <c r="G113">
        <v>0.24074408521117749</v>
      </c>
      <c r="H113">
        <v>7.3995084518743856E-2</v>
      </c>
      <c r="I113">
        <v>2.043181381047516E-14</v>
      </c>
      <c r="J113">
        <v>3.7168229925325141E-6</v>
      </c>
      <c r="K113">
        <v>3.7527836589564469E-2</v>
      </c>
      <c r="L113">
        <v>1.178613588928611E-2</v>
      </c>
      <c r="M113">
        <v>5.1745666283511947E-7</v>
      </c>
      <c r="N113">
        <v>6.3700217416492624E-11</v>
      </c>
      <c r="O113">
        <v>5.2071218987550656E-6</v>
      </c>
      <c r="P113">
        <v>6.5926542628998597E-6</v>
      </c>
      <c r="Q113">
        <v>8.581092854469799E-2</v>
      </c>
      <c r="R113">
        <v>9.3149366774688998E-3</v>
      </c>
      <c r="S113">
        <v>3.9302082096596097E-8</v>
      </c>
      <c r="T113">
        <v>4.7406867634192761E-8</v>
      </c>
      <c r="U113">
        <v>9.8962224956959709E-4</v>
      </c>
      <c r="V113">
        <v>8.4992563874059155E-5</v>
      </c>
      <c r="W113">
        <v>2.4989556773881629E-5</v>
      </c>
      <c r="X113">
        <v>1.434642597162169E-3</v>
      </c>
      <c r="Y113">
        <v>1.730350642463909E-3</v>
      </c>
      <c r="Z113">
        <v>3.8772938976569642E-8</v>
      </c>
      <c r="AA113">
        <v>3.8602749484019816E-9</v>
      </c>
      <c r="AB113">
        <v>2.764195535760419E-8</v>
      </c>
      <c r="AC113" s="5">
        <f t="shared" si="5"/>
        <v>0.46345979614443922</v>
      </c>
    </row>
    <row r="114" spans="1:29" x14ac:dyDescent="0.35">
      <c r="A114" t="s">
        <v>44</v>
      </c>
      <c r="B114">
        <v>2030</v>
      </c>
      <c r="C114" t="s">
        <v>65</v>
      </c>
      <c r="D114" t="s">
        <v>48</v>
      </c>
      <c r="E114" t="s">
        <v>8</v>
      </c>
      <c r="F114" t="s">
        <v>46</v>
      </c>
      <c r="G114">
        <v>0.24074408521117749</v>
      </c>
      <c r="H114">
        <v>7.3995084518743856E-2</v>
      </c>
      <c r="I114">
        <v>2.043181381047516E-14</v>
      </c>
      <c r="J114">
        <v>3.7168229925325141E-6</v>
      </c>
      <c r="K114">
        <v>3.7527836589564469E-2</v>
      </c>
      <c r="L114">
        <v>1.178613588928611E-2</v>
      </c>
      <c r="M114">
        <v>5.1745666283511947E-7</v>
      </c>
      <c r="N114">
        <v>6.3700217416492624E-11</v>
      </c>
      <c r="O114">
        <v>5.2071218987550656E-6</v>
      </c>
      <c r="P114">
        <v>6.5926542628998597E-6</v>
      </c>
      <c r="Q114">
        <v>8.581092854469799E-2</v>
      </c>
      <c r="R114">
        <v>9.3149366774688998E-3</v>
      </c>
      <c r="S114">
        <v>3.9302082096596097E-8</v>
      </c>
      <c r="T114">
        <v>4.7406867634192761E-8</v>
      </c>
      <c r="U114">
        <v>9.8962224956959709E-4</v>
      </c>
      <c r="V114">
        <v>8.4992563874059155E-5</v>
      </c>
      <c r="W114">
        <v>2.4989556773881629E-5</v>
      </c>
      <c r="X114">
        <v>1.434642597162169E-3</v>
      </c>
      <c r="Y114">
        <v>1.730350642463909E-3</v>
      </c>
      <c r="Z114">
        <v>3.8772938976569642E-8</v>
      </c>
      <c r="AA114">
        <v>3.8602749484019816E-9</v>
      </c>
      <c r="AB114">
        <v>2.764195535760419E-8</v>
      </c>
      <c r="AC114" s="5">
        <f t="shared" si="5"/>
        <v>0.46345979614443922</v>
      </c>
    </row>
    <row r="115" spans="1:29" x14ac:dyDescent="0.35">
      <c r="A115" t="s">
        <v>44</v>
      </c>
      <c r="B115">
        <v>2035</v>
      </c>
      <c r="C115" t="s">
        <v>65</v>
      </c>
      <c r="D115" t="s">
        <v>48</v>
      </c>
      <c r="E115" t="s">
        <v>8</v>
      </c>
      <c r="F115" t="s">
        <v>46</v>
      </c>
      <c r="G115">
        <v>0.24074408521117749</v>
      </c>
      <c r="H115">
        <v>7.3995084518743856E-2</v>
      </c>
      <c r="I115">
        <v>2.043181381047516E-14</v>
      </c>
      <c r="J115">
        <v>3.7168229925325141E-6</v>
      </c>
      <c r="K115">
        <v>3.7527836589564469E-2</v>
      </c>
      <c r="L115">
        <v>1.178613588928611E-2</v>
      </c>
      <c r="M115">
        <v>5.1745666283511947E-7</v>
      </c>
      <c r="N115">
        <v>6.3700217416492624E-11</v>
      </c>
      <c r="O115">
        <v>5.2071218987550656E-6</v>
      </c>
      <c r="P115">
        <v>6.5926542628998597E-6</v>
      </c>
      <c r="Q115">
        <v>8.581092854469799E-2</v>
      </c>
      <c r="R115">
        <v>9.3149366774688998E-3</v>
      </c>
      <c r="S115">
        <v>3.9302082096596097E-8</v>
      </c>
      <c r="T115">
        <v>4.7406867634192761E-8</v>
      </c>
      <c r="U115">
        <v>9.8962224956959709E-4</v>
      </c>
      <c r="V115">
        <v>8.4992563874059155E-5</v>
      </c>
      <c r="W115">
        <v>2.4989556773881629E-5</v>
      </c>
      <c r="X115">
        <v>1.434642597162169E-3</v>
      </c>
      <c r="Y115">
        <v>1.730350642463909E-3</v>
      </c>
      <c r="Z115">
        <v>3.8772938976569642E-8</v>
      </c>
      <c r="AA115">
        <v>3.8602749484019816E-9</v>
      </c>
      <c r="AB115">
        <v>2.764195535760419E-8</v>
      </c>
      <c r="AC115" s="5">
        <f t="shared" si="5"/>
        <v>0.46345979614443922</v>
      </c>
    </row>
    <row r="116" spans="1:29" x14ac:dyDescent="0.35">
      <c r="A116" t="s">
        <v>44</v>
      </c>
      <c r="B116">
        <v>2040</v>
      </c>
      <c r="C116" t="s">
        <v>65</v>
      </c>
      <c r="D116" t="s">
        <v>48</v>
      </c>
      <c r="E116" t="s">
        <v>8</v>
      </c>
      <c r="F116" t="s">
        <v>46</v>
      </c>
      <c r="G116">
        <v>0.24074408521117749</v>
      </c>
      <c r="H116">
        <v>7.3995084518743856E-2</v>
      </c>
      <c r="I116">
        <v>2.043181381047516E-14</v>
      </c>
      <c r="J116">
        <v>3.7168229925325141E-6</v>
      </c>
      <c r="K116">
        <v>3.7527836589564469E-2</v>
      </c>
      <c r="L116">
        <v>1.178613588928611E-2</v>
      </c>
      <c r="M116">
        <v>5.1745666283511947E-7</v>
      </c>
      <c r="N116">
        <v>6.3700217416492624E-11</v>
      </c>
      <c r="O116">
        <v>5.2071218987550656E-6</v>
      </c>
      <c r="P116">
        <v>6.5926542628998597E-6</v>
      </c>
      <c r="Q116">
        <v>8.581092854469799E-2</v>
      </c>
      <c r="R116">
        <v>9.3149366774688998E-3</v>
      </c>
      <c r="S116">
        <v>3.9302082096596097E-8</v>
      </c>
      <c r="T116">
        <v>4.7406867634192761E-8</v>
      </c>
      <c r="U116">
        <v>9.8962224956959709E-4</v>
      </c>
      <c r="V116">
        <v>8.4992563874059155E-5</v>
      </c>
      <c r="W116">
        <v>2.4989556773881629E-5</v>
      </c>
      <c r="X116">
        <v>1.434642597162169E-3</v>
      </c>
      <c r="Y116">
        <v>1.730350642463909E-3</v>
      </c>
      <c r="Z116">
        <v>3.8772938976569642E-8</v>
      </c>
      <c r="AA116">
        <v>3.8602749484019816E-9</v>
      </c>
      <c r="AB116">
        <v>2.764195535760419E-8</v>
      </c>
      <c r="AC116" s="5">
        <f t="shared" si="5"/>
        <v>0.46345979614443922</v>
      </c>
    </row>
    <row r="117" spans="1:29" s="3" customFormat="1" x14ac:dyDescent="0.35">
      <c r="A117" s="3" t="s">
        <v>44</v>
      </c>
      <c r="B117" s="3">
        <v>2020</v>
      </c>
      <c r="C117" s="3" t="s">
        <v>66</v>
      </c>
      <c r="D117" s="3" t="s">
        <v>5</v>
      </c>
      <c r="E117" s="3" t="s">
        <v>8</v>
      </c>
      <c r="F117" s="3" t="s">
        <v>50</v>
      </c>
      <c r="G117" s="3">
        <f>G127-G107</f>
        <v>1.5595644436983498</v>
      </c>
      <c r="H117" s="3">
        <f t="shared" ref="H117:AB126" si="8">H127-H107</f>
        <v>0.47810985819305757</v>
      </c>
      <c r="I117" s="3">
        <f t="shared" si="8"/>
        <v>1.3112250492183703E-13</v>
      </c>
      <c r="J117" s="3">
        <f t="shared" si="8"/>
        <v>2.6367450405238557E-5</v>
      </c>
      <c r="K117" s="3">
        <f t="shared" si="8"/>
        <v>0.26950263759059068</v>
      </c>
      <c r="L117" s="3">
        <f t="shared" si="8"/>
        <v>8.0666915314791324E-2</v>
      </c>
      <c r="M117" s="3">
        <f t="shared" si="8"/>
        <v>4.2217652878966063E-6</v>
      </c>
      <c r="N117" s="3">
        <f t="shared" si="8"/>
        <v>5.5252055116117333E-10</v>
      </c>
      <c r="O117" s="3">
        <f t="shared" si="8"/>
        <v>4.0177753129776423E-5</v>
      </c>
      <c r="P117" s="3">
        <f t="shared" si="8"/>
        <v>5.1977559206403928E-5</v>
      </c>
      <c r="Q117" s="3">
        <f t="shared" si="8"/>
        <v>0.55639958799562661</v>
      </c>
      <c r="R117" s="3">
        <f t="shared" si="8"/>
        <v>6.0398232154511879E-2</v>
      </c>
      <c r="S117" s="3">
        <f t="shared" si="8"/>
        <v>3.4983602210781447E-7</v>
      </c>
      <c r="T117" s="3">
        <f t="shared" si="8"/>
        <v>4.5977239286553605E-7</v>
      </c>
      <c r="U117" s="3">
        <f t="shared" si="8"/>
        <v>5.7779891322982772E-3</v>
      </c>
      <c r="V117" s="3">
        <f t="shared" si="8"/>
        <v>5.5846913047837975E-4</v>
      </c>
      <c r="W117" s="3">
        <f t="shared" si="8"/>
        <v>1.7781653616306278E-4</v>
      </c>
      <c r="X117" s="3">
        <f t="shared" si="8"/>
        <v>1.2769876566366087E-2</v>
      </c>
      <c r="Y117" s="3">
        <f t="shared" si="8"/>
        <v>1.678169208113605E-2</v>
      </c>
      <c r="Z117" s="3">
        <f t="shared" si="8"/>
        <v>3.1053186309420457E-7</v>
      </c>
      <c r="AA117" s="3">
        <f t="shared" si="8"/>
        <v>3.1192014446087728E-8</v>
      </c>
      <c r="AB117" s="3">
        <f t="shared" si="8"/>
        <v>1.875876091671171E-7</v>
      </c>
      <c r="AC117" s="5">
        <f t="shared" si="5"/>
        <v>3.0408316023939523</v>
      </c>
    </row>
    <row r="118" spans="1:29" s="3" customFormat="1" x14ac:dyDescent="0.35">
      <c r="A118" s="3" t="s">
        <v>44</v>
      </c>
      <c r="B118" s="3">
        <v>2025</v>
      </c>
      <c r="C118" s="3" t="s">
        <v>66</v>
      </c>
      <c r="D118" s="3" t="s">
        <v>5</v>
      </c>
      <c r="E118" s="3" t="s">
        <v>8</v>
      </c>
      <c r="F118" s="3" t="s">
        <v>50</v>
      </c>
      <c r="G118" s="3">
        <f t="shared" ref="G118:V126" si="9">G128-G108</f>
        <v>1.5595644436983498</v>
      </c>
      <c r="H118" s="3">
        <f t="shared" si="9"/>
        <v>0.47810985819305757</v>
      </c>
      <c r="I118" s="3">
        <f t="shared" si="9"/>
        <v>1.3112250492183703E-13</v>
      </c>
      <c r="J118" s="3">
        <f t="shared" si="9"/>
        <v>2.6367450405238557E-5</v>
      </c>
      <c r="K118" s="3">
        <f t="shared" si="9"/>
        <v>0.26950263759059068</v>
      </c>
      <c r="L118" s="3">
        <f t="shared" si="9"/>
        <v>8.0666915314791324E-2</v>
      </c>
      <c r="M118" s="3">
        <f t="shared" si="9"/>
        <v>4.2217652878966063E-6</v>
      </c>
      <c r="N118" s="3">
        <f t="shared" si="9"/>
        <v>5.5252055116117333E-10</v>
      </c>
      <c r="O118" s="3">
        <f t="shared" si="9"/>
        <v>4.0177753129776423E-5</v>
      </c>
      <c r="P118" s="3">
        <f t="shared" si="9"/>
        <v>5.1977559206403928E-5</v>
      </c>
      <c r="Q118" s="3">
        <f t="shared" si="9"/>
        <v>0.55639958799562661</v>
      </c>
      <c r="R118" s="3">
        <f t="shared" si="9"/>
        <v>6.0398232154511879E-2</v>
      </c>
      <c r="S118" s="3">
        <f t="shared" si="9"/>
        <v>3.4983602210781447E-7</v>
      </c>
      <c r="T118" s="3">
        <f t="shared" si="9"/>
        <v>4.5977239286553605E-7</v>
      </c>
      <c r="U118" s="3">
        <f t="shared" si="9"/>
        <v>5.7779891322982772E-3</v>
      </c>
      <c r="V118" s="3">
        <f t="shared" si="9"/>
        <v>5.5846913047837975E-4</v>
      </c>
      <c r="W118" s="3">
        <f t="shared" si="8"/>
        <v>1.7781653616306278E-4</v>
      </c>
      <c r="X118" s="3">
        <f t="shared" si="8"/>
        <v>1.2769876566366087E-2</v>
      </c>
      <c r="Y118" s="3">
        <f t="shared" si="8"/>
        <v>1.678169208113605E-2</v>
      </c>
      <c r="Z118" s="3">
        <f t="shared" si="8"/>
        <v>3.1053186309420457E-7</v>
      </c>
      <c r="AA118" s="3">
        <f t="shared" si="8"/>
        <v>3.1192014446087728E-8</v>
      </c>
      <c r="AB118" s="3">
        <f t="shared" si="8"/>
        <v>1.875876091671171E-7</v>
      </c>
      <c r="AC118" s="5">
        <f t="shared" si="5"/>
        <v>3.0408316023939523</v>
      </c>
    </row>
    <row r="119" spans="1:29" s="3" customFormat="1" x14ac:dyDescent="0.35">
      <c r="A119" s="3" t="s">
        <v>44</v>
      </c>
      <c r="B119" s="3">
        <v>2030</v>
      </c>
      <c r="C119" s="3" t="s">
        <v>66</v>
      </c>
      <c r="D119" s="3" t="s">
        <v>5</v>
      </c>
      <c r="E119" s="3" t="s">
        <v>8</v>
      </c>
      <c r="F119" s="3" t="s">
        <v>50</v>
      </c>
      <c r="G119" s="3">
        <f t="shared" si="9"/>
        <v>1.5595644436983498</v>
      </c>
      <c r="H119" s="3">
        <f t="shared" si="8"/>
        <v>0.47810985819305757</v>
      </c>
      <c r="I119" s="3">
        <f t="shared" si="8"/>
        <v>1.3112250492183703E-13</v>
      </c>
      <c r="J119" s="3">
        <f t="shared" si="8"/>
        <v>2.6367450405238557E-5</v>
      </c>
      <c r="K119" s="3">
        <f t="shared" si="8"/>
        <v>0.26950263759059068</v>
      </c>
      <c r="L119" s="3">
        <f t="shared" si="8"/>
        <v>8.0666915314791324E-2</v>
      </c>
      <c r="M119" s="3">
        <f t="shared" si="8"/>
        <v>4.2217652878966063E-6</v>
      </c>
      <c r="N119" s="3">
        <f t="shared" si="8"/>
        <v>5.5252055116117333E-10</v>
      </c>
      <c r="O119" s="3">
        <f t="shared" si="8"/>
        <v>4.0177753129776423E-5</v>
      </c>
      <c r="P119" s="3">
        <f t="shared" si="8"/>
        <v>5.1977559206403928E-5</v>
      </c>
      <c r="Q119" s="3">
        <f t="shared" si="8"/>
        <v>0.55639958799562661</v>
      </c>
      <c r="R119" s="3">
        <f t="shared" si="8"/>
        <v>6.0398232154511879E-2</v>
      </c>
      <c r="S119" s="3">
        <f t="shared" si="8"/>
        <v>3.4983602210781447E-7</v>
      </c>
      <c r="T119" s="3">
        <f t="shared" si="8"/>
        <v>4.5977239286553605E-7</v>
      </c>
      <c r="U119" s="3">
        <f t="shared" si="8"/>
        <v>5.7779891322982772E-3</v>
      </c>
      <c r="V119" s="3">
        <f t="shared" si="8"/>
        <v>5.5846913047837975E-4</v>
      </c>
      <c r="W119" s="3">
        <f t="shared" si="8"/>
        <v>1.7781653616306278E-4</v>
      </c>
      <c r="X119" s="3">
        <f t="shared" si="8"/>
        <v>1.2769876566366087E-2</v>
      </c>
      <c r="Y119" s="3">
        <f t="shared" si="8"/>
        <v>1.678169208113605E-2</v>
      </c>
      <c r="Z119" s="3">
        <f t="shared" si="8"/>
        <v>3.1053186309420457E-7</v>
      </c>
      <c r="AA119" s="3">
        <f t="shared" si="8"/>
        <v>3.1192014446087728E-8</v>
      </c>
      <c r="AB119" s="3">
        <f t="shared" si="8"/>
        <v>1.875876091671171E-7</v>
      </c>
      <c r="AC119" s="5">
        <f t="shared" si="5"/>
        <v>3.0408316023939523</v>
      </c>
    </row>
    <row r="120" spans="1:29" s="3" customFormat="1" x14ac:dyDescent="0.35">
      <c r="A120" s="3" t="s">
        <v>44</v>
      </c>
      <c r="B120" s="3">
        <v>2035</v>
      </c>
      <c r="C120" s="3" t="s">
        <v>66</v>
      </c>
      <c r="D120" s="3" t="s">
        <v>5</v>
      </c>
      <c r="E120" s="3" t="s">
        <v>8</v>
      </c>
      <c r="F120" s="3" t="s">
        <v>50</v>
      </c>
      <c r="G120" s="3">
        <f t="shared" si="9"/>
        <v>1.5595644436983498</v>
      </c>
      <c r="H120" s="3">
        <f t="shared" si="8"/>
        <v>0.47810985819305757</v>
      </c>
      <c r="I120" s="3">
        <f t="shared" si="8"/>
        <v>1.3112250492183703E-13</v>
      </c>
      <c r="J120" s="3">
        <f t="shared" si="8"/>
        <v>2.6367450405238557E-5</v>
      </c>
      <c r="K120" s="3">
        <f t="shared" si="8"/>
        <v>0.26950263759059068</v>
      </c>
      <c r="L120" s="3">
        <f t="shared" si="8"/>
        <v>8.0666915314791324E-2</v>
      </c>
      <c r="M120" s="3">
        <f t="shared" si="8"/>
        <v>4.2217652878966063E-6</v>
      </c>
      <c r="N120" s="3">
        <f t="shared" si="8"/>
        <v>5.5252055116117333E-10</v>
      </c>
      <c r="O120" s="3">
        <f t="shared" si="8"/>
        <v>4.0177753129776423E-5</v>
      </c>
      <c r="P120" s="3">
        <f t="shared" si="8"/>
        <v>5.1977559206403928E-5</v>
      </c>
      <c r="Q120" s="3">
        <f t="shared" si="8"/>
        <v>0.55639958799562661</v>
      </c>
      <c r="R120" s="3">
        <f t="shared" si="8"/>
        <v>6.0398232154511879E-2</v>
      </c>
      <c r="S120" s="3">
        <f t="shared" si="8"/>
        <v>3.4983602210781447E-7</v>
      </c>
      <c r="T120" s="3">
        <f t="shared" si="8"/>
        <v>4.5977239286553605E-7</v>
      </c>
      <c r="U120" s="3">
        <f t="shared" si="8"/>
        <v>5.7779891322982772E-3</v>
      </c>
      <c r="V120" s="3">
        <f t="shared" si="8"/>
        <v>5.5846913047837975E-4</v>
      </c>
      <c r="W120" s="3">
        <f t="shared" si="8"/>
        <v>1.7781653616306278E-4</v>
      </c>
      <c r="X120" s="3">
        <f t="shared" si="8"/>
        <v>1.2769876566366087E-2</v>
      </c>
      <c r="Y120" s="3">
        <f t="shared" si="8"/>
        <v>1.678169208113605E-2</v>
      </c>
      <c r="Z120" s="3">
        <f t="shared" si="8"/>
        <v>3.1053186309420457E-7</v>
      </c>
      <c r="AA120" s="3">
        <f t="shared" si="8"/>
        <v>3.1192014446087728E-8</v>
      </c>
      <c r="AB120" s="3">
        <f t="shared" si="8"/>
        <v>1.875876091671171E-7</v>
      </c>
      <c r="AC120" s="5">
        <f t="shared" si="5"/>
        <v>3.0408316023939523</v>
      </c>
    </row>
    <row r="121" spans="1:29" s="3" customFormat="1" x14ac:dyDescent="0.35">
      <c r="A121" s="3" t="s">
        <v>44</v>
      </c>
      <c r="B121" s="3">
        <v>2040</v>
      </c>
      <c r="C121" s="3" t="s">
        <v>66</v>
      </c>
      <c r="D121" s="3" t="s">
        <v>5</v>
      </c>
      <c r="E121" s="3" t="s">
        <v>8</v>
      </c>
      <c r="F121" s="3" t="s">
        <v>50</v>
      </c>
      <c r="G121" s="3">
        <f t="shared" si="9"/>
        <v>1.5595644436983498</v>
      </c>
      <c r="H121" s="3">
        <f t="shared" si="8"/>
        <v>0.47810985819305757</v>
      </c>
      <c r="I121" s="3">
        <f t="shared" si="8"/>
        <v>1.3112250492183703E-13</v>
      </c>
      <c r="J121" s="3">
        <f t="shared" si="8"/>
        <v>2.6367450405238557E-5</v>
      </c>
      <c r="K121" s="3">
        <f t="shared" si="8"/>
        <v>0.26950263759059068</v>
      </c>
      <c r="L121" s="3">
        <f t="shared" si="8"/>
        <v>8.0666915314791324E-2</v>
      </c>
      <c r="M121" s="3">
        <f t="shared" si="8"/>
        <v>4.2217652878966063E-6</v>
      </c>
      <c r="N121" s="3">
        <f t="shared" si="8"/>
        <v>5.5252055116117333E-10</v>
      </c>
      <c r="O121" s="3">
        <f t="shared" si="8"/>
        <v>4.0177753129776423E-5</v>
      </c>
      <c r="P121" s="3">
        <f t="shared" si="8"/>
        <v>5.1977559206403928E-5</v>
      </c>
      <c r="Q121" s="3">
        <f t="shared" si="8"/>
        <v>0.55639958799562661</v>
      </c>
      <c r="R121" s="3">
        <f t="shared" si="8"/>
        <v>6.0398232154511879E-2</v>
      </c>
      <c r="S121" s="3">
        <f t="shared" si="8"/>
        <v>3.4983602210781447E-7</v>
      </c>
      <c r="T121" s="3">
        <f t="shared" si="8"/>
        <v>4.5977239286553605E-7</v>
      </c>
      <c r="U121" s="3">
        <f t="shared" si="8"/>
        <v>5.7779891322982772E-3</v>
      </c>
      <c r="V121" s="3">
        <f t="shared" si="8"/>
        <v>5.5846913047837975E-4</v>
      </c>
      <c r="W121" s="3">
        <f t="shared" si="8"/>
        <v>1.7781653616306278E-4</v>
      </c>
      <c r="X121" s="3">
        <f t="shared" si="8"/>
        <v>1.2769876566366087E-2</v>
      </c>
      <c r="Y121" s="3">
        <f t="shared" si="8"/>
        <v>1.678169208113605E-2</v>
      </c>
      <c r="Z121" s="3">
        <f t="shared" si="8"/>
        <v>3.1053186309420457E-7</v>
      </c>
      <c r="AA121" s="3">
        <f t="shared" si="8"/>
        <v>3.1192014446087728E-8</v>
      </c>
      <c r="AB121" s="3">
        <f t="shared" si="8"/>
        <v>1.875876091671171E-7</v>
      </c>
      <c r="AC121" s="5">
        <f t="shared" si="5"/>
        <v>3.0408316023939523</v>
      </c>
    </row>
    <row r="122" spans="1:29" s="3" customFormat="1" x14ac:dyDescent="0.35">
      <c r="A122" s="3" t="s">
        <v>44</v>
      </c>
      <c r="B122" s="3">
        <v>2020</v>
      </c>
      <c r="C122" s="3" t="s">
        <v>67</v>
      </c>
      <c r="D122" s="3" t="s">
        <v>48</v>
      </c>
      <c r="E122" s="3" t="s">
        <v>8</v>
      </c>
      <c r="F122" s="3" t="s">
        <v>50</v>
      </c>
      <c r="G122" s="3">
        <f t="shared" si="9"/>
        <v>5.031047747112785</v>
      </c>
      <c r="H122" s="3">
        <f t="shared" si="8"/>
        <v>1.5712871643396451</v>
      </c>
      <c r="I122" s="3">
        <f t="shared" si="8"/>
        <v>2.4481860058465994E-13</v>
      </c>
      <c r="J122" s="3">
        <f t="shared" si="8"/>
        <v>1.6915407254121397E-5</v>
      </c>
      <c r="K122" s="3">
        <f t="shared" si="8"/>
        <v>15.318665955086585</v>
      </c>
      <c r="L122" s="3">
        <f t="shared" si="8"/>
        <v>1.4527211742329469</v>
      </c>
      <c r="M122" s="3">
        <f t="shared" si="8"/>
        <v>2.4776669329371724E-6</v>
      </c>
      <c r="N122" s="3">
        <f t="shared" si="8"/>
        <v>3.4819626601022654E-10</v>
      </c>
      <c r="O122" s="3">
        <f t="shared" si="8"/>
        <v>4.4142785476160966E-5</v>
      </c>
      <c r="P122" s="3">
        <f t="shared" si="8"/>
        <v>4.8785681412179911E-5</v>
      </c>
      <c r="Q122" s="3">
        <f t="shared" si="8"/>
        <v>2.0008124687011222</v>
      </c>
      <c r="R122" s="3">
        <f t="shared" si="8"/>
        <v>0.21715732081775729</v>
      </c>
      <c r="S122" s="3">
        <f t="shared" si="8"/>
        <v>2.6273446717854301E-4</v>
      </c>
      <c r="T122" s="3">
        <f t="shared" si="8"/>
        <v>1.8667372249127581E-4</v>
      </c>
      <c r="U122" s="3">
        <f t="shared" si="8"/>
        <v>1.5337826176895174E-2</v>
      </c>
      <c r="V122" s="3">
        <f t="shared" si="8"/>
        <v>8.8213247031060274E-4</v>
      </c>
      <c r="W122" s="3">
        <f t="shared" si="8"/>
        <v>1.1406503936933978E-4</v>
      </c>
      <c r="X122" s="3">
        <f t="shared" si="8"/>
        <v>9.589808968788418</v>
      </c>
      <c r="Y122" s="3">
        <f t="shared" si="8"/>
        <v>6.8135909268675832</v>
      </c>
      <c r="Z122" s="3">
        <f t="shared" si="8"/>
        <v>1.9146978623639718E-7</v>
      </c>
      <c r="AA122" s="3">
        <f t="shared" si="8"/>
        <v>1.8582859085623669E-8</v>
      </c>
      <c r="AB122" s="3">
        <f t="shared" si="8"/>
        <v>1.7605527440444591E-7</v>
      </c>
      <c r="AC122" s="5">
        <f t="shared" si="5"/>
        <v>42.011987865820529</v>
      </c>
    </row>
    <row r="123" spans="1:29" s="3" customFormat="1" x14ac:dyDescent="0.35">
      <c r="A123" s="3" t="s">
        <v>44</v>
      </c>
      <c r="B123" s="3">
        <v>2025</v>
      </c>
      <c r="C123" s="3" t="s">
        <v>67</v>
      </c>
      <c r="D123" s="3" t="s">
        <v>48</v>
      </c>
      <c r="E123" s="3" t="s">
        <v>8</v>
      </c>
      <c r="F123" s="3" t="s">
        <v>50</v>
      </c>
      <c r="G123" s="3">
        <f t="shared" si="9"/>
        <v>5.031047747112785</v>
      </c>
      <c r="H123" s="3">
        <f t="shared" si="8"/>
        <v>1.5712871643396451</v>
      </c>
      <c r="I123" s="3">
        <f t="shared" si="8"/>
        <v>2.4481860058465994E-13</v>
      </c>
      <c r="J123" s="3">
        <f t="shared" si="8"/>
        <v>1.6915407254121397E-5</v>
      </c>
      <c r="K123" s="3">
        <f t="shared" si="8"/>
        <v>15.318665955086585</v>
      </c>
      <c r="L123" s="3">
        <f t="shared" si="8"/>
        <v>1.4527211742329469</v>
      </c>
      <c r="M123" s="3">
        <f t="shared" si="8"/>
        <v>2.4776669329371724E-6</v>
      </c>
      <c r="N123" s="3">
        <f t="shared" si="8"/>
        <v>3.4819626601022654E-10</v>
      </c>
      <c r="O123" s="3">
        <f t="shared" si="8"/>
        <v>4.4142785476160966E-5</v>
      </c>
      <c r="P123" s="3">
        <f t="shared" si="8"/>
        <v>4.8785681412179911E-5</v>
      </c>
      <c r="Q123" s="3">
        <f t="shared" si="8"/>
        <v>2.0008124687011222</v>
      </c>
      <c r="R123" s="3">
        <f t="shared" si="8"/>
        <v>0.21715732081775729</v>
      </c>
      <c r="S123" s="3">
        <f t="shared" si="8"/>
        <v>2.6273446717854301E-4</v>
      </c>
      <c r="T123" s="3">
        <f t="shared" si="8"/>
        <v>1.8667372249127581E-4</v>
      </c>
      <c r="U123" s="3">
        <f t="shared" si="8"/>
        <v>1.5337826176895174E-2</v>
      </c>
      <c r="V123" s="3">
        <f t="shared" si="8"/>
        <v>8.8213247031060274E-4</v>
      </c>
      <c r="W123" s="3">
        <f t="shared" si="8"/>
        <v>1.1406503936933978E-4</v>
      </c>
      <c r="X123" s="3">
        <f t="shared" si="8"/>
        <v>9.589808968788418</v>
      </c>
      <c r="Y123" s="3">
        <f t="shared" si="8"/>
        <v>6.8135909268675832</v>
      </c>
      <c r="Z123" s="3">
        <f t="shared" si="8"/>
        <v>1.9146978623639718E-7</v>
      </c>
      <c r="AA123" s="3">
        <f t="shared" si="8"/>
        <v>1.8582859085623669E-8</v>
      </c>
      <c r="AB123" s="3">
        <f t="shared" si="8"/>
        <v>1.7605527440444591E-7</v>
      </c>
      <c r="AC123" s="5">
        <f t="shared" si="5"/>
        <v>42.011987865820529</v>
      </c>
    </row>
    <row r="124" spans="1:29" s="3" customFormat="1" x14ac:dyDescent="0.35">
      <c r="A124" s="3" t="s">
        <v>44</v>
      </c>
      <c r="B124" s="3">
        <v>2030</v>
      </c>
      <c r="C124" s="3" t="s">
        <v>67</v>
      </c>
      <c r="D124" s="3" t="s">
        <v>48</v>
      </c>
      <c r="E124" s="3" t="s">
        <v>8</v>
      </c>
      <c r="F124" s="3" t="s">
        <v>50</v>
      </c>
      <c r="G124" s="3">
        <f t="shared" si="9"/>
        <v>5.031047747112785</v>
      </c>
      <c r="H124" s="3">
        <f t="shared" si="8"/>
        <v>1.5712871643396451</v>
      </c>
      <c r="I124" s="3">
        <f t="shared" si="8"/>
        <v>2.4481860058465994E-13</v>
      </c>
      <c r="J124" s="3">
        <f t="shared" si="8"/>
        <v>1.6915407254121397E-5</v>
      </c>
      <c r="K124" s="3">
        <f t="shared" si="8"/>
        <v>15.318665955086585</v>
      </c>
      <c r="L124" s="3">
        <f t="shared" si="8"/>
        <v>1.4527211742329469</v>
      </c>
      <c r="M124" s="3">
        <f t="shared" si="8"/>
        <v>2.4776669329371724E-6</v>
      </c>
      <c r="N124" s="3">
        <f t="shared" si="8"/>
        <v>3.4819626601022654E-10</v>
      </c>
      <c r="O124" s="3">
        <f t="shared" si="8"/>
        <v>4.4142785476160966E-5</v>
      </c>
      <c r="P124" s="3">
        <f t="shared" si="8"/>
        <v>4.8785681412179911E-5</v>
      </c>
      <c r="Q124" s="3">
        <f t="shared" si="8"/>
        <v>2.0008124687011222</v>
      </c>
      <c r="R124" s="3">
        <f t="shared" si="8"/>
        <v>0.21715732081775729</v>
      </c>
      <c r="S124" s="3">
        <f t="shared" si="8"/>
        <v>2.6273446717854301E-4</v>
      </c>
      <c r="T124" s="3">
        <f t="shared" si="8"/>
        <v>1.8667372249127581E-4</v>
      </c>
      <c r="U124" s="3">
        <f t="shared" si="8"/>
        <v>1.5337826176895174E-2</v>
      </c>
      <c r="V124" s="3">
        <f t="shared" si="8"/>
        <v>8.8213247031060274E-4</v>
      </c>
      <c r="W124" s="3">
        <f t="shared" si="8"/>
        <v>1.1406503936933978E-4</v>
      </c>
      <c r="X124" s="3">
        <f t="shared" si="8"/>
        <v>9.589808968788418</v>
      </c>
      <c r="Y124" s="3">
        <f t="shared" si="8"/>
        <v>6.8135909268675832</v>
      </c>
      <c r="Z124" s="3">
        <f t="shared" si="8"/>
        <v>1.9146978623639718E-7</v>
      </c>
      <c r="AA124" s="3">
        <f t="shared" si="8"/>
        <v>1.8582859085623669E-8</v>
      </c>
      <c r="AB124" s="3">
        <f t="shared" si="8"/>
        <v>1.7605527440444591E-7</v>
      </c>
      <c r="AC124" s="5">
        <f t="shared" si="5"/>
        <v>42.011987865820529</v>
      </c>
    </row>
    <row r="125" spans="1:29" s="3" customFormat="1" x14ac:dyDescent="0.35">
      <c r="A125" s="3" t="s">
        <v>44</v>
      </c>
      <c r="B125" s="3">
        <v>2035</v>
      </c>
      <c r="C125" s="3" t="s">
        <v>67</v>
      </c>
      <c r="D125" s="3" t="s">
        <v>48</v>
      </c>
      <c r="E125" s="3" t="s">
        <v>8</v>
      </c>
      <c r="F125" s="3" t="s">
        <v>50</v>
      </c>
      <c r="G125" s="3">
        <f t="shared" si="9"/>
        <v>5.031047747112785</v>
      </c>
      <c r="H125" s="3">
        <f t="shared" si="8"/>
        <v>1.5712871643396451</v>
      </c>
      <c r="I125" s="3">
        <f t="shared" si="8"/>
        <v>2.4481860058465994E-13</v>
      </c>
      <c r="J125" s="3">
        <f t="shared" si="8"/>
        <v>1.6915407254121397E-5</v>
      </c>
      <c r="K125" s="3">
        <f t="shared" si="8"/>
        <v>15.318665955086585</v>
      </c>
      <c r="L125" s="3">
        <f t="shared" si="8"/>
        <v>1.4527211742329469</v>
      </c>
      <c r="M125" s="3">
        <f t="shared" si="8"/>
        <v>2.4776669329371724E-6</v>
      </c>
      <c r="N125" s="3">
        <f t="shared" si="8"/>
        <v>3.4819626601022654E-10</v>
      </c>
      <c r="O125" s="3">
        <f t="shared" si="8"/>
        <v>4.4142785476160966E-5</v>
      </c>
      <c r="P125" s="3">
        <f t="shared" si="8"/>
        <v>4.8785681412179911E-5</v>
      </c>
      <c r="Q125" s="3">
        <f t="shared" si="8"/>
        <v>2.0008124687011222</v>
      </c>
      <c r="R125" s="3">
        <f t="shared" si="8"/>
        <v>0.21715732081775729</v>
      </c>
      <c r="S125" s="3">
        <f t="shared" si="8"/>
        <v>2.6273446717854301E-4</v>
      </c>
      <c r="T125" s="3">
        <f t="shared" si="8"/>
        <v>1.8667372249127581E-4</v>
      </c>
      <c r="U125" s="3">
        <f t="shared" si="8"/>
        <v>1.5337826176895174E-2</v>
      </c>
      <c r="V125" s="3">
        <f t="shared" si="8"/>
        <v>8.8213247031060274E-4</v>
      </c>
      <c r="W125" s="3">
        <f t="shared" si="8"/>
        <v>1.1406503936933978E-4</v>
      </c>
      <c r="X125" s="3">
        <f t="shared" si="8"/>
        <v>9.589808968788418</v>
      </c>
      <c r="Y125" s="3">
        <f t="shared" si="8"/>
        <v>6.8135909268675832</v>
      </c>
      <c r="Z125" s="3">
        <f t="shared" si="8"/>
        <v>1.9146978623639718E-7</v>
      </c>
      <c r="AA125" s="3">
        <f t="shared" si="8"/>
        <v>1.8582859085623669E-8</v>
      </c>
      <c r="AB125" s="3">
        <f t="shared" si="8"/>
        <v>1.7605527440444591E-7</v>
      </c>
      <c r="AC125" s="5">
        <f t="shared" si="5"/>
        <v>42.011987865820529</v>
      </c>
    </row>
    <row r="126" spans="1:29" s="3" customFormat="1" x14ac:dyDescent="0.35">
      <c r="A126" s="3" t="s">
        <v>44</v>
      </c>
      <c r="B126" s="3">
        <v>2040</v>
      </c>
      <c r="C126" s="3" t="s">
        <v>67</v>
      </c>
      <c r="D126" s="3" t="s">
        <v>48</v>
      </c>
      <c r="E126" s="3" t="s">
        <v>8</v>
      </c>
      <c r="F126" s="3" t="s">
        <v>50</v>
      </c>
      <c r="G126" s="3">
        <f t="shared" si="9"/>
        <v>5.031047747112785</v>
      </c>
      <c r="H126" s="3">
        <f t="shared" si="8"/>
        <v>1.5712871643396451</v>
      </c>
      <c r="I126" s="3">
        <f t="shared" si="8"/>
        <v>2.4481860058465994E-13</v>
      </c>
      <c r="J126" s="3">
        <f t="shared" si="8"/>
        <v>1.6915407254121397E-5</v>
      </c>
      <c r="K126" s="3">
        <f t="shared" si="8"/>
        <v>15.318665955086585</v>
      </c>
      <c r="L126" s="3">
        <f t="shared" si="8"/>
        <v>1.4527211742329469</v>
      </c>
      <c r="M126" s="3">
        <f t="shared" si="8"/>
        <v>2.4776669329371724E-6</v>
      </c>
      <c r="N126" s="3">
        <f t="shared" si="8"/>
        <v>3.4819626601022654E-10</v>
      </c>
      <c r="O126" s="3">
        <f t="shared" si="8"/>
        <v>4.4142785476160966E-5</v>
      </c>
      <c r="P126" s="3">
        <f t="shared" si="8"/>
        <v>4.8785681412179911E-5</v>
      </c>
      <c r="Q126" s="3">
        <f t="shared" si="8"/>
        <v>2.0008124687011222</v>
      </c>
      <c r="R126" s="3">
        <f t="shared" si="8"/>
        <v>0.21715732081775729</v>
      </c>
      <c r="S126" s="3">
        <f t="shared" si="8"/>
        <v>2.6273446717854301E-4</v>
      </c>
      <c r="T126" s="3">
        <f t="shared" si="8"/>
        <v>1.8667372249127581E-4</v>
      </c>
      <c r="U126" s="3">
        <f t="shared" si="8"/>
        <v>1.5337826176895174E-2</v>
      </c>
      <c r="V126" s="3">
        <f t="shared" si="8"/>
        <v>8.8213247031060274E-4</v>
      </c>
      <c r="W126" s="3">
        <f t="shared" si="8"/>
        <v>1.1406503936933978E-4</v>
      </c>
      <c r="X126" s="3">
        <f t="shared" si="8"/>
        <v>9.589808968788418</v>
      </c>
      <c r="Y126" s="3">
        <f t="shared" si="8"/>
        <v>6.8135909268675832</v>
      </c>
      <c r="Z126" s="3">
        <f t="shared" si="8"/>
        <v>1.9146978623639718E-7</v>
      </c>
      <c r="AA126" s="3">
        <f t="shared" si="8"/>
        <v>1.8582859085623669E-8</v>
      </c>
      <c r="AB126" s="3">
        <f t="shared" si="8"/>
        <v>1.7605527440444591E-7</v>
      </c>
      <c r="AC126" s="5">
        <f t="shared" si="5"/>
        <v>42.011987865820529</v>
      </c>
    </row>
    <row r="127" spans="1:29" x14ac:dyDescent="0.35">
      <c r="A127" t="s">
        <v>44</v>
      </c>
      <c r="B127">
        <v>2020</v>
      </c>
      <c r="C127" t="s">
        <v>66</v>
      </c>
      <c r="D127" t="s">
        <v>5</v>
      </c>
      <c r="E127" t="s">
        <v>8</v>
      </c>
      <c r="F127" t="s">
        <v>52</v>
      </c>
      <c r="G127">
        <v>1.747035418655998</v>
      </c>
      <c r="H127">
        <v>0.53596254668101451</v>
      </c>
      <c r="I127">
        <v>1.495581643535615E-13</v>
      </c>
      <c r="J127">
        <v>2.7853394683886409E-5</v>
      </c>
      <c r="K127">
        <v>0.29483665980293272</v>
      </c>
      <c r="L127">
        <v>8.9380495502217272E-2</v>
      </c>
      <c r="M127">
        <v>4.2290893639667402E-6</v>
      </c>
      <c r="N127">
        <v>5.5677054729872249E-10</v>
      </c>
      <c r="O127">
        <v>4.1423371435263771E-5</v>
      </c>
      <c r="P127">
        <v>5.3314936855647799E-5</v>
      </c>
      <c r="Q127">
        <v>0.62316666789287534</v>
      </c>
      <c r="R127">
        <v>6.7645919867415416E-2</v>
      </c>
      <c r="S127">
        <v>3.7272651739723971E-7</v>
      </c>
      <c r="T127">
        <v>4.9088271604068989E-7</v>
      </c>
      <c r="U127">
        <v>6.7125563064359363E-3</v>
      </c>
      <c r="V127">
        <v>6.1601134819582793E-4</v>
      </c>
      <c r="W127">
        <v>1.8762237711867071E-4</v>
      </c>
      <c r="X127">
        <v>1.360543146205058E-2</v>
      </c>
      <c r="Y127">
        <v>1.7917218860538708E-2</v>
      </c>
      <c r="Z127">
        <v>3.1296800822999608E-7</v>
      </c>
      <c r="AA127">
        <v>3.1384718715528662E-8</v>
      </c>
      <c r="AB127">
        <v>2.026247866157975E-7</v>
      </c>
      <c r="AC127" s="5">
        <f t="shared" si="5"/>
        <v>3.3971947806927991</v>
      </c>
    </row>
    <row r="128" spans="1:29" x14ac:dyDescent="0.35">
      <c r="A128" t="s">
        <v>44</v>
      </c>
      <c r="B128">
        <v>2025</v>
      </c>
      <c r="C128" t="s">
        <v>66</v>
      </c>
      <c r="D128" t="s">
        <v>5</v>
      </c>
      <c r="E128" t="s">
        <v>8</v>
      </c>
      <c r="F128" t="s">
        <v>52</v>
      </c>
      <c r="G128">
        <v>1.747035418655998</v>
      </c>
      <c r="H128">
        <v>0.53596254668101451</v>
      </c>
      <c r="I128">
        <v>1.495581643535615E-13</v>
      </c>
      <c r="J128">
        <v>2.7853394683886409E-5</v>
      </c>
      <c r="K128">
        <v>0.29483665980293272</v>
      </c>
      <c r="L128">
        <v>8.9380495502217272E-2</v>
      </c>
      <c r="M128">
        <v>4.2290893639667402E-6</v>
      </c>
      <c r="N128">
        <v>5.5677054729872249E-10</v>
      </c>
      <c r="O128">
        <v>4.1423371435263771E-5</v>
      </c>
      <c r="P128">
        <v>5.3314936855647799E-5</v>
      </c>
      <c r="Q128">
        <v>0.62316666789287534</v>
      </c>
      <c r="R128">
        <v>6.7645919867415416E-2</v>
      </c>
      <c r="S128">
        <v>3.7272651739723971E-7</v>
      </c>
      <c r="T128">
        <v>4.9088271604068989E-7</v>
      </c>
      <c r="U128">
        <v>6.7125563064359363E-3</v>
      </c>
      <c r="V128">
        <v>6.1601134819582793E-4</v>
      </c>
      <c r="W128">
        <v>1.8762237711867071E-4</v>
      </c>
      <c r="X128">
        <v>1.360543146205058E-2</v>
      </c>
      <c r="Y128">
        <v>1.7917218860538708E-2</v>
      </c>
      <c r="Z128">
        <v>3.1296800822999608E-7</v>
      </c>
      <c r="AA128">
        <v>3.1384718715528662E-8</v>
      </c>
      <c r="AB128">
        <v>2.026247866157975E-7</v>
      </c>
      <c r="AC128" s="5">
        <f t="shared" si="5"/>
        <v>3.3971947806927991</v>
      </c>
    </row>
    <row r="129" spans="1:29" x14ac:dyDescent="0.35">
      <c r="A129" t="s">
        <v>44</v>
      </c>
      <c r="B129">
        <v>2030</v>
      </c>
      <c r="C129" t="s">
        <v>66</v>
      </c>
      <c r="D129" t="s">
        <v>5</v>
      </c>
      <c r="E129" t="s">
        <v>8</v>
      </c>
      <c r="F129" t="s">
        <v>52</v>
      </c>
      <c r="G129">
        <v>1.747035418655998</v>
      </c>
      <c r="H129">
        <v>0.53596254668101451</v>
      </c>
      <c r="I129">
        <v>1.495581643535615E-13</v>
      </c>
      <c r="J129">
        <v>2.7853394683886409E-5</v>
      </c>
      <c r="K129">
        <v>0.29483665980293272</v>
      </c>
      <c r="L129">
        <v>8.9380495502217272E-2</v>
      </c>
      <c r="M129">
        <v>4.2290893639667402E-6</v>
      </c>
      <c r="N129">
        <v>5.5677054729872249E-10</v>
      </c>
      <c r="O129">
        <v>4.1423371435263771E-5</v>
      </c>
      <c r="P129">
        <v>5.3314936855647799E-5</v>
      </c>
      <c r="Q129">
        <v>0.62316666789287534</v>
      </c>
      <c r="R129">
        <v>6.7645919867415416E-2</v>
      </c>
      <c r="S129">
        <v>3.7272651739723971E-7</v>
      </c>
      <c r="T129">
        <v>4.9088271604068989E-7</v>
      </c>
      <c r="U129">
        <v>6.7125563064359363E-3</v>
      </c>
      <c r="V129">
        <v>6.1601134819582793E-4</v>
      </c>
      <c r="W129">
        <v>1.8762237711867071E-4</v>
      </c>
      <c r="X129">
        <v>1.360543146205058E-2</v>
      </c>
      <c r="Y129">
        <v>1.7917218860538708E-2</v>
      </c>
      <c r="Z129">
        <v>3.1296800822999608E-7</v>
      </c>
      <c r="AA129">
        <v>3.1384718715528662E-8</v>
      </c>
      <c r="AB129">
        <v>2.026247866157975E-7</v>
      </c>
      <c r="AC129" s="5">
        <f t="shared" si="5"/>
        <v>3.3971947806927991</v>
      </c>
    </row>
    <row r="130" spans="1:29" x14ac:dyDescent="0.35">
      <c r="A130" t="s">
        <v>44</v>
      </c>
      <c r="B130">
        <v>2035</v>
      </c>
      <c r="C130" t="s">
        <v>66</v>
      </c>
      <c r="D130" t="s">
        <v>5</v>
      </c>
      <c r="E130" t="s">
        <v>8</v>
      </c>
      <c r="F130" t="s">
        <v>52</v>
      </c>
      <c r="G130">
        <v>1.747035418655998</v>
      </c>
      <c r="H130">
        <v>0.53596254668101451</v>
      </c>
      <c r="I130">
        <v>1.495581643535615E-13</v>
      </c>
      <c r="J130">
        <v>2.7853394683886409E-5</v>
      </c>
      <c r="K130">
        <v>0.29483665980293272</v>
      </c>
      <c r="L130">
        <v>8.9380495502217272E-2</v>
      </c>
      <c r="M130">
        <v>4.2290893639667402E-6</v>
      </c>
      <c r="N130">
        <v>5.5677054729872249E-10</v>
      </c>
      <c r="O130">
        <v>4.1423371435263771E-5</v>
      </c>
      <c r="P130">
        <v>5.3314936855647799E-5</v>
      </c>
      <c r="Q130">
        <v>0.62316666789287534</v>
      </c>
      <c r="R130">
        <v>6.7645919867415416E-2</v>
      </c>
      <c r="S130">
        <v>3.7272651739723971E-7</v>
      </c>
      <c r="T130">
        <v>4.9088271604068989E-7</v>
      </c>
      <c r="U130">
        <v>6.7125563064359363E-3</v>
      </c>
      <c r="V130">
        <v>6.1601134819582793E-4</v>
      </c>
      <c r="W130">
        <v>1.8762237711867071E-4</v>
      </c>
      <c r="X130">
        <v>1.360543146205058E-2</v>
      </c>
      <c r="Y130">
        <v>1.7917218860538708E-2</v>
      </c>
      <c r="Z130">
        <v>3.1296800822999608E-7</v>
      </c>
      <c r="AA130">
        <v>3.1384718715528662E-8</v>
      </c>
      <c r="AB130">
        <v>2.026247866157975E-7</v>
      </c>
      <c r="AC130" s="5">
        <f t="shared" si="5"/>
        <v>3.3971947806927991</v>
      </c>
    </row>
    <row r="131" spans="1:29" x14ac:dyDescent="0.35">
      <c r="A131" t="s">
        <v>44</v>
      </c>
      <c r="B131">
        <v>2040</v>
      </c>
      <c r="C131" t="s">
        <v>66</v>
      </c>
      <c r="D131" t="s">
        <v>5</v>
      </c>
      <c r="E131" t="s">
        <v>8</v>
      </c>
      <c r="F131" t="s">
        <v>52</v>
      </c>
      <c r="G131">
        <v>1.747035418655998</v>
      </c>
      <c r="H131">
        <v>0.53596254668101451</v>
      </c>
      <c r="I131">
        <v>1.495581643535615E-13</v>
      </c>
      <c r="J131">
        <v>2.7853394683886409E-5</v>
      </c>
      <c r="K131">
        <v>0.29483665980293272</v>
      </c>
      <c r="L131">
        <v>8.9380495502217272E-2</v>
      </c>
      <c r="M131">
        <v>4.2290893639667402E-6</v>
      </c>
      <c r="N131">
        <v>5.5677054729872249E-10</v>
      </c>
      <c r="O131">
        <v>4.1423371435263771E-5</v>
      </c>
      <c r="P131">
        <v>5.3314936855647799E-5</v>
      </c>
      <c r="Q131">
        <v>0.62316666789287534</v>
      </c>
      <c r="R131">
        <v>6.7645919867415416E-2</v>
      </c>
      <c r="S131">
        <v>3.7272651739723971E-7</v>
      </c>
      <c r="T131">
        <v>4.9088271604068989E-7</v>
      </c>
      <c r="U131">
        <v>6.7125563064359363E-3</v>
      </c>
      <c r="V131">
        <v>6.1601134819582793E-4</v>
      </c>
      <c r="W131">
        <v>1.8762237711867071E-4</v>
      </c>
      <c r="X131">
        <v>1.360543146205058E-2</v>
      </c>
      <c r="Y131">
        <v>1.7917218860538708E-2</v>
      </c>
      <c r="Z131">
        <v>3.1296800822999608E-7</v>
      </c>
      <c r="AA131">
        <v>3.1384718715528662E-8</v>
      </c>
      <c r="AB131">
        <v>2.026247866157975E-7</v>
      </c>
      <c r="AC131" s="5">
        <f t="shared" ref="AC131:AC136" si="10">SUM(G131:AB131)</f>
        <v>3.3971947806927991</v>
      </c>
    </row>
    <row r="132" spans="1:29" x14ac:dyDescent="0.35">
      <c r="A132" t="s">
        <v>44</v>
      </c>
      <c r="B132">
        <v>2020</v>
      </c>
      <c r="C132" t="s">
        <v>67</v>
      </c>
      <c r="D132" t="s">
        <v>48</v>
      </c>
      <c r="E132" t="s">
        <v>8</v>
      </c>
      <c r="F132" t="s">
        <v>52</v>
      </c>
      <c r="G132">
        <v>5.2717918323239621</v>
      </c>
      <c r="H132">
        <v>1.6452822488583889</v>
      </c>
      <c r="I132">
        <v>2.652504143951351E-13</v>
      </c>
      <c r="J132">
        <v>2.0632230246653911E-5</v>
      </c>
      <c r="K132">
        <v>15.35619379167615</v>
      </c>
      <c r="L132">
        <v>1.464507310122233</v>
      </c>
      <c r="M132">
        <v>2.9951235957722921E-6</v>
      </c>
      <c r="N132">
        <v>4.1189648342671917E-10</v>
      </c>
      <c r="O132">
        <v>4.9349907374916033E-5</v>
      </c>
      <c r="P132">
        <v>5.5378335675079771E-5</v>
      </c>
      <c r="Q132">
        <v>2.0866233972458201</v>
      </c>
      <c r="R132">
        <v>0.2264722574952262</v>
      </c>
      <c r="S132">
        <v>2.6277376926063962E-4</v>
      </c>
      <c r="T132">
        <v>1.8672112935890999E-4</v>
      </c>
      <c r="U132">
        <v>1.6327448426464771E-2</v>
      </c>
      <c r="V132">
        <v>9.6712503418466193E-4</v>
      </c>
      <c r="W132">
        <v>1.390545961432214E-4</v>
      </c>
      <c r="X132">
        <v>9.5912436113855808</v>
      </c>
      <c r="Y132">
        <v>6.8153212775100469</v>
      </c>
      <c r="Z132">
        <v>2.3024272521296681E-7</v>
      </c>
      <c r="AA132">
        <v>2.2443134034025649E-8</v>
      </c>
      <c r="AB132">
        <v>2.0369722976205009E-7</v>
      </c>
      <c r="AC132" s="5">
        <f t="shared" si="10"/>
        <v>42.475447661964964</v>
      </c>
    </row>
    <row r="133" spans="1:29" x14ac:dyDescent="0.35">
      <c r="A133" t="s">
        <v>44</v>
      </c>
      <c r="B133">
        <v>2025</v>
      </c>
      <c r="C133" t="s">
        <v>67</v>
      </c>
      <c r="D133" t="s">
        <v>48</v>
      </c>
      <c r="E133" t="s">
        <v>8</v>
      </c>
      <c r="F133" t="s">
        <v>52</v>
      </c>
      <c r="G133">
        <v>5.2717918323239621</v>
      </c>
      <c r="H133">
        <v>1.6452822488583889</v>
      </c>
      <c r="I133">
        <v>2.652504143951351E-13</v>
      </c>
      <c r="J133">
        <v>2.0632230246653911E-5</v>
      </c>
      <c r="K133">
        <v>15.35619379167615</v>
      </c>
      <c r="L133">
        <v>1.464507310122233</v>
      </c>
      <c r="M133">
        <v>2.9951235957722921E-6</v>
      </c>
      <c r="N133">
        <v>4.1189648342671917E-10</v>
      </c>
      <c r="O133">
        <v>4.9349907374916033E-5</v>
      </c>
      <c r="P133">
        <v>5.5378335675079771E-5</v>
      </c>
      <c r="Q133">
        <v>2.0866233972458201</v>
      </c>
      <c r="R133">
        <v>0.2264722574952262</v>
      </c>
      <c r="S133">
        <v>2.6277376926063962E-4</v>
      </c>
      <c r="T133">
        <v>1.8672112935890999E-4</v>
      </c>
      <c r="U133">
        <v>1.6327448426464771E-2</v>
      </c>
      <c r="V133">
        <v>9.6712503418466193E-4</v>
      </c>
      <c r="W133">
        <v>1.390545961432214E-4</v>
      </c>
      <c r="X133">
        <v>9.5912436113855808</v>
      </c>
      <c r="Y133">
        <v>6.8153212775100469</v>
      </c>
      <c r="Z133">
        <v>2.3024272521296681E-7</v>
      </c>
      <c r="AA133">
        <v>2.2443134034025649E-8</v>
      </c>
      <c r="AB133">
        <v>2.0369722976205009E-7</v>
      </c>
      <c r="AC133" s="5">
        <f t="shared" si="10"/>
        <v>42.475447661964964</v>
      </c>
    </row>
    <row r="134" spans="1:29" x14ac:dyDescent="0.35">
      <c r="A134" t="s">
        <v>44</v>
      </c>
      <c r="B134">
        <v>2030</v>
      </c>
      <c r="C134" t="s">
        <v>67</v>
      </c>
      <c r="D134" t="s">
        <v>48</v>
      </c>
      <c r="E134" t="s">
        <v>8</v>
      </c>
      <c r="F134" t="s">
        <v>52</v>
      </c>
      <c r="G134">
        <v>5.2717918323239621</v>
      </c>
      <c r="H134">
        <v>1.6452822488583889</v>
      </c>
      <c r="I134">
        <v>2.652504143951351E-13</v>
      </c>
      <c r="J134">
        <v>2.0632230246653911E-5</v>
      </c>
      <c r="K134">
        <v>15.35619379167615</v>
      </c>
      <c r="L134">
        <v>1.464507310122233</v>
      </c>
      <c r="M134">
        <v>2.9951235957722921E-6</v>
      </c>
      <c r="N134">
        <v>4.1189648342671917E-10</v>
      </c>
      <c r="O134">
        <v>4.9349907374916033E-5</v>
      </c>
      <c r="P134">
        <v>5.5378335675079771E-5</v>
      </c>
      <c r="Q134">
        <v>2.0866233972458201</v>
      </c>
      <c r="R134">
        <v>0.2264722574952262</v>
      </c>
      <c r="S134">
        <v>2.6277376926063962E-4</v>
      </c>
      <c r="T134">
        <v>1.8672112935890999E-4</v>
      </c>
      <c r="U134">
        <v>1.6327448426464771E-2</v>
      </c>
      <c r="V134">
        <v>9.6712503418466193E-4</v>
      </c>
      <c r="W134">
        <v>1.390545961432214E-4</v>
      </c>
      <c r="X134">
        <v>9.5912436113855808</v>
      </c>
      <c r="Y134">
        <v>6.8153212775100469</v>
      </c>
      <c r="Z134">
        <v>2.3024272521296681E-7</v>
      </c>
      <c r="AA134">
        <v>2.2443134034025649E-8</v>
      </c>
      <c r="AB134">
        <v>2.0369722976205009E-7</v>
      </c>
      <c r="AC134" s="5">
        <f t="shared" si="10"/>
        <v>42.475447661964964</v>
      </c>
    </row>
    <row r="135" spans="1:29" x14ac:dyDescent="0.35">
      <c r="A135" t="s">
        <v>44</v>
      </c>
      <c r="B135">
        <v>2035</v>
      </c>
      <c r="C135" t="s">
        <v>67</v>
      </c>
      <c r="D135" t="s">
        <v>48</v>
      </c>
      <c r="E135" t="s">
        <v>8</v>
      </c>
      <c r="F135" t="s">
        <v>52</v>
      </c>
      <c r="G135">
        <v>5.2717918323239621</v>
      </c>
      <c r="H135">
        <v>1.6452822488583889</v>
      </c>
      <c r="I135">
        <v>2.652504143951351E-13</v>
      </c>
      <c r="J135">
        <v>2.0632230246653911E-5</v>
      </c>
      <c r="K135">
        <v>15.35619379167615</v>
      </c>
      <c r="L135">
        <v>1.464507310122233</v>
      </c>
      <c r="M135">
        <v>2.9951235957722921E-6</v>
      </c>
      <c r="N135">
        <v>4.1189648342671917E-10</v>
      </c>
      <c r="O135">
        <v>4.9349907374916033E-5</v>
      </c>
      <c r="P135">
        <v>5.5378335675079771E-5</v>
      </c>
      <c r="Q135">
        <v>2.0866233972458201</v>
      </c>
      <c r="R135">
        <v>0.2264722574952262</v>
      </c>
      <c r="S135">
        <v>2.6277376926063962E-4</v>
      </c>
      <c r="T135">
        <v>1.8672112935890999E-4</v>
      </c>
      <c r="U135">
        <v>1.6327448426464771E-2</v>
      </c>
      <c r="V135">
        <v>9.6712503418466193E-4</v>
      </c>
      <c r="W135">
        <v>1.390545961432214E-4</v>
      </c>
      <c r="X135">
        <v>9.5912436113855808</v>
      </c>
      <c r="Y135">
        <v>6.8153212775100469</v>
      </c>
      <c r="Z135">
        <v>2.3024272521296681E-7</v>
      </c>
      <c r="AA135">
        <v>2.2443134034025649E-8</v>
      </c>
      <c r="AB135">
        <v>2.0369722976205009E-7</v>
      </c>
      <c r="AC135" s="5">
        <f t="shared" si="10"/>
        <v>42.475447661964964</v>
      </c>
    </row>
    <row r="136" spans="1:29" x14ac:dyDescent="0.35">
      <c r="A136" t="s">
        <v>44</v>
      </c>
      <c r="B136">
        <v>2040</v>
      </c>
      <c r="C136" t="s">
        <v>67</v>
      </c>
      <c r="D136" t="s">
        <v>48</v>
      </c>
      <c r="E136" t="s">
        <v>8</v>
      </c>
      <c r="F136" t="s">
        <v>52</v>
      </c>
      <c r="G136">
        <v>5.2717918323239621</v>
      </c>
      <c r="H136">
        <v>1.6452822488583889</v>
      </c>
      <c r="I136">
        <v>2.652504143951351E-13</v>
      </c>
      <c r="J136">
        <v>2.0632230246653911E-5</v>
      </c>
      <c r="K136">
        <v>15.35619379167615</v>
      </c>
      <c r="L136">
        <v>1.464507310122233</v>
      </c>
      <c r="M136">
        <v>2.9951235957722921E-6</v>
      </c>
      <c r="N136">
        <v>4.1189648342671917E-10</v>
      </c>
      <c r="O136">
        <v>4.9349907374916033E-5</v>
      </c>
      <c r="P136">
        <v>5.5378335675079771E-5</v>
      </c>
      <c r="Q136">
        <v>2.0866233972458201</v>
      </c>
      <c r="R136">
        <v>0.2264722574952262</v>
      </c>
      <c r="S136">
        <v>2.6277376926063962E-4</v>
      </c>
      <c r="T136">
        <v>1.8672112935890999E-4</v>
      </c>
      <c r="U136">
        <v>1.6327448426464771E-2</v>
      </c>
      <c r="V136">
        <v>9.6712503418466193E-4</v>
      </c>
      <c r="W136">
        <v>1.390545961432214E-4</v>
      </c>
      <c r="X136">
        <v>9.5912436113855808</v>
      </c>
      <c r="Y136">
        <v>6.8153212775100469</v>
      </c>
      <c r="Z136">
        <v>2.3024272521296681E-7</v>
      </c>
      <c r="AA136">
        <v>2.2443134034025649E-8</v>
      </c>
      <c r="AB136">
        <v>2.0369722976205009E-7</v>
      </c>
      <c r="AC136" s="5">
        <f t="shared" si="10"/>
        <v>42.475447661964964</v>
      </c>
    </row>
  </sheetData>
  <autoFilter ref="A1:AC136" xr:uid="{5E5AFBFE-52D7-4854-B1DB-F3F68E98903A}">
    <filterColumn colId="4">
      <filters>
        <filter val="Nickel"/>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4578-3F31-4083-BDC6-E0721FEF61DB}">
  <dimension ref="A1:R136"/>
  <sheetViews>
    <sheetView workbookViewId="0">
      <selection activeCell="A18" sqref="A18"/>
    </sheetView>
  </sheetViews>
  <sheetFormatPr baseColWidth="10" defaultColWidth="9.1796875" defaultRowHeight="14.5" x14ac:dyDescent="0.35"/>
  <cols>
    <col min="1" max="1" width="12.81640625" bestFit="1" customWidth="1"/>
    <col min="2" max="2" width="9.54296875" bestFit="1" customWidth="1"/>
    <col min="3" max="3" width="17" bestFit="1" customWidth="1"/>
    <col min="4" max="6" width="17" customWidth="1"/>
    <col min="7" max="7" width="26.7265625" bestFit="1" customWidth="1"/>
    <col min="8" max="8" width="26.81640625" bestFit="1" customWidth="1"/>
    <col min="9" max="9" width="29.54296875" bestFit="1" customWidth="1"/>
    <col min="10" max="10" width="29.7265625" bestFit="1" customWidth="1"/>
    <col min="11" max="11" width="33.81640625" bestFit="1" customWidth="1"/>
    <col min="12" max="12" width="34" bestFit="1" customWidth="1"/>
    <col min="13" max="13" width="27.1796875" bestFit="1" customWidth="1"/>
    <col min="14" max="14" width="27.54296875" bestFit="1" customWidth="1"/>
    <col min="15" max="15" width="33.26953125" bestFit="1" customWidth="1"/>
    <col min="16" max="16" width="29.81640625" bestFit="1" customWidth="1"/>
    <col min="17" max="17" width="26.54296875" bestFit="1" customWidth="1"/>
    <col min="18" max="18" width="12" style="5" bestFit="1" customWidth="1"/>
  </cols>
  <sheetData>
    <row r="1" spans="1:18" x14ac:dyDescent="0.35">
      <c r="A1" s="2" t="s">
        <v>0</v>
      </c>
      <c r="B1" s="2" t="s">
        <v>2</v>
      </c>
      <c r="C1" s="2" t="s">
        <v>19</v>
      </c>
      <c r="D1" s="2" t="s">
        <v>20</v>
      </c>
      <c r="E1" s="2" t="s">
        <v>3</v>
      </c>
      <c r="F1" s="2" t="s">
        <v>21</v>
      </c>
      <c r="G1" s="2" t="s">
        <v>68</v>
      </c>
      <c r="H1" s="2" t="s">
        <v>69</v>
      </c>
      <c r="I1" s="2" t="s">
        <v>70</v>
      </c>
      <c r="J1" s="2" t="s">
        <v>71</v>
      </c>
      <c r="K1" s="2" t="s">
        <v>72</v>
      </c>
      <c r="L1" s="2" t="s">
        <v>73</v>
      </c>
      <c r="M1" s="2" t="s">
        <v>74</v>
      </c>
      <c r="N1" s="2" t="s">
        <v>75</v>
      </c>
      <c r="O1" s="2" t="s">
        <v>76</v>
      </c>
      <c r="P1" s="2" t="s">
        <v>77</v>
      </c>
      <c r="Q1" s="2" t="s">
        <v>78</v>
      </c>
      <c r="R1" s="4" t="s">
        <v>90</v>
      </c>
    </row>
    <row r="2" spans="1:18" x14ac:dyDescent="0.35">
      <c r="A2" t="s">
        <v>44</v>
      </c>
      <c r="B2">
        <v>2020</v>
      </c>
      <c r="C2" t="s">
        <v>45</v>
      </c>
      <c r="D2" t="s">
        <v>5</v>
      </c>
      <c r="E2" t="s">
        <v>13</v>
      </c>
      <c r="F2" t="s">
        <v>46</v>
      </c>
      <c r="G2">
        <v>5.9487670419752283E-8</v>
      </c>
      <c r="H2">
        <v>1.8249069685677071E-8</v>
      </c>
      <c r="I2">
        <v>1.8888777909911121E-11</v>
      </c>
      <c r="J2">
        <v>8.2769114209200261E-10</v>
      </c>
      <c r="K2">
        <v>5.1755960205809267E-10</v>
      </c>
      <c r="L2">
        <v>2.0597785203696189E-10</v>
      </c>
      <c r="M2">
        <v>2.7419534854960609E-12</v>
      </c>
      <c r="N2">
        <v>2.3950328582001422E-13</v>
      </c>
      <c r="O2">
        <v>9.902577152430587E-13</v>
      </c>
      <c r="P2">
        <v>1.078013536529022E-13</v>
      </c>
      <c r="Q2">
        <v>6.0973891777731705E-13</v>
      </c>
      <c r="R2" s="5">
        <f>SUM(G2:Q2)</f>
        <v>7.9311546734284322E-8</v>
      </c>
    </row>
    <row r="3" spans="1:18" x14ac:dyDescent="0.35">
      <c r="A3" t="s">
        <v>44</v>
      </c>
      <c r="B3">
        <v>2025</v>
      </c>
      <c r="C3" t="s">
        <v>45</v>
      </c>
      <c r="D3" t="s">
        <v>5</v>
      </c>
      <c r="E3" t="s">
        <v>13</v>
      </c>
      <c r="F3" t="s">
        <v>46</v>
      </c>
      <c r="G3">
        <v>5.9487670419752283E-8</v>
      </c>
      <c r="H3">
        <v>1.8249069685677071E-8</v>
      </c>
      <c r="I3">
        <v>1.8888777909911121E-11</v>
      </c>
      <c r="J3">
        <v>8.2769114209200261E-10</v>
      </c>
      <c r="K3">
        <v>5.1755960205809267E-10</v>
      </c>
      <c r="L3">
        <v>2.0597785203696189E-10</v>
      </c>
      <c r="M3">
        <v>2.7419534854960609E-12</v>
      </c>
      <c r="N3">
        <v>2.3950328582001422E-13</v>
      </c>
      <c r="O3">
        <v>9.902577152430587E-13</v>
      </c>
      <c r="P3">
        <v>1.078013536529022E-13</v>
      </c>
      <c r="Q3">
        <v>6.0973891777731705E-13</v>
      </c>
      <c r="R3" s="5">
        <f t="shared" ref="R3:R66" si="0">SUM(G3:Q3)</f>
        <v>7.9311546734284322E-8</v>
      </c>
    </row>
    <row r="4" spans="1:18" x14ac:dyDescent="0.35">
      <c r="A4" t="s">
        <v>44</v>
      </c>
      <c r="B4">
        <v>2030</v>
      </c>
      <c r="C4" t="s">
        <v>45</v>
      </c>
      <c r="D4" t="s">
        <v>5</v>
      </c>
      <c r="E4" t="s">
        <v>13</v>
      </c>
      <c r="F4" t="s">
        <v>46</v>
      </c>
      <c r="G4">
        <v>5.9487670419752283E-8</v>
      </c>
      <c r="H4">
        <v>1.8249069685677071E-8</v>
      </c>
      <c r="I4">
        <v>1.8888777909911121E-11</v>
      </c>
      <c r="J4">
        <v>8.2769114209200261E-10</v>
      </c>
      <c r="K4">
        <v>5.1755960205809267E-10</v>
      </c>
      <c r="L4">
        <v>2.0597785203696189E-10</v>
      </c>
      <c r="M4">
        <v>2.7419534854960609E-12</v>
      </c>
      <c r="N4">
        <v>2.3950328582001422E-13</v>
      </c>
      <c r="O4">
        <v>9.902577152430587E-13</v>
      </c>
      <c r="P4">
        <v>1.078013536529022E-13</v>
      </c>
      <c r="Q4">
        <v>6.0973891777731705E-13</v>
      </c>
      <c r="R4" s="5">
        <f t="shared" si="0"/>
        <v>7.9311546734284322E-8</v>
      </c>
    </row>
    <row r="5" spans="1:18" x14ac:dyDescent="0.35">
      <c r="A5" t="s">
        <v>44</v>
      </c>
      <c r="B5">
        <v>2035</v>
      </c>
      <c r="C5" t="s">
        <v>45</v>
      </c>
      <c r="D5" t="s">
        <v>5</v>
      </c>
      <c r="E5" t="s">
        <v>13</v>
      </c>
      <c r="F5" t="s">
        <v>46</v>
      </c>
      <c r="G5">
        <v>5.9487670419752283E-8</v>
      </c>
      <c r="H5">
        <v>1.8249069685677071E-8</v>
      </c>
      <c r="I5">
        <v>1.8888777909911121E-11</v>
      </c>
      <c r="J5">
        <v>8.2769114209200261E-10</v>
      </c>
      <c r="K5">
        <v>5.1755960205809267E-10</v>
      </c>
      <c r="L5">
        <v>2.0597785203696189E-10</v>
      </c>
      <c r="M5">
        <v>2.7419534854960609E-12</v>
      </c>
      <c r="N5">
        <v>2.3950328582001422E-13</v>
      </c>
      <c r="O5">
        <v>9.902577152430587E-13</v>
      </c>
      <c r="P5">
        <v>1.078013536529022E-13</v>
      </c>
      <c r="Q5">
        <v>6.0973891777731705E-13</v>
      </c>
      <c r="R5" s="5">
        <f t="shared" si="0"/>
        <v>7.9311546734284322E-8</v>
      </c>
    </row>
    <row r="6" spans="1:18" x14ac:dyDescent="0.35">
      <c r="A6" t="s">
        <v>44</v>
      </c>
      <c r="B6">
        <v>2040</v>
      </c>
      <c r="C6" t="s">
        <v>45</v>
      </c>
      <c r="D6" t="s">
        <v>5</v>
      </c>
      <c r="E6" t="s">
        <v>13</v>
      </c>
      <c r="F6" t="s">
        <v>46</v>
      </c>
      <c r="G6">
        <v>5.9487670419752283E-8</v>
      </c>
      <c r="H6">
        <v>1.8249069685677071E-8</v>
      </c>
      <c r="I6">
        <v>1.8888777909911121E-11</v>
      </c>
      <c r="J6">
        <v>8.2769114209200261E-10</v>
      </c>
      <c r="K6">
        <v>5.1755960205809267E-10</v>
      </c>
      <c r="L6">
        <v>2.0597785203696189E-10</v>
      </c>
      <c r="M6">
        <v>2.7419534854960609E-12</v>
      </c>
      <c r="N6">
        <v>2.3950328582001422E-13</v>
      </c>
      <c r="O6">
        <v>9.902577152430587E-13</v>
      </c>
      <c r="P6">
        <v>1.078013536529022E-13</v>
      </c>
      <c r="Q6">
        <v>6.0973891777731705E-13</v>
      </c>
      <c r="R6" s="5">
        <f t="shared" si="0"/>
        <v>7.9311546734284322E-8</v>
      </c>
    </row>
    <row r="7" spans="1:18" x14ac:dyDescent="0.35">
      <c r="A7" t="s">
        <v>44</v>
      </c>
      <c r="B7">
        <v>2020</v>
      </c>
      <c r="C7" t="s">
        <v>47</v>
      </c>
      <c r="D7" t="s">
        <v>48</v>
      </c>
      <c r="E7" t="s">
        <v>13</v>
      </c>
      <c r="F7" t="s">
        <v>46</v>
      </c>
      <c r="G7">
        <v>7.650247655225588E-7</v>
      </c>
      <c r="H7">
        <v>2.318659383026989E-7</v>
      </c>
      <c r="I7">
        <v>6.7313254291288776E-10</v>
      </c>
      <c r="J7">
        <v>1.163116565243528E-8</v>
      </c>
      <c r="K7">
        <v>8.8395954791518988E-9</v>
      </c>
      <c r="L7">
        <v>2.382062897886097E-9</v>
      </c>
      <c r="M7">
        <v>8.5281172976189112E-12</v>
      </c>
      <c r="N7">
        <v>3.174128174410833E-12</v>
      </c>
      <c r="O7">
        <v>3.0655232792166298E-12</v>
      </c>
      <c r="P7">
        <v>1.400022991734791E-12</v>
      </c>
      <c r="Q7">
        <v>1.8584483249440311E-12</v>
      </c>
      <c r="R7" s="5">
        <f t="shared" si="0"/>
        <v>1.0204346866377117E-6</v>
      </c>
    </row>
    <row r="8" spans="1:18" x14ac:dyDescent="0.35">
      <c r="A8" t="s">
        <v>44</v>
      </c>
      <c r="B8">
        <v>2025</v>
      </c>
      <c r="C8" t="s">
        <v>47</v>
      </c>
      <c r="D8" t="s">
        <v>48</v>
      </c>
      <c r="E8" t="s">
        <v>13</v>
      </c>
      <c r="F8" t="s">
        <v>46</v>
      </c>
      <c r="G8">
        <v>7.650247655225588E-7</v>
      </c>
      <c r="H8">
        <v>2.318659383026989E-7</v>
      </c>
      <c r="I8">
        <v>6.7313254291288776E-10</v>
      </c>
      <c r="J8">
        <v>1.163116565243528E-8</v>
      </c>
      <c r="K8">
        <v>8.8395954791518988E-9</v>
      </c>
      <c r="L8">
        <v>2.382062897886097E-9</v>
      </c>
      <c r="M8">
        <v>8.5281172976189112E-12</v>
      </c>
      <c r="N8">
        <v>3.174128174410833E-12</v>
      </c>
      <c r="O8">
        <v>3.0655232792166298E-12</v>
      </c>
      <c r="P8">
        <v>1.400022991734791E-12</v>
      </c>
      <c r="Q8">
        <v>1.8584483249440311E-12</v>
      </c>
      <c r="R8" s="5">
        <f t="shared" si="0"/>
        <v>1.0204346866377117E-6</v>
      </c>
    </row>
    <row r="9" spans="1:18" x14ac:dyDescent="0.35">
      <c r="A9" t="s">
        <v>44</v>
      </c>
      <c r="B9">
        <v>2030</v>
      </c>
      <c r="C9" t="s">
        <v>47</v>
      </c>
      <c r="D9" t="s">
        <v>48</v>
      </c>
      <c r="E9" t="s">
        <v>13</v>
      </c>
      <c r="F9" t="s">
        <v>46</v>
      </c>
      <c r="G9">
        <v>7.650247655225588E-7</v>
      </c>
      <c r="H9">
        <v>2.318659383026989E-7</v>
      </c>
      <c r="I9">
        <v>6.7313254291288776E-10</v>
      </c>
      <c r="J9">
        <v>1.163116565243528E-8</v>
      </c>
      <c r="K9">
        <v>8.8395954791518988E-9</v>
      </c>
      <c r="L9">
        <v>2.382062897886097E-9</v>
      </c>
      <c r="M9">
        <v>8.5281172976189112E-12</v>
      </c>
      <c r="N9">
        <v>3.174128174410833E-12</v>
      </c>
      <c r="O9">
        <v>3.0655232792166298E-12</v>
      </c>
      <c r="P9">
        <v>1.400022991734791E-12</v>
      </c>
      <c r="Q9">
        <v>1.8584483249440311E-12</v>
      </c>
      <c r="R9" s="5">
        <f t="shared" si="0"/>
        <v>1.0204346866377117E-6</v>
      </c>
    </row>
    <row r="10" spans="1:18" x14ac:dyDescent="0.35">
      <c r="A10" t="s">
        <v>44</v>
      </c>
      <c r="B10">
        <v>2035</v>
      </c>
      <c r="C10" t="s">
        <v>47</v>
      </c>
      <c r="D10" t="s">
        <v>48</v>
      </c>
      <c r="E10" t="s">
        <v>13</v>
      </c>
      <c r="F10" t="s">
        <v>46</v>
      </c>
      <c r="G10">
        <v>7.650247655225588E-7</v>
      </c>
      <c r="H10">
        <v>2.318659383026989E-7</v>
      </c>
      <c r="I10">
        <v>6.7313254291288776E-10</v>
      </c>
      <c r="J10">
        <v>1.163116565243528E-8</v>
      </c>
      <c r="K10">
        <v>8.8395954791518988E-9</v>
      </c>
      <c r="L10">
        <v>2.382062897886097E-9</v>
      </c>
      <c r="M10">
        <v>8.5281172976189112E-12</v>
      </c>
      <c r="N10">
        <v>3.174128174410833E-12</v>
      </c>
      <c r="O10">
        <v>3.0655232792166298E-12</v>
      </c>
      <c r="P10">
        <v>1.400022991734791E-12</v>
      </c>
      <c r="Q10">
        <v>1.8584483249440311E-12</v>
      </c>
      <c r="R10" s="5">
        <f t="shared" si="0"/>
        <v>1.0204346866377117E-6</v>
      </c>
    </row>
    <row r="11" spans="1:18" x14ac:dyDescent="0.35">
      <c r="A11" t="s">
        <v>44</v>
      </c>
      <c r="B11">
        <v>2040</v>
      </c>
      <c r="C11" t="s">
        <v>47</v>
      </c>
      <c r="D11" t="s">
        <v>48</v>
      </c>
      <c r="E11" t="s">
        <v>13</v>
      </c>
      <c r="F11" t="s">
        <v>46</v>
      </c>
      <c r="G11">
        <v>7.650247655225588E-7</v>
      </c>
      <c r="H11">
        <v>2.318659383026989E-7</v>
      </c>
      <c r="I11">
        <v>6.7313254291288776E-10</v>
      </c>
      <c r="J11">
        <v>1.163116565243528E-8</v>
      </c>
      <c r="K11">
        <v>8.8395954791518988E-9</v>
      </c>
      <c r="L11">
        <v>2.382062897886097E-9</v>
      </c>
      <c r="M11">
        <v>8.5281172976189112E-12</v>
      </c>
      <c r="N11">
        <v>3.174128174410833E-12</v>
      </c>
      <c r="O11">
        <v>3.0655232792166298E-12</v>
      </c>
      <c r="P11">
        <v>1.400022991734791E-12</v>
      </c>
      <c r="Q11">
        <v>1.8584483249440311E-12</v>
      </c>
      <c r="R11" s="5">
        <f t="shared" si="0"/>
        <v>1.0204346866377117E-6</v>
      </c>
    </row>
    <row r="12" spans="1:18" s="3" customFormat="1" x14ac:dyDescent="0.35">
      <c r="A12" s="3" t="s">
        <v>44</v>
      </c>
      <c r="B12" s="3">
        <v>2020</v>
      </c>
      <c r="C12" s="3" t="s">
        <v>49</v>
      </c>
      <c r="D12" s="3" t="s">
        <v>5</v>
      </c>
      <c r="E12" s="3" t="s">
        <v>13</v>
      </c>
      <c r="F12" s="3" t="s">
        <v>50</v>
      </c>
      <c r="G12" s="3">
        <f>G22-G2</f>
        <v>1.7768883211206065E-5</v>
      </c>
      <c r="H12" s="3">
        <f t="shared" ref="H12:Q12" si="1">H22-H2</f>
        <v>5.6767705961193826E-6</v>
      </c>
      <c r="I12" s="3">
        <f t="shared" si="1"/>
        <v>1.1553475603657899E-8</v>
      </c>
      <c r="J12" s="3">
        <f t="shared" si="1"/>
        <v>2.809106870455661E-6</v>
      </c>
      <c r="K12" s="3">
        <f t="shared" si="1"/>
        <v>3.3653621770593331E-7</v>
      </c>
      <c r="L12" s="3">
        <f t="shared" si="1"/>
        <v>1.1701744188144674E-7</v>
      </c>
      <c r="M12" s="3">
        <f t="shared" si="1"/>
        <v>1.729139887546407E-9</v>
      </c>
      <c r="N12" s="3">
        <f t="shared" si="1"/>
        <v>1.1266970439760239E-10</v>
      </c>
      <c r="O12" s="3">
        <f t="shared" si="1"/>
        <v>6.0438496802191303E-11</v>
      </c>
      <c r="P12" s="3">
        <f t="shared" si="1"/>
        <v>4.0385131278861729E-11</v>
      </c>
      <c r="Q12" s="3">
        <f t="shared" si="1"/>
        <v>3.6064575670213308E-11</v>
      </c>
      <c r="R12" s="5">
        <f t="shared" si="0"/>
        <v>2.6721846510767838E-5</v>
      </c>
    </row>
    <row r="13" spans="1:18" s="3" customFormat="1" x14ac:dyDescent="0.35">
      <c r="A13" s="3" t="s">
        <v>44</v>
      </c>
      <c r="B13" s="3">
        <v>2025</v>
      </c>
      <c r="C13" s="3" t="s">
        <v>49</v>
      </c>
      <c r="D13" s="3" t="s">
        <v>5</v>
      </c>
      <c r="E13" s="3" t="s">
        <v>13</v>
      </c>
      <c r="F13" s="3" t="s">
        <v>50</v>
      </c>
      <c r="G13" s="3">
        <f t="shared" ref="G13:Q21" si="2">G23-G3</f>
        <v>1.7768883211206065E-5</v>
      </c>
      <c r="H13" s="3">
        <f t="shared" si="2"/>
        <v>5.6767705961193826E-6</v>
      </c>
      <c r="I13" s="3">
        <f t="shared" si="2"/>
        <v>1.1553475603657899E-8</v>
      </c>
      <c r="J13" s="3">
        <f t="shared" si="2"/>
        <v>2.809106870455661E-6</v>
      </c>
      <c r="K13" s="3">
        <f t="shared" si="2"/>
        <v>3.3653621770593331E-7</v>
      </c>
      <c r="L13" s="3">
        <f t="shared" si="2"/>
        <v>1.1701744188144674E-7</v>
      </c>
      <c r="M13" s="3">
        <f t="shared" si="2"/>
        <v>1.729139887546407E-9</v>
      </c>
      <c r="N13" s="3">
        <f t="shared" si="2"/>
        <v>1.1266970439760239E-10</v>
      </c>
      <c r="O13" s="3">
        <f t="shared" si="2"/>
        <v>6.0438496802191303E-11</v>
      </c>
      <c r="P13" s="3">
        <f t="shared" si="2"/>
        <v>4.0385131278861729E-11</v>
      </c>
      <c r="Q13" s="3">
        <f t="shared" si="2"/>
        <v>3.6064575670213308E-11</v>
      </c>
      <c r="R13" s="5">
        <f t="shared" si="0"/>
        <v>2.6721846510767838E-5</v>
      </c>
    </row>
    <row r="14" spans="1:18" s="3" customFormat="1" x14ac:dyDescent="0.35">
      <c r="A14" s="3" t="s">
        <v>44</v>
      </c>
      <c r="B14" s="3">
        <v>2030</v>
      </c>
      <c r="C14" s="3" t="s">
        <v>49</v>
      </c>
      <c r="D14" s="3" t="s">
        <v>5</v>
      </c>
      <c r="E14" s="3" t="s">
        <v>13</v>
      </c>
      <c r="F14" s="3" t="s">
        <v>50</v>
      </c>
      <c r="G14" s="3">
        <f t="shared" si="2"/>
        <v>1.7768883211206065E-5</v>
      </c>
      <c r="H14" s="3">
        <f t="shared" si="2"/>
        <v>5.6767705961193826E-6</v>
      </c>
      <c r="I14" s="3">
        <f t="shared" si="2"/>
        <v>1.1553475603657899E-8</v>
      </c>
      <c r="J14" s="3">
        <f t="shared" si="2"/>
        <v>2.809106870455661E-6</v>
      </c>
      <c r="K14" s="3">
        <f t="shared" si="2"/>
        <v>3.3653621770593331E-7</v>
      </c>
      <c r="L14" s="3">
        <f t="shared" si="2"/>
        <v>1.1701744188144674E-7</v>
      </c>
      <c r="M14" s="3">
        <f t="shared" si="2"/>
        <v>1.729139887546407E-9</v>
      </c>
      <c r="N14" s="3">
        <f t="shared" si="2"/>
        <v>1.1266970439760239E-10</v>
      </c>
      <c r="O14" s="3">
        <f t="shared" si="2"/>
        <v>6.0438496802191303E-11</v>
      </c>
      <c r="P14" s="3">
        <f t="shared" si="2"/>
        <v>4.0385131278861729E-11</v>
      </c>
      <c r="Q14" s="3">
        <f t="shared" si="2"/>
        <v>3.6064575670213308E-11</v>
      </c>
      <c r="R14" s="5">
        <f t="shared" si="0"/>
        <v>2.6721846510767838E-5</v>
      </c>
    </row>
    <row r="15" spans="1:18" s="3" customFormat="1" x14ac:dyDescent="0.35">
      <c r="A15" s="3" t="s">
        <v>44</v>
      </c>
      <c r="B15" s="3">
        <v>2035</v>
      </c>
      <c r="C15" s="3" t="s">
        <v>49</v>
      </c>
      <c r="D15" s="3" t="s">
        <v>5</v>
      </c>
      <c r="E15" s="3" t="s">
        <v>13</v>
      </c>
      <c r="F15" s="3" t="s">
        <v>50</v>
      </c>
      <c r="G15" s="3">
        <f t="shared" si="2"/>
        <v>1.7768883211206065E-5</v>
      </c>
      <c r="H15" s="3">
        <f t="shared" si="2"/>
        <v>5.6767705961193826E-6</v>
      </c>
      <c r="I15" s="3">
        <f t="shared" si="2"/>
        <v>1.1553475603657899E-8</v>
      </c>
      <c r="J15" s="3">
        <f t="shared" si="2"/>
        <v>2.809106870455661E-6</v>
      </c>
      <c r="K15" s="3">
        <f t="shared" si="2"/>
        <v>3.3653621770593331E-7</v>
      </c>
      <c r="L15" s="3">
        <f t="shared" si="2"/>
        <v>1.1701744188144674E-7</v>
      </c>
      <c r="M15" s="3">
        <f t="shared" si="2"/>
        <v>1.729139887546407E-9</v>
      </c>
      <c r="N15" s="3">
        <f t="shared" si="2"/>
        <v>1.1266970439760239E-10</v>
      </c>
      <c r="O15" s="3">
        <f t="shared" si="2"/>
        <v>6.0438496802191303E-11</v>
      </c>
      <c r="P15" s="3">
        <f t="shared" si="2"/>
        <v>4.0385131278861729E-11</v>
      </c>
      <c r="Q15" s="3">
        <f t="shared" si="2"/>
        <v>3.6064575670213308E-11</v>
      </c>
      <c r="R15" s="5">
        <f t="shared" si="0"/>
        <v>2.6721846510767838E-5</v>
      </c>
    </row>
    <row r="16" spans="1:18" s="3" customFormat="1" x14ac:dyDescent="0.35">
      <c r="A16" s="3" t="s">
        <v>44</v>
      </c>
      <c r="B16" s="3">
        <v>2040</v>
      </c>
      <c r="C16" s="3" t="s">
        <v>49</v>
      </c>
      <c r="D16" s="3" t="s">
        <v>5</v>
      </c>
      <c r="E16" s="3" t="s">
        <v>13</v>
      </c>
      <c r="F16" s="3" t="s">
        <v>50</v>
      </c>
      <c r="G16" s="3">
        <f t="shared" si="2"/>
        <v>1.7768883211206065E-5</v>
      </c>
      <c r="H16" s="3">
        <f t="shared" si="2"/>
        <v>5.6767705961193826E-6</v>
      </c>
      <c r="I16" s="3">
        <f t="shared" si="2"/>
        <v>1.1553475603657899E-8</v>
      </c>
      <c r="J16" s="3">
        <f t="shared" si="2"/>
        <v>2.809106870455661E-6</v>
      </c>
      <c r="K16" s="3">
        <f t="shared" si="2"/>
        <v>3.3653621770593331E-7</v>
      </c>
      <c r="L16" s="3">
        <f t="shared" si="2"/>
        <v>1.1701744188144674E-7</v>
      </c>
      <c r="M16" s="3">
        <f t="shared" si="2"/>
        <v>1.729139887546407E-9</v>
      </c>
      <c r="N16" s="3">
        <f t="shared" si="2"/>
        <v>1.1266970439760239E-10</v>
      </c>
      <c r="O16" s="3">
        <f t="shared" si="2"/>
        <v>6.0438496802191303E-11</v>
      </c>
      <c r="P16" s="3">
        <f t="shared" si="2"/>
        <v>4.0385131278861729E-11</v>
      </c>
      <c r="Q16" s="3">
        <f t="shared" si="2"/>
        <v>3.6064575670213308E-11</v>
      </c>
      <c r="R16" s="5">
        <f t="shared" si="0"/>
        <v>2.6721846510767838E-5</v>
      </c>
    </row>
    <row r="17" spans="1:18" s="3" customFormat="1" x14ac:dyDescent="0.35">
      <c r="A17" s="3" t="s">
        <v>44</v>
      </c>
      <c r="B17" s="3">
        <v>2020</v>
      </c>
      <c r="C17" s="3" t="s">
        <v>51</v>
      </c>
      <c r="D17" s="3" t="s">
        <v>48</v>
      </c>
      <c r="E17" s="3" t="s">
        <v>13</v>
      </c>
      <c r="F17" s="3" t="s">
        <v>50</v>
      </c>
      <c r="G17" s="3">
        <f t="shared" si="2"/>
        <v>2.8745210697298862E-5</v>
      </c>
      <c r="H17" s="3">
        <f t="shared" si="2"/>
        <v>9.1498278339924148E-6</v>
      </c>
      <c r="I17" s="3">
        <f t="shared" si="2"/>
        <v>1.98723684366684E-8</v>
      </c>
      <c r="J17" s="3">
        <f t="shared" si="2"/>
        <v>2.8465184662090317E-6</v>
      </c>
      <c r="K17" s="3">
        <f t="shared" si="2"/>
        <v>5.934108091292831E-7</v>
      </c>
      <c r="L17" s="3">
        <f t="shared" si="2"/>
        <v>1.7629436523628641E-7</v>
      </c>
      <c r="M17" s="3">
        <f t="shared" si="2"/>
        <v>1.9908056384782831E-9</v>
      </c>
      <c r="N17" s="3">
        <f t="shared" si="2"/>
        <v>1.1993704870498156E-10</v>
      </c>
      <c r="O17" s="3">
        <f t="shared" si="2"/>
        <v>6.8310629065614114E-11</v>
      </c>
      <c r="P17" s="3">
        <f t="shared" si="2"/>
        <v>4.1332128679434104E-11</v>
      </c>
      <c r="Q17" s="3">
        <f t="shared" si="2"/>
        <v>4.1815270590270625E-11</v>
      </c>
      <c r="R17" s="5">
        <f t="shared" si="0"/>
        <v>4.153339674101806E-5</v>
      </c>
    </row>
    <row r="18" spans="1:18" s="3" customFormat="1" x14ac:dyDescent="0.35">
      <c r="A18" s="3" t="s">
        <v>44</v>
      </c>
      <c r="B18" s="3">
        <v>2025</v>
      </c>
      <c r="C18" s="3" t="s">
        <v>51</v>
      </c>
      <c r="D18" s="3" t="s">
        <v>48</v>
      </c>
      <c r="E18" s="3" t="s">
        <v>13</v>
      </c>
      <c r="F18" s="3" t="s">
        <v>50</v>
      </c>
      <c r="G18" s="3">
        <f t="shared" si="2"/>
        <v>2.8745210697298862E-5</v>
      </c>
      <c r="H18" s="3">
        <f t="shared" si="2"/>
        <v>9.1498278339924148E-6</v>
      </c>
      <c r="I18" s="3">
        <f t="shared" si="2"/>
        <v>1.98723684366684E-8</v>
      </c>
      <c r="J18" s="3">
        <f t="shared" si="2"/>
        <v>2.8465184662090317E-6</v>
      </c>
      <c r="K18" s="3">
        <f t="shared" si="2"/>
        <v>5.934108091292831E-7</v>
      </c>
      <c r="L18" s="3">
        <f t="shared" si="2"/>
        <v>1.7629436523628641E-7</v>
      </c>
      <c r="M18" s="3">
        <f t="shared" si="2"/>
        <v>1.9908056384782831E-9</v>
      </c>
      <c r="N18" s="3">
        <f t="shared" si="2"/>
        <v>1.1993704870498156E-10</v>
      </c>
      <c r="O18" s="3">
        <f t="shared" si="2"/>
        <v>6.8310629065614114E-11</v>
      </c>
      <c r="P18" s="3">
        <f t="shared" si="2"/>
        <v>4.1332128679434104E-11</v>
      </c>
      <c r="Q18" s="3">
        <f t="shared" si="2"/>
        <v>4.1815270590270625E-11</v>
      </c>
      <c r="R18" s="5">
        <f t="shared" si="0"/>
        <v>4.153339674101806E-5</v>
      </c>
    </row>
    <row r="19" spans="1:18" s="3" customFormat="1" x14ac:dyDescent="0.35">
      <c r="A19" s="3" t="s">
        <v>44</v>
      </c>
      <c r="B19" s="3">
        <v>2030</v>
      </c>
      <c r="C19" s="3" t="s">
        <v>51</v>
      </c>
      <c r="D19" s="3" t="s">
        <v>48</v>
      </c>
      <c r="E19" s="3" t="s">
        <v>13</v>
      </c>
      <c r="F19" s="3" t="s">
        <v>50</v>
      </c>
      <c r="G19" s="3">
        <f t="shared" si="2"/>
        <v>2.8745210697298862E-5</v>
      </c>
      <c r="H19" s="3">
        <f t="shared" si="2"/>
        <v>9.1498278339924148E-6</v>
      </c>
      <c r="I19" s="3">
        <f t="shared" si="2"/>
        <v>1.98723684366684E-8</v>
      </c>
      <c r="J19" s="3">
        <f t="shared" si="2"/>
        <v>2.8465184662090317E-6</v>
      </c>
      <c r="K19" s="3">
        <f t="shared" si="2"/>
        <v>5.934108091292831E-7</v>
      </c>
      <c r="L19" s="3">
        <f t="shared" si="2"/>
        <v>1.7629436523628641E-7</v>
      </c>
      <c r="M19" s="3">
        <f t="shared" si="2"/>
        <v>1.9908056384782831E-9</v>
      </c>
      <c r="N19" s="3">
        <f t="shared" si="2"/>
        <v>1.1993704870498156E-10</v>
      </c>
      <c r="O19" s="3">
        <f t="shared" si="2"/>
        <v>6.8310629065614114E-11</v>
      </c>
      <c r="P19" s="3">
        <f t="shared" si="2"/>
        <v>4.1332128679434104E-11</v>
      </c>
      <c r="Q19" s="3">
        <f t="shared" si="2"/>
        <v>4.1815270590270625E-11</v>
      </c>
      <c r="R19" s="5">
        <f t="shared" si="0"/>
        <v>4.153339674101806E-5</v>
      </c>
    </row>
    <row r="20" spans="1:18" s="3" customFormat="1" x14ac:dyDescent="0.35">
      <c r="A20" s="3" t="s">
        <v>44</v>
      </c>
      <c r="B20" s="3">
        <v>2035</v>
      </c>
      <c r="C20" s="3" t="s">
        <v>51</v>
      </c>
      <c r="D20" s="3" t="s">
        <v>48</v>
      </c>
      <c r="E20" s="3" t="s">
        <v>13</v>
      </c>
      <c r="F20" s="3" t="s">
        <v>50</v>
      </c>
      <c r="G20" s="3">
        <f t="shared" si="2"/>
        <v>2.8745210697298862E-5</v>
      </c>
      <c r="H20" s="3">
        <f t="shared" si="2"/>
        <v>9.1498278339924148E-6</v>
      </c>
      <c r="I20" s="3">
        <f t="shared" si="2"/>
        <v>1.98723684366684E-8</v>
      </c>
      <c r="J20" s="3">
        <f t="shared" si="2"/>
        <v>2.8465184662090317E-6</v>
      </c>
      <c r="K20" s="3">
        <f t="shared" si="2"/>
        <v>5.934108091292831E-7</v>
      </c>
      <c r="L20" s="3">
        <f t="shared" si="2"/>
        <v>1.7629436523628641E-7</v>
      </c>
      <c r="M20" s="3">
        <f t="shared" si="2"/>
        <v>1.9908056384782831E-9</v>
      </c>
      <c r="N20" s="3">
        <f t="shared" si="2"/>
        <v>1.1993704870498156E-10</v>
      </c>
      <c r="O20" s="3">
        <f t="shared" si="2"/>
        <v>6.8310629065614114E-11</v>
      </c>
      <c r="P20" s="3">
        <f t="shared" si="2"/>
        <v>4.1332128679434104E-11</v>
      </c>
      <c r="Q20" s="3">
        <f t="shared" si="2"/>
        <v>4.1815270590270625E-11</v>
      </c>
      <c r="R20" s="5">
        <f t="shared" si="0"/>
        <v>4.153339674101806E-5</v>
      </c>
    </row>
    <row r="21" spans="1:18" s="3" customFormat="1" x14ac:dyDescent="0.35">
      <c r="A21" s="3" t="s">
        <v>44</v>
      </c>
      <c r="B21" s="3">
        <v>2040</v>
      </c>
      <c r="C21" s="3" t="s">
        <v>51</v>
      </c>
      <c r="D21" s="3" t="s">
        <v>48</v>
      </c>
      <c r="E21" s="3" t="s">
        <v>13</v>
      </c>
      <c r="F21" s="3" t="s">
        <v>50</v>
      </c>
      <c r="G21" s="3">
        <f t="shared" si="2"/>
        <v>2.8745210697298862E-5</v>
      </c>
      <c r="H21" s="3">
        <f t="shared" si="2"/>
        <v>9.1498278339924148E-6</v>
      </c>
      <c r="I21" s="3">
        <f t="shared" si="2"/>
        <v>1.98723684366684E-8</v>
      </c>
      <c r="J21" s="3">
        <f t="shared" si="2"/>
        <v>2.8465184662090317E-6</v>
      </c>
      <c r="K21" s="3">
        <f t="shared" si="2"/>
        <v>5.934108091292831E-7</v>
      </c>
      <c r="L21" s="3">
        <f t="shared" si="2"/>
        <v>1.7629436523628641E-7</v>
      </c>
      <c r="M21" s="3">
        <f t="shared" si="2"/>
        <v>1.9908056384782831E-9</v>
      </c>
      <c r="N21" s="3">
        <f t="shared" si="2"/>
        <v>1.1993704870498156E-10</v>
      </c>
      <c r="O21" s="3">
        <f t="shared" si="2"/>
        <v>6.8310629065614114E-11</v>
      </c>
      <c r="P21" s="3">
        <f t="shared" si="2"/>
        <v>4.1332128679434104E-11</v>
      </c>
      <c r="Q21" s="3">
        <f t="shared" si="2"/>
        <v>4.1815270590270625E-11</v>
      </c>
      <c r="R21" s="5">
        <f t="shared" si="0"/>
        <v>4.153339674101806E-5</v>
      </c>
    </row>
    <row r="22" spans="1:18" x14ac:dyDescent="0.35">
      <c r="A22" t="s">
        <v>44</v>
      </c>
      <c r="B22">
        <v>2020</v>
      </c>
      <c r="C22" t="s">
        <v>49</v>
      </c>
      <c r="D22" t="s">
        <v>5</v>
      </c>
      <c r="E22" t="s">
        <v>13</v>
      </c>
      <c r="F22" t="s">
        <v>52</v>
      </c>
      <c r="G22">
        <v>1.7828370881625818E-5</v>
      </c>
      <c r="H22">
        <v>5.6950196658050593E-6</v>
      </c>
      <c r="I22">
        <v>1.157236438156781E-8</v>
      </c>
      <c r="J22">
        <v>2.8099345615977532E-6</v>
      </c>
      <c r="K22">
        <v>3.370537773079914E-7</v>
      </c>
      <c r="L22">
        <v>1.172234197334837E-7</v>
      </c>
      <c r="M22">
        <v>1.731881841031903E-9</v>
      </c>
      <c r="N22">
        <v>1.129092076834224E-10</v>
      </c>
      <c r="O22">
        <v>6.1428754517434359E-11</v>
      </c>
      <c r="P22">
        <v>4.0492932632514628E-11</v>
      </c>
      <c r="Q22">
        <v>3.6674314587990627E-11</v>
      </c>
      <c r="R22" s="5">
        <f t="shared" si="0"/>
        <v>2.6801158057502131E-5</v>
      </c>
    </row>
    <row r="23" spans="1:18" x14ac:dyDescent="0.35">
      <c r="A23" t="s">
        <v>44</v>
      </c>
      <c r="B23">
        <v>2025</v>
      </c>
      <c r="C23" t="s">
        <v>49</v>
      </c>
      <c r="D23" t="s">
        <v>5</v>
      </c>
      <c r="E23" t="s">
        <v>13</v>
      </c>
      <c r="F23" t="s">
        <v>52</v>
      </c>
      <c r="G23">
        <v>1.7828370881625818E-5</v>
      </c>
      <c r="H23">
        <v>5.6950196658050593E-6</v>
      </c>
      <c r="I23">
        <v>1.157236438156781E-8</v>
      </c>
      <c r="J23">
        <v>2.8099345615977532E-6</v>
      </c>
      <c r="K23">
        <v>3.370537773079914E-7</v>
      </c>
      <c r="L23">
        <v>1.172234197334837E-7</v>
      </c>
      <c r="M23">
        <v>1.731881841031903E-9</v>
      </c>
      <c r="N23">
        <v>1.129092076834224E-10</v>
      </c>
      <c r="O23">
        <v>6.1428754517434359E-11</v>
      </c>
      <c r="P23">
        <v>4.0492932632514628E-11</v>
      </c>
      <c r="Q23">
        <v>3.6674314587990627E-11</v>
      </c>
      <c r="R23" s="5">
        <f t="shared" si="0"/>
        <v>2.6801158057502131E-5</v>
      </c>
    </row>
    <row r="24" spans="1:18" x14ac:dyDescent="0.35">
      <c r="A24" t="s">
        <v>44</v>
      </c>
      <c r="B24">
        <v>2030</v>
      </c>
      <c r="C24" t="s">
        <v>49</v>
      </c>
      <c r="D24" t="s">
        <v>5</v>
      </c>
      <c r="E24" t="s">
        <v>13</v>
      </c>
      <c r="F24" t="s">
        <v>52</v>
      </c>
      <c r="G24">
        <v>1.7828370881625818E-5</v>
      </c>
      <c r="H24">
        <v>5.6950196658050593E-6</v>
      </c>
      <c r="I24">
        <v>1.157236438156781E-8</v>
      </c>
      <c r="J24">
        <v>2.8099345615977532E-6</v>
      </c>
      <c r="K24">
        <v>3.370537773079914E-7</v>
      </c>
      <c r="L24">
        <v>1.172234197334837E-7</v>
      </c>
      <c r="M24">
        <v>1.731881841031903E-9</v>
      </c>
      <c r="N24">
        <v>1.129092076834224E-10</v>
      </c>
      <c r="O24">
        <v>6.1428754517434359E-11</v>
      </c>
      <c r="P24">
        <v>4.0492932632514628E-11</v>
      </c>
      <c r="Q24">
        <v>3.6674314587990627E-11</v>
      </c>
      <c r="R24" s="5">
        <f t="shared" si="0"/>
        <v>2.6801158057502131E-5</v>
      </c>
    </row>
    <row r="25" spans="1:18" x14ac:dyDescent="0.35">
      <c r="A25" t="s">
        <v>44</v>
      </c>
      <c r="B25">
        <v>2035</v>
      </c>
      <c r="C25" t="s">
        <v>49</v>
      </c>
      <c r="D25" t="s">
        <v>5</v>
      </c>
      <c r="E25" t="s">
        <v>13</v>
      </c>
      <c r="F25" t="s">
        <v>52</v>
      </c>
      <c r="G25">
        <v>1.7828370881625818E-5</v>
      </c>
      <c r="H25">
        <v>5.6950196658050593E-6</v>
      </c>
      <c r="I25">
        <v>1.157236438156781E-8</v>
      </c>
      <c r="J25">
        <v>2.8099345615977532E-6</v>
      </c>
      <c r="K25">
        <v>3.370537773079914E-7</v>
      </c>
      <c r="L25">
        <v>1.172234197334837E-7</v>
      </c>
      <c r="M25">
        <v>1.731881841031903E-9</v>
      </c>
      <c r="N25">
        <v>1.129092076834224E-10</v>
      </c>
      <c r="O25">
        <v>6.1428754517434359E-11</v>
      </c>
      <c r="P25">
        <v>4.0492932632514628E-11</v>
      </c>
      <c r="Q25">
        <v>3.6674314587990627E-11</v>
      </c>
      <c r="R25" s="5">
        <f t="shared" si="0"/>
        <v>2.6801158057502131E-5</v>
      </c>
    </row>
    <row r="26" spans="1:18" x14ac:dyDescent="0.35">
      <c r="A26" t="s">
        <v>44</v>
      </c>
      <c r="B26">
        <v>2040</v>
      </c>
      <c r="C26" t="s">
        <v>49</v>
      </c>
      <c r="D26" t="s">
        <v>5</v>
      </c>
      <c r="E26" t="s">
        <v>13</v>
      </c>
      <c r="F26" t="s">
        <v>52</v>
      </c>
      <c r="G26">
        <v>1.7828370881625818E-5</v>
      </c>
      <c r="H26">
        <v>5.6950196658050593E-6</v>
      </c>
      <c r="I26">
        <v>1.157236438156781E-8</v>
      </c>
      <c r="J26">
        <v>2.8099345615977532E-6</v>
      </c>
      <c r="K26">
        <v>3.370537773079914E-7</v>
      </c>
      <c r="L26">
        <v>1.172234197334837E-7</v>
      </c>
      <c r="M26">
        <v>1.731881841031903E-9</v>
      </c>
      <c r="N26">
        <v>1.129092076834224E-10</v>
      </c>
      <c r="O26">
        <v>6.1428754517434359E-11</v>
      </c>
      <c r="P26">
        <v>4.0492932632514628E-11</v>
      </c>
      <c r="Q26">
        <v>3.6674314587990627E-11</v>
      </c>
      <c r="R26" s="5">
        <f t="shared" si="0"/>
        <v>2.6801158057502131E-5</v>
      </c>
    </row>
    <row r="27" spans="1:18" x14ac:dyDescent="0.35">
      <c r="A27" t="s">
        <v>44</v>
      </c>
      <c r="B27">
        <v>2020</v>
      </c>
      <c r="C27" t="s">
        <v>51</v>
      </c>
      <c r="D27" t="s">
        <v>48</v>
      </c>
      <c r="E27" t="s">
        <v>13</v>
      </c>
      <c r="F27" t="s">
        <v>52</v>
      </c>
      <c r="G27">
        <v>2.9510235462821421E-5</v>
      </c>
      <c r="H27">
        <v>9.3816937722951132E-6</v>
      </c>
      <c r="I27">
        <v>2.0545500979581289E-8</v>
      </c>
      <c r="J27">
        <v>2.8581496318614672E-6</v>
      </c>
      <c r="K27">
        <v>6.0225040460843501E-7</v>
      </c>
      <c r="L27">
        <v>1.786764281341725E-7</v>
      </c>
      <c r="M27">
        <v>1.9993337557759019E-9</v>
      </c>
      <c r="N27">
        <v>1.2311117687939239E-10</v>
      </c>
      <c r="O27">
        <v>7.1376152344830742E-11</v>
      </c>
      <c r="P27">
        <v>4.2732151671168893E-11</v>
      </c>
      <c r="Q27">
        <v>4.3673718915214657E-11</v>
      </c>
      <c r="R27" s="5">
        <f t="shared" si="0"/>
        <v>4.2553831427655785E-5</v>
      </c>
    </row>
    <row r="28" spans="1:18" x14ac:dyDescent="0.35">
      <c r="A28" t="s">
        <v>44</v>
      </c>
      <c r="B28">
        <v>2025</v>
      </c>
      <c r="C28" t="s">
        <v>51</v>
      </c>
      <c r="D28" t="s">
        <v>48</v>
      </c>
      <c r="E28" t="s">
        <v>13</v>
      </c>
      <c r="F28" t="s">
        <v>52</v>
      </c>
      <c r="G28">
        <v>2.9510235462821421E-5</v>
      </c>
      <c r="H28">
        <v>9.3816937722951132E-6</v>
      </c>
      <c r="I28">
        <v>2.0545500979581289E-8</v>
      </c>
      <c r="J28">
        <v>2.8581496318614672E-6</v>
      </c>
      <c r="K28">
        <v>6.0225040460843501E-7</v>
      </c>
      <c r="L28">
        <v>1.786764281341725E-7</v>
      </c>
      <c r="M28">
        <v>1.9993337557759019E-9</v>
      </c>
      <c r="N28">
        <v>1.2311117687939239E-10</v>
      </c>
      <c r="O28">
        <v>7.1376152344830742E-11</v>
      </c>
      <c r="P28">
        <v>4.2732151671168893E-11</v>
      </c>
      <c r="Q28">
        <v>4.3673718915214657E-11</v>
      </c>
      <c r="R28" s="5">
        <f t="shared" si="0"/>
        <v>4.2553831427655785E-5</v>
      </c>
    </row>
    <row r="29" spans="1:18" x14ac:dyDescent="0.35">
      <c r="A29" t="s">
        <v>44</v>
      </c>
      <c r="B29">
        <v>2030</v>
      </c>
      <c r="C29" t="s">
        <v>51</v>
      </c>
      <c r="D29" t="s">
        <v>48</v>
      </c>
      <c r="E29" t="s">
        <v>13</v>
      </c>
      <c r="F29" t="s">
        <v>52</v>
      </c>
      <c r="G29">
        <v>2.9510235462821421E-5</v>
      </c>
      <c r="H29">
        <v>9.3816937722951132E-6</v>
      </c>
      <c r="I29">
        <v>2.0545500979581289E-8</v>
      </c>
      <c r="J29">
        <v>2.8581496318614672E-6</v>
      </c>
      <c r="K29">
        <v>6.0225040460843501E-7</v>
      </c>
      <c r="L29">
        <v>1.786764281341725E-7</v>
      </c>
      <c r="M29">
        <v>1.9993337557759019E-9</v>
      </c>
      <c r="N29">
        <v>1.2311117687939239E-10</v>
      </c>
      <c r="O29">
        <v>7.1376152344830742E-11</v>
      </c>
      <c r="P29">
        <v>4.2732151671168893E-11</v>
      </c>
      <c r="Q29">
        <v>4.3673718915214657E-11</v>
      </c>
      <c r="R29" s="5">
        <f t="shared" si="0"/>
        <v>4.2553831427655785E-5</v>
      </c>
    </row>
    <row r="30" spans="1:18" x14ac:dyDescent="0.35">
      <c r="A30" t="s">
        <v>44</v>
      </c>
      <c r="B30">
        <v>2035</v>
      </c>
      <c r="C30" t="s">
        <v>51</v>
      </c>
      <c r="D30" t="s">
        <v>48</v>
      </c>
      <c r="E30" t="s">
        <v>13</v>
      </c>
      <c r="F30" t="s">
        <v>52</v>
      </c>
      <c r="G30">
        <v>2.9510235462821421E-5</v>
      </c>
      <c r="H30">
        <v>9.3816937722951132E-6</v>
      </c>
      <c r="I30">
        <v>2.0545500979581289E-8</v>
      </c>
      <c r="J30">
        <v>2.8581496318614672E-6</v>
      </c>
      <c r="K30">
        <v>6.0225040460843501E-7</v>
      </c>
      <c r="L30">
        <v>1.786764281341725E-7</v>
      </c>
      <c r="M30">
        <v>1.9993337557759019E-9</v>
      </c>
      <c r="N30">
        <v>1.2311117687939239E-10</v>
      </c>
      <c r="O30">
        <v>7.1376152344830742E-11</v>
      </c>
      <c r="P30">
        <v>4.2732151671168893E-11</v>
      </c>
      <c r="Q30">
        <v>4.3673718915214657E-11</v>
      </c>
      <c r="R30" s="5">
        <f t="shared" si="0"/>
        <v>4.2553831427655785E-5</v>
      </c>
    </row>
    <row r="31" spans="1:18" x14ac:dyDescent="0.35">
      <c r="A31" t="s">
        <v>44</v>
      </c>
      <c r="B31">
        <v>2040</v>
      </c>
      <c r="C31" t="s">
        <v>51</v>
      </c>
      <c r="D31" t="s">
        <v>48</v>
      </c>
      <c r="E31" t="s">
        <v>13</v>
      </c>
      <c r="F31" t="s">
        <v>52</v>
      </c>
      <c r="G31">
        <v>2.9510235462821421E-5</v>
      </c>
      <c r="H31">
        <v>9.3816937722951132E-6</v>
      </c>
      <c r="I31">
        <v>2.0545500979581289E-8</v>
      </c>
      <c r="J31">
        <v>2.8581496318614672E-6</v>
      </c>
      <c r="K31">
        <v>6.0225040460843501E-7</v>
      </c>
      <c r="L31">
        <v>1.786764281341725E-7</v>
      </c>
      <c r="M31">
        <v>1.9993337557759019E-9</v>
      </c>
      <c r="N31">
        <v>1.2311117687939239E-10</v>
      </c>
      <c r="O31">
        <v>7.1376152344830742E-11</v>
      </c>
      <c r="P31">
        <v>4.2732151671168893E-11</v>
      </c>
      <c r="Q31">
        <v>4.3673718915214657E-11</v>
      </c>
      <c r="R31" s="5">
        <f t="shared" si="0"/>
        <v>4.2553831427655785E-5</v>
      </c>
    </row>
    <row r="32" spans="1:18" x14ac:dyDescent="0.35">
      <c r="A32" t="s">
        <v>44</v>
      </c>
      <c r="B32">
        <v>2020</v>
      </c>
      <c r="C32" t="s">
        <v>53</v>
      </c>
      <c r="D32" t="s">
        <v>5</v>
      </c>
      <c r="E32" t="s">
        <v>6</v>
      </c>
      <c r="F32" t="s">
        <v>46</v>
      </c>
      <c r="G32">
        <v>1.776458177069454E-7</v>
      </c>
      <c r="H32">
        <v>5.3813716796846222E-8</v>
      </c>
      <c r="I32">
        <v>3.7909546481737837E-11</v>
      </c>
      <c r="J32">
        <v>2.3803895497257009E-9</v>
      </c>
      <c r="K32">
        <v>9.4756707628995277E-10</v>
      </c>
      <c r="L32">
        <v>4.0846561184268262E-10</v>
      </c>
      <c r="M32">
        <v>1.438268577675722E-12</v>
      </c>
      <c r="N32">
        <v>7.9917180020874592E-13</v>
      </c>
      <c r="O32">
        <v>1.689912923444346E-12</v>
      </c>
      <c r="P32">
        <v>3.5057454616357852E-13</v>
      </c>
      <c r="Q32">
        <v>7.2616593896911296E-13</v>
      </c>
      <c r="R32" s="5">
        <f t="shared" si="0"/>
        <v>2.3523887038191819E-7</v>
      </c>
    </row>
    <row r="33" spans="1:18" x14ac:dyDescent="0.35">
      <c r="A33" t="s">
        <v>44</v>
      </c>
      <c r="B33">
        <v>2025</v>
      </c>
      <c r="C33" t="s">
        <v>53</v>
      </c>
      <c r="D33" t="s">
        <v>5</v>
      </c>
      <c r="E33" t="s">
        <v>6</v>
      </c>
      <c r="F33" t="s">
        <v>46</v>
      </c>
      <c r="G33">
        <v>1.776458177069454E-7</v>
      </c>
      <c r="H33">
        <v>5.3813716796846222E-8</v>
      </c>
      <c r="I33">
        <v>3.7909546481737837E-11</v>
      </c>
      <c r="J33">
        <v>2.3803895497257009E-9</v>
      </c>
      <c r="K33">
        <v>9.4756707628995277E-10</v>
      </c>
      <c r="L33">
        <v>4.0846561184268262E-10</v>
      </c>
      <c r="M33">
        <v>1.438268577675722E-12</v>
      </c>
      <c r="N33">
        <v>7.9917180020874592E-13</v>
      </c>
      <c r="O33">
        <v>1.689912923444346E-12</v>
      </c>
      <c r="P33">
        <v>3.5057454616357852E-13</v>
      </c>
      <c r="Q33">
        <v>7.2616593896911296E-13</v>
      </c>
      <c r="R33" s="5">
        <f t="shared" si="0"/>
        <v>2.3523887038191819E-7</v>
      </c>
    </row>
    <row r="34" spans="1:18" x14ac:dyDescent="0.35">
      <c r="A34" t="s">
        <v>44</v>
      </c>
      <c r="B34">
        <v>2030</v>
      </c>
      <c r="C34" t="s">
        <v>53</v>
      </c>
      <c r="D34" t="s">
        <v>5</v>
      </c>
      <c r="E34" t="s">
        <v>6</v>
      </c>
      <c r="F34" t="s">
        <v>46</v>
      </c>
      <c r="G34">
        <v>1.776458177069454E-7</v>
      </c>
      <c r="H34">
        <v>5.3813716796846222E-8</v>
      </c>
      <c r="I34">
        <v>3.7909546481737837E-11</v>
      </c>
      <c r="J34">
        <v>2.3803895497257009E-9</v>
      </c>
      <c r="K34">
        <v>9.4756707628995277E-10</v>
      </c>
      <c r="L34">
        <v>4.0846561184268262E-10</v>
      </c>
      <c r="M34">
        <v>1.438268577675722E-12</v>
      </c>
      <c r="N34">
        <v>7.9917180020874592E-13</v>
      </c>
      <c r="O34">
        <v>1.689912923444346E-12</v>
      </c>
      <c r="P34">
        <v>3.5057454616357852E-13</v>
      </c>
      <c r="Q34">
        <v>7.2616593896911296E-13</v>
      </c>
      <c r="R34" s="5">
        <f t="shared" si="0"/>
        <v>2.3523887038191819E-7</v>
      </c>
    </row>
    <row r="35" spans="1:18" x14ac:dyDescent="0.35">
      <c r="A35" t="s">
        <v>44</v>
      </c>
      <c r="B35">
        <v>2035</v>
      </c>
      <c r="C35" t="s">
        <v>53</v>
      </c>
      <c r="D35" t="s">
        <v>5</v>
      </c>
      <c r="E35" t="s">
        <v>6</v>
      </c>
      <c r="F35" t="s">
        <v>46</v>
      </c>
      <c r="G35">
        <v>1.776458177069454E-7</v>
      </c>
      <c r="H35">
        <v>5.3813716796846222E-8</v>
      </c>
      <c r="I35">
        <v>3.7909546481737837E-11</v>
      </c>
      <c r="J35">
        <v>2.3803895497257009E-9</v>
      </c>
      <c r="K35">
        <v>9.4756707628995277E-10</v>
      </c>
      <c r="L35">
        <v>4.0846561184268262E-10</v>
      </c>
      <c r="M35">
        <v>1.438268577675722E-12</v>
      </c>
      <c r="N35">
        <v>7.9917180020874592E-13</v>
      </c>
      <c r="O35">
        <v>1.689912923444346E-12</v>
      </c>
      <c r="P35">
        <v>3.5057454616357852E-13</v>
      </c>
      <c r="Q35">
        <v>7.2616593896911296E-13</v>
      </c>
      <c r="R35" s="5">
        <f t="shared" si="0"/>
        <v>2.3523887038191819E-7</v>
      </c>
    </row>
    <row r="36" spans="1:18" x14ac:dyDescent="0.35">
      <c r="A36" t="s">
        <v>44</v>
      </c>
      <c r="B36">
        <v>2040</v>
      </c>
      <c r="C36" t="s">
        <v>53</v>
      </c>
      <c r="D36" t="s">
        <v>5</v>
      </c>
      <c r="E36" t="s">
        <v>6</v>
      </c>
      <c r="F36" t="s">
        <v>46</v>
      </c>
      <c r="G36">
        <v>1.776458177069454E-7</v>
      </c>
      <c r="H36">
        <v>5.3813716796846222E-8</v>
      </c>
      <c r="I36">
        <v>3.7909546481737837E-11</v>
      </c>
      <c r="J36">
        <v>2.3803895497257009E-9</v>
      </c>
      <c r="K36">
        <v>9.4756707628995277E-10</v>
      </c>
      <c r="L36">
        <v>4.0846561184268262E-10</v>
      </c>
      <c r="M36">
        <v>1.438268577675722E-12</v>
      </c>
      <c r="N36">
        <v>7.9917180020874592E-13</v>
      </c>
      <c r="O36">
        <v>1.689912923444346E-12</v>
      </c>
      <c r="P36">
        <v>3.5057454616357852E-13</v>
      </c>
      <c r="Q36">
        <v>7.2616593896911296E-13</v>
      </c>
      <c r="R36" s="5">
        <f t="shared" si="0"/>
        <v>2.3523887038191819E-7</v>
      </c>
    </row>
    <row r="37" spans="1:18" x14ac:dyDescent="0.35">
      <c r="A37" t="s">
        <v>44</v>
      </c>
      <c r="B37">
        <v>2020</v>
      </c>
      <c r="C37" t="s">
        <v>54</v>
      </c>
      <c r="D37" t="s">
        <v>48</v>
      </c>
      <c r="E37" t="s">
        <v>6</v>
      </c>
      <c r="F37" t="s">
        <v>46</v>
      </c>
      <c r="G37">
        <v>5.6105656496781667E-7</v>
      </c>
      <c r="H37">
        <v>1.697522194370514E-7</v>
      </c>
      <c r="I37">
        <v>4.0818944602351351E-10</v>
      </c>
      <c r="J37">
        <v>8.4098534050182733E-9</v>
      </c>
      <c r="K37">
        <v>5.4649894707483041E-9</v>
      </c>
      <c r="L37">
        <v>1.5795785512313729E-9</v>
      </c>
      <c r="M37">
        <v>4.5003089909334983E-12</v>
      </c>
      <c r="N37">
        <v>2.42218498118649E-12</v>
      </c>
      <c r="O37">
        <v>2.7200291214595769E-12</v>
      </c>
      <c r="P37">
        <v>1.06817215736987E-12</v>
      </c>
      <c r="Q37">
        <v>1.3749444624998709E-12</v>
      </c>
      <c r="R37" s="5">
        <f t="shared" si="0"/>
        <v>7.4668348091760306E-7</v>
      </c>
    </row>
    <row r="38" spans="1:18" x14ac:dyDescent="0.35">
      <c r="A38" t="s">
        <v>44</v>
      </c>
      <c r="B38">
        <v>2025</v>
      </c>
      <c r="C38" t="s">
        <v>54</v>
      </c>
      <c r="D38" t="s">
        <v>48</v>
      </c>
      <c r="E38" t="s">
        <v>6</v>
      </c>
      <c r="F38" t="s">
        <v>46</v>
      </c>
      <c r="G38">
        <v>5.6105656496781667E-7</v>
      </c>
      <c r="H38">
        <v>1.697522194370514E-7</v>
      </c>
      <c r="I38">
        <v>4.0818944602351351E-10</v>
      </c>
      <c r="J38">
        <v>8.4098534050182733E-9</v>
      </c>
      <c r="K38">
        <v>5.4649894707483041E-9</v>
      </c>
      <c r="L38">
        <v>1.5795785512313729E-9</v>
      </c>
      <c r="M38">
        <v>4.5003089909334983E-12</v>
      </c>
      <c r="N38">
        <v>2.42218498118649E-12</v>
      </c>
      <c r="O38">
        <v>2.7200291214595769E-12</v>
      </c>
      <c r="P38">
        <v>1.06817215736987E-12</v>
      </c>
      <c r="Q38">
        <v>1.3749444624998709E-12</v>
      </c>
      <c r="R38" s="5">
        <f t="shared" si="0"/>
        <v>7.4668348091760306E-7</v>
      </c>
    </row>
    <row r="39" spans="1:18" x14ac:dyDescent="0.35">
      <c r="A39" t="s">
        <v>44</v>
      </c>
      <c r="B39">
        <v>2030</v>
      </c>
      <c r="C39" t="s">
        <v>54</v>
      </c>
      <c r="D39" t="s">
        <v>48</v>
      </c>
      <c r="E39" t="s">
        <v>6</v>
      </c>
      <c r="F39" t="s">
        <v>46</v>
      </c>
      <c r="G39">
        <v>5.6105656496781667E-7</v>
      </c>
      <c r="H39">
        <v>1.697522194370514E-7</v>
      </c>
      <c r="I39">
        <v>4.0818944602351351E-10</v>
      </c>
      <c r="J39">
        <v>8.4098534050182733E-9</v>
      </c>
      <c r="K39">
        <v>5.4649894707483041E-9</v>
      </c>
      <c r="L39">
        <v>1.5795785512313729E-9</v>
      </c>
      <c r="M39">
        <v>4.5003089909334983E-12</v>
      </c>
      <c r="N39">
        <v>2.42218498118649E-12</v>
      </c>
      <c r="O39">
        <v>2.7200291214595769E-12</v>
      </c>
      <c r="P39">
        <v>1.06817215736987E-12</v>
      </c>
      <c r="Q39">
        <v>1.3749444624998709E-12</v>
      </c>
      <c r="R39" s="5">
        <f t="shared" si="0"/>
        <v>7.4668348091760306E-7</v>
      </c>
    </row>
    <row r="40" spans="1:18" x14ac:dyDescent="0.35">
      <c r="A40" t="s">
        <v>44</v>
      </c>
      <c r="B40">
        <v>2035</v>
      </c>
      <c r="C40" t="s">
        <v>54</v>
      </c>
      <c r="D40" t="s">
        <v>48</v>
      </c>
      <c r="E40" t="s">
        <v>6</v>
      </c>
      <c r="F40" t="s">
        <v>46</v>
      </c>
      <c r="G40">
        <v>5.6105656496781667E-7</v>
      </c>
      <c r="H40">
        <v>1.697522194370514E-7</v>
      </c>
      <c r="I40">
        <v>4.0818944602351351E-10</v>
      </c>
      <c r="J40">
        <v>8.4098534050182733E-9</v>
      </c>
      <c r="K40">
        <v>5.4649894707483041E-9</v>
      </c>
      <c r="L40">
        <v>1.5795785512313729E-9</v>
      </c>
      <c r="M40">
        <v>4.5003089909334983E-12</v>
      </c>
      <c r="N40">
        <v>2.42218498118649E-12</v>
      </c>
      <c r="O40">
        <v>2.7200291214595769E-12</v>
      </c>
      <c r="P40">
        <v>1.06817215736987E-12</v>
      </c>
      <c r="Q40">
        <v>1.3749444624998709E-12</v>
      </c>
      <c r="R40" s="5">
        <f t="shared" si="0"/>
        <v>7.4668348091760306E-7</v>
      </c>
    </row>
    <row r="41" spans="1:18" x14ac:dyDescent="0.35">
      <c r="A41" t="s">
        <v>44</v>
      </c>
      <c r="B41">
        <v>2040</v>
      </c>
      <c r="C41" t="s">
        <v>54</v>
      </c>
      <c r="D41" t="s">
        <v>48</v>
      </c>
      <c r="E41" t="s">
        <v>6</v>
      </c>
      <c r="F41" t="s">
        <v>46</v>
      </c>
      <c r="G41">
        <v>5.6105656496781667E-7</v>
      </c>
      <c r="H41">
        <v>1.697522194370514E-7</v>
      </c>
      <c r="I41">
        <v>4.0818944602351351E-10</v>
      </c>
      <c r="J41">
        <v>8.4098534050182733E-9</v>
      </c>
      <c r="K41">
        <v>5.4649894707483041E-9</v>
      </c>
      <c r="L41">
        <v>1.5795785512313729E-9</v>
      </c>
      <c r="M41">
        <v>4.5003089909334983E-12</v>
      </c>
      <c r="N41">
        <v>2.42218498118649E-12</v>
      </c>
      <c r="O41">
        <v>2.7200291214595769E-12</v>
      </c>
      <c r="P41">
        <v>1.06817215736987E-12</v>
      </c>
      <c r="Q41">
        <v>1.3749444624998709E-12</v>
      </c>
      <c r="R41" s="5">
        <f t="shared" si="0"/>
        <v>7.4668348091760306E-7</v>
      </c>
    </row>
    <row r="42" spans="1:18" s="3" customFormat="1" x14ac:dyDescent="0.35">
      <c r="A42" s="3" t="s">
        <v>44</v>
      </c>
      <c r="B42" s="3">
        <v>2020</v>
      </c>
      <c r="C42" s="3" t="s">
        <v>55</v>
      </c>
      <c r="D42" s="3" t="s">
        <v>5</v>
      </c>
      <c r="E42" s="3" t="s">
        <v>6</v>
      </c>
      <c r="F42" s="3" t="s">
        <v>50</v>
      </c>
      <c r="G42" s="3">
        <f>G52-G32</f>
        <v>5.3909982438774134E-5</v>
      </c>
      <c r="H42" s="3">
        <f t="shared" ref="H42:Q42" si="3">H52-H32</f>
        <v>1.6173121364577143E-5</v>
      </c>
      <c r="I42" s="3">
        <f t="shared" si="3"/>
        <v>5.7670926361054574E-8</v>
      </c>
      <c r="J42" s="3">
        <f t="shared" si="3"/>
        <v>2.9949620838667281E-6</v>
      </c>
      <c r="K42" s="3">
        <f t="shared" si="3"/>
        <v>1.953462442210048E-6</v>
      </c>
      <c r="L42" s="3">
        <f t="shared" si="3"/>
        <v>1.5874871214204593E-6</v>
      </c>
      <c r="M42" s="3">
        <f t="shared" si="3"/>
        <v>8.9631898838070874E-9</v>
      </c>
      <c r="N42" s="3">
        <f t="shared" si="3"/>
        <v>5.204520355738744E-10</v>
      </c>
      <c r="O42" s="3">
        <f t="shared" si="3"/>
        <v>6.9758873263215178E-10</v>
      </c>
      <c r="P42" s="3">
        <f t="shared" si="3"/>
        <v>7.1427453183288001E-11</v>
      </c>
      <c r="Q42" s="3">
        <f t="shared" si="3"/>
        <v>4.5538887409933749E-10</v>
      </c>
      <c r="R42" s="5">
        <f t="shared" si="0"/>
        <v>7.6687394424188859E-5</v>
      </c>
    </row>
    <row r="43" spans="1:18" s="3" customFormat="1" x14ac:dyDescent="0.35">
      <c r="A43" s="3" t="s">
        <v>44</v>
      </c>
      <c r="B43" s="3">
        <v>2025</v>
      </c>
      <c r="C43" s="3" t="s">
        <v>55</v>
      </c>
      <c r="D43" s="3" t="s">
        <v>5</v>
      </c>
      <c r="E43" s="3" t="s">
        <v>6</v>
      </c>
      <c r="F43" s="3" t="s">
        <v>50</v>
      </c>
      <c r="G43" s="3">
        <f t="shared" ref="G43:Q51" si="4">G53-G33</f>
        <v>5.3909982438774134E-5</v>
      </c>
      <c r="H43" s="3">
        <f t="shared" si="4"/>
        <v>1.6173121364577143E-5</v>
      </c>
      <c r="I43" s="3">
        <f t="shared" si="4"/>
        <v>5.7670926361054574E-8</v>
      </c>
      <c r="J43" s="3">
        <f t="shared" si="4"/>
        <v>2.9949620838667281E-6</v>
      </c>
      <c r="K43" s="3">
        <f t="shared" si="4"/>
        <v>1.953462442210048E-6</v>
      </c>
      <c r="L43" s="3">
        <f t="shared" si="4"/>
        <v>1.5874871214204593E-6</v>
      </c>
      <c r="M43" s="3">
        <f t="shared" si="4"/>
        <v>8.9631898838070874E-9</v>
      </c>
      <c r="N43" s="3">
        <f t="shared" si="4"/>
        <v>5.204520355738744E-10</v>
      </c>
      <c r="O43" s="3">
        <f t="shared" si="4"/>
        <v>6.9758873263215178E-10</v>
      </c>
      <c r="P43" s="3">
        <f t="shared" si="4"/>
        <v>7.1427453183288001E-11</v>
      </c>
      <c r="Q43" s="3">
        <f t="shared" si="4"/>
        <v>4.5538887409933749E-10</v>
      </c>
      <c r="R43" s="5">
        <f t="shared" si="0"/>
        <v>7.6687394424188859E-5</v>
      </c>
    </row>
    <row r="44" spans="1:18" s="3" customFormat="1" x14ac:dyDescent="0.35">
      <c r="A44" s="3" t="s">
        <v>44</v>
      </c>
      <c r="B44" s="3">
        <v>2030</v>
      </c>
      <c r="C44" s="3" t="s">
        <v>55</v>
      </c>
      <c r="D44" s="3" t="s">
        <v>5</v>
      </c>
      <c r="E44" s="3" t="s">
        <v>6</v>
      </c>
      <c r="F44" s="3" t="s">
        <v>50</v>
      </c>
      <c r="G44" s="3">
        <f t="shared" si="4"/>
        <v>5.3909982438774134E-5</v>
      </c>
      <c r="H44" s="3">
        <f t="shared" si="4"/>
        <v>1.6173121364577143E-5</v>
      </c>
      <c r="I44" s="3">
        <f t="shared" si="4"/>
        <v>5.7670926361054574E-8</v>
      </c>
      <c r="J44" s="3">
        <f t="shared" si="4"/>
        <v>2.9949620838667281E-6</v>
      </c>
      <c r="K44" s="3">
        <f t="shared" si="4"/>
        <v>1.953462442210048E-6</v>
      </c>
      <c r="L44" s="3">
        <f t="shared" si="4"/>
        <v>1.5874871214204593E-6</v>
      </c>
      <c r="M44" s="3">
        <f t="shared" si="4"/>
        <v>8.9631898838070874E-9</v>
      </c>
      <c r="N44" s="3">
        <f t="shared" si="4"/>
        <v>5.204520355738744E-10</v>
      </c>
      <c r="O44" s="3">
        <f t="shared" si="4"/>
        <v>6.9758873263215178E-10</v>
      </c>
      <c r="P44" s="3">
        <f t="shared" si="4"/>
        <v>7.1427453183288001E-11</v>
      </c>
      <c r="Q44" s="3">
        <f t="shared" si="4"/>
        <v>4.5538887409933749E-10</v>
      </c>
      <c r="R44" s="5">
        <f t="shared" si="0"/>
        <v>7.6687394424188859E-5</v>
      </c>
    </row>
    <row r="45" spans="1:18" s="3" customFormat="1" x14ac:dyDescent="0.35">
      <c r="A45" s="3" t="s">
        <v>44</v>
      </c>
      <c r="B45" s="3">
        <v>2035</v>
      </c>
      <c r="C45" s="3" t="s">
        <v>55</v>
      </c>
      <c r="D45" s="3" t="s">
        <v>5</v>
      </c>
      <c r="E45" s="3" t="s">
        <v>6</v>
      </c>
      <c r="F45" s="3" t="s">
        <v>50</v>
      </c>
      <c r="G45" s="3">
        <f t="shared" si="4"/>
        <v>5.3909982438774134E-5</v>
      </c>
      <c r="H45" s="3">
        <f t="shared" si="4"/>
        <v>1.6173121364577143E-5</v>
      </c>
      <c r="I45" s="3">
        <f t="shared" si="4"/>
        <v>5.7670926361054574E-8</v>
      </c>
      <c r="J45" s="3">
        <f t="shared" si="4"/>
        <v>2.9949620838667281E-6</v>
      </c>
      <c r="K45" s="3">
        <f t="shared" si="4"/>
        <v>1.953462442210048E-6</v>
      </c>
      <c r="L45" s="3">
        <f t="shared" si="4"/>
        <v>1.5874871214204593E-6</v>
      </c>
      <c r="M45" s="3">
        <f t="shared" si="4"/>
        <v>8.9631898838070874E-9</v>
      </c>
      <c r="N45" s="3">
        <f t="shared" si="4"/>
        <v>5.204520355738744E-10</v>
      </c>
      <c r="O45" s="3">
        <f t="shared" si="4"/>
        <v>6.9758873263215178E-10</v>
      </c>
      <c r="P45" s="3">
        <f t="shared" si="4"/>
        <v>7.1427453183288001E-11</v>
      </c>
      <c r="Q45" s="3">
        <f t="shared" si="4"/>
        <v>4.5538887409933749E-10</v>
      </c>
      <c r="R45" s="5">
        <f t="shared" si="0"/>
        <v>7.6687394424188859E-5</v>
      </c>
    </row>
    <row r="46" spans="1:18" s="3" customFormat="1" x14ac:dyDescent="0.35">
      <c r="A46" s="3" t="s">
        <v>44</v>
      </c>
      <c r="B46" s="3">
        <v>2040</v>
      </c>
      <c r="C46" s="3" t="s">
        <v>55</v>
      </c>
      <c r="D46" s="3" t="s">
        <v>5</v>
      </c>
      <c r="E46" s="3" t="s">
        <v>6</v>
      </c>
      <c r="F46" s="3" t="s">
        <v>50</v>
      </c>
      <c r="G46" s="3">
        <f t="shared" si="4"/>
        <v>5.3909982438774134E-5</v>
      </c>
      <c r="H46" s="3">
        <f t="shared" si="4"/>
        <v>1.6173121364577143E-5</v>
      </c>
      <c r="I46" s="3">
        <f t="shared" si="4"/>
        <v>5.7670926361054574E-8</v>
      </c>
      <c r="J46" s="3">
        <f t="shared" si="4"/>
        <v>2.9949620838667281E-6</v>
      </c>
      <c r="K46" s="3">
        <f t="shared" si="4"/>
        <v>1.953462442210048E-6</v>
      </c>
      <c r="L46" s="3">
        <f t="shared" si="4"/>
        <v>1.5874871214204593E-6</v>
      </c>
      <c r="M46" s="3">
        <f t="shared" si="4"/>
        <v>8.9631898838070874E-9</v>
      </c>
      <c r="N46" s="3">
        <f t="shared" si="4"/>
        <v>5.204520355738744E-10</v>
      </c>
      <c r="O46" s="3">
        <f t="shared" si="4"/>
        <v>6.9758873263215178E-10</v>
      </c>
      <c r="P46" s="3">
        <f t="shared" si="4"/>
        <v>7.1427453183288001E-11</v>
      </c>
      <c r="Q46" s="3">
        <f t="shared" si="4"/>
        <v>4.5538887409933749E-10</v>
      </c>
      <c r="R46" s="5">
        <f t="shared" si="0"/>
        <v>7.6687394424188859E-5</v>
      </c>
    </row>
    <row r="47" spans="1:18" s="3" customFormat="1" x14ac:dyDescent="0.35">
      <c r="A47" s="3" t="s">
        <v>44</v>
      </c>
      <c r="B47" s="3">
        <v>2020</v>
      </c>
      <c r="C47" s="3" t="s">
        <v>56</v>
      </c>
      <c r="D47" s="3" t="s">
        <v>48</v>
      </c>
      <c r="E47" s="3" t="s">
        <v>6</v>
      </c>
      <c r="F47" s="3" t="s">
        <v>50</v>
      </c>
      <c r="G47" s="3">
        <f t="shared" si="4"/>
        <v>5.7135789593632307E-5</v>
      </c>
      <c r="H47" s="3">
        <f t="shared" si="4"/>
        <v>1.7181712577391618E-5</v>
      </c>
      <c r="I47" s="3">
        <f t="shared" si="4"/>
        <v>5.9992934692517235E-8</v>
      </c>
      <c r="J47" s="3">
        <f t="shared" si="4"/>
        <v>3.0126481038010118E-6</v>
      </c>
      <c r="K47" s="3">
        <f t="shared" si="4"/>
        <v>2.0135007354764705E-6</v>
      </c>
      <c r="L47" s="3">
        <f t="shared" si="4"/>
        <v>1.6006058076450405E-6</v>
      </c>
      <c r="M47" s="3">
        <f t="shared" si="4"/>
        <v>9.0382470515280571E-9</v>
      </c>
      <c r="N47" s="3">
        <f t="shared" si="4"/>
        <v>5.2550279198173255E-10</v>
      </c>
      <c r="O47" s="3">
        <f t="shared" si="4"/>
        <v>6.8861873319620301E-10</v>
      </c>
      <c r="P47" s="3">
        <f t="shared" si="4"/>
        <v>7.3027789900120716E-11</v>
      </c>
      <c r="Q47" s="3">
        <f t="shared" si="4"/>
        <v>4.4966115661883284E-10</v>
      </c>
      <c r="R47" s="5">
        <f t="shared" si="0"/>
        <v>8.1015024810162208E-5</v>
      </c>
    </row>
    <row r="48" spans="1:18" s="3" customFormat="1" x14ac:dyDescent="0.35">
      <c r="A48" s="3" t="s">
        <v>44</v>
      </c>
      <c r="B48" s="3">
        <v>2025</v>
      </c>
      <c r="C48" s="3" t="s">
        <v>56</v>
      </c>
      <c r="D48" s="3" t="s">
        <v>48</v>
      </c>
      <c r="E48" s="3" t="s">
        <v>6</v>
      </c>
      <c r="F48" s="3" t="s">
        <v>50</v>
      </c>
      <c r="G48" s="3">
        <f t="shared" si="4"/>
        <v>5.7135789593632307E-5</v>
      </c>
      <c r="H48" s="3">
        <f t="shared" si="4"/>
        <v>1.7181712577391618E-5</v>
      </c>
      <c r="I48" s="3">
        <f t="shared" si="4"/>
        <v>5.9992934692517235E-8</v>
      </c>
      <c r="J48" s="3">
        <f t="shared" si="4"/>
        <v>3.0126481038010118E-6</v>
      </c>
      <c r="K48" s="3">
        <f t="shared" si="4"/>
        <v>2.0135007354764705E-6</v>
      </c>
      <c r="L48" s="3">
        <f t="shared" si="4"/>
        <v>1.6006058076450405E-6</v>
      </c>
      <c r="M48" s="3">
        <f t="shared" si="4"/>
        <v>9.0382470515280571E-9</v>
      </c>
      <c r="N48" s="3">
        <f t="shared" si="4"/>
        <v>5.2550279198173255E-10</v>
      </c>
      <c r="O48" s="3">
        <f t="shared" si="4"/>
        <v>6.8861873319620301E-10</v>
      </c>
      <c r="P48" s="3">
        <f t="shared" si="4"/>
        <v>7.3027789900120716E-11</v>
      </c>
      <c r="Q48" s="3">
        <f t="shared" si="4"/>
        <v>4.4966115661883284E-10</v>
      </c>
      <c r="R48" s="5">
        <f t="shared" si="0"/>
        <v>8.1015024810162208E-5</v>
      </c>
    </row>
    <row r="49" spans="1:18" s="3" customFormat="1" x14ac:dyDescent="0.35">
      <c r="A49" s="3" t="s">
        <v>44</v>
      </c>
      <c r="B49" s="3">
        <v>2030</v>
      </c>
      <c r="C49" s="3" t="s">
        <v>56</v>
      </c>
      <c r="D49" s="3" t="s">
        <v>48</v>
      </c>
      <c r="E49" s="3" t="s">
        <v>6</v>
      </c>
      <c r="F49" s="3" t="s">
        <v>50</v>
      </c>
      <c r="G49" s="3">
        <f t="shared" si="4"/>
        <v>5.7135789593632307E-5</v>
      </c>
      <c r="H49" s="3">
        <f t="shared" si="4"/>
        <v>1.7181712577391618E-5</v>
      </c>
      <c r="I49" s="3">
        <f t="shared" si="4"/>
        <v>5.9992934692517235E-8</v>
      </c>
      <c r="J49" s="3">
        <f t="shared" si="4"/>
        <v>3.0126481038010118E-6</v>
      </c>
      <c r="K49" s="3">
        <f t="shared" si="4"/>
        <v>2.0135007354764705E-6</v>
      </c>
      <c r="L49" s="3">
        <f t="shared" si="4"/>
        <v>1.6006058076450405E-6</v>
      </c>
      <c r="M49" s="3">
        <f t="shared" si="4"/>
        <v>9.0382470515280571E-9</v>
      </c>
      <c r="N49" s="3">
        <f t="shared" si="4"/>
        <v>5.2550279198173255E-10</v>
      </c>
      <c r="O49" s="3">
        <f t="shared" si="4"/>
        <v>6.8861873319620301E-10</v>
      </c>
      <c r="P49" s="3">
        <f t="shared" si="4"/>
        <v>7.3027789900120716E-11</v>
      </c>
      <c r="Q49" s="3">
        <f t="shared" si="4"/>
        <v>4.4966115661883284E-10</v>
      </c>
      <c r="R49" s="5">
        <f t="shared" si="0"/>
        <v>8.1015024810162208E-5</v>
      </c>
    </row>
    <row r="50" spans="1:18" s="3" customFormat="1" x14ac:dyDescent="0.35">
      <c r="A50" s="3" t="s">
        <v>44</v>
      </c>
      <c r="B50" s="3">
        <v>2035</v>
      </c>
      <c r="C50" s="3" t="s">
        <v>56</v>
      </c>
      <c r="D50" s="3" t="s">
        <v>48</v>
      </c>
      <c r="E50" s="3" t="s">
        <v>6</v>
      </c>
      <c r="F50" s="3" t="s">
        <v>50</v>
      </c>
      <c r="G50" s="3">
        <f t="shared" si="4"/>
        <v>5.7135789593632307E-5</v>
      </c>
      <c r="H50" s="3">
        <f t="shared" si="4"/>
        <v>1.7181712577391618E-5</v>
      </c>
      <c r="I50" s="3">
        <f t="shared" si="4"/>
        <v>5.9992934692517235E-8</v>
      </c>
      <c r="J50" s="3">
        <f t="shared" si="4"/>
        <v>3.0126481038010118E-6</v>
      </c>
      <c r="K50" s="3">
        <f t="shared" si="4"/>
        <v>2.0135007354764705E-6</v>
      </c>
      <c r="L50" s="3">
        <f t="shared" si="4"/>
        <v>1.6006058076450405E-6</v>
      </c>
      <c r="M50" s="3">
        <f t="shared" si="4"/>
        <v>9.0382470515280571E-9</v>
      </c>
      <c r="N50" s="3">
        <f t="shared" si="4"/>
        <v>5.2550279198173255E-10</v>
      </c>
      <c r="O50" s="3">
        <f t="shared" si="4"/>
        <v>6.8861873319620301E-10</v>
      </c>
      <c r="P50" s="3">
        <f t="shared" si="4"/>
        <v>7.3027789900120716E-11</v>
      </c>
      <c r="Q50" s="3">
        <f t="shared" si="4"/>
        <v>4.4966115661883284E-10</v>
      </c>
      <c r="R50" s="5">
        <f t="shared" si="0"/>
        <v>8.1015024810162208E-5</v>
      </c>
    </row>
    <row r="51" spans="1:18" s="3" customFormat="1" x14ac:dyDescent="0.35">
      <c r="A51" s="3" t="s">
        <v>44</v>
      </c>
      <c r="B51" s="3">
        <v>2040</v>
      </c>
      <c r="C51" s="3" t="s">
        <v>56</v>
      </c>
      <c r="D51" s="3" t="s">
        <v>48</v>
      </c>
      <c r="E51" s="3" t="s">
        <v>6</v>
      </c>
      <c r="F51" s="3" t="s">
        <v>50</v>
      </c>
      <c r="G51" s="3">
        <f t="shared" si="4"/>
        <v>5.7135789593632307E-5</v>
      </c>
      <c r="H51" s="3">
        <f t="shared" si="4"/>
        <v>1.7181712577391618E-5</v>
      </c>
      <c r="I51" s="3">
        <f t="shared" si="4"/>
        <v>5.9992934692517235E-8</v>
      </c>
      <c r="J51" s="3">
        <f t="shared" si="4"/>
        <v>3.0126481038010118E-6</v>
      </c>
      <c r="K51" s="3">
        <f t="shared" si="4"/>
        <v>2.0135007354764705E-6</v>
      </c>
      <c r="L51" s="3">
        <f t="shared" si="4"/>
        <v>1.6006058076450405E-6</v>
      </c>
      <c r="M51" s="3">
        <f t="shared" si="4"/>
        <v>9.0382470515280571E-9</v>
      </c>
      <c r="N51" s="3">
        <f t="shared" si="4"/>
        <v>5.2550279198173255E-10</v>
      </c>
      <c r="O51" s="3">
        <f t="shared" si="4"/>
        <v>6.8861873319620301E-10</v>
      </c>
      <c r="P51" s="3">
        <f t="shared" si="4"/>
        <v>7.3027789900120716E-11</v>
      </c>
      <c r="Q51" s="3">
        <f t="shared" si="4"/>
        <v>4.4966115661883284E-10</v>
      </c>
      <c r="R51" s="5">
        <f t="shared" si="0"/>
        <v>8.1015024810162208E-5</v>
      </c>
    </row>
    <row r="52" spans="1:18" x14ac:dyDescent="0.35">
      <c r="A52" t="s">
        <v>44</v>
      </c>
      <c r="B52">
        <v>2020</v>
      </c>
      <c r="C52" t="s">
        <v>55</v>
      </c>
      <c r="D52" t="s">
        <v>5</v>
      </c>
      <c r="E52" t="s">
        <v>6</v>
      </c>
      <c r="F52" t="s">
        <v>52</v>
      </c>
      <c r="G52">
        <v>5.4087628256481079E-5</v>
      </c>
      <c r="H52">
        <v>1.6226935081373989E-5</v>
      </c>
      <c r="I52">
        <v>5.7708835907536313E-8</v>
      </c>
      <c r="J52">
        <v>2.9973424734164538E-6</v>
      </c>
      <c r="K52">
        <v>1.9544100092863379E-6</v>
      </c>
      <c r="L52">
        <v>1.5878955870323021E-6</v>
      </c>
      <c r="M52">
        <v>8.9646281523847627E-9</v>
      </c>
      <c r="N52">
        <v>5.2125120737408314E-10</v>
      </c>
      <c r="O52">
        <v>6.9927864555559607E-10</v>
      </c>
      <c r="P52">
        <v>7.1778027729451577E-11</v>
      </c>
      <c r="Q52">
        <v>4.5611504003830658E-10</v>
      </c>
      <c r="R52" s="5">
        <f t="shared" si="0"/>
        <v>7.6922633294570803E-5</v>
      </c>
    </row>
    <row r="53" spans="1:18" x14ac:dyDescent="0.35">
      <c r="A53" t="s">
        <v>44</v>
      </c>
      <c r="B53">
        <v>2025</v>
      </c>
      <c r="C53" t="s">
        <v>55</v>
      </c>
      <c r="D53" t="s">
        <v>5</v>
      </c>
      <c r="E53" t="s">
        <v>6</v>
      </c>
      <c r="F53" t="s">
        <v>52</v>
      </c>
      <c r="G53">
        <v>5.4087628256481079E-5</v>
      </c>
      <c r="H53">
        <v>1.6226935081373989E-5</v>
      </c>
      <c r="I53">
        <v>5.7708835907536313E-8</v>
      </c>
      <c r="J53">
        <v>2.9973424734164538E-6</v>
      </c>
      <c r="K53">
        <v>1.9544100092863379E-6</v>
      </c>
      <c r="L53">
        <v>1.5878955870323021E-6</v>
      </c>
      <c r="M53">
        <v>8.9646281523847627E-9</v>
      </c>
      <c r="N53">
        <v>5.2125120737408314E-10</v>
      </c>
      <c r="O53">
        <v>6.9927864555559607E-10</v>
      </c>
      <c r="P53">
        <v>7.1778027729451577E-11</v>
      </c>
      <c r="Q53">
        <v>4.5611504003830658E-10</v>
      </c>
      <c r="R53" s="5">
        <f t="shared" si="0"/>
        <v>7.6922633294570803E-5</v>
      </c>
    </row>
    <row r="54" spans="1:18" x14ac:dyDescent="0.35">
      <c r="A54" t="s">
        <v>44</v>
      </c>
      <c r="B54">
        <v>2030</v>
      </c>
      <c r="C54" t="s">
        <v>55</v>
      </c>
      <c r="D54" t="s">
        <v>5</v>
      </c>
      <c r="E54" t="s">
        <v>6</v>
      </c>
      <c r="F54" t="s">
        <v>52</v>
      </c>
      <c r="G54">
        <v>5.4087628256481079E-5</v>
      </c>
      <c r="H54">
        <v>1.6226935081373989E-5</v>
      </c>
      <c r="I54">
        <v>5.7708835907536313E-8</v>
      </c>
      <c r="J54">
        <v>2.9973424734164538E-6</v>
      </c>
      <c r="K54">
        <v>1.9544100092863379E-6</v>
      </c>
      <c r="L54">
        <v>1.5878955870323021E-6</v>
      </c>
      <c r="M54">
        <v>8.9646281523847627E-9</v>
      </c>
      <c r="N54">
        <v>5.2125120737408314E-10</v>
      </c>
      <c r="O54">
        <v>6.9927864555559607E-10</v>
      </c>
      <c r="P54">
        <v>7.1778027729451577E-11</v>
      </c>
      <c r="Q54">
        <v>4.5611504003830658E-10</v>
      </c>
      <c r="R54" s="5">
        <f t="shared" si="0"/>
        <v>7.6922633294570803E-5</v>
      </c>
    </row>
    <row r="55" spans="1:18" x14ac:dyDescent="0.35">
      <c r="A55" t="s">
        <v>44</v>
      </c>
      <c r="B55">
        <v>2035</v>
      </c>
      <c r="C55" t="s">
        <v>55</v>
      </c>
      <c r="D55" t="s">
        <v>5</v>
      </c>
      <c r="E55" t="s">
        <v>6</v>
      </c>
      <c r="F55" t="s">
        <v>52</v>
      </c>
      <c r="G55">
        <v>5.4087628256481079E-5</v>
      </c>
      <c r="H55">
        <v>1.6226935081373989E-5</v>
      </c>
      <c r="I55">
        <v>5.7708835907536313E-8</v>
      </c>
      <c r="J55">
        <v>2.9973424734164538E-6</v>
      </c>
      <c r="K55">
        <v>1.9544100092863379E-6</v>
      </c>
      <c r="L55">
        <v>1.5878955870323021E-6</v>
      </c>
      <c r="M55">
        <v>8.9646281523847627E-9</v>
      </c>
      <c r="N55">
        <v>5.2125120737408314E-10</v>
      </c>
      <c r="O55">
        <v>6.9927864555559607E-10</v>
      </c>
      <c r="P55">
        <v>7.1778027729451577E-11</v>
      </c>
      <c r="Q55">
        <v>4.5611504003830658E-10</v>
      </c>
      <c r="R55" s="5">
        <f t="shared" si="0"/>
        <v>7.6922633294570803E-5</v>
      </c>
    </row>
    <row r="56" spans="1:18" x14ac:dyDescent="0.35">
      <c r="A56" t="s">
        <v>44</v>
      </c>
      <c r="B56">
        <v>2040</v>
      </c>
      <c r="C56" t="s">
        <v>55</v>
      </c>
      <c r="D56" t="s">
        <v>5</v>
      </c>
      <c r="E56" t="s">
        <v>6</v>
      </c>
      <c r="F56" t="s">
        <v>52</v>
      </c>
      <c r="G56">
        <v>5.4087628256481079E-5</v>
      </c>
      <c r="H56">
        <v>1.6226935081373989E-5</v>
      </c>
      <c r="I56">
        <v>5.7708835907536313E-8</v>
      </c>
      <c r="J56">
        <v>2.9973424734164538E-6</v>
      </c>
      <c r="K56">
        <v>1.9544100092863379E-6</v>
      </c>
      <c r="L56">
        <v>1.5878955870323021E-6</v>
      </c>
      <c r="M56">
        <v>8.9646281523847627E-9</v>
      </c>
      <c r="N56">
        <v>5.2125120737408314E-10</v>
      </c>
      <c r="O56">
        <v>6.9927864555559607E-10</v>
      </c>
      <c r="P56">
        <v>7.1778027729451577E-11</v>
      </c>
      <c r="Q56">
        <v>4.5611504003830658E-10</v>
      </c>
      <c r="R56" s="5">
        <f t="shared" si="0"/>
        <v>7.6922633294570803E-5</v>
      </c>
    </row>
    <row r="57" spans="1:18" x14ac:dyDescent="0.35">
      <c r="A57" t="s">
        <v>44</v>
      </c>
      <c r="B57">
        <v>2020</v>
      </c>
      <c r="C57" t="s">
        <v>56</v>
      </c>
      <c r="D57" t="s">
        <v>48</v>
      </c>
      <c r="E57" t="s">
        <v>6</v>
      </c>
      <c r="F57" t="s">
        <v>52</v>
      </c>
      <c r="G57">
        <v>5.7696846158600122E-5</v>
      </c>
      <c r="H57">
        <v>1.7351464796828671E-5</v>
      </c>
      <c r="I57">
        <v>6.0401124138540748E-8</v>
      </c>
      <c r="J57">
        <v>3.0210579572060302E-6</v>
      </c>
      <c r="K57">
        <v>2.018965724947219E-6</v>
      </c>
      <c r="L57">
        <v>1.602185386196272E-6</v>
      </c>
      <c r="M57">
        <v>9.0427473605189912E-9</v>
      </c>
      <c r="N57">
        <v>5.2792497696291904E-10</v>
      </c>
      <c r="O57">
        <v>6.9133876231766254E-10</v>
      </c>
      <c r="P57">
        <v>7.4095962057490581E-11</v>
      </c>
      <c r="Q57">
        <v>4.5103610108133271E-10</v>
      </c>
      <c r="R57" s="5">
        <f t="shared" si="0"/>
        <v>8.1761708291079818E-5</v>
      </c>
    </row>
    <row r="58" spans="1:18" x14ac:dyDescent="0.35">
      <c r="A58" t="s">
        <v>44</v>
      </c>
      <c r="B58">
        <v>2025</v>
      </c>
      <c r="C58" t="s">
        <v>56</v>
      </c>
      <c r="D58" t="s">
        <v>48</v>
      </c>
      <c r="E58" t="s">
        <v>6</v>
      </c>
      <c r="F58" t="s">
        <v>52</v>
      </c>
      <c r="G58">
        <v>5.7696846158600122E-5</v>
      </c>
      <c r="H58">
        <v>1.7351464796828671E-5</v>
      </c>
      <c r="I58">
        <v>6.0401124138540748E-8</v>
      </c>
      <c r="J58">
        <v>3.0210579572060302E-6</v>
      </c>
      <c r="K58">
        <v>2.018965724947219E-6</v>
      </c>
      <c r="L58">
        <v>1.602185386196272E-6</v>
      </c>
      <c r="M58">
        <v>9.0427473605189912E-9</v>
      </c>
      <c r="N58">
        <v>5.2792497696291904E-10</v>
      </c>
      <c r="O58">
        <v>6.9133876231766254E-10</v>
      </c>
      <c r="P58">
        <v>7.4095962057490581E-11</v>
      </c>
      <c r="Q58">
        <v>4.5103610108133271E-10</v>
      </c>
      <c r="R58" s="5">
        <f t="shared" si="0"/>
        <v>8.1761708291079818E-5</v>
      </c>
    </row>
    <row r="59" spans="1:18" x14ac:dyDescent="0.35">
      <c r="A59" t="s">
        <v>44</v>
      </c>
      <c r="B59">
        <v>2030</v>
      </c>
      <c r="C59" t="s">
        <v>56</v>
      </c>
      <c r="D59" t="s">
        <v>48</v>
      </c>
      <c r="E59" t="s">
        <v>6</v>
      </c>
      <c r="F59" t="s">
        <v>52</v>
      </c>
      <c r="G59">
        <v>5.7696846158600122E-5</v>
      </c>
      <c r="H59">
        <v>1.7351464796828671E-5</v>
      </c>
      <c r="I59">
        <v>6.0401124138540748E-8</v>
      </c>
      <c r="J59">
        <v>3.0210579572060302E-6</v>
      </c>
      <c r="K59">
        <v>2.018965724947219E-6</v>
      </c>
      <c r="L59">
        <v>1.602185386196272E-6</v>
      </c>
      <c r="M59">
        <v>9.0427473605189912E-9</v>
      </c>
      <c r="N59">
        <v>5.2792497696291904E-10</v>
      </c>
      <c r="O59">
        <v>6.9133876231766254E-10</v>
      </c>
      <c r="P59">
        <v>7.4095962057490581E-11</v>
      </c>
      <c r="Q59">
        <v>4.5103610108133271E-10</v>
      </c>
      <c r="R59" s="5">
        <f t="shared" si="0"/>
        <v>8.1761708291079818E-5</v>
      </c>
    </row>
    <row r="60" spans="1:18" x14ac:dyDescent="0.35">
      <c r="A60" t="s">
        <v>44</v>
      </c>
      <c r="B60">
        <v>2035</v>
      </c>
      <c r="C60" t="s">
        <v>56</v>
      </c>
      <c r="D60" t="s">
        <v>48</v>
      </c>
      <c r="E60" t="s">
        <v>6</v>
      </c>
      <c r="F60" t="s">
        <v>52</v>
      </c>
      <c r="G60">
        <v>5.7696846158600122E-5</v>
      </c>
      <c r="H60">
        <v>1.7351464796828671E-5</v>
      </c>
      <c r="I60">
        <v>6.0401124138540748E-8</v>
      </c>
      <c r="J60">
        <v>3.0210579572060302E-6</v>
      </c>
      <c r="K60">
        <v>2.018965724947219E-6</v>
      </c>
      <c r="L60">
        <v>1.602185386196272E-6</v>
      </c>
      <c r="M60">
        <v>9.0427473605189912E-9</v>
      </c>
      <c r="N60">
        <v>5.2792497696291904E-10</v>
      </c>
      <c r="O60">
        <v>6.9133876231766254E-10</v>
      </c>
      <c r="P60">
        <v>7.4095962057490581E-11</v>
      </c>
      <c r="Q60">
        <v>4.5103610108133271E-10</v>
      </c>
      <c r="R60" s="5">
        <f t="shared" si="0"/>
        <v>8.1761708291079818E-5</v>
      </c>
    </row>
    <row r="61" spans="1:18" x14ac:dyDescent="0.35">
      <c r="A61" t="s">
        <v>44</v>
      </c>
      <c r="B61">
        <v>2040</v>
      </c>
      <c r="C61" t="s">
        <v>56</v>
      </c>
      <c r="D61" t="s">
        <v>48</v>
      </c>
      <c r="E61" t="s">
        <v>6</v>
      </c>
      <c r="F61" t="s">
        <v>52</v>
      </c>
      <c r="G61">
        <v>5.7696846158600122E-5</v>
      </c>
      <c r="H61">
        <v>1.7351464796828671E-5</v>
      </c>
      <c r="I61">
        <v>6.0401124138540748E-8</v>
      </c>
      <c r="J61">
        <v>3.0210579572060302E-6</v>
      </c>
      <c r="K61">
        <v>2.018965724947219E-6</v>
      </c>
      <c r="L61">
        <v>1.602185386196272E-6</v>
      </c>
      <c r="M61">
        <v>9.0427473605189912E-9</v>
      </c>
      <c r="N61">
        <v>5.2792497696291904E-10</v>
      </c>
      <c r="O61">
        <v>6.9133876231766254E-10</v>
      </c>
      <c r="P61">
        <v>7.4095962057490581E-11</v>
      </c>
      <c r="Q61">
        <v>4.5103610108133271E-10</v>
      </c>
      <c r="R61" s="5">
        <f t="shared" si="0"/>
        <v>8.1761708291079818E-5</v>
      </c>
    </row>
    <row r="62" spans="1:18" x14ac:dyDescent="0.35">
      <c r="A62" t="s">
        <v>44</v>
      </c>
      <c r="B62">
        <v>2020</v>
      </c>
      <c r="C62" t="s">
        <v>57</v>
      </c>
      <c r="D62" t="s">
        <v>5</v>
      </c>
      <c r="E62" t="s">
        <v>7</v>
      </c>
      <c r="F62" t="s">
        <v>46</v>
      </c>
      <c r="G62">
        <v>4.8207693249932128E-6</v>
      </c>
      <c r="H62">
        <v>1.519578206508783E-6</v>
      </c>
      <c r="I62">
        <v>1.576080140144851E-8</v>
      </c>
      <c r="J62">
        <v>5.2997623535909558E-7</v>
      </c>
      <c r="K62">
        <v>5.0405469874976758E-7</v>
      </c>
      <c r="L62">
        <v>3.1652826886368869E-7</v>
      </c>
      <c r="M62">
        <v>7.5182325534768047E-10</v>
      </c>
      <c r="N62">
        <v>1.634617325227222E-11</v>
      </c>
      <c r="O62">
        <v>1.5230729355292301E-10</v>
      </c>
      <c r="P62">
        <v>8.994354622371881E-12</v>
      </c>
      <c r="Q62">
        <v>1.402876882138739E-10</v>
      </c>
      <c r="R62" s="5">
        <f t="shared" si="0"/>
        <v>7.7077372946409836E-6</v>
      </c>
    </row>
    <row r="63" spans="1:18" x14ac:dyDescent="0.35">
      <c r="A63" t="s">
        <v>44</v>
      </c>
      <c r="B63">
        <v>2025</v>
      </c>
      <c r="C63" t="s">
        <v>57</v>
      </c>
      <c r="D63" t="s">
        <v>5</v>
      </c>
      <c r="E63" t="s">
        <v>7</v>
      </c>
      <c r="F63" t="s">
        <v>46</v>
      </c>
      <c r="G63">
        <v>4.8207693249932128E-6</v>
      </c>
      <c r="H63">
        <v>1.519578206508783E-6</v>
      </c>
      <c r="I63">
        <v>1.576080140144851E-8</v>
      </c>
      <c r="J63">
        <v>5.2997623535909558E-7</v>
      </c>
      <c r="K63">
        <v>5.0405469874976758E-7</v>
      </c>
      <c r="L63">
        <v>3.1652826886368869E-7</v>
      </c>
      <c r="M63">
        <v>7.5182325534768047E-10</v>
      </c>
      <c r="N63">
        <v>1.634617325227222E-11</v>
      </c>
      <c r="O63">
        <v>1.5230729355292301E-10</v>
      </c>
      <c r="P63">
        <v>8.994354622371881E-12</v>
      </c>
      <c r="Q63">
        <v>1.402876882138739E-10</v>
      </c>
      <c r="R63" s="5">
        <f t="shared" si="0"/>
        <v>7.7077372946409836E-6</v>
      </c>
    </row>
    <row r="64" spans="1:18" x14ac:dyDescent="0.35">
      <c r="A64" t="s">
        <v>44</v>
      </c>
      <c r="B64">
        <v>2030</v>
      </c>
      <c r="C64" t="s">
        <v>57</v>
      </c>
      <c r="D64" t="s">
        <v>5</v>
      </c>
      <c r="E64" t="s">
        <v>7</v>
      </c>
      <c r="F64" t="s">
        <v>46</v>
      </c>
      <c r="G64">
        <v>4.8207693249932128E-6</v>
      </c>
      <c r="H64">
        <v>1.519578206508783E-6</v>
      </c>
      <c r="I64">
        <v>1.576080140144851E-8</v>
      </c>
      <c r="J64">
        <v>5.2997623535909558E-7</v>
      </c>
      <c r="K64">
        <v>5.0405469874976758E-7</v>
      </c>
      <c r="L64">
        <v>3.1652826886368869E-7</v>
      </c>
      <c r="M64">
        <v>7.5182325534768047E-10</v>
      </c>
      <c r="N64">
        <v>1.634617325227222E-11</v>
      </c>
      <c r="O64">
        <v>1.5230729355292301E-10</v>
      </c>
      <c r="P64">
        <v>8.994354622371881E-12</v>
      </c>
      <c r="Q64">
        <v>1.402876882138739E-10</v>
      </c>
      <c r="R64" s="5">
        <f t="shared" si="0"/>
        <v>7.7077372946409836E-6</v>
      </c>
    </row>
    <row r="65" spans="1:18" x14ac:dyDescent="0.35">
      <c r="A65" t="s">
        <v>44</v>
      </c>
      <c r="B65">
        <v>2035</v>
      </c>
      <c r="C65" t="s">
        <v>57</v>
      </c>
      <c r="D65" t="s">
        <v>5</v>
      </c>
      <c r="E65" t="s">
        <v>7</v>
      </c>
      <c r="F65" t="s">
        <v>46</v>
      </c>
      <c r="G65">
        <v>4.8207693249932128E-6</v>
      </c>
      <c r="H65">
        <v>1.519578206508783E-6</v>
      </c>
      <c r="I65">
        <v>1.576080140144851E-8</v>
      </c>
      <c r="J65">
        <v>5.2997623535909558E-7</v>
      </c>
      <c r="K65">
        <v>5.0405469874976758E-7</v>
      </c>
      <c r="L65">
        <v>3.1652826886368869E-7</v>
      </c>
      <c r="M65">
        <v>7.5182325534768047E-10</v>
      </c>
      <c r="N65">
        <v>1.634617325227222E-11</v>
      </c>
      <c r="O65">
        <v>1.5230729355292301E-10</v>
      </c>
      <c r="P65">
        <v>8.994354622371881E-12</v>
      </c>
      <c r="Q65">
        <v>1.402876882138739E-10</v>
      </c>
      <c r="R65" s="5">
        <f t="shared" si="0"/>
        <v>7.7077372946409836E-6</v>
      </c>
    </row>
    <row r="66" spans="1:18" x14ac:dyDescent="0.35">
      <c r="A66" t="s">
        <v>44</v>
      </c>
      <c r="B66">
        <v>2040</v>
      </c>
      <c r="C66" t="s">
        <v>57</v>
      </c>
      <c r="D66" t="s">
        <v>5</v>
      </c>
      <c r="E66" t="s">
        <v>7</v>
      </c>
      <c r="F66" t="s">
        <v>46</v>
      </c>
      <c r="G66">
        <v>4.8207693249932128E-6</v>
      </c>
      <c r="H66">
        <v>1.519578206508783E-6</v>
      </c>
      <c r="I66">
        <v>1.576080140144851E-8</v>
      </c>
      <c r="J66">
        <v>5.2997623535909558E-7</v>
      </c>
      <c r="K66">
        <v>5.0405469874976758E-7</v>
      </c>
      <c r="L66">
        <v>3.1652826886368869E-7</v>
      </c>
      <c r="M66">
        <v>7.5182325534768047E-10</v>
      </c>
      <c r="N66">
        <v>1.634617325227222E-11</v>
      </c>
      <c r="O66">
        <v>1.5230729355292301E-10</v>
      </c>
      <c r="P66">
        <v>8.994354622371881E-12</v>
      </c>
      <c r="Q66">
        <v>1.402876882138739E-10</v>
      </c>
      <c r="R66" s="5">
        <f t="shared" si="0"/>
        <v>7.7077372946409836E-6</v>
      </c>
    </row>
    <row r="67" spans="1:18" x14ac:dyDescent="0.35">
      <c r="A67" t="s">
        <v>44</v>
      </c>
      <c r="B67">
        <v>2020</v>
      </c>
      <c r="C67" t="s">
        <v>58</v>
      </c>
      <c r="D67" t="s">
        <v>48</v>
      </c>
      <c r="E67" t="s">
        <v>7</v>
      </c>
      <c r="F67" t="s">
        <v>46</v>
      </c>
      <c r="G67">
        <v>4.9114178650986048E-6</v>
      </c>
      <c r="H67">
        <v>1.5352764676494181E-6</v>
      </c>
      <c r="I67">
        <v>1.479230121771813E-8</v>
      </c>
      <c r="J67">
        <v>8.3619434825239249E-7</v>
      </c>
      <c r="K67">
        <v>4.9726583881655739E-7</v>
      </c>
      <c r="L67">
        <v>2.9242680155459601E-7</v>
      </c>
      <c r="M67">
        <v>2.1749885661190569E-9</v>
      </c>
      <c r="N67">
        <v>1.967398091920659E-11</v>
      </c>
      <c r="O67">
        <v>9.3605838748853225E-10</v>
      </c>
      <c r="P67">
        <v>9.796529238852225E-12</v>
      </c>
      <c r="Q67">
        <v>1.448371515404638E-9</v>
      </c>
      <c r="R67" s="5">
        <f t="shared" ref="R67:R130" si="5">SUM(G67:Q67)</f>
        <v>8.091962511568458E-6</v>
      </c>
    </row>
    <row r="68" spans="1:18" x14ac:dyDescent="0.35">
      <c r="A68" t="s">
        <v>44</v>
      </c>
      <c r="B68">
        <v>2025</v>
      </c>
      <c r="C68" t="s">
        <v>58</v>
      </c>
      <c r="D68" t="s">
        <v>48</v>
      </c>
      <c r="E68" t="s">
        <v>7</v>
      </c>
      <c r="F68" t="s">
        <v>46</v>
      </c>
      <c r="G68">
        <v>4.9114178650986048E-6</v>
      </c>
      <c r="H68">
        <v>1.5352764676494181E-6</v>
      </c>
      <c r="I68">
        <v>1.479230121771813E-8</v>
      </c>
      <c r="J68">
        <v>8.3619434825239249E-7</v>
      </c>
      <c r="K68">
        <v>4.9726583881655739E-7</v>
      </c>
      <c r="L68">
        <v>2.9242680155459601E-7</v>
      </c>
      <c r="M68">
        <v>2.1749885661190569E-9</v>
      </c>
      <c r="N68">
        <v>1.967398091920659E-11</v>
      </c>
      <c r="O68">
        <v>9.3605838748853225E-10</v>
      </c>
      <c r="P68">
        <v>9.796529238852225E-12</v>
      </c>
      <c r="Q68">
        <v>1.448371515404638E-9</v>
      </c>
      <c r="R68" s="5">
        <f t="shared" si="5"/>
        <v>8.091962511568458E-6</v>
      </c>
    </row>
    <row r="69" spans="1:18" x14ac:dyDescent="0.35">
      <c r="A69" t="s">
        <v>44</v>
      </c>
      <c r="B69">
        <v>2030</v>
      </c>
      <c r="C69" t="s">
        <v>58</v>
      </c>
      <c r="D69" t="s">
        <v>48</v>
      </c>
      <c r="E69" t="s">
        <v>7</v>
      </c>
      <c r="F69" t="s">
        <v>46</v>
      </c>
      <c r="G69">
        <v>4.9114178650986048E-6</v>
      </c>
      <c r="H69">
        <v>1.5352764676494181E-6</v>
      </c>
      <c r="I69">
        <v>1.479230121771813E-8</v>
      </c>
      <c r="J69">
        <v>8.3619434825239249E-7</v>
      </c>
      <c r="K69">
        <v>4.9726583881655739E-7</v>
      </c>
      <c r="L69">
        <v>2.9242680155459601E-7</v>
      </c>
      <c r="M69">
        <v>2.1749885661190569E-9</v>
      </c>
      <c r="N69">
        <v>1.967398091920659E-11</v>
      </c>
      <c r="O69">
        <v>9.3605838748853225E-10</v>
      </c>
      <c r="P69">
        <v>9.796529238852225E-12</v>
      </c>
      <c r="Q69">
        <v>1.448371515404638E-9</v>
      </c>
      <c r="R69" s="5">
        <f t="shared" si="5"/>
        <v>8.091962511568458E-6</v>
      </c>
    </row>
    <row r="70" spans="1:18" x14ac:dyDescent="0.35">
      <c r="A70" t="s">
        <v>44</v>
      </c>
      <c r="B70">
        <v>2035</v>
      </c>
      <c r="C70" t="s">
        <v>58</v>
      </c>
      <c r="D70" t="s">
        <v>48</v>
      </c>
      <c r="E70" t="s">
        <v>7</v>
      </c>
      <c r="F70" t="s">
        <v>46</v>
      </c>
      <c r="G70">
        <v>4.9114178650986048E-6</v>
      </c>
      <c r="H70">
        <v>1.5352764676494181E-6</v>
      </c>
      <c r="I70">
        <v>1.479230121771813E-8</v>
      </c>
      <c r="J70">
        <v>8.3619434825239249E-7</v>
      </c>
      <c r="K70">
        <v>4.9726583881655739E-7</v>
      </c>
      <c r="L70">
        <v>2.9242680155459601E-7</v>
      </c>
      <c r="M70">
        <v>2.1749885661190569E-9</v>
      </c>
      <c r="N70">
        <v>1.967398091920659E-11</v>
      </c>
      <c r="O70">
        <v>9.3605838748853225E-10</v>
      </c>
      <c r="P70">
        <v>9.796529238852225E-12</v>
      </c>
      <c r="Q70">
        <v>1.448371515404638E-9</v>
      </c>
      <c r="R70" s="5">
        <f t="shared" si="5"/>
        <v>8.091962511568458E-6</v>
      </c>
    </row>
    <row r="71" spans="1:18" x14ac:dyDescent="0.35">
      <c r="A71" t="s">
        <v>44</v>
      </c>
      <c r="B71">
        <v>2040</v>
      </c>
      <c r="C71" t="s">
        <v>58</v>
      </c>
      <c r="D71" t="s">
        <v>48</v>
      </c>
      <c r="E71" t="s">
        <v>7</v>
      </c>
      <c r="F71" t="s">
        <v>46</v>
      </c>
      <c r="G71">
        <v>4.9114178650986048E-6</v>
      </c>
      <c r="H71">
        <v>1.5352764676494181E-6</v>
      </c>
      <c r="I71">
        <v>1.479230121771813E-8</v>
      </c>
      <c r="J71">
        <v>8.3619434825239249E-7</v>
      </c>
      <c r="K71">
        <v>4.9726583881655739E-7</v>
      </c>
      <c r="L71">
        <v>2.9242680155459601E-7</v>
      </c>
      <c r="M71">
        <v>2.1749885661190569E-9</v>
      </c>
      <c r="N71">
        <v>1.967398091920659E-11</v>
      </c>
      <c r="O71">
        <v>9.3605838748853225E-10</v>
      </c>
      <c r="P71">
        <v>9.796529238852225E-12</v>
      </c>
      <c r="Q71">
        <v>1.448371515404638E-9</v>
      </c>
      <c r="R71" s="5">
        <f t="shared" si="5"/>
        <v>8.091962511568458E-6</v>
      </c>
    </row>
    <row r="72" spans="1:18" s="3" customFormat="1" x14ac:dyDescent="0.35">
      <c r="A72" s="3" t="s">
        <v>44</v>
      </c>
      <c r="B72" s="3">
        <v>2020</v>
      </c>
      <c r="C72" s="3" t="s">
        <v>59</v>
      </c>
      <c r="D72" s="3" t="s">
        <v>5</v>
      </c>
      <c r="E72" s="3" t="s">
        <v>7</v>
      </c>
      <c r="F72" s="3" t="s">
        <v>50</v>
      </c>
      <c r="G72" s="3">
        <f>G82-G62</f>
        <v>1.6507365473981939E-5</v>
      </c>
      <c r="H72" s="3">
        <f t="shared" ref="H72:Q72" si="6">H82-H62</f>
        <v>5.2249658366965034E-6</v>
      </c>
      <c r="I72" s="3">
        <f t="shared" si="6"/>
        <v>8.4852858810909189E-8</v>
      </c>
      <c r="J72" s="3">
        <f t="shared" si="6"/>
        <v>1.4017936111600982E-6</v>
      </c>
      <c r="K72" s="3">
        <f t="shared" si="6"/>
        <v>2.9490434710641186E-6</v>
      </c>
      <c r="L72" s="3">
        <f t="shared" si="6"/>
        <v>1.8085878572452893E-6</v>
      </c>
      <c r="M72" s="3">
        <f t="shared" si="6"/>
        <v>1.4853381597343295E-9</v>
      </c>
      <c r="N72" s="3">
        <f t="shared" si="6"/>
        <v>5.1590706089857296E-11</v>
      </c>
      <c r="O72" s="3">
        <f t="shared" si="6"/>
        <v>6.7904041242392026E-10</v>
      </c>
      <c r="P72" s="3">
        <f t="shared" si="6"/>
        <v>3.0327138155742331E-11</v>
      </c>
      <c r="Q72" s="3">
        <f t="shared" si="6"/>
        <v>5.9282831306452284E-10</v>
      </c>
      <c r="R72" s="5">
        <f t="shared" si="5"/>
        <v>2.797944823368833E-5</v>
      </c>
    </row>
    <row r="73" spans="1:18" s="3" customFormat="1" x14ac:dyDescent="0.35">
      <c r="A73" s="3" t="s">
        <v>44</v>
      </c>
      <c r="B73" s="3">
        <v>2025</v>
      </c>
      <c r="C73" s="3" t="s">
        <v>59</v>
      </c>
      <c r="D73" s="3" t="s">
        <v>5</v>
      </c>
      <c r="E73" s="3" t="s">
        <v>7</v>
      </c>
      <c r="F73" s="3" t="s">
        <v>50</v>
      </c>
      <c r="G73" s="3">
        <f t="shared" ref="G73:Q81" si="7">G83-G63</f>
        <v>1.6507365473981939E-5</v>
      </c>
      <c r="H73" s="3">
        <f t="shared" si="7"/>
        <v>5.2249658366965034E-6</v>
      </c>
      <c r="I73" s="3">
        <f t="shared" si="7"/>
        <v>8.4852858810909189E-8</v>
      </c>
      <c r="J73" s="3">
        <f t="shared" si="7"/>
        <v>1.4017936111600982E-6</v>
      </c>
      <c r="K73" s="3">
        <f t="shared" si="7"/>
        <v>2.9490434710641186E-6</v>
      </c>
      <c r="L73" s="3">
        <f t="shared" si="7"/>
        <v>1.8085878572452893E-6</v>
      </c>
      <c r="M73" s="3">
        <f t="shared" si="7"/>
        <v>1.4853381597343295E-9</v>
      </c>
      <c r="N73" s="3">
        <f t="shared" si="7"/>
        <v>5.1590706089857296E-11</v>
      </c>
      <c r="O73" s="3">
        <f t="shared" si="7"/>
        <v>6.7904041242392026E-10</v>
      </c>
      <c r="P73" s="3">
        <f t="shared" si="7"/>
        <v>3.0327138155742331E-11</v>
      </c>
      <c r="Q73" s="3">
        <f t="shared" si="7"/>
        <v>5.9282831306452284E-10</v>
      </c>
      <c r="R73" s="5">
        <f t="shared" si="5"/>
        <v>2.797944823368833E-5</v>
      </c>
    </row>
    <row r="74" spans="1:18" s="3" customFormat="1" x14ac:dyDescent="0.35">
      <c r="A74" s="3" t="s">
        <v>44</v>
      </c>
      <c r="B74" s="3">
        <v>2030</v>
      </c>
      <c r="C74" s="3" t="s">
        <v>59</v>
      </c>
      <c r="D74" s="3" t="s">
        <v>5</v>
      </c>
      <c r="E74" s="3" t="s">
        <v>7</v>
      </c>
      <c r="F74" s="3" t="s">
        <v>50</v>
      </c>
      <c r="G74" s="3">
        <f t="shared" si="7"/>
        <v>1.6507365473981939E-5</v>
      </c>
      <c r="H74" s="3">
        <f t="shared" si="7"/>
        <v>5.2249658366965034E-6</v>
      </c>
      <c r="I74" s="3">
        <f t="shared" si="7"/>
        <v>8.4852858810909189E-8</v>
      </c>
      <c r="J74" s="3">
        <f t="shared" si="7"/>
        <v>1.4017936111600982E-6</v>
      </c>
      <c r="K74" s="3">
        <f t="shared" si="7"/>
        <v>2.9490434710641186E-6</v>
      </c>
      <c r="L74" s="3">
        <f t="shared" si="7"/>
        <v>1.8085878572452893E-6</v>
      </c>
      <c r="M74" s="3">
        <f t="shared" si="7"/>
        <v>1.4853381597343295E-9</v>
      </c>
      <c r="N74" s="3">
        <f t="shared" si="7"/>
        <v>5.1590706089857296E-11</v>
      </c>
      <c r="O74" s="3">
        <f t="shared" si="7"/>
        <v>6.7904041242392026E-10</v>
      </c>
      <c r="P74" s="3">
        <f t="shared" si="7"/>
        <v>3.0327138155742331E-11</v>
      </c>
      <c r="Q74" s="3">
        <f t="shared" si="7"/>
        <v>5.9282831306452284E-10</v>
      </c>
      <c r="R74" s="5">
        <f t="shared" si="5"/>
        <v>2.797944823368833E-5</v>
      </c>
    </row>
    <row r="75" spans="1:18" s="3" customFormat="1" x14ac:dyDescent="0.35">
      <c r="A75" s="3" t="s">
        <v>44</v>
      </c>
      <c r="B75" s="3">
        <v>2035</v>
      </c>
      <c r="C75" s="3" t="s">
        <v>59</v>
      </c>
      <c r="D75" s="3" t="s">
        <v>5</v>
      </c>
      <c r="E75" s="3" t="s">
        <v>7</v>
      </c>
      <c r="F75" s="3" t="s">
        <v>50</v>
      </c>
      <c r="G75" s="3">
        <f t="shared" si="7"/>
        <v>1.6507365473981939E-5</v>
      </c>
      <c r="H75" s="3">
        <f t="shared" si="7"/>
        <v>5.2249658366965034E-6</v>
      </c>
      <c r="I75" s="3">
        <f t="shared" si="7"/>
        <v>8.4852858810909189E-8</v>
      </c>
      <c r="J75" s="3">
        <f t="shared" si="7"/>
        <v>1.4017936111600982E-6</v>
      </c>
      <c r="K75" s="3">
        <f t="shared" si="7"/>
        <v>2.9490434710641186E-6</v>
      </c>
      <c r="L75" s="3">
        <f t="shared" si="7"/>
        <v>1.8085878572452893E-6</v>
      </c>
      <c r="M75" s="3">
        <f t="shared" si="7"/>
        <v>1.4853381597343295E-9</v>
      </c>
      <c r="N75" s="3">
        <f t="shared" si="7"/>
        <v>5.1590706089857296E-11</v>
      </c>
      <c r="O75" s="3">
        <f t="shared" si="7"/>
        <v>6.7904041242392026E-10</v>
      </c>
      <c r="P75" s="3">
        <f t="shared" si="7"/>
        <v>3.0327138155742331E-11</v>
      </c>
      <c r="Q75" s="3">
        <f t="shared" si="7"/>
        <v>5.9282831306452284E-10</v>
      </c>
      <c r="R75" s="5">
        <f t="shared" si="5"/>
        <v>2.797944823368833E-5</v>
      </c>
    </row>
    <row r="76" spans="1:18" s="3" customFormat="1" x14ac:dyDescent="0.35">
      <c r="A76" s="3" t="s">
        <v>44</v>
      </c>
      <c r="B76" s="3">
        <v>2040</v>
      </c>
      <c r="C76" s="3" t="s">
        <v>59</v>
      </c>
      <c r="D76" s="3" t="s">
        <v>5</v>
      </c>
      <c r="E76" s="3" t="s">
        <v>7</v>
      </c>
      <c r="F76" s="3" t="s">
        <v>50</v>
      </c>
      <c r="G76" s="3">
        <f t="shared" si="7"/>
        <v>1.6507365473981939E-5</v>
      </c>
      <c r="H76" s="3">
        <f t="shared" si="7"/>
        <v>5.2249658366965034E-6</v>
      </c>
      <c r="I76" s="3">
        <f t="shared" si="7"/>
        <v>8.4852858810909189E-8</v>
      </c>
      <c r="J76" s="3">
        <f t="shared" si="7"/>
        <v>1.4017936111600982E-6</v>
      </c>
      <c r="K76" s="3">
        <f t="shared" si="7"/>
        <v>2.9490434710641186E-6</v>
      </c>
      <c r="L76" s="3">
        <f t="shared" si="7"/>
        <v>1.8085878572452893E-6</v>
      </c>
      <c r="M76" s="3">
        <f t="shared" si="7"/>
        <v>1.4853381597343295E-9</v>
      </c>
      <c r="N76" s="3">
        <f t="shared" si="7"/>
        <v>5.1590706089857296E-11</v>
      </c>
      <c r="O76" s="3">
        <f t="shared" si="7"/>
        <v>6.7904041242392026E-10</v>
      </c>
      <c r="P76" s="3">
        <f t="shared" si="7"/>
        <v>3.0327138155742331E-11</v>
      </c>
      <c r="Q76" s="3">
        <f t="shared" si="7"/>
        <v>5.9282831306452284E-10</v>
      </c>
      <c r="R76" s="5">
        <f t="shared" si="5"/>
        <v>2.797944823368833E-5</v>
      </c>
    </row>
    <row r="77" spans="1:18" s="3" customFormat="1" x14ac:dyDescent="0.35">
      <c r="A77" s="3" t="s">
        <v>44</v>
      </c>
      <c r="B77" s="3">
        <v>2020</v>
      </c>
      <c r="C77" s="3" t="s">
        <v>60</v>
      </c>
      <c r="D77" s="3" t="s">
        <v>48</v>
      </c>
      <c r="E77" s="3" t="s">
        <v>7</v>
      </c>
      <c r="F77" s="3" t="s">
        <v>50</v>
      </c>
      <c r="G77" s="3">
        <f t="shared" si="7"/>
        <v>2.2212003553850976E-5</v>
      </c>
      <c r="H77" s="3">
        <f t="shared" si="7"/>
        <v>6.866448120214966E-6</v>
      </c>
      <c r="I77" s="3">
        <f t="shared" si="7"/>
        <v>2.399219945106074E-6</v>
      </c>
      <c r="J77" s="3">
        <f t="shared" si="7"/>
        <v>4.3445772883412768E-6</v>
      </c>
      <c r="K77" s="3">
        <f t="shared" si="7"/>
        <v>8.3583963533461299E-5</v>
      </c>
      <c r="L77" s="3">
        <f t="shared" si="7"/>
        <v>5.8060102993445379E-5</v>
      </c>
      <c r="M77" s="3">
        <f t="shared" si="7"/>
        <v>5.708744697404661E-9</v>
      </c>
      <c r="N77" s="3">
        <f t="shared" si="7"/>
        <v>7.1870878848550316E-11</v>
      </c>
      <c r="O77" s="3">
        <f t="shared" si="7"/>
        <v>1.7594853660685929E-9</v>
      </c>
      <c r="P77" s="3">
        <f t="shared" si="7"/>
        <v>3.0913889901714719E-11</v>
      </c>
      <c r="Q77" s="3">
        <f t="shared" si="7"/>
        <v>2.7138955464230052E-9</v>
      </c>
      <c r="R77" s="5">
        <f t="shared" si="5"/>
        <v>1.7747660034479862E-4</v>
      </c>
    </row>
    <row r="78" spans="1:18" s="3" customFormat="1" x14ac:dyDescent="0.35">
      <c r="A78" s="3" t="s">
        <v>44</v>
      </c>
      <c r="B78" s="3">
        <v>2025</v>
      </c>
      <c r="C78" s="3" t="s">
        <v>60</v>
      </c>
      <c r="D78" s="3" t="s">
        <v>48</v>
      </c>
      <c r="E78" s="3" t="s">
        <v>7</v>
      </c>
      <c r="F78" s="3" t="s">
        <v>50</v>
      </c>
      <c r="G78" s="3">
        <f t="shared" si="7"/>
        <v>2.2212003553850976E-5</v>
      </c>
      <c r="H78" s="3">
        <f t="shared" si="7"/>
        <v>6.866448120214966E-6</v>
      </c>
      <c r="I78" s="3">
        <f t="shared" si="7"/>
        <v>2.399219945106074E-6</v>
      </c>
      <c r="J78" s="3">
        <f t="shared" si="7"/>
        <v>4.3445772883412768E-6</v>
      </c>
      <c r="K78" s="3">
        <f t="shared" si="7"/>
        <v>8.3583963533461299E-5</v>
      </c>
      <c r="L78" s="3">
        <f t="shared" si="7"/>
        <v>5.8060102993445379E-5</v>
      </c>
      <c r="M78" s="3">
        <f t="shared" si="7"/>
        <v>5.708744697404661E-9</v>
      </c>
      <c r="N78" s="3">
        <f t="shared" si="7"/>
        <v>7.1870878848550316E-11</v>
      </c>
      <c r="O78" s="3">
        <f t="shared" si="7"/>
        <v>1.7594853660685929E-9</v>
      </c>
      <c r="P78" s="3">
        <f t="shared" si="7"/>
        <v>3.0913889901714719E-11</v>
      </c>
      <c r="Q78" s="3">
        <f t="shared" si="7"/>
        <v>2.7138955464230052E-9</v>
      </c>
      <c r="R78" s="5">
        <f t="shared" si="5"/>
        <v>1.7747660034479862E-4</v>
      </c>
    </row>
    <row r="79" spans="1:18" s="3" customFormat="1" x14ac:dyDescent="0.35">
      <c r="A79" s="3" t="s">
        <v>44</v>
      </c>
      <c r="B79" s="3">
        <v>2030</v>
      </c>
      <c r="C79" s="3" t="s">
        <v>60</v>
      </c>
      <c r="D79" s="3" t="s">
        <v>48</v>
      </c>
      <c r="E79" s="3" t="s">
        <v>7</v>
      </c>
      <c r="F79" s="3" t="s">
        <v>50</v>
      </c>
      <c r="G79" s="3">
        <f t="shared" si="7"/>
        <v>2.2212003553850976E-5</v>
      </c>
      <c r="H79" s="3">
        <f t="shared" si="7"/>
        <v>6.866448120214966E-6</v>
      </c>
      <c r="I79" s="3">
        <f t="shared" si="7"/>
        <v>2.399219945106074E-6</v>
      </c>
      <c r="J79" s="3">
        <f t="shared" si="7"/>
        <v>4.3445772883412768E-6</v>
      </c>
      <c r="K79" s="3">
        <f t="shared" si="7"/>
        <v>8.3583963533461299E-5</v>
      </c>
      <c r="L79" s="3">
        <f t="shared" si="7"/>
        <v>5.8060102993445379E-5</v>
      </c>
      <c r="M79" s="3">
        <f t="shared" si="7"/>
        <v>5.708744697404661E-9</v>
      </c>
      <c r="N79" s="3">
        <f t="shared" si="7"/>
        <v>7.1870878848550316E-11</v>
      </c>
      <c r="O79" s="3">
        <f t="shared" si="7"/>
        <v>1.7594853660685929E-9</v>
      </c>
      <c r="P79" s="3">
        <f t="shared" si="7"/>
        <v>3.0913889901714719E-11</v>
      </c>
      <c r="Q79" s="3">
        <f t="shared" si="7"/>
        <v>2.7138955464230052E-9</v>
      </c>
      <c r="R79" s="5">
        <f t="shared" si="5"/>
        <v>1.7747660034479862E-4</v>
      </c>
    </row>
    <row r="80" spans="1:18" s="3" customFormat="1" x14ac:dyDescent="0.35">
      <c r="A80" s="3" t="s">
        <v>44</v>
      </c>
      <c r="B80" s="3">
        <v>2035</v>
      </c>
      <c r="C80" s="3" t="s">
        <v>60</v>
      </c>
      <c r="D80" s="3" t="s">
        <v>48</v>
      </c>
      <c r="E80" s="3" t="s">
        <v>7</v>
      </c>
      <c r="F80" s="3" t="s">
        <v>50</v>
      </c>
      <c r="G80" s="3">
        <f t="shared" si="7"/>
        <v>2.2212003553850976E-5</v>
      </c>
      <c r="H80" s="3">
        <f t="shared" si="7"/>
        <v>6.866448120214966E-6</v>
      </c>
      <c r="I80" s="3">
        <f t="shared" si="7"/>
        <v>2.399219945106074E-6</v>
      </c>
      <c r="J80" s="3">
        <f t="shared" si="7"/>
        <v>4.3445772883412768E-6</v>
      </c>
      <c r="K80" s="3">
        <f t="shared" si="7"/>
        <v>8.3583963533461299E-5</v>
      </c>
      <c r="L80" s="3">
        <f t="shared" si="7"/>
        <v>5.8060102993445379E-5</v>
      </c>
      <c r="M80" s="3">
        <f t="shared" si="7"/>
        <v>5.708744697404661E-9</v>
      </c>
      <c r="N80" s="3">
        <f t="shared" si="7"/>
        <v>7.1870878848550316E-11</v>
      </c>
      <c r="O80" s="3">
        <f t="shared" si="7"/>
        <v>1.7594853660685929E-9</v>
      </c>
      <c r="P80" s="3">
        <f t="shared" si="7"/>
        <v>3.0913889901714719E-11</v>
      </c>
      <c r="Q80" s="3">
        <f t="shared" si="7"/>
        <v>2.7138955464230052E-9</v>
      </c>
      <c r="R80" s="5">
        <f t="shared" si="5"/>
        <v>1.7747660034479862E-4</v>
      </c>
    </row>
    <row r="81" spans="1:18" s="3" customFormat="1" x14ac:dyDescent="0.35">
      <c r="A81" s="3" t="s">
        <v>44</v>
      </c>
      <c r="B81" s="3">
        <v>2040</v>
      </c>
      <c r="C81" s="3" t="s">
        <v>60</v>
      </c>
      <c r="D81" s="3" t="s">
        <v>48</v>
      </c>
      <c r="E81" s="3" t="s">
        <v>7</v>
      </c>
      <c r="F81" s="3" t="s">
        <v>50</v>
      </c>
      <c r="G81" s="3">
        <f t="shared" si="7"/>
        <v>2.2212003553850976E-5</v>
      </c>
      <c r="H81" s="3">
        <f t="shared" si="7"/>
        <v>6.866448120214966E-6</v>
      </c>
      <c r="I81" s="3">
        <f t="shared" si="7"/>
        <v>2.399219945106074E-6</v>
      </c>
      <c r="J81" s="3">
        <f t="shared" si="7"/>
        <v>4.3445772883412768E-6</v>
      </c>
      <c r="K81" s="3">
        <f t="shared" si="7"/>
        <v>8.3583963533461299E-5</v>
      </c>
      <c r="L81" s="3">
        <f t="shared" si="7"/>
        <v>5.8060102993445379E-5</v>
      </c>
      <c r="M81" s="3">
        <f t="shared" si="7"/>
        <v>5.708744697404661E-9</v>
      </c>
      <c r="N81" s="3">
        <f t="shared" si="7"/>
        <v>7.1870878848550316E-11</v>
      </c>
      <c r="O81" s="3">
        <f t="shared" si="7"/>
        <v>1.7594853660685929E-9</v>
      </c>
      <c r="P81" s="3">
        <f t="shared" si="7"/>
        <v>3.0913889901714719E-11</v>
      </c>
      <c r="Q81" s="3">
        <f t="shared" si="7"/>
        <v>2.7138955464230052E-9</v>
      </c>
      <c r="R81" s="5">
        <f t="shared" si="5"/>
        <v>1.7747660034479862E-4</v>
      </c>
    </row>
    <row r="82" spans="1:18" x14ac:dyDescent="0.35">
      <c r="A82" t="s">
        <v>44</v>
      </c>
      <c r="B82">
        <v>2020</v>
      </c>
      <c r="C82" t="s">
        <v>59</v>
      </c>
      <c r="D82" t="s">
        <v>5</v>
      </c>
      <c r="E82" t="s">
        <v>7</v>
      </c>
      <c r="F82" t="s">
        <v>52</v>
      </c>
      <c r="G82">
        <v>2.132813479897515E-5</v>
      </c>
      <c r="H82">
        <v>6.7445440432052862E-6</v>
      </c>
      <c r="I82">
        <v>1.006136602123577E-7</v>
      </c>
      <c r="J82">
        <v>1.9317698465191939E-6</v>
      </c>
      <c r="K82">
        <v>3.4530981698138861E-6</v>
      </c>
      <c r="L82">
        <v>2.125116126108978E-6</v>
      </c>
      <c r="M82">
        <v>2.2371614150820099E-9</v>
      </c>
      <c r="N82">
        <v>6.7936879342129515E-11</v>
      </c>
      <c r="O82">
        <v>8.3134770597684327E-10</v>
      </c>
      <c r="P82">
        <v>3.9321492778114212E-11</v>
      </c>
      <c r="Q82">
        <v>7.3311600127839679E-10</v>
      </c>
      <c r="R82" s="5">
        <f t="shared" si="5"/>
        <v>3.5687185528329305E-5</v>
      </c>
    </row>
    <row r="83" spans="1:18" x14ac:dyDescent="0.35">
      <c r="A83" t="s">
        <v>44</v>
      </c>
      <c r="B83">
        <v>2025</v>
      </c>
      <c r="C83" t="s">
        <v>59</v>
      </c>
      <c r="D83" t="s">
        <v>5</v>
      </c>
      <c r="E83" t="s">
        <v>7</v>
      </c>
      <c r="F83" t="s">
        <v>52</v>
      </c>
      <c r="G83">
        <v>2.132813479897515E-5</v>
      </c>
      <c r="H83">
        <v>6.7445440432052862E-6</v>
      </c>
      <c r="I83">
        <v>1.006136602123577E-7</v>
      </c>
      <c r="J83">
        <v>1.9317698465191939E-6</v>
      </c>
      <c r="K83">
        <v>3.4530981698138861E-6</v>
      </c>
      <c r="L83">
        <v>2.125116126108978E-6</v>
      </c>
      <c r="M83">
        <v>2.2371614150820099E-9</v>
      </c>
      <c r="N83">
        <v>6.7936879342129515E-11</v>
      </c>
      <c r="O83">
        <v>8.3134770597684327E-10</v>
      </c>
      <c r="P83">
        <v>3.9321492778114212E-11</v>
      </c>
      <c r="Q83">
        <v>7.3311600127839679E-10</v>
      </c>
      <c r="R83" s="5">
        <f t="shared" si="5"/>
        <v>3.5687185528329305E-5</v>
      </c>
    </row>
    <row r="84" spans="1:18" x14ac:dyDescent="0.35">
      <c r="A84" t="s">
        <v>44</v>
      </c>
      <c r="B84">
        <v>2030</v>
      </c>
      <c r="C84" t="s">
        <v>59</v>
      </c>
      <c r="D84" t="s">
        <v>5</v>
      </c>
      <c r="E84" t="s">
        <v>7</v>
      </c>
      <c r="F84" t="s">
        <v>52</v>
      </c>
      <c r="G84">
        <v>2.132813479897515E-5</v>
      </c>
      <c r="H84">
        <v>6.7445440432052862E-6</v>
      </c>
      <c r="I84">
        <v>1.006136602123577E-7</v>
      </c>
      <c r="J84">
        <v>1.9317698465191939E-6</v>
      </c>
      <c r="K84">
        <v>3.4530981698138861E-6</v>
      </c>
      <c r="L84">
        <v>2.125116126108978E-6</v>
      </c>
      <c r="M84">
        <v>2.2371614150820099E-9</v>
      </c>
      <c r="N84">
        <v>6.7936879342129515E-11</v>
      </c>
      <c r="O84">
        <v>8.3134770597684327E-10</v>
      </c>
      <c r="P84">
        <v>3.9321492778114212E-11</v>
      </c>
      <c r="Q84">
        <v>7.3311600127839679E-10</v>
      </c>
      <c r="R84" s="5">
        <f t="shared" si="5"/>
        <v>3.5687185528329305E-5</v>
      </c>
    </row>
    <row r="85" spans="1:18" x14ac:dyDescent="0.35">
      <c r="A85" t="s">
        <v>44</v>
      </c>
      <c r="B85">
        <v>2035</v>
      </c>
      <c r="C85" t="s">
        <v>59</v>
      </c>
      <c r="D85" t="s">
        <v>5</v>
      </c>
      <c r="E85" t="s">
        <v>7</v>
      </c>
      <c r="F85" t="s">
        <v>52</v>
      </c>
      <c r="G85">
        <v>2.132813479897515E-5</v>
      </c>
      <c r="H85">
        <v>6.7445440432052862E-6</v>
      </c>
      <c r="I85">
        <v>1.006136602123577E-7</v>
      </c>
      <c r="J85">
        <v>1.9317698465191939E-6</v>
      </c>
      <c r="K85">
        <v>3.4530981698138861E-6</v>
      </c>
      <c r="L85">
        <v>2.125116126108978E-6</v>
      </c>
      <c r="M85">
        <v>2.2371614150820099E-9</v>
      </c>
      <c r="N85">
        <v>6.7936879342129515E-11</v>
      </c>
      <c r="O85">
        <v>8.3134770597684327E-10</v>
      </c>
      <c r="P85">
        <v>3.9321492778114212E-11</v>
      </c>
      <c r="Q85">
        <v>7.3311600127839679E-10</v>
      </c>
      <c r="R85" s="5">
        <f t="shared" si="5"/>
        <v>3.5687185528329305E-5</v>
      </c>
    </row>
    <row r="86" spans="1:18" x14ac:dyDescent="0.35">
      <c r="A86" t="s">
        <v>44</v>
      </c>
      <c r="B86">
        <v>2040</v>
      </c>
      <c r="C86" t="s">
        <v>59</v>
      </c>
      <c r="D86" t="s">
        <v>5</v>
      </c>
      <c r="E86" t="s">
        <v>7</v>
      </c>
      <c r="F86" t="s">
        <v>52</v>
      </c>
      <c r="G86">
        <v>2.132813479897515E-5</v>
      </c>
      <c r="H86">
        <v>6.7445440432052862E-6</v>
      </c>
      <c r="I86">
        <v>1.006136602123577E-7</v>
      </c>
      <c r="J86">
        <v>1.9317698465191939E-6</v>
      </c>
      <c r="K86">
        <v>3.4530981698138861E-6</v>
      </c>
      <c r="L86">
        <v>2.125116126108978E-6</v>
      </c>
      <c r="M86">
        <v>2.2371614150820099E-9</v>
      </c>
      <c r="N86">
        <v>6.7936879342129515E-11</v>
      </c>
      <c r="O86">
        <v>8.3134770597684327E-10</v>
      </c>
      <c r="P86">
        <v>3.9321492778114212E-11</v>
      </c>
      <c r="Q86">
        <v>7.3311600127839679E-10</v>
      </c>
      <c r="R86" s="5">
        <f t="shared" si="5"/>
        <v>3.5687185528329305E-5</v>
      </c>
    </row>
    <row r="87" spans="1:18" x14ac:dyDescent="0.35">
      <c r="A87" t="s">
        <v>44</v>
      </c>
      <c r="B87">
        <v>2020</v>
      </c>
      <c r="C87" t="s">
        <v>60</v>
      </c>
      <c r="D87" t="s">
        <v>48</v>
      </c>
      <c r="E87" t="s">
        <v>7</v>
      </c>
      <c r="F87" t="s">
        <v>52</v>
      </c>
      <c r="G87">
        <v>2.712342141894958E-5</v>
      </c>
      <c r="H87">
        <v>8.4017245878643843E-6</v>
      </c>
      <c r="I87">
        <v>2.4140122463237922E-6</v>
      </c>
      <c r="J87">
        <v>5.1807716365936698E-6</v>
      </c>
      <c r="K87">
        <v>8.4081229372277855E-5</v>
      </c>
      <c r="L87">
        <v>5.8352529794999978E-5</v>
      </c>
      <c r="M87">
        <v>7.8837332635237179E-9</v>
      </c>
      <c r="N87">
        <v>9.1544859767756909E-11</v>
      </c>
      <c r="O87">
        <v>2.6955437535571251E-9</v>
      </c>
      <c r="P87">
        <v>4.0710419140566947E-11</v>
      </c>
      <c r="Q87">
        <v>4.1622670618276432E-9</v>
      </c>
      <c r="R87" s="5">
        <f t="shared" si="5"/>
        <v>1.8556856285636709E-4</v>
      </c>
    </row>
    <row r="88" spans="1:18" x14ac:dyDescent="0.35">
      <c r="A88" t="s">
        <v>44</v>
      </c>
      <c r="B88">
        <v>2025</v>
      </c>
      <c r="C88" t="s">
        <v>60</v>
      </c>
      <c r="D88" t="s">
        <v>48</v>
      </c>
      <c r="E88" t="s">
        <v>7</v>
      </c>
      <c r="F88" t="s">
        <v>52</v>
      </c>
      <c r="G88">
        <v>2.712342141894958E-5</v>
      </c>
      <c r="H88">
        <v>8.4017245878643843E-6</v>
      </c>
      <c r="I88">
        <v>2.4140122463237922E-6</v>
      </c>
      <c r="J88">
        <v>5.1807716365936698E-6</v>
      </c>
      <c r="K88">
        <v>8.4081229372277855E-5</v>
      </c>
      <c r="L88">
        <v>5.8352529794999978E-5</v>
      </c>
      <c r="M88">
        <v>7.8837332635237179E-9</v>
      </c>
      <c r="N88">
        <v>9.1544859767756909E-11</v>
      </c>
      <c r="O88">
        <v>2.6955437535571251E-9</v>
      </c>
      <c r="P88">
        <v>4.0710419140566947E-11</v>
      </c>
      <c r="Q88">
        <v>4.1622670618276432E-9</v>
      </c>
      <c r="R88" s="5">
        <f t="shared" si="5"/>
        <v>1.8556856285636709E-4</v>
      </c>
    </row>
    <row r="89" spans="1:18" x14ac:dyDescent="0.35">
      <c r="A89" t="s">
        <v>44</v>
      </c>
      <c r="B89">
        <v>2030</v>
      </c>
      <c r="C89" t="s">
        <v>60</v>
      </c>
      <c r="D89" t="s">
        <v>48</v>
      </c>
      <c r="E89" t="s">
        <v>7</v>
      </c>
      <c r="F89" t="s">
        <v>52</v>
      </c>
      <c r="G89">
        <v>2.712342141894958E-5</v>
      </c>
      <c r="H89">
        <v>8.4017245878643843E-6</v>
      </c>
      <c r="I89">
        <v>2.4140122463237922E-6</v>
      </c>
      <c r="J89">
        <v>5.1807716365936698E-6</v>
      </c>
      <c r="K89">
        <v>8.4081229372277855E-5</v>
      </c>
      <c r="L89">
        <v>5.8352529794999978E-5</v>
      </c>
      <c r="M89">
        <v>7.8837332635237179E-9</v>
      </c>
      <c r="N89">
        <v>9.1544859767756909E-11</v>
      </c>
      <c r="O89">
        <v>2.6955437535571251E-9</v>
      </c>
      <c r="P89">
        <v>4.0710419140566947E-11</v>
      </c>
      <c r="Q89">
        <v>4.1622670618276432E-9</v>
      </c>
      <c r="R89" s="5">
        <f t="shared" si="5"/>
        <v>1.8556856285636709E-4</v>
      </c>
    </row>
    <row r="90" spans="1:18" x14ac:dyDescent="0.35">
      <c r="A90" t="s">
        <v>44</v>
      </c>
      <c r="B90">
        <v>2035</v>
      </c>
      <c r="C90" t="s">
        <v>60</v>
      </c>
      <c r="D90" t="s">
        <v>48</v>
      </c>
      <c r="E90" t="s">
        <v>7</v>
      </c>
      <c r="F90" t="s">
        <v>52</v>
      </c>
      <c r="G90">
        <v>2.712342141894958E-5</v>
      </c>
      <c r="H90">
        <v>8.4017245878643843E-6</v>
      </c>
      <c r="I90">
        <v>2.4140122463237922E-6</v>
      </c>
      <c r="J90">
        <v>5.1807716365936698E-6</v>
      </c>
      <c r="K90">
        <v>8.4081229372277855E-5</v>
      </c>
      <c r="L90">
        <v>5.8352529794999978E-5</v>
      </c>
      <c r="M90">
        <v>7.8837332635237179E-9</v>
      </c>
      <c r="N90">
        <v>9.1544859767756909E-11</v>
      </c>
      <c r="O90">
        <v>2.6955437535571251E-9</v>
      </c>
      <c r="P90">
        <v>4.0710419140566947E-11</v>
      </c>
      <c r="Q90">
        <v>4.1622670618276432E-9</v>
      </c>
      <c r="R90" s="5">
        <f t="shared" si="5"/>
        <v>1.8556856285636709E-4</v>
      </c>
    </row>
    <row r="91" spans="1:18" x14ac:dyDescent="0.35">
      <c r="A91" t="s">
        <v>44</v>
      </c>
      <c r="B91">
        <v>2040</v>
      </c>
      <c r="C91" t="s">
        <v>60</v>
      </c>
      <c r="D91" t="s">
        <v>48</v>
      </c>
      <c r="E91" t="s">
        <v>7</v>
      </c>
      <c r="F91" t="s">
        <v>52</v>
      </c>
      <c r="G91">
        <v>2.712342141894958E-5</v>
      </c>
      <c r="H91">
        <v>8.4017245878643843E-6</v>
      </c>
      <c r="I91">
        <v>2.4140122463237922E-6</v>
      </c>
      <c r="J91">
        <v>5.1807716365936698E-6</v>
      </c>
      <c r="K91">
        <v>8.4081229372277855E-5</v>
      </c>
      <c r="L91">
        <v>5.8352529794999978E-5</v>
      </c>
      <c r="M91">
        <v>7.8837332635237179E-9</v>
      </c>
      <c r="N91">
        <v>9.1544859767756909E-11</v>
      </c>
      <c r="O91">
        <v>2.6955437535571251E-9</v>
      </c>
      <c r="P91">
        <v>4.0710419140566947E-11</v>
      </c>
      <c r="Q91">
        <v>4.1622670618276432E-9</v>
      </c>
      <c r="R91" s="5">
        <f t="shared" si="5"/>
        <v>1.8556856285636709E-4</v>
      </c>
    </row>
    <row r="92" spans="1:18" x14ac:dyDescent="0.35">
      <c r="A92" t="s">
        <v>44</v>
      </c>
      <c r="B92">
        <v>2020</v>
      </c>
      <c r="C92" t="s">
        <v>61</v>
      </c>
      <c r="D92" t="s">
        <v>5</v>
      </c>
      <c r="E92" t="s">
        <v>12</v>
      </c>
      <c r="F92" t="s">
        <v>52</v>
      </c>
      <c r="G92">
        <v>2.6552965893012039E-5</v>
      </c>
      <c r="H92">
        <v>8.0209487922277499E-6</v>
      </c>
      <c r="I92">
        <v>7.61887512120704E-8</v>
      </c>
      <c r="J92">
        <v>8.6514049627100155E-7</v>
      </c>
      <c r="K92">
        <v>2.79054008767548E-6</v>
      </c>
      <c r="L92">
        <v>1.553812172474392E-6</v>
      </c>
      <c r="M92">
        <v>3.02865820075898E-9</v>
      </c>
      <c r="N92">
        <v>2.7611072488099509E-10</v>
      </c>
      <c r="O92">
        <v>3.0355092310452871E-9</v>
      </c>
      <c r="P92">
        <v>4.6269009041915273E-11</v>
      </c>
      <c r="Q92">
        <v>1.797272157937871E-9</v>
      </c>
      <c r="R92" s="5">
        <f t="shared" si="5"/>
        <v>3.9867780012196404E-5</v>
      </c>
    </row>
    <row r="93" spans="1:18" x14ac:dyDescent="0.35">
      <c r="A93" t="s">
        <v>44</v>
      </c>
      <c r="B93">
        <v>2025</v>
      </c>
      <c r="C93" t="s">
        <v>61</v>
      </c>
      <c r="D93" t="s">
        <v>5</v>
      </c>
      <c r="E93" t="s">
        <v>12</v>
      </c>
      <c r="F93" t="s">
        <v>52</v>
      </c>
      <c r="G93">
        <v>2.6552965893012039E-5</v>
      </c>
      <c r="H93">
        <v>8.0209487922277499E-6</v>
      </c>
      <c r="I93">
        <v>7.61887512120704E-8</v>
      </c>
      <c r="J93">
        <v>8.6514049627100155E-7</v>
      </c>
      <c r="K93">
        <v>2.79054008767548E-6</v>
      </c>
      <c r="L93">
        <v>1.553812172474392E-6</v>
      </c>
      <c r="M93">
        <v>3.02865820075898E-9</v>
      </c>
      <c r="N93">
        <v>2.7611072488099509E-10</v>
      </c>
      <c r="O93">
        <v>3.0355092310452871E-9</v>
      </c>
      <c r="P93">
        <v>4.6269009041915273E-11</v>
      </c>
      <c r="Q93">
        <v>1.797272157937871E-9</v>
      </c>
      <c r="R93" s="5">
        <f t="shared" si="5"/>
        <v>3.9867780012196404E-5</v>
      </c>
    </row>
    <row r="94" spans="1:18" x14ac:dyDescent="0.35">
      <c r="A94" t="s">
        <v>44</v>
      </c>
      <c r="B94">
        <v>2030</v>
      </c>
      <c r="C94" t="s">
        <v>61</v>
      </c>
      <c r="D94" t="s">
        <v>5</v>
      </c>
      <c r="E94" t="s">
        <v>12</v>
      </c>
      <c r="F94" t="s">
        <v>52</v>
      </c>
      <c r="G94">
        <v>2.6552965893012039E-5</v>
      </c>
      <c r="H94">
        <v>8.0209487922277499E-6</v>
      </c>
      <c r="I94">
        <v>7.61887512120704E-8</v>
      </c>
      <c r="J94">
        <v>8.6514049627100155E-7</v>
      </c>
      <c r="K94">
        <v>2.79054008767548E-6</v>
      </c>
      <c r="L94">
        <v>1.553812172474392E-6</v>
      </c>
      <c r="M94">
        <v>3.02865820075898E-9</v>
      </c>
      <c r="N94">
        <v>2.7611072488099509E-10</v>
      </c>
      <c r="O94">
        <v>3.0355092310452871E-9</v>
      </c>
      <c r="P94">
        <v>4.6269009041915273E-11</v>
      </c>
      <c r="Q94">
        <v>1.797272157937871E-9</v>
      </c>
      <c r="R94" s="5">
        <f t="shared" si="5"/>
        <v>3.9867780012196404E-5</v>
      </c>
    </row>
    <row r="95" spans="1:18" x14ac:dyDescent="0.35">
      <c r="A95" t="s">
        <v>44</v>
      </c>
      <c r="B95">
        <v>2035</v>
      </c>
      <c r="C95" t="s">
        <v>61</v>
      </c>
      <c r="D95" t="s">
        <v>5</v>
      </c>
      <c r="E95" t="s">
        <v>12</v>
      </c>
      <c r="F95" t="s">
        <v>52</v>
      </c>
      <c r="G95">
        <v>2.6552965893012039E-5</v>
      </c>
      <c r="H95">
        <v>8.0209487922277499E-6</v>
      </c>
      <c r="I95">
        <v>7.61887512120704E-8</v>
      </c>
      <c r="J95">
        <v>8.6514049627100155E-7</v>
      </c>
      <c r="K95">
        <v>2.79054008767548E-6</v>
      </c>
      <c r="L95">
        <v>1.553812172474392E-6</v>
      </c>
      <c r="M95">
        <v>3.02865820075898E-9</v>
      </c>
      <c r="N95">
        <v>2.7611072488099509E-10</v>
      </c>
      <c r="O95">
        <v>3.0355092310452871E-9</v>
      </c>
      <c r="P95">
        <v>4.6269009041915273E-11</v>
      </c>
      <c r="Q95">
        <v>1.797272157937871E-9</v>
      </c>
      <c r="R95" s="5">
        <f t="shared" si="5"/>
        <v>3.9867780012196404E-5</v>
      </c>
    </row>
    <row r="96" spans="1:18" x14ac:dyDescent="0.35">
      <c r="A96" t="s">
        <v>44</v>
      </c>
      <c r="B96">
        <v>2040</v>
      </c>
      <c r="C96" t="s">
        <v>61</v>
      </c>
      <c r="D96" t="s">
        <v>5</v>
      </c>
      <c r="E96" t="s">
        <v>12</v>
      </c>
      <c r="F96" t="s">
        <v>52</v>
      </c>
      <c r="G96">
        <v>2.6552965893012039E-5</v>
      </c>
      <c r="H96">
        <v>8.0209487922277499E-6</v>
      </c>
      <c r="I96">
        <v>7.61887512120704E-8</v>
      </c>
      <c r="J96">
        <v>8.6514049627100155E-7</v>
      </c>
      <c r="K96">
        <v>2.79054008767548E-6</v>
      </c>
      <c r="L96">
        <v>1.553812172474392E-6</v>
      </c>
      <c r="M96">
        <v>3.02865820075898E-9</v>
      </c>
      <c r="N96">
        <v>2.7611072488099509E-10</v>
      </c>
      <c r="O96">
        <v>3.0355092310452871E-9</v>
      </c>
      <c r="P96">
        <v>4.6269009041915273E-11</v>
      </c>
      <c r="Q96">
        <v>1.797272157937871E-9</v>
      </c>
      <c r="R96" s="5">
        <f t="shared" si="5"/>
        <v>3.9867780012196404E-5</v>
      </c>
    </row>
    <row r="97" spans="1:18" x14ac:dyDescent="0.35">
      <c r="A97" t="s">
        <v>44</v>
      </c>
      <c r="B97">
        <v>2020</v>
      </c>
      <c r="C97" t="s">
        <v>62</v>
      </c>
      <c r="D97" t="s">
        <v>48</v>
      </c>
      <c r="E97" t="s">
        <v>12</v>
      </c>
      <c r="F97" t="s">
        <v>52</v>
      </c>
      <c r="G97">
        <v>8.1843818143221718E-5</v>
      </c>
      <c r="H97">
        <v>2.4794722326218841E-5</v>
      </c>
      <c r="I97">
        <v>8.8029626154669071E-8</v>
      </c>
      <c r="J97">
        <v>8.5155283130279217E-7</v>
      </c>
      <c r="K97">
        <v>2.816290043548697E-6</v>
      </c>
      <c r="L97">
        <v>1.2783908811785009E-6</v>
      </c>
      <c r="M97">
        <v>2.9144861088633432E-9</v>
      </c>
      <c r="N97">
        <v>3.120874260977269E-10</v>
      </c>
      <c r="O97">
        <v>1.0077534621360459E-9</v>
      </c>
      <c r="P97">
        <v>9.5985291945961744E-11</v>
      </c>
      <c r="Q97">
        <v>6.2759780469048197E-10</v>
      </c>
      <c r="R97" s="5">
        <f t="shared" si="5"/>
        <v>1.1167776176171892E-4</v>
      </c>
    </row>
    <row r="98" spans="1:18" x14ac:dyDescent="0.35">
      <c r="A98" t="s">
        <v>44</v>
      </c>
      <c r="B98">
        <v>2025</v>
      </c>
      <c r="C98" t="s">
        <v>62</v>
      </c>
      <c r="D98" t="s">
        <v>48</v>
      </c>
      <c r="E98" t="s">
        <v>12</v>
      </c>
      <c r="F98" t="s">
        <v>52</v>
      </c>
      <c r="G98">
        <v>8.1843818143221718E-5</v>
      </c>
      <c r="H98">
        <v>2.4794722326218841E-5</v>
      </c>
      <c r="I98">
        <v>8.8029626154669071E-8</v>
      </c>
      <c r="J98">
        <v>8.5155283130279217E-7</v>
      </c>
      <c r="K98">
        <v>2.816290043548697E-6</v>
      </c>
      <c r="L98">
        <v>1.2783908811785009E-6</v>
      </c>
      <c r="M98">
        <v>2.9144861088633432E-9</v>
      </c>
      <c r="N98">
        <v>3.120874260977269E-10</v>
      </c>
      <c r="O98">
        <v>1.0077534621360459E-9</v>
      </c>
      <c r="P98">
        <v>9.5985291945961744E-11</v>
      </c>
      <c r="Q98">
        <v>6.2759780469048197E-10</v>
      </c>
      <c r="R98" s="5">
        <f t="shared" si="5"/>
        <v>1.1167776176171892E-4</v>
      </c>
    </row>
    <row r="99" spans="1:18" x14ac:dyDescent="0.35">
      <c r="A99" t="s">
        <v>44</v>
      </c>
      <c r="B99">
        <v>2030</v>
      </c>
      <c r="C99" t="s">
        <v>62</v>
      </c>
      <c r="D99" t="s">
        <v>48</v>
      </c>
      <c r="E99" t="s">
        <v>12</v>
      </c>
      <c r="F99" t="s">
        <v>52</v>
      </c>
      <c r="G99">
        <v>8.1843818143221718E-5</v>
      </c>
      <c r="H99">
        <v>2.4794722326218841E-5</v>
      </c>
      <c r="I99">
        <v>8.8029626154669071E-8</v>
      </c>
      <c r="J99">
        <v>8.5155283130279217E-7</v>
      </c>
      <c r="K99">
        <v>2.816290043548697E-6</v>
      </c>
      <c r="L99">
        <v>1.2783908811785009E-6</v>
      </c>
      <c r="M99">
        <v>2.9144861088633432E-9</v>
      </c>
      <c r="N99">
        <v>3.120874260977269E-10</v>
      </c>
      <c r="O99">
        <v>1.0077534621360459E-9</v>
      </c>
      <c r="P99">
        <v>9.5985291945961744E-11</v>
      </c>
      <c r="Q99">
        <v>6.2759780469048197E-10</v>
      </c>
      <c r="R99" s="5">
        <f t="shared" si="5"/>
        <v>1.1167776176171892E-4</v>
      </c>
    </row>
    <row r="100" spans="1:18" x14ac:dyDescent="0.35">
      <c r="A100" t="s">
        <v>44</v>
      </c>
      <c r="B100">
        <v>2035</v>
      </c>
      <c r="C100" t="s">
        <v>62</v>
      </c>
      <c r="D100" t="s">
        <v>48</v>
      </c>
      <c r="E100" t="s">
        <v>12</v>
      </c>
      <c r="F100" t="s">
        <v>52</v>
      </c>
      <c r="G100">
        <v>8.1843818143221718E-5</v>
      </c>
      <c r="H100">
        <v>2.4794722326218841E-5</v>
      </c>
      <c r="I100">
        <v>8.8029626154669071E-8</v>
      </c>
      <c r="J100">
        <v>8.5155283130279217E-7</v>
      </c>
      <c r="K100">
        <v>2.816290043548697E-6</v>
      </c>
      <c r="L100">
        <v>1.2783908811785009E-6</v>
      </c>
      <c r="M100">
        <v>2.9144861088633432E-9</v>
      </c>
      <c r="N100">
        <v>3.120874260977269E-10</v>
      </c>
      <c r="O100">
        <v>1.0077534621360459E-9</v>
      </c>
      <c r="P100">
        <v>9.5985291945961744E-11</v>
      </c>
      <c r="Q100">
        <v>6.2759780469048197E-10</v>
      </c>
      <c r="R100" s="5">
        <f t="shared" si="5"/>
        <v>1.1167776176171892E-4</v>
      </c>
    </row>
    <row r="101" spans="1:18" x14ac:dyDescent="0.35">
      <c r="A101" t="s">
        <v>44</v>
      </c>
      <c r="B101">
        <v>2040</v>
      </c>
      <c r="C101" t="s">
        <v>62</v>
      </c>
      <c r="D101" t="s">
        <v>48</v>
      </c>
      <c r="E101" t="s">
        <v>12</v>
      </c>
      <c r="F101" t="s">
        <v>52</v>
      </c>
      <c r="G101">
        <v>8.1843818143221718E-5</v>
      </c>
      <c r="H101">
        <v>2.4794722326218841E-5</v>
      </c>
      <c r="I101">
        <v>8.8029626154669071E-8</v>
      </c>
      <c r="J101">
        <v>8.5155283130279217E-7</v>
      </c>
      <c r="K101">
        <v>2.816290043548697E-6</v>
      </c>
      <c r="L101">
        <v>1.2783908811785009E-6</v>
      </c>
      <c r="M101">
        <v>2.9144861088633432E-9</v>
      </c>
      <c r="N101">
        <v>3.120874260977269E-10</v>
      </c>
      <c r="O101">
        <v>1.0077534621360459E-9</v>
      </c>
      <c r="P101">
        <v>9.5985291945961744E-11</v>
      </c>
      <c r="Q101">
        <v>6.2759780469048197E-10</v>
      </c>
      <c r="R101" s="5">
        <f t="shared" si="5"/>
        <v>1.1167776176171892E-4</v>
      </c>
    </row>
    <row r="102" spans="1:18" x14ac:dyDescent="0.35">
      <c r="A102" t="s">
        <v>44</v>
      </c>
      <c r="B102">
        <v>2020</v>
      </c>
      <c r="C102" t="s">
        <v>63</v>
      </c>
      <c r="D102" t="s">
        <v>48</v>
      </c>
      <c r="E102" t="s">
        <v>11</v>
      </c>
      <c r="F102" t="s">
        <v>52</v>
      </c>
      <c r="G102">
        <v>2.4859089953859929E-4</v>
      </c>
      <c r="H102">
        <v>7.7168610569532247E-5</v>
      </c>
      <c r="I102">
        <v>6.4803383041661939E-7</v>
      </c>
      <c r="J102">
        <v>1.9419276808532532E-5</v>
      </c>
      <c r="K102">
        <v>3.1152717243599443E-5</v>
      </c>
      <c r="L102">
        <v>2.1367347782572019E-5</v>
      </c>
      <c r="M102">
        <v>1.2456755645344921E-6</v>
      </c>
      <c r="N102">
        <v>2.331767855041549E-9</v>
      </c>
      <c r="O102">
        <v>1.873616596040129E-5</v>
      </c>
      <c r="P102">
        <v>2.8622147794775611E-8</v>
      </c>
      <c r="Q102">
        <v>1.226378504317178E-5</v>
      </c>
      <c r="R102" s="5">
        <f t="shared" si="5"/>
        <v>4.3062346625700944E-4</v>
      </c>
    </row>
    <row r="103" spans="1:18" x14ac:dyDescent="0.35">
      <c r="A103" t="s">
        <v>44</v>
      </c>
      <c r="B103">
        <v>2025</v>
      </c>
      <c r="C103" t="s">
        <v>63</v>
      </c>
      <c r="D103" t="s">
        <v>48</v>
      </c>
      <c r="E103" t="s">
        <v>11</v>
      </c>
      <c r="F103" t="s">
        <v>52</v>
      </c>
      <c r="G103">
        <v>2.4859089953859929E-4</v>
      </c>
      <c r="H103">
        <v>7.7168610569532247E-5</v>
      </c>
      <c r="I103">
        <v>6.4803383041661939E-7</v>
      </c>
      <c r="J103">
        <v>1.9419276808532532E-5</v>
      </c>
      <c r="K103">
        <v>3.1152717243599443E-5</v>
      </c>
      <c r="L103">
        <v>2.1367347782572019E-5</v>
      </c>
      <c r="M103">
        <v>1.2456755645344921E-6</v>
      </c>
      <c r="N103">
        <v>2.331767855041549E-9</v>
      </c>
      <c r="O103">
        <v>1.873616596040129E-5</v>
      </c>
      <c r="P103">
        <v>2.8622147794775611E-8</v>
      </c>
      <c r="Q103">
        <v>1.226378504317178E-5</v>
      </c>
      <c r="R103" s="5">
        <f t="shared" si="5"/>
        <v>4.3062346625700944E-4</v>
      </c>
    </row>
    <row r="104" spans="1:18" x14ac:dyDescent="0.35">
      <c r="A104" t="s">
        <v>44</v>
      </c>
      <c r="B104">
        <v>2030</v>
      </c>
      <c r="C104" t="s">
        <v>63</v>
      </c>
      <c r="D104" t="s">
        <v>48</v>
      </c>
      <c r="E104" t="s">
        <v>11</v>
      </c>
      <c r="F104" t="s">
        <v>52</v>
      </c>
      <c r="G104">
        <v>2.4859089953859929E-4</v>
      </c>
      <c r="H104">
        <v>7.7168610569532247E-5</v>
      </c>
      <c r="I104">
        <v>6.4803383041661939E-7</v>
      </c>
      <c r="J104">
        <v>1.9419276808532532E-5</v>
      </c>
      <c r="K104">
        <v>3.1152717243599443E-5</v>
      </c>
      <c r="L104">
        <v>2.1367347782572019E-5</v>
      </c>
      <c r="M104">
        <v>1.2456755645344921E-6</v>
      </c>
      <c r="N104">
        <v>2.331767855041549E-9</v>
      </c>
      <c r="O104">
        <v>1.873616596040129E-5</v>
      </c>
      <c r="P104">
        <v>2.8622147794775611E-8</v>
      </c>
      <c r="Q104">
        <v>1.226378504317178E-5</v>
      </c>
      <c r="R104" s="5">
        <f t="shared" si="5"/>
        <v>4.3062346625700944E-4</v>
      </c>
    </row>
    <row r="105" spans="1:18" x14ac:dyDescent="0.35">
      <c r="A105" t="s">
        <v>44</v>
      </c>
      <c r="B105">
        <v>2035</v>
      </c>
      <c r="C105" t="s">
        <v>63</v>
      </c>
      <c r="D105" t="s">
        <v>48</v>
      </c>
      <c r="E105" t="s">
        <v>11</v>
      </c>
      <c r="F105" t="s">
        <v>52</v>
      </c>
      <c r="G105">
        <v>2.4859089953859929E-4</v>
      </c>
      <c r="H105">
        <v>7.7168610569532247E-5</v>
      </c>
      <c r="I105">
        <v>6.4803383041661939E-7</v>
      </c>
      <c r="J105">
        <v>1.9419276808532532E-5</v>
      </c>
      <c r="K105">
        <v>3.1152717243599443E-5</v>
      </c>
      <c r="L105">
        <v>2.1367347782572019E-5</v>
      </c>
      <c r="M105">
        <v>1.2456755645344921E-6</v>
      </c>
      <c r="N105">
        <v>2.331767855041549E-9</v>
      </c>
      <c r="O105">
        <v>1.873616596040129E-5</v>
      </c>
      <c r="P105">
        <v>2.8622147794775611E-8</v>
      </c>
      <c r="Q105">
        <v>1.226378504317178E-5</v>
      </c>
      <c r="R105" s="5">
        <f t="shared" si="5"/>
        <v>4.3062346625700944E-4</v>
      </c>
    </row>
    <row r="106" spans="1:18" x14ac:dyDescent="0.35">
      <c r="A106" t="s">
        <v>44</v>
      </c>
      <c r="B106">
        <v>2040</v>
      </c>
      <c r="C106" t="s">
        <v>63</v>
      </c>
      <c r="D106" t="s">
        <v>48</v>
      </c>
      <c r="E106" t="s">
        <v>11</v>
      </c>
      <c r="F106" t="s">
        <v>52</v>
      </c>
      <c r="G106">
        <v>2.4859089953859929E-4</v>
      </c>
      <c r="H106">
        <v>7.7168610569532247E-5</v>
      </c>
      <c r="I106">
        <v>6.4803383041661939E-7</v>
      </c>
      <c r="J106">
        <v>1.9419276808532532E-5</v>
      </c>
      <c r="K106">
        <v>3.1152717243599443E-5</v>
      </c>
      <c r="L106">
        <v>2.1367347782572019E-5</v>
      </c>
      <c r="M106">
        <v>1.2456755645344921E-6</v>
      </c>
      <c r="N106">
        <v>2.331767855041549E-9</v>
      </c>
      <c r="O106">
        <v>1.873616596040129E-5</v>
      </c>
      <c r="P106">
        <v>2.8622147794775611E-8</v>
      </c>
      <c r="Q106">
        <v>1.226378504317178E-5</v>
      </c>
      <c r="R106" s="5">
        <f t="shared" si="5"/>
        <v>4.3062346625700944E-4</v>
      </c>
    </row>
    <row r="107" spans="1:18" x14ac:dyDescent="0.35">
      <c r="A107" t="s">
        <v>44</v>
      </c>
      <c r="B107">
        <v>2020</v>
      </c>
      <c r="C107" t="s">
        <v>64</v>
      </c>
      <c r="D107" t="s">
        <v>5</v>
      </c>
      <c r="E107" t="s">
        <v>8</v>
      </c>
      <c r="F107" t="s">
        <v>46</v>
      </c>
      <c r="G107">
        <v>2.5265411559155632E-6</v>
      </c>
      <c r="H107">
        <v>7.7967908930444776E-7</v>
      </c>
      <c r="I107">
        <v>2.1052152697744631E-9</v>
      </c>
      <c r="J107">
        <v>3.7577809895441591E-8</v>
      </c>
      <c r="K107">
        <v>6.3751626811547806E-8</v>
      </c>
      <c r="L107">
        <v>3.0751443072694122E-8</v>
      </c>
      <c r="M107">
        <v>6.6139181181497375E-11</v>
      </c>
      <c r="N107">
        <v>7.4673835017401146E-12</v>
      </c>
      <c r="O107">
        <v>6.7827749934325937E-11</v>
      </c>
      <c r="P107">
        <v>3.9022978319968607E-12</v>
      </c>
      <c r="Q107">
        <v>2.3537360539067361E-11</v>
      </c>
      <c r="R107" s="5">
        <f t="shared" si="5"/>
        <v>3.4405752142424575E-6</v>
      </c>
    </row>
    <row r="108" spans="1:18" x14ac:dyDescent="0.35">
      <c r="A108" t="s">
        <v>44</v>
      </c>
      <c r="B108">
        <v>2025</v>
      </c>
      <c r="C108" t="s">
        <v>64</v>
      </c>
      <c r="D108" t="s">
        <v>5</v>
      </c>
      <c r="E108" t="s">
        <v>8</v>
      </c>
      <c r="F108" t="s">
        <v>46</v>
      </c>
      <c r="G108">
        <v>2.5265411559155632E-6</v>
      </c>
      <c r="H108">
        <v>7.7967908930444776E-7</v>
      </c>
      <c r="I108">
        <v>2.1052152697744631E-9</v>
      </c>
      <c r="J108">
        <v>3.7577809895441591E-8</v>
      </c>
      <c r="K108">
        <v>6.3751626811547806E-8</v>
      </c>
      <c r="L108">
        <v>3.0751443072694122E-8</v>
      </c>
      <c r="M108">
        <v>6.6139181181497375E-11</v>
      </c>
      <c r="N108">
        <v>7.4673835017401146E-12</v>
      </c>
      <c r="O108">
        <v>6.7827749934325937E-11</v>
      </c>
      <c r="P108">
        <v>3.9022978319968607E-12</v>
      </c>
      <c r="Q108">
        <v>2.3537360539067361E-11</v>
      </c>
      <c r="R108" s="5">
        <f t="shared" si="5"/>
        <v>3.4405752142424575E-6</v>
      </c>
    </row>
    <row r="109" spans="1:18" x14ac:dyDescent="0.35">
      <c r="A109" t="s">
        <v>44</v>
      </c>
      <c r="B109">
        <v>2030</v>
      </c>
      <c r="C109" t="s">
        <v>64</v>
      </c>
      <c r="D109" t="s">
        <v>5</v>
      </c>
      <c r="E109" t="s">
        <v>8</v>
      </c>
      <c r="F109" t="s">
        <v>46</v>
      </c>
      <c r="G109">
        <v>2.5265411559155632E-6</v>
      </c>
      <c r="H109">
        <v>7.7967908930444776E-7</v>
      </c>
      <c r="I109">
        <v>2.1052152697744631E-9</v>
      </c>
      <c r="J109">
        <v>3.7577809895441591E-8</v>
      </c>
      <c r="K109">
        <v>6.3751626811547806E-8</v>
      </c>
      <c r="L109">
        <v>3.0751443072694122E-8</v>
      </c>
      <c r="M109">
        <v>6.6139181181497375E-11</v>
      </c>
      <c r="N109">
        <v>7.4673835017401146E-12</v>
      </c>
      <c r="O109">
        <v>6.7827749934325937E-11</v>
      </c>
      <c r="P109">
        <v>3.9022978319968607E-12</v>
      </c>
      <c r="Q109">
        <v>2.3537360539067361E-11</v>
      </c>
      <c r="R109" s="5">
        <f t="shared" si="5"/>
        <v>3.4405752142424575E-6</v>
      </c>
    </row>
    <row r="110" spans="1:18" x14ac:dyDescent="0.35">
      <c r="A110" t="s">
        <v>44</v>
      </c>
      <c r="B110">
        <v>2035</v>
      </c>
      <c r="C110" t="s">
        <v>64</v>
      </c>
      <c r="D110" t="s">
        <v>5</v>
      </c>
      <c r="E110" t="s">
        <v>8</v>
      </c>
      <c r="F110" t="s">
        <v>46</v>
      </c>
      <c r="G110">
        <v>2.5265411559155632E-6</v>
      </c>
      <c r="H110">
        <v>7.7967908930444776E-7</v>
      </c>
      <c r="I110">
        <v>2.1052152697744631E-9</v>
      </c>
      <c r="J110">
        <v>3.7577809895441591E-8</v>
      </c>
      <c r="K110">
        <v>6.3751626811547806E-8</v>
      </c>
      <c r="L110">
        <v>3.0751443072694122E-8</v>
      </c>
      <c r="M110">
        <v>6.6139181181497375E-11</v>
      </c>
      <c r="N110">
        <v>7.4673835017401146E-12</v>
      </c>
      <c r="O110">
        <v>6.7827749934325937E-11</v>
      </c>
      <c r="P110">
        <v>3.9022978319968607E-12</v>
      </c>
      <c r="Q110">
        <v>2.3537360539067361E-11</v>
      </c>
      <c r="R110" s="5">
        <f t="shared" si="5"/>
        <v>3.4405752142424575E-6</v>
      </c>
    </row>
    <row r="111" spans="1:18" x14ac:dyDescent="0.35">
      <c r="A111" t="s">
        <v>44</v>
      </c>
      <c r="B111">
        <v>2040</v>
      </c>
      <c r="C111" t="s">
        <v>64</v>
      </c>
      <c r="D111" t="s">
        <v>5</v>
      </c>
      <c r="E111" t="s">
        <v>8</v>
      </c>
      <c r="F111" t="s">
        <v>46</v>
      </c>
      <c r="G111">
        <v>2.5265411559155632E-6</v>
      </c>
      <c r="H111">
        <v>7.7967908930444776E-7</v>
      </c>
      <c r="I111">
        <v>2.1052152697744631E-9</v>
      </c>
      <c r="J111">
        <v>3.7577809895441591E-8</v>
      </c>
      <c r="K111">
        <v>6.3751626811547806E-8</v>
      </c>
      <c r="L111">
        <v>3.0751443072694122E-8</v>
      </c>
      <c r="M111">
        <v>6.6139181181497375E-11</v>
      </c>
      <c r="N111">
        <v>7.4673835017401146E-12</v>
      </c>
      <c r="O111">
        <v>6.7827749934325937E-11</v>
      </c>
      <c r="P111">
        <v>3.9022978319968607E-12</v>
      </c>
      <c r="Q111">
        <v>2.3537360539067361E-11</v>
      </c>
      <c r="R111" s="5">
        <f t="shared" si="5"/>
        <v>3.4405752142424575E-6</v>
      </c>
    </row>
    <row r="112" spans="1:18" x14ac:dyDescent="0.35">
      <c r="A112" t="s">
        <v>44</v>
      </c>
      <c r="B112">
        <v>2020</v>
      </c>
      <c r="C112" t="s">
        <v>65</v>
      </c>
      <c r="D112" t="s">
        <v>48</v>
      </c>
      <c r="E112" t="s">
        <v>8</v>
      </c>
      <c r="F112" t="s">
        <v>46</v>
      </c>
      <c r="G112">
        <v>3.2445013925385372E-6</v>
      </c>
      <c r="H112">
        <v>9.9722971629260729E-7</v>
      </c>
      <c r="I112">
        <v>4.0474860176568336E-9</v>
      </c>
      <c r="J112">
        <v>5.2002449797005083E-8</v>
      </c>
      <c r="K112">
        <v>1.108943264345902E-7</v>
      </c>
      <c r="L112">
        <v>4.1708579790073457E-8</v>
      </c>
      <c r="M112">
        <v>6.4302308740171354E-10</v>
      </c>
      <c r="N112">
        <v>1.1386344460155529E-11</v>
      </c>
      <c r="O112">
        <v>3.4401329176845891E-10</v>
      </c>
      <c r="P112">
        <v>5.8669779510712386E-12</v>
      </c>
      <c r="Q112">
        <v>4.7150321839815435E-10</v>
      </c>
      <c r="R112" s="5">
        <f t="shared" si="5"/>
        <v>4.4518597437904493E-6</v>
      </c>
    </row>
    <row r="113" spans="1:18" x14ac:dyDescent="0.35">
      <c r="A113" t="s">
        <v>44</v>
      </c>
      <c r="B113">
        <v>2025</v>
      </c>
      <c r="C113" t="s">
        <v>65</v>
      </c>
      <c r="D113" t="s">
        <v>48</v>
      </c>
      <c r="E113" t="s">
        <v>8</v>
      </c>
      <c r="F113" t="s">
        <v>46</v>
      </c>
      <c r="G113">
        <v>3.2445013925385372E-6</v>
      </c>
      <c r="H113">
        <v>9.9722971629260729E-7</v>
      </c>
      <c r="I113">
        <v>4.0474860176568336E-9</v>
      </c>
      <c r="J113">
        <v>5.2002449797005083E-8</v>
      </c>
      <c r="K113">
        <v>1.108943264345902E-7</v>
      </c>
      <c r="L113">
        <v>4.1708579790073457E-8</v>
      </c>
      <c r="M113">
        <v>6.4302308740171354E-10</v>
      </c>
      <c r="N113">
        <v>1.1386344460155529E-11</v>
      </c>
      <c r="O113">
        <v>3.4401329176845891E-10</v>
      </c>
      <c r="P113">
        <v>5.8669779510712386E-12</v>
      </c>
      <c r="Q113">
        <v>4.7150321839815435E-10</v>
      </c>
      <c r="R113" s="5">
        <f t="shared" si="5"/>
        <v>4.4518597437904493E-6</v>
      </c>
    </row>
    <row r="114" spans="1:18" x14ac:dyDescent="0.35">
      <c r="A114" t="s">
        <v>44</v>
      </c>
      <c r="B114">
        <v>2030</v>
      </c>
      <c r="C114" t="s">
        <v>65</v>
      </c>
      <c r="D114" t="s">
        <v>48</v>
      </c>
      <c r="E114" t="s">
        <v>8</v>
      </c>
      <c r="F114" t="s">
        <v>46</v>
      </c>
      <c r="G114">
        <v>3.2445013925385372E-6</v>
      </c>
      <c r="H114">
        <v>9.9722971629260729E-7</v>
      </c>
      <c r="I114">
        <v>4.0474860176568336E-9</v>
      </c>
      <c r="J114">
        <v>5.2002449797005083E-8</v>
      </c>
      <c r="K114">
        <v>1.108943264345902E-7</v>
      </c>
      <c r="L114">
        <v>4.1708579790073457E-8</v>
      </c>
      <c r="M114">
        <v>6.4302308740171354E-10</v>
      </c>
      <c r="N114">
        <v>1.1386344460155529E-11</v>
      </c>
      <c r="O114">
        <v>3.4401329176845891E-10</v>
      </c>
      <c r="P114">
        <v>5.8669779510712386E-12</v>
      </c>
      <c r="Q114">
        <v>4.7150321839815435E-10</v>
      </c>
      <c r="R114" s="5">
        <f t="shared" si="5"/>
        <v>4.4518597437904493E-6</v>
      </c>
    </row>
    <row r="115" spans="1:18" x14ac:dyDescent="0.35">
      <c r="A115" t="s">
        <v>44</v>
      </c>
      <c r="B115">
        <v>2035</v>
      </c>
      <c r="C115" t="s">
        <v>65</v>
      </c>
      <c r="D115" t="s">
        <v>48</v>
      </c>
      <c r="E115" t="s">
        <v>8</v>
      </c>
      <c r="F115" t="s">
        <v>46</v>
      </c>
      <c r="G115">
        <v>3.2445013925385372E-6</v>
      </c>
      <c r="H115">
        <v>9.9722971629260729E-7</v>
      </c>
      <c r="I115">
        <v>4.0474860176568336E-9</v>
      </c>
      <c r="J115">
        <v>5.2002449797005083E-8</v>
      </c>
      <c r="K115">
        <v>1.108943264345902E-7</v>
      </c>
      <c r="L115">
        <v>4.1708579790073457E-8</v>
      </c>
      <c r="M115">
        <v>6.4302308740171354E-10</v>
      </c>
      <c r="N115">
        <v>1.1386344460155529E-11</v>
      </c>
      <c r="O115">
        <v>3.4401329176845891E-10</v>
      </c>
      <c r="P115">
        <v>5.8669779510712386E-12</v>
      </c>
      <c r="Q115">
        <v>4.7150321839815435E-10</v>
      </c>
      <c r="R115" s="5">
        <f t="shared" si="5"/>
        <v>4.4518597437904493E-6</v>
      </c>
    </row>
    <row r="116" spans="1:18" x14ac:dyDescent="0.35">
      <c r="A116" t="s">
        <v>44</v>
      </c>
      <c r="B116">
        <v>2040</v>
      </c>
      <c r="C116" t="s">
        <v>65</v>
      </c>
      <c r="D116" t="s">
        <v>48</v>
      </c>
      <c r="E116" t="s">
        <v>8</v>
      </c>
      <c r="F116" t="s">
        <v>46</v>
      </c>
      <c r="G116">
        <v>3.2445013925385372E-6</v>
      </c>
      <c r="H116">
        <v>9.9722971629260729E-7</v>
      </c>
      <c r="I116">
        <v>4.0474860176568336E-9</v>
      </c>
      <c r="J116">
        <v>5.2002449797005083E-8</v>
      </c>
      <c r="K116">
        <v>1.108943264345902E-7</v>
      </c>
      <c r="L116">
        <v>4.1708579790073457E-8</v>
      </c>
      <c r="M116">
        <v>6.4302308740171354E-10</v>
      </c>
      <c r="N116">
        <v>1.1386344460155529E-11</v>
      </c>
      <c r="O116">
        <v>3.4401329176845891E-10</v>
      </c>
      <c r="P116">
        <v>5.8669779510712386E-12</v>
      </c>
      <c r="Q116">
        <v>4.7150321839815435E-10</v>
      </c>
      <c r="R116" s="5">
        <f t="shared" si="5"/>
        <v>4.4518597437904493E-6</v>
      </c>
    </row>
    <row r="117" spans="1:18" s="3" customFormat="1" x14ac:dyDescent="0.35">
      <c r="A117" s="3" t="s">
        <v>44</v>
      </c>
      <c r="B117" s="3">
        <v>2020</v>
      </c>
      <c r="C117" s="3" t="s">
        <v>66</v>
      </c>
      <c r="D117" s="3" t="s">
        <v>5</v>
      </c>
      <c r="E117" s="3" t="s">
        <v>8</v>
      </c>
      <c r="F117" s="3" t="s">
        <v>50</v>
      </c>
      <c r="G117" s="3">
        <f>G127-G107</f>
        <v>2.1018206967823428E-5</v>
      </c>
      <c r="H117" s="3">
        <f t="shared" ref="H117:Q117" si="8">H127-H107</f>
        <v>6.4434733932067037E-6</v>
      </c>
      <c r="I117" s="3">
        <f t="shared" si="8"/>
        <v>2.9342176287735165E-8</v>
      </c>
      <c r="J117" s="3">
        <f t="shared" si="8"/>
        <v>3.7495476335403788E-7</v>
      </c>
      <c r="K117" s="3">
        <f t="shared" si="8"/>
        <v>8.1499899914196929E-7</v>
      </c>
      <c r="L117" s="3">
        <f t="shared" si="8"/>
        <v>2.9972945407308484E-7</v>
      </c>
      <c r="M117" s="3">
        <f t="shared" si="8"/>
        <v>5.5148996423641067E-9</v>
      </c>
      <c r="N117" s="3">
        <f t="shared" si="8"/>
        <v>7.6711262050962808E-11</v>
      </c>
      <c r="O117" s="3">
        <f t="shared" si="8"/>
        <v>2.5766689290814299E-9</v>
      </c>
      <c r="P117" s="3">
        <f t="shared" si="8"/>
        <v>3.8657416631156249E-11</v>
      </c>
      <c r="Q117" s="3">
        <f t="shared" si="8"/>
        <v>3.8098672753193663E-9</v>
      </c>
      <c r="R117" s="5">
        <f t="shared" si="5"/>
        <v>2.8992722558412401E-5</v>
      </c>
    </row>
    <row r="118" spans="1:18" s="3" customFormat="1" x14ac:dyDescent="0.35">
      <c r="A118" s="3" t="s">
        <v>44</v>
      </c>
      <c r="B118" s="3">
        <v>2025</v>
      </c>
      <c r="C118" s="3" t="s">
        <v>66</v>
      </c>
      <c r="D118" s="3" t="s">
        <v>5</v>
      </c>
      <c r="E118" s="3" t="s">
        <v>8</v>
      </c>
      <c r="F118" s="3" t="s">
        <v>50</v>
      </c>
      <c r="G118" s="3">
        <f t="shared" ref="G118:Q126" si="9">G128-G108</f>
        <v>2.1018206967823428E-5</v>
      </c>
      <c r="H118" s="3">
        <f t="shared" si="9"/>
        <v>6.4434733932067037E-6</v>
      </c>
      <c r="I118" s="3">
        <f t="shared" si="9"/>
        <v>2.9342176287735165E-8</v>
      </c>
      <c r="J118" s="3">
        <f t="shared" si="9"/>
        <v>3.7495476335403788E-7</v>
      </c>
      <c r="K118" s="3">
        <f t="shared" si="9"/>
        <v>8.1499899914196929E-7</v>
      </c>
      <c r="L118" s="3">
        <f t="shared" si="9"/>
        <v>2.9972945407308484E-7</v>
      </c>
      <c r="M118" s="3">
        <f t="shared" si="9"/>
        <v>5.5148996423641067E-9</v>
      </c>
      <c r="N118" s="3">
        <f t="shared" si="9"/>
        <v>7.6711262050962808E-11</v>
      </c>
      <c r="O118" s="3">
        <f t="shared" si="9"/>
        <v>2.5766689290814299E-9</v>
      </c>
      <c r="P118" s="3">
        <f t="shared" si="9"/>
        <v>3.8657416631156249E-11</v>
      </c>
      <c r="Q118" s="3">
        <f t="shared" si="9"/>
        <v>3.8098672753193663E-9</v>
      </c>
      <c r="R118" s="5">
        <f t="shared" si="5"/>
        <v>2.8992722558412401E-5</v>
      </c>
    </row>
    <row r="119" spans="1:18" s="3" customFormat="1" x14ac:dyDescent="0.35">
      <c r="A119" s="3" t="s">
        <v>44</v>
      </c>
      <c r="B119" s="3">
        <v>2030</v>
      </c>
      <c r="C119" s="3" t="s">
        <v>66</v>
      </c>
      <c r="D119" s="3" t="s">
        <v>5</v>
      </c>
      <c r="E119" s="3" t="s">
        <v>8</v>
      </c>
      <c r="F119" s="3" t="s">
        <v>50</v>
      </c>
      <c r="G119" s="3">
        <f t="shared" si="9"/>
        <v>2.1018206967823428E-5</v>
      </c>
      <c r="H119" s="3">
        <f t="shared" si="9"/>
        <v>6.4434733932067037E-6</v>
      </c>
      <c r="I119" s="3">
        <f t="shared" si="9"/>
        <v>2.9342176287735165E-8</v>
      </c>
      <c r="J119" s="3">
        <f t="shared" si="9"/>
        <v>3.7495476335403788E-7</v>
      </c>
      <c r="K119" s="3">
        <f t="shared" si="9"/>
        <v>8.1499899914196929E-7</v>
      </c>
      <c r="L119" s="3">
        <f t="shared" si="9"/>
        <v>2.9972945407308484E-7</v>
      </c>
      <c r="M119" s="3">
        <f t="shared" si="9"/>
        <v>5.5148996423641067E-9</v>
      </c>
      <c r="N119" s="3">
        <f t="shared" si="9"/>
        <v>7.6711262050962808E-11</v>
      </c>
      <c r="O119" s="3">
        <f t="shared" si="9"/>
        <v>2.5766689290814299E-9</v>
      </c>
      <c r="P119" s="3">
        <f t="shared" si="9"/>
        <v>3.8657416631156249E-11</v>
      </c>
      <c r="Q119" s="3">
        <f t="shared" si="9"/>
        <v>3.8098672753193663E-9</v>
      </c>
      <c r="R119" s="5">
        <f t="shared" si="5"/>
        <v>2.8992722558412401E-5</v>
      </c>
    </row>
    <row r="120" spans="1:18" s="3" customFormat="1" x14ac:dyDescent="0.35">
      <c r="A120" s="3" t="s">
        <v>44</v>
      </c>
      <c r="B120" s="3">
        <v>2035</v>
      </c>
      <c r="C120" s="3" t="s">
        <v>66</v>
      </c>
      <c r="D120" s="3" t="s">
        <v>5</v>
      </c>
      <c r="E120" s="3" t="s">
        <v>8</v>
      </c>
      <c r="F120" s="3" t="s">
        <v>50</v>
      </c>
      <c r="G120" s="3">
        <f t="shared" si="9"/>
        <v>2.1018206967823428E-5</v>
      </c>
      <c r="H120" s="3">
        <f t="shared" si="9"/>
        <v>6.4434733932067037E-6</v>
      </c>
      <c r="I120" s="3">
        <f t="shared" si="9"/>
        <v>2.9342176287735165E-8</v>
      </c>
      <c r="J120" s="3">
        <f t="shared" si="9"/>
        <v>3.7495476335403788E-7</v>
      </c>
      <c r="K120" s="3">
        <f t="shared" si="9"/>
        <v>8.1499899914196929E-7</v>
      </c>
      <c r="L120" s="3">
        <f t="shared" si="9"/>
        <v>2.9972945407308484E-7</v>
      </c>
      <c r="M120" s="3">
        <f t="shared" si="9"/>
        <v>5.5148996423641067E-9</v>
      </c>
      <c r="N120" s="3">
        <f t="shared" si="9"/>
        <v>7.6711262050962808E-11</v>
      </c>
      <c r="O120" s="3">
        <f t="shared" si="9"/>
        <v>2.5766689290814299E-9</v>
      </c>
      <c r="P120" s="3">
        <f t="shared" si="9"/>
        <v>3.8657416631156249E-11</v>
      </c>
      <c r="Q120" s="3">
        <f t="shared" si="9"/>
        <v>3.8098672753193663E-9</v>
      </c>
      <c r="R120" s="5">
        <f t="shared" si="5"/>
        <v>2.8992722558412401E-5</v>
      </c>
    </row>
    <row r="121" spans="1:18" s="3" customFormat="1" x14ac:dyDescent="0.35">
      <c r="A121" s="3" t="s">
        <v>44</v>
      </c>
      <c r="B121" s="3">
        <v>2040</v>
      </c>
      <c r="C121" s="3" t="s">
        <v>66</v>
      </c>
      <c r="D121" s="3" t="s">
        <v>5</v>
      </c>
      <c r="E121" s="3" t="s">
        <v>8</v>
      </c>
      <c r="F121" s="3" t="s">
        <v>50</v>
      </c>
      <c r="G121" s="3">
        <f t="shared" si="9"/>
        <v>2.1018206967823428E-5</v>
      </c>
      <c r="H121" s="3">
        <f t="shared" si="9"/>
        <v>6.4434733932067037E-6</v>
      </c>
      <c r="I121" s="3">
        <f t="shared" si="9"/>
        <v>2.9342176287735165E-8</v>
      </c>
      <c r="J121" s="3">
        <f t="shared" si="9"/>
        <v>3.7495476335403788E-7</v>
      </c>
      <c r="K121" s="3">
        <f t="shared" si="9"/>
        <v>8.1499899914196929E-7</v>
      </c>
      <c r="L121" s="3">
        <f t="shared" si="9"/>
        <v>2.9972945407308484E-7</v>
      </c>
      <c r="M121" s="3">
        <f t="shared" si="9"/>
        <v>5.5148996423641067E-9</v>
      </c>
      <c r="N121" s="3">
        <f t="shared" si="9"/>
        <v>7.6711262050962808E-11</v>
      </c>
      <c r="O121" s="3">
        <f t="shared" si="9"/>
        <v>2.5766689290814299E-9</v>
      </c>
      <c r="P121" s="3">
        <f t="shared" si="9"/>
        <v>3.8657416631156249E-11</v>
      </c>
      <c r="Q121" s="3">
        <f t="shared" si="9"/>
        <v>3.8098672753193663E-9</v>
      </c>
      <c r="R121" s="5">
        <f t="shared" si="5"/>
        <v>2.8992722558412401E-5</v>
      </c>
    </row>
    <row r="122" spans="1:18" s="3" customFormat="1" x14ac:dyDescent="0.35">
      <c r="A122" s="3" t="s">
        <v>44</v>
      </c>
      <c r="B122" s="3">
        <v>2020</v>
      </c>
      <c r="C122" s="3" t="s">
        <v>67</v>
      </c>
      <c r="D122" s="3" t="s">
        <v>48</v>
      </c>
      <c r="E122" s="3" t="s">
        <v>8</v>
      </c>
      <c r="F122" s="3" t="s">
        <v>50</v>
      </c>
      <c r="G122" s="3">
        <f t="shared" si="9"/>
        <v>6.7803291634190987E-5</v>
      </c>
      <c r="H122" s="3">
        <f t="shared" si="9"/>
        <v>2.1176193841713573E-5</v>
      </c>
      <c r="I122" s="3">
        <f t="shared" si="9"/>
        <v>1.1731839109361871E-6</v>
      </c>
      <c r="J122" s="3">
        <f t="shared" si="9"/>
        <v>2.5119221186502011E-6</v>
      </c>
      <c r="K122" s="3">
        <f t="shared" si="9"/>
        <v>1.3658832663490288E-6</v>
      </c>
      <c r="L122" s="3">
        <f t="shared" si="9"/>
        <v>7.0401265974996268E-7</v>
      </c>
      <c r="M122" s="3">
        <f t="shared" si="9"/>
        <v>3.8141949115509035E-9</v>
      </c>
      <c r="N122" s="3">
        <f t="shared" si="9"/>
        <v>1.4496251209425339E-10</v>
      </c>
      <c r="O122" s="3">
        <f t="shared" si="9"/>
        <v>1.6387470455548232E-9</v>
      </c>
      <c r="P122" s="3">
        <f t="shared" si="9"/>
        <v>5.8713176101981335E-11</v>
      </c>
      <c r="Q122" s="3">
        <f t="shared" si="9"/>
        <v>2.2697548705795045E-9</v>
      </c>
      <c r="R122" s="5">
        <f t="shared" si="5"/>
        <v>9.4742413804105817E-5</v>
      </c>
    </row>
    <row r="123" spans="1:18" s="3" customFormat="1" x14ac:dyDescent="0.35">
      <c r="A123" s="3" t="s">
        <v>44</v>
      </c>
      <c r="B123" s="3">
        <v>2025</v>
      </c>
      <c r="C123" s="3" t="s">
        <v>67</v>
      </c>
      <c r="D123" s="3" t="s">
        <v>48</v>
      </c>
      <c r="E123" s="3" t="s">
        <v>8</v>
      </c>
      <c r="F123" s="3" t="s">
        <v>50</v>
      </c>
      <c r="G123" s="3">
        <f t="shared" si="9"/>
        <v>6.7803291634190987E-5</v>
      </c>
      <c r="H123" s="3">
        <f t="shared" si="9"/>
        <v>2.1176193841713573E-5</v>
      </c>
      <c r="I123" s="3">
        <f t="shared" si="9"/>
        <v>1.1731839109361871E-6</v>
      </c>
      <c r="J123" s="3">
        <f t="shared" si="9"/>
        <v>2.5119221186502011E-6</v>
      </c>
      <c r="K123" s="3">
        <f t="shared" si="9"/>
        <v>1.3658832663490288E-6</v>
      </c>
      <c r="L123" s="3">
        <f t="shared" si="9"/>
        <v>7.0401265974996268E-7</v>
      </c>
      <c r="M123" s="3">
        <f t="shared" si="9"/>
        <v>3.8141949115509035E-9</v>
      </c>
      <c r="N123" s="3">
        <f t="shared" si="9"/>
        <v>1.4496251209425339E-10</v>
      </c>
      <c r="O123" s="3">
        <f t="shared" si="9"/>
        <v>1.6387470455548232E-9</v>
      </c>
      <c r="P123" s="3">
        <f t="shared" si="9"/>
        <v>5.8713176101981335E-11</v>
      </c>
      <c r="Q123" s="3">
        <f t="shared" si="9"/>
        <v>2.2697548705795045E-9</v>
      </c>
      <c r="R123" s="5">
        <f t="shared" si="5"/>
        <v>9.4742413804105817E-5</v>
      </c>
    </row>
    <row r="124" spans="1:18" s="3" customFormat="1" x14ac:dyDescent="0.35">
      <c r="A124" s="3" t="s">
        <v>44</v>
      </c>
      <c r="B124" s="3">
        <v>2030</v>
      </c>
      <c r="C124" s="3" t="s">
        <v>67</v>
      </c>
      <c r="D124" s="3" t="s">
        <v>48</v>
      </c>
      <c r="E124" s="3" t="s">
        <v>8</v>
      </c>
      <c r="F124" s="3" t="s">
        <v>50</v>
      </c>
      <c r="G124" s="3">
        <f t="shared" si="9"/>
        <v>6.7803291634190987E-5</v>
      </c>
      <c r="H124" s="3">
        <f t="shared" si="9"/>
        <v>2.1176193841713573E-5</v>
      </c>
      <c r="I124" s="3">
        <f t="shared" si="9"/>
        <v>1.1731839109361871E-6</v>
      </c>
      <c r="J124" s="3">
        <f t="shared" si="9"/>
        <v>2.5119221186502011E-6</v>
      </c>
      <c r="K124" s="3">
        <f t="shared" si="9"/>
        <v>1.3658832663490288E-6</v>
      </c>
      <c r="L124" s="3">
        <f t="shared" si="9"/>
        <v>7.0401265974996268E-7</v>
      </c>
      <c r="M124" s="3">
        <f t="shared" si="9"/>
        <v>3.8141949115509035E-9</v>
      </c>
      <c r="N124" s="3">
        <f t="shared" si="9"/>
        <v>1.4496251209425339E-10</v>
      </c>
      <c r="O124" s="3">
        <f t="shared" si="9"/>
        <v>1.6387470455548232E-9</v>
      </c>
      <c r="P124" s="3">
        <f t="shared" si="9"/>
        <v>5.8713176101981335E-11</v>
      </c>
      <c r="Q124" s="3">
        <f t="shared" si="9"/>
        <v>2.2697548705795045E-9</v>
      </c>
      <c r="R124" s="5">
        <f t="shared" si="5"/>
        <v>9.4742413804105817E-5</v>
      </c>
    </row>
    <row r="125" spans="1:18" s="3" customFormat="1" x14ac:dyDescent="0.35">
      <c r="A125" s="3" t="s">
        <v>44</v>
      </c>
      <c r="B125" s="3">
        <v>2035</v>
      </c>
      <c r="C125" s="3" t="s">
        <v>67</v>
      </c>
      <c r="D125" s="3" t="s">
        <v>48</v>
      </c>
      <c r="E125" s="3" t="s">
        <v>8</v>
      </c>
      <c r="F125" s="3" t="s">
        <v>50</v>
      </c>
      <c r="G125" s="3">
        <f t="shared" si="9"/>
        <v>6.7803291634190987E-5</v>
      </c>
      <c r="H125" s="3">
        <f t="shared" si="9"/>
        <v>2.1176193841713573E-5</v>
      </c>
      <c r="I125" s="3">
        <f t="shared" si="9"/>
        <v>1.1731839109361871E-6</v>
      </c>
      <c r="J125" s="3">
        <f t="shared" si="9"/>
        <v>2.5119221186502011E-6</v>
      </c>
      <c r="K125" s="3">
        <f t="shared" si="9"/>
        <v>1.3658832663490288E-6</v>
      </c>
      <c r="L125" s="3">
        <f t="shared" si="9"/>
        <v>7.0401265974996268E-7</v>
      </c>
      <c r="M125" s="3">
        <f t="shared" si="9"/>
        <v>3.8141949115509035E-9</v>
      </c>
      <c r="N125" s="3">
        <f t="shared" si="9"/>
        <v>1.4496251209425339E-10</v>
      </c>
      <c r="O125" s="3">
        <f t="shared" si="9"/>
        <v>1.6387470455548232E-9</v>
      </c>
      <c r="P125" s="3">
        <f t="shared" si="9"/>
        <v>5.8713176101981335E-11</v>
      </c>
      <c r="Q125" s="3">
        <f t="shared" si="9"/>
        <v>2.2697548705795045E-9</v>
      </c>
      <c r="R125" s="5">
        <f t="shared" si="5"/>
        <v>9.4742413804105817E-5</v>
      </c>
    </row>
    <row r="126" spans="1:18" s="3" customFormat="1" x14ac:dyDescent="0.35">
      <c r="A126" s="3" t="s">
        <v>44</v>
      </c>
      <c r="B126" s="3">
        <v>2040</v>
      </c>
      <c r="C126" s="3" t="s">
        <v>67</v>
      </c>
      <c r="D126" s="3" t="s">
        <v>48</v>
      </c>
      <c r="E126" s="3" t="s">
        <v>8</v>
      </c>
      <c r="F126" s="3" t="s">
        <v>50</v>
      </c>
      <c r="G126" s="3">
        <f t="shared" si="9"/>
        <v>6.7803291634190987E-5</v>
      </c>
      <c r="H126" s="3">
        <f t="shared" si="9"/>
        <v>2.1176193841713573E-5</v>
      </c>
      <c r="I126" s="3">
        <f t="shared" si="9"/>
        <v>1.1731839109361871E-6</v>
      </c>
      <c r="J126" s="3">
        <f t="shared" si="9"/>
        <v>2.5119221186502011E-6</v>
      </c>
      <c r="K126" s="3">
        <f t="shared" si="9"/>
        <v>1.3658832663490288E-6</v>
      </c>
      <c r="L126" s="3">
        <f t="shared" si="9"/>
        <v>7.0401265974996268E-7</v>
      </c>
      <c r="M126" s="3">
        <f t="shared" si="9"/>
        <v>3.8141949115509035E-9</v>
      </c>
      <c r="N126" s="3">
        <f t="shared" si="9"/>
        <v>1.4496251209425339E-10</v>
      </c>
      <c r="O126" s="3">
        <f t="shared" si="9"/>
        <v>1.6387470455548232E-9</v>
      </c>
      <c r="P126" s="3">
        <f t="shared" si="9"/>
        <v>5.8713176101981335E-11</v>
      </c>
      <c r="Q126" s="3">
        <f t="shared" si="9"/>
        <v>2.2697548705795045E-9</v>
      </c>
      <c r="R126" s="5">
        <f t="shared" si="5"/>
        <v>9.4742413804105817E-5</v>
      </c>
    </row>
    <row r="127" spans="1:18" x14ac:dyDescent="0.35">
      <c r="A127" t="s">
        <v>44</v>
      </c>
      <c r="B127">
        <v>2020</v>
      </c>
      <c r="C127" t="s">
        <v>66</v>
      </c>
      <c r="D127" t="s">
        <v>5</v>
      </c>
      <c r="E127" t="s">
        <v>8</v>
      </c>
      <c r="F127" t="s">
        <v>52</v>
      </c>
      <c r="G127">
        <v>2.3544748123738991E-5</v>
      </c>
      <c r="H127">
        <v>7.2231524825111513E-6</v>
      </c>
      <c r="I127">
        <v>3.1447391557509627E-8</v>
      </c>
      <c r="J127">
        <v>4.1253257324947949E-7</v>
      </c>
      <c r="K127">
        <v>8.7875062595351705E-7</v>
      </c>
      <c r="L127">
        <v>3.3048089714577898E-7</v>
      </c>
      <c r="M127">
        <v>5.5810388235456039E-9</v>
      </c>
      <c r="N127">
        <v>8.4178645552702918E-11</v>
      </c>
      <c r="O127">
        <v>2.6444966790157558E-9</v>
      </c>
      <c r="P127">
        <v>4.255971446315311E-11</v>
      </c>
      <c r="Q127">
        <v>3.8334046358584337E-9</v>
      </c>
      <c r="R127" s="5">
        <f t="shared" si="5"/>
        <v>3.2433297772654867E-5</v>
      </c>
    </row>
    <row r="128" spans="1:18" x14ac:dyDescent="0.35">
      <c r="A128" t="s">
        <v>44</v>
      </c>
      <c r="B128">
        <v>2025</v>
      </c>
      <c r="C128" t="s">
        <v>66</v>
      </c>
      <c r="D128" t="s">
        <v>5</v>
      </c>
      <c r="E128" t="s">
        <v>8</v>
      </c>
      <c r="F128" t="s">
        <v>52</v>
      </c>
      <c r="G128">
        <v>2.3544748123738991E-5</v>
      </c>
      <c r="H128">
        <v>7.2231524825111513E-6</v>
      </c>
      <c r="I128">
        <v>3.1447391557509627E-8</v>
      </c>
      <c r="J128">
        <v>4.1253257324947949E-7</v>
      </c>
      <c r="K128">
        <v>8.7875062595351705E-7</v>
      </c>
      <c r="L128">
        <v>3.3048089714577898E-7</v>
      </c>
      <c r="M128">
        <v>5.5810388235456039E-9</v>
      </c>
      <c r="N128">
        <v>8.4178645552702918E-11</v>
      </c>
      <c r="O128">
        <v>2.6444966790157558E-9</v>
      </c>
      <c r="P128">
        <v>4.255971446315311E-11</v>
      </c>
      <c r="Q128">
        <v>3.8334046358584337E-9</v>
      </c>
      <c r="R128" s="5">
        <f t="shared" si="5"/>
        <v>3.2433297772654867E-5</v>
      </c>
    </row>
    <row r="129" spans="1:18" x14ac:dyDescent="0.35">
      <c r="A129" t="s">
        <v>44</v>
      </c>
      <c r="B129">
        <v>2030</v>
      </c>
      <c r="C129" t="s">
        <v>66</v>
      </c>
      <c r="D129" t="s">
        <v>5</v>
      </c>
      <c r="E129" t="s">
        <v>8</v>
      </c>
      <c r="F129" t="s">
        <v>52</v>
      </c>
      <c r="G129">
        <v>2.3544748123738991E-5</v>
      </c>
      <c r="H129">
        <v>7.2231524825111513E-6</v>
      </c>
      <c r="I129">
        <v>3.1447391557509627E-8</v>
      </c>
      <c r="J129">
        <v>4.1253257324947949E-7</v>
      </c>
      <c r="K129">
        <v>8.7875062595351705E-7</v>
      </c>
      <c r="L129">
        <v>3.3048089714577898E-7</v>
      </c>
      <c r="M129">
        <v>5.5810388235456039E-9</v>
      </c>
      <c r="N129">
        <v>8.4178645552702918E-11</v>
      </c>
      <c r="O129">
        <v>2.6444966790157558E-9</v>
      </c>
      <c r="P129">
        <v>4.255971446315311E-11</v>
      </c>
      <c r="Q129">
        <v>3.8334046358584337E-9</v>
      </c>
      <c r="R129" s="5">
        <f t="shared" si="5"/>
        <v>3.2433297772654867E-5</v>
      </c>
    </row>
    <row r="130" spans="1:18" x14ac:dyDescent="0.35">
      <c r="A130" t="s">
        <v>44</v>
      </c>
      <c r="B130">
        <v>2035</v>
      </c>
      <c r="C130" t="s">
        <v>66</v>
      </c>
      <c r="D130" t="s">
        <v>5</v>
      </c>
      <c r="E130" t="s">
        <v>8</v>
      </c>
      <c r="F130" t="s">
        <v>52</v>
      </c>
      <c r="G130">
        <v>2.3544748123738991E-5</v>
      </c>
      <c r="H130">
        <v>7.2231524825111513E-6</v>
      </c>
      <c r="I130">
        <v>3.1447391557509627E-8</v>
      </c>
      <c r="J130">
        <v>4.1253257324947949E-7</v>
      </c>
      <c r="K130">
        <v>8.7875062595351705E-7</v>
      </c>
      <c r="L130">
        <v>3.3048089714577898E-7</v>
      </c>
      <c r="M130">
        <v>5.5810388235456039E-9</v>
      </c>
      <c r="N130">
        <v>8.4178645552702918E-11</v>
      </c>
      <c r="O130">
        <v>2.6444966790157558E-9</v>
      </c>
      <c r="P130">
        <v>4.255971446315311E-11</v>
      </c>
      <c r="Q130">
        <v>3.8334046358584337E-9</v>
      </c>
      <c r="R130" s="5">
        <f t="shared" si="5"/>
        <v>3.2433297772654867E-5</v>
      </c>
    </row>
    <row r="131" spans="1:18" x14ac:dyDescent="0.35">
      <c r="A131" t="s">
        <v>44</v>
      </c>
      <c r="B131">
        <v>2040</v>
      </c>
      <c r="C131" t="s">
        <v>66</v>
      </c>
      <c r="D131" t="s">
        <v>5</v>
      </c>
      <c r="E131" t="s">
        <v>8</v>
      </c>
      <c r="F131" t="s">
        <v>52</v>
      </c>
      <c r="G131">
        <v>2.3544748123738991E-5</v>
      </c>
      <c r="H131">
        <v>7.2231524825111513E-6</v>
      </c>
      <c r="I131">
        <v>3.1447391557509627E-8</v>
      </c>
      <c r="J131">
        <v>4.1253257324947949E-7</v>
      </c>
      <c r="K131">
        <v>8.7875062595351705E-7</v>
      </c>
      <c r="L131">
        <v>3.3048089714577898E-7</v>
      </c>
      <c r="M131">
        <v>5.5810388235456039E-9</v>
      </c>
      <c r="N131">
        <v>8.4178645552702918E-11</v>
      </c>
      <c r="O131">
        <v>2.6444966790157558E-9</v>
      </c>
      <c r="P131">
        <v>4.255971446315311E-11</v>
      </c>
      <c r="Q131">
        <v>3.8334046358584337E-9</v>
      </c>
      <c r="R131" s="5">
        <f t="shared" ref="R131:R136" si="10">SUM(G131:Q131)</f>
        <v>3.2433297772654867E-5</v>
      </c>
    </row>
    <row r="132" spans="1:18" x14ac:dyDescent="0.35">
      <c r="A132" t="s">
        <v>44</v>
      </c>
      <c r="B132">
        <v>2020</v>
      </c>
      <c r="C132" t="s">
        <v>67</v>
      </c>
      <c r="D132" t="s">
        <v>48</v>
      </c>
      <c r="E132" t="s">
        <v>8</v>
      </c>
      <c r="F132" t="s">
        <v>52</v>
      </c>
      <c r="G132">
        <v>7.1047793026729529E-5</v>
      </c>
      <c r="H132">
        <v>2.2173423558006179E-5</v>
      </c>
      <c r="I132">
        <v>1.1772313969538439E-6</v>
      </c>
      <c r="J132">
        <v>2.5639245684472062E-6</v>
      </c>
      <c r="K132">
        <v>1.476777592783619E-6</v>
      </c>
      <c r="L132">
        <v>7.457212395400361E-7</v>
      </c>
      <c r="M132">
        <v>4.4572179989526171E-9</v>
      </c>
      <c r="N132">
        <v>1.5634885655440891E-10</v>
      </c>
      <c r="O132">
        <v>1.9827603373232822E-9</v>
      </c>
      <c r="P132">
        <v>6.4580154053052569E-11</v>
      </c>
      <c r="Q132">
        <v>2.741258088977659E-9</v>
      </c>
      <c r="R132" s="5">
        <f t="shared" si="10"/>
        <v>9.9194273547896261E-5</v>
      </c>
    </row>
    <row r="133" spans="1:18" x14ac:dyDescent="0.35">
      <c r="A133" t="s">
        <v>44</v>
      </c>
      <c r="B133">
        <v>2025</v>
      </c>
      <c r="C133" t="s">
        <v>67</v>
      </c>
      <c r="D133" t="s">
        <v>48</v>
      </c>
      <c r="E133" t="s">
        <v>8</v>
      </c>
      <c r="F133" t="s">
        <v>52</v>
      </c>
      <c r="G133">
        <v>7.1047793026729529E-5</v>
      </c>
      <c r="H133">
        <v>2.2173423558006179E-5</v>
      </c>
      <c r="I133">
        <v>1.1772313969538439E-6</v>
      </c>
      <c r="J133">
        <v>2.5639245684472062E-6</v>
      </c>
      <c r="K133">
        <v>1.476777592783619E-6</v>
      </c>
      <c r="L133">
        <v>7.457212395400361E-7</v>
      </c>
      <c r="M133">
        <v>4.4572179989526171E-9</v>
      </c>
      <c r="N133">
        <v>1.5634885655440891E-10</v>
      </c>
      <c r="O133">
        <v>1.9827603373232822E-9</v>
      </c>
      <c r="P133">
        <v>6.4580154053052569E-11</v>
      </c>
      <c r="Q133">
        <v>2.741258088977659E-9</v>
      </c>
      <c r="R133" s="5">
        <f t="shared" si="10"/>
        <v>9.9194273547896261E-5</v>
      </c>
    </row>
    <row r="134" spans="1:18" x14ac:dyDescent="0.35">
      <c r="A134" t="s">
        <v>44</v>
      </c>
      <c r="B134">
        <v>2030</v>
      </c>
      <c r="C134" t="s">
        <v>67</v>
      </c>
      <c r="D134" t="s">
        <v>48</v>
      </c>
      <c r="E134" t="s">
        <v>8</v>
      </c>
      <c r="F134" t="s">
        <v>52</v>
      </c>
      <c r="G134">
        <v>7.1047793026729529E-5</v>
      </c>
      <c r="H134">
        <v>2.2173423558006179E-5</v>
      </c>
      <c r="I134">
        <v>1.1772313969538439E-6</v>
      </c>
      <c r="J134">
        <v>2.5639245684472062E-6</v>
      </c>
      <c r="K134">
        <v>1.476777592783619E-6</v>
      </c>
      <c r="L134">
        <v>7.457212395400361E-7</v>
      </c>
      <c r="M134">
        <v>4.4572179989526171E-9</v>
      </c>
      <c r="N134">
        <v>1.5634885655440891E-10</v>
      </c>
      <c r="O134">
        <v>1.9827603373232822E-9</v>
      </c>
      <c r="P134">
        <v>6.4580154053052569E-11</v>
      </c>
      <c r="Q134">
        <v>2.741258088977659E-9</v>
      </c>
      <c r="R134" s="5">
        <f t="shared" si="10"/>
        <v>9.9194273547896261E-5</v>
      </c>
    </row>
    <row r="135" spans="1:18" x14ac:dyDescent="0.35">
      <c r="A135" t="s">
        <v>44</v>
      </c>
      <c r="B135">
        <v>2035</v>
      </c>
      <c r="C135" t="s">
        <v>67</v>
      </c>
      <c r="D135" t="s">
        <v>48</v>
      </c>
      <c r="E135" t="s">
        <v>8</v>
      </c>
      <c r="F135" t="s">
        <v>52</v>
      </c>
      <c r="G135">
        <v>7.1047793026729529E-5</v>
      </c>
      <c r="H135">
        <v>2.2173423558006179E-5</v>
      </c>
      <c r="I135">
        <v>1.1772313969538439E-6</v>
      </c>
      <c r="J135">
        <v>2.5639245684472062E-6</v>
      </c>
      <c r="K135">
        <v>1.476777592783619E-6</v>
      </c>
      <c r="L135">
        <v>7.457212395400361E-7</v>
      </c>
      <c r="M135">
        <v>4.4572179989526171E-9</v>
      </c>
      <c r="N135">
        <v>1.5634885655440891E-10</v>
      </c>
      <c r="O135">
        <v>1.9827603373232822E-9</v>
      </c>
      <c r="P135">
        <v>6.4580154053052569E-11</v>
      </c>
      <c r="Q135">
        <v>2.741258088977659E-9</v>
      </c>
      <c r="R135" s="5">
        <f t="shared" si="10"/>
        <v>9.9194273547896261E-5</v>
      </c>
    </row>
    <row r="136" spans="1:18" x14ac:dyDescent="0.35">
      <c r="A136" t="s">
        <v>44</v>
      </c>
      <c r="B136">
        <v>2040</v>
      </c>
      <c r="C136" t="s">
        <v>67</v>
      </c>
      <c r="D136" t="s">
        <v>48</v>
      </c>
      <c r="E136" t="s">
        <v>8</v>
      </c>
      <c r="F136" t="s">
        <v>52</v>
      </c>
      <c r="G136">
        <v>7.1047793026729529E-5</v>
      </c>
      <c r="H136">
        <v>2.2173423558006179E-5</v>
      </c>
      <c r="I136">
        <v>1.1772313969538439E-6</v>
      </c>
      <c r="J136">
        <v>2.5639245684472062E-6</v>
      </c>
      <c r="K136">
        <v>1.476777592783619E-6</v>
      </c>
      <c r="L136">
        <v>7.457212395400361E-7</v>
      </c>
      <c r="M136">
        <v>4.4572179989526171E-9</v>
      </c>
      <c r="N136">
        <v>1.5634885655440891E-10</v>
      </c>
      <c r="O136">
        <v>1.9827603373232822E-9</v>
      </c>
      <c r="P136">
        <v>6.4580154053052569E-11</v>
      </c>
      <c r="Q136">
        <v>2.741258088977659E-9</v>
      </c>
      <c r="R136" s="5">
        <f t="shared" si="10"/>
        <v>9.9194273547896261E-5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D3C2E-97E7-4085-8856-5A89B7629872}">
  <dimension ref="A1:G136"/>
  <sheetViews>
    <sheetView topLeftCell="A94" workbookViewId="0">
      <selection activeCell="G20" sqref="G20"/>
    </sheetView>
  </sheetViews>
  <sheetFormatPr baseColWidth="10" defaultColWidth="9.1796875" defaultRowHeight="14.5" x14ac:dyDescent="0.35"/>
  <cols>
    <col min="1" max="1" width="13.1796875" bestFit="1" customWidth="1"/>
    <col min="2" max="2" width="5" bestFit="1" customWidth="1"/>
    <col min="3" max="3" width="17" bestFit="1" customWidth="1"/>
    <col min="4" max="4" width="15.26953125" bestFit="1" customWidth="1"/>
    <col min="5" max="5" width="12" bestFit="1" customWidth="1"/>
    <col min="6" max="6" width="19.81640625" bestFit="1" customWidth="1"/>
    <col min="7" max="7" width="39.1796875" bestFit="1" customWidth="1"/>
  </cols>
  <sheetData>
    <row r="1" spans="1:7" x14ac:dyDescent="0.35">
      <c r="A1" s="2" t="s">
        <v>0</v>
      </c>
      <c r="B1" s="2" t="s">
        <v>2</v>
      </c>
      <c r="C1" s="2" t="s">
        <v>19</v>
      </c>
      <c r="D1" s="2" t="s">
        <v>20</v>
      </c>
      <c r="E1" s="2" t="s">
        <v>3</v>
      </c>
      <c r="F1" s="2" t="s">
        <v>21</v>
      </c>
      <c r="G1" s="2" t="s">
        <v>79</v>
      </c>
    </row>
    <row r="2" spans="1:7" x14ac:dyDescent="0.35">
      <c r="A2" t="s">
        <v>44</v>
      </c>
      <c r="B2">
        <v>2020</v>
      </c>
      <c r="C2" t="s">
        <v>45</v>
      </c>
      <c r="D2" t="s">
        <v>5</v>
      </c>
      <c r="E2" t="s">
        <v>13</v>
      </c>
      <c r="F2" t="s">
        <v>46</v>
      </c>
      <c r="G2">
        <v>1.1672522258796411E-2</v>
      </c>
    </row>
    <row r="3" spans="1:7" x14ac:dyDescent="0.35">
      <c r="A3" t="s">
        <v>44</v>
      </c>
      <c r="B3">
        <v>2025</v>
      </c>
      <c r="C3" t="s">
        <v>45</v>
      </c>
      <c r="D3" t="s">
        <v>5</v>
      </c>
      <c r="E3" t="s">
        <v>13</v>
      </c>
      <c r="F3" t="s">
        <v>46</v>
      </c>
      <c r="G3">
        <v>1.1720649591720899E-2</v>
      </c>
    </row>
    <row r="4" spans="1:7" x14ac:dyDescent="0.35">
      <c r="A4" t="s">
        <v>44</v>
      </c>
      <c r="B4">
        <v>2030</v>
      </c>
      <c r="C4" t="s">
        <v>45</v>
      </c>
      <c r="D4" t="s">
        <v>5</v>
      </c>
      <c r="E4" t="s">
        <v>13</v>
      </c>
      <c r="F4" t="s">
        <v>46</v>
      </c>
      <c r="G4">
        <v>1.130498637678496E-2</v>
      </c>
    </row>
    <row r="5" spans="1:7" x14ac:dyDescent="0.35">
      <c r="A5" t="s">
        <v>44</v>
      </c>
      <c r="B5">
        <v>2035</v>
      </c>
      <c r="C5" t="s">
        <v>45</v>
      </c>
      <c r="D5" t="s">
        <v>5</v>
      </c>
      <c r="E5" t="s">
        <v>13</v>
      </c>
      <c r="F5" t="s">
        <v>46</v>
      </c>
      <c r="G5">
        <v>1.07937598295452E-2</v>
      </c>
    </row>
    <row r="6" spans="1:7" x14ac:dyDescent="0.35">
      <c r="A6" t="s">
        <v>44</v>
      </c>
      <c r="B6">
        <v>2040</v>
      </c>
      <c r="C6" t="s">
        <v>45</v>
      </c>
      <c r="D6" t="s">
        <v>5</v>
      </c>
      <c r="E6" t="s">
        <v>13</v>
      </c>
      <c r="F6" t="s">
        <v>46</v>
      </c>
      <c r="G6">
        <v>1.0266638450429679E-2</v>
      </c>
    </row>
    <row r="7" spans="1:7" x14ac:dyDescent="0.35">
      <c r="A7" t="s">
        <v>44</v>
      </c>
      <c r="B7">
        <v>2020</v>
      </c>
      <c r="C7" t="s">
        <v>47</v>
      </c>
      <c r="D7" t="s">
        <v>48</v>
      </c>
      <c r="E7" t="s">
        <v>13</v>
      </c>
      <c r="F7" t="s">
        <v>46</v>
      </c>
      <c r="G7">
        <v>0.1484814348993386</v>
      </c>
    </row>
    <row r="8" spans="1:7" x14ac:dyDescent="0.35">
      <c r="A8" t="s">
        <v>44</v>
      </c>
      <c r="B8">
        <v>2025</v>
      </c>
      <c r="C8" t="s">
        <v>47</v>
      </c>
      <c r="D8" t="s">
        <v>48</v>
      </c>
      <c r="E8" t="s">
        <v>13</v>
      </c>
      <c r="F8" t="s">
        <v>46</v>
      </c>
      <c r="G8">
        <v>0.14771957821773299</v>
      </c>
    </row>
    <row r="9" spans="1:7" x14ac:dyDescent="0.35">
      <c r="A9" t="s">
        <v>44</v>
      </c>
      <c r="B9">
        <v>2030</v>
      </c>
      <c r="C9" t="s">
        <v>47</v>
      </c>
      <c r="D9" t="s">
        <v>48</v>
      </c>
      <c r="E9" t="s">
        <v>13</v>
      </c>
      <c r="F9" t="s">
        <v>46</v>
      </c>
      <c r="G9">
        <v>0.1438067717221948</v>
      </c>
    </row>
    <row r="10" spans="1:7" x14ac:dyDescent="0.35">
      <c r="A10" t="s">
        <v>44</v>
      </c>
      <c r="B10">
        <v>2035</v>
      </c>
      <c r="C10" t="s">
        <v>47</v>
      </c>
      <c r="D10" t="s">
        <v>48</v>
      </c>
      <c r="E10" t="s">
        <v>13</v>
      </c>
      <c r="F10" t="s">
        <v>46</v>
      </c>
      <c r="G10">
        <v>0.1340491004117301</v>
      </c>
    </row>
    <row r="11" spans="1:7" x14ac:dyDescent="0.35">
      <c r="A11" t="s">
        <v>44</v>
      </c>
      <c r="B11">
        <v>2040</v>
      </c>
      <c r="C11" t="s">
        <v>47</v>
      </c>
      <c r="D11" t="s">
        <v>48</v>
      </c>
      <c r="E11" t="s">
        <v>13</v>
      </c>
      <c r="F11" t="s">
        <v>46</v>
      </c>
      <c r="G11">
        <v>0.1176779627146898</v>
      </c>
    </row>
    <row r="12" spans="1:7" s="3" customFormat="1" x14ac:dyDescent="0.35">
      <c r="A12" s="3" t="s">
        <v>44</v>
      </c>
      <c r="B12" s="3">
        <v>2020</v>
      </c>
      <c r="C12" s="3" t="s">
        <v>49</v>
      </c>
      <c r="D12" s="3" t="s">
        <v>5</v>
      </c>
      <c r="E12" s="3" t="s">
        <v>13</v>
      </c>
      <c r="F12" s="3" t="s">
        <v>50</v>
      </c>
    </row>
    <row r="13" spans="1:7" s="3" customFormat="1" x14ac:dyDescent="0.35">
      <c r="A13" s="3" t="s">
        <v>44</v>
      </c>
      <c r="B13" s="3">
        <v>2025</v>
      </c>
      <c r="C13" s="3" t="s">
        <v>49</v>
      </c>
      <c r="D13" s="3" t="s">
        <v>5</v>
      </c>
      <c r="E13" s="3" t="s">
        <v>13</v>
      </c>
      <c r="F13" s="3" t="s">
        <v>50</v>
      </c>
    </row>
    <row r="14" spans="1:7" s="3" customFormat="1" x14ac:dyDescent="0.35">
      <c r="A14" s="3" t="s">
        <v>44</v>
      </c>
      <c r="B14" s="3">
        <v>2030</v>
      </c>
      <c r="C14" s="3" t="s">
        <v>49</v>
      </c>
      <c r="D14" s="3" t="s">
        <v>5</v>
      </c>
      <c r="E14" s="3" t="s">
        <v>13</v>
      </c>
      <c r="F14" s="3" t="s">
        <v>50</v>
      </c>
    </row>
    <row r="15" spans="1:7" s="3" customFormat="1" x14ac:dyDescent="0.35">
      <c r="A15" s="3" t="s">
        <v>44</v>
      </c>
      <c r="B15" s="3">
        <v>2035</v>
      </c>
      <c r="C15" s="3" t="s">
        <v>49</v>
      </c>
      <c r="D15" s="3" t="s">
        <v>5</v>
      </c>
      <c r="E15" s="3" t="s">
        <v>13</v>
      </c>
      <c r="F15" s="3" t="s">
        <v>50</v>
      </c>
    </row>
    <row r="16" spans="1:7" s="3" customFormat="1" x14ac:dyDescent="0.35">
      <c r="A16" s="3" t="s">
        <v>44</v>
      </c>
      <c r="B16" s="3">
        <v>2040</v>
      </c>
      <c r="C16" s="3" t="s">
        <v>49</v>
      </c>
      <c r="D16" s="3" t="s">
        <v>5</v>
      </c>
      <c r="E16" s="3" t="s">
        <v>13</v>
      </c>
      <c r="F16" s="3" t="s">
        <v>50</v>
      </c>
    </row>
    <row r="17" spans="1:7" s="3" customFormat="1" x14ac:dyDescent="0.35">
      <c r="A17" s="3" t="s">
        <v>44</v>
      </c>
      <c r="B17" s="3">
        <v>2020</v>
      </c>
      <c r="C17" s="3" t="s">
        <v>51</v>
      </c>
      <c r="D17" s="3" t="s">
        <v>48</v>
      </c>
      <c r="E17" s="3" t="s">
        <v>13</v>
      </c>
      <c r="F17" s="3" t="s">
        <v>50</v>
      </c>
    </row>
    <row r="18" spans="1:7" s="3" customFormat="1" x14ac:dyDescent="0.35">
      <c r="A18" s="3" t="s">
        <v>44</v>
      </c>
      <c r="B18" s="3">
        <v>2025</v>
      </c>
      <c r="C18" s="3" t="s">
        <v>51</v>
      </c>
      <c r="D18" s="3" t="s">
        <v>48</v>
      </c>
      <c r="E18" s="3" t="s">
        <v>13</v>
      </c>
      <c r="F18" s="3" t="s">
        <v>50</v>
      </c>
    </row>
    <row r="19" spans="1:7" s="3" customFormat="1" x14ac:dyDescent="0.35">
      <c r="A19" s="3" t="s">
        <v>44</v>
      </c>
      <c r="B19" s="3">
        <v>2030</v>
      </c>
      <c r="C19" s="3" t="s">
        <v>51</v>
      </c>
      <c r="D19" s="3" t="s">
        <v>48</v>
      </c>
      <c r="E19" s="3" t="s">
        <v>13</v>
      </c>
      <c r="F19" s="3" t="s">
        <v>50</v>
      </c>
    </row>
    <row r="20" spans="1:7" s="3" customFormat="1" x14ac:dyDescent="0.35">
      <c r="A20" s="3" t="s">
        <v>44</v>
      </c>
      <c r="B20" s="3">
        <v>2035</v>
      </c>
      <c r="C20" s="3" t="s">
        <v>51</v>
      </c>
      <c r="D20" s="3" t="s">
        <v>48</v>
      </c>
      <c r="E20" s="3" t="s">
        <v>13</v>
      </c>
      <c r="F20" s="3" t="s">
        <v>50</v>
      </c>
    </row>
    <row r="21" spans="1:7" s="3" customFormat="1" x14ac:dyDescent="0.35">
      <c r="A21" s="3" t="s">
        <v>44</v>
      </c>
      <c r="B21" s="3">
        <v>2040</v>
      </c>
      <c r="C21" s="3" t="s">
        <v>51</v>
      </c>
      <c r="D21" s="3" t="s">
        <v>48</v>
      </c>
      <c r="E21" s="3" t="s">
        <v>13</v>
      </c>
      <c r="F21" s="3" t="s">
        <v>50</v>
      </c>
    </row>
    <row r="22" spans="1:7" x14ac:dyDescent="0.35">
      <c r="A22" t="s">
        <v>44</v>
      </c>
      <c r="B22">
        <v>2020</v>
      </c>
      <c r="C22" t="s">
        <v>49</v>
      </c>
      <c r="D22" t="s">
        <v>5</v>
      </c>
      <c r="E22" t="s">
        <v>13</v>
      </c>
      <c r="F22" t="s">
        <v>52</v>
      </c>
      <c r="G22">
        <v>3.7250373918088662</v>
      </c>
    </row>
    <row r="23" spans="1:7" x14ac:dyDescent="0.35">
      <c r="A23" t="s">
        <v>44</v>
      </c>
      <c r="B23">
        <v>2025</v>
      </c>
      <c r="C23" t="s">
        <v>49</v>
      </c>
      <c r="D23" t="s">
        <v>5</v>
      </c>
      <c r="E23" t="s">
        <v>13</v>
      </c>
      <c r="F23" t="s">
        <v>52</v>
      </c>
    </row>
    <row r="24" spans="1:7" x14ac:dyDescent="0.35">
      <c r="A24" t="s">
        <v>44</v>
      </c>
      <c r="B24">
        <v>2030</v>
      </c>
      <c r="C24" t="s">
        <v>49</v>
      </c>
      <c r="D24" t="s">
        <v>5</v>
      </c>
      <c r="E24" t="s">
        <v>13</v>
      </c>
      <c r="F24" t="s">
        <v>52</v>
      </c>
    </row>
    <row r="25" spans="1:7" x14ac:dyDescent="0.35">
      <c r="A25" t="s">
        <v>44</v>
      </c>
      <c r="B25">
        <v>2035</v>
      </c>
      <c r="C25" t="s">
        <v>49</v>
      </c>
      <c r="D25" t="s">
        <v>5</v>
      </c>
      <c r="E25" t="s">
        <v>13</v>
      </c>
      <c r="F25" t="s">
        <v>52</v>
      </c>
    </row>
    <row r="26" spans="1:7" x14ac:dyDescent="0.35">
      <c r="A26" t="s">
        <v>44</v>
      </c>
      <c r="B26">
        <v>2040</v>
      </c>
      <c r="C26" t="s">
        <v>49</v>
      </c>
      <c r="D26" t="s">
        <v>5</v>
      </c>
      <c r="E26" t="s">
        <v>13</v>
      </c>
      <c r="F26" t="s">
        <v>52</v>
      </c>
    </row>
    <row r="27" spans="1:7" x14ac:dyDescent="0.35">
      <c r="A27" t="s">
        <v>44</v>
      </c>
      <c r="B27">
        <v>2020</v>
      </c>
      <c r="C27" t="s">
        <v>51</v>
      </c>
      <c r="D27" t="s">
        <v>48</v>
      </c>
      <c r="E27" t="s">
        <v>13</v>
      </c>
      <c r="F27" t="s">
        <v>52</v>
      </c>
      <c r="G27">
        <v>6.1247289567723682</v>
      </c>
    </row>
    <row r="28" spans="1:7" x14ac:dyDescent="0.35">
      <c r="A28" t="s">
        <v>44</v>
      </c>
      <c r="B28">
        <v>2025</v>
      </c>
      <c r="C28" t="s">
        <v>51</v>
      </c>
      <c r="D28" t="s">
        <v>48</v>
      </c>
      <c r="E28" t="s">
        <v>13</v>
      </c>
      <c r="F28" t="s">
        <v>52</v>
      </c>
      <c r="G28">
        <v>5.7444008907244859</v>
      </c>
    </row>
    <row r="29" spans="1:7" x14ac:dyDescent="0.35">
      <c r="A29" t="s">
        <v>44</v>
      </c>
      <c r="B29">
        <v>2030</v>
      </c>
      <c r="C29" t="s">
        <v>51</v>
      </c>
      <c r="D29" t="s">
        <v>48</v>
      </c>
      <c r="E29" t="s">
        <v>13</v>
      </c>
      <c r="F29" t="s">
        <v>52</v>
      </c>
      <c r="G29">
        <v>5.3665488738997569</v>
      </c>
    </row>
    <row r="30" spans="1:7" x14ac:dyDescent="0.35">
      <c r="A30" t="s">
        <v>44</v>
      </c>
      <c r="B30">
        <v>2035</v>
      </c>
      <c r="C30" t="s">
        <v>51</v>
      </c>
      <c r="D30" t="s">
        <v>48</v>
      </c>
      <c r="E30" t="s">
        <v>13</v>
      </c>
      <c r="F30" t="s">
        <v>52</v>
      </c>
      <c r="G30">
        <v>4.9027168479598711</v>
      </c>
    </row>
    <row r="31" spans="1:7" x14ac:dyDescent="0.35">
      <c r="A31" t="s">
        <v>44</v>
      </c>
      <c r="B31">
        <v>2040</v>
      </c>
      <c r="C31" t="s">
        <v>51</v>
      </c>
      <c r="D31" t="s">
        <v>48</v>
      </c>
      <c r="E31" t="s">
        <v>13</v>
      </c>
      <c r="F31" t="s">
        <v>52</v>
      </c>
      <c r="G31">
        <v>3.679643228571063</v>
      </c>
    </row>
    <row r="32" spans="1:7" x14ac:dyDescent="0.35">
      <c r="A32" t="s">
        <v>44</v>
      </c>
      <c r="B32">
        <v>2020</v>
      </c>
      <c r="C32" t="s">
        <v>53</v>
      </c>
      <c r="D32" t="s">
        <v>5</v>
      </c>
      <c r="E32" t="s">
        <v>6</v>
      </c>
      <c r="F32" t="s">
        <v>46</v>
      </c>
      <c r="G32">
        <v>3.4599805615408631E-2</v>
      </c>
    </row>
    <row r="33" spans="1:7" x14ac:dyDescent="0.35">
      <c r="A33" t="s">
        <v>44</v>
      </c>
      <c r="B33">
        <v>2025</v>
      </c>
      <c r="C33" t="s">
        <v>53</v>
      </c>
      <c r="D33" t="s">
        <v>5</v>
      </c>
      <c r="E33" t="s">
        <v>6</v>
      </c>
      <c r="F33" t="s">
        <v>46</v>
      </c>
      <c r="G33">
        <v>3.4790589935713927E-2</v>
      </c>
    </row>
    <row r="34" spans="1:7" x14ac:dyDescent="0.35">
      <c r="A34" t="s">
        <v>44</v>
      </c>
      <c r="B34">
        <v>2030</v>
      </c>
      <c r="C34" t="s">
        <v>53</v>
      </c>
      <c r="D34" t="s">
        <v>5</v>
      </c>
      <c r="E34" t="s">
        <v>6</v>
      </c>
      <c r="F34" t="s">
        <v>46</v>
      </c>
      <c r="G34">
        <v>3.4392960186002082E-2</v>
      </c>
    </row>
    <row r="35" spans="1:7" x14ac:dyDescent="0.35">
      <c r="A35" t="s">
        <v>44</v>
      </c>
      <c r="B35">
        <v>2035</v>
      </c>
      <c r="C35" t="s">
        <v>53</v>
      </c>
      <c r="D35" t="s">
        <v>5</v>
      </c>
      <c r="E35" t="s">
        <v>6</v>
      </c>
      <c r="F35" t="s">
        <v>46</v>
      </c>
      <c r="G35">
        <v>3.3966841855206209E-2</v>
      </c>
    </row>
    <row r="36" spans="1:7" x14ac:dyDescent="0.35">
      <c r="A36" t="s">
        <v>44</v>
      </c>
      <c r="B36">
        <v>2040</v>
      </c>
      <c r="C36" t="s">
        <v>53</v>
      </c>
      <c r="D36" t="s">
        <v>5</v>
      </c>
      <c r="E36" t="s">
        <v>6</v>
      </c>
      <c r="F36" t="s">
        <v>46</v>
      </c>
      <c r="G36">
        <v>3.295070700510748E-2</v>
      </c>
    </row>
    <row r="37" spans="1:7" x14ac:dyDescent="0.35">
      <c r="A37" t="s">
        <v>44</v>
      </c>
      <c r="B37">
        <v>2020</v>
      </c>
      <c r="C37" t="s">
        <v>54</v>
      </c>
      <c r="D37" t="s">
        <v>48</v>
      </c>
      <c r="E37" t="s">
        <v>6</v>
      </c>
      <c r="F37" t="s">
        <v>46</v>
      </c>
      <c r="G37">
        <v>0.108801769692105</v>
      </c>
    </row>
    <row r="38" spans="1:7" x14ac:dyDescent="0.35">
      <c r="A38" t="s">
        <v>44</v>
      </c>
      <c r="B38">
        <v>2025</v>
      </c>
      <c r="C38" t="s">
        <v>54</v>
      </c>
      <c r="D38" t="s">
        <v>48</v>
      </c>
      <c r="E38" t="s">
        <v>6</v>
      </c>
      <c r="F38" t="s">
        <v>46</v>
      </c>
      <c r="G38">
        <v>0.12755567757005101</v>
      </c>
    </row>
    <row r="39" spans="1:7" x14ac:dyDescent="0.35">
      <c r="A39" t="s">
        <v>44</v>
      </c>
      <c r="B39">
        <v>2030</v>
      </c>
      <c r="C39" t="s">
        <v>54</v>
      </c>
      <c r="D39" t="s">
        <v>48</v>
      </c>
      <c r="E39" t="s">
        <v>6</v>
      </c>
      <c r="F39" t="s">
        <v>46</v>
      </c>
      <c r="G39">
        <v>0.13120772779156989</v>
      </c>
    </row>
    <row r="40" spans="1:7" x14ac:dyDescent="0.35">
      <c r="A40" t="s">
        <v>44</v>
      </c>
      <c r="B40">
        <v>2035</v>
      </c>
      <c r="C40" t="s">
        <v>54</v>
      </c>
      <c r="D40" t="s">
        <v>48</v>
      </c>
      <c r="E40" t="s">
        <v>6</v>
      </c>
      <c r="F40" t="s">
        <v>46</v>
      </c>
      <c r="G40">
        <v>0.1239175740579626</v>
      </c>
    </row>
    <row r="41" spans="1:7" x14ac:dyDescent="0.35">
      <c r="A41" t="s">
        <v>44</v>
      </c>
      <c r="B41">
        <v>2040</v>
      </c>
      <c r="C41" t="s">
        <v>54</v>
      </c>
      <c r="D41" t="s">
        <v>48</v>
      </c>
      <c r="E41" t="s">
        <v>6</v>
      </c>
      <c r="F41" t="s">
        <v>46</v>
      </c>
      <c r="G41">
        <v>0.1118969363486977</v>
      </c>
    </row>
    <row r="42" spans="1:7" s="3" customFormat="1" x14ac:dyDescent="0.35">
      <c r="A42" s="3" t="s">
        <v>44</v>
      </c>
      <c r="B42" s="3">
        <v>2020</v>
      </c>
      <c r="C42" s="3" t="s">
        <v>55</v>
      </c>
      <c r="D42" s="3" t="s">
        <v>5</v>
      </c>
      <c r="E42" s="3" t="s">
        <v>6</v>
      </c>
      <c r="F42" s="3" t="s">
        <v>50</v>
      </c>
      <c r="G42" s="3">
        <f>G52-G32</f>
        <v>10.360392211099612</v>
      </c>
    </row>
    <row r="43" spans="1:7" s="3" customFormat="1" x14ac:dyDescent="0.35">
      <c r="A43" s="3" t="s">
        <v>44</v>
      </c>
      <c r="B43" s="3">
        <v>2025</v>
      </c>
      <c r="C43" s="3" t="s">
        <v>55</v>
      </c>
      <c r="D43" s="3" t="s">
        <v>5</v>
      </c>
      <c r="E43" s="3" t="s">
        <v>6</v>
      </c>
      <c r="F43" s="3" t="s">
        <v>50</v>
      </c>
      <c r="G43" s="3">
        <f t="shared" ref="G43:G51" si="0">G53-G33</f>
        <v>10.263995665860516</v>
      </c>
    </row>
    <row r="44" spans="1:7" s="3" customFormat="1" x14ac:dyDescent="0.35">
      <c r="A44" s="3" t="s">
        <v>44</v>
      </c>
      <c r="B44" s="3">
        <v>2030</v>
      </c>
      <c r="C44" s="3" t="s">
        <v>55</v>
      </c>
      <c r="D44" s="3" t="s">
        <v>5</v>
      </c>
      <c r="E44" s="3" t="s">
        <v>6</v>
      </c>
      <c r="F44" s="3" t="s">
        <v>50</v>
      </c>
      <c r="G44" s="3">
        <f t="shared" si="0"/>
        <v>9.9522652063108499</v>
      </c>
    </row>
    <row r="45" spans="1:7" s="3" customFormat="1" x14ac:dyDescent="0.35">
      <c r="A45" s="3" t="s">
        <v>44</v>
      </c>
      <c r="B45" s="3">
        <v>2035</v>
      </c>
      <c r="C45" s="3" t="s">
        <v>55</v>
      </c>
      <c r="D45" s="3" t="s">
        <v>5</v>
      </c>
      <c r="E45" s="3" t="s">
        <v>6</v>
      </c>
      <c r="F45" s="3" t="s">
        <v>50</v>
      </c>
      <c r="G45" s="3">
        <f t="shared" si="0"/>
        <v>9.6086942718114265</v>
      </c>
    </row>
    <row r="46" spans="1:7" s="3" customFormat="1" x14ac:dyDescent="0.35">
      <c r="A46" s="3" t="s">
        <v>44</v>
      </c>
      <c r="B46" s="3">
        <v>2040</v>
      </c>
      <c r="C46" s="3" t="s">
        <v>55</v>
      </c>
      <c r="D46" s="3" t="s">
        <v>5</v>
      </c>
      <c r="E46" s="3" t="s">
        <v>6</v>
      </c>
      <c r="F46" s="3" t="s">
        <v>50</v>
      </c>
      <c r="G46" s="3">
        <f t="shared" si="0"/>
        <v>8.9591168707613438</v>
      </c>
    </row>
    <row r="47" spans="1:7" s="3" customFormat="1" x14ac:dyDescent="0.35">
      <c r="A47" s="3" t="s">
        <v>44</v>
      </c>
      <c r="B47" s="3">
        <v>2020</v>
      </c>
      <c r="C47" s="3" t="s">
        <v>56</v>
      </c>
      <c r="D47" s="3" t="s">
        <v>48</v>
      </c>
      <c r="E47" s="3" t="s">
        <v>6</v>
      </c>
      <c r="F47" s="3" t="s">
        <v>50</v>
      </c>
      <c r="G47" s="3">
        <f t="shared" si="0"/>
        <v>11.014117549437014</v>
      </c>
    </row>
    <row r="48" spans="1:7" s="3" customFormat="1" x14ac:dyDescent="0.35">
      <c r="A48" s="3" t="s">
        <v>44</v>
      </c>
      <c r="B48" s="3">
        <v>2025</v>
      </c>
      <c r="C48" s="3" t="s">
        <v>56</v>
      </c>
      <c r="D48" s="3" t="s">
        <v>48</v>
      </c>
      <c r="E48" s="3" t="s">
        <v>6</v>
      </c>
      <c r="F48" s="3" t="s">
        <v>50</v>
      </c>
      <c r="G48" s="3">
        <f t="shared" si="0"/>
        <v>10.841424597750828</v>
      </c>
    </row>
    <row r="49" spans="1:7" s="3" customFormat="1" x14ac:dyDescent="0.35">
      <c r="A49" s="3" t="s">
        <v>44</v>
      </c>
      <c r="B49" s="3">
        <v>2030</v>
      </c>
      <c r="C49" s="3" t="s">
        <v>56</v>
      </c>
      <c r="D49" s="3" t="s">
        <v>48</v>
      </c>
      <c r="E49" s="3" t="s">
        <v>6</v>
      </c>
      <c r="F49" s="3" t="s">
        <v>50</v>
      </c>
      <c r="G49" s="3">
        <f t="shared" si="0"/>
        <v>10.492810663594851</v>
      </c>
    </row>
    <row r="50" spans="1:7" s="3" customFormat="1" x14ac:dyDescent="0.35">
      <c r="A50" s="3" t="s">
        <v>44</v>
      </c>
      <c r="B50" s="3">
        <v>2035</v>
      </c>
      <c r="C50" s="3" t="s">
        <v>56</v>
      </c>
      <c r="D50" s="3" t="s">
        <v>48</v>
      </c>
      <c r="E50" s="3" t="s">
        <v>6</v>
      </c>
      <c r="F50" s="3" t="s">
        <v>50</v>
      </c>
      <c r="G50" s="3">
        <f t="shared" si="0"/>
        <v>10.128228462399157</v>
      </c>
    </row>
    <row r="51" spans="1:7" s="3" customFormat="1" x14ac:dyDescent="0.35">
      <c r="A51" s="3" t="s">
        <v>44</v>
      </c>
      <c r="B51" s="3">
        <v>2040</v>
      </c>
      <c r="C51" s="3" t="s">
        <v>56</v>
      </c>
      <c r="D51" s="3" t="s">
        <v>48</v>
      </c>
      <c r="E51" s="3" t="s">
        <v>6</v>
      </c>
      <c r="F51" s="3" t="s">
        <v>50</v>
      </c>
      <c r="G51" s="3">
        <f t="shared" si="0"/>
        <v>9.2998793181231996</v>
      </c>
    </row>
    <row r="52" spans="1:7" x14ac:dyDescent="0.35">
      <c r="A52" t="s">
        <v>44</v>
      </c>
      <c r="B52">
        <v>2020</v>
      </c>
      <c r="C52" t="s">
        <v>55</v>
      </c>
      <c r="D52" t="s">
        <v>5</v>
      </c>
      <c r="E52" t="s">
        <v>6</v>
      </c>
      <c r="F52" t="s">
        <v>52</v>
      </c>
      <c r="G52">
        <v>10.394992016715021</v>
      </c>
    </row>
    <row r="53" spans="1:7" x14ac:dyDescent="0.35">
      <c r="A53" t="s">
        <v>44</v>
      </c>
      <c r="B53">
        <v>2025</v>
      </c>
      <c r="C53" t="s">
        <v>55</v>
      </c>
      <c r="D53" t="s">
        <v>5</v>
      </c>
      <c r="E53" t="s">
        <v>6</v>
      </c>
      <c r="F53" t="s">
        <v>52</v>
      </c>
      <c r="G53">
        <v>10.29878625579623</v>
      </c>
    </row>
    <row r="54" spans="1:7" x14ac:dyDescent="0.35">
      <c r="A54" t="s">
        <v>44</v>
      </c>
      <c r="B54">
        <v>2030</v>
      </c>
      <c r="C54" t="s">
        <v>55</v>
      </c>
      <c r="D54" t="s">
        <v>5</v>
      </c>
      <c r="E54" t="s">
        <v>6</v>
      </c>
      <c r="F54" t="s">
        <v>52</v>
      </c>
      <c r="G54">
        <v>9.9866581664968521</v>
      </c>
    </row>
    <row r="55" spans="1:7" x14ac:dyDescent="0.35">
      <c r="A55" t="s">
        <v>44</v>
      </c>
      <c r="B55">
        <v>2035</v>
      </c>
      <c r="C55" t="s">
        <v>55</v>
      </c>
      <c r="D55" t="s">
        <v>5</v>
      </c>
      <c r="E55" t="s">
        <v>6</v>
      </c>
      <c r="F55" t="s">
        <v>52</v>
      </c>
      <c r="G55">
        <v>9.642661113666632</v>
      </c>
    </row>
    <row r="56" spans="1:7" x14ac:dyDescent="0.35">
      <c r="A56" t="s">
        <v>44</v>
      </c>
      <c r="B56">
        <v>2040</v>
      </c>
      <c r="C56" t="s">
        <v>55</v>
      </c>
      <c r="D56" t="s">
        <v>5</v>
      </c>
      <c r="E56" t="s">
        <v>6</v>
      </c>
      <c r="F56" t="s">
        <v>52</v>
      </c>
      <c r="G56">
        <v>8.992067577766452</v>
      </c>
    </row>
    <row r="57" spans="1:7" x14ac:dyDescent="0.35">
      <c r="A57" t="s">
        <v>44</v>
      </c>
      <c r="B57">
        <v>2020</v>
      </c>
      <c r="C57" t="s">
        <v>56</v>
      </c>
      <c r="D57" t="s">
        <v>48</v>
      </c>
      <c r="E57" t="s">
        <v>6</v>
      </c>
      <c r="F57" t="s">
        <v>52</v>
      </c>
      <c r="G57">
        <v>11.122919319129119</v>
      </c>
    </row>
    <row r="58" spans="1:7" x14ac:dyDescent="0.35">
      <c r="A58" t="s">
        <v>44</v>
      </c>
      <c r="B58">
        <v>2025</v>
      </c>
      <c r="C58" t="s">
        <v>56</v>
      </c>
      <c r="D58" t="s">
        <v>48</v>
      </c>
      <c r="E58" t="s">
        <v>6</v>
      </c>
      <c r="F58" t="s">
        <v>52</v>
      </c>
      <c r="G58">
        <v>10.968980275320879</v>
      </c>
    </row>
    <row r="59" spans="1:7" x14ac:dyDescent="0.35">
      <c r="A59" t="s">
        <v>44</v>
      </c>
      <c r="B59">
        <v>2030</v>
      </c>
      <c r="C59" t="s">
        <v>56</v>
      </c>
      <c r="D59" t="s">
        <v>48</v>
      </c>
      <c r="E59" t="s">
        <v>6</v>
      </c>
      <c r="F59" t="s">
        <v>52</v>
      </c>
      <c r="G59">
        <v>10.62401839138642</v>
      </c>
    </row>
    <row r="60" spans="1:7" x14ac:dyDescent="0.35">
      <c r="A60" t="s">
        <v>44</v>
      </c>
      <c r="B60">
        <v>2035</v>
      </c>
      <c r="C60" t="s">
        <v>56</v>
      </c>
      <c r="D60" t="s">
        <v>48</v>
      </c>
      <c r="E60" t="s">
        <v>6</v>
      </c>
      <c r="F60" t="s">
        <v>52</v>
      </c>
      <c r="G60">
        <v>10.25214603645712</v>
      </c>
    </row>
    <row r="61" spans="1:7" x14ac:dyDescent="0.35">
      <c r="A61" t="s">
        <v>44</v>
      </c>
      <c r="B61">
        <v>2040</v>
      </c>
      <c r="C61" t="s">
        <v>56</v>
      </c>
      <c r="D61" t="s">
        <v>48</v>
      </c>
      <c r="E61" t="s">
        <v>6</v>
      </c>
      <c r="F61" t="s">
        <v>52</v>
      </c>
      <c r="G61">
        <v>9.4117762544718975</v>
      </c>
    </row>
    <row r="62" spans="1:7" x14ac:dyDescent="0.35">
      <c r="A62" t="s">
        <v>44</v>
      </c>
      <c r="B62">
        <v>2020</v>
      </c>
      <c r="C62" t="s">
        <v>57</v>
      </c>
      <c r="D62" t="s">
        <v>5</v>
      </c>
      <c r="E62" t="s">
        <v>7</v>
      </c>
      <c r="F62" t="s">
        <v>46</v>
      </c>
      <c r="G62">
        <v>0.97167031836313478</v>
      </c>
    </row>
    <row r="63" spans="1:7" x14ac:dyDescent="0.35">
      <c r="A63" t="s">
        <v>44</v>
      </c>
      <c r="B63">
        <v>2025</v>
      </c>
      <c r="C63" t="s">
        <v>57</v>
      </c>
      <c r="D63" t="s">
        <v>5</v>
      </c>
      <c r="E63" t="s">
        <v>7</v>
      </c>
      <c r="F63" t="s">
        <v>46</v>
      </c>
      <c r="G63">
        <v>0.95853164076924013</v>
      </c>
    </row>
    <row r="64" spans="1:7" x14ac:dyDescent="0.35">
      <c r="A64" t="s">
        <v>44</v>
      </c>
      <c r="B64">
        <v>2030</v>
      </c>
      <c r="C64" t="s">
        <v>57</v>
      </c>
      <c r="D64" t="s">
        <v>5</v>
      </c>
      <c r="E64" t="s">
        <v>7</v>
      </c>
      <c r="F64" t="s">
        <v>46</v>
      </c>
      <c r="G64">
        <v>0.87023167628515585</v>
      </c>
    </row>
    <row r="65" spans="1:7" x14ac:dyDescent="0.35">
      <c r="A65" t="s">
        <v>44</v>
      </c>
      <c r="B65">
        <v>2035</v>
      </c>
      <c r="C65" t="s">
        <v>57</v>
      </c>
      <c r="D65" t="s">
        <v>5</v>
      </c>
      <c r="E65" t="s">
        <v>7</v>
      </c>
      <c r="F65" t="s">
        <v>46</v>
      </c>
      <c r="G65">
        <v>0.76276052222527335</v>
      </c>
    </row>
    <row r="66" spans="1:7" x14ac:dyDescent="0.35">
      <c r="A66" t="s">
        <v>44</v>
      </c>
      <c r="B66">
        <v>2040</v>
      </c>
      <c r="C66" t="s">
        <v>57</v>
      </c>
      <c r="D66" t="s">
        <v>5</v>
      </c>
      <c r="E66" t="s">
        <v>7</v>
      </c>
      <c r="F66" t="s">
        <v>46</v>
      </c>
      <c r="G66">
        <v>0.65439716101084933</v>
      </c>
    </row>
    <row r="67" spans="1:7" x14ac:dyDescent="0.35">
      <c r="A67" t="s">
        <v>44</v>
      </c>
      <c r="B67">
        <v>2020</v>
      </c>
      <c r="C67" t="s">
        <v>58</v>
      </c>
      <c r="D67" t="s">
        <v>48</v>
      </c>
      <c r="E67" t="s">
        <v>7</v>
      </c>
      <c r="F67" t="s">
        <v>46</v>
      </c>
      <c r="G67">
        <v>0.98327466366268701</v>
      </c>
    </row>
    <row r="68" spans="1:7" x14ac:dyDescent="0.35">
      <c r="A68" t="s">
        <v>44</v>
      </c>
      <c r="B68">
        <v>2025</v>
      </c>
      <c r="C68" t="s">
        <v>58</v>
      </c>
      <c r="D68" t="s">
        <v>48</v>
      </c>
      <c r="E68" t="s">
        <v>7</v>
      </c>
      <c r="F68" t="s">
        <v>46</v>
      </c>
      <c r="G68">
        <v>0.96646219204725781</v>
      </c>
    </row>
    <row r="69" spans="1:7" x14ac:dyDescent="0.35">
      <c r="A69" t="s">
        <v>44</v>
      </c>
      <c r="B69">
        <v>2030</v>
      </c>
      <c r="C69" t="s">
        <v>58</v>
      </c>
      <c r="D69" t="s">
        <v>48</v>
      </c>
      <c r="E69" t="s">
        <v>7</v>
      </c>
      <c r="F69" t="s">
        <v>46</v>
      </c>
      <c r="G69">
        <v>0.90100416616042223</v>
      </c>
    </row>
    <row r="70" spans="1:7" x14ac:dyDescent="0.35">
      <c r="A70" t="s">
        <v>44</v>
      </c>
      <c r="B70">
        <v>2035</v>
      </c>
      <c r="C70" t="s">
        <v>58</v>
      </c>
      <c r="D70" t="s">
        <v>48</v>
      </c>
      <c r="E70" t="s">
        <v>7</v>
      </c>
      <c r="F70" t="s">
        <v>46</v>
      </c>
      <c r="G70">
        <v>0.82770691470285063</v>
      </c>
    </row>
    <row r="71" spans="1:7" x14ac:dyDescent="0.35">
      <c r="A71" t="s">
        <v>44</v>
      </c>
      <c r="B71">
        <v>2040</v>
      </c>
      <c r="C71" t="s">
        <v>58</v>
      </c>
      <c r="D71" t="s">
        <v>48</v>
      </c>
      <c r="E71" t="s">
        <v>7</v>
      </c>
      <c r="F71" t="s">
        <v>46</v>
      </c>
      <c r="G71">
        <v>0.71240786065995199</v>
      </c>
    </row>
    <row r="72" spans="1:7" s="3" customFormat="1" x14ac:dyDescent="0.35">
      <c r="A72" s="3" t="s">
        <v>44</v>
      </c>
      <c r="B72" s="3">
        <v>2020</v>
      </c>
      <c r="C72" s="3" t="s">
        <v>59</v>
      </c>
      <c r="D72" s="3" t="s">
        <v>5</v>
      </c>
      <c r="E72" s="3" t="s">
        <v>7</v>
      </c>
      <c r="F72" s="3" t="s">
        <v>50</v>
      </c>
      <c r="G72" s="3">
        <f>G82-G62</f>
        <v>3.3488277553755825</v>
      </c>
    </row>
    <row r="73" spans="1:7" s="3" customFormat="1" x14ac:dyDescent="0.35">
      <c r="A73" s="3" t="s">
        <v>44</v>
      </c>
      <c r="B73" s="3">
        <v>2025</v>
      </c>
      <c r="C73" s="3" t="s">
        <v>59</v>
      </c>
      <c r="D73" s="3" t="s">
        <v>5</v>
      </c>
      <c r="E73" s="3" t="s">
        <v>7</v>
      </c>
      <c r="F73" s="3" t="s">
        <v>50</v>
      </c>
      <c r="G73" s="3">
        <f t="shared" ref="G73:G81" si="1">G83-G63</f>
        <v>3.3081251156863836</v>
      </c>
    </row>
    <row r="74" spans="1:7" s="3" customFormat="1" x14ac:dyDescent="0.35">
      <c r="A74" s="3" t="s">
        <v>44</v>
      </c>
      <c r="B74" s="3">
        <v>2030</v>
      </c>
      <c r="C74" s="3" t="s">
        <v>59</v>
      </c>
      <c r="D74" s="3" t="s">
        <v>5</v>
      </c>
      <c r="E74" s="3" t="s">
        <v>7</v>
      </c>
      <c r="F74" s="3" t="s">
        <v>50</v>
      </c>
      <c r="G74" s="3">
        <f t="shared" si="1"/>
        <v>3.1387211849851258</v>
      </c>
    </row>
    <row r="75" spans="1:7" s="3" customFormat="1" x14ac:dyDescent="0.35">
      <c r="A75" s="3" t="s">
        <v>44</v>
      </c>
      <c r="B75" s="3">
        <v>2035</v>
      </c>
      <c r="C75" s="3" t="s">
        <v>59</v>
      </c>
      <c r="D75" s="3" t="s">
        <v>5</v>
      </c>
      <c r="E75" s="3" t="s">
        <v>7</v>
      </c>
      <c r="F75" s="3" t="s">
        <v>50</v>
      </c>
      <c r="G75" s="3">
        <f t="shared" si="1"/>
        <v>2.9349673009842867</v>
      </c>
    </row>
    <row r="76" spans="1:7" s="3" customFormat="1" x14ac:dyDescent="0.35">
      <c r="A76" s="3" t="s">
        <v>44</v>
      </c>
      <c r="B76" s="3">
        <v>2040</v>
      </c>
      <c r="C76" s="3" t="s">
        <v>59</v>
      </c>
      <c r="D76" s="3" t="s">
        <v>5</v>
      </c>
      <c r="E76" s="3" t="s">
        <v>7</v>
      </c>
      <c r="F76" s="3" t="s">
        <v>50</v>
      </c>
      <c r="G76" s="3">
        <f t="shared" si="1"/>
        <v>2.6367402706190486</v>
      </c>
    </row>
    <row r="77" spans="1:7" s="3" customFormat="1" x14ac:dyDescent="0.35">
      <c r="A77" s="3" t="s">
        <v>44</v>
      </c>
      <c r="B77" s="3">
        <v>2020</v>
      </c>
      <c r="C77" s="3" t="s">
        <v>60</v>
      </c>
      <c r="D77" s="3" t="s">
        <v>48</v>
      </c>
      <c r="E77" s="3" t="s">
        <v>7</v>
      </c>
      <c r="F77" s="3" t="s">
        <v>50</v>
      </c>
      <c r="G77" s="3">
        <f t="shared" si="1"/>
        <v>4.4114965712518801</v>
      </c>
    </row>
    <row r="78" spans="1:7" s="3" customFormat="1" x14ac:dyDescent="0.35">
      <c r="A78" s="3" t="s">
        <v>44</v>
      </c>
      <c r="B78" s="3">
        <v>2025</v>
      </c>
      <c r="C78" s="3" t="s">
        <v>60</v>
      </c>
      <c r="D78" s="3" t="s">
        <v>48</v>
      </c>
      <c r="E78" s="3" t="s">
        <v>7</v>
      </c>
      <c r="F78" s="3" t="s">
        <v>50</v>
      </c>
      <c r="G78" s="3">
        <f t="shared" si="1"/>
        <v>4.277874819378467</v>
      </c>
    </row>
    <row r="79" spans="1:7" s="3" customFormat="1" x14ac:dyDescent="0.35">
      <c r="A79" s="3" t="s">
        <v>44</v>
      </c>
      <c r="B79" s="3">
        <v>2030</v>
      </c>
      <c r="C79" s="3" t="s">
        <v>60</v>
      </c>
      <c r="D79" s="3" t="s">
        <v>48</v>
      </c>
      <c r="E79" s="3" t="s">
        <v>7</v>
      </c>
      <c r="F79" s="3" t="s">
        <v>50</v>
      </c>
      <c r="G79" s="3">
        <f t="shared" si="1"/>
        <v>3.8993023359944039</v>
      </c>
    </row>
    <row r="80" spans="1:7" s="3" customFormat="1" x14ac:dyDescent="0.35">
      <c r="A80" s="3" t="s">
        <v>44</v>
      </c>
      <c r="B80" s="3">
        <v>2035</v>
      </c>
      <c r="C80" s="3" t="s">
        <v>60</v>
      </c>
      <c r="D80" s="3" t="s">
        <v>48</v>
      </c>
      <c r="E80" s="3" t="s">
        <v>7</v>
      </c>
      <c r="F80" s="3" t="s">
        <v>50</v>
      </c>
      <c r="G80" s="3">
        <f t="shared" si="1"/>
        <v>3.5227502628784118</v>
      </c>
    </row>
    <row r="81" spans="1:7" s="3" customFormat="1" x14ac:dyDescent="0.35">
      <c r="A81" s="3" t="s">
        <v>44</v>
      </c>
      <c r="B81" s="3">
        <v>2040</v>
      </c>
      <c r="C81" s="3" t="s">
        <v>60</v>
      </c>
      <c r="D81" s="3" t="s">
        <v>48</v>
      </c>
      <c r="E81" s="3" t="s">
        <v>7</v>
      </c>
      <c r="F81" s="3" t="s">
        <v>50</v>
      </c>
      <c r="G81" s="3">
        <f t="shared" si="1"/>
        <v>2.829110821088141</v>
      </c>
    </row>
    <row r="82" spans="1:7" x14ac:dyDescent="0.35">
      <c r="A82" t="s">
        <v>44</v>
      </c>
      <c r="B82">
        <v>2020</v>
      </c>
      <c r="C82" t="s">
        <v>59</v>
      </c>
      <c r="D82" t="s">
        <v>5</v>
      </c>
      <c r="E82" t="s">
        <v>7</v>
      </c>
      <c r="F82" t="s">
        <v>52</v>
      </c>
      <c r="G82">
        <v>4.3204980737387171</v>
      </c>
    </row>
    <row r="83" spans="1:7" x14ac:dyDescent="0.35">
      <c r="A83" t="s">
        <v>44</v>
      </c>
      <c r="B83">
        <v>2025</v>
      </c>
      <c r="C83" t="s">
        <v>59</v>
      </c>
      <c r="D83" t="s">
        <v>5</v>
      </c>
      <c r="E83" t="s">
        <v>7</v>
      </c>
      <c r="F83" t="s">
        <v>52</v>
      </c>
      <c r="G83">
        <v>4.2666567564556237</v>
      </c>
    </row>
    <row r="84" spans="1:7" x14ac:dyDescent="0.35">
      <c r="A84" t="s">
        <v>44</v>
      </c>
      <c r="B84">
        <v>2030</v>
      </c>
      <c r="C84" t="s">
        <v>59</v>
      </c>
      <c r="D84" t="s">
        <v>5</v>
      </c>
      <c r="E84" t="s">
        <v>7</v>
      </c>
      <c r="F84" t="s">
        <v>52</v>
      </c>
      <c r="G84">
        <v>4.0089528612702816</v>
      </c>
    </row>
    <row r="85" spans="1:7" x14ac:dyDescent="0.35">
      <c r="A85" t="s">
        <v>44</v>
      </c>
      <c r="B85">
        <v>2035</v>
      </c>
      <c r="C85" t="s">
        <v>59</v>
      </c>
      <c r="D85" t="s">
        <v>5</v>
      </c>
      <c r="E85" t="s">
        <v>7</v>
      </c>
      <c r="F85" t="s">
        <v>52</v>
      </c>
      <c r="G85">
        <v>3.6977278232095601</v>
      </c>
    </row>
    <row r="86" spans="1:7" x14ac:dyDescent="0.35">
      <c r="A86" t="s">
        <v>44</v>
      </c>
      <c r="B86">
        <v>2040</v>
      </c>
      <c r="C86" t="s">
        <v>59</v>
      </c>
      <c r="D86" t="s">
        <v>5</v>
      </c>
      <c r="E86" t="s">
        <v>7</v>
      </c>
      <c r="F86" t="s">
        <v>52</v>
      </c>
      <c r="G86">
        <v>3.291137431629898</v>
      </c>
    </row>
    <row r="87" spans="1:7" x14ac:dyDescent="0.35">
      <c r="A87" t="s">
        <v>44</v>
      </c>
      <c r="B87">
        <v>2020</v>
      </c>
      <c r="C87" t="s">
        <v>60</v>
      </c>
      <c r="D87" t="s">
        <v>48</v>
      </c>
      <c r="E87" t="s">
        <v>7</v>
      </c>
      <c r="F87" t="s">
        <v>52</v>
      </c>
      <c r="G87">
        <v>5.3947712349145673</v>
      </c>
    </row>
    <row r="88" spans="1:7" x14ac:dyDescent="0.35">
      <c r="A88" t="s">
        <v>44</v>
      </c>
      <c r="B88">
        <v>2025</v>
      </c>
      <c r="C88" t="s">
        <v>60</v>
      </c>
      <c r="D88" t="s">
        <v>48</v>
      </c>
      <c r="E88" t="s">
        <v>7</v>
      </c>
      <c r="F88" t="s">
        <v>52</v>
      </c>
      <c r="G88">
        <v>5.2443370114257251</v>
      </c>
    </row>
    <row r="89" spans="1:7" x14ac:dyDescent="0.35">
      <c r="A89" t="s">
        <v>44</v>
      </c>
      <c r="B89">
        <v>2030</v>
      </c>
      <c r="C89" t="s">
        <v>60</v>
      </c>
      <c r="D89" t="s">
        <v>48</v>
      </c>
      <c r="E89" t="s">
        <v>7</v>
      </c>
      <c r="F89" t="s">
        <v>52</v>
      </c>
      <c r="G89">
        <v>4.8003065021548261</v>
      </c>
    </row>
    <row r="90" spans="1:7" x14ac:dyDescent="0.35">
      <c r="A90" t="s">
        <v>44</v>
      </c>
      <c r="B90">
        <v>2035</v>
      </c>
      <c r="C90" t="s">
        <v>60</v>
      </c>
      <c r="D90" t="s">
        <v>48</v>
      </c>
      <c r="E90" t="s">
        <v>7</v>
      </c>
      <c r="F90" t="s">
        <v>52</v>
      </c>
      <c r="G90">
        <v>4.3504571775812622</v>
      </c>
    </row>
    <row r="91" spans="1:7" x14ac:dyDescent="0.35">
      <c r="A91" t="s">
        <v>44</v>
      </c>
      <c r="B91">
        <v>2040</v>
      </c>
      <c r="C91" t="s">
        <v>60</v>
      </c>
      <c r="D91" t="s">
        <v>48</v>
      </c>
      <c r="E91" t="s">
        <v>7</v>
      </c>
      <c r="F91" t="s">
        <v>52</v>
      </c>
      <c r="G91">
        <v>3.541518681748093</v>
      </c>
    </row>
    <row r="92" spans="1:7" x14ac:dyDescent="0.35">
      <c r="A92" t="s">
        <v>44</v>
      </c>
      <c r="B92">
        <v>2020</v>
      </c>
      <c r="C92" t="s">
        <v>61</v>
      </c>
      <c r="D92" t="s">
        <v>5</v>
      </c>
      <c r="E92" t="s">
        <v>12</v>
      </c>
      <c r="F92" t="s">
        <v>52</v>
      </c>
      <c r="G92">
        <v>5.1521373860920692</v>
      </c>
    </row>
    <row r="93" spans="1:7" x14ac:dyDescent="0.35">
      <c r="A93" t="s">
        <v>44</v>
      </c>
      <c r="B93">
        <v>2025</v>
      </c>
      <c r="C93" t="s">
        <v>61</v>
      </c>
      <c r="D93" t="s">
        <v>5</v>
      </c>
      <c r="E93" t="s">
        <v>12</v>
      </c>
      <c r="F93" t="s">
        <v>52</v>
      </c>
      <c r="G93">
        <v>5.0197176478844758</v>
      </c>
    </row>
    <row r="94" spans="1:7" x14ac:dyDescent="0.35">
      <c r="A94" t="s">
        <v>44</v>
      </c>
      <c r="B94">
        <v>2030</v>
      </c>
      <c r="C94" t="s">
        <v>61</v>
      </c>
      <c r="D94" t="s">
        <v>5</v>
      </c>
      <c r="E94" t="s">
        <v>12</v>
      </c>
      <c r="F94" t="s">
        <v>52</v>
      </c>
      <c r="G94">
        <v>4.574743775690453</v>
      </c>
    </row>
    <row r="95" spans="1:7" x14ac:dyDescent="0.35">
      <c r="A95" t="s">
        <v>44</v>
      </c>
      <c r="B95">
        <v>2035</v>
      </c>
      <c r="C95" t="s">
        <v>61</v>
      </c>
      <c r="D95" t="s">
        <v>5</v>
      </c>
      <c r="E95" t="s">
        <v>12</v>
      </c>
      <c r="F95" t="s">
        <v>52</v>
      </c>
      <c r="G95">
        <v>4.0883818959987783</v>
      </c>
    </row>
    <row r="96" spans="1:7" x14ac:dyDescent="0.35">
      <c r="A96" t="s">
        <v>44</v>
      </c>
      <c r="B96">
        <v>2040</v>
      </c>
      <c r="C96" t="s">
        <v>61</v>
      </c>
      <c r="D96" t="s">
        <v>5</v>
      </c>
      <c r="E96" t="s">
        <v>12</v>
      </c>
      <c r="F96" t="s">
        <v>52</v>
      </c>
      <c r="G96">
        <v>3.4786171848259539</v>
      </c>
    </row>
    <row r="97" spans="1:7" x14ac:dyDescent="0.35">
      <c r="A97" t="s">
        <v>44</v>
      </c>
      <c r="B97">
        <v>2020</v>
      </c>
      <c r="C97" t="s">
        <v>62</v>
      </c>
      <c r="D97" t="s">
        <v>48</v>
      </c>
      <c r="E97" t="s">
        <v>12</v>
      </c>
      <c r="F97" t="s">
        <v>52</v>
      </c>
      <c r="G97">
        <v>15.929338171658451</v>
      </c>
    </row>
    <row r="98" spans="1:7" x14ac:dyDescent="0.35">
      <c r="A98" t="s">
        <v>44</v>
      </c>
      <c r="B98">
        <v>2025</v>
      </c>
      <c r="C98" t="s">
        <v>62</v>
      </c>
      <c r="D98" t="s">
        <v>48</v>
      </c>
      <c r="E98" t="s">
        <v>12</v>
      </c>
      <c r="F98" t="s">
        <v>52</v>
      </c>
      <c r="G98">
        <v>15.2470599529707</v>
      </c>
    </row>
    <row r="99" spans="1:7" x14ac:dyDescent="0.35">
      <c r="A99" t="s">
        <v>44</v>
      </c>
      <c r="B99">
        <v>2030</v>
      </c>
      <c r="C99" t="s">
        <v>62</v>
      </c>
      <c r="D99" t="s">
        <v>48</v>
      </c>
      <c r="E99" t="s">
        <v>12</v>
      </c>
      <c r="F99" t="s">
        <v>52</v>
      </c>
      <c r="G99">
        <v>13.93985458175956</v>
      </c>
    </row>
    <row r="100" spans="1:7" x14ac:dyDescent="0.35">
      <c r="A100" t="s">
        <v>44</v>
      </c>
      <c r="B100">
        <v>2035</v>
      </c>
      <c r="C100" t="s">
        <v>62</v>
      </c>
      <c r="D100" t="s">
        <v>48</v>
      </c>
      <c r="E100" t="s">
        <v>12</v>
      </c>
      <c r="F100" t="s">
        <v>52</v>
      </c>
      <c r="G100">
        <v>12.68442518681328</v>
      </c>
    </row>
    <row r="101" spans="1:7" x14ac:dyDescent="0.35">
      <c r="A101" t="s">
        <v>44</v>
      </c>
      <c r="B101">
        <v>2040</v>
      </c>
      <c r="C101" t="s">
        <v>62</v>
      </c>
      <c r="D101" t="s">
        <v>48</v>
      </c>
      <c r="E101" t="s">
        <v>12</v>
      </c>
      <c r="F101" t="s">
        <v>52</v>
      </c>
      <c r="G101">
        <v>10.624279259789089</v>
      </c>
    </row>
    <row r="102" spans="1:7" x14ac:dyDescent="0.35">
      <c r="A102" t="s">
        <v>44</v>
      </c>
      <c r="B102">
        <v>2020</v>
      </c>
      <c r="C102" t="s">
        <v>63</v>
      </c>
      <c r="D102" t="s">
        <v>48</v>
      </c>
      <c r="E102" t="s">
        <v>11</v>
      </c>
      <c r="F102" t="s">
        <v>52</v>
      </c>
      <c r="G102">
        <v>49.847866396170687</v>
      </c>
    </row>
    <row r="103" spans="1:7" x14ac:dyDescent="0.35">
      <c r="A103" t="s">
        <v>44</v>
      </c>
      <c r="B103">
        <v>2025</v>
      </c>
      <c r="C103" t="s">
        <v>63</v>
      </c>
      <c r="D103" t="s">
        <v>48</v>
      </c>
      <c r="E103" t="s">
        <v>11</v>
      </c>
      <c r="F103" t="s">
        <v>52</v>
      </c>
      <c r="G103">
        <v>49.035825056430063</v>
      </c>
    </row>
    <row r="104" spans="1:7" x14ac:dyDescent="0.35">
      <c r="A104" t="s">
        <v>44</v>
      </c>
      <c r="B104">
        <v>2030</v>
      </c>
      <c r="C104" t="s">
        <v>63</v>
      </c>
      <c r="D104" t="s">
        <v>48</v>
      </c>
      <c r="E104" t="s">
        <v>11</v>
      </c>
      <c r="F104" t="s">
        <v>52</v>
      </c>
      <c r="G104">
        <v>47.199619710848737</v>
      </c>
    </row>
    <row r="105" spans="1:7" x14ac:dyDescent="0.35">
      <c r="A105" t="s">
        <v>44</v>
      </c>
      <c r="B105">
        <v>2035</v>
      </c>
      <c r="C105" t="s">
        <v>63</v>
      </c>
      <c r="D105" t="s">
        <v>48</v>
      </c>
      <c r="E105" t="s">
        <v>11</v>
      </c>
      <c r="F105" t="s">
        <v>52</v>
      </c>
      <c r="G105">
        <v>45.464301416836847</v>
      </c>
    </row>
    <row r="106" spans="1:7" x14ac:dyDescent="0.35">
      <c r="A106" t="s">
        <v>44</v>
      </c>
      <c r="B106">
        <v>2040</v>
      </c>
      <c r="C106" t="s">
        <v>63</v>
      </c>
      <c r="D106" t="s">
        <v>48</v>
      </c>
      <c r="E106" t="s">
        <v>11</v>
      </c>
      <c r="F106" t="s">
        <v>52</v>
      </c>
      <c r="G106">
        <v>41.602172455358151</v>
      </c>
    </row>
    <row r="107" spans="1:7" x14ac:dyDescent="0.35">
      <c r="A107" t="s">
        <v>44</v>
      </c>
      <c r="B107">
        <v>2020</v>
      </c>
      <c r="C107" t="s">
        <v>64</v>
      </c>
      <c r="D107" t="s">
        <v>5</v>
      </c>
      <c r="E107" t="s">
        <v>8</v>
      </c>
      <c r="F107" t="s">
        <v>46</v>
      </c>
      <c r="G107">
        <v>0.49644292870391998</v>
      </c>
    </row>
    <row r="108" spans="1:7" x14ac:dyDescent="0.35">
      <c r="A108" t="s">
        <v>44</v>
      </c>
      <c r="B108">
        <v>2025</v>
      </c>
      <c r="C108" t="s">
        <v>64</v>
      </c>
      <c r="D108" t="s">
        <v>5</v>
      </c>
      <c r="E108" t="s">
        <v>8</v>
      </c>
      <c r="F108" t="s">
        <v>46</v>
      </c>
      <c r="G108">
        <v>0.50044849607856146</v>
      </c>
    </row>
    <row r="109" spans="1:7" x14ac:dyDescent="0.35">
      <c r="A109" t="s">
        <v>44</v>
      </c>
      <c r="B109">
        <v>2030</v>
      </c>
      <c r="C109" t="s">
        <v>64</v>
      </c>
      <c r="D109" t="s">
        <v>5</v>
      </c>
      <c r="E109" t="s">
        <v>8</v>
      </c>
      <c r="F109" t="s">
        <v>46</v>
      </c>
      <c r="G109">
        <v>0.49621092020449131</v>
      </c>
    </row>
    <row r="110" spans="1:7" x14ac:dyDescent="0.35">
      <c r="A110" t="s">
        <v>44</v>
      </c>
      <c r="B110">
        <v>2035</v>
      </c>
      <c r="C110" t="s">
        <v>64</v>
      </c>
      <c r="D110" t="s">
        <v>5</v>
      </c>
      <c r="E110" t="s">
        <v>8</v>
      </c>
      <c r="F110" t="s">
        <v>46</v>
      </c>
      <c r="G110">
        <v>0.48552449201578818</v>
      </c>
    </row>
    <row r="111" spans="1:7" x14ac:dyDescent="0.35">
      <c r="A111" t="s">
        <v>44</v>
      </c>
      <c r="B111">
        <v>2040</v>
      </c>
      <c r="C111" t="s">
        <v>64</v>
      </c>
      <c r="D111" t="s">
        <v>5</v>
      </c>
      <c r="E111" t="s">
        <v>8</v>
      </c>
      <c r="F111" t="s">
        <v>46</v>
      </c>
      <c r="G111">
        <v>0.45672104436987909</v>
      </c>
    </row>
    <row r="112" spans="1:7" x14ac:dyDescent="0.35">
      <c r="A112" t="s">
        <v>44</v>
      </c>
      <c r="B112">
        <v>2020</v>
      </c>
      <c r="C112" t="s">
        <v>65</v>
      </c>
      <c r="D112" t="s">
        <v>48</v>
      </c>
      <c r="E112" t="s">
        <v>8</v>
      </c>
      <c r="F112" t="s">
        <v>46</v>
      </c>
      <c r="G112">
        <v>0.63623445139224821</v>
      </c>
    </row>
    <row r="113" spans="1:7" x14ac:dyDescent="0.35">
      <c r="A113" t="s">
        <v>44</v>
      </c>
      <c r="B113">
        <v>2025</v>
      </c>
      <c r="C113" t="s">
        <v>65</v>
      </c>
      <c r="D113" t="s">
        <v>48</v>
      </c>
      <c r="E113" t="s">
        <v>8</v>
      </c>
      <c r="F113" t="s">
        <v>46</v>
      </c>
      <c r="G113">
        <v>0.63772813833659914</v>
      </c>
    </row>
    <row r="114" spans="1:7" x14ac:dyDescent="0.35">
      <c r="A114" t="s">
        <v>44</v>
      </c>
      <c r="B114">
        <v>2030</v>
      </c>
      <c r="C114" t="s">
        <v>65</v>
      </c>
      <c r="D114" t="s">
        <v>48</v>
      </c>
      <c r="E114" t="s">
        <v>8</v>
      </c>
      <c r="F114" t="s">
        <v>46</v>
      </c>
      <c r="G114">
        <v>0.62829687186292515</v>
      </c>
    </row>
    <row r="115" spans="1:7" x14ac:dyDescent="0.35">
      <c r="A115" t="s">
        <v>44</v>
      </c>
      <c r="B115">
        <v>2035</v>
      </c>
      <c r="C115" t="s">
        <v>65</v>
      </c>
      <c r="D115" t="s">
        <v>48</v>
      </c>
      <c r="E115" t="s">
        <v>8</v>
      </c>
      <c r="F115" t="s">
        <v>46</v>
      </c>
      <c r="G115">
        <v>0.60760062084633393</v>
      </c>
    </row>
    <row r="116" spans="1:7" x14ac:dyDescent="0.35">
      <c r="A116" t="s">
        <v>44</v>
      </c>
      <c r="B116">
        <v>2040</v>
      </c>
      <c r="C116" t="s">
        <v>65</v>
      </c>
      <c r="D116" t="s">
        <v>48</v>
      </c>
      <c r="E116" t="s">
        <v>8</v>
      </c>
      <c r="F116" t="s">
        <v>46</v>
      </c>
      <c r="G116">
        <v>0.55989132462612057</v>
      </c>
    </row>
    <row r="117" spans="1:7" s="3" customFormat="1" x14ac:dyDescent="0.35">
      <c r="A117" s="3" t="s">
        <v>44</v>
      </c>
      <c r="B117" s="3">
        <v>2020</v>
      </c>
      <c r="C117" s="3" t="s">
        <v>66</v>
      </c>
      <c r="D117" s="3" t="s">
        <v>5</v>
      </c>
      <c r="E117" s="3" t="s">
        <v>8</v>
      </c>
      <c r="F117" s="3" t="s">
        <v>50</v>
      </c>
      <c r="G117" s="3">
        <f>G127-G107</f>
        <v>4.1135142923108061</v>
      </c>
    </row>
    <row r="118" spans="1:7" s="3" customFormat="1" x14ac:dyDescent="0.35">
      <c r="A118" s="3" t="s">
        <v>44</v>
      </c>
      <c r="B118" s="3">
        <v>2025</v>
      </c>
      <c r="C118" s="3" t="s">
        <v>66</v>
      </c>
      <c r="D118" s="3" t="s">
        <v>5</v>
      </c>
      <c r="E118" s="3" t="s">
        <v>8</v>
      </c>
      <c r="F118" s="3" t="s">
        <v>50</v>
      </c>
      <c r="G118" s="3">
        <f t="shared" ref="G118:G126" si="2">G128-G108</f>
        <v>4.1153045167114879</v>
      </c>
    </row>
    <row r="119" spans="1:7" s="3" customFormat="1" x14ac:dyDescent="0.35">
      <c r="A119" s="3" t="s">
        <v>44</v>
      </c>
      <c r="B119" s="3">
        <v>2030</v>
      </c>
      <c r="C119" s="3" t="s">
        <v>66</v>
      </c>
      <c r="D119" s="3" t="s">
        <v>5</v>
      </c>
      <c r="E119" s="3" t="s">
        <v>8</v>
      </c>
      <c r="F119" s="3" t="s">
        <v>50</v>
      </c>
      <c r="G119" s="3">
        <f t="shared" si="2"/>
        <v>3.996070899253557</v>
      </c>
    </row>
    <row r="120" spans="1:7" s="3" customFormat="1" x14ac:dyDescent="0.35">
      <c r="A120" s="3" t="s">
        <v>44</v>
      </c>
      <c r="B120" s="3">
        <v>2035</v>
      </c>
      <c r="C120" s="3" t="s">
        <v>66</v>
      </c>
      <c r="D120" s="3" t="s">
        <v>5</v>
      </c>
      <c r="E120" s="3" t="s">
        <v>8</v>
      </c>
      <c r="F120" s="3" t="s">
        <v>50</v>
      </c>
      <c r="G120" s="3">
        <f t="shared" si="2"/>
        <v>3.793602747168185</v>
      </c>
    </row>
    <row r="121" spans="1:7" s="3" customFormat="1" x14ac:dyDescent="0.35">
      <c r="A121" s="3" t="s">
        <v>44</v>
      </c>
      <c r="B121" s="3">
        <v>2040</v>
      </c>
      <c r="C121" s="3" t="s">
        <v>66</v>
      </c>
      <c r="D121" s="3" t="s">
        <v>5</v>
      </c>
      <c r="E121" s="3" t="s">
        <v>8</v>
      </c>
      <c r="F121" s="3" t="s">
        <v>50</v>
      </c>
      <c r="G121" s="3">
        <f t="shared" si="2"/>
        <v>3.4523420000454745</v>
      </c>
    </row>
    <row r="122" spans="1:7" s="3" customFormat="1" x14ac:dyDescent="0.35">
      <c r="A122" s="3" t="s">
        <v>44</v>
      </c>
      <c r="B122" s="3">
        <v>2020</v>
      </c>
      <c r="C122" s="3" t="s">
        <v>67</v>
      </c>
      <c r="D122" s="3" t="s">
        <v>48</v>
      </c>
      <c r="E122" s="3" t="s">
        <v>8</v>
      </c>
      <c r="F122" s="3" t="s">
        <v>50</v>
      </c>
      <c r="G122" s="3">
        <f t="shared" si="2"/>
        <v>14.966778310046642</v>
      </c>
    </row>
    <row r="123" spans="1:7" s="3" customFormat="1" x14ac:dyDescent="0.35">
      <c r="A123" s="3" t="s">
        <v>44</v>
      </c>
      <c r="B123" s="3">
        <v>2025</v>
      </c>
      <c r="C123" s="3" t="s">
        <v>67</v>
      </c>
      <c r="D123" s="3" t="s">
        <v>48</v>
      </c>
      <c r="E123" s="3" t="s">
        <v>8</v>
      </c>
      <c r="F123" s="3" t="s">
        <v>50</v>
      </c>
      <c r="G123" s="3">
        <f t="shared" si="2"/>
        <v>14.93170638533153</v>
      </c>
    </row>
    <row r="124" spans="1:7" s="3" customFormat="1" x14ac:dyDescent="0.35">
      <c r="A124" s="3" t="s">
        <v>44</v>
      </c>
      <c r="B124" s="3">
        <v>2030</v>
      </c>
      <c r="C124" s="3" t="s">
        <v>67</v>
      </c>
      <c r="D124" s="3" t="s">
        <v>48</v>
      </c>
      <c r="E124" s="3" t="s">
        <v>8</v>
      </c>
      <c r="F124" s="3" t="s">
        <v>50</v>
      </c>
      <c r="G124" s="3">
        <f t="shared" si="2"/>
        <v>14.767167293493364</v>
      </c>
    </row>
    <row r="125" spans="1:7" s="3" customFormat="1" x14ac:dyDescent="0.35">
      <c r="A125" s="3" t="s">
        <v>44</v>
      </c>
      <c r="B125" s="3">
        <v>2035</v>
      </c>
      <c r="C125" s="3" t="s">
        <v>67</v>
      </c>
      <c r="D125" s="3" t="s">
        <v>48</v>
      </c>
      <c r="E125" s="3" t="s">
        <v>8</v>
      </c>
      <c r="F125" s="3" t="s">
        <v>50</v>
      </c>
      <c r="G125" s="3">
        <f t="shared" si="2"/>
        <v>14.580141580644897</v>
      </c>
    </row>
    <row r="126" spans="1:7" s="3" customFormat="1" x14ac:dyDescent="0.35">
      <c r="A126" s="3" t="s">
        <v>44</v>
      </c>
      <c r="B126" s="3">
        <v>2040</v>
      </c>
      <c r="C126" s="3" t="s">
        <v>67</v>
      </c>
      <c r="D126" s="3" t="s">
        <v>48</v>
      </c>
      <c r="E126" s="3" t="s">
        <v>8</v>
      </c>
      <c r="F126" s="3" t="s">
        <v>50</v>
      </c>
      <c r="G126" s="3">
        <f t="shared" si="2"/>
        <v>14.111371797723971</v>
      </c>
    </row>
    <row r="127" spans="1:7" x14ac:dyDescent="0.35">
      <c r="A127" t="s">
        <v>44</v>
      </c>
      <c r="B127">
        <v>2020</v>
      </c>
      <c r="C127" t="s">
        <v>66</v>
      </c>
      <c r="D127" t="s">
        <v>5</v>
      </c>
      <c r="E127" t="s">
        <v>8</v>
      </c>
      <c r="F127" t="s">
        <v>52</v>
      </c>
      <c r="G127">
        <v>4.6099572210147262</v>
      </c>
    </row>
    <row r="128" spans="1:7" x14ac:dyDescent="0.35">
      <c r="A128" t="s">
        <v>44</v>
      </c>
      <c r="B128">
        <v>2025</v>
      </c>
      <c r="C128" t="s">
        <v>66</v>
      </c>
      <c r="D128" t="s">
        <v>5</v>
      </c>
      <c r="E128" t="s">
        <v>8</v>
      </c>
      <c r="F128" t="s">
        <v>52</v>
      </c>
      <c r="G128">
        <v>4.6157530127900497</v>
      </c>
    </row>
    <row r="129" spans="1:7" x14ac:dyDescent="0.35">
      <c r="A129" t="s">
        <v>44</v>
      </c>
      <c r="B129">
        <v>2030</v>
      </c>
      <c r="C129" t="s">
        <v>66</v>
      </c>
      <c r="D129" t="s">
        <v>5</v>
      </c>
      <c r="E129" t="s">
        <v>8</v>
      </c>
      <c r="F129" t="s">
        <v>52</v>
      </c>
      <c r="G129">
        <v>4.4922818194580483</v>
      </c>
    </row>
    <row r="130" spans="1:7" x14ac:dyDescent="0.35">
      <c r="A130" t="s">
        <v>44</v>
      </c>
      <c r="B130">
        <v>2035</v>
      </c>
      <c r="C130" t="s">
        <v>66</v>
      </c>
      <c r="D130" t="s">
        <v>5</v>
      </c>
      <c r="E130" t="s">
        <v>8</v>
      </c>
      <c r="F130" t="s">
        <v>52</v>
      </c>
      <c r="G130">
        <v>4.279127239183973</v>
      </c>
    </row>
    <row r="131" spans="1:7" x14ac:dyDescent="0.35">
      <c r="A131" t="s">
        <v>44</v>
      </c>
      <c r="B131">
        <v>2040</v>
      </c>
      <c r="C131" t="s">
        <v>66</v>
      </c>
      <c r="D131" t="s">
        <v>5</v>
      </c>
      <c r="E131" t="s">
        <v>8</v>
      </c>
      <c r="F131" t="s">
        <v>52</v>
      </c>
      <c r="G131">
        <v>3.9090630444153538</v>
      </c>
    </row>
    <row r="132" spans="1:7" x14ac:dyDescent="0.35">
      <c r="A132" t="s">
        <v>44</v>
      </c>
      <c r="B132">
        <v>2020</v>
      </c>
      <c r="C132" t="s">
        <v>67</v>
      </c>
      <c r="D132" t="s">
        <v>48</v>
      </c>
      <c r="E132" t="s">
        <v>8</v>
      </c>
      <c r="F132" t="s">
        <v>52</v>
      </c>
      <c r="G132">
        <v>15.60301276143889</v>
      </c>
    </row>
    <row r="133" spans="1:7" x14ac:dyDescent="0.35">
      <c r="A133" t="s">
        <v>44</v>
      </c>
      <c r="B133">
        <v>2025</v>
      </c>
      <c r="C133" t="s">
        <v>67</v>
      </c>
      <c r="D133" t="s">
        <v>48</v>
      </c>
      <c r="E133" t="s">
        <v>8</v>
      </c>
      <c r="F133" t="s">
        <v>52</v>
      </c>
      <c r="G133">
        <v>15.56943452366813</v>
      </c>
    </row>
    <row r="134" spans="1:7" x14ac:dyDescent="0.35">
      <c r="A134" t="s">
        <v>44</v>
      </c>
      <c r="B134">
        <v>2030</v>
      </c>
      <c r="C134" t="s">
        <v>67</v>
      </c>
      <c r="D134" t="s">
        <v>48</v>
      </c>
      <c r="E134" t="s">
        <v>8</v>
      </c>
      <c r="F134" t="s">
        <v>52</v>
      </c>
      <c r="G134">
        <v>15.395464165356289</v>
      </c>
    </row>
    <row r="135" spans="1:7" x14ac:dyDescent="0.35">
      <c r="A135" t="s">
        <v>44</v>
      </c>
      <c r="B135">
        <v>2035</v>
      </c>
      <c r="C135" t="s">
        <v>67</v>
      </c>
      <c r="D135" t="s">
        <v>48</v>
      </c>
      <c r="E135" t="s">
        <v>8</v>
      </c>
      <c r="F135" t="s">
        <v>52</v>
      </c>
      <c r="G135">
        <v>15.187742201491231</v>
      </c>
    </row>
    <row r="136" spans="1:7" x14ac:dyDescent="0.35">
      <c r="A136" t="s">
        <v>44</v>
      </c>
      <c r="B136">
        <v>2040</v>
      </c>
      <c r="C136" t="s">
        <v>67</v>
      </c>
      <c r="D136" t="s">
        <v>48</v>
      </c>
      <c r="E136" t="s">
        <v>8</v>
      </c>
      <c r="F136" t="s">
        <v>52</v>
      </c>
      <c r="G136">
        <v>14.671263122350091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D67AC-A446-4AEA-BD58-1B8A1C924128}">
  <dimension ref="A1:P16"/>
  <sheetViews>
    <sheetView workbookViewId="0">
      <selection activeCell="K23" sqref="K23"/>
    </sheetView>
  </sheetViews>
  <sheetFormatPr baseColWidth="10" defaultRowHeight="14.5" x14ac:dyDescent="0.35"/>
  <cols>
    <col min="1" max="1" width="17" bestFit="1" customWidth="1"/>
    <col min="2" max="2" width="17.54296875" bestFit="1" customWidth="1"/>
    <col min="3" max="3" width="10.26953125" bestFit="1" customWidth="1"/>
    <col min="4" max="4" width="7.26953125" bestFit="1" customWidth="1"/>
    <col min="5" max="5" width="8.453125" bestFit="1" customWidth="1"/>
    <col min="6" max="6" width="7.1796875" bestFit="1" customWidth="1"/>
    <col min="7" max="7" width="13.81640625" bestFit="1" customWidth="1"/>
    <col min="8" max="8" width="12" bestFit="1" customWidth="1"/>
    <col min="12" max="12" width="12" bestFit="1" customWidth="1"/>
    <col min="13" max="13" width="21" bestFit="1" customWidth="1"/>
    <col min="14" max="14" width="15.81640625" bestFit="1" customWidth="1"/>
    <col min="16" max="16" width="19.26953125" bestFit="1" customWidth="1"/>
  </cols>
  <sheetData>
    <row r="1" spans="1:16" s="1" customFormat="1" x14ac:dyDescent="0.35">
      <c r="A1" s="1" t="s">
        <v>19</v>
      </c>
      <c r="B1" s="1" t="s">
        <v>21</v>
      </c>
      <c r="C1" s="1" t="s">
        <v>1</v>
      </c>
      <c r="D1" s="1" t="s">
        <v>2</v>
      </c>
      <c r="E1" s="1" t="s">
        <v>14</v>
      </c>
      <c r="F1" s="1" t="s">
        <v>15</v>
      </c>
      <c r="G1" s="1" t="s">
        <v>94</v>
      </c>
      <c r="H1" s="1" t="s">
        <v>103</v>
      </c>
      <c r="L1" s="1" t="s">
        <v>19</v>
      </c>
      <c r="M1" s="1" t="s">
        <v>106</v>
      </c>
      <c r="N1" s="1" t="s">
        <v>94</v>
      </c>
    </row>
    <row r="2" spans="1:16" x14ac:dyDescent="0.35">
      <c r="A2" t="s">
        <v>6</v>
      </c>
      <c r="B2" t="s">
        <v>96</v>
      </c>
      <c r="C2" t="s">
        <v>5</v>
      </c>
      <c r="D2">
        <v>2024</v>
      </c>
      <c r="E2">
        <v>3.35</v>
      </c>
      <c r="F2" t="s">
        <v>99</v>
      </c>
      <c r="G2" t="s">
        <v>95</v>
      </c>
      <c r="L2" t="s">
        <v>7</v>
      </c>
      <c r="M2" s="8">
        <f>E9/E7</f>
        <v>0.62966319921727287</v>
      </c>
      <c r="N2" t="s">
        <v>98</v>
      </c>
    </row>
    <row r="3" spans="1:16" x14ac:dyDescent="0.35">
      <c r="A3" t="s">
        <v>6</v>
      </c>
      <c r="B3" t="s">
        <v>96</v>
      </c>
      <c r="C3" t="s">
        <v>5</v>
      </c>
      <c r="D3">
        <v>2023</v>
      </c>
      <c r="E3">
        <v>5099</v>
      </c>
      <c r="F3" t="s">
        <v>99</v>
      </c>
      <c r="G3" t="s">
        <v>98</v>
      </c>
      <c r="L3" t="s">
        <v>8</v>
      </c>
      <c r="M3" s="8">
        <f>E14/E13</f>
        <v>0.71217888925303152</v>
      </c>
      <c r="N3" t="s">
        <v>98</v>
      </c>
    </row>
    <row r="4" spans="1:16" x14ac:dyDescent="0.35">
      <c r="A4" t="s">
        <v>6</v>
      </c>
      <c r="B4" t="s">
        <v>97</v>
      </c>
      <c r="C4" t="s">
        <v>5</v>
      </c>
      <c r="D4">
        <v>2023</v>
      </c>
      <c r="E4">
        <v>4923</v>
      </c>
      <c r="F4" t="s">
        <v>99</v>
      </c>
      <c r="G4" t="s">
        <v>98</v>
      </c>
      <c r="L4" t="s">
        <v>6</v>
      </c>
      <c r="M4" s="8">
        <f>E4/E3</f>
        <v>0.96548342812316146</v>
      </c>
      <c r="N4" t="s">
        <v>98</v>
      </c>
    </row>
    <row r="5" spans="1:16" x14ac:dyDescent="0.35">
      <c r="A5" t="s">
        <v>7</v>
      </c>
      <c r="B5" t="s">
        <v>96</v>
      </c>
      <c r="C5" t="s">
        <v>5</v>
      </c>
      <c r="D5">
        <v>2024</v>
      </c>
      <c r="E5">
        <v>515000</v>
      </c>
      <c r="F5" t="s">
        <v>99</v>
      </c>
      <c r="G5" t="s">
        <v>95</v>
      </c>
      <c r="L5" t="s">
        <v>13</v>
      </c>
      <c r="M5" s="8">
        <v>1</v>
      </c>
      <c r="N5" t="s">
        <v>105</v>
      </c>
    </row>
    <row r="6" spans="1:16" x14ac:dyDescent="0.35">
      <c r="A6" t="s">
        <v>7</v>
      </c>
      <c r="B6" t="s">
        <v>97</v>
      </c>
      <c r="C6" t="s">
        <v>5</v>
      </c>
      <c r="D6">
        <v>2024</v>
      </c>
      <c r="E6">
        <v>324000</v>
      </c>
      <c r="F6" t="s">
        <v>99</v>
      </c>
      <c r="G6" t="s">
        <v>95</v>
      </c>
      <c r="L6" t="s">
        <v>12</v>
      </c>
      <c r="M6" s="8">
        <v>1</v>
      </c>
      <c r="N6" t="s">
        <v>105</v>
      </c>
    </row>
    <row r="7" spans="1:16" x14ac:dyDescent="0.35">
      <c r="A7" t="s">
        <v>7</v>
      </c>
      <c r="B7" t="s">
        <v>96</v>
      </c>
      <c r="C7" t="s">
        <v>5</v>
      </c>
      <c r="D7">
        <v>2023</v>
      </c>
      <c r="E7">
        <v>499791</v>
      </c>
      <c r="F7" t="s">
        <v>99</v>
      </c>
      <c r="G7" t="s">
        <v>98</v>
      </c>
      <c r="L7" t="s">
        <v>11</v>
      </c>
      <c r="M7" s="8">
        <v>1</v>
      </c>
      <c r="N7" t="s">
        <v>105</v>
      </c>
    </row>
    <row r="8" spans="1:16" x14ac:dyDescent="0.35">
      <c r="A8" t="s">
        <v>7</v>
      </c>
      <c r="B8" t="s">
        <v>101</v>
      </c>
      <c r="C8" t="s">
        <v>5</v>
      </c>
      <c r="D8">
        <v>2023</v>
      </c>
      <c r="E8">
        <v>288000</v>
      </c>
      <c r="F8" t="s">
        <v>99</v>
      </c>
      <c r="G8" t="s">
        <v>98</v>
      </c>
    </row>
    <row r="9" spans="1:16" x14ac:dyDescent="0.35">
      <c r="A9" t="s">
        <v>7</v>
      </c>
      <c r="B9" t="s">
        <v>97</v>
      </c>
      <c r="C9" t="s">
        <v>5</v>
      </c>
      <c r="D9">
        <v>2023</v>
      </c>
      <c r="E9">
        <v>314700</v>
      </c>
      <c r="F9" t="s">
        <v>99</v>
      </c>
      <c r="G9" t="s">
        <v>98</v>
      </c>
    </row>
    <row r="10" spans="1:16" x14ac:dyDescent="0.35">
      <c r="A10" t="s">
        <v>13</v>
      </c>
      <c r="B10" t="s">
        <v>102</v>
      </c>
      <c r="C10" t="s">
        <v>5</v>
      </c>
      <c r="D10">
        <v>2023</v>
      </c>
      <c r="E10">
        <v>5800</v>
      </c>
      <c r="F10" t="s">
        <v>99</v>
      </c>
      <c r="G10" t="s">
        <v>98</v>
      </c>
    </row>
    <row r="11" spans="1:16" x14ac:dyDescent="0.35">
      <c r="A11" t="s">
        <v>104</v>
      </c>
      <c r="B11" t="s">
        <v>96</v>
      </c>
      <c r="C11" t="s">
        <v>5</v>
      </c>
      <c r="D11">
        <v>2024</v>
      </c>
      <c r="E11">
        <v>11.7</v>
      </c>
      <c r="F11" t="s">
        <v>99</v>
      </c>
      <c r="G11" t="s">
        <v>95</v>
      </c>
    </row>
    <row r="12" spans="1:16" x14ac:dyDescent="0.35">
      <c r="A12" t="s">
        <v>12</v>
      </c>
      <c r="B12" t="s">
        <v>96</v>
      </c>
      <c r="C12" t="s">
        <v>5</v>
      </c>
      <c r="D12">
        <v>2024</v>
      </c>
      <c r="E12">
        <v>4.82</v>
      </c>
      <c r="F12" t="s">
        <v>99</v>
      </c>
      <c r="G12" t="s">
        <v>95</v>
      </c>
    </row>
    <row r="13" spans="1:16" x14ac:dyDescent="0.35">
      <c r="A13" t="s">
        <v>8</v>
      </c>
      <c r="B13" t="s">
        <v>96</v>
      </c>
      <c r="C13" t="s">
        <v>5</v>
      </c>
      <c r="D13">
        <v>2023</v>
      </c>
      <c r="E13">
        <v>158668</v>
      </c>
      <c r="F13" t="s">
        <v>99</v>
      </c>
      <c r="G13" t="s">
        <v>98</v>
      </c>
    </row>
    <row r="14" spans="1:16" x14ac:dyDescent="0.35">
      <c r="A14" t="s">
        <v>8</v>
      </c>
      <c r="B14" t="s">
        <v>100</v>
      </c>
      <c r="C14" t="s">
        <v>5</v>
      </c>
      <c r="D14">
        <v>2023</v>
      </c>
      <c r="E14">
        <v>113000</v>
      </c>
      <c r="F14" t="s">
        <v>99</v>
      </c>
      <c r="G14" t="s">
        <v>98</v>
      </c>
    </row>
    <row r="16" spans="1:16" x14ac:dyDescent="0.35">
      <c r="L16" s="7"/>
      <c r="M16" s="7"/>
      <c r="N16" s="7"/>
      <c r="O16" s="7"/>
      <c r="P16" s="7"/>
    </row>
  </sheetData>
  <autoFilter ref="A1:H1" xr:uid="{0FAD67AC-A446-4AEA-BD58-1B8A1C924128}">
    <sortState xmlns:xlrd2="http://schemas.microsoft.com/office/spreadsheetml/2017/richdata2" ref="A2:H14">
      <sortCondition ref="A1"/>
    </sortState>
  </autoFilter>
  <phoneticPr fontId="3" type="noConversion"/>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9DEA-8E00-41D6-A9CB-64EA6E916DC3}">
  <dimension ref="A1:AY62"/>
  <sheetViews>
    <sheetView topLeftCell="A7" workbookViewId="0">
      <selection activeCell="D35" sqref="D35"/>
    </sheetView>
  </sheetViews>
  <sheetFormatPr baseColWidth="10" defaultColWidth="11.54296875" defaultRowHeight="14.5" x14ac:dyDescent="0.35"/>
  <cols>
    <col min="1" max="1" width="3" bestFit="1" customWidth="1"/>
    <col min="2" max="2" width="7.54296875" bestFit="1" customWidth="1"/>
    <col min="3" max="3" width="14.26953125" bestFit="1" customWidth="1"/>
    <col min="4" max="4" width="15.54296875" bestFit="1" customWidth="1"/>
    <col min="5" max="5" width="215" bestFit="1" customWidth="1"/>
    <col min="6" max="10" width="4" bestFit="1" customWidth="1"/>
    <col min="11" max="11" width="6.7265625" bestFit="1" customWidth="1"/>
    <col min="12" max="12" width="5.26953125" bestFit="1" customWidth="1"/>
    <col min="13" max="13" width="7.26953125" bestFit="1" customWidth="1"/>
    <col min="14" max="14" width="4.54296875" bestFit="1" customWidth="1"/>
    <col min="15" max="15" width="35.81640625" bestFit="1" customWidth="1"/>
    <col min="16" max="16" width="33" bestFit="1" customWidth="1"/>
    <col min="17" max="17" width="215" bestFit="1" customWidth="1"/>
    <col min="18" max="22" width="4" bestFit="1" customWidth="1"/>
    <col min="23" max="23" width="6.7265625" bestFit="1" customWidth="1"/>
    <col min="24" max="24" width="5.26953125" bestFit="1" customWidth="1"/>
    <col min="25" max="26" width="5.54296875" bestFit="1" customWidth="1"/>
    <col min="27" max="27" width="35.81640625" bestFit="1" customWidth="1"/>
    <col min="28" max="28" width="18.453125" bestFit="1" customWidth="1"/>
    <col min="29" max="29" width="219.26953125" bestFit="1" customWidth="1"/>
    <col min="30" max="34" width="4" bestFit="1" customWidth="1"/>
    <col min="35" max="35" width="6.7265625" bestFit="1" customWidth="1"/>
    <col min="36" max="36" width="5.26953125" bestFit="1" customWidth="1"/>
    <col min="37" max="38" width="6.54296875" bestFit="1" customWidth="1"/>
    <col min="39" max="39" width="35.81640625" bestFit="1" customWidth="1"/>
    <col min="40" max="40" width="15" bestFit="1" customWidth="1"/>
    <col min="41" max="41" width="239.7265625" bestFit="1" customWidth="1"/>
    <col min="42" max="46" width="4" bestFit="1" customWidth="1"/>
    <col min="47" max="47" width="6.7265625" bestFit="1" customWidth="1"/>
    <col min="48" max="48" width="5.26953125" bestFit="1" customWidth="1"/>
    <col min="49" max="49" width="5.54296875" bestFit="1" customWidth="1"/>
    <col min="50" max="50" width="4.54296875" bestFit="1" customWidth="1"/>
    <col min="51" max="51" width="35.81640625" bestFit="1" customWidth="1"/>
  </cols>
  <sheetData>
    <row r="1" spans="1:51" x14ac:dyDescent="0.35">
      <c r="A1" s="1" t="s">
        <v>107</v>
      </c>
      <c r="B1" s="1" t="s">
        <v>108</v>
      </c>
      <c r="C1" s="1" t="s">
        <v>109</v>
      </c>
      <c r="D1" s="10" t="s">
        <v>110</v>
      </c>
      <c r="E1" s="11" t="s">
        <v>111</v>
      </c>
      <c r="F1" s="12" t="s">
        <v>112</v>
      </c>
      <c r="G1" s="12" t="s">
        <v>113</v>
      </c>
      <c r="H1" s="12" t="s">
        <v>114</v>
      </c>
      <c r="I1" s="12" t="s">
        <v>115</v>
      </c>
      <c r="J1" s="12" t="s">
        <v>116</v>
      </c>
      <c r="K1" s="13" t="s">
        <v>117</v>
      </c>
      <c r="L1" s="12" t="s">
        <v>118</v>
      </c>
      <c r="M1" s="14" t="s">
        <v>119</v>
      </c>
      <c r="N1" s="15" t="s">
        <v>120</v>
      </c>
      <c r="O1" s="12" t="s">
        <v>121</v>
      </c>
      <c r="P1" s="10" t="s">
        <v>122</v>
      </c>
      <c r="Q1" s="11" t="s">
        <v>111</v>
      </c>
      <c r="R1" s="12" t="s">
        <v>112</v>
      </c>
      <c r="S1" s="12" t="s">
        <v>113</v>
      </c>
      <c r="T1" s="12" t="s">
        <v>114</v>
      </c>
      <c r="U1" s="12" t="s">
        <v>115</v>
      </c>
      <c r="V1" s="12" t="s">
        <v>116</v>
      </c>
      <c r="W1" s="13" t="s">
        <v>117</v>
      </c>
      <c r="X1" s="12" t="s">
        <v>118</v>
      </c>
      <c r="Y1" s="11" t="s">
        <v>119</v>
      </c>
      <c r="Z1" s="12" t="s">
        <v>120</v>
      </c>
      <c r="AA1" s="12" t="s">
        <v>121</v>
      </c>
      <c r="AB1" s="10" t="s">
        <v>123</v>
      </c>
      <c r="AC1" s="11" t="s">
        <v>111</v>
      </c>
      <c r="AD1" s="12" t="s">
        <v>112</v>
      </c>
      <c r="AE1" s="12" t="s">
        <v>113</v>
      </c>
      <c r="AF1" s="12" t="s">
        <v>114</v>
      </c>
      <c r="AG1" s="12" t="s">
        <v>115</v>
      </c>
      <c r="AH1" s="12" t="s">
        <v>116</v>
      </c>
      <c r="AI1" s="13" t="s">
        <v>117</v>
      </c>
      <c r="AJ1" s="12" t="s">
        <v>118</v>
      </c>
      <c r="AK1" s="11" t="s">
        <v>119</v>
      </c>
      <c r="AL1" s="12" t="s">
        <v>120</v>
      </c>
      <c r="AM1" s="12" t="s">
        <v>121</v>
      </c>
      <c r="AN1" s="10" t="s">
        <v>124</v>
      </c>
      <c r="AO1" s="11" t="s">
        <v>111</v>
      </c>
      <c r="AP1" s="12" t="s">
        <v>112</v>
      </c>
      <c r="AQ1" s="12" t="s">
        <v>113</v>
      </c>
      <c r="AR1" s="12" t="s">
        <v>114</v>
      </c>
      <c r="AS1" s="12" t="s">
        <v>115</v>
      </c>
      <c r="AT1" s="12" t="s">
        <v>116</v>
      </c>
      <c r="AU1" s="13" t="s">
        <v>117</v>
      </c>
      <c r="AV1" s="12" t="s">
        <v>118</v>
      </c>
      <c r="AW1" s="11" t="s">
        <v>119</v>
      </c>
      <c r="AX1" s="12" t="s">
        <v>120</v>
      </c>
      <c r="AY1" s="12" t="s">
        <v>121</v>
      </c>
    </row>
    <row r="2" spans="1:51" x14ac:dyDescent="0.35">
      <c r="A2">
        <v>47</v>
      </c>
      <c r="B2" t="s">
        <v>125</v>
      </c>
      <c r="C2" t="s">
        <v>126</v>
      </c>
      <c r="D2" s="16">
        <v>0.8425655976676385</v>
      </c>
      <c r="E2" s="17" t="s">
        <v>127</v>
      </c>
      <c r="F2" s="14">
        <v>1</v>
      </c>
      <c r="G2" s="14">
        <v>4</v>
      </c>
      <c r="H2" s="14">
        <v>1</v>
      </c>
      <c r="I2" s="17">
        <v>2</v>
      </c>
      <c r="J2" s="17">
        <v>1</v>
      </c>
      <c r="K2" s="18">
        <v>1.1925122738235221</v>
      </c>
      <c r="L2" s="18">
        <v>1.0920221031753534</v>
      </c>
      <c r="M2" s="19">
        <v>51.95121542835394</v>
      </c>
      <c r="N2" s="19">
        <v>9.7071475194848187</v>
      </c>
      <c r="O2" s="19" t="s">
        <v>128</v>
      </c>
      <c r="P2" s="16">
        <v>0.91001697792869274</v>
      </c>
      <c r="Q2" s="17" t="s">
        <v>127</v>
      </c>
      <c r="R2" s="14">
        <v>1</v>
      </c>
      <c r="S2" s="17">
        <v>4</v>
      </c>
      <c r="T2" s="14">
        <v>1</v>
      </c>
      <c r="U2" s="14">
        <v>2</v>
      </c>
      <c r="V2" s="17">
        <v>1</v>
      </c>
      <c r="W2" s="18">
        <v>1.1925122738235221</v>
      </c>
      <c r="X2" s="18">
        <v>1.0920221031753534</v>
      </c>
      <c r="Y2" s="19">
        <v>34.289381847133761</v>
      </c>
      <c r="Z2" s="19">
        <v>3.3905545483173296</v>
      </c>
      <c r="AA2" s="19" t="s">
        <v>129</v>
      </c>
      <c r="AB2" s="16">
        <v>1</v>
      </c>
      <c r="AC2" s="17" t="s">
        <v>127</v>
      </c>
      <c r="AD2" s="14">
        <v>1</v>
      </c>
      <c r="AE2" s="14">
        <v>4</v>
      </c>
      <c r="AF2" s="14">
        <v>1</v>
      </c>
      <c r="AG2" s="17">
        <v>2</v>
      </c>
      <c r="AH2" s="17">
        <v>1</v>
      </c>
      <c r="AI2" s="18">
        <v>1.1925122738235221</v>
      </c>
      <c r="AJ2" s="18">
        <v>1.0920221031753534</v>
      </c>
      <c r="AK2" s="19">
        <v>-1</v>
      </c>
      <c r="AL2" s="19">
        <v>0</v>
      </c>
      <c r="AM2" s="19" t="s">
        <v>130</v>
      </c>
      <c r="AN2" s="16">
        <v>1</v>
      </c>
      <c r="AO2" s="17" t="s">
        <v>127</v>
      </c>
      <c r="AP2" s="14">
        <v>1</v>
      </c>
      <c r="AQ2" s="14">
        <v>4</v>
      </c>
      <c r="AR2" s="14">
        <v>1</v>
      </c>
      <c r="AS2" s="17">
        <v>2</v>
      </c>
      <c r="AT2" s="17">
        <v>1</v>
      </c>
      <c r="AU2" s="18">
        <v>1.1925122738235221</v>
      </c>
      <c r="AV2" s="18">
        <v>1.0920221031753534</v>
      </c>
      <c r="AW2" s="19">
        <v>-1</v>
      </c>
      <c r="AX2" s="19">
        <v>0</v>
      </c>
      <c r="AY2" s="19" t="s">
        <v>130</v>
      </c>
    </row>
    <row r="3" spans="1:51" x14ac:dyDescent="0.35">
      <c r="A3">
        <v>13</v>
      </c>
      <c r="B3" t="s">
        <v>131</v>
      </c>
      <c r="C3" t="s">
        <v>132</v>
      </c>
      <c r="D3" s="16">
        <v>0.87929656274979995</v>
      </c>
      <c r="E3" s="17" t="s">
        <v>133</v>
      </c>
      <c r="F3" s="14">
        <v>1</v>
      </c>
      <c r="G3" s="14">
        <v>2</v>
      </c>
      <c r="H3" s="14">
        <v>1</v>
      </c>
      <c r="I3" s="17">
        <v>2</v>
      </c>
      <c r="J3" s="17">
        <v>1</v>
      </c>
      <c r="K3" s="18">
        <v>1.1174816203765749</v>
      </c>
      <c r="L3" s="18">
        <v>1.0571100322939779</v>
      </c>
      <c r="M3" s="19">
        <v>113.57327852025585</v>
      </c>
      <c r="N3" s="19">
        <v>15.590513687780607</v>
      </c>
      <c r="O3" s="19" t="s">
        <v>134</v>
      </c>
      <c r="P3" s="16">
        <v>0.59090909090909094</v>
      </c>
      <c r="Q3" s="17" t="s">
        <v>133</v>
      </c>
      <c r="R3" s="14">
        <v>1</v>
      </c>
      <c r="S3" s="14">
        <v>2</v>
      </c>
      <c r="T3" s="14">
        <v>1</v>
      </c>
      <c r="U3" s="17">
        <v>2</v>
      </c>
      <c r="V3" s="17">
        <v>1</v>
      </c>
      <c r="W3" s="18">
        <v>1.1174816203765749</v>
      </c>
      <c r="X3" s="18">
        <v>1.0571100322939779</v>
      </c>
      <c r="Y3" s="19">
        <v>174.59386256910432</v>
      </c>
      <c r="Z3" s="19">
        <v>120.87267408630298</v>
      </c>
      <c r="AA3" s="19" t="s">
        <v>135</v>
      </c>
      <c r="AB3" s="9">
        <v>0.94650205761316875</v>
      </c>
      <c r="AC3" s="17" t="s">
        <v>133</v>
      </c>
      <c r="AD3" s="14">
        <v>1</v>
      </c>
      <c r="AE3" s="14">
        <v>2</v>
      </c>
      <c r="AF3" s="14">
        <v>1</v>
      </c>
      <c r="AG3" s="17">
        <v>2</v>
      </c>
      <c r="AH3" s="17">
        <v>1</v>
      </c>
      <c r="AI3" s="18">
        <v>1.1174816203765749</v>
      </c>
      <c r="AJ3" s="18">
        <v>1.0571100322939779</v>
      </c>
      <c r="AK3" s="19">
        <v>57.831576284369284</v>
      </c>
      <c r="AL3" s="19">
        <v>3.2687412682469579</v>
      </c>
      <c r="AM3" s="19" t="s">
        <v>136</v>
      </c>
      <c r="AN3" s="16">
        <v>0.97</v>
      </c>
      <c r="AO3" s="17" t="s">
        <v>133</v>
      </c>
      <c r="AP3" s="14">
        <v>1</v>
      </c>
      <c r="AQ3" s="14">
        <v>2</v>
      </c>
      <c r="AR3" s="14">
        <v>1</v>
      </c>
      <c r="AS3" s="17">
        <v>2</v>
      </c>
      <c r="AT3" s="17">
        <v>1</v>
      </c>
      <c r="AU3" s="18">
        <v>1.1174816203765749</v>
      </c>
      <c r="AV3" s="18">
        <v>1.0571100322939779</v>
      </c>
      <c r="AW3" s="19">
        <v>33.647834959002907</v>
      </c>
      <c r="AX3" s="19">
        <v>1.040654689453699</v>
      </c>
      <c r="AY3" s="19" t="s">
        <v>137</v>
      </c>
    </row>
    <row r="4" spans="1:51" x14ac:dyDescent="0.35">
      <c r="A4">
        <v>33</v>
      </c>
      <c r="B4" t="s">
        <v>138</v>
      </c>
      <c r="C4" t="s">
        <v>139</v>
      </c>
      <c r="D4" s="16">
        <v>8.4343116045257224E-2</v>
      </c>
      <c r="E4" s="14" t="s">
        <v>140</v>
      </c>
      <c r="F4" s="14">
        <v>1</v>
      </c>
      <c r="G4" s="14">
        <v>3</v>
      </c>
      <c r="H4" s="14">
        <v>2</v>
      </c>
      <c r="I4" s="17">
        <v>2</v>
      </c>
      <c r="J4" s="17">
        <v>2</v>
      </c>
      <c r="K4" s="18">
        <v>1.1711691055232991</v>
      </c>
      <c r="L4" s="18">
        <v>1.0822056669244065</v>
      </c>
      <c r="M4" s="19">
        <v>3.7712262932398102</v>
      </c>
      <c r="N4" s="19">
        <v>40.941685323829539</v>
      </c>
      <c r="O4" s="19" t="s">
        <v>141</v>
      </c>
      <c r="P4" s="16">
        <v>0.97856553998351192</v>
      </c>
      <c r="Q4" s="14" t="s">
        <v>142</v>
      </c>
      <c r="R4" s="14">
        <v>1</v>
      </c>
      <c r="S4" s="14">
        <v>3</v>
      </c>
      <c r="T4" s="14">
        <v>2</v>
      </c>
      <c r="U4" s="17">
        <v>2</v>
      </c>
      <c r="V4" s="17">
        <v>2</v>
      </c>
      <c r="W4" s="18">
        <v>1.1711691055232991</v>
      </c>
      <c r="X4" s="18">
        <v>1.0822056669244065</v>
      </c>
      <c r="Y4" s="19">
        <v>11.170667442118644</v>
      </c>
      <c r="Z4" s="19">
        <v>0.24468184793183251</v>
      </c>
      <c r="AA4" s="19" t="s">
        <v>143</v>
      </c>
      <c r="AB4" s="16">
        <v>0</v>
      </c>
      <c r="AC4" s="14" t="s">
        <v>144</v>
      </c>
      <c r="AD4" s="14">
        <v>1</v>
      </c>
      <c r="AE4" s="14">
        <v>1</v>
      </c>
      <c r="AF4" s="14">
        <v>1</v>
      </c>
      <c r="AG4" s="17">
        <v>1</v>
      </c>
      <c r="AH4" s="17">
        <v>1</v>
      </c>
      <c r="AI4" s="18">
        <v>1.05</v>
      </c>
      <c r="AJ4" s="18">
        <v>1.0246950765959599</v>
      </c>
      <c r="AK4" s="19">
        <v>0</v>
      </c>
      <c r="AL4" s="19">
        <v>-1</v>
      </c>
      <c r="AM4" s="19" t="s">
        <v>145</v>
      </c>
      <c r="AN4" s="16">
        <v>0</v>
      </c>
      <c r="AO4" s="14" t="s">
        <v>146</v>
      </c>
      <c r="AP4" s="14">
        <v>1</v>
      </c>
      <c r="AQ4" s="14">
        <v>1</v>
      </c>
      <c r="AR4" s="14">
        <v>1</v>
      </c>
      <c r="AS4" s="17">
        <v>1</v>
      </c>
      <c r="AT4" s="17">
        <v>1</v>
      </c>
      <c r="AU4" s="18">
        <v>1.05</v>
      </c>
      <c r="AV4" s="18">
        <v>1.0246950765959599</v>
      </c>
      <c r="AW4" s="19">
        <v>0</v>
      </c>
      <c r="AX4" s="19">
        <v>-1</v>
      </c>
      <c r="AY4" s="19" t="s">
        <v>145</v>
      </c>
    </row>
    <row r="5" spans="1:51" x14ac:dyDescent="0.35">
      <c r="A5">
        <v>79</v>
      </c>
      <c r="B5" t="s">
        <v>147</v>
      </c>
      <c r="C5" t="s">
        <v>148</v>
      </c>
      <c r="D5" s="16">
        <v>0.73259375000000004</v>
      </c>
      <c r="E5" s="14" t="s">
        <v>149</v>
      </c>
      <c r="F5" s="14">
        <v>3</v>
      </c>
      <c r="G5" s="14">
        <v>1</v>
      </c>
      <c r="H5" s="14">
        <v>1</v>
      </c>
      <c r="I5" s="17">
        <v>2</v>
      </c>
      <c r="J5" s="17">
        <v>1</v>
      </c>
      <c r="K5" s="18">
        <v>1.2354522921220721</v>
      </c>
      <c r="L5" s="18">
        <v>1.1115090157628376</v>
      </c>
      <c r="M5" s="19">
        <v>45.435080649730537</v>
      </c>
      <c r="N5" s="19">
        <v>16.584395560284271</v>
      </c>
      <c r="O5" s="19" t="s">
        <v>150</v>
      </c>
      <c r="P5" s="16">
        <v>0.89571686701428566</v>
      </c>
      <c r="Q5" s="17" t="s">
        <v>151</v>
      </c>
      <c r="R5" s="14">
        <v>3</v>
      </c>
      <c r="S5" s="17">
        <v>1</v>
      </c>
      <c r="T5" s="14">
        <v>1</v>
      </c>
      <c r="U5" s="14">
        <v>3</v>
      </c>
      <c r="V5" s="17">
        <v>1</v>
      </c>
      <c r="W5" s="18">
        <v>1.3000688016831126</v>
      </c>
      <c r="X5" s="18">
        <v>1.1402055962339039</v>
      </c>
      <c r="Y5" s="19">
        <v>16.12919487108617</v>
      </c>
      <c r="Z5" s="19">
        <v>1.8778288493111013</v>
      </c>
      <c r="AA5" s="19" t="s">
        <v>152</v>
      </c>
      <c r="AB5" s="16">
        <v>0.9</v>
      </c>
      <c r="AC5" s="17" t="s">
        <v>151</v>
      </c>
      <c r="AD5" s="14">
        <v>3</v>
      </c>
      <c r="AE5" s="14">
        <v>1</v>
      </c>
      <c r="AF5" s="14">
        <v>1</v>
      </c>
      <c r="AG5" s="17">
        <v>3</v>
      </c>
      <c r="AH5" s="17">
        <v>1</v>
      </c>
      <c r="AI5" s="18">
        <v>1.3000688016831126</v>
      </c>
      <c r="AJ5" s="18">
        <v>1.1402055962339039</v>
      </c>
      <c r="AK5" s="19">
        <v>15.58216710645304</v>
      </c>
      <c r="AL5" s="19">
        <v>1.731351900717004</v>
      </c>
      <c r="AM5" s="19" t="s">
        <v>153</v>
      </c>
      <c r="AN5" s="16">
        <v>0.97592997811816196</v>
      </c>
      <c r="AO5" s="17" t="s">
        <v>151</v>
      </c>
      <c r="AP5" s="14">
        <v>3</v>
      </c>
      <c r="AQ5" s="14">
        <v>1</v>
      </c>
      <c r="AR5" s="14">
        <v>1</v>
      </c>
      <c r="AS5" s="17">
        <v>3</v>
      </c>
      <c r="AT5" s="17">
        <v>1</v>
      </c>
      <c r="AU5" s="18">
        <v>1.3000688016831126</v>
      </c>
      <c r="AV5" s="18">
        <v>1.1402055962339039</v>
      </c>
      <c r="AW5" s="19">
        <v>3.688978165112387</v>
      </c>
      <c r="AX5" s="19">
        <v>9.0983766404117053E-2</v>
      </c>
      <c r="AY5" s="19" t="s">
        <v>154</v>
      </c>
    </row>
    <row r="6" spans="1:51" x14ac:dyDescent="0.35">
      <c r="A6">
        <v>5</v>
      </c>
      <c r="B6" t="s">
        <v>155</v>
      </c>
      <c r="C6" t="s">
        <v>156</v>
      </c>
      <c r="D6" s="16">
        <v>0.77600000000000002</v>
      </c>
      <c r="E6" s="14" t="s">
        <v>157</v>
      </c>
      <c r="F6" s="14">
        <v>3</v>
      </c>
      <c r="G6" s="14">
        <v>3</v>
      </c>
      <c r="H6" s="14">
        <v>3</v>
      </c>
      <c r="I6" s="14">
        <v>2</v>
      </c>
      <c r="J6" s="14">
        <v>1</v>
      </c>
      <c r="K6" s="18">
        <v>1.2684630087984967</v>
      </c>
      <c r="L6" s="18">
        <v>1.1262606309369501</v>
      </c>
      <c r="M6" s="19">
        <v>33.069079748915236</v>
      </c>
      <c r="N6" s="19">
        <v>9.5457137419549127</v>
      </c>
      <c r="O6" s="19" t="s">
        <v>158</v>
      </c>
      <c r="P6" s="16">
        <v>0.95</v>
      </c>
      <c r="Q6" s="14" t="s">
        <v>159</v>
      </c>
      <c r="R6" s="14">
        <v>4</v>
      </c>
      <c r="S6" s="14">
        <v>1</v>
      </c>
      <c r="T6" s="14">
        <v>1</v>
      </c>
      <c r="U6" s="14">
        <v>3</v>
      </c>
      <c r="V6" s="14">
        <v>1</v>
      </c>
      <c r="W6" s="18">
        <v>1.4707782003422192</v>
      </c>
      <c r="X6" s="18">
        <v>1.212756447248259</v>
      </c>
      <c r="Y6" s="19">
        <v>3.037601467121025</v>
      </c>
      <c r="Z6" s="19">
        <v>0.15987376142742252</v>
      </c>
      <c r="AA6" s="19" t="s">
        <v>160</v>
      </c>
      <c r="AB6" s="16">
        <v>0</v>
      </c>
      <c r="AC6" s="14" t="s">
        <v>161</v>
      </c>
      <c r="AD6" s="14">
        <v>1</v>
      </c>
      <c r="AE6" s="14">
        <v>1</v>
      </c>
      <c r="AF6" s="14">
        <v>1</v>
      </c>
      <c r="AG6" s="14">
        <v>1</v>
      </c>
      <c r="AH6" s="14">
        <v>1</v>
      </c>
      <c r="AI6" s="18">
        <v>1.05</v>
      </c>
      <c r="AJ6" s="18">
        <v>1.0246950765959599</v>
      </c>
      <c r="AK6" s="19">
        <v>0</v>
      </c>
      <c r="AL6" s="19">
        <v>-1</v>
      </c>
      <c r="AM6" s="19" t="s">
        <v>145</v>
      </c>
      <c r="AN6" s="16">
        <v>0</v>
      </c>
      <c r="AO6" s="14" t="s">
        <v>162</v>
      </c>
      <c r="AP6" s="14">
        <v>1</v>
      </c>
      <c r="AQ6" s="14">
        <v>1</v>
      </c>
      <c r="AR6" s="14">
        <v>1</v>
      </c>
      <c r="AS6" s="14">
        <v>1</v>
      </c>
      <c r="AT6" s="14">
        <v>1</v>
      </c>
      <c r="AU6" s="18">
        <v>1.05</v>
      </c>
      <c r="AV6" s="18">
        <v>1.0246950765959599</v>
      </c>
      <c r="AW6" s="19">
        <v>0</v>
      </c>
      <c r="AX6" s="19">
        <v>-1</v>
      </c>
      <c r="AY6" s="19" t="s">
        <v>145</v>
      </c>
    </row>
    <row r="7" spans="1:51" x14ac:dyDescent="0.35">
      <c r="A7">
        <v>56</v>
      </c>
      <c r="B7" t="s">
        <v>163</v>
      </c>
      <c r="C7" t="s">
        <v>164</v>
      </c>
      <c r="D7" s="16">
        <v>0.8</v>
      </c>
      <c r="E7" s="14" t="s">
        <v>165</v>
      </c>
      <c r="F7" s="14">
        <v>3</v>
      </c>
      <c r="G7" s="14">
        <v>2</v>
      </c>
      <c r="H7" s="14">
        <v>1</v>
      </c>
      <c r="I7" s="17">
        <v>3</v>
      </c>
      <c r="J7" s="17">
        <v>1</v>
      </c>
      <c r="K7" s="18">
        <v>1.3022280723042765</v>
      </c>
      <c r="L7" s="18">
        <v>1.1411520811461882</v>
      </c>
      <c r="M7" s="19">
        <v>24.897767139793061</v>
      </c>
      <c r="N7" s="19">
        <v>6.2244417849482634</v>
      </c>
      <c r="O7" s="19" t="s">
        <v>166</v>
      </c>
      <c r="P7" s="16">
        <v>0.95</v>
      </c>
      <c r="Q7" s="14" t="s">
        <v>159</v>
      </c>
      <c r="R7" s="14">
        <v>3</v>
      </c>
      <c r="S7" s="17">
        <v>1</v>
      </c>
      <c r="T7" s="14">
        <v>1</v>
      </c>
      <c r="U7" s="14">
        <v>3</v>
      </c>
      <c r="V7" s="17">
        <v>1</v>
      </c>
      <c r="W7" s="18">
        <v>1.3000688016831126</v>
      </c>
      <c r="X7" s="18">
        <v>1.1402055962339039</v>
      </c>
      <c r="Y7" s="19">
        <v>8.2321949466505444</v>
      </c>
      <c r="Z7" s="19">
        <v>0.43327341824476595</v>
      </c>
      <c r="AA7" s="19" t="s">
        <v>160</v>
      </c>
      <c r="AB7" s="16">
        <v>0</v>
      </c>
      <c r="AC7" s="14" t="s">
        <v>167</v>
      </c>
      <c r="AD7" s="14">
        <v>1</v>
      </c>
      <c r="AE7" s="14">
        <v>1</v>
      </c>
      <c r="AF7" s="14">
        <v>1</v>
      </c>
      <c r="AG7" s="14">
        <v>1</v>
      </c>
      <c r="AH7" s="14">
        <v>1</v>
      </c>
      <c r="AI7" s="18">
        <v>1.05</v>
      </c>
      <c r="AJ7" s="18">
        <v>1.0246950765959599</v>
      </c>
      <c r="AK7" s="19">
        <v>0</v>
      </c>
      <c r="AL7" s="19">
        <v>-1</v>
      </c>
      <c r="AM7" s="19" t="s">
        <v>145</v>
      </c>
      <c r="AN7" s="16">
        <v>0</v>
      </c>
      <c r="AO7" s="14" t="s">
        <v>168</v>
      </c>
      <c r="AP7" s="14">
        <v>3</v>
      </c>
      <c r="AQ7" s="14">
        <v>1</v>
      </c>
      <c r="AR7" s="14">
        <v>1</v>
      </c>
      <c r="AS7" s="17">
        <v>1</v>
      </c>
      <c r="AT7" s="17">
        <v>1</v>
      </c>
      <c r="AU7" s="18">
        <v>1.207723199572867</v>
      </c>
      <c r="AV7" s="18">
        <v>1.098964603421269</v>
      </c>
      <c r="AW7" s="19">
        <v>0</v>
      </c>
      <c r="AX7" s="19">
        <v>-1</v>
      </c>
      <c r="AY7" s="19" t="s">
        <v>145</v>
      </c>
    </row>
    <row r="8" spans="1:51" x14ac:dyDescent="0.35">
      <c r="A8">
        <v>4</v>
      </c>
      <c r="B8" t="s">
        <v>169</v>
      </c>
      <c r="C8" t="s">
        <v>170</v>
      </c>
      <c r="D8" s="16">
        <v>0.87</v>
      </c>
      <c r="E8" s="17" t="s">
        <v>171</v>
      </c>
      <c r="F8" s="14">
        <v>2</v>
      </c>
      <c r="G8" s="17">
        <v>2</v>
      </c>
      <c r="H8" s="17">
        <v>3</v>
      </c>
      <c r="I8" s="17">
        <v>3</v>
      </c>
      <c r="J8" s="17">
        <v>1</v>
      </c>
      <c r="K8" s="18">
        <v>1.2547562988440768</v>
      </c>
      <c r="L8" s="18">
        <v>1.1201590506906047</v>
      </c>
      <c r="M8" s="19">
        <v>26.390189577836431</v>
      </c>
      <c r="N8" s="19">
        <v>3.9433616610560183</v>
      </c>
      <c r="O8" s="19" t="s">
        <v>172</v>
      </c>
      <c r="P8" s="16">
        <v>0.91666666666666663</v>
      </c>
      <c r="Q8" s="14" t="s">
        <v>173</v>
      </c>
      <c r="R8" s="14">
        <v>2</v>
      </c>
      <c r="S8" s="17">
        <v>4</v>
      </c>
      <c r="T8" s="17">
        <v>3</v>
      </c>
      <c r="U8" s="17">
        <v>1</v>
      </c>
      <c r="V8" s="17">
        <v>1</v>
      </c>
      <c r="W8" s="18">
        <v>1.211850043459044</v>
      </c>
      <c r="X8" s="18">
        <v>1.1008406076535531</v>
      </c>
      <c r="Y8" s="19">
        <v>26.627568362933744</v>
      </c>
      <c r="Z8" s="19">
        <v>2.4206880329939779</v>
      </c>
      <c r="AA8" s="19" t="s">
        <v>174</v>
      </c>
      <c r="AB8" s="16">
        <v>0.85699999999999998</v>
      </c>
      <c r="AC8" s="14" t="s">
        <v>175</v>
      </c>
      <c r="AD8" s="14">
        <v>2</v>
      </c>
      <c r="AE8" s="17">
        <v>4</v>
      </c>
      <c r="AF8" s="17">
        <v>3</v>
      </c>
      <c r="AG8" s="17">
        <v>1</v>
      </c>
      <c r="AH8" s="17">
        <v>1</v>
      </c>
      <c r="AI8" s="18">
        <v>1.211850043459044</v>
      </c>
      <c r="AJ8" s="18">
        <v>1.1008406076535531</v>
      </c>
      <c r="AK8" s="19">
        <v>40.456003005163637</v>
      </c>
      <c r="AL8" s="19">
        <v>6.7505349238487762</v>
      </c>
      <c r="AM8" s="19" t="s">
        <v>176</v>
      </c>
      <c r="AN8" s="16">
        <v>1</v>
      </c>
      <c r="AO8" s="14" t="s">
        <v>177</v>
      </c>
      <c r="AP8" s="14">
        <v>3</v>
      </c>
      <c r="AQ8" s="17">
        <v>1</v>
      </c>
      <c r="AR8" s="17">
        <v>1</v>
      </c>
      <c r="AS8" s="17">
        <v>3</v>
      </c>
      <c r="AT8" s="17">
        <v>1</v>
      </c>
      <c r="AU8" s="18">
        <v>1.3000688016831126</v>
      </c>
      <c r="AV8" s="18">
        <v>1.1402055962339039</v>
      </c>
      <c r="AW8" s="19">
        <v>-1</v>
      </c>
      <c r="AX8" s="19">
        <v>0</v>
      </c>
      <c r="AY8" s="19" t="s">
        <v>130</v>
      </c>
    </row>
    <row r="9" spans="1:51" x14ac:dyDescent="0.35">
      <c r="A9">
        <v>83</v>
      </c>
      <c r="B9" t="s">
        <v>178</v>
      </c>
      <c r="C9" t="s">
        <v>179</v>
      </c>
      <c r="D9" s="16">
        <v>0.75</v>
      </c>
      <c r="E9" s="14" t="s">
        <v>180</v>
      </c>
      <c r="F9" s="14">
        <v>3</v>
      </c>
      <c r="G9" s="14">
        <v>2</v>
      </c>
      <c r="H9" s="14">
        <v>2</v>
      </c>
      <c r="I9" s="17">
        <v>2</v>
      </c>
      <c r="J9" s="17">
        <v>1</v>
      </c>
      <c r="K9" s="18">
        <v>1.2405189828102605</v>
      </c>
      <c r="L9" s="18">
        <v>1.1137858783492725</v>
      </c>
      <c r="M9" s="19">
        <v>42.695599477946566</v>
      </c>
      <c r="N9" s="19">
        <v>14.231866492648855</v>
      </c>
      <c r="O9" s="19" t="s">
        <v>181</v>
      </c>
      <c r="P9" s="16">
        <v>0.95</v>
      </c>
      <c r="Q9" s="14" t="s">
        <v>182</v>
      </c>
      <c r="R9" s="14">
        <v>3</v>
      </c>
      <c r="S9" s="17">
        <v>1</v>
      </c>
      <c r="T9" s="14">
        <v>1</v>
      </c>
      <c r="U9" s="14">
        <v>3</v>
      </c>
      <c r="V9" s="17">
        <v>1</v>
      </c>
      <c r="W9" s="18">
        <v>1.3000688016831126</v>
      </c>
      <c r="X9" s="18">
        <v>1.1402055962339039</v>
      </c>
      <c r="Y9" s="19">
        <v>8.2321949466505444</v>
      </c>
      <c r="Z9" s="19">
        <v>0.43327341824476595</v>
      </c>
      <c r="AA9" s="19" t="s">
        <v>160</v>
      </c>
      <c r="AB9" s="16">
        <v>0</v>
      </c>
      <c r="AC9" s="14" t="s">
        <v>161</v>
      </c>
      <c r="AD9" s="14">
        <v>1</v>
      </c>
      <c r="AE9" s="14">
        <v>1</v>
      </c>
      <c r="AF9" s="14">
        <v>1</v>
      </c>
      <c r="AG9" s="14">
        <v>1</v>
      </c>
      <c r="AH9" s="14">
        <v>1</v>
      </c>
      <c r="AI9" s="18">
        <v>1.05</v>
      </c>
      <c r="AJ9" s="18">
        <v>1.0246950765959599</v>
      </c>
      <c r="AK9" s="19">
        <v>0</v>
      </c>
      <c r="AL9" s="19">
        <v>-1</v>
      </c>
      <c r="AM9" s="19" t="s">
        <v>145</v>
      </c>
      <c r="AN9" s="16">
        <v>0</v>
      </c>
      <c r="AO9" s="14" t="s">
        <v>183</v>
      </c>
      <c r="AP9" s="14">
        <v>1</v>
      </c>
      <c r="AQ9" s="14">
        <v>1</v>
      </c>
      <c r="AR9" s="14">
        <v>1</v>
      </c>
      <c r="AS9" s="17">
        <v>1</v>
      </c>
      <c r="AT9" s="17">
        <v>1</v>
      </c>
      <c r="AU9" s="18">
        <v>1.05</v>
      </c>
      <c r="AV9" s="18">
        <v>1.0246950765959599</v>
      </c>
      <c r="AW9" s="19">
        <v>0</v>
      </c>
      <c r="AX9" s="19">
        <v>-1</v>
      </c>
      <c r="AY9" s="19" t="s">
        <v>145</v>
      </c>
    </row>
    <row r="10" spans="1:51" x14ac:dyDescent="0.35">
      <c r="A10">
        <v>48</v>
      </c>
      <c r="B10" t="s">
        <v>184</v>
      </c>
      <c r="C10" t="s">
        <v>185</v>
      </c>
      <c r="D10" s="16">
        <v>0.76275975333501123</v>
      </c>
      <c r="E10" s="14" t="s">
        <v>186</v>
      </c>
      <c r="F10" s="14">
        <v>2</v>
      </c>
      <c r="G10" s="14">
        <v>4</v>
      </c>
      <c r="H10" s="14">
        <v>3</v>
      </c>
      <c r="I10" s="17">
        <v>2</v>
      </c>
      <c r="J10" s="17">
        <v>1</v>
      </c>
      <c r="K10" s="18">
        <v>1.2392267911663479</v>
      </c>
      <c r="L10" s="18">
        <v>1.1132056374122203</v>
      </c>
      <c r="M10" s="19">
        <v>42.318439943559397</v>
      </c>
      <c r="N10" s="19">
        <v>13.162253365874749</v>
      </c>
      <c r="O10" s="19" t="s">
        <v>187</v>
      </c>
      <c r="P10" s="16">
        <v>0.998</v>
      </c>
      <c r="Q10" s="17" t="s">
        <v>188</v>
      </c>
      <c r="R10" s="14">
        <v>3</v>
      </c>
      <c r="S10" s="17">
        <v>1</v>
      </c>
      <c r="T10" s="14">
        <v>1</v>
      </c>
      <c r="U10" s="14">
        <v>1</v>
      </c>
      <c r="V10" s="17">
        <v>1</v>
      </c>
      <c r="W10" s="18">
        <v>1.207723199572867</v>
      </c>
      <c r="X10" s="18">
        <v>1.098964603421269</v>
      </c>
      <c r="Y10" s="19">
        <v>-0.18443680678612218</v>
      </c>
      <c r="Z10" s="19">
        <v>-3.6961283925074617E-4</v>
      </c>
      <c r="AA10" s="19" t="s">
        <v>189</v>
      </c>
      <c r="AB10" s="16">
        <v>0</v>
      </c>
      <c r="AC10" s="14" t="s">
        <v>190</v>
      </c>
      <c r="AD10" s="14">
        <v>1</v>
      </c>
      <c r="AE10" s="14">
        <v>1</v>
      </c>
      <c r="AF10" s="14">
        <v>1</v>
      </c>
      <c r="AG10" s="14">
        <v>1</v>
      </c>
      <c r="AH10" s="14">
        <v>1</v>
      </c>
      <c r="AI10" s="18">
        <v>1.05</v>
      </c>
      <c r="AJ10" s="18">
        <v>1.0246950765959599</v>
      </c>
      <c r="AK10" s="19">
        <v>0</v>
      </c>
      <c r="AL10" s="19">
        <v>-1</v>
      </c>
      <c r="AM10" s="19" t="s">
        <v>145</v>
      </c>
      <c r="AN10" s="16">
        <v>1</v>
      </c>
      <c r="AO10" s="14" t="s">
        <v>191</v>
      </c>
      <c r="AP10" s="14">
        <v>2</v>
      </c>
      <c r="AQ10" s="14">
        <v>1</v>
      </c>
      <c r="AR10" s="14">
        <v>1</v>
      </c>
      <c r="AS10" s="14">
        <v>1</v>
      </c>
      <c r="AT10" s="14">
        <v>1</v>
      </c>
      <c r="AU10" s="18">
        <v>1.1130148943987077</v>
      </c>
      <c r="AV10" s="18">
        <v>1.0549952106046301</v>
      </c>
      <c r="AW10" s="19">
        <v>-1</v>
      </c>
      <c r="AX10" s="19">
        <v>0</v>
      </c>
      <c r="AY10" s="19" t="s">
        <v>130</v>
      </c>
    </row>
    <row r="11" spans="1:51" x14ac:dyDescent="0.35">
      <c r="A11">
        <v>58</v>
      </c>
      <c r="B11" t="s">
        <v>192</v>
      </c>
      <c r="C11" t="s">
        <v>193</v>
      </c>
      <c r="D11" s="16">
        <v>0.58151300579436283</v>
      </c>
      <c r="E11" s="14" t="s">
        <v>194</v>
      </c>
      <c r="F11" s="14">
        <v>3</v>
      </c>
      <c r="G11" s="14">
        <v>1</v>
      </c>
      <c r="H11" s="14">
        <v>1</v>
      </c>
      <c r="I11" s="14">
        <v>3</v>
      </c>
      <c r="J11" s="14">
        <v>3</v>
      </c>
      <c r="K11" s="18">
        <v>1.3713425173473328</v>
      </c>
      <c r="L11" s="18">
        <v>1.1710433456312934</v>
      </c>
      <c r="M11" s="19">
        <v>18.767038411249729</v>
      </c>
      <c r="N11" s="19">
        <v>13.505736615705061</v>
      </c>
      <c r="O11" s="19" t="s">
        <v>195</v>
      </c>
      <c r="P11" s="16">
        <v>0.8547854785478548</v>
      </c>
      <c r="Q11" s="14" t="s">
        <v>196</v>
      </c>
      <c r="R11" s="14">
        <v>1</v>
      </c>
      <c r="S11" s="14">
        <v>3</v>
      </c>
      <c r="T11" s="14">
        <v>1</v>
      </c>
      <c r="U11" s="14">
        <v>3</v>
      </c>
      <c r="V11" s="14">
        <v>2</v>
      </c>
      <c r="W11" s="18">
        <v>1.2456465205819256</v>
      </c>
      <c r="X11" s="18">
        <v>1.1160853554195242</v>
      </c>
      <c r="Y11" s="19">
        <v>30.639331747618421</v>
      </c>
      <c r="Z11" s="19">
        <v>5.2051374397498469</v>
      </c>
      <c r="AA11" s="19" t="s">
        <v>197</v>
      </c>
      <c r="AB11" s="16">
        <v>0</v>
      </c>
      <c r="AC11" s="14" t="s">
        <v>196</v>
      </c>
      <c r="AD11" s="14">
        <v>1</v>
      </c>
      <c r="AE11" s="14">
        <v>3</v>
      </c>
      <c r="AF11" s="14">
        <v>1</v>
      </c>
      <c r="AG11" s="14">
        <v>3</v>
      </c>
      <c r="AH11" s="14">
        <v>2</v>
      </c>
      <c r="AI11" s="18">
        <v>1.2456465205819256</v>
      </c>
      <c r="AJ11" s="18">
        <v>1.1160853554195242</v>
      </c>
      <c r="AK11" s="19">
        <v>0</v>
      </c>
      <c r="AL11" s="19">
        <v>-1</v>
      </c>
      <c r="AM11" s="19" t="s">
        <v>145</v>
      </c>
      <c r="AN11" s="16">
        <v>1</v>
      </c>
      <c r="AO11" s="17" t="s">
        <v>198</v>
      </c>
      <c r="AP11" s="14">
        <v>1</v>
      </c>
      <c r="AQ11" s="14">
        <v>1</v>
      </c>
      <c r="AR11" s="14">
        <v>1</v>
      </c>
      <c r="AS11" s="14">
        <v>1</v>
      </c>
      <c r="AT11" s="14">
        <v>1</v>
      </c>
      <c r="AU11" s="18">
        <v>1.05</v>
      </c>
      <c r="AV11" s="18">
        <v>1.0246950765959599</v>
      </c>
      <c r="AW11" s="19">
        <v>-1</v>
      </c>
      <c r="AX11" s="19">
        <v>0</v>
      </c>
      <c r="AY11" s="19" t="s">
        <v>130</v>
      </c>
    </row>
    <row r="12" spans="1:51" x14ac:dyDescent="0.35">
      <c r="A12">
        <v>27</v>
      </c>
      <c r="B12" t="s">
        <v>199</v>
      </c>
      <c r="C12" t="s">
        <v>6</v>
      </c>
      <c r="D12" s="16">
        <v>0.439346565686978</v>
      </c>
      <c r="E12" s="17" t="s">
        <v>200</v>
      </c>
      <c r="F12" s="14">
        <v>1</v>
      </c>
      <c r="G12" s="14">
        <v>4</v>
      </c>
      <c r="H12" s="14">
        <v>1</v>
      </c>
      <c r="I12" s="17">
        <v>2</v>
      </c>
      <c r="J12" s="17">
        <v>1</v>
      </c>
      <c r="K12" s="18">
        <v>1.1925122738235221</v>
      </c>
      <c r="L12" s="18">
        <v>1.0920221031753534</v>
      </c>
      <c r="M12" s="19">
        <v>50.679923065789559</v>
      </c>
      <c r="N12" s="19">
        <v>64.673028394169108</v>
      </c>
      <c r="O12" s="19" t="s">
        <v>201</v>
      </c>
      <c r="P12" s="16">
        <v>0.94001342851084879</v>
      </c>
      <c r="Q12" s="17" t="s">
        <v>200</v>
      </c>
      <c r="R12" s="14">
        <v>1</v>
      </c>
      <c r="S12" s="17">
        <v>4</v>
      </c>
      <c r="T12" s="14">
        <v>1</v>
      </c>
      <c r="U12" s="14">
        <v>2</v>
      </c>
      <c r="V12" s="17">
        <v>1</v>
      </c>
      <c r="W12" s="18">
        <v>1.1925122738235221</v>
      </c>
      <c r="X12" s="18">
        <v>1.0920221031753534</v>
      </c>
      <c r="Y12" s="19">
        <v>24.097882949053627</v>
      </c>
      <c r="Z12" s="19">
        <v>1.5377965190886844</v>
      </c>
      <c r="AA12" s="19" t="s">
        <v>202</v>
      </c>
      <c r="AB12" s="16">
        <v>4.6833578792341679E-2</v>
      </c>
      <c r="AC12" s="17" t="s">
        <v>200</v>
      </c>
      <c r="AD12" s="14">
        <v>1</v>
      </c>
      <c r="AE12" s="14">
        <v>4</v>
      </c>
      <c r="AF12" s="14">
        <v>1</v>
      </c>
      <c r="AG12" s="17">
        <v>2</v>
      </c>
      <c r="AH12" s="17">
        <v>1</v>
      </c>
      <c r="AI12" s="18">
        <v>1.1925122738235221</v>
      </c>
      <c r="AJ12" s="18">
        <v>1.0920221031753534</v>
      </c>
      <c r="AK12" s="19">
        <v>0.94071645291148431</v>
      </c>
      <c r="AL12" s="19">
        <v>19.145650576236246</v>
      </c>
      <c r="AM12" s="19" t="s">
        <v>203</v>
      </c>
      <c r="AN12" s="16">
        <v>0.3087577707492638</v>
      </c>
      <c r="AO12" s="17" t="s">
        <v>200</v>
      </c>
      <c r="AP12" s="14">
        <v>1</v>
      </c>
      <c r="AQ12" s="14">
        <v>4</v>
      </c>
      <c r="AR12" s="14">
        <v>1</v>
      </c>
      <c r="AS12" s="17">
        <v>2</v>
      </c>
      <c r="AT12" s="17">
        <v>1</v>
      </c>
      <c r="AU12" s="18">
        <v>1.1925122738235221</v>
      </c>
      <c r="AV12" s="18">
        <v>1.0920221031753534</v>
      </c>
      <c r="AW12" s="19">
        <v>30.818562697751112</v>
      </c>
      <c r="AX12" s="19">
        <v>68.996132242439614</v>
      </c>
      <c r="AY12" s="19" t="s">
        <v>204</v>
      </c>
    </row>
    <row r="13" spans="1:51" x14ac:dyDescent="0.35">
      <c r="A13">
        <v>24</v>
      </c>
      <c r="B13" t="s">
        <v>205</v>
      </c>
      <c r="C13" t="s">
        <v>206</v>
      </c>
      <c r="D13" s="16">
        <v>0.75144508670520227</v>
      </c>
      <c r="E13" s="17" t="s">
        <v>207</v>
      </c>
      <c r="F13" s="14">
        <v>1</v>
      </c>
      <c r="G13" s="14">
        <v>4</v>
      </c>
      <c r="H13" s="14">
        <v>1</v>
      </c>
      <c r="I13" s="17">
        <v>2</v>
      </c>
      <c r="J13" s="17">
        <v>1</v>
      </c>
      <c r="K13" s="18">
        <v>1.1925122738235221</v>
      </c>
      <c r="L13" s="18">
        <v>1.0920221031753534</v>
      </c>
      <c r="M13" s="19">
        <v>65.54534970436913</v>
      </c>
      <c r="N13" s="19">
        <v>21.68038490221441</v>
      </c>
      <c r="O13" s="19" t="s">
        <v>208</v>
      </c>
      <c r="P13" s="16">
        <v>0.73451327433628322</v>
      </c>
      <c r="Q13" s="17" t="s">
        <v>207</v>
      </c>
      <c r="R13" s="14">
        <v>1</v>
      </c>
      <c r="S13" s="17">
        <v>4</v>
      </c>
      <c r="T13" s="14">
        <v>1</v>
      </c>
      <c r="U13" s="14">
        <v>2</v>
      </c>
      <c r="V13" s="17">
        <v>1</v>
      </c>
      <c r="W13" s="18">
        <v>1.1925122738235221</v>
      </c>
      <c r="X13" s="18">
        <v>1.0920221031753534</v>
      </c>
      <c r="Y13" s="19">
        <v>66.923274053289035</v>
      </c>
      <c r="Z13" s="19">
        <v>24.189135199983983</v>
      </c>
      <c r="AA13" s="19" t="s">
        <v>209</v>
      </c>
      <c r="AB13" s="16">
        <v>0.67682926829268297</v>
      </c>
      <c r="AC13" s="17" t="s">
        <v>210</v>
      </c>
      <c r="AD13" s="14">
        <v>1</v>
      </c>
      <c r="AE13" s="14">
        <v>4</v>
      </c>
      <c r="AF13" s="14">
        <v>1</v>
      </c>
      <c r="AG13" s="17">
        <v>2</v>
      </c>
      <c r="AH13" s="17">
        <v>1</v>
      </c>
      <c r="AI13" s="18">
        <v>1.1925122738235221</v>
      </c>
      <c r="AJ13" s="18">
        <v>1.0920221031753534</v>
      </c>
      <c r="AK13" s="19">
        <v>69.253563031311018</v>
      </c>
      <c r="AL13" s="19">
        <v>33.067016582517866</v>
      </c>
      <c r="AM13" s="19" t="s">
        <v>211</v>
      </c>
      <c r="AN13" s="16">
        <v>0.51707317073170733</v>
      </c>
      <c r="AO13" s="17" t="s">
        <v>212</v>
      </c>
      <c r="AP13" s="14">
        <v>3</v>
      </c>
      <c r="AQ13" s="14">
        <v>2</v>
      </c>
      <c r="AR13" s="14">
        <v>1</v>
      </c>
      <c r="AS13" s="17">
        <v>2</v>
      </c>
      <c r="AT13" s="17">
        <v>1</v>
      </c>
      <c r="AU13" s="18">
        <v>1.2379951868875012</v>
      </c>
      <c r="AV13" s="18">
        <v>1.1126523207577024</v>
      </c>
      <c r="AW13" s="19">
        <v>40.180175246958292</v>
      </c>
      <c r="AX13" s="19">
        <v>37.526767447630853</v>
      </c>
      <c r="AY13" s="19" t="s">
        <v>213</v>
      </c>
    </row>
    <row r="14" spans="1:51" x14ac:dyDescent="0.35">
      <c r="A14">
        <v>29</v>
      </c>
      <c r="B14" t="s">
        <v>214</v>
      </c>
      <c r="C14" t="s">
        <v>7</v>
      </c>
      <c r="D14" s="16">
        <v>0.83474576271186396</v>
      </c>
      <c r="E14" s="17" t="s">
        <v>215</v>
      </c>
      <c r="F14" s="14">
        <v>1</v>
      </c>
      <c r="G14" s="14">
        <v>3</v>
      </c>
      <c r="H14" s="14">
        <v>1</v>
      </c>
      <c r="I14" s="17">
        <v>2</v>
      </c>
      <c r="J14" s="17">
        <v>1</v>
      </c>
      <c r="K14" s="18">
        <v>1.1409505340208952</v>
      </c>
      <c r="L14" s="18">
        <v>1.0681528607932926</v>
      </c>
      <c r="M14" s="19">
        <v>98.328985712214077</v>
      </c>
      <c r="N14" s="19">
        <v>19.466144379575375</v>
      </c>
      <c r="O14" s="19" t="s">
        <v>216</v>
      </c>
      <c r="P14" s="16">
        <v>0.82411067193675891</v>
      </c>
      <c r="Q14" s="17" t="s">
        <v>215</v>
      </c>
      <c r="R14" s="14">
        <v>1</v>
      </c>
      <c r="S14" s="17">
        <v>3</v>
      </c>
      <c r="T14" s="14">
        <v>1</v>
      </c>
      <c r="U14" s="14">
        <v>2</v>
      </c>
      <c r="V14" s="17">
        <v>1</v>
      </c>
      <c r="W14" s="18">
        <v>1.1409505340208952</v>
      </c>
      <c r="X14" s="18">
        <v>1.0681528607932926</v>
      </c>
      <c r="Y14" s="19">
        <v>102.04911940449594</v>
      </c>
      <c r="Z14" s="19">
        <v>21.780267690647811</v>
      </c>
      <c r="AA14" s="19" t="s">
        <v>217</v>
      </c>
      <c r="AB14" s="16">
        <v>0.92307692307692313</v>
      </c>
      <c r="AC14" s="17" t="s">
        <v>215</v>
      </c>
      <c r="AD14" s="14">
        <v>1</v>
      </c>
      <c r="AE14" s="14">
        <v>3</v>
      </c>
      <c r="AF14" s="14">
        <v>1</v>
      </c>
      <c r="AG14" s="17">
        <v>2</v>
      </c>
      <c r="AH14" s="17">
        <v>1</v>
      </c>
      <c r="AI14" s="18">
        <v>1.1409505340208952</v>
      </c>
      <c r="AJ14" s="18">
        <v>1.0681528607932926</v>
      </c>
      <c r="AK14" s="19">
        <v>55.521762957159901</v>
      </c>
      <c r="AL14" s="19">
        <v>4.6268135797633221</v>
      </c>
      <c r="AM14" s="19" t="s">
        <v>218</v>
      </c>
      <c r="AN14" s="16">
        <v>1</v>
      </c>
      <c r="AO14" s="17" t="s">
        <v>215</v>
      </c>
      <c r="AP14" s="14">
        <v>1</v>
      </c>
      <c r="AQ14" s="14">
        <v>3</v>
      </c>
      <c r="AR14" s="14">
        <v>1</v>
      </c>
      <c r="AS14" s="17">
        <v>2</v>
      </c>
      <c r="AT14" s="17">
        <v>1</v>
      </c>
      <c r="AU14" s="18">
        <v>1.1409505340208952</v>
      </c>
      <c r="AV14" s="18">
        <v>1.0681528607932926</v>
      </c>
      <c r="AW14" s="19">
        <v>-1</v>
      </c>
      <c r="AX14" s="19">
        <v>0</v>
      </c>
      <c r="AY14" s="19" t="s">
        <v>130</v>
      </c>
    </row>
    <row r="15" spans="1:51" x14ac:dyDescent="0.35">
      <c r="A15">
        <v>66</v>
      </c>
      <c r="B15" t="s">
        <v>219</v>
      </c>
      <c r="C15" t="s">
        <v>220</v>
      </c>
      <c r="D15" s="16">
        <v>0.6621811901957797</v>
      </c>
      <c r="E15" s="14" t="s">
        <v>194</v>
      </c>
      <c r="F15" s="14">
        <v>3</v>
      </c>
      <c r="G15" s="14">
        <v>1</v>
      </c>
      <c r="H15" s="14">
        <v>1</v>
      </c>
      <c r="I15" s="14">
        <v>3</v>
      </c>
      <c r="J15" s="14">
        <v>3</v>
      </c>
      <c r="K15" s="18">
        <v>1.3713425173473328</v>
      </c>
      <c r="L15" s="18">
        <v>1.1710433456312934</v>
      </c>
      <c r="M15" s="19">
        <v>19.590621580155791</v>
      </c>
      <c r="N15" s="19">
        <v>9.9943649314116119</v>
      </c>
      <c r="O15" s="19" t="s">
        <v>221</v>
      </c>
      <c r="P15" s="16">
        <v>0.5625</v>
      </c>
      <c r="Q15" s="14" t="s">
        <v>196</v>
      </c>
      <c r="R15" s="14">
        <v>1</v>
      </c>
      <c r="S15" s="14">
        <v>3</v>
      </c>
      <c r="T15" s="14">
        <v>1</v>
      </c>
      <c r="U15" s="14">
        <v>3</v>
      </c>
      <c r="V15" s="14">
        <v>2</v>
      </c>
      <c r="W15" s="18">
        <v>1.2456465205819256</v>
      </c>
      <c r="X15" s="18">
        <v>1.1160853554195242</v>
      </c>
      <c r="Y15" s="19">
        <v>40.526751634223146</v>
      </c>
      <c r="Z15" s="19">
        <v>31.520806826617999</v>
      </c>
      <c r="AA15" s="19" t="s">
        <v>222</v>
      </c>
      <c r="AB15" s="16">
        <v>0.5714285714285714</v>
      </c>
      <c r="AC15" s="14" t="s">
        <v>196</v>
      </c>
      <c r="AD15" s="14">
        <v>3</v>
      </c>
      <c r="AE15" s="14">
        <v>3</v>
      </c>
      <c r="AF15" s="14">
        <v>1</v>
      </c>
      <c r="AG15" s="14">
        <v>3</v>
      </c>
      <c r="AH15" s="14">
        <v>2</v>
      </c>
      <c r="AI15" s="18">
        <v>1.3303783351797707</v>
      </c>
      <c r="AJ15" s="18">
        <v>1.1534202769068049</v>
      </c>
      <c r="AK15" s="19">
        <v>23.210199575273055</v>
      </c>
      <c r="AL15" s="19">
        <v>17.407649681454796</v>
      </c>
      <c r="AM15" s="19" t="s">
        <v>223</v>
      </c>
      <c r="AN15" s="16">
        <v>1</v>
      </c>
      <c r="AO15" s="17" t="s">
        <v>224</v>
      </c>
      <c r="AP15" s="14">
        <v>1</v>
      </c>
      <c r="AQ15" s="14">
        <v>1</v>
      </c>
      <c r="AR15" s="14">
        <v>1</v>
      </c>
      <c r="AS15" s="14">
        <v>1</v>
      </c>
      <c r="AT15" s="14">
        <v>1</v>
      </c>
      <c r="AU15" s="18">
        <v>1.05</v>
      </c>
      <c r="AV15" s="18">
        <v>1.0246950765959599</v>
      </c>
      <c r="AW15" s="19">
        <v>-1</v>
      </c>
      <c r="AX15" s="19">
        <v>0</v>
      </c>
      <c r="AY15" s="19" t="s">
        <v>130</v>
      </c>
    </row>
    <row r="16" spans="1:51" x14ac:dyDescent="0.35">
      <c r="A16">
        <v>68</v>
      </c>
      <c r="B16" t="s">
        <v>225</v>
      </c>
      <c r="C16" t="s">
        <v>226</v>
      </c>
      <c r="D16" s="16">
        <v>0.66749104784218516</v>
      </c>
      <c r="E16" s="14" t="s">
        <v>194</v>
      </c>
      <c r="F16" s="14">
        <v>4</v>
      </c>
      <c r="G16" s="14">
        <v>1</v>
      </c>
      <c r="H16" s="14">
        <v>1</v>
      </c>
      <c r="I16" s="14">
        <v>3</v>
      </c>
      <c r="J16" s="14">
        <v>3</v>
      </c>
      <c r="K16" s="18">
        <v>1.5279171865856971</v>
      </c>
      <c r="L16" s="18">
        <v>1.2360894735356729</v>
      </c>
      <c r="M16" s="19">
        <v>9.9641664479370533</v>
      </c>
      <c r="N16" s="19">
        <v>4.9636239398868147</v>
      </c>
      <c r="O16" s="19" t="s">
        <v>227</v>
      </c>
      <c r="P16" s="16">
        <v>0.85</v>
      </c>
      <c r="Q16" s="14" t="s">
        <v>228</v>
      </c>
      <c r="R16" s="14">
        <v>3</v>
      </c>
      <c r="S16" s="14">
        <v>3</v>
      </c>
      <c r="T16" s="14">
        <v>1</v>
      </c>
      <c r="U16" s="14">
        <v>3</v>
      </c>
      <c r="V16" s="14">
        <v>3</v>
      </c>
      <c r="W16" s="18">
        <v>1.3840763218302521</v>
      </c>
      <c r="X16" s="18">
        <v>1.1764677308920344</v>
      </c>
      <c r="Y16" s="19">
        <v>13.070617457485042</v>
      </c>
      <c r="Z16" s="19">
        <v>2.3065795513208904</v>
      </c>
      <c r="AA16" s="19" t="s">
        <v>229</v>
      </c>
      <c r="AB16" s="16">
        <v>0</v>
      </c>
      <c r="AC16" s="17" t="s">
        <v>230</v>
      </c>
      <c r="AD16" s="14">
        <v>3</v>
      </c>
      <c r="AE16" s="14">
        <v>1</v>
      </c>
      <c r="AF16" s="14">
        <v>1</v>
      </c>
      <c r="AG16" s="14">
        <v>3</v>
      </c>
      <c r="AH16" s="14">
        <v>3</v>
      </c>
      <c r="AI16" s="18">
        <v>1.3713425173473328</v>
      </c>
      <c r="AJ16" s="18">
        <v>1.1710433456312934</v>
      </c>
      <c r="AK16" s="19">
        <v>0</v>
      </c>
      <c r="AL16" s="19">
        <v>-1</v>
      </c>
      <c r="AM16" s="19" t="s">
        <v>145</v>
      </c>
      <c r="AN16" s="16">
        <v>0</v>
      </c>
      <c r="AO16" s="17" t="s">
        <v>231</v>
      </c>
      <c r="AP16" s="14">
        <v>3</v>
      </c>
      <c r="AQ16" s="14">
        <v>1</v>
      </c>
      <c r="AR16" s="14">
        <v>1</v>
      </c>
      <c r="AS16" s="14">
        <v>3</v>
      </c>
      <c r="AT16" s="14">
        <v>3</v>
      </c>
      <c r="AU16" s="18">
        <v>1.3713425173473328</v>
      </c>
      <c r="AV16" s="18">
        <v>1.1710433456312934</v>
      </c>
      <c r="AW16" s="19">
        <v>0</v>
      </c>
      <c r="AX16" s="19">
        <v>-1</v>
      </c>
      <c r="AY16" s="19" t="s">
        <v>145</v>
      </c>
    </row>
    <row r="17" spans="1:51" x14ac:dyDescent="0.35">
      <c r="A17">
        <v>63</v>
      </c>
      <c r="B17" t="s">
        <v>232</v>
      </c>
      <c r="C17" t="s">
        <v>233</v>
      </c>
      <c r="D17" s="16">
        <v>0.61816718448448926</v>
      </c>
      <c r="E17" s="14" t="s">
        <v>194</v>
      </c>
      <c r="F17" s="14">
        <v>3</v>
      </c>
      <c r="G17" s="14">
        <v>1</v>
      </c>
      <c r="H17" s="14">
        <v>1</v>
      </c>
      <c r="I17" s="14">
        <v>3</v>
      </c>
      <c r="J17" s="14">
        <v>3</v>
      </c>
      <c r="K17" s="18">
        <v>1.3713425173473328</v>
      </c>
      <c r="L17" s="18">
        <v>1.1710433456312934</v>
      </c>
      <c r="M17" s="19">
        <v>19.33136743805197</v>
      </c>
      <c r="N17" s="19">
        <v>11.940702518513353</v>
      </c>
      <c r="O17" s="19" t="s">
        <v>234</v>
      </c>
      <c r="P17" s="16">
        <v>0.8</v>
      </c>
      <c r="Q17" s="14" t="s">
        <v>196</v>
      </c>
      <c r="R17" s="14">
        <v>3</v>
      </c>
      <c r="S17" s="14">
        <v>3</v>
      </c>
      <c r="T17" s="14">
        <v>1</v>
      </c>
      <c r="U17" s="14">
        <v>3</v>
      </c>
      <c r="V17" s="14">
        <v>2</v>
      </c>
      <c r="W17" s="18">
        <v>1.3303783351797707</v>
      </c>
      <c r="X17" s="18">
        <v>1.1534202769068049</v>
      </c>
      <c r="Y17" s="19">
        <v>20.952262544849756</v>
      </c>
      <c r="Z17" s="19">
        <v>5.2380656362124371</v>
      </c>
      <c r="AA17" s="19" t="s">
        <v>235</v>
      </c>
      <c r="AB17" s="16">
        <v>0</v>
      </c>
      <c r="AC17" s="14" t="s">
        <v>196</v>
      </c>
      <c r="AD17" s="14">
        <v>1</v>
      </c>
      <c r="AE17" s="14">
        <v>3</v>
      </c>
      <c r="AF17" s="14">
        <v>1</v>
      </c>
      <c r="AG17" s="14">
        <v>3</v>
      </c>
      <c r="AH17" s="14">
        <v>2</v>
      </c>
      <c r="AI17" s="18">
        <v>1.2456465205819256</v>
      </c>
      <c r="AJ17" s="18">
        <v>1.1160853554195242</v>
      </c>
      <c r="AK17" s="19">
        <v>0</v>
      </c>
      <c r="AL17" s="19">
        <v>-1</v>
      </c>
      <c r="AM17" s="19" t="s">
        <v>145</v>
      </c>
      <c r="AN17" s="16">
        <v>1</v>
      </c>
      <c r="AO17" s="17" t="s">
        <v>236</v>
      </c>
      <c r="AP17" s="14">
        <v>1</v>
      </c>
      <c r="AQ17" s="14">
        <v>1</v>
      </c>
      <c r="AR17" s="14">
        <v>1</v>
      </c>
      <c r="AS17" s="14">
        <v>1</v>
      </c>
      <c r="AT17" s="14">
        <v>1</v>
      </c>
      <c r="AU17" s="18">
        <v>1.05</v>
      </c>
      <c r="AV17" s="18">
        <v>1.0246950765959599</v>
      </c>
      <c r="AW17" s="19">
        <v>-1</v>
      </c>
      <c r="AX17" s="19">
        <v>0</v>
      </c>
      <c r="AY17" s="19" t="s">
        <v>130</v>
      </c>
    </row>
    <row r="18" spans="1:51" x14ac:dyDescent="0.35">
      <c r="A18">
        <v>26</v>
      </c>
      <c r="B18" t="s">
        <v>237</v>
      </c>
      <c r="C18" t="s">
        <v>238</v>
      </c>
      <c r="D18" s="16">
        <v>0.87408949011446413</v>
      </c>
      <c r="E18" s="17" t="s">
        <v>239</v>
      </c>
      <c r="F18" s="14">
        <v>1</v>
      </c>
      <c r="G18" s="14">
        <v>1</v>
      </c>
      <c r="H18" s="14">
        <v>1</v>
      </c>
      <c r="I18" s="17">
        <v>1</v>
      </c>
      <c r="J18" s="17">
        <v>1</v>
      </c>
      <c r="K18" s="18">
        <v>1.05</v>
      </c>
      <c r="L18" s="18">
        <v>1.0246950765959599</v>
      </c>
      <c r="M18" s="19">
        <v>630.10216489349875</v>
      </c>
      <c r="N18" s="19">
        <v>90.764716609658734</v>
      </c>
      <c r="O18" s="19" t="s">
        <v>240</v>
      </c>
      <c r="P18" s="16">
        <v>0.88809523809523805</v>
      </c>
      <c r="Q18" s="17" t="s">
        <v>239</v>
      </c>
      <c r="R18" s="14">
        <v>1</v>
      </c>
      <c r="S18" s="17">
        <v>4</v>
      </c>
      <c r="T18" s="14">
        <v>1</v>
      </c>
      <c r="U18" s="14">
        <v>1</v>
      </c>
      <c r="V18" s="17">
        <v>1</v>
      </c>
      <c r="W18" s="18">
        <v>1.1595515978754811</v>
      </c>
      <c r="X18" s="18">
        <v>1.0768247758458573</v>
      </c>
      <c r="Y18" s="19">
        <v>58.928961239950219</v>
      </c>
      <c r="Z18" s="19">
        <v>7.4253650892162506</v>
      </c>
      <c r="AA18" s="19" t="s">
        <v>241</v>
      </c>
      <c r="AB18" s="16">
        <v>1</v>
      </c>
      <c r="AC18" s="17" t="s">
        <v>239</v>
      </c>
      <c r="AD18" s="14">
        <v>1</v>
      </c>
      <c r="AE18" s="14">
        <v>4</v>
      </c>
      <c r="AF18" s="14">
        <v>1</v>
      </c>
      <c r="AG18" s="17">
        <v>1</v>
      </c>
      <c r="AH18" s="17">
        <v>1</v>
      </c>
      <c r="AI18" s="18">
        <v>1.1595515978754811</v>
      </c>
      <c r="AJ18" s="18">
        <v>1.0768247758458573</v>
      </c>
      <c r="AK18" s="19">
        <v>-1</v>
      </c>
      <c r="AL18" s="19">
        <v>0</v>
      </c>
      <c r="AM18" s="19" t="s">
        <v>130</v>
      </c>
      <c r="AN18" s="16">
        <v>0.94</v>
      </c>
      <c r="AO18" s="17" t="s">
        <v>239</v>
      </c>
      <c r="AP18" s="14">
        <v>1</v>
      </c>
      <c r="AQ18" s="14">
        <v>4</v>
      </c>
      <c r="AR18" s="14">
        <v>1</v>
      </c>
      <c r="AS18" s="17">
        <v>1</v>
      </c>
      <c r="AT18" s="17">
        <v>1</v>
      </c>
      <c r="AU18" s="18">
        <v>1.1595515978754811</v>
      </c>
      <c r="AV18" s="18">
        <v>1.0768247758458573</v>
      </c>
      <c r="AW18" s="19">
        <v>34.990589730607198</v>
      </c>
      <c r="AX18" s="19">
        <v>2.2334418976983339</v>
      </c>
      <c r="AY18" s="19" t="s">
        <v>242</v>
      </c>
    </row>
    <row r="19" spans="1:51" x14ac:dyDescent="0.35">
      <c r="A19">
        <v>31</v>
      </c>
      <c r="B19" t="s">
        <v>243</v>
      </c>
      <c r="C19" t="s">
        <v>244</v>
      </c>
      <c r="D19" s="16">
        <v>1.796919566457502E-2</v>
      </c>
      <c r="E19" s="17" t="s">
        <v>245</v>
      </c>
      <c r="F19" s="14">
        <v>1</v>
      </c>
      <c r="G19" s="14">
        <v>3</v>
      </c>
      <c r="H19" s="14">
        <v>1</v>
      </c>
      <c r="I19" s="17">
        <v>2</v>
      </c>
      <c r="J19" s="17">
        <v>2</v>
      </c>
      <c r="K19" s="18">
        <v>1.1679066507053673</v>
      </c>
      <c r="L19" s="18">
        <v>1.0806972983705323</v>
      </c>
      <c r="M19" s="19">
        <v>0.17680184595901238</v>
      </c>
      <c r="N19" s="19">
        <v>9.6623612005853872</v>
      </c>
      <c r="O19" s="19" t="s">
        <v>246</v>
      </c>
      <c r="P19" s="16">
        <v>0.27621998450813318</v>
      </c>
      <c r="Q19" s="17" t="s">
        <v>247</v>
      </c>
      <c r="R19" s="14">
        <v>1</v>
      </c>
      <c r="S19" s="17">
        <v>3</v>
      </c>
      <c r="T19" s="14">
        <v>1</v>
      </c>
      <c r="U19" s="14">
        <v>2</v>
      </c>
      <c r="V19" s="17">
        <v>2</v>
      </c>
      <c r="W19" s="18">
        <v>1.1679066507053673</v>
      </c>
      <c r="X19" s="18">
        <v>1.0806972983705323</v>
      </c>
      <c r="Y19" s="19">
        <v>33.644009451250071</v>
      </c>
      <c r="Z19" s="19">
        <v>88.157494198676588</v>
      </c>
      <c r="AA19" s="19" t="s">
        <v>248</v>
      </c>
      <c r="AB19" s="16">
        <v>0.80175551273817169</v>
      </c>
      <c r="AC19" s="17" t="s">
        <v>247</v>
      </c>
      <c r="AD19" s="14">
        <v>1</v>
      </c>
      <c r="AE19" s="14">
        <v>3</v>
      </c>
      <c r="AF19" s="14">
        <v>1</v>
      </c>
      <c r="AG19" s="17">
        <v>2</v>
      </c>
      <c r="AH19" s="17">
        <v>2</v>
      </c>
      <c r="AI19" s="18">
        <v>1.1679066507053673</v>
      </c>
      <c r="AJ19" s="18">
        <v>1.0806972983705323</v>
      </c>
      <c r="AK19" s="19">
        <v>77.473956978095742</v>
      </c>
      <c r="AL19" s="19">
        <v>19.156444368949707</v>
      </c>
      <c r="AM19" s="19" t="s">
        <v>249</v>
      </c>
      <c r="AN19" s="16">
        <v>0.7142857142857143</v>
      </c>
      <c r="AO19" s="17" t="s">
        <v>247</v>
      </c>
      <c r="AP19" s="14">
        <v>1</v>
      </c>
      <c r="AQ19" s="14">
        <v>3</v>
      </c>
      <c r="AR19" s="14">
        <v>1</v>
      </c>
      <c r="AS19" s="17">
        <v>2</v>
      </c>
      <c r="AT19" s="17">
        <v>2</v>
      </c>
      <c r="AU19" s="18">
        <v>1.1679066507053673</v>
      </c>
      <c r="AV19" s="18">
        <v>1.0806972983705323</v>
      </c>
      <c r="AW19" s="19">
        <v>88.825878142630572</v>
      </c>
      <c r="AX19" s="19">
        <v>35.530351257052224</v>
      </c>
      <c r="AY19" s="19" t="s">
        <v>250</v>
      </c>
    </row>
    <row r="20" spans="1:51" x14ac:dyDescent="0.35">
      <c r="A20">
        <v>64</v>
      </c>
      <c r="B20" t="s">
        <v>251</v>
      </c>
      <c r="C20" t="s">
        <v>252</v>
      </c>
      <c r="D20" s="16">
        <v>0.63985820553182704</v>
      </c>
      <c r="E20" s="14" t="s">
        <v>194</v>
      </c>
      <c r="F20" s="14">
        <v>3</v>
      </c>
      <c r="G20" s="14">
        <v>1</v>
      </c>
      <c r="H20" s="14">
        <v>1</v>
      </c>
      <c r="I20" s="14">
        <v>3</v>
      </c>
      <c r="J20" s="14">
        <v>3</v>
      </c>
      <c r="K20" s="18">
        <v>1.3713425173473328</v>
      </c>
      <c r="L20" s="18">
        <v>1.1710433456312934</v>
      </c>
      <c r="M20" s="19">
        <v>19.520054039194324</v>
      </c>
      <c r="N20" s="19">
        <v>10.986789305840158</v>
      </c>
      <c r="O20" s="19" t="s">
        <v>253</v>
      </c>
      <c r="P20" s="16">
        <v>0.69565217391304357</v>
      </c>
      <c r="Q20" s="14" t="s">
        <v>196</v>
      </c>
      <c r="R20" s="14">
        <v>1</v>
      </c>
      <c r="S20" s="14">
        <v>3</v>
      </c>
      <c r="T20" s="14">
        <v>1</v>
      </c>
      <c r="U20" s="14">
        <v>3</v>
      </c>
      <c r="V20" s="14">
        <v>3</v>
      </c>
      <c r="W20" s="18">
        <v>1.308762891140433</v>
      </c>
      <c r="X20" s="18">
        <v>1.1440117530604452</v>
      </c>
      <c r="Y20" s="19">
        <v>27.710905865485028</v>
      </c>
      <c r="Z20" s="19">
        <v>12.123521316149695</v>
      </c>
      <c r="AA20" s="19" t="s">
        <v>254</v>
      </c>
      <c r="AB20" s="16">
        <v>0.2</v>
      </c>
      <c r="AC20" s="14" t="s">
        <v>196</v>
      </c>
      <c r="AD20" s="14">
        <v>1</v>
      </c>
      <c r="AE20" s="14">
        <v>3</v>
      </c>
      <c r="AF20" s="14">
        <v>1</v>
      </c>
      <c r="AG20" s="14">
        <v>3</v>
      </c>
      <c r="AH20" s="14">
        <v>3</v>
      </c>
      <c r="AI20" s="18">
        <v>1.308762891140433</v>
      </c>
      <c r="AJ20" s="18">
        <v>1.1440117530604452</v>
      </c>
      <c r="AK20" s="19">
        <v>5.9718319940242228</v>
      </c>
      <c r="AL20" s="19">
        <v>23.887327976096891</v>
      </c>
      <c r="AM20" s="19" t="s">
        <v>255</v>
      </c>
      <c r="AN20" s="16">
        <v>1</v>
      </c>
      <c r="AO20" s="17" t="s">
        <v>224</v>
      </c>
      <c r="AP20" s="14">
        <v>1</v>
      </c>
      <c r="AQ20" s="14">
        <v>1</v>
      </c>
      <c r="AR20" s="14">
        <v>1</v>
      </c>
      <c r="AS20" s="14">
        <v>1</v>
      </c>
      <c r="AT20" s="14">
        <v>1</v>
      </c>
      <c r="AU20" s="18">
        <v>1.05</v>
      </c>
      <c r="AV20" s="18">
        <v>1.0246950765959599</v>
      </c>
      <c r="AW20" s="19">
        <v>-1</v>
      </c>
      <c r="AX20" s="19">
        <v>0</v>
      </c>
      <c r="AY20" s="19" t="s">
        <v>130</v>
      </c>
    </row>
    <row r="21" spans="1:51" x14ac:dyDescent="0.35">
      <c r="A21">
        <v>32</v>
      </c>
      <c r="B21" t="s">
        <v>256</v>
      </c>
      <c r="C21" t="s">
        <v>257</v>
      </c>
      <c r="D21" s="16">
        <v>6.5774804905239679E-3</v>
      </c>
      <c r="E21" s="17" t="s">
        <v>247</v>
      </c>
      <c r="F21" s="14">
        <v>1</v>
      </c>
      <c r="G21" s="14">
        <v>3</v>
      </c>
      <c r="H21" s="14">
        <v>1</v>
      </c>
      <c r="I21" s="17">
        <v>2</v>
      </c>
      <c r="J21" s="17">
        <v>2</v>
      </c>
      <c r="K21" s="18">
        <v>1.1679066507053673</v>
      </c>
      <c r="L21" s="18">
        <v>1.0806972983705323</v>
      </c>
      <c r="M21" s="18">
        <v>1.9821985274716219E-2</v>
      </c>
      <c r="N21" s="18">
        <v>2.993791708186377</v>
      </c>
      <c r="O21" s="19" t="s">
        <v>258</v>
      </c>
      <c r="P21" s="16">
        <v>0.41525423728813549</v>
      </c>
      <c r="Q21" s="17" t="s">
        <v>247</v>
      </c>
      <c r="R21" s="14">
        <v>1</v>
      </c>
      <c r="S21" s="17">
        <v>3</v>
      </c>
      <c r="T21" s="14">
        <v>1</v>
      </c>
      <c r="U21" s="14">
        <v>2</v>
      </c>
      <c r="V21" s="17">
        <v>2</v>
      </c>
      <c r="W21" s="18">
        <v>1.1679066507053673</v>
      </c>
      <c r="X21" s="18">
        <v>1.0806972983705323</v>
      </c>
      <c r="Y21" s="19">
        <v>61.519900845046593</v>
      </c>
      <c r="Z21" s="19">
        <v>86.630064455269732</v>
      </c>
      <c r="AA21" s="19" t="s">
        <v>259</v>
      </c>
      <c r="AB21" s="16">
        <v>1</v>
      </c>
      <c r="AC21" s="17" t="s">
        <v>247</v>
      </c>
      <c r="AD21" s="14">
        <v>1</v>
      </c>
      <c r="AE21" s="14">
        <v>3</v>
      </c>
      <c r="AF21" s="14">
        <v>1</v>
      </c>
      <c r="AG21" s="17">
        <v>2</v>
      </c>
      <c r="AH21" s="17">
        <v>2</v>
      </c>
      <c r="AI21" s="18">
        <v>1.1679066507053673</v>
      </c>
      <c r="AJ21" s="18">
        <v>1.0806972983705323</v>
      </c>
      <c r="AK21" s="19">
        <v>-1</v>
      </c>
      <c r="AL21" s="19">
        <v>0</v>
      </c>
      <c r="AM21" s="19" t="s">
        <v>130</v>
      </c>
      <c r="AN21" s="16">
        <v>0.51304347826086949</v>
      </c>
      <c r="AO21" s="17" t="s">
        <v>260</v>
      </c>
      <c r="AP21" s="14">
        <v>1</v>
      </c>
      <c r="AQ21" s="14">
        <v>3</v>
      </c>
      <c r="AR21" s="14">
        <v>1</v>
      </c>
      <c r="AS21" s="17">
        <v>2</v>
      </c>
      <c r="AT21" s="17">
        <v>2</v>
      </c>
      <c r="AU21" s="18">
        <v>1.1679066507053673</v>
      </c>
      <c r="AV21" s="18">
        <v>1.0806972983705323</v>
      </c>
      <c r="AW21" s="19">
        <v>78.217006971550688</v>
      </c>
      <c r="AX21" s="19">
        <v>74.239871023844756</v>
      </c>
      <c r="AY21" s="19" t="s">
        <v>261</v>
      </c>
    </row>
    <row r="22" spans="1:51" x14ac:dyDescent="0.35">
      <c r="A22">
        <v>72</v>
      </c>
      <c r="B22" t="s">
        <v>262</v>
      </c>
      <c r="C22" t="s">
        <v>263</v>
      </c>
      <c r="D22" s="20">
        <v>2.717391304347826E-3</v>
      </c>
      <c r="E22" s="17" t="s">
        <v>264</v>
      </c>
      <c r="F22" s="14">
        <v>3</v>
      </c>
      <c r="G22" s="17">
        <v>1</v>
      </c>
      <c r="H22" s="17">
        <v>1</v>
      </c>
      <c r="I22" s="17">
        <v>3</v>
      </c>
      <c r="J22" s="17">
        <v>1</v>
      </c>
      <c r="K22" s="18">
        <v>1.3000688016831126</v>
      </c>
      <c r="L22" s="18">
        <v>1.1402055962339039</v>
      </c>
      <c r="M22" s="18">
        <v>-1.2189080214020857E-3</v>
      </c>
      <c r="N22" s="19">
        <v>-0.44733924385456553</v>
      </c>
      <c r="O22" s="19" t="s">
        <v>265</v>
      </c>
      <c r="P22" s="16">
        <v>0.95</v>
      </c>
      <c r="Q22" s="17" t="s">
        <v>159</v>
      </c>
      <c r="R22" s="14">
        <v>3</v>
      </c>
      <c r="S22" s="17">
        <v>1</v>
      </c>
      <c r="T22" s="17">
        <v>1</v>
      </c>
      <c r="U22" s="17">
        <v>3</v>
      </c>
      <c r="V22" s="17">
        <v>1</v>
      </c>
      <c r="W22" s="18">
        <v>1.3000688016831126</v>
      </c>
      <c r="X22" s="18">
        <v>1.1402055962339039</v>
      </c>
      <c r="Y22" s="19">
        <v>8.2321949466505444</v>
      </c>
      <c r="Z22" s="19">
        <v>0.43327341824476595</v>
      </c>
      <c r="AA22" s="19" t="s">
        <v>160</v>
      </c>
      <c r="AB22" s="16">
        <v>0</v>
      </c>
      <c r="AC22" s="14" t="s">
        <v>161</v>
      </c>
      <c r="AD22" s="14">
        <v>1</v>
      </c>
      <c r="AE22" s="14">
        <v>1</v>
      </c>
      <c r="AF22" s="14">
        <v>1</v>
      </c>
      <c r="AG22" s="14">
        <v>1</v>
      </c>
      <c r="AH22" s="14">
        <v>1</v>
      </c>
      <c r="AI22" s="18">
        <v>1.05</v>
      </c>
      <c r="AJ22" s="18">
        <v>1.0246950765959599</v>
      </c>
      <c r="AK22" s="19">
        <v>0</v>
      </c>
      <c r="AL22" s="19">
        <v>-1</v>
      </c>
      <c r="AM22" s="19" t="s">
        <v>145</v>
      </c>
      <c r="AN22" s="16">
        <v>0</v>
      </c>
      <c r="AO22" s="17" t="s">
        <v>266</v>
      </c>
      <c r="AP22" s="14">
        <v>1</v>
      </c>
      <c r="AQ22" s="17">
        <v>1</v>
      </c>
      <c r="AR22" s="17">
        <v>1</v>
      </c>
      <c r="AS22" s="17">
        <v>1</v>
      </c>
      <c r="AT22" s="17">
        <v>1</v>
      </c>
      <c r="AU22" s="18">
        <v>1.05</v>
      </c>
      <c r="AV22" s="18">
        <v>1.0246950765959599</v>
      </c>
      <c r="AW22" s="19">
        <v>0</v>
      </c>
      <c r="AX22" s="19">
        <v>-1</v>
      </c>
      <c r="AY22" s="19" t="s">
        <v>145</v>
      </c>
    </row>
    <row r="23" spans="1:51" x14ac:dyDescent="0.35">
      <c r="A23">
        <v>80</v>
      </c>
      <c r="B23" t="s">
        <v>267</v>
      </c>
      <c r="C23" t="s">
        <v>268</v>
      </c>
      <c r="D23" s="16">
        <v>0.85499999999999998</v>
      </c>
      <c r="E23" s="17" t="s">
        <v>269</v>
      </c>
      <c r="F23" s="14">
        <v>3</v>
      </c>
      <c r="G23" s="17">
        <v>4</v>
      </c>
      <c r="H23" s="17">
        <v>1</v>
      </c>
      <c r="I23" s="17">
        <v>3</v>
      </c>
      <c r="J23" s="17">
        <v>1</v>
      </c>
      <c r="K23" s="18">
        <v>1.3462392336889575</v>
      </c>
      <c r="L23" s="18">
        <v>1.1602754990470829</v>
      </c>
      <c r="M23" s="19">
        <v>15.650395959774235</v>
      </c>
      <c r="N23" s="19">
        <v>2.6541607183242859</v>
      </c>
      <c r="O23" s="19" t="s">
        <v>270</v>
      </c>
      <c r="P23" s="16">
        <v>0.95</v>
      </c>
      <c r="Q23" s="17" t="s">
        <v>271</v>
      </c>
      <c r="R23" s="14">
        <v>3</v>
      </c>
      <c r="S23" s="17">
        <v>1</v>
      </c>
      <c r="T23" s="17">
        <v>1</v>
      </c>
      <c r="U23" s="17">
        <v>3</v>
      </c>
      <c r="V23" s="17">
        <v>1</v>
      </c>
      <c r="W23" s="18">
        <v>1.3000688016831126</v>
      </c>
      <c r="X23" s="18">
        <v>1.1402055962339039</v>
      </c>
      <c r="Y23" s="19">
        <v>8.2321949466505444</v>
      </c>
      <c r="Z23" s="19">
        <v>0.43327341824476595</v>
      </c>
      <c r="AA23" s="19" t="s">
        <v>160</v>
      </c>
      <c r="AB23" s="16">
        <v>0</v>
      </c>
      <c r="AC23" s="14" t="s">
        <v>161</v>
      </c>
      <c r="AD23" s="14">
        <v>1</v>
      </c>
      <c r="AE23" s="14">
        <v>1</v>
      </c>
      <c r="AF23" s="14">
        <v>1</v>
      </c>
      <c r="AG23" s="14">
        <v>1</v>
      </c>
      <c r="AH23" s="14">
        <v>1</v>
      </c>
      <c r="AI23" s="18">
        <v>1.05</v>
      </c>
      <c r="AJ23" s="18">
        <v>1.0246950765959599</v>
      </c>
      <c r="AK23" s="19">
        <v>0</v>
      </c>
      <c r="AL23" s="19">
        <v>-1</v>
      </c>
      <c r="AM23" s="19" t="s">
        <v>145</v>
      </c>
      <c r="AN23" s="16">
        <v>0.95</v>
      </c>
      <c r="AO23" s="17" t="s">
        <v>159</v>
      </c>
      <c r="AP23" s="14">
        <v>3</v>
      </c>
      <c r="AQ23" s="17">
        <v>1</v>
      </c>
      <c r="AR23" s="17">
        <v>1</v>
      </c>
      <c r="AS23" s="17">
        <v>3</v>
      </c>
      <c r="AT23" s="17">
        <v>1</v>
      </c>
      <c r="AU23" s="18">
        <v>1.3000688016831126</v>
      </c>
      <c r="AV23" s="18">
        <v>1.1402055962339039</v>
      </c>
      <c r="AW23" s="19">
        <v>8.2321949466505444</v>
      </c>
      <c r="AX23" s="19">
        <v>0.43327341824476595</v>
      </c>
      <c r="AY23" s="19" t="s">
        <v>160</v>
      </c>
    </row>
    <row r="24" spans="1:51" x14ac:dyDescent="0.35">
      <c r="A24">
        <v>67</v>
      </c>
      <c r="B24" t="s">
        <v>272</v>
      </c>
      <c r="C24" t="s">
        <v>273</v>
      </c>
      <c r="D24" s="16">
        <v>0.66738632907361728</v>
      </c>
      <c r="E24" s="14" t="s">
        <v>194</v>
      </c>
      <c r="F24" s="14">
        <v>4</v>
      </c>
      <c r="G24" s="14">
        <v>1</v>
      </c>
      <c r="H24" s="14">
        <v>1</v>
      </c>
      <c r="I24" s="14">
        <v>3</v>
      </c>
      <c r="J24" s="14">
        <v>3</v>
      </c>
      <c r="K24" s="18">
        <v>1.5279171865856971</v>
      </c>
      <c r="L24" s="18">
        <v>1.2360894735356729</v>
      </c>
      <c r="M24" s="19">
        <v>9.9642827837120986</v>
      </c>
      <c r="N24" s="19">
        <v>4.9660242208429342</v>
      </c>
      <c r="O24" s="19" t="s">
        <v>274</v>
      </c>
      <c r="P24" s="16">
        <v>0.85</v>
      </c>
      <c r="Q24" s="17" t="s">
        <v>228</v>
      </c>
      <c r="R24" s="14">
        <v>3</v>
      </c>
      <c r="S24" s="14">
        <v>3</v>
      </c>
      <c r="T24" s="14">
        <v>1</v>
      </c>
      <c r="U24" s="14">
        <v>3</v>
      </c>
      <c r="V24" s="14">
        <v>3</v>
      </c>
      <c r="W24" s="18">
        <v>1.3840763218302521</v>
      </c>
      <c r="X24" s="18">
        <v>1.1764677308920344</v>
      </c>
      <c r="Y24" s="19">
        <v>13.070617457485042</v>
      </c>
      <c r="Z24" s="19">
        <v>2.3065795513208904</v>
      </c>
      <c r="AA24" s="19" t="s">
        <v>229</v>
      </c>
      <c r="AB24" s="16">
        <v>0</v>
      </c>
      <c r="AC24" s="17" t="s">
        <v>275</v>
      </c>
      <c r="AD24" s="14">
        <v>1</v>
      </c>
      <c r="AE24" s="14">
        <v>1</v>
      </c>
      <c r="AF24" s="14">
        <v>1</v>
      </c>
      <c r="AG24" s="14">
        <v>1</v>
      </c>
      <c r="AH24" s="14">
        <v>1</v>
      </c>
      <c r="AI24" s="18">
        <v>1.05</v>
      </c>
      <c r="AJ24" s="18">
        <v>1.0246950765959599</v>
      </c>
      <c r="AK24" s="19">
        <v>0</v>
      </c>
      <c r="AL24" s="19">
        <v>-1</v>
      </c>
      <c r="AM24" s="19" t="s">
        <v>145</v>
      </c>
      <c r="AN24" s="16">
        <v>0</v>
      </c>
      <c r="AO24" s="17" t="s">
        <v>275</v>
      </c>
      <c r="AP24" s="14">
        <v>1</v>
      </c>
      <c r="AQ24" s="14">
        <v>1</v>
      </c>
      <c r="AR24" s="14">
        <v>1</v>
      </c>
      <c r="AS24" s="14">
        <v>1</v>
      </c>
      <c r="AT24" s="14">
        <v>1</v>
      </c>
      <c r="AU24" s="18">
        <v>1.05</v>
      </c>
      <c r="AV24" s="18">
        <v>1.0246950765959599</v>
      </c>
      <c r="AW24" s="19">
        <v>0</v>
      </c>
      <c r="AX24" s="19">
        <v>-1</v>
      </c>
      <c r="AY24" s="19" t="s">
        <v>145</v>
      </c>
    </row>
    <row r="25" spans="1:51" x14ac:dyDescent="0.35">
      <c r="A25">
        <v>49</v>
      </c>
      <c r="B25" t="s">
        <v>276</v>
      </c>
      <c r="C25" t="s">
        <v>277</v>
      </c>
      <c r="D25" s="16">
        <v>0.3</v>
      </c>
      <c r="E25" s="15" t="s">
        <v>278</v>
      </c>
      <c r="F25" s="14">
        <v>3</v>
      </c>
      <c r="G25" s="14">
        <v>1</v>
      </c>
      <c r="H25" s="14">
        <v>1</v>
      </c>
      <c r="I25" s="17">
        <v>3</v>
      </c>
      <c r="J25" s="17">
        <v>2</v>
      </c>
      <c r="K25" s="18">
        <v>1.3163902184345033</v>
      </c>
      <c r="L25" s="18">
        <v>1.1473404980364388</v>
      </c>
      <c r="M25" s="19">
        <v>11.30796991261402</v>
      </c>
      <c r="N25" s="19">
        <v>26.385263129432712</v>
      </c>
      <c r="O25" s="19" t="s">
        <v>279</v>
      </c>
      <c r="P25" s="16">
        <v>0.13138686131386859</v>
      </c>
      <c r="Q25" s="17" t="s">
        <v>247</v>
      </c>
      <c r="R25" s="14">
        <v>1</v>
      </c>
      <c r="S25" s="17">
        <v>3</v>
      </c>
      <c r="T25" s="14">
        <v>1</v>
      </c>
      <c r="U25" s="14">
        <v>2</v>
      </c>
      <c r="V25" s="17">
        <v>2</v>
      </c>
      <c r="W25" s="18">
        <v>1.1679066507053673</v>
      </c>
      <c r="X25" s="18">
        <v>1.0806972983705323</v>
      </c>
      <c r="Y25" s="19">
        <v>9.078881205963329</v>
      </c>
      <c r="Z25" s="19">
        <v>60.021492417202026</v>
      </c>
      <c r="AA25" s="19" t="s">
        <v>280</v>
      </c>
      <c r="AB25" s="16">
        <v>0.78061129978388399</v>
      </c>
      <c r="AC25" s="17" t="s">
        <v>247</v>
      </c>
      <c r="AD25" s="14">
        <v>1</v>
      </c>
      <c r="AE25" s="14">
        <v>3</v>
      </c>
      <c r="AF25" s="14">
        <v>1</v>
      </c>
      <c r="AG25" s="17">
        <v>2</v>
      </c>
      <c r="AH25" s="15">
        <v>2</v>
      </c>
      <c r="AI25" s="18">
        <v>1.1679066507053673</v>
      </c>
      <c r="AJ25" s="18">
        <v>1.0806972983705323</v>
      </c>
      <c r="AK25" s="19">
        <v>81.335036427065305</v>
      </c>
      <c r="AL25" s="19">
        <v>22.858992598114451</v>
      </c>
      <c r="AM25" s="19" t="s">
        <v>281</v>
      </c>
      <c r="AN25" s="16">
        <v>0.96100300585350418</v>
      </c>
      <c r="AO25" s="17" t="s">
        <v>247</v>
      </c>
      <c r="AP25" s="14">
        <v>1</v>
      </c>
      <c r="AQ25" s="14">
        <v>3</v>
      </c>
      <c r="AR25" s="14">
        <v>1</v>
      </c>
      <c r="AS25" s="17">
        <v>2</v>
      </c>
      <c r="AT25" s="17">
        <v>2</v>
      </c>
      <c r="AU25" s="18">
        <v>1.1679066507053673</v>
      </c>
      <c r="AV25" s="18">
        <v>1.0806972983705323</v>
      </c>
      <c r="AW25" s="19">
        <v>21.160907238958806</v>
      </c>
      <c r="AX25" s="19">
        <v>0.85869843351771302</v>
      </c>
      <c r="AY25" s="19" t="s">
        <v>282</v>
      </c>
    </row>
    <row r="26" spans="1:51" x14ac:dyDescent="0.35">
      <c r="A26">
        <v>77</v>
      </c>
      <c r="B26" t="s">
        <v>283</v>
      </c>
      <c r="C26" t="s">
        <v>284</v>
      </c>
      <c r="D26" s="16">
        <v>0.57576959999999999</v>
      </c>
      <c r="E26" s="14" t="s">
        <v>285</v>
      </c>
      <c r="F26" s="14">
        <v>2</v>
      </c>
      <c r="G26" s="14">
        <v>3</v>
      </c>
      <c r="H26" s="14">
        <v>1</v>
      </c>
      <c r="I26" s="17">
        <v>2</v>
      </c>
      <c r="J26" s="17">
        <v>1</v>
      </c>
      <c r="K26" s="18">
        <v>1.1766845455095114</v>
      </c>
      <c r="L26" s="18">
        <v>1.0847509140394911</v>
      </c>
      <c r="M26" s="19">
        <v>77.743829910014568</v>
      </c>
      <c r="N26" s="19">
        <v>57.282107392014865</v>
      </c>
      <c r="O26" s="19" t="s">
        <v>286</v>
      </c>
      <c r="P26" s="16">
        <v>1</v>
      </c>
      <c r="Q26" s="14" t="s">
        <v>182</v>
      </c>
      <c r="R26" s="14">
        <v>3</v>
      </c>
      <c r="S26" s="17">
        <v>1</v>
      </c>
      <c r="T26" s="14">
        <v>1</v>
      </c>
      <c r="U26" s="14">
        <v>3</v>
      </c>
      <c r="V26" s="17">
        <v>1</v>
      </c>
      <c r="W26" s="18">
        <v>1.3000688016831126</v>
      </c>
      <c r="X26" s="18">
        <v>1.1402055962339039</v>
      </c>
      <c r="Y26" s="19">
        <v>-1</v>
      </c>
      <c r="Z26" s="19">
        <v>0</v>
      </c>
      <c r="AA26" s="19" t="s">
        <v>130</v>
      </c>
      <c r="AB26" s="16">
        <v>0</v>
      </c>
      <c r="AC26" s="14" t="s">
        <v>161</v>
      </c>
      <c r="AD26" s="14">
        <v>1</v>
      </c>
      <c r="AE26" s="14">
        <v>1</v>
      </c>
      <c r="AF26" s="14">
        <v>1</v>
      </c>
      <c r="AG26" s="17">
        <v>1</v>
      </c>
      <c r="AH26" s="17">
        <v>1</v>
      </c>
      <c r="AI26" s="18">
        <v>1.05</v>
      </c>
      <c r="AJ26" s="18">
        <v>1.0246950765959599</v>
      </c>
      <c r="AK26" s="19">
        <v>0</v>
      </c>
      <c r="AL26" s="19">
        <v>-1</v>
      </c>
      <c r="AM26" s="19" t="s">
        <v>145</v>
      </c>
      <c r="AN26" s="16">
        <v>0.96</v>
      </c>
      <c r="AO26" s="14" t="s">
        <v>287</v>
      </c>
      <c r="AP26" s="14">
        <v>3</v>
      </c>
      <c r="AQ26" s="14">
        <v>1</v>
      </c>
      <c r="AR26" s="14">
        <v>1</v>
      </c>
      <c r="AS26" s="17">
        <v>3</v>
      </c>
      <c r="AT26" s="17">
        <v>1</v>
      </c>
      <c r="AU26" s="18">
        <v>1.3000688016831126</v>
      </c>
      <c r="AV26" s="18">
        <v>1.1402055962339039</v>
      </c>
      <c r="AW26" s="19">
        <v>6.5412173853368571</v>
      </c>
      <c r="AX26" s="19">
        <v>0.27255072438903594</v>
      </c>
      <c r="AY26" s="19" t="s">
        <v>288</v>
      </c>
    </row>
    <row r="27" spans="1:51" x14ac:dyDescent="0.35">
      <c r="A27">
        <v>57</v>
      </c>
      <c r="B27" t="s">
        <v>289</v>
      </c>
      <c r="C27" t="s">
        <v>290</v>
      </c>
      <c r="D27" s="16">
        <v>0.60009236780630426</v>
      </c>
      <c r="E27" s="14" t="s">
        <v>194</v>
      </c>
      <c r="F27" s="14">
        <v>3</v>
      </c>
      <c r="G27" s="14">
        <v>1</v>
      </c>
      <c r="H27" s="14">
        <v>1</v>
      </c>
      <c r="I27" s="14">
        <v>3</v>
      </c>
      <c r="J27" s="14">
        <v>3</v>
      </c>
      <c r="K27" s="18">
        <v>1.3713425173473328</v>
      </c>
      <c r="L27" s="18">
        <v>1.1710433456312934</v>
      </c>
      <c r="M27" s="19">
        <v>19.089808289021303</v>
      </c>
      <c r="N27" s="19">
        <v>12.721641602944404</v>
      </c>
      <c r="O27" s="19" t="s">
        <v>291</v>
      </c>
      <c r="P27" s="16">
        <v>0.85836909871244638</v>
      </c>
      <c r="Q27" s="14" t="s">
        <v>196</v>
      </c>
      <c r="R27" s="14">
        <v>1</v>
      </c>
      <c r="S27" s="14">
        <v>3</v>
      </c>
      <c r="T27" s="14">
        <v>1</v>
      </c>
      <c r="U27" s="14">
        <v>3</v>
      </c>
      <c r="V27" s="14">
        <v>2</v>
      </c>
      <c r="W27" s="18">
        <v>1.2456465205819256</v>
      </c>
      <c r="X27" s="18">
        <v>1.1160853554195242</v>
      </c>
      <c r="Y27" s="19">
        <v>30.116629018840488</v>
      </c>
      <c r="Z27" s="19">
        <v>4.9692437881086793</v>
      </c>
      <c r="AA27" s="19" t="s">
        <v>292</v>
      </c>
      <c r="AB27" s="16">
        <v>0</v>
      </c>
      <c r="AC27" s="14" t="s">
        <v>196</v>
      </c>
      <c r="AD27" s="14">
        <v>1</v>
      </c>
      <c r="AE27" s="14">
        <v>3</v>
      </c>
      <c r="AF27" s="14">
        <v>1</v>
      </c>
      <c r="AG27" s="14">
        <v>3</v>
      </c>
      <c r="AH27" s="14">
        <v>2</v>
      </c>
      <c r="AI27" s="18">
        <v>1.2456465205819256</v>
      </c>
      <c r="AJ27" s="18">
        <v>1.1160853554195242</v>
      </c>
      <c r="AK27" s="19">
        <v>0</v>
      </c>
      <c r="AL27" s="19">
        <v>-1</v>
      </c>
      <c r="AM27" s="19" t="s">
        <v>145</v>
      </c>
      <c r="AN27" s="16">
        <v>1</v>
      </c>
      <c r="AO27" s="17" t="s">
        <v>198</v>
      </c>
      <c r="AP27" s="14">
        <v>1</v>
      </c>
      <c r="AQ27" s="14">
        <v>1</v>
      </c>
      <c r="AR27" s="14">
        <v>1</v>
      </c>
      <c r="AS27" s="14">
        <v>1</v>
      </c>
      <c r="AT27" s="14">
        <v>1</v>
      </c>
      <c r="AU27" s="18">
        <v>1.05</v>
      </c>
      <c r="AV27" s="18">
        <v>1.0246950765959599</v>
      </c>
      <c r="AW27" s="19">
        <v>-1</v>
      </c>
      <c r="AX27" s="19">
        <v>0</v>
      </c>
      <c r="AY27" s="19" t="s">
        <v>130</v>
      </c>
    </row>
    <row r="28" spans="1:51" x14ac:dyDescent="0.35">
      <c r="A28">
        <v>3</v>
      </c>
      <c r="B28" t="s">
        <v>293</v>
      </c>
      <c r="C28" t="s">
        <v>12</v>
      </c>
      <c r="D28" s="16">
        <v>0.69917047091553897</v>
      </c>
      <c r="E28" s="14" t="s">
        <v>294</v>
      </c>
      <c r="F28" s="14">
        <v>3</v>
      </c>
      <c r="G28" s="14">
        <v>4</v>
      </c>
      <c r="H28" s="14">
        <v>1</v>
      </c>
      <c r="I28" s="14">
        <v>3</v>
      </c>
      <c r="J28" s="14">
        <v>2</v>
      </c>
      <c r="K28" s="18">
        <v>1.3612214788154857</v>
      </c>
      <c r="L28" s="18">
        <v>1.1667139661525809</v>
      </c>
      <c r="M28" s="19">
        <v>20.465067870780086</v>
      </c>
      <c r="N28" s="19">
        <v>8.8054301294884532</v>
      </c>
      <c r="O28" s="19" t="s">
        <v>295</v>
      </c>
      <c r="P28" s="16">
        <v>0.83500000000000008</v>
      </c>
      <c r="Q28" s="14" t="s">
        <v>296</v>
      </c>
      <c r="R28" s="14">
        <v>2</v>
      </c>
      <c r="S28" s="14">
        <v>2</v>
      </c>
      <c r="T28" s="14">
        <v>1</v>
      </c>
      <c r="U28" s="14">
        <v>3</v>
      </c>
      <c r="V28" s="14">
        <v>2</v>
      </c>
      <c r="W28" s="18">
        <v>1.2569078487011278</v>
      </c>
      <c r="X28" s="18">
        <v>1.1211190162962752</v>
      </c>
      <c r="Y28" s="19">
        <v>30.533389119134313</v>
      </c>
      <c r="Z28" s="19">
        <v>6.0335439576732446</v>
      </c>
      <c r="AA28" s="19" t="s">
        <v>297</v>
      </c>
      <c r="AB28" s="16">
        <v>0</v>
      </c>
      <c r="AC28" s="14" t="s">
        <v>190</v>
      </c>
      <c r="AD28" s="14">
        <v>1</v>
      </c>
      <c r="AE28" s="14">
        <v>1</v>
      </c>
      <c r="AF28" s="14">
        <v>1</v>
      </c>
      <c r="AG28" s="14">
        <v>1</v>
      </c>
      <c r="AH28" s="14">
        <v>1</v>
      </c>
      <c r="AI28" s="18">
        <v>1.05</v>
      </c>
      <c r="AJ28" s="18">
        <v>1.0246950765959599</v>
      </c>
      <c r="AK28" s="19">
        <v>0</v>
      </c>
      <c r="AL28" s="19">
        <v>-1</v>
      </c>
      <c r="AM28" s="19" t="s">
        <v>145</v>
      </c>
      <c r="AN28" s="16">
        <v>0.85</v>
      </c>
      <c r="AO28" s="17" t="s">
        <v>159</v>
      </c>
      <c r="AP28" s="14">
        <v>4</v>
      </c>
      <c r="AQ28" s="14">
        <v>1</v>
      </c>
      <c r="AR28" s="14">
        <v>1</v>
      </c>
      <c r="AS28" s="14">
        <v>3</v>
      </c>
      <c r="AT28" s="14">
        <v>3</v>
      </c>
      <c r="AU28" s="18">
        <v>1.5279171865856971</v>
      </c>
      <c r="AV28" s="18">
        <v>1.2360894735356729</v>
      </c>
      <c r="AW28" s="19">
        <v>6.9274254044816885</v>
      </c>
      <c r="AX28" s="19">
        <v>1.2224868360850041</v>
      </c>
      <c r="AY28" s="19" t="s">
        <v>298</v>
      </c>
    </row>
    <row r="29" spans="1:51" x14ac:dyDescent="0.35">
      <c r="A29">
        <v>71</v>
      </c>
      <c r="B29" t="s">
        <v>299</v>
      </c>
      <c r="C29" t="s">
        <v>300</v>
      </c>
      <c r="D29" s="16">
        <v>0.66629720892829547</v>
      </c>
      <c r="E29" s="14" t="s">
        <v>194</v>
      </c>
      <c r="F29" s="14">
        <v>4</v>
      </c>
      <c r="G29" s="14">
        <v>1</v>
      </c>
      <c r="H29" s="14">
        <v>1</v>
      </c>
      <c r="I29" s="14">
        <v>3</v>
      </c>
      <c r="J29" s="14">
        <v>3</v>
      </c>
      <c r="K29" s="18">
        <v>1.5279171865856971</v>
      </c>
      <c r="L29" s="18">
        <v>1.2360894735356729</v>
      </c>
      <c r="M29" s="19">
        <v>9.9653993060944988</v>
      </c>
      <c r="N29" s="19">
        <v>4.9909882827464136</v>
      </c>
      <c r="O29" s="19" t="s">
        <v>301</v>
      </c>
      <c r="P29" s="16">
        <v>0.85</v>
      </c>
      <c r="Q29" s="14" t="s">
        <v>228</v>
      </c>
      <c r="R29" s="14">
        <v>3</v>
      </c>
      <c r="S29" s="14">
        <v>3</v>
      </c>
      <c r="T29" s="14">
        <v>1</v>
      </c>
      <c r="U29" s="14">
        <v>3</v>
      </c>
      <c r="V29" s="14">
        <v>3</v>
      </c>
      <c r="W29" s="18">
        <v>1.3840763218302521</v>
      </c>
      <c r="X29" s="18">
        <v>1.1764677308920344</v>
      </c>
      <c r="Y29" s="19">
        <v>13.070617457485042</v>
      </c>
      <c r="Z29" s="19">
        <v>2.3065795513208904</v>
      </c>
      <c r="AA29" s="19" t="s">
        <v>229</v>
      </c>
      <c r="AB29" s="16">
        <v>0</v>
      </c>
      <c r="AC29" s="17" t="s">
        <v>275</v>
      </c>
      <c r="AD29" s="14">
        <v>1</v>
      </c>
      <c r="AE29" s="14">
        <v>1</v>
      </c>
      <c r="AF29" s="14">
        <v>1</v>
      </c>
      <c r="AG29" s="14">
        <v>1</v>
      </c>
      <c r="AH29" s="14">
        <v>1</v>
      </c>
      <c r="AI29" s="18">
        <v>1.05</v>
      </c>
      <c r="AJ29" s="18">
        <v>1.0246950765959599</v>
      </c>
      <c r="AK29" s="19">
        <v>0</v>
      </c>
      <c r="AL29" s="19">
        <v>-1</v>
      </c>
      <c r="AM29" s="19" t="s">
        <v>145</v>
      </c>
      <c r="AN29" s="16">
        <v>0</v>
      </c>
      <c r="AO29" s="17" t="s">
        <v>275</v>
      </c>
      <c r="AP29" s="14">
        <v>1</v>
      </c>
      <c r="AQ29" s="14">
        <v>1</v>
      </c>
      <c r="AR29" s="14">
        <v>1</v>
      </c>
      <c r="AS29" s="14">
        <v>1</v>
      </c>
      <c r="AT29" s="14">
        <v>1</v>
      </c>
      <c r="AU29" s="18">
        <v>1.05</v>
      </c>
      <c r="AV29" s="18">
        <v>1.0246950765959599</v>
      </c>
      <c r="AW29" s="19">
        <v>0</v>
      </c>
      <c r="AX29" s="19">
        <v>-1</v>
      </c>
      <c r="AY29" s="19" t="s">
        <v>145</v>
      </c>
    </row>
    <row r="30" spans="1:51" x14ac:dyDescent="0.35">
      <c r="A30">
        <v>12</v>
      </c>
      <c r="B30" t="s">
        <v>302</v>
      </c>
      <c r="C30" t="s">
        <v>303</v>
      </c>
      <c r="D30" s="16">
        <v>0.67925000000000002</v>
      </c>
      <c r="E30" s="14" t="s">
        <v>304</v>
      </c>
      <c r="F30" s="14">
        <v>3</v>
      </c>
      <c r="G30" s="14">
        <v>2</v>
      </c>
      <c r="H30" s="14">
        <v>1</v>
      </c>
      <c r="I30" s="14">
        <v>3</v>
      </c>
      <c r="J30" s="14">
        <v>1</v>
      </c>
      <c r="K30" s="18">
        <v>1.3022280723042765</v>
      </c>
      <c r="L30" s="18">
        <v>1.1411520811461882</v>
      </c>
      <c r="M30" s="19">
        <v>29.031347033109533</v>
      </c>
      <c r="N30" s="19">
        <v>13.70895040245842</v>
      </c>
      <c r="O30" s="19" t="s">
        <v>305</v>
      </c>
      <c r="P30" s="16">
        <v>0.92</v>
      </c>
      <c r="Q30" s="14" t="s">
        <v>306</v>
      </c>
      <c r="R30" s="14">
        <v>3</v>
      </c>
      <c r="S30" s="14">
        <v>1</v>
      </c>
      <c r="T30" s="14">
        <v>1</v>
      </c>
      <c r="U30" s="14">
        <v>3</v>
      </c>
      <c r="V30" s="14">
        <v>1</v>
      </c>
      <c r="W30" s="18">
        <v>1.3000688016831126</v>
      </c>
      <c r="X30" s="18">
        <v>1.1402055962339039</v>
      </c>
      <c r="Y30" s="19">
        <v>12.85827776681664</v>
      </c>
      <c r="Z30" s="19">
        <v>1.1181111101579682</v>
      </c>
      <c r="AA30" s="19" t="s">
        <v>307</v>
      </c>
      <c r="AB30" s="16">
        <v>0</v>
      </c>
      <c r="AC30" s="14" t="s">
        <v>161</v>
      </c>
      <c r="AD30" s="14">
        <v>1</v>
      </c>
      <c r="AE30" s="14">
        <v>1</v>
      </c>
      <c r="AF30" s="14">
        <v>1</v>
      </c>
      <c r="AG30" s="14">
        <v>1</v>
      </c>
      <c r="AH30" s="14">
        <v>1</v>
      </c>
      <c r="AI30" s="18">
        <v>1.05</v>
      </c>
      <c r="AJ30" s="18">
        <v>1.0246950765959599</v>
      </c>
      <c r="AK30" s="19">
        <v>0</v>
      </c>
      <c r="AL30" s="19">
        <v>-1</v>
      </c>
      <c r="AM30" s="19" t="s">
        <v>145</v>
      </c>
      <c r="AN30" s="16">
        <v>0.95</v>
      </c>
      <c r="AO30" s="14" t="s">
        <v>308</v>
      </c>
      <c r="AP30" s="14">
        <v>4</v>
      </c>
      <c r="AQ30" s="14">
        <v>1</v>
      </c>
      <c r="AR30" s="14">
        <v>1</v>
      </c>
      <c r="AS30" s="14">
        <v>3</v>
      </c>
      <c r="AT30" s="14">
        <v>1</v>
      </c>
      <c r="AU30" s="18">
        <v>1.4707782003422192</v>
      </c>
      <c r="AV30" s="18">
        <v>1.212756447248259</v>
      </c>
      <c r="AW30" s="19">
        <v>3.037601467121025</v>
      </c>
      <c r="AX30" s="19">
        <v>0.15987376142742252</v>
      </c>
      <c r="AY30" s="19" t="s">
        <v>160</v>
      </c>
    </row>
    <row r="31" spans="1:51" x14ac:dyDescent="0.35">
      <c r="A31">
        <v>25</v>
      </c>
      <c r="B31" t="s">
        <v>309</v>
      </c>
      <c r="C31" t="s">
        <v>310</v>
      </c>
      <c r="D31" s="16">
        <v>0.7</v>
      </c>
      <c r="E31" s="14" t="s">
        <v>311</v>
      </c>
      <c r="F31" s="14">
        <v>3</v>
      </c>
      <c r="G31" s="14">
        <v>1</v>
      </c>
      <c r="H31" s="14">
        <v>1</v>
      </c>
      <c r="I31" s="14">
        <v>2</v>
      </c>
      <c r="J31" s="14">
        <v>1</v>
      </c>
      <c r="K31" s="18">
        <v>1.2354522921220721</v>
      </c>
      <c r="L31" s="18">
        <v>1.1115090157628376</v>
      </c>
      <c r="M31" s="19">
        <v>46.588698466750223</v>
      </c>
      <c r="N31" s="19">
        <v>19.966585057178669</v>
      </c>
      <c r="O31" s="19" t="s">
        <v>312</v>
      </c>
      <c r="P31" s="16">
        <v>0.73008131004983912</v>
      </c>
      <c r="Q31" s="14" t="s">
        <v>313</v>
      </c>
      <c r="R31" s="14">
        <v>3</v>
      </c>
      <c r="S31" s="14">
        <v>4</v>
      </c>
      <c r="T31" s="14">
        <v>2</v>
      </c>
      <c r="U31" s="14">
        <v>2</v>
      </c>
      <c r="V31" s="14">
        <v>1</v>
      </c>
      <c r="W31" s="18">
        <v>1.2906836861283406</v>
      </c>
      <c r="X31" s="18">
        <v>1.1360826053277731</v>
      </c>
      <c r="Y31" s="19">
        <v>30.346281242458623</v>
      </c>
      <c r="Z31" s="19">
        <v>11.219337305408366</v>
      </c>
      <c r="AA31" s="19" t="s">
        <v>314</v>
      </c>
      <c r="AB31" s="16">
        <v>0.87621696801112658</v>
      </c>
      <c r="AC31" s="14" t="s">
        <v>315</v>
      </c>
      <c r="AD31" s="14">
        <v>3</v>
      </c>
      <c r="AE31" s="14">
        <v>4</v>
      </c>
      <c r="AF31" s="14">
        <v>2</v>
      </c>
      <c r="AG31" s="14">
        <v>2</v>
      </c>
      <c r="AH31" s="14">
        <v>1</v>
      </c>
      <c r="AI31" s="18">
        <v>1.2906836861283406</v>
      </c>
      <c r="AJ31" s="18">
        <v>1.1360826053277731</v>
      </c>
      <c r="AK31" s="19">
        <v>19.651431177342051</v>
      </c>
      <c r="AL31" s="19">
        <v>2.7761545631483209</v>
      </c>
      <c r="AM31" s="19" t="s">
        <v>316</v>
      </c>
      <c r="AN31" s="16">
        <v>0.8</v>
      </c>
      <c r="AO31" s="14" t="s">
        <v>191</v>
      </c>
      <c r="AP31" s="14">
        <v>3</v>
      </c>
      <c r="AQ31" s="14">
        <v>1</v>
      </c>
      <c r="AR31" s="14">
        <v>1</v>
      </c>
      <c r="AS31" s="14">
        <v>3</v>
      </c>
      <c r="AT31" s="14">
        <v>1</v>
      </c>
      <c r="AU31" s="18">
        <v>1.3000688016831126</v>
      </c>
      <c r="AV31" s="18">
        <v>1.1402055962339039</v>
      </c>
      <c r="AW31" s="19">
        <v>25.245893699086281</v>
      </c>
      <c r="AX31" s="19">
        <v>6.3114734247715685</v>
      </c>
      <c r="AY31" s="19" t="s">
        <v>317</v>
      </c>
    </row>
    <row r="32" spans="1:51" x14ac:dyDescent="0.35">
      <c r="A32">
        <v>42</v>
      </c>
      <c r="B32" t="s">
        <v>318</v>
      </c>
      <c r="C32" t="s">
        <v>319</v>
      </c>
      <c r="D32" s="9">
        <v>0.6</v>
      </c>
      <c r="E32" s="14" t="s">
        <v>320</v>
      </c>
      <c r="F32" s="14">
        <v>3</v>
      </c>
      <c r="G32" s="14">
        <v>1</v>
      </c>
      <c r="H32" s="14">
        <v>1</v>
      </c>
      <c r="I32" s="17">
        <v>1</v>
      </c>
      <c r="J32" s="17">
        <v>1</v>
      </c>
      <c r="K32" s="18">
        <v>1.207723199572867</v>
      </c>
      <c r="L32" s="18">
        <v>1.098964603421269</v>
      </c>
      <c r="M32" s="19">
        <v>58.211560908790673</v>
      </c>
      <c r="N32" s="19">
        <v>38.807707272527125</v>
      </c>
      <c r="O32" s="19" t="s">
        <v>321</v>
      </c>
      <c r="P32" s="16">
        <v>0.83111111111111113</v>
      </c>
      <c r="Q32" s="17" t="s">
        <v>322</v>
      </c>
      <c r="R32" s="14">
        <v>2</v>
      </c>
      <c r="S32" s="17">
        <v>4</v>
      </c>
      <c r="T32" s="17">
        <v>2</v>
      </c>
      <c r="U32" s="17">
        <v>3</v>
      </c>
      <c r="V32" s="17">
        <v>1</v>
      </c>
      <c r="W32" s="18">
        <v>1.2906836861283406</v>
      </c>
      <c r="X32" s="18">
        <v>1.1360826053277731</v>
      </c>
      <c r="Y32" s="19">
        <v>24.367349832303088</v>
      </c>
      <c r="Z32" s="19">
        <v>4.951653976617739</v>
      </c>
      <c r="AA32" s="19" t="s">
        <v>323</v>
      </c>
      <c r="AB32" s="16">
        <v>1</v>
      </c>
      <c r="AC32" s="17" t="s">
        <v>324</v>
      </c>
      <c r="AD32" s="14">
        <v>2</v>
      </c>
      <c r="AE32" s="17">
        <v>4</v>
      </c>
      <c r="AF32" s="17">
        <v>2</v>
      </c>
      <c r="AG32" s="17">
        <v>2</v>
      </c>
      <c r="AH32" s="17">
        <v>1</v>
      </c>
      <c r="AI32" s="18">
        <v>1.2243071084719455</v>
      </c>
      <c r="AJ32" s="18">
        <v>1.1064841202981386</v>
      </c>
      <c r="AK32" s="19">
        <v>-1</v>
      </c>
      <c r="AL32" s="19">
        <v>0</v>
      </c>
      <c r="AM32" s="19" t="s">
        <v>130</v>
      </c>
      <c r="AN32" s="16">
        <v>0.5</v>
      </c>
      <c r="AO32" s="14" t="s">
        <v>191</v>
      </c>
      <c r="AP32" s="14">
        <v>4</v>
      </c>
      <c r="AQ32" s="14">
        <v>1</v>
      </c>
      <c r="AR32" s="14">
        <v>1</v>
      </c>
      <c r="AS32" s="14">
        <v>3</v>
      </c>
      <c r="AT32" s="14">
        <v>1</v>
      </c>
      <c r="AU32" s="18">
        <v>1.4707782003422192</v>
      </c>
      <c r="AV32" s="18">
        <v>1.212756447248259</v>
      </c>
      <c r="AW32" s="19">
        <v>10.545987443548537</v>
      </c>
      <c r="AX32" s="19">
        <v>10.545987443548537</v>
      </c>
      <c r="AY32" s="19" t="s">
        <v>325</v>
      </c>
    </row>
    <row r="33" spans="1:51" x14ac:dyDescent="0.35">
      <c r="A33">
        <v>41</v>
      </c>
      <c r="B33" t="s">
        <v>326</v>
      </c>
      <c r="C33" t="s">
        <v>327</v>
      </c>
      <c r="D33" s="16">
        <v>0.71</v>
      </c>
      <c r="E33" s="14" t="s">
        <v>328</v>
      </c>
      <c r="F33" s="14">
        <v>2</v>
      </c>
      <c r="G33" s="14">
        <v>4</v>
      </c>
      <c r="H33" s="14">
        <v>1</v>
      </c>
      <c r="I33" s="14">
        <v>3</v>
      </c>
      <c r="J33" s="14">
        <v>1</v>
      </c>
      <c r="K33" s="18">
        <v>1.2884684415322456</v>
      </c>
      <c r="L33" s="18">
        <v>1.135107237899682</v>
      </c>
      <c r="M33" s="19">
        <v>31.324463554769682</v>
      </c>
      <c r="N33" s="19">
        <v>12.794499198427056</v>
      </c>
      <c r="O33" s="19" t="s">
        <v>329</v>
      </c>
      <c r="P33" s="16">
        <v>0.9</v>
      </c>
      <c r="Q33" s="14" t="s">
        <v>330</v>
      </c>
      <c r="R33" s="14">
        <v>3</v>
      </c>
      <c r="S33" s="14">
        <v>1</v>
      </c>
      <c r="T33" s="14">
        <v>1</v>
      </c>
      <c r="U33" s="14">
        <v>3</v>
      </c>
      <c r="V33" s="14">
        <v>1</v>
      </c>
      <c r="W33" s="18">
        <v>1.3000688016831126</v>
      </c>
      <c r="X33" s="18">
        <v>1.1402055962339039</v>
      </c>
      <c r="Y33" s="19">
        <v>15.58216710645304</v>
      </c>
      <c r="Z33" s="19">
        <v>1.731351900717004</v>
      </c>
      <c r="AA33" s="19" t="s">
        <v>153</v>
      </c>
      <c r="AB33" s="16">
        <v>0</v>
      </c>
      <c r="AC33" s="14" t="s">
        <v>331</v>
      </c>
      <c r="AD33" s="14">
        <v>1</v>
      </c>
      <c r="AE33" s="14">
        <v>1</v>
      </c>
      <c r="AF33" s="14">
        <v>1</v>
      </c>
      <c r="AG33" s="14">
        <v>1</v>
      </c>
      <c r="AH33" s="14">
        <v>1</v>
      </c>
      <c r="AI33" s="18">
        <v>1.05</v>
      </c>
      <c r="AJ33" s="18">
        <v>1.0246950765959599</v>
      </c>
      <c r="AK33" s="19">
        <v>0</v>
      </c>
      <c r="AL33" s="19">
        <v>-1</v>
      </c>
      <c r="AM33" s="19" t="s">
        <v>145</v>
      </c>
      <c r="AN33" s="20">
        <v>0.13435157686324425</v>
      </c>
      <c r="AO33" s="14" t="s">
        <v>332</v>
      </c>
      <c r="AP33" s="14">
        <v>3</v>
      </c>
      <c r="AQ33" s="14">
        <v>1</v>
      </c>
      <c r="AR33" s="14">
        <v>1</v>
      </c>
      <c r="AS33" s="14">
        <v>3</v>
      </c>
      <c r="AT33" s="14">
        <v>1</v>
      </c>
      <c r="AU33" s="18">
        <v>1.3000688016831126</v>
      </c>
      <c r="AV33" s="18">
        <v>1.1402055962339039</v>
      </c>
      <c r="AW33" s="19">
        <v>3.045130436202697</v>
      </c>
      <c r="AX33" s="19">
        <v>19.620256210522847</v>
      </c>
      <c r="AY33" s="19" t="s">
        <v>333</v>
      </c>
    </row>
    <row r="34" spans="1:51" x14ac:dyDescent="0.35">
      <c r="A34">
        <v>60</v>
      </c>
      <c r="B34" t="s">
        <v>334</v>
      </c>
      <c r="C34" t="s">
        <v>11</v>
      </c>
      <c r="D34" s="16">
        <v>0.59854391398996798</v>
      </c>
      <c r="E34" s="14" t="s">
        <v>194</v>
      </c>
      <c r="F34" s="14">
        <v>3</v>
      </c>
      <c r="G34" s="14">
        <v>1</v>
      </c>
      <c r="H34" s="14">
        <v>1</v>
      </c>
      <c r="I34" s="14">
        <v>3</v>
      </c>
      <c r="J34" s="14">
        <v>3</v>
      </c>
      <c r="K34" s="18">
        <v>1.3713425173473328</v>
      </c>
      <c r="L34" s="18">
        <v>1.1710433456312934</v>
      </c>
      <c r="M34" s="19">
        <v>19.06572072857082</v>
      </c>
      <c r="N34" s="19">
        <v>12.787782887356652</v>
      </c>
      <c r="O34" s="19" t="s">
        <v>335</v>
      </c>
      <c r="P34" s="16">
        <v>0.85256410256410253</v>
      </c>
      <c r="Q34" s="14" t="s">
        <v>196</v>
      </c>
      <c r="R34" s="14">
        <v>1</v>
      </c>
      <c r="S34" s="14">
        <v>3</v>
      </c>
      <c r="T34" s="14">
        <v>1</v>
      </c>
      <c r="U34" s="14">
        <v>3</v>
      </c>
      <c r="V34" s="14">
        <v>2</v>
      </c>
      <c r="W34" s="18">
        <v>1.2456465205819256</v>
      </c>
      <c r="X34" s="18">
        <v>1.1160853554195242</v>
      </c>
      <c r="Y34" s="19">
        <v>30.957346121460425</v>
      </c>
      <c r="Z34" s="19">
        <v>5.3535260210044351</v>
      </c>
      <c r="AA34" s="19" t="s">
        <v>336</v>
      </c>
      <c r="AB34" s="16">
        <v>0.64615384615384608</v>
      </c>
      <c r="AC34" s="14" t="s">
        <v>196</v>
      </c>
      <c r="AD34" s="14">
        <v>1</v>
      </c>
      <c r="AE34" s="14">
        <v>3</v>
      </c>
      <c r="AF34" s="14">
        <v>1</v>
      </c>
      <c r="AG34" s="14">
        <v>3</v>
      </c>
      <c r="AH34" s="14">
        <v>2</v>
      </c>
      <c r="AI34" s="18">
        <v>1.2456465205819256</v>
      </c>
      <c r="AJ34" s="18">
        <v>1.1160853554195242</v>
      </c>
      <c r="AK34" s="19">
        <v>43.206054358081431</v>
      </c>
      <c r="AL34" s="19">
        <v>23.660458338949365</v>
      </c>
      <c r="AM34" s="19" t="s">
        <v>337</v>
      </c>
      <c r="AN34" s="16">
        <v>1</v>
      </c>
      <c r="AO34" s="17" t="s">
        <v>224</v>
      </c>
      <c r="AP34" s="14">
        <v>1</v>
      </c>
      <c r="AQ34" s="14">
        <v>1</v>
      </c>
      <c r="AR34" s="14">
        <v>1</v>
      </c>
      <c r="AS34" s="14">
        <v>1</v>
      </c>
      <c r="AT34" s="14">
        <v>1</v>
      </c>
      <c r="AU34" s="18">
        <v>1.05</v>
      </c>
      <c r="AV34" s="18">
        <v>1.0246950765959599</v>
      </c>
      <c r="AW34" s="19">
        <v>-1</v>
      </c>
      <c r="AX34" s="19">
        <v>0</v>
      </c>
      <c r="AY34" s="19" t="s">
        <v>130</v>
      </c>
    </row>
    <row r="35" spans="1:51" x14ac:dyDescent="0.35">
      <c r="A35">
        <v>28</v>
      </c>
      <c r="B35" t="s">
        <v>338</v>
      </c>
      <c r="C35" t="s">
        <v>8</v>
      </c>
      <c r="D35" s="16">
        <v>0.787554996857322</v>
      </c>
      <c r="E35" s="17" t="s">
        <v>339</v>
      </c>
      <c r="F35" s="14">
        <v>1</v>
      </c>
      <c r="G35" s="14">
        <v>4</v>
      </c>
      <c r="H35" s="14">
        <v>1</v>
      </c>
      <c r="I35" s="17">
        <v>2</v>
      </c>
      <c r="J35" s="17">
        <v>1</v>
      </c>
      <c r="K35" s="18">
        <v>1.1925122738235221</v>
      </c>
      <c r="L35" s="18">
        <v>1.0920221031753534</v>
      </c>
      <c r="M35" s="19">
        <v>61.454508870788956</v>
      </c>
      <c r="N35" s="19">
        <v>16.577513167060388</v>
      </c>
      <c r="O35" s="19" t="s">
        <v>340</v>
      </c>
      <c r="P35" s="16">
        <v>0.85500544069640916</v>
      </c>
      <c r="Q35" s="17" t="s">
        <v>339</v>
      </c>
      <c r="R35" s="14">
        <v>1</v>
      </c>
      <c r="S35" s="17">
        <v>4</v>
      </c>
      <c r="T35" s="14">
        <v>1</v>
      </c>
      <c r="U35" s="14">
        <v>2</v>
      </c>
      <c r="V35" s="17">
        <v>1</v>
      </c>
      <c r="W35" s="18">
        <v>1.1925122738235221</v>
      </c>
      <c r="X35" s="18">
        <v>1.0920221031753534</v>
      </c>
      <c r="Y35" s="19">
        <v>49.213559567567756</v>
      </c>
      <c r="Z35" s="19">
        <v>8.3457929524383108</v>
      </c>
      <c r="AA35" s="19" t="s">
        <v>341</v>
      </c>
      <c r="AB35" s="16">
        <v>0.84455958549222798</v>
      </c>
      <c r="AC35" s="17" t="s">
        <v>339</v>
      </c>
      <c r="AD35" s="14">
        <v>1</v>
      </c>
      <c r="AE35" s="14">
        <v>4</v>
      </c>
      <c r="AF35" s="14">
        <v>1</v>
      </c>
      <c r="AG35" s="17">
        <v>2</v>
      </c>
      <c r="AH35" s="17">
        <v>1</v>
      </c>
      <c r="AI35" s="18">
        <v>1.1925122738235221</v>
      </c>
      <c r="AJ35" s="18">
        <v>1.0920221031753534</v>
      </c>
      <c r="AK35" s="19">
        <v>51.527568101857518</v>
      </c>
      <c r="AL35" s="19">
        <v>9.4836014911394191</v>
      </c>
      <c r="AM35" s="19" t="s">
        <v>342</v>
      </c>
      <c r="AN35" s="16">
        <v>1</v>
      </c>
      <c r="AO35" s="17" t="s">
        <v>339</v>
      </c>
      <c r="AP35" s="14">
        <v>1</v>
      </c>
      <c r="AQ35" s="14">
        <v>4</v>
      </c>
      <c r="AR35" s="14">
        <v>1</v>
      </c>
      <c r="AS35" s="17">
        <v>2</v>
      </c>
      <c r="AT35" s="17">
        <v>1</v>
      </c>
      <c r="AU35" s="18">
        <v>1.1925122738235221</v>
      </c>
      <c r="AV35" s="18">
        <v>1.0920221031753534</v>
      </c>
      <c r="AW35" s="19">
        <v>-1</v>
      </c>
      <c r="AX35" s="19">
        <v>0</v>
      </c>
      <c r="AY35" s="19" t="s">
        <v>130</v>
      </c>
    </row>
    <row r="36" spans="1:51" x14ac:dyDescent="0.35">
      <c r="A36">
        <v>76</v>
      </c>
      <c r="B36" t="s">
        <v>343</v>
      </c>
      <c r="C36" t="s">
        <v>344</v>
      </c>
      <c r="D36" s="16">
        <v>0.57576959999999999</v>
      </c>
      <c r="E36" s="14" t="s">
        <v>285</v>
      </c>
      <c r="F36" s="14">
        <v>3</v>
      </c>
      <c r="G36" s="14">
        <v>3</v>
      </c>
      <c r="H36" s="14">
        <v>1</v>
      </c>
      <c r="I36" s="17">
        <v>3</v>
      </c>
      <c r="J36" s="17">
        <v>1</v>
      </c>
      <c r="K36" s="18">
        <v>1.3145177818010416</v>
      </c>
      <c r="L36" s="18">
        <v>1.1465242177124046</v>
      </c>
      <c r="M36" s="19">
        <v>25.626590858230902</v>
      </c>
      <c r="N36" s="19">
        <v>18.881821635639742</v>
      </c>
      <c r="O36" s="19" t="s">
        <v>345</v>
      </c>
      <c r="P36" s="16">
        <v>1</v>
      </c>
      <c r="Q36" s="14" t="s">
        <v>182</v>
      </c>
      <c r="R36" s="14">
        <v>3</v>
      </c>
      <c r="S36" s="17">
        <v>1</v>
      </c>
      <c r="T36" s="14">
        <v>1</v>
      </c>
      <c r="U36" s="14">
        <v>3</v>
      </c>
      <c r="V36" s="17">
        <v>1</v>
      </c>
      <c r="W36" s="18">
        <v>1.3000688016831126</v>
      </c>
      <c r="X36" s="18">
        <v>1.1402055962339039</v>
      </c>
      <c r="Y36" s="19">
        <v>-1</v>
      </c>
      <c r="Z36" s="19">
        <v>0</v>
      </c>
      <c r="AA36" s="19" t="s">
        <v>130</v>
      </c>
      <c r="AB36" s="16">
        <v>0</v>
      </c>
      <c r="AC36" s="14" t="s">
        <v>161</v>
      </c>
      <c r="AD36" s="14">
        <v>1</v>
      </c>
      <c r="AE36" s="14">
        <v>1</v>
      </c>
      <c r="AF36" s="14">
        <v>1</v>
      </c>
      <c r="AG36" s="17">
        <v>1</v>
      </c>
      <c r="AH36" s="17">
        <v>1</v>
      </c>
      <c r="AI36" s="18">
        <v>1.05</v>
      </c>
      <c r="AJ36" s="18">
        <v>1.0246950765959599</v>
      </c>
      <c r="AK36" s="19">
        <v>0</v>
      </c>
      <c r="AL36" s="19">
        <v>-1</v>
      </c>
      <c r="AM36" s="19" t="s">
        <v>145</v>
      </c>
      <c r="AN36" s="16">
        <v>0</v>
      </c>
      <c r="AO36" s="14" t="s">
        <v>346</v>
      </c>
      <c r="AP36" s="14">
        <v>1</v>
      </c>
      <c r="AQ36" s="14">
        <v>1</v>
      </c>
      <c r="AR36" s="14">
        <v>1</v>
      </c>
      <c r="AS36" s="17">
        <v>1</v>
      </c>
      <c r="AT36" s="17">
        <v>1</v>
      </c>
      <c r="AU36" s="18">
        <v>1.05</v>
      </c>
      <c r="AV36" s="18">
        <v>1.0246950765959599</v>
      </c>
      <c r="AW36" s="19">
        <v>0</v>
      </c>
      <c r="AX36" s="19">
        <v>-1</v>
      </c>
      <c r="AY36" s="19" t="s">
        <v>145</v>
      </c>
    </row>
    <row r="37" spans="1:51" x14ac:dyDescent="0.35">
      <c r="A37">
        <v>82</v>
      </c>
      <c r="B37" t="s">
        <v>347</v>
      </c>
      <c r="C37" t="s">
        <v>348</v>
      </c>
      <c r="D37" s="16">
        <v>0.89204545454545459</v>
      </c>
      <c r="E37" s="17" t="s">
        <v>349</v>
      </c>
      <c r="F37" s="14">
        <v>1</v>
      </c>
      <c r="G37" s="14">
        <v>4</v>
      </c>
      <c r="H37" s="14">
        <v>1</v>
      </c>
      <c r="I37" s="17">
        <v>2</v>
      </c>
      <c r="J37" s="17">
        <v>2</v>
      </c>
      <c r="K37" s="18">
        <v>1.2143010470622784</v>
      </c>
      <c r="L37" s="18">
        <v>1.1019532871507205</v>
      </c>
      <c r="M37" s="19">
        <v>32.165638869177329</v>
      </c>
      <c r="N37" s="19">
        <v>3.8926569332125416</v>
      </c>
      <c r="O37" s="19" t="s">
        <v>350</v>
      </c>
      <c r="P37" s="16">
        <v>0.94426751592356684</v>
      </c>
      <c r="Q37" s="17" t="s">
        <v>349</v>
      </c>
      <c r="R37" s="14">
        <v>1</v>
      </c>
      <c r="S37" s="17">
        <v>4</v>
      </c>
      <c r="T37" s="14">
        <v>1</v>
      </c>
      <c r="U37" s="14">
        <v>2</v>
      </c>
      <c r="V37" s="17">
        <v>2</v>
      </c>
      <c r="W37" s="18">
        <v>1.2143010470622784</v>
      </c>
      <c r="X37" s="18">
        <v>1.1019532871507205</v>
      </c>
      <c r="Y37" s="19">
        <v>18.178732513449066</v>
      </c>
      <c r="Z37" s="19">
        <v>1.0729437402541615</v>
      </c>
      <c r="AA37" s="19" t="s">
        <v>351</v>
      </c>
      <c r="AB37" s="16">
        <v>0.80285714285714282</v>
      </c>
      <c r="AC37" s="17" t="s">
        <v>349</v>
      </c>
      <c r="AD37" s="14">
        <v>1</v>
      </c>
      <c r="AE37" s="14">
        <v>4</v>
      </c>
      <c r="AF37" s="14">
        <v>1</v>
      </c>
      <c r="AG37" s="17">
        <v>2</v>
      </c>
      <c r="AH37" s="17">
        <v>2</v>
      </c>
      <c r="AI37" s="18">
        <v>1.2143010470622784</v>
      </c>
      <c r="AJ37" s="18">
        <v>1.1019532871507205</v>
      </c>
      <c r="AK37" s="19">
        <v>48.09784818947751</v>
      </c>
      <c r="AL37" s="19">
        <v>11.810503647949995</v>
      </c>
      <c r="AM37" s="19" t="s">
        <v>352</v>
      </c>
      <c r="AN37" s="16">
        <v>1</v>
      </c>
      <c r="AO37" s="17" t="s">
        <v>349</v>
      </c>
      <c r="AP37" s="14">
        <v>1</v>
      </c>
      <c r="AQ37" s="14">
        <v>4</v>
      </c>
      <c r="AR37" s="14">
        <v>1</v>
      </c>
      <c r="AS37" s="17">
        <v>2</v>
      </c>
      <c r="AT37" s="17">
        <v>2</v>
      </c>
      <c r="AU37" s="18">
        <v>1.2143010470622784</v>
      </c>
      <c r="AV37" s="18">
        <v>1.1019532871507205</v>
      </c>
      <c r="AW37" s="19">
        <v>-1</v>
      </c>
      <c r="AX37" s="19">
        <v>0</v>
      </c>
      <c r="AY37" s="19" t="s">
        <v>130</v>
      </c>
    </row>
    <row r="38" spans="1:51" x14ac:dyDescent="0.35">
      <c r="A38">
        <v>46</v>
      </c>
      <c r="B38" t="s">
        <v>353</v>
      </c>
      <c r="C38" t="s">
        <v>354</v>
      </c>
      <c r="D38" s="16">
        <v>0.67917067200000003</v>
      </c>
      <c r="E38" s="14" t="s">
        <v>285</v>
      </c>
      <c r="F38" s="14">
        <v>2</v>
      </c>
      <c r="G38" s="14">
        <v>3</v>
      </c>
      <c r="H38" s="14">
        <v>1</v>
      </c>
      <c r="I38" s="17">
        <v>2</v>
      </c>
      <c r="J38" s="17">
        <v>1</v>
      </c>
      <c r="K38" s="18">
        <v>1.1766845455095114</v>
      </c>
      <c r="L38" s="18">
        <v>1.0847509140394911</v>
      </c>
      <c r="M38" s="19">
        <v>81.735232749556772</v>
      </c>
      <c r="N38" s="19">
        <v>38.610412489901933</v>
      </c>
      <c r="O38" s="19" t="s">
        <v>355</v>
      </c>
      <c r="P38" s="16">
        <v>0.99872281093139992</v>
      </c>
      <c r="Q38" s="14" t="s">
        <v>356</v>
      </c>
      <c r="R38" s="14">
        <v>2</v>
      </c>
      <c r="S38" s="17">
        <v>1</v>
      </c>
      <c r="T38" s="14">
        <v>1</v>
      </c>
      <c r="U38" s="14">
        <v>3</v>
      </c>
      <c r="V38" s="17">
        <v>1</v>
      </c>
      <c r="W38" s="18">
        <v>1.2354522921220721</v>
      </c>
      <c r="X38" s="18">
        <v>1.1115090157628376</v>
      </c>
      <c r="Y38" s="19">
        <v>-0.58891035179687889</v>
      </c>
      <c r="Z38" s="19">
        <v>-7.5311172976909801E-4</v>
      </c>
      <c r="AA38" s="19" t="s">
        <v>357</v>
      </c>
      <c r="AB38" s="16">
        <v>0</v>
      </c>
      <c r="AC38" s="14" t="s">
        <v>358</v>
      </c>
      <c r="AD38" s="14">
        <v>1</v>
      </c>
      <c r="AE38" s="14">
        <v>1</v>
      </c>
      <c r="AF38" s="14">
        <v>1</v>
      </c>
      <c r="AG38" s="14">
        <v>1</v>
      </c>
      <c r="AH38" s="14">
        <v>1</v>
      </c>
      <c r="AI38" s="18">
        <v>1.05</v>
      </c>
      <c r="AJ38" s="18">
        <v>1.0246950765959599</v>
      </c>
      <c r="AK38" s="19">
        <v>0</v>
      </c>
      <c r="AL38" s="19">
        <v>-1</v>
      </c>
      <c r="AM38" s="19" t="s">
        <v>145</v>
      </c>
      <c r="AN38" s="16">
        <v>0.98899999999999999</v>
      </c>
      <c r="AO38" s="14" t="s">
        <v>287</v>
      </c>
      <c r="AP38" s="14">
        <v>3</v>
      </c>
      <c r="AQ38" s="14">
        <v>1</v>
      </c>
      <c r="AR38" s="14">
        <v>1</v>
      </c>
      <c r="AS38" s="14">
        <v>3</v>
      </c>
      <c r="AT38" s="14">
        <v>1</v>
      </c>
      <c r="AU38" s="18">
        <v>1.3000688016831126</v>
      </c>
      <c r="AV38" s="18">
        <v>1.1402055962339039</v>
      </c>
      <c r="AW38" s="19">
        <v>1.2003468085881566</v>
      </c>
      <c r="AX38" s="19">
        <v>1.3350672289655949E-2</v>
      </c>
      <c r="AY38" s="19" t="s">
        <v>359</v>
      </c>
    </row>
    <row r="39" spans="1:51" x14ac:dyDescent="0.35">
      <c r="A39">
        <v>59</v>
      </c>
      <c r="B39" t="s">
        <v>360</v>
      </c>
      <c r="C39" t="s">
        <v>361</v>
      </c>
      <c r="D39" s="16">
        <v>0.5954249168234127</v>
      </c>
      <c r="E39" s="14" t="s">
        <v>194</v>
      </c>
      <c r="F39" s="14">
        <v>3</v>
      </c>
      <c r="G39" s="14">
        <v>1</v>
      </c>
      <c r="H39" s="14">
        <v>1</v>
      </c>
      <c r="I39" s="14">
        <v>3</v>
      </c>
      <c r="J39" s="14">
        <v>3</v>
      </c>
      <c r="K39" s="18">
        <v>1.3713425173473328</v>
      </c>
      <c r="L39" s="18">
        <v>1.1710433456312934</v>
      </c>
      <c r="M39" s="19">
        <v>19.01562147883039</v>
      </c>
      <c r="N39" s="19">
        <v>12.920599095005491</v>
      </c>
      <c r="O39" s="19" t="s">
        <v>362</v>
      </c>
      <c r="P39" s="16">
        <v>0.67924528301886788</v>
      </c>
      <c r="Q39" s="14" t="s">
        <v>196</v>
      </c>
      <c r="R39" s="14">
        <v>1</v>
      </c>
      <c r="S39" s="14">
        <v>3</v>
      </c>
      <c r="T39" s="14">
        <v>1</v>
      </c>
      <c r="U39" s="14">
        <v>3</v>
      </c>
      <c r="V39" s="14">
        <v>3</v>
      </c>
      <c r="W39" s="18">
        <v>1.308762891140433</v>
      </c>
      <c r="X39" s="18">
        <v>1.1440117530604452</v>
      </c>
      <c r="Y39" s="19">
        <v>27.863150976213088</v>
      </c>
      <c r="Z39" s="19">
        <v>13.157599072100627</v>
      </c>
      <c r="AA39" s="19" t="s">
        <v>363</v>
      </c>
      <c r="AB39" s="16">
        <v>0.58823529411764708</v>
      </c>
      <c r="AC39" s="14" t="s">
        <v>196</v>
      </c>
      <c r="AD39" s="14">
        <v>1</v>
      </c>
      <c r="AE39" s="14">
        <v>3</v>
      </c>
      <c r="AF39" s="14">
        <v>1</v>
      </c>
      <c r="AG39" s="14">
        <v>3</v>
      </c>
      <c r="AH39" s="14">
        <v>3</v>
      </c>
      <c r="AI39" s="18">
        <v>1.308762891140433</v>
      </c>
      <c r="AJ39" s="18">
        <v>1.1440117530604452</v>
      </c>
      <c r="AK39" s="19">
        <v>26.891680209501288</v>
      </c>
      <c r="AL39" s="19">
        <v>18.824176146650899</v>
      </c>
      <c r="AM39" s="19" t="s">
        <v>364</v>
      </c>
      <c r="AN39" s="16">
        <v>1</v>
      </c>
      <c r="AO39" s="17" t="s">
        <v>224</v>
      </c>
      <c r="AP39" s="14">
        <v>1</v>
      </c>
      <c r="AQ39" s="14">
        <v>1</v>
      </c>
      <c r="AR39" s="14">
        <v>1</v>
      </c>
      <c r="AS39" s="14">
        <v>1</v>
      </c>
      <c r="AT39" s="14">
        <v>1</v>
      </c>
      <c r="AU39" s="18">
        <v>1.05</v>
      </c>
      <c r="AV39" s="18">
        <v>1.0246950765959599</v>
      </c>
      <c r="AW39" s="19">
        <v>-1</v>
      </c>
      <c r="AX39" s="19">
        <v>0</v>
      </c>
      <c r="AY39" s="19" t="s">
        <v>130</v>
      </c>
    </row>
    <row r="40" spans="1:51" x14ac:dyDescent="0.35">
      <c r="A40">
        <v>78</v>
      </c>
      <c r="B40" t="s">
        <v>365</v>
      </c>
      <c r="C40" t="s">
        <v>366</v>
      </c>
      <c r="D40" s="16">
        <v>0.68191896000000007</v>
      </c>
      <c r="E40" s="14" t="s">
        <v>285</v>
      </c>
      <c r="F40" s="14">
        <v>2</v>
      </c>
      <c r="G40" s="14">
        <v>3</v>
      </c>
      <c r="H40" s="14">
        <v>1</v>
      </c>
      <c r="I40" s="17">
        <v>1</v>
      </c>
      <c r="J40" s="17">
        <v>1</v>
      </c>
      <c r="K40" s="18">
        <v>1.1409505340208952</v>
      </c>
      <c r="L40" s="18">
        <v>1.0681528607932926</v>
      </c>
      <c r="M40" s="19">
        <v>126.69628595974429</v>
      </c>
      <c r="N40" s="19">
        <v>59.097471644156727</v>
      </c>
      <c r="O40" s="19" t="s">
        <v>367</v>
      </c>
      <c r="P40" s="16">
        <v>1</v>
      </c>
      <c r="Q40" s="14" t="s">
        <v>182</v>
      </c>
      <c r="R40" s="14">
        <v>3</v>
      </c>
      <c r="S40" s="17">
        <v>1</v>
      </c>
      <c r="T40" s="14">
        <v>1</v>
      </c>
      <c r="U40" s="14">
        <v>3</v>
      </c>
      <c r="V40" s="17">
        <v>1</v>
      </c>
      <c r="W40" s="18">
        <v>1.3000688016831126</v>
      </c>
      <c r="X40" s="18">
        <v>1.1402055962339039</v>
      </c>
      <c r="Y40" s="19">
        <v>-1</v>
      </c>
      <c r="Z40" s="19">
        <v>0</v>
      </c>
      <c r="AA40" s="19" t="s">
        <v>130</v>
      </c>
      <c r="AB40" s="16">
        <v>0</v>
      </c>
      <c r="AC40" s="14" t="s">
        <v>161</v>
      </c>
      <c r="AD40" s="14">
        <v>1</v>
      </c>
      <c r="AE40" s="14">
        <v>1</v>
      </c>
      <c r="AF40" s="14">
        <v>1</v>
      </c>
      <c r="AG40" s="17">
        <v>1</v>
      </c>
      <c r="AH40" s="17">
        <v>1</v>
      </c>
      <c r="AI40" s="18">
        <v>1.05</v>
      </c>
      <c r="AJ40" s="18">
        <v>1.0246950765959599</v>
      </c>
      <c r="AK40" s="19">
        <v>0</v>
      </c>
      <c r="AL40" s="19">
        <v>-1</v>
      </c>
      <c r="AM40" s="19" t="s">
        <v>145</v>
      </c>
      <c r="AN40" s="16">
        <v>0.99250000000000005</v>
      </c>
      <c r="AO40" s="14" t="s">
        <v>287</v>
      </c>
      <c r="AP40" s="14">
        <v>3</v>
      </c>
      <c r="AQ40" s="14">
        <v>1</v>
      </c>
      <c r="AR40" s="14">
        <v>1</v>
      </c>
      <c r="AS40" s="17">
        <v>3</v>
      </c>
      <c r="AT40" s="17">
        <v>1</v>
      </c>
      <c r="AU40" s="18">
        <v>1.3000688016831126</v>
      </c>
      <c r="AV40" s="18">
        <v>1.1402055962339039</v>
      </c>
      <c r="AW40" s="19">
        <v>0.51082052979221104</v>
      </c>
      <c r="AX40" s="19">
        <v>3.8601047591350713E-3</v>
      </c>
      <c r="AY40" s="19" t="s">
        <v>368</v>
      </c>
    </row>
    <row r="41" spans="1:51" x14ac:dyDescent="0.35">
      <c r="A41">
        <v>75</v>
      </c>
      <c r="B41" t="s">
        <v>369</v>
      </c>
      <c r="C41" t="s">
        <v>370</v>
      </c>
      <c r="D41" s="16">
        <v>0.50393700787401574</v>
      </c>
      <c r="E41" s="17" t="s">
        <v>371</v>
      </c>
      <c r="F41" s="14">
        <v>2</v>
      </c>
      <c r="G41" s="14">
        <v>3</v>
      </c>
      <c r="H41" s="14">
        <v>1</v>
      </c>
      <c r="I41" s="17">
        <v>2</v>
      </c>
      <c r="J41" s="17">
        <v>1</v>
      </c>
      <c r="K41" s="18">
        <v>1.1766845455095114</v>
      </c>
      <c r="L41" s="18">
        <v>1.0847509140394911</v>
      </c>
      <c r="M41" s="19">
        <v>69.651372398459188</v>
      </c>
      <c r="N41" s="19">
        <v>68.563069704733266</v>
      </c>
      <c r="O41" s="19" t="s">
        <v>372</v>
      </c>
      <c r="P41" s="16">
        <v>1</v>
      </c>
      <c r="Q41" s="17" t="s">
        <v>371</v>
      </c>
      <c r="R41" s="14">
        <v>1</v>
      </c>
      <c r="S41" s="17">
        <v>3</v>
      </c>
      <c r="T41" s="14">
        <v>1</v>
      </c>
      <c r="U41" s="14">
        <v>2</v>
      </c>
      <c r="V41" s="17">
        <v>1</v>
      </c>
      <c r="W41" s="18">
        <v>1.1409505340208952</v>
      </c>
      <c r="X41" s="18">
        <v>1.0681528607932926</v>
      </c>
      <c r="Y41" s="19">
        <v>-1</v>
      </c>
      <c r="Z41" s="19">
        <v>0</v>
      </c>
      <c r="AA41" s="19" t="s">
        <v>130</v>
      </c>
      <c r="AB41" s="16">
        <v>1</v>
      </c>
      <c r="AC41" s="17" t="s">
        <v>371</v>
      </c>
      <c r="AD41" s="14">
        <v>1</v>
      </c>
      <c r="AE41" s="14">
        <v>3</v>
      </c>
      <c r="AF41" s="14">
        <v>1</v>
      </c>
      <c r="AG41" s="17">
        <v>2</v>
      </c>
      <c r="AH41" s="17">
        <v>1</v>
      </c>
      <c r="AI41" s="18">
        <v>1.1409505340208952</v>
      </c>
      <c r="AJ41" s="18">
        <v>1.0681528607932926</v>
      </c>
      <c r="AK41" s="19">
        <v>-1</v>
      </c>
      <c r="AL41" s="19">
        <v>0</v>
      </c>
      <c r="AM41" s="19" t="s">
        <v>130</v>
      </c>
      <c r="AN41" s="16">
        <v>1</v>
      </c>
      <c r="AO41" s="17" t="s">
        <v>371</v>
      </c>
      <c r="AP41" s="14">
        <v>1</v>
      </c>
      <c r="AQ41" s="14">
        <v>3</v>
      </c>
      <c r="AR41" s="14">
        <v>1</v>
      </c>
      <c r="AS41" s="17">
        <v>2</v>
      </c>
      <c r="AT41" s="17">
        <v>1</v>
      </c>
      <c r="AU41" s="18">
        <v>1.1409505340208952</v>
      </c>
      <c r="AV41" s="18">
        <v>1.0681528607932926</v>
      </c>
      <c r="AW41" s="19">
        <v>-1</v>
      </c>
      <c r="AX41" s="19">
        <v>0</v>
      </c>
      <c r="AY41" s="19" t="s">
        <v>130</v>
      </c>
    </row>
    <row r="42" spans="1:51" x14ac:dyDescent="0.35">
      <c r="A42">
        <v>45</v>
      </c>
      <c r="B42" t="s">
        <v>373</v>
      </c>
      <c r="C42" t="s">
        <v>374</v>
      </c>
      <c r="D42" s="16">
        <v>0.61975199999999997</v>
      </c>
      <c r="E42" s="14" t="s">
        <v>285</v>
      </c>
      <c r="F42" s="14">
        <v>2</v>
      </c>
      <c r="G42" s="14">
        <v>3</v>
      </c>
      <c r="H42" s="14">
        <v>1</v>
      </c>
      <c r="I42" s="17">
        <v>2</v>
      </c>
      <c r="J42" s="17">
        <v>1</v>
      </c>
      <c r="K42" s="18">
        <v>1.1766845455095114</v>
      </c>
      <c r="L42" s="18">
        <v>1.0847509140394911</v>
      </c>
      <c r="M42" s="19">
        <v>80.714602098934549</v>
      </c>
      <c r="N42" s="19">
        <v>49.522334770869108</v>
      </c>
      <c r="O42" s="19" t="s">
        <v>375</v>
      </c>
      <c r="P42" s="16">
        <v>1</v>
      </c>
      <c r="Q42" s="14" t="s">
        <v>182</v>
      </c>
      <c r="R42" s="14">
        <v>3</v>
      </c>
      <c r="S42" s="17">
        <v>1</v>
      </c>
      <c r="T42" s="14">
        <v>1</v>
      </c>
      <c r="U42" s="14">
        <v>3</v>
      </c>
      <c r="V42" s="17">
        <v>1</v>
      </c>
      <c r="W42" s="18">
        <v>1.3000688016831126</v>
      </c>
      <c r="X42" s="18">
        <v>1.1402055962339039</v>
      </c>
      <c r="Y42" s="19">
        <v>-1</v>
      </c>
      <c r="Z42" s="19">
        <v>0</v>
      </c>
      <c r="AA42" s="19" t="s">
        <v>130</v>
      </c>
      <c r="AB42" s="16">
        <v>0</v>
      </c>
      <c r="AC42" s="14" t="s">
        <v>358</v>
      </c>
      <c r="AD42" s="14">
        <v>1</v>
      </c>
      <c r="AE42" s="14">
        <v>1</v>
      </c>
      <c r="AF42" s="14">
        <v>1</v>
      </c>
      <c r="AG42" s="14">
        <v>1</v>
      </c>
      <c r="AH42" s="14">
        <v>1</v>
      </c>
      <c r="AI42" s="18">
        <v>1.05</v>
      </c>
      <c r="AJ42" s="18">
        <v>1.0246950765959599</v>
      </c>
      <c r="AK42" s="19">
        <v>0</v>
      </c>
      <c r="AL42" s="19">
        <v>-1</v>
      </c>
      <c r="AM42" s="19" t="s">
        <v>145</v>
      </c>
      <c r="AN42" s="16">
        <v>0.98</v>
      </c>
      <c r="AO42" s="14" t="s">
        <v>287</v>
      </c>
      <c r="AP42" s="14">
        <v>3</v>
      </c>
      <c r="AQ42" s="14">
        <v>1</v>
      </c>
      <c r="AR42" s="14">
        <v>1</v>
      </c>
      <c r="AS42" s="14">
        <v>3</v>
      </c>
      <c r="AT42" s="14">
        <v>1</v>
      </c>
      <c r="AU42" s="18">
        <v>1.3000688016831126</v>
      </c>
      <c r="AV42" s="18">
        <v>1.1402055962339039</v>
      </c>
      <c r="AW42" s="19">
        <v>2.9285119232191397</v>
      </c>
      <c r="AX42" s="19">
        <v>5.9765549453451881E-2</v>
      </c>
      <c r="AY42" s="19" t="s">
        <v>376</v>
      </c>
    </row>
    <row r="43" spans="1:51" x14ac:dyDescent="0.35">
      <c r="A43">
        <v>44</v>
      </c>
      <c r="B43" t="s">
        <v>377</v>
      </c>
      <c r="C43" t="s">
        <v>378</v>
      </c>
      <c r="D43" s="16">
        <v>0.62607599999999997</v>
      </c>
      <c r="E43" s="14" t="s">
        <v>285</v>
      </c>
      <c r="F43" s="14">
        <v>2</v>
      </c>
      <c r="G43" s="14">
        <v>3</v>
      </c>
      <c r="H43" s="14">
        <v>1</v>
      </c>
      <c r="I43" s="17">
        <v>2</v>
      </c>
      <c r="J43" s="17">
        <v>1</v>
      </c>
      <c r="K43" s="18">
        <v>1.1766845455095114</v>
      </c>
      <c r="L43" s="18">
        <v>1.0847509140394911</v>
      </c>
      <c r="M43" s="19">
        <v>80.996192796078347</v>
      </c>
      <c r="N43" s="19">
        <v>48.374990248916752</v>
      </c>
      <c r="O43" s="19" t="s">
        <v>379</v>
      </c>
      <c r="P43" s="16">
        <v>1</v>
      </c>
      <c r="Q43" s="14" t="s">
        <v>182</v>
      </c>
      <c r="R43" s="14">
        <v>3</v>
      </c>
      <c r="S43" s="17">
        <v>1</v>
      </c>
      <c r="T43" s="14">
        <v>1</v>
      </c>
      <c r="U43" s="14">
        <v>3</v>
      </c>
      <c r="V43" s="17">
        <v>1</v>
      </c>
      <c r="W43" s="18">
        <v>1.3000688016831126</v>
      </c>
      <c r="X43" s="18">
        <v>1.1402055962339039</v>
      </c>
      <c r="Y43" s="19">
        <v>-1</v>
      </c>
      <c r="Z43" s="19">
        <v>0</v>
      </c>
      <c r="AA43" s="19" t="s">
        <v>130</v>
      </c>
      <c r="AB43" s="16">
        <v>0</v>
      </c>
      <c r="AC43" s="14" t="s">
        <v>358</v>
      </c>
      <c r="AD43" s="14">
        <v>1</v>
      </c>
      <c r="AE43" s="14">
        <v>1</v>
      </c>
      <c r="AF43" s="14">
        <v>1</v>
      </c>
      <c r="AG43" s="14">
        <v>1</v>
      </c>
      <c r="AH43" s="14">
        <v>1</v>
      </c>
      <c r="AI43" s="18">
        <v>1.05</v>
      </c>
      <c r="AJ43" s="18">
        <v>1.0246950765959599</v>
      </c>
      <c r="AK43" s="19">
        <v>0</v>
      </c>
      <c r="AL43" s="19">
        <v>-1</v>
      </c>
      <c r="AM43" s="19" t="s">
        <v>145</v>
      </c>
      <c r="AN43" s="16">
        <v>0.99</v>
      </c>
      <c r="AO43" s="14" t="s">
        <v>287</v>
      </c>
      <c r="AP43" s="14">
        <v>3</v>
      </c>
      <c r="AQ43" s="14">
        <v>1</v>
      </c>
      <c r="AR43" s="14">
        <v>1</v>
      </c>
      <c r="AS43" s="14">
        <v>3</v>
      </c>
      <c r="AT43" s="14">
        <v>1</v>
      </c>
      <c r="AU43" s="18">
        <v>1.3000688016831126</v>
      </c>
      <c r="AV43" s="18">
        <v>1.1402055962339039</v>
      </c>
      <c r="AW43" s="18">
        <v>1.0043422198808201</v>
      </c>
      <c r="AX43" s="19">
        <v>1.014487090788708E-2</v>
      </c>
      <c r="AY43" s="19" t="s">
        <v>380</v>
      </c>
    </row>
    <row r="44" spans="1:51" x14ac:dyDescent="0.35">
      <c r="A44">
        <v>51</v>
      </c>
      <c r="B44" t="s">
        <v>381</v>
      </c>
      <c r="C44" t="s">
        <v>382</v>
      </c>
      <c r="D44" s="16">
        <v>0.83044444444444443</v>
      </c>
      <c r="E44" s="14" t="s">
        <v>383</v>
      </c>
      <c r="F44" s="14">
        <v>3</v>
      </c>
      <c r="G44" s="14">
        <v>1</v>
      </c>
      <c r="H44" s="14">
        <v>1</v>
      </c>
      <c r="I44" s="17">
        <v>2</v>
      </c>
      <c r="J44" s="17">
        <v>1</v>
      </c>
      <c r="K44" s="18">
        <v>1.2354522921220721</v>
      </c>
      <c r="L44" s="18">
        <v>1.1115090157628376</v>
      </c>
      <c r="M44" s="19">
        <v>36.785608115866296</v>
      </c>
      <c r="N44" s="19">
        <v>7.5106820959074092</v>
      </c>
      <c r="O44" s="19" t="s">
        <v>384</v>
      </c>
      <c r="P44" s="16">
        <v>0.96316758747697973</v>
      </c>
      <c r="Q44" s="14" t="s">
        <v>385</v>
      </c>
      <c r="R44" s="14">
        <v>2</v>
      </c>
      <c r="S44" s="17">
        <v>3</v>
      </c>
      <c r="T44" s="14">
        <v>1</v>
      </c>
      <c r="U44" s="14">
        <v>2</v>
      </c>
      <c r="V44" s="17">
        <v>1</v>
      </c>
      <c r="W44" s="18">
        <v>1.1766845455095114</v>
      </c>
      <c r="X44" s="18">
        <v>1.0847509140394911</v>
      </c>
      <c r="Y44" s="19">
        <v>18.065356065300808</v>
      </c>
      <c r="Z44" s="19">
        <v>0.69083579599620715</v>
      </c>
      <c r="AA44" s="19" t="s">
        <v>386</v>
      </c>
      <c r="AB44" s="16">
        <v>0.29032258064516131</v>
      </c>
      <c r="AC44" s="14" t="s">
        <v>385</v>
      </c>
      <c r="AD44" s="14">
        <v>2</v>
      </c>
      <c r="AE44" s="17">
        <v>3</v>
      </c>
      <c r="AF44" s="14">
        <v>1</v>
      </c>
      <c r="AG44" s="14">
        <v>2</v>
      </c>
      <c r="AH44" s="17">
        <v>1</v>
      </c>
      <c r="AI44" s="18">
        <v>1.1766845455095114</v>
      </c>
      <c r="AJ44" s="18">
        <v>1.0847509140394911</v>
      </c>
      <c r="AK44" s="19">
        <v>33.021149713773333</v>
      </c>
      <c r="AL44" s="19">
        <v>80.718365967001475</v>
      </c>
      <c r="AM44" s="19" t="s">
        <v>387</v>
      </c>
      <c r="AN44" s="16">
        <v>0.83003952569169959</v>
      </c>
      <c r="AO44" s="14" t="s">
        <v>385</v>
      </c>
      <c r="AP44" s="14">
        <v>2</v>
      </c>
      <c r="AQ44" s="17">
        <v>3</v>
      </c>
      <c r="AR44" s="14">
        <v>1</v>
      </c>
      <c r="AS44" s="14">
        <v>2</v>
      </c>
      <c r="AT44" s="17">
        <v>1</v>
      </c>
      <c r="AU44" s="18">
        <v>1.1766845455095114</v>
      </c>
      <c r="AV44" s="18">
        <v>1.0847509140394911</v>
      </c>
      <c r="AW44" s="19">
        <v>64.380334517770521</v>
      </c>
      <c r="AX44" s="19">
        <v>13.182639925067297</v>
      </c>
      <c r="AY44" s="19" t="s">
        <v>388</v>
      </c>
    </row>
    <row r="45" spans="1:51" x14ac:dyDescent="0.35">
      <c r="A45">
        <v>21</v>
      </c>
      <c r="B45" t="s">
        <v>389</v>
      </c>
      <c r="C45" t="s">
        <v>390</v>
      </c>
      <c r="D45" s="21">
        <v>1.2609976827064825E-3</v>
      </c>
      <c r="E45" s="15" t="s">
        <v>391</v>
      </c>
      <c r="F45" s="14">
        <v>4</v>
      </c>
      <c r="G45" s="15">
        <v>1</v>
      </c>
      <c r="H45" s="15">
        <v>1</v>
      </c>
      <c r="I45" s="15">
        <v>3</v>
      </c>
      <c r="J45" s="15">
        <v>3</v>
      </c>
      <c r="K45" s="18">
        <v>1.5279171865856971</v>
      </c>
      <c r="L45" s="18">
        <v>1.2360894735356729</v>
      </c>
      <c r="M45" s="22">
        <v>-1.1470285270171981E-3</v>
      </c>
      <c r="N45" s="19">
        <v>-0.90847282466361501</v>
      </c>
      <c r="O45" s="19" t="s">
        <v>392</v>
      </c>
      <c r="P45" s="16">
        <v>0.95</v>
      </c>
      <c r="Q45" s="14" t="s">
        <v>159</v>
      </c>
      <c r="R45" s="14">
        <v>3</v>
      </c>
      <c r="S45" s="14">
        <v>1</v>
      </c>
      <c r="T45" s="14">
        <v>1</v>
      </c>
      <c r="U45" s="14">
        <v>3</v>
      </c>
      <c r="V45" s="14">
        <v>3</v>
      </c>
      <c r="W45" s="18">
        <v>1.3713425173473328</v>
      </c>
      <c r="X45" s="18">
        <v>1.1710433456312934</v>
      </c>
      <c r="Y45" s="19">
        <v>5.2197112731372268</v>
      </c>
      <c r="Z45" s="19">
        <v>0.27472164595459114</v>
      </c>
      <c r="AA45" s="19" t="s">
        <v>160</v>
      </c>
      <c r="AB45" s="16">
        <v>0</v>
      </c>
      <c r="AC45" s="14" t="s">
        <v>161</v>
      </c>
      <c r="AD45" s="14">
        <v>1</v>
      </c>
      <c r="AE45" s="14">
        <v>1</v>
      </c>
      <c r="AF45" s="14">
        <v>1</v>
      </c>
      <c r="AG45" s="14">
        <v>1</v>
      </c>
      <c r="AH45" s="14">
        <v>1</v>
      </c>
      <c r="AI45" s="18">
        <v>1.05</v>
      </c>
      <c r="AJ45" s="18">
        <v>1.0246950765959599</v>
      </c>
      <c r="AK45" s="19">
        <v>0</v>
      </c>
      <c r="AL45" s="19">
        <v>-1</v>
      </c>
      <c r="AM45" s="19" t="s">
        <v>145</v>
      </c>
      <c r="AN45" s="16">
        <v>0</v>
      </c>
      <c r="AO45" s="14" t="s">
        <v>393</v>
      </c>
      <c r="AP45" s="14">
        <v>1</v>
      </c>
      <c r="AQ45" s="15">
        <v>1</v>
      </c>
      <c r="AR45" s="15">
        <v>1</v>
      </c>
      <c r="AS45" s="15">
        <v>1</v>
      </c>
      <c r="AT45" s="15">
        <v>1</v>
      </c>
      <c r="AU45" s="18">
        <v>1.05</v>
      </c>
      <c r="AV45" s="18">
        <v>1.0246950765959599</v>
      </c>
      <c r="AW45" s="19">
        <v>0</v>
      </c>
      <c r="AX45" s="19">
        <v>-1</v>
      </c>
      <c r="AY45" s="19" t="s">
        <v>145</v>
      </c>
    </row>
    <row r="46" spans="1:51" x14ac:dyDescent="0.35">
      <c r="A46">
        <v>34</v>
      </c>
      <c r="B46" t="s">
        <v>394</v>
      </c>
      <c r="C46" t="s">
        <v>395</v>
      </c>
      <c r="D46" s="16">
        <v>4.4998140572703613E-2</v>
      </c>
      <c r="E46" s="17" t="s">
        <v>396</v>
      </c>
      <c r="F46" s="14">
        <v>1</v>
      </c>
      <c r="G46" s="14">
        <v>3</v>
      </c>
      <c r="H46" s="14">
        <v>1</v>
      </c>
      <c r="I46" s="17">
        <v>2</v>
      </c>
      <c r="J46" s="17">
        <v>1</v>
      </c>
      <c r="K46" s="18">
        <v>1.1409505340208952</v>
      </c>
      <c r="L46" s="18">
        <v>1.0681528607932926</v>
      </c>
      <c r="M46" s="19">
        <v>1.6202737970160177</v>
      </c>
      <c r="N46" s="19">
        <v>34.387298435844073</v>
      </c>
      <c r="O46" s="19" t="s">
        <v>397</v>
      </c>
      <c r="P46" s="16">
        <v>0.84586466165413532</v>
      </c>
      <c r="Q46" s="17" t="s">
        <v>396</v>
      </c>
      <c r="R46" s="14">
        <v>1</v>
      </c>
      <c r="S46" s="17">
        <v>3</v>
      </c>
      <c r="T46" s="14">
        <v>1</v>
      </c>
      <c r="U46" s="14">
        <v>2</v>
      </c>
      <c r="V46" s="17">
        <v>1</v>
      </c>
      <c r="W46" s="18">
        <v>1.1409505340208952</v>
      </c>
      <c r="X46" s="18">
        <v>1.0681528607932926</v>
      </c>
      <c r="Y46" s="19">
        <v>94.126181136857795</v>
      </c>
      <c r="Z46" s="19">
        <v>17.151881896049645</v>
      </c>
      <c r="AA46" s="19" t="s">
        <v>398</v>
      </c>
      <c r="AB46" s="16">
        <v>0.24390243902439021</v>
      </c>
      <c r="AC46" s="17" t="s">
        <v>396</v>
      </c>
      <c r="AD46" s="14">
        <v>1</v>
      </c>
      <c r="AE46" s="14">
        <v>3</v>
      </c>
      <c r="AF46" s="14">
        <v>1</v>
      </c>
      <c r="AG46" s="17">
        <v>2</v>
      </c>
      <c r="AH46" s="17">
        <v>1</v>
      </c>
      <c r="AI46" s="18">
        <v>1.1409505340208952</v>
      </c>
      <c r="AJ46" s="18">
        <v>1.0681528607932926</v>
      </c>
      <c r="AK46" s="19">
        <v>38.490952500802955</v>
      </c>
      <c r="AL46" s="19">
        <v>119.32195275248918</v>
      </c>
      <c r="AM46" s="19" t="s">
        <v>399</v>
      </c>
      <c r="AN46" s="16">
        <v>1</v>
      </c>
      <c r="AO46" s="17" t="s">
        <v>396</v>
      </c>
      <c r="AP46" s="14">
        <v>1</v>
      </c>
      <c r="AQ46" s="14">
        <v>3</v>
      </c>
      <c r="AR46" s="14">
        <v>1</v>
      </c>
      <c r="AS46" s="17">
        <v>2</v>
      </c>
      <c r="AT46" s="17">
        <v>1</v>
      </c>
      <c r="AU46" s="18">
        <v>1.1409505340208952</v>
      </c>
      <c r="AV46" s="18">
        <v>1.0681528607932926</v>
      </c>
      <c r="AW46" s="19">
        <v>-1</v>
      </c>
      <c r="AX46" s="19">
        <v>0</v>
      </c>
      <c r="AY46" s="19" t="s">
        <v>130</v>
      </c>
    </row>
    <row r="47" spans="1:51" x14ac:dyDescent="0.35">
      <c r="A47">
        <v>14</v>
      </c>
      <c r="B47" t="s">
        <v>400</v>
      </c>
      <c r="C47" t="s">
        <v>401</v>
      </c>
      <c r="D47" s="16">
        <v>0.8</v>
      </c>
      <c r="E47" s="14" t="s">
        <v>402</v>
      </c>
      <c r="F47" s="14">
        <v>3</v>
      </c>
      <c r="G47" s="14">
        <v>1</v>
      </c>
      <c r="H47" s="14">
        <v>1</v>
      </c>
      <c r="I47" s="14">
        <v>3</v>
      </c>
      <c r="J47" s="14">
        <v>1</v>
      </c>
      <c r="K47" s="18">
        <v>1.3000688016831126</v>
      </c>
      <c r="L47" s="18">
        <v>1.1402055962339039</v>
      </c>
      <c r="M47" s="19">
        <v>25.245893699086281</v>
      </c>
      <c r="N47" s="19">
        <v>6.3114734247715685</v>
      </c>
      <c r="O47" s="19" t="s">
        <v>317</v>
      </c>
      <c r="P47" s="16">
        <v>0.9</v>
      </c>
      <c r="Q47" s="14" t="s">
        <v>403</v>
      </c>
      <c r="R47" s="14">
        <v>3</v>
      </c>
      <c r="S47" s="14">
        <v>1</v>
      </c>
      <c r="T47" s="14">
        <v>1</v>
      </c>
      <c r="U47" s="14">
        <v>3</v>
      </c>
      <c r="V47" s="14">
        <v>1</v>
      </c>
      <c r="W47" s="18">
        <v>1.3000688016831126</v>
      </c>
      <c r="X47" s="18">
        <v>1.1402055962339039</v>
      </c>
      <c r="Y47" s="19">
        <v>15.58216710645304</v>
      </c>
      <c r="Z47" s="19">
        <v>1.731351900717004</v>
      </c>
      <c r="AA47" s="19" t="s">
        <v>153</v>
      </c>
      <c r="AB47" s="16">
        <v>0</v>
      </c>
      <c r="AC47" s="14" t="s">
        <v>161</v>
      </c>
      <c r="AD47" s="14">
        <v>1</v>
      </c>
      <c r="AE47" s="14">
        <v>1</v>
      </c>
      <c r="AF47" s="14">
        <v>1</v>
      </c>
      <c r="AG47" s="14">
        <v>1</v>
      </c>
      <c r="AH47" s="14">
        <v>1</v>
      </c>
      <c r="AI47" s="18">
        <v>1.05</v>
      </c>
      <c r="AJ47" s="18">
        <v>1.0246950765959599</v>
      </c>
      <c r="AK47" s="19">
        <v>0</v>
      </c>
      <c r="AL47" s="19">
        <v>-1</v>
      </c>
      <c r="AM47" s="19" t="s">
        <v>145</v>
      </c>
      <c r="AN47" s="16">
        <v>0</v>
      </c>
      <c r="AO47" s="14" t="s">
        <v>404</v>
      </c>
      <c r="AP47" s="14">
        <v>1</v>
      </c>
      <c r="AQ47" s="14">
        <v>1</v>
      </c>
      <c r="AR47" s="14">
        <v>1</v>
      </c>
      <c r="AS47" s="14">
        <v>1</v>
      </c>
      <c r="AT47" s="14">
        <v>1</v>
      </c>
      <c r="AU47" s="18">
        <v>1.05</v>
      </c>
      <c r="AV47" s="18">
        <v>1.0246950765959599</v>
      </c>
      <c r="AW47" s="19">
        <v>0</v>
      </c>
      <c r="AX47" s="19">
        <v>-1</v>
      </c>
      <c r="AY47" s="19" t="s">
        <v>145</v>
      </c>
    </row>
    <row r="48" spans="1:51" x14ac:dyDescent="0.35">
      <c r="A48">
        <v>62</v>
      </c>
      <c r="B48" t="s">
        <v>405</v>
      </c>
      <c r="C48" t="s">
        <v>406</v>
      </c>
      <c r="D48" s="16">
        <v>0.62769185869621547</v>
      </c>
      <c r="E48" s="14" t="s">
        <v>194</v>
      </c>
      <c r="F48" s="14">
        <v>3</v>
      </c>
      <c r="G48" s="14">
        <v>1</v>
      </c>
      <c r="H48" s="14">
        <v>1</v>
      </c>
      <c r="I48" s="14">
        <v>3</v>
      </c>
      <c r="J48" s="14">
        <v>3</v>
      </c>
      <c r="K48" s="18">
        <v>1.3713425173473328</v>
      </c>
      <c r="L48" s="18">
        <v>1.1710433456312934</v>
      </c>
      <c r="M48" s="19">
        <v>19.428254083818572</v>
      </c>
      <c r="N48" s="19">
        <v>11.523643435090113</v>
      </c>
      <c r="O48" s="19" t="s">
        <v>407</v>
      </c>
      <c r="P48" s="16">
        <v>0.86363636363636365</v>
      </c>
      <c r="Q48" s="14" t="s">
        <v>196</v>
      </c>
      <c r="R48" s="14">
        <v>3</v>
      </c>
      <c r="S48" s="14">
        <v>3</v>
      </c>
      <c r="T48" s="14">
        <v>1</v>
      </c>
      <c r="U48" s="14">
        <v>3</v>
      </c>
      <c r="V48" s="14">
        <v>2</v>
      </c>
      <c r="W48" s="18">
        <v>1.3303783351797707</v>
      </c>
      <c r="X48" s="18">
        <v>1.1534202769068049</v>
      </c>
      <c r="Y48" s="19">
        <v>16.420786427081588</v>
      </c>
      <c r="Z48" s="19">
        <v>2.5927557516444608</v>
      </c>
      <c r="AA48" s="19" t="s">
        <v>408</v>
      </c>
      <c r="AB48" s="16">
        <v>0</v>
      </c>
      <c r="AC48" s="14" t="s">
        <v>196</v>
      </c>
      <c r="AD48" s="14">
        <v>1</v>
      </c>
      <c r="AE48" s="14">
        <v>3</v>
      </c>
      <c r="AF48" s="14">
        <v>1</v>
      </c>
      <c r="AG48" s="14">
        <v>3</v>
      </c>
      <c r="AH48" s="14">
        <v>2</v>
      </c>
      <c r="AI48" s="18">
        <v>1.2456465205819256</v>
      </c>
      <c r="AJ48" s="18">
        <v>1.1160853554195242</v>
      </c>
      <c r="AK48" s="19">
        <v>0</v>
      </c>
      <c r="AL48" s="19">
        <v>-1</v>
      </c>
      <c r="AM48" s="19" t="s">
        <v>145</v>
      </c>
      <c r="AN48" s="16">
        <v>0</v>
      </c>
      <c r="AO48" s="17" t="s">
        <v>231</v>
      </c>
      <c r="AP48" s="14">
        <v>3</v>
      </c>
      <c r="AQ48" s="14">
        <v>1</v>
      </c>
      <c r="AR48" s="14">
        <v>1</v>
      </c>
      <c r="AS48" s="14">
        <v>3</v>
      </c>
      <c r="AT48" s="14">
        <v>3</v>
      </c>
      <c r="AU48" s="18">
        <v>1.3713425173473328</v>
      </c>
      <c r="AV48" s="18">
        <v>1.1710433456312934</v>
      </c>
      <c r="AW48" s="19">
        <v>0</v>
      </c>
      <c r="AX48" s="19">
        <v>-1</v>
      </c>
      <c r="AY48" s="19" t="s">
        <v>145</v>
      </c>
    </row>
    <row r="49" spans="1:51" x14ac:dyDescent="0.35">
      <c r="A49">
        <v>50</v>
      </c>
      <c r="B49" t="s">
        <v>409</v>
      </c>
      <c r="C49" t="s">
        <v>410</v>
      </c>
      <c r="D49" s="16">
        <v>0.88235294117647056</v>
      </c>
      <c r="E49" s="17" t="s">
        <v>411</v>
      </c>
      <c r="F49" s="14">
        <v>1</v>
      </c>
      <c r="G49" s="14">
        <v>4</v>
      </c>
      <c r="H49" s="14">
        <v>1</v>
      </c>
      <c r="I49" s="17">
        <v>2</v>
      </c>
      <c r="J49" s="17">
        <v>2</v>
      </c>
      <c r="K49" s="18">
        <v>1.2143010470622784</v>
      </c>
      <c r="L49" s="18">
        <v>1.1019532871507205</v>
      </c>
      <c r="M49" s="19">
        <v>34.364737709949509</v>
      </c>
      <c r="N49" s="19">
        <v>4.5819650279932693</v>
      </c>
      <c r="O49" s="19" t="s">
        <v>412</v>
      </c>
      <c r="P49" s="16">
        <v>0.98986125933831381</v>
      </c>
      <c r="Q49" s="17" t="s">
        <v>411</v>
      </c>
      <c r="R49" s="14">
        <v>1</v>
      </c>
      <c r="S49" s="17">
        <v>4</v>
      </c>
      <c r="T49" s="14">
        <v>1</v>
      </c>
      <c r="U49" s="14">
        <v>2</v>
      </c>
      <c r="V49" s="17">
        <v>2</v>
      </c>
      <c r="W49" s="18">
        <v>1.2143010470622784</v>
      </c>
      <c r="X49" s="18">
        <v>1.1019532871507205</v>
      </c>
      <c r="Y49" s="19">
        <v>2.8330145971623262</v>
      </c>
      <c r="Z49" s="19">
        <v>2.9017400186568162E-2</v>
      </c>
      <c r="AA49" s="19" t="s">
        <v>413</v>
      </c>
      <c r="AB49" s="16">
        <v>0.26315789473684209</v>
      </c>
      <c r="AC49" s="17" t="s">
        <v>411</v>
      </c>
      <c r="AD49" s="14">
        <v>1</v>
      </c>
      <c r="AE49" s="14">
        <v>4</v>
      </c>
      <c r="AF49" s="14">
        <v>1</v>
      </c>
      <c r="AG49" s="17">
        <v>2</v>
      </c>
      <c r="AH49" s="17">
        <v>2</v>
      </c>
      <c r="AI49" s="18">
        <v>1.2143010470622784</v>
      </c>
      <c r="AJ49" s="18">
        <v>1.1019532871507205</v>
      </c>
      <c r="AK49" s="19">
        <v>19.373373095897904</v>
      </c>
      <c r="AL49" s="19">
        <v>54.245444668514139</v>
      </c>
      <c r="AM49" s="19" t="s">
        <v>414</v>
      </c>
      <c r="AN49" s="16">
        <v>1</v>
      </c>
      <c r="AO49" s="17" t="s">
        <v>411</v>
      </c>
      <c r="AP49" s="14">
        <v>1</v>
      </c>
      <c r="AQ49" s="14">
        <v>4</v>
      </c>
      <c r="AR49" s="14">
        <v>1</v>
      </c>
      <c r="AS49" s="17">
        <v>2</v>
      </c>
      <c r="AT49" s="17">
        <v>2</v>
      </c>
      <c r="AU49" s="18">
        <v>1.2143010470622784</v>
      </c>
      <c r="AV49" s="18">
        <v>1.1019532871507205</v>
      </c>
      <c r="AW49" s="19">
        <v>-1</v>
      </c>
      <c r="AX49" s="19">
        <v>0</v>
      </c>
      <c r="AY49" s="19" t="s">
        <v>130</v>
      </c>
    </row>
    <row r="50" spans="1:51" x14ac:dyDescent="0.35">
      <c r="A50">
        <v>38</v>
      </c>
      <c r="B50" t="s">
        <v>415</v>
      </c>
      <c r="C50" t="s">
        <v>416</v>
      </c>
      <c r="D50" s="16">
        <v>0.8</v>
      </c>
      <c r="E50" s="14" t="s">
        <v>417</v>
      </c>
      <c r="F50" s="14">
        <v>3</v>
      </c>
      <c r="G50" s="14">
        <v>3</v>
      </c>
      <c r="H50" s="14">
        <v>1</v>
      </c>
      <c r="I50" s="17">
        <v>3</v>
      </c>
      <c r="J50" s="17">
        <v>1</v>
      </c>
      <c r="K50" s="18">
        <v>1.3145177818010416</v>
      </c>
      <c r="L50" s="18">
        <v>1.1465242177124046</v>
      </c>
      <c r="M50" s="19">
        <v>23.047954708430922</v>
      </c>
      <c r="N50" s="19">
        <v>5.7619886771077287</v>
      </c>
      <c r="O50" s="19" t="s">
        <v>418</v>
      </c>
      <c r="P50" s="16">
        <v>0.9</v>
      </c>
      <c r="Q50" s="14" t="s">
        <v>159</v>
      </c>
      <c r="R50" s="14">
        <v>3</v>
      </c>
      <c r="S50" s="17">
        <v>1</v>
      </c>
      <c r="T50" s="14">
        <v>1</v>
      </c>
      <c r="U50" s="14">
        <v>3</v>
      </c>
      <c r="V50" s="17">
        <v>1</v>
      </c>
      <c r="W50" s="18">
        <v>1.3000688016831126</v>
      </c>
      <c r="X50" s="18">
        <v>1.1402055962339039</v>
      </c>
      <c r="Y50" s="19">
        <v>15.58216710645304</v>
      </c>
      <c r="Z50" s="19">
        <v>1.731351900717004</v>
      </c>
      <c r="AA50" s="19" t="s">
        <v>153</v>
      </c>
      <c r="AB50" s="16">
        <v>0</v>
      </c>
      <c r="AC50" s="14" t="s">
        <v>190</v>
      </c>
      <c r="AD50" s="14">
        <v>1</v>
      </c>
      <c r="AE50" s="14">
        <v>1</v>
      </c>
      <c r="AF50" s="14">
        <v>1</v>
      </c>
      <c r="AG50" s="14">
        <v>1</v>
      </c>
      <c r="AH50" s="14">
        <v>1</v>
      </c>
      <c r="AI50" s="18">
        <v>1.05</v>
      </c>
      <c r="AJ50" s="18">
        <v>1.0246950765959599</v>
      </c>
      <c r="AK50" s="19">
        <v>0</v>
      </c>
      <c r="AL50" s="19">
        <v>-1</v>
      </c>
      <c r="AM50" s="19" t="s">
        <v>145</v>
      </c>
      <c r="AN50" s="16">
        <v>0</v>
      </c>
      <c r="AO50" s="14" t="s">
        <v>419</v>
      </c>
      <c r="AP50" s="14">
        <v>1</v>
      </c>
      <c r="AQ50" s="14">
        <v>1</v>
      </c>
      <c r="AR50" s="14">
        <v>1</v>
      </c>
      <c r="AS50" s="14">
        <v>1</v>
      </c>
      <c r="AT50" s="14">
        <v>1</v>
      </c>
      <c r="AU50" s="18">
        <v>1.05</v>
      </c>
      <c r="AV50" s="18">
        <v>1.0246950765959599</v>
      </c>
      <c r="AW50" s="19">
        <v>0</v>
      </c>
      <c r="AX50" s="19">
        <v>-1</v>
      </c>
      <c r="AY50" s="19" t="s">
        <v>145</v>
      </c>
    </row>
    <row r="51" spans="1:51" x14ac:dyDescent="0.35">
      <c r="A51">
        <v>73</v>
      </c>
      <c r="B51" t="s">
        <v>420</v>
      </c>
      <c r="C51" t="s">
        <v>421</v>
      </c>
      <c r="D51" s="16">
        <v>0.64768683274021355</v>
      </c>
      <c r="E51" s="17" t="s">
        <v>422</v>
      </c>
      <c r="F51" s="14">
        <v>1</v>
      </c>
      <c r="G51" s="14">
        <v>2</v>
      </c>
      <c r="H51" s="14">
        <v>1</v>
      </c>
      <c r="I51" s="17">
        <v>2</v>
      </c>
      <c r="J51" s="17">
        <v>1</v>
      </c>
      <c r="K51" s="18">
        <v>1.1174816203765749</v>
      </c>
      <c r="L51" s="18">
        <v>1.0571100322939779</v>
      </c>
      <c r="M51" s="19">
        <v>180.60906401150211</v>
      </c>
      <c r="N51" s="19">
        <v>98.243391962300592</v>
      </c>
      <c r="O51" s="19" t="s">
        <v>423</v>
      </c>
      <c r="P51" s="16">
        <v>0.76165803108808294</v>
      </c>
      <c r="Q51" s="14" t="s">
        <v>422</v>
      </c>
      <c r="R51" s="14">
        <v>1</v>
      </c>
      <c r="S51" s="17">
        <v>2</v>
      </c>
      <c r="T51" s="14">
        <v>1</v>
      </c>
      <c r="U51" s="14">
        <v>2</v>
      </c>
      <c r="V51" s="17">
        <v>1</v>
      </c>
      <c r="W51" s="18">
        <v>1.1174816203765749</v>
      </c>
      <c r="X51" s="18">
        <v>1.0571100322939779</v>
      </c>
      <c r="Y51" s="19">
        <v>168.81097120678817</v>
      </c>
      <c r="Z51" s="19">
        <v>52.825201874233016</v>
      </c>
      <c r="AA51" s="19" t="s">
        <v>424</v>
      </c>
      <c r="AB51" s="16">
        <v>0.54347826086956519</v>
      </c>
      <c r="AC51" s="14" t="s">
        <v>422</v>
      </c>
      <c r="AD51" s="14">
        <v>1</v>
      </c>
      <c r="AE51" s="14">
        <v>2</v>
      </c>
      <c r="AF51" s="14">
        <v>1</v>
      </c>
      <c r="AG51" s="17">
        <v>2</v>
      </c>
      <c r="AH51" s="17">
        <v>1</v>
      </c>
      <c r="AI51" s="18">
        <v>1.1174816203765749</v>
      </c>
      <c r="AJ51" s="18">
        <v>1.0571100322939779</v>
      </c>
      <c r="AK51" s="19">
        <v>164.82814785048697</v>
      </c>
      <c r="AL51" s="19">
        <v>138.45564419440905</v>
      </c>
      <c r="AM51" s="19" t="s">
        <v>425</v>
      </c>
      <c r="AN51" s="16">
        <v>1</v>
      </c>
      <c r="AO51" s="14" t="s">
        <v>422</v>
      </c>
      <c r="AP51" s="14">
        <v>1</v>
      </c>
      <c r="AQ51" s="14">
        <v>2</v>
      </c>
      <c r="AR51" s="14">
        <v>1</v>
      </c>
      <c r="AS51" s="17">
        <v>2</v>
      </c>
      <c r="AT51" s="17">
        <v>1</v>
      </c>
      <c r="AU51" s="18">
        <v>1.1174816203765749</v>
      </c>
      <c r="AV51" s="18">
        <v>1.0571100322939779</v>
      </c>
      <c r="AW51" s="19">
        <v>-1</v>
      </c>
      <c r="AX51" s="19">
        <v>0</v>
      </c>
      <c r="AY51" s="19" t="s">
        <v>130</v>
      </c>
    </row>
    <row r="52" spans="1:51" x14ac:dyDescent="0.35">
      <c r="A52">
        <v>65</v>
      </c>
      <c r="B52" t="s">
        <v>426</v>
      </c>
      <c r="C52" t="s">
        <v>427</v>
      </c>
      <c r="D52" s="16">
        <v>0.646098758222026</v>
      </c>
      <c r="E52" s="14" t="s">
        <v>194</v>
      </c>
      <c r="F52" s="14">
        <v>3</v>
      </c>
      <c r="G52" s="14">
        <v>1</v>
      </c>
      <c r="H52" s="14">
        <v>1</v>
      </c>
      <c r="I52" s="14">
        <v>3</v>
      </c>
      <c r="J52" s="14">
        <v>3</v>
      </c>
      <c r="K52" s="18">
        <v>1.3713425173473328</v>
      </c>
      <c r="L52" s="18">
        <v>1.1710433456312934</v>
      </c>
      <c r="M52" s="19">
        <v>19.552792209602597</v>
      </c>
      <c r="N52" s="19">
        <v>10.710061511721932</v>
      </c>
      <c r="O52" s="19" t="s">
        <v>428</v>
      </c>
      <c r="P52" s="16">
        <v>0.8</v>
      </c>
      <c r="Q52" s="14" t="s">
        <v>196</v>
      </c>
      <c r="R52" s="14">
        <v>3</v>
      </c>
      <c r="S52" s="14">
        <v>3</v>
      </c>
      <c r="T52" s="14">
        <v>1</v>
      </c>
      <c r="U52" s="14">
        <v>3</v>
      </c>
      <c r="V52" s="14">
        <v>2</v>
      </c>
      <c r="W52" s="18">
        <v>1.3303783351797707</v>
      </c>
      <c r="X52" s="18">
        <v>1.1534202769068049</v>
      </c>
      <c r="Y52" s="19">
        <v>20.952262544849756</v>
      </c>
      <c r="Z52" s="19">
        <v>5.2380656362124371</v>
      </c>
      <c r="AA52" s="19" t="s">
        <v>235</v>
      </c>
      <c r="AB52" s="16">
        <v>0</v>
      </c>
      <c r="AC52" s="14" t="s">
        <v>196</v>
      </c>
      <c r="AD52" s="14">
        <v>1</v>
      </c>
      <c r="AE52" s="14">
        <v>3</v>
      </c>
      <c r="AF52" s="14">
        <v>1</v>
      </c>
      <c r="AG52" s="14">
        <v>3</v>
      </c>
      <c r="AH52" s="14">
        <v>2</v>
      </c>
      <c r="AI52" s="18">
        <v>1.2456465205819256</v>
      </c>
      <c r="AJ52" s="18">
        <v>1.1160853554195242</v>
      </c>
      <c r="AK52" s="19">
        <v>0</v>
      </c>
      <c r="AL52" s="19">
        <v>-1</v>
      </c>
      <c r="AM52" s="19" t="s">
        <v>145</v>
      </c>
      <c r="AN52" s="16">
        <v>1</v>
      </c>
      <c r="AO52" s="17" t="s">
        <v>236</v>
      </c>
      <c r="AP52" s="14">
        <v>1</v>
      </c>
      <c r="AQ52" s="14">
        <v>1</v>
      </c>
      <c r="AR52" s="14">
        <v>1</v>
      </c>
      <c r="AS52" s="14">
        <v>1</v>
      </c>
      <c r="AT52" s="14">
        <v>1</v>
      </c>
      <c r="AU52" s="18">
        <v>1.05</v>
      </c>
      <c r="AV52" s="18">
        <v>1.0246950765959599</v>
      </c>
      <c r="AW52" s="19">
        <v>-1</v>
      </c>
      <c r="AX52" s="19">
        <v>0</v>
      </c>
      <c r="AY52" s="19" t="s">
        <v>130</v>
      </c>
    </row>
    <row r="53" spans="1:51" x14ac:dyDescent="0.35">
      <c r="A53">
        <v>52</v>
      </c>
      <c r="B53" t="s">
        <v>429</v>
      </c>
      <c r="C53" t="s">
        <v>430</v>
      </c>
      <c r="D53" s="16">
        <v>4.5004500450044997E-2</v>
      </c>
      <c r="E53" s="17" t="s">
        <v>431</v>
      </c>
      <c r="F53" s="14">
        <v>1</v>
      </c>
      <c r="G53" s="14">
        <v>3</v>
      </c>
      <c r="H53" s="14">
        <v>1</v>
      </c>
      <c r="I53" s="17">
        <v>2</v>
      </c>
      <c r="J53" s="17">
        <v>1</v>
      </c>
      <c r="K53" s="18">
        <v>1.1409505340208952</v>
      </c>
      <c r="L53" s="18">
        <v>1.0681528607932926</v>
      </c>
      <c r="M53" s="19">
        <v>1.6207271045567859</v>
      </c>
      <c r="N53" s="19">
        <v>34.391829158695003</v>
      </c>
      <c r="O53" s="19" t="s">
        <v>432</v>
      </c>
      <c r="P53" s="16">
        <v>0.62101910828025475</v>
      </c>
      <c r="Q53" s="17" t="s">
        <v>431</v>
      </c>
      <c r="R53" s="14">
        <v>1</v>
      </c>
      <c r="S53" s="17">
        <v>3</v>
      </c>
      <c r="T53" s="14">
        <v>1</v>
      </c>
      <c r="U53" s="14">
        <v>2</v>
      </c>
      <c r="V53" s="17">
        <v>1</v>
      </c>
      <c r="W53" s="18">
        <v>1.1409505340208952</v>
      </c>
      <c r="X53" s="18">
        <v>1.0681528607932926</v>
      </c>
      <c r="Y53" s="19">
        <v>125.2480586442753</v>
      </c>
      <c r="Z53" s="19">
        <v>76.4334306598398</v>
      </c>
      <c r="AA53" s="19" t="s">
        <v>433</v>
      </c>
      <c r="AB53" s="16">
        <v>0.53781512605042014</v>
      </c>
      <c r="AC53" s="17" t="s">
        <v>431</v>
      </c>
      <c r="AD53" s="14">
        <v>1</v>
      </c>
      <c r="AE53" s="14">
        <v>3</v>
      </c>
      <c r="AF53" s="14">
        <v>1</v>
      </c>
      <c r="AG53" s="17">
        <v>2</v>
      </c>
      <c r="AH53" s="17">
        <v>1</v>
      </c>
      <c r="AI53" s="18">
        <v>1.1409505340208952</v>
      </c>
      <c r="AJ53" s="18">
        <v>1.0681528607932926</v>
      </c>
      <c r="AK53" s="19">
        <v>114.58822409132877</v>
      </c>
      <c r="AL53" s="19">
        <v>98.474255078485683</v>
      </c>
      <c r="AM53" s="19" t="s">
        <v>434</v>
      </c>
      <c r="AN53" s="16">
        <v>1</v>
      </c>
      <c r="AO53" s="17" t="s">
        <v>431</v>
      </c>
      <c r="AP53" s="14">
        <v>1</v>
      </c>
      <c r="AQ53" s="14">
        <v>3</v>
      </c>
      <c r="AR53" s="14">
        <v>1</v>
      </c>
      <c r="AS53" s="17">
        <v>2</v>
      </c>
      <c r="AT53" s="17">
        <v>1</v>
      </c>
      <c r="AU53" s="18">
        <v>1.1409505340208952</v>
      </c>
      <c r="AV53" s="18">
        <v>1.0681528607932926</v>
      </c>
      <c r="AW53" s="19">
        <v>-1</v>
      </c>
      <c r="AX53" s="19">
        <v>0</v>
      </c>
      <c r="AY53" s="19" t="s">
        <v>130</v>
      </c>
    </row>
    <row r="54" spans="1:51" x14ac:dyDescent="0.35">
      <c r="A54">
        <v>22</v>
      </c>
      <c r="B54" t="s">
        <v>435</v>
      </c>
      <c r="C54" t="s">
        <v>436</v>
      </c>
      <c r="D54" s="9">
        <v>0.85499999999999998</v>
      </c>
      <c r="E54" s="14" t="s">
        <v>437</v>
      </c>
      <c r="F54" s="14">
        <v>3</v>
      </c>
      <c r="G54" s="14">
        <v>4</v>
      </c>
      <c r="H54" s="14">
        <v>1</v>
      </c>
      <c r="I54" s="14">
        <v>2</v>
      </c>
      <c r="J54" s="14">
        <v>1</v>
      </c>
      <c r="K54" s="18">
        <v>1.2884684415322456</v>
      </c>
      <c r="L54" s="18">
        <v>1.135107237899682</v>
      </c>
      <c r="M54" s="19">
        <v>22.372527990602567</v>
      </c>
      <c r="N54" s="19">
        <v>3.7941714136109619</v>
      </c>
      <c r="O54" s="19" t="s">
        <v>438</v>
      </c>
      <c r="P54" s="16">
        <v>0.95</v>
      </c>
      <c r="Q54" s="14" t="s">
        <v>439</v>
      </c>
      <c r="R54" s="14">
        <v>3</v>
      </c>
      <c r="S54" s="14">
        <v>1</v>
      </c>
      <c r="T54" s="14">
        <v>1</v>
      </c>
      <c r="U54" s="14">
        <v>3</v>
      </c>
      <c r="V54" s="14">
        <v>1</v>
      </c>
      <c r="W54" s="18">
        <v>1.3000688016831126</v>
      </c>
      <c r="X54" s="18">
        <v>1.1402055962339039</v>
      </c>
      <c r="Y54" s="19">
        <v>8.2321949466505444</v>
      </c>
      <c r="Z54" s="19">
        <v>0.43327341824476595</v>
      </c>
      <c r="AA54" s="19" t="s">
        <v>160</v>
      </c>
      <c r="AB54" s="16">
        <v>0</v>
      </c>
      <c r="AC54" s="14" t="s">
        <v>440</v>
      </c>
      <c r="AD54" s="14">
        <v>1</v>
      </c>
      <c r="AE54" s="14">
        <v>1</v>
      </c>
      <c r="AF54" s="14">
        <v>1</v>
      </c>
      <c r="AG54" s="14">
        <v>1</v>
      </c>
      <c r="AH54" s="14">
        <v>1</v>
      </c>
      <c r="AI54" s="18">
        <v>1.05</v>
      </c>
      <c r="AJ54" s="18">
        <v>1.0246950765959599</v>
      </c>
      <c r="AK54" s="19">
        <v>0</v>
      </c>
      <c r="AL54" s="19">
        <v>-1</v>
      </c>
      <c r="AM54" s="19" t="s">
        <v>145</v>
      </c>
      <c r="AN54" s="16">
        <v>0.95</v>
      </c>
      <c r="AO54" s="14" t="s">
        <v>441</v>
      </c>
      <c r="AP54" s="14">
        <v>4</v>
      </c>
      <c r="AQ54" s="14">
        <v>1</v>
      </c>
      <c r="AR54" s="14">
        <v>1</v>
      </c>
      <c r="AS54" s="14">
        <v>3</v>
      </c>
      <c r="AT54" s="14">
        <v>1</v>
      </c>
      <c r="AU54" s="18">
        <v>1.4707782003422192</v>
      </c>
      <c r="AV54" s="18">
        <v>1.212756447248259</v>
      </c>
      <c r="AW54" s="19">
        <v>3.037601467121025</v>
      </c>
      <c r="AX54" s="19">
        <v>0.15987376142742252</v>
      </c>
      <c r="AY54" s="19" t="s">
        <v>160</v>
      </c>
    </row>
    <row r="55" spans="1:51" x14ac:dyDescent="0.35">
      <c r="A55">
        <v>81</v>
      </c>
      <c r="B55" t="s">
        <v>442</v>
      </c>
      <c r="C55" t="s">
        <v>443</v>
      </c>
      <c r="D55" s="16">
        <v>0.7</v>
      </c>
      <c r="E55" s="17" t="s">
        <v>165</v>
      </c>
      <c r="F55" s="14">
        <v>3</v>
      </c>
      <c r="G55" s="17">
        <v>4</v>
      </c>
      <c r="H55" s="17">
        <v>1</v>
      </c>
      <c r="I55" s="17">
        <v>3</v>
      </c>
      <c r="J55" s="17">
        <v>1</v>
      </c>
      <c r="K55" s="18">
        <v>1.3462392336889575</v>
      </c>
      <c r="L55" s="18">
        <v>1.1602754990470829</v>
      </c>
      <c r="M55" s="19">
        <v>22.189855468283788</v>
      </c>
      <c r="N55" s="19">
        <v>9.5099380578359103</v>
      </c>
      <c r="O55" s="19" t="s">
        <v>444</v>
      </c>
      <c r="P55" s="16">
        <v>1</v>
      </c>
      <c r="Q55" s="14" t="s">
        <v>159</v>
      </c>
      <c r="R55" s="14">
        <v>3</v>
      </c>
      <c r="S55" s="17">
        <v>1</v>
      </c>
      <c r="T55" s="17">
        <v>1</v>
      </c>
      <c r="U55" s="17">
        <v>3</v>
      </c>
      <c r="V55" s="17">
        <v>1</v>
      </c>
      <c r="W55" s="18">
        <v>1.3000688016831126</v>
      </c>
      <c r="X55" s="18">
        <v>1.1402055962339039</v>
      </c>
      <c r="Y55" s="19">
        <v>-1</v>
      </c>
      <c r="Z55" s="19">
        <v>0</v>
      </c>
      <c r="AA55" s="19" t="s">
        <v>130</v>
      </c>
      <c r="AB55" s="16">
        <v>0</v>
      </c>
      <c r="AC55" s="14" t="s">
        <v>161</v>
      </c>
      <c r="AD55" s="14">
        <v>1</v>
      </c>
      <c r="AE55" s="14">
        <v>1</v>
      </c>
      <c r="AF55" s="14">
        <v>1</v>
      </c>
      <c r="AG55" s="14">
        <v>1</v>
      </c>
      <c r="AH55" s="14">
        <v>1</v>
      </c>
      <c r="AI55" s="18">
        <v>1.05</v>
      </c>
      <c r="AJ55" s="18">
        <v>1.0246950765959599</v>
      </c>
      <c r="AK55" s="19">
        <v>0</v>
      </c>
      <c r="AL55" s="19">
        <v>-1</v>
      </c>
      <c r="AM55" s="19" t="s">
        <v>145</v>
      </c>
      <c r="AN55" s="16">
        <v>0</v>
      </c>
      <c r="AO55" s="17" t="s">
        <v>445</v>
      </c>
      <c r="AP55" s="14">
        <v>1</v>
      </c>
      <c r="AQ55" s="17">
        <v>1</v>
      </c>
      <c r="AR55" s="17">
        <v>1</v>
      </c>
      <c r="AS55" s="17">
        <v>1</v>
      </c>
      <c r="AT55" s="17">
        <v>1</v>
      </c>
      <c r="AU55" s="18">
        <v>1.05</v>
      </c>
      <c r="AV55" s="18">
        <v>1.0246950765959599</v>
      </c>
      <c r="AW55" s="19">
        <v>0</v>
      </c>
      <c r="AX55" s="19">
        <v>-1</v>
      </c>
      <c r="AY55" s="19" t="s">
        <v>145</v>
      </c>
    </row>
    <row r="56" spans="1:51" x14ac:dyDescent="0.35">
      <c r="A56">
        <v>69</v>
      </c>
      <c r="B56" t="s">
        <v>446</v>
      </c>
      <c r="C56" t="s">
        <v>447</v>
      </c>
      <c r="D56" s="16">
        <v>0.66776874123611263</v>
      </c>
      <c r="E56" s="14" t="s">
        <v>194</v>
      </c>
      <c r="F56" s="14">
        <v>4</v>
      </c>
      <c r="G56" s="14">
        <v>1</v>
      </c>
      <c r="H56" s="14">
        <v>1</v>
      </c>
      <c r="I56" s="14">
        <v>3</v>
      </c>
      <c r="J56" s="14">
        <v>3</v>
      </c>
      <c r="K56" s="18">
        <v>1.5279171865856971</v>
      </c>
      <c r="L56" s="18">
        <v>1.2360894735356729</v>
      </c>
      <c r="M56" s="19">
        <v>9.9638503075214313</v>
      </c>
      <c r="N56" s="19">
        <v>4.95725889126685</v>
      </c>
      <c r="O56" s="19" t="s">
        <v>448</v>
      </c>
      <c r="P56" s="16">
        <v>0.85</v>
      </c>
      <c r="Q56" s="14" t="s">
        <v>228</v>
      </c>
      <c r="R56" s="14">
        <v>3</v>
      </c>
      <c r="S56" s="14">
        <v>3</v>
      </c>
      <c r="T56" s="14">
        <v>1</v>
      </c>
      <c r="U56" s="14">
        <v>3</v>
      </c>
      <c r="V56" s="14">
        <v>3</v>
      </c>
      <c r="W56" s="18">
        <v>1.3840763218302521</v>
      </c>
      <c r="X56" s="18">
        <v>1.1764677308920344</v>
      </c>
      <c r="Y56" s="19">
        <v>13.070617457485042</v>
      </c>
      <c r="Z56" s="19">
        <v>2.3065795513208904</v>
      </c>
      <c r="AA56" s="19" t="s">
        <v>229</v>
      </c>
      <c r="AB56" s="16">
        <v>0</v>
      </c>
      <c r="AC56" s="17" t="s">
        <v>275</v>
      </c>
      <c r="AD56" s="14">
        <v>1</v>
      </c>
      <c r="AE56" s="14">
        <v>1</v>
      </c>
      <c r="AF56" s="14">
        <v>1</v>
      </c>
      <c r="AG56" s="14">
        <v>1</v>
      </c>
      <c r="AH56" s="14">
        <v>1</v>
      </c>
      <c r="AI56" s="18">
        <v>1.05</v>
      </c>
      <c r="AJ56" s="18">
        <v>1.0246950765959599</v>
      </c>
      <c r="AK56" s="19">
        <v>0</v>
      </c>
      <c r="AL56" s="19">
        <v>-1</v>
      </c>
      <c r="AM56" s="19" t="s">
        <v>145</v>
      </c>
      <c r="AN56" s="16">
        <v>0</v>
      </c>
      <c r="AO56" s="17" t="s">
        <v>275</v>
      </c>
      <c r="AP56" s="14">
        <v>1</v>
      </c>
      <c r="AQ56" s="14">
        <v>1</v>
      </c>
      <c r="AR56" s="14">
        <v>1</v>
      </c>
      <c r="AS56" s="14">
        <v>1</v>
      </c>
      <c r="AT56" s="14">
        <v>1</v>
      </c>
      <c r="AU56" s="18">
        <v>1.05</v>
      </c>
      <c r="AV56" s="18">
        <v>1.0246950765959599</v>
      </c>
      <c r="AW56" s="19">
        <v>0</v>
      </c>
      <c r="AX56" s="19">
        <v>-1</v>
      </c>
      <c r="AY56" s="19" t="s">
        <v>145</v>
      </c>
    </row>
    <row r="57" spans="1:51" x14ac:dyDescent="0.35">
      <c r="A57">
        <v>23</v>
      </c>
      <c r="B57" t="s">
        <v>449</v>
      </c>
      <c r="C57" t="s">
        <v>450</v>
      </c>
      <c r="D57" s="16">
        <v>0.32871262663701512</v>
      </c>
      <c r="E57" s="14" t="s">
        <v>451</v>
      </c>
      <c r="F57" s="14">
        <v>3</v>
      </c>
      <c r="G57" s="14">
        <v>2</v>
      </c>
      <c r="H57" s="14">
        <v>2</v>
      </c>
      <c r="I57" s="14">
        <v>3</v>
      </c>
      <c r="J57" s="14">
        <v>2</v>
      </c>
      <c r="K57" s="18">
        <v>1.3205569097851895</v>
      </c>
      <c r="L57" s="18">
        <v>1.1491548676245467</v>
      </c>
      <c r="M57" s="19">
        <v>12.712752400274214</v>
      </c>
      <c r="N57" s="19">
        <v>25.961613505092799</v>
      </c>
      <c r="O57" s="19" t="s">
        <v>452</v>
      </c>
      <c r="P57" s="16">
        <v>0.67602017011855364</v>
      </c>
      <c r="Q57" s="14" t="s">
        <v>453</v>
      </c>
      <c r="R57" s="14">
        <v>2</v>
      </c>
      <c r="S57" s="14">
        <v>3</v>
      </c>
      <c r="T57" s="14">
        <v>2</v>
      </c>
      <c r="U57" s="14">
        <v>3</v>
      </c>
      <c r="V57" s="14">
        <v>2</v>
      </c>
      <c r="W57" s="18">
        <v>1.2728507410871461</v>
      </c>
      <c r="X57" s="18">
        <v>1.1282068698102961</v>
      </c>
      <c r="Y57" s="19">
        <v>35.354844000097174</v>
      </c>
      <c r="Z57" s="19">
        <v>16.943660634604768</v>
      </c>
      <c r="AA57" s="19" t="s">
        <v>454</v>
      </c>
      <c r="AB57" s="20">
        <v>8.1639485728642117E-3</v>
      </c>
      <c r="AC57" s="14" t="s">
        <v>453</v>
      </c>
      <c r="AD57" s="14">
        <v>2</v>
      </c>
      <c r="AE57" s="14">
        <v>3</v>
      </c>
      <c r="AF57" s="14">
        <v>2</v>
      </c>
      <c r="AG57" s="14">
        <v>3</v>
      </c>
      <c r="AH57" s="14">
        <v>2</v>
      </c>
      <c r="AI57" s="18">
        <v>1.2728507410871461</v>
      </c>
      <c r="AJ57" s="18">
        <v>1.1282068698102961</v>
      </c>
      <c r="AK57" s="22">
        <v>7.9231531537781695E-3</v>
      </c>
      <c r="AL57" s="22">
        <v>0.9625818767423665</v>
      </c>
      <c r="AM57" s="19" t="s">
        <v>455</v>
      </c>
      <c r="AN57" s="16">
        <v>0.95</v>
      </c>
      <c r="AO57" s="14" t="s">
        <v>159</v>
      </c>
      <c r="AP57" s="14">
        <v>4</v>
      </c>
      <c r="AQ57" s="14">
        <v>1</v>
      </c>
      <c r="AR57" s="14">
        <v>1</v>
      </c>
      <c r="AS57" s="14">
        <v>3</v>
      </c>
      <c r="AT57" s="14">
        <v>1</v>
      </c>
      <c r="AU57" s="18">
        <v>1.4707782003422192</v>
      </c>
      <c r="AV57" s="18">
        <v>1.212756447248259</v>
      </c>
      <c r="AW57" s="19">
        <v>3.037601467121025</v>
      </c>
      <c r="AX57" s="19">
        <v>0.15987376142742252</v>
      </c>
      <c r="AY57" s="19" t="s">
        <v>160</v>
      </c>
    </row>
    <row r="58" spans="1:51" x14ac:dyDescent="0.35">
      <c r="A58">
        <v>74</v>
      </c>
      <c r="B58" t="s">
        <v>456</v>
      </c>
      <c r="C58" t="s">
        <v>457</v>
      </c>
      <c r="D58" s="16">
        <v>0.88571428571428568</v>
      </c>
      <c r="E58" s="17" t="s">
        <v>371</v>
      </c>
      <c r="F58" s="14">
        <v>2</v>
      </c>
      <c r="G58" s="14">
        <v>3</v>
      </c>
      <c r="H58" s="14">
        <v>1</v>
      </c>
      <c r="I58" s="17">
        <v>2</v>
      </c>
      <c r="J58" s="17">
        <v>1</v>
      </c>
      <c r="K58" s="18">
        <v>1.1766845455095114</v>
      </c>
      <c r="L58" s="18">
        <v>1.0847509140394911</v>
      </c>
      <c r="M58" s="19">
        <v>49.043008398162307</v>
      </c>
      <c r="N58" s="19">
        <v>6.3281301158919137</v>
      </c>
      <c r="O58" s="19" t="s">
        <v>458</v>
      </c>
      <c r="P58" s="16">
        <v>0.90322580645161288</v>
      </c>
      <c r="Q58" s="17" t="s">
        <v>371</v>
      </c>
      <c r="R58" s="14">
        <v>1</v>
      </c>
      <c r="S58" s="17">
        <v>3</v>
      </c>
      <c r="T58" s="14">
        <v>1</v>
      </c>
      <c r="U58" s="14">
        <v>2</v>
      </c>
      <c r="V58" s="17">
        <v>1</v>
      </c>
      <c r="W58" s="18">
        <v>1.1409505340208952</v>
      </c>
      <c r="X58" s="18">
        <v>1.0681528607932926</v>
      </c>
      <c r="Y58" s="19">
        <v>67.086618415261199</v>
      </c>
      <c r="Z58" s="19">
        <v>7.1878519730637018</v>
      </c>
      <c r="AA58" s="19" t="s">
        <v>459</v>
      </c>
      <c r="AB58" s="16">
        <v>1</v>
      </c>
      <c r="AC58" s="17" t="s">
        <v>371</v>
      </c>
      <c r="AD58" s="14">
        <v>1</v>
      </c>
      <c r="AE58" s="14">
        <v>3</v>
      </c>
      <c r="AF58" s="14">
        <v>1</v>
      </c>
      <c r="AG58" s="17">
        <v>2</v>
      </c>
      <c r="AH58" s="17">
        <v>1</v>
      </c>
      <c r="AI58" s="18">
        <v>1.1409505340208952</v>
      </c>
      <c r="AJ58" s="18">
        <v>1.0681528607932926</v>
      </c>
      <c r="AK58" s="19">
        <v>-1</v>
      </c>
      <c r="AL58" s="19">
        <v>0</v>
      </c>
      <c r="AM58" s="19" t="s">
        <v>130</v>
      </c>
      <c r="AN58" s="16">
        <v>1</v>
      </c>
      <c r="AO58" s="17" t="s">
        <v>371</v>
      </c>
      <c r="AP58" s="14">
        <v>1</v>
      </c>
      <c r="AQ58" s="14">
        <v>3</v>
      </c>
      <c r="AR58" s="14">
        <v>1</v>
      </c>
      <c r="AS58" s="17">
        <v>2</v>
      </c>
      <c r="AT58" s="17">
        <v>1</v>
      </c>
      <c r="AU58" s="18">
        <v>1.1409505340208952</v>
      </c>
      <c r="AV58" s="18">
        <v>1.0681528607932926</v>
      </c>
      <c r="AW58" s="19">
        <v>-1</v>
      </c>
      <c r="AX58" s="19">
        <v>0</v>
      </c>
      <c r="AY58" s="19" t="s">
        <v>130</v>
      </c>
    </row>
    <row r="59" spans="1:51" x14ac:dyDescent="0.35">
      <c r="A59">
        <v>39</v>
      </c>
      <c r="B59" t="s">
        <v>460</v>
      </c>
      <c r="C59" t="s">
        <v>461</v>
      </c>
      <c r="D59" s="16">
        <v>0.66407609108685794</v>
      </c>
      <c r="E59" s="14" t="s">
        <v>194</v>
      </c>
      <c r="F59" s="14">
        <v>3</v>
      </c>
      <c r="G59" s="14">
        <v>1</v>
      </c>
      <c r="H59" s="14">
        <v>1</v>
      </c>
      <c r="I59" s="14">
        <v>3</v>
      </c>
      <c r="J59" s="14">
        <v>3</v>
      </c>
      <c r="K59" s="18">
        <v>1.3713425173473328</v>
      </c>
      <c r="L59" s="18">
        <v>1.1710433456312934</v>
      </c>
      <c r="M59" s="19">
        <v>19.590549982058779</v>
      </c>
      <c r="N59" s="19">
        <v>9.9099097468797677</v>
      </c>
      <c r="O59" s="19" t="s">
        <v>462</v>
      </c>
      <c r="P59" s="16">
        <v>0.84799999999999998</v>
      </c>
      <c r="Q59" s="14" t="s">
        <v>196</v>
      </c>
      <c r="R59" s="14">
        <v>1</v>
      </c>
      <c r="S59" s="14">
        <v>3</v>
      </c>
      <c r="T59" s="14">
        <v>1</v>
      </c>
      <c r="U59" s="14">
        <v>3</v>
      </c>
      <c r="V59" s="14">
        <v>2</v>
      </c>
      <c r="W59" s="18">
        <v>1.2456465205819256</v>
      </c>
      <c r="X59" s="18">
        <v>1.1160853554195242</v>
      </c>
      <c r="Y59" s="19">
        <v>31.596449746783726</v>
      </c>
      <c r="Z59" s="19">
        <v>5.6635145772536877</v>
      </c>
      <c r="AA59" s="19" t="s">
        <v>463</v>
      </c>
      <c r="AB59" s="16">
        <v>0</v>
      </c>
      <c r="AC59" s="14" t="s">
        <v>196</v>
      </c>
      <c r="AD59" s="14">
        <v>1</v>
      </c>
      <c r="AE59" s="14">
        <v>3</v>
      </c>
      <c r="AF59" s="14">
        <v>1</v>
      </c>
      <c r="AG59" s="14">
        <v>3</v>
      </c>
      <c r="AH59" s="14">
        <v>2</v>
      </c>
      <c r="AI59" s="18">
        <v>1.2456465205819256</v>
      </c>
      <c r="AJ59" s="18">
        <v>1.1160853554195242</v>
      </c>
      <c r="AK59" s="19">
        <v>0</v>
      </c>
      <c r="AL59" s="19">
        <v>-1</v>
      </c>
      <c r="AM59" s="19" t="s">
        <v>145</v>
      </c>
      <c r="AN59" s="16">
        <v>1</v>
      </c>
      <c r="AO59" s="17" t="s">
        <v>198</v>
      </c>
      <c r="AP59" s="14">
        <v>1</v>
      </c>
      <c r="AQ59" s="14">
        <v>1</v>
      </c>
      <c r="AR59" s="14">
        <v>1</v>
      </c>
      <c r="AS59" s="14">
        <v>1</v>
      </c>
      <c r="AT59" s="14">
        <v>1</v>
      </c>
      <c r="AU59" s="18">
        <v>1.05</v>
      </c>
      <c r="AV59" s="18">
        <v>1.0246950765959599</v>
      </c>
      <c r="AW59" s="19">
        <v>-1</v>
      </c>
      <c r="AX59" s="19">
        <v>0</v>
      </c>
      <c r="AY59" s="19" t="s">
        <v>130</v>
      </c>
    </row>
    <row r="60" spans="1:51" x14ac:dyDescent="0.35">
      <c r="A60">
        <v>70</v>
      </c>
      <c r="B60" t="s">
        <v>464</v>
      </c>
      <c r="C60" t="s">
        <v>465</v>
      </c>
      <c r="D60" s="16">
        <v>0.66627271297591706</v>
      </c>
      <c r="E60" s="14" t="s">
        <v>194</v>
      </c>
      <c r="F60" s="14">
        <v>4</v>
      </c>
      <c r="G60" s="14">
        <v>1</v>
      </c>
      <c r="H60" s="14">
        <v>1</v>
      </c>
      <c r="I60" s="14">
        <v>3</v>
      </c>
      <c r="J60" s="14">
        <v>3</v>
      </c>
      <c r="K60" s="18">
        <v>1.5279171865856971</v>
      </c>
      <c r="L60" s="18">
        <v>1.2360894735356729</v>
      </c>
      <c r="M60" s="19">
        <v>9.9654224607932331</v>
      </c>
      <c r="N60" s="19">
        <v>4.9915497620110365</v>
      </c>
      <c r="O60" s="19" t="s">
        <v>466</v>
      </c>
      <c r="P60" s="16">
        <v>0.85</v>
      </c>
      <c r="Q60" s="14" t="s">
        <v>228</v>
      </c>
      <c r="R60" s="14">
        <v>3</v>
      </c>
      <c r="S60" s="14">
        <v>3</v>
      </c>
      <c r="T60" s="14">
        <v>1</v>
      </c>
      <c r="U60" s="14">
        <v>3</v>
      </c>
      <c r="V60" s="14">
        <v>3</v>
      </c>
      <c r="W60" s="18">
        <v>1.3840763218302521</v>
      </c>
      <c r="X60" s="18">
        <v>1.1764677308920344</v>
      </c>
      <c r="Y60" s="19">
        <v>13.070617457485042</v>
      </c>
      <c r="Z60" s="19">
        <v>2.3065795513208904</v>
      </c>
      <c r="AA60" s="19" t="s">
        <v>229</v>
      </c>
      <c r="AB60" s="16">
        <v>0</v>
      </c>
      <c r="AC60" s="17" t="s">
        <v>275</v>
      </c>
      <c r="AD60" s="14">
        <v>1</v>
      </c>
      <c r="AE60" s="14">
        <v>1</v>
      </c>
      <c r="AF60" s="14">
        <v>1</v>
      </c>
      <c r="AG60" s="14">
        <v>1</v>
      </c>
      <c r="AH60" s="14">
        <v>1</v>
      </c>
      <c r="AI60" s="18">
        <v>1.05</v>
      </c>
      <c r="AJ60" s="18">
        <v>1.0246950765959599</v>
      </c>
      <c r="AK60" s="19">
        <v>0</v>
      </c>
      <c r="AL60" s="19">
        <v>-1</v>
      </c>
      <c r="AM60" s="19" t="s">
        <v>145</v>
      </c>
      <c r="AN60" s="16">
        <v>0</v>
      </c>
      <c r="AO60" s="17" t="s">
        <v>275</v>
      </c>
      <c r="AP60" s="14">
        <v>1</v>
      </c>
      <c r="AQ60" s="14">
        <v>1</v>
      </c>
      <c r="AR60" s="14">
        <v>1</v>
      </c>
      <c r="AS60" s="14">
        <v>1</v>
      </c>
      <c r="AT60" s="14">
        <v>1</v>
      </c>
      <c r="AU60" s="18">
        <v>1.05</v>
      </c>
      <c r="AV60" s="18">
        <v>1.0246950765959599</v>
      </c>
      <c r="AW60" s="19">
        <v>0</v>
      </c>
      <c r="AX60" s="19">
        <v>-1</v>
      </c>
      <c r="AY60" s="19" t="s">
        <v>145</v>
      </c>
    </row>
    <row r="61" spans="1:51" x14ac:dyDescent="0.35">
      <c r="A61">
        <v>30</v>
      </c>
      <c r="B61" t="s">
        <v>467</v>
      </c>
      <c r="C61" t="s">
        <v>468</v>
      </c>
      <c r="D61" s="16">
        <v>0.83780160857908847</v>
      </c>
      <c r="E61" s="17" t="s">
        <v>469</v>
      </c>
      <c r="F61" s="14">
        <v>1</v>
      </c>
      <c r="G61" s="14">
        <v>3</v>
      </c>
      <c r="H61" s="14">
        <v>1</v>
      </c>
      <c r="I61" s="17">
        <v>2</v>
      </c>
      <c r="J61" s="17">
        <v>1</v>
      </c>
      <c r="K61" s="18">
        <v>1.1409505340208952</v>
      </c>
      <c r="L61" s="18">
        <v>1.0681528607932926</v>
      </c>
      <c r="M61" s="19">
        <v>97.206133264302807</v>
      </c>
      <c r="N61" s="19">
        <v>18.819107399969024</v>
      </c>
      <c r="O61" s="19" t="s">
        <v>470</v>
      </c>
      <c r="P61" s="16">
        <v>0.77844311377245512</v>
      </c>
      <c r="Q61" s="17" t="s">
        <v>469</v>
      </c>
      <c r="R61" s="14">
        <v>1</v>
      </c>
      <c r="S61" s="17">
        <v>3</v>
      </c>
      <c r="T61" s="14">
        <v>1</v>
      </c>
      <c r="U61" s="14">
        <v>2</v>
      </c>
      <c r="V61" s="17">
        <v>1</v>
      </c>
      <c r="W61" s="18">
        <v>1.1409505340208952</v>
      </c>
      <c r="X61" s="18">
        <v>1.0681528607932926</v>
      </c>
      <c r="Y61" s="19">
        <v>114.84098727753249</v>
      </c>
      <c r="Z61" s="19">
        <v>32.685511763605398</v>
      </c>
      <c r="AA61" s="19" t="s">
        <v>471</v>
      </c>
      <c r="AB61" s="16">
        <v>0.91286307053941906</v>
      </c>
      <c r="AC61" s="17" t="s">
        <v>469</v>
      </c>
      <c r="AD61" s="14">
        <v>1</v>
      </c>
      <c r="AE61" s="14">
        <v>3</v>
      </c>
      <c r="AF61" s="14">
        <v>1</v>
      </c>
      <c r="AG61" s="17">
        <v>2</v>
      </c>
      <c r="AH61" s="17">
        <v>1</v>
      </c>
      <c r="AI61" s="18">
        <v>1.1409505340208952</v>
      </c>
      <c r="AJ61" s="18">
        <v>1.0681528607932926</v>
      </c>
      <c r="AK61" s="19">
        <v>61.619571717197687</v>
      </c>
      <c r="AL61" s="19">
        <v>5.8818682093688723</v>
      </c>
      <c r="AM61" s="19" t="s">
        <v>472</v>
      </c>
      <c r="AN61" s="16">
        <v>0.63840399002493764</v>
      </c>
      <c r="AO61" s="17" t="s">
        <v>469</v>
      </c>
      <c r="AP61" s="14">
        <v>1</v>
      </c>
      <c r="AQ61" s="14">
        <v>3</v>
      </c>
      <c r="AR61" s="14">
        <v>1</v>
      </c>
      <c r="AS61" s="17">
        <v>2</v>
      </c>
      <c r="AT61" s="17">
        <v>1</v>
      </c>
      <c r="AU61" s="18">
        <v>1.1409505340208952</v>
      </c>
      <c r="AV61" s="18">
        <v>1.0681528607932926</v>
      </c>
      <c r="AW61" s="19">
        <v>126.27474651577491</v>
      </c>
      <c r="AX61" s="19">
        <v>71.522805643700636</v>
      </c>
      <c r="AY61" s="19" t="s">
        <v>473</v>
      </c>
    </row>
    <row r="62" spans="1:51" x14ac:dyDescent="0.35">
      <c r="A62">
        <v>40</v>
      </c>
      <c r="B62" t="s">
        <v>474</v>
      </c>
      <c r="C62" t="s">
        <v>475</v>
      </c>
      <c r="D62" s="9">
        <v>0.85499999999999998</v>
      </c>
      <c r="E62" s="14" t="s">
        <v>476</v>
      </c>
      <c r="F62" s="14">
        <v>2</v>
      </c>
      <c r="G62" s="14">
        <v>1</v>
      </c>
      <c r="H62" s="14">
        <v>2</v>
      </c>
      <c r="I62" s="17">
        <v>2</v>
      </c>
      <c r="J62" s="17">
        <v>1</v>
      </c>
      <c r="K62" s="18">
        <v>1.1576168639056454</v>
      </c>
      <c r="L62" s="18">
        <v>1.0759260494595553</v>
      </c>
      <c r="M62" s="19">
        <v>72.694312242624591</v>
      </c>
      <c r="N62" s="19">
        <v>12.328275175649786</v>
      </c>
      <c r="O62" s="19" t="s">
        <v>477</v>
      </c>
      <c r="P62" s="16">
        <v>0.95</v>
      </c>
      <c r="Q62" s="14" t="s">
        <v>159</v>
      </c>
      <c r="R62" s="14">
        <v>3</v>
      </c>
      <c r="S62" s="17">
        <v>1</v>
      </c>
      <c r="T62" s="14">
        <v>1</v>
      </c>
      <c r="U62" s="14">
        <v>3</v>
      </c>
      <c r="V62" s="17">
        <v>1</v>
      </c>
      <c r="W62" s="18">
        <v>1.3000688016831126</v>
      </c>
      <c r="X62" s="18">
        <v>1.1402055962339039</v>
      </c>
      <c r="Y62" s="19">
        <v>8.2321949466505444</v>
      </c>
      <c r="Z62" s="19">
        <v>0.43327341824476595</v>
      </c>
      <c r="AA62" s="19" t="s">
        <v>160</v>
      </c>
      <c r="AB62" s="16">
        <v>0</v>
      </c>
      <c r="AC62" s="17" t="s">
        <v>478</v>
      </c>
      <c r="AD62" s="14">
        <v>2</v>
      </c>
      <c r="AE62" s="14">
        <v>1</v>
      </c>
      <c r="AF62" s="14">
        <v>1</v>
      </c>
      <c r="AG62" s="17">
        <v>3</v>
      </c>
      <c r="AH62" s="17">
        <v>1</v>
      </c>
      <c r="AI62" s="18">
        <v>1.2354522921220721</v>
      </c>
      <c r="AJ62" s="18">
        <v>1.1115090157628376</v>
      </c>
      <c r="AK62" s="19">
        <v>0</v>
      </c>
      <c r="AL62" s="19">
        <v>-1</v>
      </c>
      <c r="AM62" s="19" t="s">
        <v>145</v>
      </c>
      <c r="AN62" s="16">
        <v>1</v>
      </c>
      <c r="AO62" s="14" t="s">
        <v>479</v>
      </c>
      <c r="AP62" s="14">
        <v>1</v>
      </c>
      <c r="AQ62" s="14">
        <v>1</v>
      </c>
      <c r="AR62" s="14">
        <v>1</v>
      </c>
      <c r="AS62" s="17">
        <v>1</v>
      </c>
      <c r="AT62" s="17">
        <v>1</v>
      </c>
      <c r="AU62" s="18">
        <v>1.05</v>
      </c>
      <c r="AV62" s="18">
        <v>1.0246950765959599</v>
      </c>
      <c r="AW62" s="19">
        <v>-1</v>
      </c>
      <c r="AX62" s="19">
        <v>0</v>
      </c>
      <c r="AY62" s="19"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README</vt:lpstr>
      <vt:lpstr>Data_to_couple_w_LCI</vt:lpstr>
      <vt:lpstr>Result_notebook_retravaill</vt:lpstr>
      <vt:lpstr>Result_notebook</vt:lpstr>
      <vt:lpstr>SUPPLY</vt:lpstr>
      <vt:lpstr>DEMAND</vt:lpstr>
      <vt:lpstr>PRODUCTION</vt:lpstr>
      <vt:lpstr>Associated_LCIs</vt:lpstr>
      <vt:lpstr>EQ_LCA_results</vt:lpstr>
      <vt:lpstr>HH_LCA_results</vt:lpstr>
      <vt:lpstr>GWP_LCA_results</vt:lpstr>
      <vt:lpstr>National_production</vt:lpstr>
      <vt:lpstr>Production_yield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2026-05-25T10:15:54Z</dcterms:modified>
</cp:coreProperties>
</file>