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"/>
    </mc:Choice>
  </mc:AlternateContent>
  <xr:revisionPtr revIDLastSave="8" documentId="13_ncr:1_{D73EABFE-5DA0-4A68-BDDA-E91B083C991F}" xr6:coauthVersionLast="47" xr6:coauthVersionMax="47" xr10:uidLastSave="{B40FEE49-BC34-469E-80FA-F3BB2E3783A0}"/>
  <bookViews>
    <workbookView xWindow="-120" yWindow="-120" windowWidth="29040" windowHeight="15720" firstSheet="2" activeTab="2" xr2:uid="{00000000-000D-0000-FFFF-FFFF00000000}"/>
  </bookViews>
  <sheets>
    <sheet name="Overall results" sheetId="1" r:id="rId1"/>
    <sheet name="Contribution 1. Labor" sheetId="5" r:id="rId2"/>
    <sheet name="Feuil1" sheetId="10" r:id="rId3"/>
    <sheet name="Contribution 2. Health &amp; safety" sheetId="6" r:id="rId4"/>
    <sheet name="Contribution 3. Society" sheetId="7" r:id="rId5"/>
    <sheet name="Contribution 4. Governance" sheetId="8" r:id="rId6"/>
    <sheet name="Contribution 5. Community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9" l="1"/>
  <c r="U4" i="9" s="1"/>
  <c r="T3" i="9"/>
  <c r="T4" i="9" s="1"/>
  <c r="S3" i="9"/>
  <c r="P3" i="9"/>
  <c r="P4" i="9" s="1"/>
  <c r="M3" i="9"/>
  <c r="M4" i="9" s="1"/>
  <c r="L3" i="9"/>
  <c r="L4" i="9" s="1"/>
  <c r="K3" i="9"/>
  <c r="K4" i="9" s="1"/>
  <c r="H3" i="9"/>
  <c r="H4" i="9" s="1"/>
  <c r="E3" i="9"/>
  <c r="E4" i="9" s="1"/>
  <c r="D3" i="9"/>
  <c r="D4" i="9" s="1"/>
  <c r="C3" i="9"/>
  <c r="U2" i="9"/>
  <c r="T2" i="9"/>
  <c r="P2" i="9"/>
  <c r="O2" i="9"/>
  <c r="M2" i="9"/>
  <c r="L2" i="9"/>
  <c r="H2" i="9"/>
  <c r="G2" i="9"/>
  <c r="E2" i="9"/>
  <c r="D2" i="9"/>
  <c r="U3" i="8"/>
  <c r="U4" i="8" s="1"/>
  <c r="T3" i="8"/>
  <c r="Q3" i="8"/>
  <c r="Q4" i="8" s="1"/>
  <c r="P3" i="8"/>
  <c r="P4" i="8" s="1"/>
  <c r="M3" i="8"/>
  <c r="M4" i="8" s="1"/>
  <c r="L3" i="8"/>
  <c r="I3" i="8"/>
  <c r="I4" i="8" s="1"/>
  <c r="H3" i="8"/>
  <c r="H4" i="8" s="1"/>
  <c r="E3" i="8"/>
  <c r="E4" i="8" s="1"/>
  <c r="D3" i="8"/>
  <c r="U2" i="8"/>
  <c r="T2" i="8"/>
  <c r="T4" i="8" s="1"/>
  <c r="Q2" i="8"/>
  <c r="P2" i="8"/>
  <c r="M2" i="8"/>
  <c r="L2" i="8"/>
  <c r="L4" i="8" s="1"/>
  <c r="I2" i="8"/>
  <c r="H2" i="8"/>
  <c r="E2" i="8"/>
  <c r="D2" i="8"/>
  <c r="D4" i="8" s="1"/>
  <c r="U2" i="7"/>
  <c r="T2" i="7"/>
  <c r="N2" i="7"/>
  <c r="M2" i="7"/>
  <c r="L2" i="7"/>
  <c r="K2" i="7"/>
  <c r="F2" i="7"/>
  <c r="E2" i="7"/>
  <c r="D2" i="7"/>
  <c r="C2" i="7"/>
  <c r="U8" i="9"/>
  <c r="T8" i="9"/>
  <c r="S8" i="9"/>
  <c r="S2" i="9" s="1"/>
  <c r="R8" i="9"/>
  <c r="R2" i="9" s="1"/>
  <c r="Q8" i="9"/>
  <c r="Q2" i="9" s="1"/>
  <c r="P8" i="9"/>
  <c r="O8" i="9"/>
  <c r="O3" i="9" s="1"/>
  <c r="O4" i="9" s="1"/>
  <c r="N8" i="9"/>
  <c r="N3" i="9" s="1"/>
  <c r="M8" i="9"/>
  <c r="L8" i="9"/>
  <c r="K8" i="9"/>
  <c r="K2" i="9" s="1"/>
  <c r="J8" i="9"/>
  <c r="J2" i="9" s="1"/>
  <c r="I8" i="9"/>
  <c r="I2" i="9" s="1"/>
  <c r="H8" i="9"/>
  <c r="G8" i="9"/>
  <c r="G3" i="9" s="1"/>
  <c r="G4" i="9" s="1"/>
  <c r="F8" i="9"/>
  <c r="F3" i="9" s="1"/>
  <c r="E8" i="9"/>
  <c r="D8" i="9"/>
  <c r="C8" i="9"/>
  <c r="C2" i="9" s="1"/>
  <c r="B8" i="9"/>
  <c r="B2" i="9" s="1"/>
  <c r="U8" i="8"/>
  <c r="T8" i="8"/>
  <c r="S8" i="8"/>
  <c r="S2" i="8" s="1"/>
  <c r="R8" i="8"/>
  <c r="R2" i="8" s="1"/>
  <c r="Q8" i="8"/>
  <c r="P8" i="8"/>
  <c r="O8" i="8"/>
  <c r="O3" i="8" s="1"/>
  <c r="N8" i="8"/>
  <c r="N3" i="8" s="1"/>
  <c r="M8" i="8"/>
  <c r="L8" i="8"/>
  <c r="K8" i="8"/>
  <c r="K2" i="8" s="1"/>
  <c r="J8" i="8"/>
  <c r="J2" i="8" s="1"/>
  <c r="I8" i="8"/>
  <c r="H8" i="8"/>
  <c r="G8" i="8"/>
  <c r="G3" i="8" s="1"/>
  <c r="F8" i="8"/>
  <c r="F3" i="8" s="1"/>
  <c r="E8" i="8"/>
  <c r="D8" i="8"/>
  <c r="C8" i="8"/>
  <c r="C2" i="8" s="1"/>
  <c r="B8" i="8"/>
  <c r="B2" i="8" s="1"/>
  <c r="U8" i="7"/>
  <c r="U3" i="7" s="1"/>
  <c r="U4" i="7" s="1"/>
  <c r="T8" i="7"/>
  <c r="T3" i="7" s="1"/>
  <c r="T4" i="7" s="1"/>
  <c r="S8" i="7"/>
  <c r="S3" i="7" s="1"/>
  <c r="R8" i="7"/>
  <c r="R2" i="7" s="1"/>
  <c r="Q8" i="7"/>
  <c r="Q3" i="7" s="1"/>
  <c r="P8" i="7"/>
  <c r="P3" i="7" s="1"/>
  <c r="O8" i="7"/>
  <c r="O2" i="7" s="1"/>
  <c r="N8" i="7"/>
  <c r="N3" i="7" s="1"/>
  <c r="N4" i="7" s="1"/>
  <c r="M8" i="7"/>
  <c r="M3" i="7" s="1"/>
  <c r="M4" i="7" s="1"/>
  <c r="L8" i="7"/>
  <c r="L3" i="7" s="1"/>
  <c r="L4" i="7" s="1"/>
  <c r="K8" i="7"/>
  <c r="K3" i="7" s="1"/>
  <c r="K4" i="7" s="1"/>
  <c r="J8" i="7"/>
  <c r="J2" i="7" s="1"/>
  <c r="I8" i="7"/>
  <c r="I3" i="7" s="1"/>
  <c r="H8" i="7"/>
  <c r="H3" i="7" s="1"/>
  <c r="G8" i="7"/>
  <c r="G2" i="7" s="1"/>
  <c r="F8" i="7"/>
  <c r="F3" i="7" s="1"/>
  <c r="F4" i="7" s="1"/>
  <c r="E8" i="7"/>
  <c r="E3" i="7" s="1"/>
  <c r="E4" i="7" s="1"/>
  <c r="D8" i="7"/>
  <c r="D3" i="7" s="1"/>
  <c r="D4" i="7" s="1"/>
  <c r="C8" i="7"/>
  <c r="C3" i="7" s="1"/>
  <c r="C4" i="7" s="1"/>
  <c r="B8" i="7"/>
  <c r="B2" i="7" s="1"/>
  <c r="C4" i="9" l="1"/>
  <c r="S4" i="9"/>
  <c r="I3" i="9"/>
  <c r="I4" i="9" s="1"/>
  <c r="Q3" i="9"/>
  <c r="Q4" i="9" s="1"/>
  <c r="F2" i="9"/>
  <c r="F4" i="9" s="1"/>
  <c r="N2" i="9"/>
  <c r="N4" i="9" s="1"/>
  <c r="B3" i="9"/>
  <c r="B4" i="9" s="1"/>
  <c r="J3" i="9"/>
  <c r="J4" i="9" s="1"/>
  <c r="R3" i="9"/>
  <c r="R4" i="9" s="1"/>
  <c r="G4" i="8"/>
  <c r="O4" i="8"/>
  <c r="F2" i="8"/>
  <c r="F4" i="8" s="1"/>
  <c r="N2" i="8"/>
  <c r="N4" i="8" s="1"/>
  <c r="B3" i="8"/>
  <c r="B4" i="8" s="1"/>
  <c r="J3" i="8"/>
  <c r="J4" i="8" s="1"/>
  <c r="R3" i="8"/>
  <c r="R4" i="8" s="1"/>
  <c r="G2" i="8"/>
  <c r="O2" i="8"/>
  <c r="C3" i="8"/>
  <c r="C4" i="8" s="1"/>
  <c r="K3" i="8"/>
  <c r="K4" i="8" s="1"/>
  <c r="S3" i="8"/>
  <c r="S4" i="8" s="1"/>
  <c r="H4" i="7"/>
  <c r="I4" i="7"/>
  <c r="S2" i="7"/>
  <c r="S4" i="7" s="1"/>
  <c r="G3" i="7"/>
  <c r="G4" i="7" s="1"/>
  <c r="O3" i="7"/>
  <c r="O4" i="7" s="1"/>
  <c r="B3" i="7"/>
  <c r="B4" i="7" s="1"/>
  <c r="J3" i="7"/>
  <c r="J4" i="7" s="1"/>
  <c r="R3" i="7"/>
  <c r="R4" i="7" s="1"/>
  <c r="H2" i="7"/>
  <c r="P2" i="7"/>
  <c r="P4" i="7" s="1"/>
  <c r="I2" i="7"/>
  <c r="Q2" i="7"/>
  <c r="Q4" i="7" s="1"/>
  <c r="U3" i="6" l="1"/>
  <c r="U4" i="6" s="1"/>
  <c r="T3" i="6"/>
  <c r="S3" i="6"/>
  <c r="S4" i="6" s="1"/>
  <c r="R3" i="6"/>
  <c r="R4" i="6" s="1"/>
  <c r="Q3" i="6"/>
  <c r="Q4" i="6" s="1"/>
  <c r="P3" i="6"/>
  <c r="P4" i="6" s="1"/>
  <c r="O3" i="6"/>
  <c r="N3" i="6"/>
  <c r="N4" i="6" s="1"/>
  <c r="M3" i="6"/>
  <c r="L3" i="6"/>
  <c r="K3" i="6"/>
  <c r="K4" i="6" s="1"/>
  <c r="J3" i="6"/>
  <c r="J4" i="6" s="1"/>
  <c r="I3" i="6"/>
  <c r="I4" i="6" s="1"/>
  <c r="H3" i="6"/>
  <c r="H4" i="6" s="1"/>
  <c r="G3" i="6"/>
  <c r="F3" i="6"/>
  <c r="F4" i="6" s="1"/>
  <c r="E3" i="6"/>
  <c r="D3" i="6"/>
  <c r="C3" i="6"/>
  <c r="C4" i="6" s="1"/>
  <c r="B3" i="6"/>
  <c r="B4" i="6" s="1"/>
  <c r="U2" i="6"/>
  <c r="T2" i="6"/>
  <c r="T4" i="6" s="1"/>
  <c r="S2" i="6"/>
  <c r="R2" i="6"/>
  <c r="Q2" i="6"/>
  <c r="P2" i="6"/>
  <c r="O2" i="6"/>
  <c r="O4" i="6" s="1"/>
  <c r="N2" i="6"/>
  <c r="M2" i="6"/>
  <c r="M4" i="6" s="1"/>
  <c r="L2" i="6"/>
  <c r="L4" i="6" s="1"/>
  <c r="K2" i="6"/>
  <c r="J2" i="6"/>
  <c r="I2" i="6"/>
  <c r="H2" i="6"/>
  <c r="G2" i="6"/>
  <c r="G4" i="6" s="1"/>
  <c r="F2" i="6"/>
  <c r="E2" i="6"/>
  <c r="E4" i="6" s="1"/>
  <c r="D2" i="6"/>
  <c r="D4" i="6" s="1"/>
  <c r="C2" i="6"/>
  <c r="B2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B8" i="6"/>
  <c r="G3" i="5"/>
  <c r="U3" i="5"/>
  <c r="Q3" i="5"/>
  <c r="K3" i="5"/>
  <c r="T3" i="5"/>
  <c r="R3" i="5"/>
  <c r="J3" i="5"/>
  <c r="J4" i="5" s="1"/>
  <c r="S3" i="5"/>
  <c r="I3" i="5"/>
  <c r="F3" i="5"/>
  <c r="N3" i="5"/>
  <c r="C3" i="5"/>
  <c r="O3" i="5"/>
  <c r="D3" i="5"/>
  <c r="L3" i="5"/>
  <c r="L4" i="5" s="1"/>
  <c r="P3" i="5"/>
  <c r="M3" i="5"/>
  <c r="E3" i="5"/>
  <c r="B3" i="5"/>
  <c r="H3" i="5"/>
  <c r="G2" i="5"/>
  <c r="U2" i="5"/>
  <c r="Q2" i="5"/>
  <c r="K2" i="5"/>
  <c r="T2" i="5"/>
  <c r="R2" i="5"/>
  <c r="J2" i="5"/>
  <c r="S2" i="5"/>
  <c r="I2" i="5"/>
  <c r="F2" i="5"/>
  <c r="N2" i="5"/>
  <c r="C2" i="5"/>
  <c r="O2" i="5"/>
  <c r="D2" i="5"/>
  <c r="L2" i="5"/>
  <c r="P2" i="5"/>
  <c r="M2" i="5"/>
  <c r="E2" i="5"/>
  <c r="B2" i="5"/>
  <c r="H2" i="5"/>
  <c r="T4" i="5" l="1"/>
  <c r="O4" i="5"/>
  <c r="U4" i="5"/>
  <c r="H4" i="5"/>
  <c r="C4" i="5"/>
  <c r="K4" i="5"/>
  <c r="P4" i="5"/>
  <c r="S4" i="5"/>
  <c r="B4" i="5"/>
  <c r="N4" i="5"/>
  <c r="Q4" i="5"/>
  <c r="D4" i="5"/>
  <c r="R4" i="5"/>
  <c r="E4" i="5"/>
  <c r="F4" i="5"/>
  <c r="M4" i="5"/>
  <c r="I4" i="5"/>
  <c r="G4" i="5"/>
</calcChain>
</file>

<file path=xl/sharedStrings.xml><?xml version="1.0" encoding="utf-8"?>
<sst xmlns="http://schemas.openxmlformats.org/spreadsheetml/2006/main" count="605" uniqueCount="144">
  <si>
    <t>Mining (anything) Canada</t>
  </si>
  <si>
    <t>Mining cobalt RoW</t>
  </si>
  <si>
    <t>Mining copper RoW</t>
  </si>
  <si>
    <t>Mining graphite RoW</t>
  </si>
  <si>
    <t>Mining lithium RoW</t>
  </si>
  <si>
    <t>Mining neodymium RoW</t>
  </si>
  <si>
    <t>Mining nickel RoW</t>
  </si>
  <si>
    <t>Refining (status quo) Canada</t>
  </si>
  <si>
    <t>Refining Canada with Canadian supply</t>
  </si>
  <si>
    <t>Refining Canada with RoW supply</t>
  </si>
  <si>
    <t>Refining RoW with Canadian supply</t>
  </si>
  <si>
    <t>Refining RoW with RoW supply</t>
  </si>
  <si>
    <t>index</t>
  </si>
  <si>
    <t>Minerals nec (omn) | Minerals nec (omn) | CAN | USD 2011 | shdb5</t>
  </si>
  <si>
    <t>Cobalt - mining | Minerals nec (omn) | RoW | USD 2011 | aggregated_shdb5</t>
  </si>
  <si>
    <t>Copper - mining | Minerals nec (omn) | RoW | USD 2011 | aggregated_shdb5</t>
  </si>
  <si>
    <t>Graphite - mining | Minerals nec (omn) | RoW | USD 2011 | aggregated_shdb5</t>
  </si>
  <si>
    <t>Lithium - mining | Minerals nec (omn) | RoW | USD 2011 | aggregated_shdb5</t>
  </si>
  <si>
    <t>Neodymium - mining | Minerals nec (omn) | RoW | USD 2011 | aggregated_shdb5</t>
  </si>
  <si>
    <t>Nickel - mining | Minerals nec (omn) | RoW | USD 2011 | aggregated_shdb5</t>
  </si>
  <si>
    <t>Metals nec (nfm) | Metals nec (nfm) | CAN | USD 2011 | shdb5</t>
  </si>
  <si>
    <t>Cobalt - CA supply &amp; CA refining | Metals (nfm) | CA | USD 2011 | aggregated_shdb5</t>
  </si>
  <si>
    <t>Copper - CA supply &amp; CA refining | Metals (nfm) | CA | USD 2011 | aggregated_shdb5</t>
  </si>
  <si>
    <t>Nickel - CA supply &amp; CA refining | Metals (nfm) | CA | USD 2011 | aggregated_shdb5</t>
  </si>
  <si>
    <t>Cobalt - RoW supply &amp; CA refining | Metals (nfm) | CA | USD 2011 | aggregated_shdb5</t>
  </si>
  <si>
    <t>Copper - RoW supply &amp; CA refining | Metals (nfm) | CA | USD 2011 | aggregated_shdb5</t>
  </si>
  <si>
    <t>Nickel - RoW supply &amp; CA refining | Metals (nfm) | CA | USD 2011 | aggregated_shdb5</t>
  </si>
  <si>
    <t>Cobalt - CA supply &amp; RoW refining | Metals (nfm) | RoW | USD 2011 | aggregated_shdb5</t>
  </si>
  <si>
    <t>Copper - CA supply &amp; RoW refining | Metals (nfm) | RoW | USD 2011 | aggregated_shdb5</t>
  </si>
  <si>
    <t>Nickel - CA supply &amp; RoW refining | Metals (nfm) | RoW | USD 2011 | aggregated_shdb5</t>
  </si>
  <si>
    <t>Cobalt - RoW supply &amp; RoW refining | Metals (nfm) | RoW | USD 2011 | aggregated_shdb5</t>
  </si>
  <si>
    <t>Copper - RoW supply &amp; RoW refining | Metals (nfm) | RoW | USD 2011 | aggregated_shdb5</t>
  </si>
  <si>
    <t>Nickel - RoW supply &amp; RoW refining | Metals (nfm) | RoW | USD 2011 | aggregated_shdb5</t>
  </si>
  <si>
    <t>amount</t>
  </si>
  <si>
    <t>unit</t>
  </si>
  <si>
    <t>USD 2011</t>
  </si>
  <si>
    <t>reference product</t>
  </si>
  <si>
    <t>Minerals nec (omn)</t>
  </si>
  <si>
    <t>Cobalt - mining</t>
  </si>
  <si>
    <t>Copper - mining</t>
  </si>
  <si>
    <t>Graphite - mining</t>
  </si>
  <si>
    <t>Lithium - mining</t>
  </si>
  <si>
    <t>Neodymium - mining</t>
  </si>
  <si>
    <t>Nickel - mining</t>
  </si>
  <si>
    <t>Metals nec (nfm)</t>
  </si>
  <si>
    <t>Cobalt - CA supply &amp; CA refining</t>
  </si>
  <si>
    <t>Copper - CA supply &amp; CA refining</t>
  </si>
  <si>
    <t>Nickel - CA supply &amp; CA refining</t>
  </si>
  <si>
    <t>Cobalt - RoW supply &amp; CA refining</t>
  </si>
  <si>
    <t>Copper - RoW supply &amp; CA refining</t>
  </si>
  <si>
    <t>Nickel - RoW supply &amp; CA refining</t>
  </si>
  <si>
    <t>Cobalt - CA supply &amp; RoW refining</t>
  </si>
  <si>
    <t>Copper - CA supply &amp; RoW refining</t>
  </si>
  <si>
    <t>Nickel - CA supply &amp; RoW refining</t>
  </si>
  <si>
    <t>Cobalt - RoW supply &amp; RoW refining</t>
  </si>
  <si>
    <t>Copper - RoW supply &amp; RoW refining</t>
  </si>
  <si>
    <t>Nickel - RoW supply &amp; RoW refining</t>
  </si>
  <si>
    <t>name</t>
  </si>
  <si>
    <t>location</t>
  </si>
  <si>
    <t>CAN</t>
  </si>
  <si>
    <t>RoW</t>
  </si>
  <si>
    <t>database</t>
  </si>
  <si>
    <t>shdb5</t>
  </si>
  <si>
    <t>aggregated_shdb5</t>
  </si>
  <si>
    <t>Social Hotspot 2022 Method | Categories | 1 Labor rights &amp; decent work</t>
  </si>
  <si>
    <t>Social Hotspot 2022 Method | Categories | 2 Health &amp; safety</t>
  </si>
  <si>
    <t>Social Hotspot 2022 Method | Categories | 3 Society</t>
  </si>
  <si>
    <t>Social Hotspot 2022 Method | Categories | 4 Governance</t>
  </si>
  <si>
    <t>Social Hotspot 2022 Method | Categories | 5 Community</t>
  </si>
  <si>
    <t>Chemical, rubber, plastic products (crp)</t>
  </si>
  <si>
    <t>Electricity (ely)</t>
  </si>
  <si>
    <t>Public Administration, Defense, Education, Health (osg)</t>
  </si>
  <si>
    <t>Transport nec (otp)</t>
  </si>
  <si>
    <t>Trade (trd)</t>
  </si>
  <si>
    <t>Metal products (fmp)</t>
  </si>
  <si>
    <t>Ferrous metals (i_s)</t>
  </si>
  <si>
    <t>Business services nec (obs)</t>
  </si>
  <si>
    <t>Mineral products nec (nmm)</t>
  </si>
  <si>
    <t>Machinery and equipment nec (ome)</t>
  </si>
  <si>
    <t>Petroleum, coal products (p_c)</t>
  </si>
  <si>
    <t>Paper products, publishing (ppp)</t>
  </si>
  <si>
    <t>Financial services nec (ofi)</t>
  </si>
  <si>
    <t>Motor vehicles and parts (mvh)</t>
  </si>
  <si>
    <t>Construction (cns)</t>
  </si>
  <si>
    <t>Food products nec (ofd)</t>
  </si>
  <si>
    <t>Wood products (lum)</t>
  </si>
  <si>
    <t>Water transport (wtp)</t>
  </si>
  <si>
    <t>Manufactures nec (omf)</t>
  </si>
  <si>
    <t>Electronic equipment (ele)</t>
  </si>
  <si>
    <t>Wearing apparel (wap)</t>
  </si>
  <si>
    <t>Textiles (tex)</t>
  </si>
  <si>
    <t>Beverages and tobacco products (b_t)</t>
  </si>
  <si>
    <t>Communication (cmn)</t>
  </si>
  <si>
    <t>Air transport (atp)</t>
  </si>
  <si>
    <t>Coal (coa)</t>
  </si>
  <si>
    <t>Gas (gas)</t>
  </si>
  <si>
    <t>Recreational and other services (ros)</t>
  </si>
  <si>
    <t>Transport equipment nec (otn)</t>
  </si>
  <si>
    <t>Insurance (isr)</t>
  </si>
  <si>
    <t>Leather products (lea)</t>
  </si>
  <si>
    <t>Dairy products (mil)</t>
  </si>
  <si>
    <t>Water (wtr)</t>
  </si>
  <si>
    <t>Forestry (frs)</t>
  </si>
  <si>
    <t>Gas manufacture, distribution (gdt)</t>
  </si>
  <si>
    <t>Vegetable oils and fats (vol)</t>
  </si>
  <si>
    <t>Bovine meat products (cmt)</t>
  </si>
  <si>
    <t>Cereal grains nec (gro)</t>
  </si>
  <si>
    <t>Lithium - CA supply &amp; RoW refining | Metals nec (nfm) | RoW | USD 2011 | aggregated_shdb5</t>
  </si>
  <si>
    <t>Lithium - CA supply &amp; RoW refining</t>
  </si>
  <si>
    <t>Lithium - RoW supply &amp; CA refining | Metals nec (nfm) | CA | USD 2011 | aggregated_shdb5</t>
  </si>
  <si>
    <t>Lithium - RoW supply &amp; CA refining</t>
  </si>
  <si>
    <t>Lithium - RoW supply &amp; RoW refining | Metals nec (nfm) | RoW | USD 2011 | aggregated_shdb5</t>
  </si>
  <si>
    <t>Lithium - RoW supply &amp; RoW refining</t>
  </si>
  <si>
    <t>Graphite - RoW supply &amp; CA refining | Metals nec (nfm) | CA | USD 2011 | aggregated_shdb5</t>
  </si>
  <si>
    <t>Graphite - RoW supply &amp; CA refining</t>
  </si>
  <si>
    <t>Graphite - CA supply &amp; RoW refining | Metals nec (nfm) | RoW | USD 2011 | aggregated_shdb5</t>
  </si>
  <si>
    <t>Graphite - CA supply &amp; RoW refining</t>
  </si>
  <si>
    <t>Graphite - RoW supply &amp; RoW refining | Metals nec (nfm) | RoW | USD 2011 | aggregated_shdb5</t>
  </si>
  <si>
    <t>Graphite - RoW supply &amp; RoW refining</t>
  </si>
  <si>
    <t>Graphite - CA supply &amp; CA refining | Metals nec (nfm) | CA | USD 2011 | aggregated_shdb5</t>
  </si>
  <si>
    <t>Graphite - CA supply &amp; CA refining</t>
  </si>
  <si>
    <t>Lithium - CA supply &amp; CA refining | Metals nec (nfm) | CA | USD 2011 | aggregated_shdb5</t>
  </si>
  <si>
    <t>Lithium - CA supply &amp; CA refining</t>
  </si>
  <si>
    <t>Animal products nec (oap)</t>
  </si>
  <si>
    <t>Bovine cattle, sheep and goats, horses (ctl)</t>
  </si>
  <si>
    <t>Crops nec (ocr)</t>
  </si>
  <si>
    <t>Dwellings (dwe)</t>
  </si>
  <si>
    <t>Fishing (fsh)</t>
  </si>
  <si>
    <t>Meat products nec (omt)</t>
  </si>
  <si>
    <t>Oil (oil)</t>
  </si>
  <si>
    <t>Oil seeds (osd)</t>
  </si>
  <si>
    <t>Paddy rice (pdr)</t>
  </si>
  <si>
    <t>Plant-based fibers (pfb)</t>
  </si>
  <si>
    <t>Processed rice (pcr)</t>
  </si>
  <si>
    <t>Raw milk (rmk)</t>
  </si>
  <si>
    <t>Sugar (sgr)</t>
  </si>
  <si>
    <t>Sugar cane, sugar beet (c_b)</t>
  </si>
  <si>
    <t>Vegetables, fruit, nuts (v_f)</t>
  </si>
  <si>
    <t>Wheat (wht)</t>
  </si>
  <si>
    <t>Wool, silk-worm cocoons (wol)</t>
  </si>
  <si>
    <t>Total</t>
  </si>
  <si>
    <t>Mining sector</t>
  </si>
  <si>
    <t>Refining sector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</si>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</sst>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2" xfId="0" applyBorder="1"/>
    <xf numFmtId="0" fontId="1" fillId="0" borderId="2" xfId="0" applyFont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1. Labor rights &amp; decent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1. Labor'!$A$2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1. Labor'!$B$1:$U$1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1. Labor'!$B$2:$U$2</c:f>
              <c:numCache>
                <c:formatCode>General</c:formatCode>
                <c:ptCount val="20"/>
                <c:pt idx="0">
                  <c:v>9.548878334681829E-2</c:v>
                </c:pt>
                <c:pt idx="1">
                  <c:v>9.548878334681829E-2</c:v>
                </c:pt>
                <c:pt idx="2">
                  <c:v>9.548878334681829E-2</c:v>
                </c:pt>
                <c:pt idx="3">
                  <c:v>9.548878334681829E-2</c:v>
                </c:pt>
                <c:pt idx="4">
                  <c:v>9.548878334681829E-2</c:v>
                </c:pt>
                <c:pt idx="5">
                  <c:v>2.7798599463221246E-2</c:v>
                </c:pt>
                <c:pt idx="6">
                  <c:v>1.0431713259196384E-2</c:v>
                </c:pt>
                <c:pt idx="7">
                  <c:v>3.0969379864844684E-2</c:v>
                </c:pt>
                <c:pt idx="8">
                  <c:v>6.7780427737380911E-2</c:v>
                </c:pt>
                <c:pt idx="9">
                  <c:v>1.6340836427537992E-2</c:v>
                </c:pt>
                <c:pt idx="10">
                  <c:v>0.45399226089098821</c:v>
                </c:pt>
                <c:pt idx="11">
                  <c:v>0.45399226089098821</c:v>
                </c:pt>
                <c:pt idx="12">
                  <c:v>0.45399226089098821</c:v>
                </c:pt>
                <c:pt idx="13">
                  <c:v>0.45399226089098821</c:v>
                </c:pt>
                <c:pt idx="14">
                  <c:v>0.45399226089098821</c:v>
                </c:pt>
                <c:pt idx="15">
                  <c:v>0.13719896414682714</c:v>
                </c:pt>
                <c:pt idx="16">
                  <c:v>0.12073779481889221</c:v>
                </c:pt>
                <c:pt idx="17">
                  <c:v>0.12473558323488601</c:v>
                </c:pt>
                <c:pt idx="18">
                  <c:v>7.6650998915689592E-2</c:v>
                </c:pt>
                <c:pt idx="19">
                  <c:v>4.5142580632684115E-2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4-404D-BC5A-37CC27086E22}"/>
            </c:ext>
          </c:extLst>
        </c:ser>
        <c:ser>
          <c:idx val="1"/>
          <c:order val="1"/>
          <c:tx>
            <c:strRef>
              <c:f>'Contribution 1. Labor'!$A$3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1. Labor'!$B$1:$U$1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1. Labor'!$B$3:$U$3</c:f>
              <c:numCache>
                <c:formatCode>General</c:formatCode>
                <c:ptCount val="20"/>
                <c:pt idx="0">
                  <c:v>0.64953445625401318</c:v>
                </c:pt>
                <c:pt idx="1">
                  <c:v>0.64953445625401318</c:v>
                </c:pt>
                <c:pt idx="2">
                  <c:v>0.64953445625401318</c:v>
                </c:pt>
                <c:pt idx="3">
                  <c:v>0.64953445625401318</c:v>
                </c:pt>
                <c:pt idx="4">
                  <c:v>0.64953445625401318</c:v>
                </c:pt>
                <c:pt idx="5">
                  <c:v>0.59672351578747629</c:v>
                </c:pt>
                <c:pt idx="6">
                  <c:v>0.19373636407019523</c:v>
                </c:pt>
                <c:pt idx="7">
                  <c:v>0.50595271145044174</c:v>
                </c:pt>
                <c:pt idx="8">
                  <c:v>0.70601419821870803</c:v>
                </c:pt>
                <c:pt idx="9">
                  <c:v>0.83132864305030152</c:v>
                </c:pt>
                <c:pt idx="10">
                  <c:v>0.39209114647014853</c:v>
                </c:pt>
                <c:pt idx="11">
                  <c:v>0.39209114647014853</c:v>
                </c:pt>
                <c:pt idx="12">
                  <c:v>0.39209114647014853</c:v>
                </c:pt>
                <c:pt idx="13">
                  <c:v>0.39209114647014853</c:v>
                </c:pt>
                <c:pt idx="14">
                  <c:v>0.39209114647014853</c:v>
                </c:pt>
                <c:pt idx="15">
                  <c:v>0.54140917016143408</c:v>
                </c:pt>
                <c:pt idx="16">
                  <c:v>0.33281332919737544</c:v>
                </c:pt>
                <c:pt idx="17">
                  <c:v>0.47150987354283747</c:v>
                </c:pt>
                <c:pt idx="18">
                  <c:v>0.73626910050240524</c:v>
                </c:pt>
                <c:pt idx="19">
                  <c:v>0.80893344472116691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4-404D-BC5A-37CC27086E22}"/>
            </c:ext>
          </c:extLst>
        </c:ser>
        <c:ser>
          <c:idx val="2"/>
          <c:order val="2"/>
          <c:tx>
            <c:strRef>
              <c:f>'Contribution 1. Labor'!$A$4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1. Labor'!$B$1:$U$1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1. Labor'!$B$4:$U$4</c:f>
              <c:numCache>
                <c:formatCode>General</c:formatCode>
                <c:ptCount val="20"/>
                <c:pt idx="0">
                  <c:v>0.2549767603991685</c:v>
                </c:pt>
                <c:pt idx="1">
                  <c:v>0.2549767603991685</c:v>
                </c:pt>
                <c:pt idx="2">
                  <c:v>0.2549767603991685</c:v>
                </c:pt>
                <c:pt idx="3">
                  <c:v>0.2549767603991685</c:v>
                </c:pt>
                <c:pt idx="4">
                  <c:v>0.2549767603991685</c:v>
                </c:pt>
                <c:pt idx="5">
                  <c:v>0.37547788474930244</c:v>
                </c:pt>
                <c:pt idx="6">
                  <c:v>0.79583192267060843</c:v>
                </c:pt>
                <c:pt idx="7">
                  <c:v>0.4630779086847136</c:v>
                </c:pt>
                <c:pt idx="8">
                  <c:v>0.22620537404391106</c:v>
                </c:pt>
                <c:pt idx="9">
                  <c:v>0.15233052052216048</c:v>
                </c:pt>
                <c:pt idx="10">
                  <c:v>0.15391659263886326</c:v>
                </c:pt>
                <c:pt idx="11">
                  <c:v>0.15391659263886326</c:v>
                </c:pt>
                <c:pt idx="12">
                  <c:v>0.15391659263886326</c:v>
                </c:pt>
                <c:pt idx="13">
                  <c:v>0.15391659263886326</c:v>
                </c:pt>
                <c:pt idx="14">
                  <c:v>0.15391659263886326</c:v>
                </c:pt>
                <c:pt idx="15">
                  <c:v>0.32139186569173878</c:v>
                </c:pt>
                <c:pt idx="16">
                  <c:v>0.54644887598373237</c:v>
                </c:pt>
                <c:pt idx="17">
                  <c:v>0.40375454322227655</c:v>
                </c:pt>
                <c:pt idx="18">
                  <c:v>0.18707990058190516</c:v>
                </c:pt>
                <c:pt idx="19">
                  <c:v>0.14592397464614898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E4-404D-BC5A-37CC27086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1. Labor rights &amp; decent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1. Labor'!$A$2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1. Labor'!$B$1:$U$1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1. Labor'!$B$2:$U$2</c:f>
              <c:numCache>
                <c:formatCode>General</c:formatCode>
                <c:ptCount val="20"/>
                <c:pt idx="0">
                  <c:v>9.548878334681829E-2</c:v>
                </c:pt>
                <c:pt idx="1">
                  <c:v>9.548878334681829E-2</c:v>
                </c:pt>
                <c:pt idx="2">
                  <c:v>9.548878334681829E-2</c:v>
                </c:pt>
                <c:pt idx="3">
                  <c:v>9.548878334681829E-2</c:v>
                </c:pt>
                <c:pt idx="4">
                  <c:v>9.548878334681829E-2</c:v>
                </c:pt>
                <c:pt idx="5">
                  <c:v>2.7798599463221246E-2</c:v>
                </c:pt>
                <c:pt idx="6">
                  <c:v>1.0431713259196384E-2</c:v>
                </c:pt>
                <c:pt idx="7">
                  <c:v>3.0969379864844684E-2</c:v>
                </c:pt>
                <c:pt idx="8">
                  <c:v>6.7780427737380911E-2</c:v>
                </c:pt>
                <c:pt idx="9">
                  <c:v>1.6340836427537992E-2</c:v>
                </c:pt>
                <c:pt idx="10">
                  <c:v>0.45399226089098821</c:v>
                </c:pt>
                <c:pt idx="11">
                  <c:v>0.45399226089098821</c:v>
                </c:pt>
                <c:pt idx="12">
                  <c:v>0.45399226089098821</c:v>
                </c:pt>
                <c:pt idx="13">
                  <c:v>0.45399226089098821</c:v>
                </c:pt>
                <c:pt idx="14">
                  <c:v>0.45399226089098821</c:v>
                </c:pt>
                <c:pt idx="15">
                  <c:v>0.13719896414682714</c:v>
                </c:pt>
                <c:pt idx="16">
                  <c:v>0.12073779481889221</c:v>
                </c:pt>
                <c:pt idx="17">
                  <c:v>0.12473558323488601</c:v>
                </c:pt>
                <c:pt idx="18">
                  <c:v>7.6650998915689592E-2</c:v>
                </c:pt>
                <c:pt idx="19">
                  <c:v>4.5142580632684115E-2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8-403A-8145-C86BD970E833}"/>
            </c:ext>
          </c:extLst>
        </c:ser>
        <c:ser>
          <c:idx val="1"/>
          <c:order val="1"/>
          <c:tx>
            <c:strRef>
              <c:f>'Contribution 1. Labor'!$A$3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1. Labor'!$B$1:$U$1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1. Labor'!$B$3:$U$3</c:f>
              <c:numCache>
                <c:formatCode>General</c:formatCode>
                <c:ptCount val="20"/>
                <c:pt idx="0">
                  <c:v>0.64953445625401318</c:v>
                </c:pt>
                <c:pt idx="1">
                  <c:v>0.64953445625401318</c:v>
                </c:pt>
                <c:pt idx="2">
                  <c:v>0.64953445625401318</c:v>
                </c:pt>
                <c:pt idx="3">
                  <c:v>0.64953445625401318</c:v>
                </c:pt>
                <c:pt idx="4">
                  <c:v>0.64953445625401318</c:v>
                </c:pt>
                <c:pt idx="5">
                  <c:v>0.59672351578747629</c:v>
                </c:pt>
                <c:pt idx="6">
                  <c:v>0.19373636407019523</c:v>
                </c:pt>
                <c:pt idx="7">
                  <c:v>0.50595271145044174</c:v>
                </c:pt>
                <c:pt idx="8">
                  <c:v>0.70601419821870803</c:v>
                </c:pt>
                <c:pt idx="9">
                  <c:v>0.83132864305030152</c:v>
                </c:pt>
                <c:pt idx="10">
                  <c:v>0.39209114647014853</c:v>
                </c:pt>
                <c:pt idx="11">
                  <c:v>0.39209114647014853</c:v>
                </c:pt>
                <c:pt idx="12">
                  <c:v>0.39209114647014853</c:v>
                </c:pt>
                <c:pt idx="13">
                  <c:v>0.39209114647014853</c:v>
                </c:pt>
                <c:pt idx="14">
                  <c:v>0.39209114647014853</c:v>
                </c:pt>
                <c:pt idx="15">
                  <c:v>0.54140917016143408</c:v>
                </c:pt>
                <c:pt idx="16">
                  <c:v>0.33281332919737544</c:v>
                </c:pt>
                <c:pt idx="17">
                  <c:v>0.47150987354283747</c:v>
                </c:pt>
                <c:pt idx="18">
                  <c:v>0.73626910050240524</c:v>
                </c:pt>
                <c:pt idx="19">
                  <c:v>0.80893344472116691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8-403A-8145-C86BD970E833}"/>
            </c:ext>
          </c:extLst>
        </c:ser>
        <c:ser>
          <c:idx val="2"/>
          <c:order val="2"/>
          <c:tx>
            <c:strRef>
              <c:f>'Contribution 1. Labor'!$A$4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1. Labor'!$B$1:$U$1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1. Labor'!$B$4:$U$4</c:f>
              <c:numCache>
                <c:formatCode>General</c:formatCode>
                <c:ptCount val="20"/>
                <c:pt idx="0">
                  <c:v>0.2549767603991685</c:v>
                </c:pt>
                <c:pt idx="1">
                  <c:v>0.2549767603991685</c:v>
                </c:pt>
                <c:pt idx="2">
                  <c:v>0.2549767603991685</c:v>
                </c:pt>
                <c:pt idx="3">
                  <c:v>0.2549767603991685</c:v>
                </c:pt>
                <c:pt idx="4">
                  <c:v>0.2549767603991685</c:v>
                </c:pt>
                <c:pt idx="5">
                  <c:v>0.37547788474930244</c:v>
                </c:pt>
                <c:pt idx="6">
                  <c:v>0.79583192267060843</c:v>
                </c:pt>
                <c:pt idx="7">
                  <c:v>0.4630779086847136</c:v>
                </c:pt>
                <c:pt idx="8">
                  <c:v>0.22620537404391106</c:v>
                </c:pt>
                <c:pt idx="9">
                  <c:v>0.15233052052216048</c:v>
                </c:pt>
                <c:pt idx="10">
                  <c:v>0.15391659263886326</c:v>
                </c:pt>
                <c:pt idx="11">
                  <c:v>0.15391659263886326</c:v>
                </c:pt>
                <c:pt idx="12">
                  <c:v>0.15391659263886326</c:v>
                </c:pt>
                <c:pt idx="13">
                  <c:v>0.15391659263886326</c:v>
                </c:pt>
                <c:pt idx="14">
                  <c:v>0.15391659263886326</c:v>
                </c:pt>
                <c:pt idx="15">
                  <c:v>0.32139186569173878</c:v>
                </c:pt>
                <c:pt idx="16">
                  <c:v>0.54644887598373237</c:v>
                </c:pt>
                <c:pt idx="17">
                  <c:v>0.40375454322227655</c:v>
                </c:pt>
                <c:pt idx="18">
                  <c:v>0.18707990058190516</c:v>
                </c:pt>
                <c:pt idx="19">
                  <c:v>0.14592397464614898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88-403A-8145-C86BD970E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2. Health and safety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2. Health &amp; safety'!$A$2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2. Health &amp; safety'!$B$1:$U$1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2. Health &amp; safety'!$B$2:$U$2</c:f>
              <c:numCache>
                <c:formatCode>General</c:formatCode>
                <c:ptCount val="20"/>
                <c:pt idx="0">
                  <c:v>9.1807209172830875E-2</c:v>
                </c:pt>
                <c:pt idx="1">
                  <c:v>9.1807209172830875E-2</c:v>
                </c:pt>
                <c:pt idx="2">
                  <c:v>9.1807209172830875E-2</c:v>
                </c:pt>
                <c:pt idx="3">
                  <c:v>9.1807209172830875E-2</c:v>
                </c:pt>
                <c:pt idx="4">
                  <c:v>9.1807209172830875E-2</c:v>
                </c:pt>
                <c:pt idx="5">
                  <c:v>2.5873608678699832E-2</c:v>
                </c:pt>
                <c:pt idx="6">
                  <c:v>1.2452295795163139E-2</c:v>
                </c:pt>
                <c:pt idx="7">
                  <c:v>3.0166263082971441E-2</c:v>
                </c:pt>
                <c:pt idx="8">
                  <c:v>5.542491677937654E-2</c:v>
                </c:pt>
                <c:pt idx="9">
                  <c:v>1.264947617869806E-2</c:v>
                </c:pt>
                <c:pt idx="10">
                  <c:v>0.45235130942397872</c:v>
                </c:pt>
                <c:pt idx="11">
                  <c:v>0.45235130942397872</c:v>
                </c:pt>
                <c:pt idx="12">
                  <c:v>0.45235130942397872</c:v>
                </c:pt>
                <c:pt idx="13">
                  <c:v>0.45235130942397872</c:v>
                </c:pt>
                <c:pt idx="14">
                  <c:v>0.45235130942397872</c:v>
                </c:pt>
                <c:pt idx="15">
                  <c:v>0.11805091846309186</c:v>
                </c:pt>
                <c:pt idx="16">
                  <c:v>0.12187537302211113</c:v>
                </c:pt>
                <c:pt idx="17">
                  <c:v>0.11147335413434065</c:v>
                </c:pt>
                <c:pt idx="18">
                  <c:v>6.0642186487633844E-2</c:v>
                </c:pt>
                <c:pt idx="19">
                  <c:v>3.4660856647030683E-2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B-443D-B5DF-373818C14A92}"/>
            </c:ext>
          </c:extLst>
        </c:ser>
        <c:ser>
          <c:idx val="1"/>
          <c:order val="1"/>
          <c:tx>
            <c:strRef>
              <c:f>'Contribution 2. Health &amp; safety'!$A$3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2. Health &amp; safety'!$B$1:$U$1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2. Health &amp; safety'!$B$3:$U$3</c:f>
              <c:numCache>
                <c:formatCode>General</c:formatCode>
                <c:ptCount val="20"/>
                <c:pt idx="0">
                  <c:v>0.65905998622980289</c:v>
                </c:pt>
                <c:pt idx="1">
                  <c:v>0.65905998622980289</c:v>
                </c:pt>
                <c:pt idx="2">
                  <c:v>0.65905998622980289</c:v>
                </c:pt>
                <c:pt idx="3">
                  <c:v>0.65905998622980289</c:v>
                </c:pt>
                <c:pt idx="4">
                  <c:v>0.65905998622980289</c:v>
                </c:pt>
                <c:pt idx="5">
                  <c:v>0.6404994057464205</c:v>
                </c:pt>
                <c:pt idx="6">
                  <c:v>0.2068590817684885</c:v>
                </c:pt>
                <c:pt idx="7">
                  <c:v>0.55767154956769904</c:v>
                </c:pt>
                <c:pt idx="8">
                  <c:v>0.75833096780171472</c:v>
                </c:pt>
                <c:pt idx="9">
                  <c:v>0.87047527567775651</c:v>
                </c:pt>
                <c:pt idx="10">
                  <c:v>0.39741929479650373</c:v>
                </c:pt>
                <c:pt idx="11">
                  <c:v>0.39741929479650373</c:v>
                </c:pt>
                <c:pt idx="12">
                  <c:v>0.39741929479650373</c:v>
                </c:pt>
                <c:pt idx="13">
                  <c:v>0.39741929479650373</c:v>
                </c:pt>
                <c:pt idx="14">
                  <c:v>0.39741929479650373</c:v>
                </c:pt>
                <c:pt idx="15">
                  <c:v>0.59032642205576324</c:v>
                </c:pt>
                <c:pt idx="16">
                  <c:v>0.34089683244451774</c:v>
                </c:pt>
                <c:pt idx="17">
                  <c:v>0.52538498335709582</c:v>
                </c:pt>
                <c:pt idx="18">
                  <c:v>0.78639897196366981</c:v>
                </c:pt>
                <c:pt idx="19">
                  <c:v>0.85266774141598645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B-443D-B5DF-373818C14A92}"/>
            </c:ext>
          </c:extLst>
        </c:ser>
        <c:ser>
          <c:idx val="2"/>
          <c:order val="2"/>
          <c:tx>
            <c:strRef>
              <c:f>'Contribution 2. Health &amp; safety'!$A$4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2. Health &amp; safety'!$B$1:$U$1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2. Health &amp; safety'!$B$4:$U$4</c:f>
              <c:numCache>
                <c:formatCode>General</c:formatCode>
                <c:ptCount val="20"/>
                <c:pt idx="0">
                  <c:v>0.24913280459736625</c:v>
                </c:pt>
                <c:pt idx="1">
                  <c:v>0.24913280459736625</c:v>
                </c:pt>
                <c:pt idx="2">
                  <c:v>0.24913280459736625</c:v>
                </c:pt>
                <c:pt idx="3">
                  <c:v>0.24913280459736625</c:v>
                </c:pt>
                <c:pt idx="4">
                  <c:v>0.24913280459736625</c:v>
                </c:pt>
                <c:pt idx="5">
                  <c:v>0.33362698557487969</c:v>
                </c:pt>
                <c:pt idx="6">
                  <c:v>0.78068862243634829</c:v>
                </c:pt>
                <c:pt idx="7">
                  <c:v>0.41216218734932952</c:v>
                </c:pt>
                <c:pt idx="8">
                  <c:v>0.18624411541890873</c:v>
                </c:pt>
                <c:pt idx="9">
                  <c:v>0.11687524814354543</c:v>
                </c:pt>
                <c:pt idx="10">
                  <c:v>0.15022939577951755</c:v>
                </c:pt>
                <c:pt idx="11">
                  <c:v>0.15022939577951755</c:v>
                </c:pt>
                <c:pt idx="12">
                  <c:v>0.15022939577951755</c:v>
                </c:pt>
                <c:pt idx="13">
                  <c:v>0.15022939577951755</c:v>
                </c:pt>
                <c:pt idx="14">
                  <c:v>0.15022939577951755</c:v>
                </c:pt>
                <c:pt idx="15">
                  <c:v>0.29162265948114491</c:v>
                </c:pt>
                <c:pt idx="16">
                  <c:v>0.53722779453337111</c:v>
                </c:pt>
                <c:pt idx="17">
                  <c:v>0.3631416625085635</c:v>
                </c:pt>
                <c:pt idx="18">
                  <c:v>0.15295884154869635</c:v>
                </c:pt>
                <c:pt idx="19">
                  <c:v>0.11267140193698287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B-443D-B5DF-373818C1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3. Society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3. Society'!$A$2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3. Society'!$B$1:$U$1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3. Society'!$B$2:$U$2</c:f>
              <c:numCache>
                <c:formatCode>General</c:formatCode>
                <c:ptCount val="20"/>
                <c:pt idx="0">
                  <c:v>0.12042410392667306</c:v>
                </c:pt>
                <c:pt idx="1">
                  <c:v>0.12042410392667306</c:v>
                </c:pt>
                <c:pt idx="2">
                  <c:v>0.12042410392667306</c:v>
                </c:pt>
                <c:pt idx="3">
                  <c:v>0.12042410392667306</c:v>
                </c:pt>
                <c:pt idx="4">
                  <c:v>0.12042410392667306</c:v>
                </c:pt>
                <c:pt idx="5">
                  <c:v>2.5816167355060288E-2</c:v>
                </c:pt>
                <c:pt idx="6">
                  <c:v>1.0060060563869003E-2</c:v>
                </c:pt>
                <c:pt idx="7">
                  <c:v>2.85917764481354E-2</c:v>
                </c:pt>
                <c:pt idx="8">
                  <c:v>6.7253561084075347E-2</c:v>
                </c:pt>
                <c:pt idx="9">
                  <c:v>1.4753149859796129E-2</c:v>
                </c:pt>
                <c:pt idx="10">
                  <c:v>0.54914734513993357</c:v>
                </c:pt>
                <c:pt idx="11">
                  <c:v>0.54914734513993357</c:v>
                </c:pt>
                <c:pt idx="12">
                  <c:v>0.54914734513993357</c:v>
                </c:pt>
                <c:pt idx="13">
                  <c:v>0.54914734513993357</c:v>
                </c:pt>
                <c:pt idx="14">
                  <c:v>0.54914734513993357</c:v>
                </c:pt>
                <c:pt idx="15">
                  <c:v>0.13996700892032204</c:v>
                </c:pt>
                <c:pt idx="16">
                  <c:v>0.12159738859526091</c:v>
                </c:pt>
                <c:pt idx="17">
                  <c:v>0.13228863913002697</c:v>
                </c:pt>
                <c:pt idx="18">
                  <c:v>8.4318745663757605E-2</c:v>
                </c:pt>
                <c:pt idx="19">
                  <c:v>4.4569115919310204E-2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F-44E2-8A51-67AAC7971655}"/>
            </c:ext>
          </c:extLst>
        </c:ser>
        <c:ser>
          <c:idx val="1"/>
          <c:order val="1"/>
          <c:tx>
            <c:strRef>
              <c:f>'Contribution 3. Society'!$A$3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3. Society'!$B$1:$U$1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3. Society'!$B$3:$U$3</c:f>
              <c:numCache>
                <c:formatCode>General</c:formatCode>
                <c:ptCount val="20"/>
                <c:pt idx="0">
                  <c:v>0.60024297241094837</c:v>
                </c:pt>
                <c:pt idx="1">
                  <c:v>0.60024297241094837</c:v>
                </c:pt>
                <c:pt idx="2">
                  <c:v>0.60024297241094837</c:v>
                </c:pt>
                <c:pt idx="3">
                  <c:v>0.60024297241094837</c:v>
                </c:pt>
                <c:pt idx="4">
                  <c:v>0.60024297241094837</c:v>
                </c:pt>
                <c:pt idx="5">
                  <c:v>0.57525186937526429</c:v>
                </c:pt>
                <c:pt idx="6">
                  <c:v>0.18506709162063478</c:v>
                </c:pt>
                <c:pt idx="7">
                  <c:v>0.47132107369358023</c:v>
                </c:pt>
                <c:pt idx="8">
                  <c:v>0.7460536829014468</c:v>
                </c:pt>
                <c:pt idx="9">
                  <c:v>0.84187885625823322</c:v>
                </c:pt>
                <c:pt idx="10">
                  <c:v>0.30767229852557604</c:v>
                </c:pt>
                <c:pt idx="11">
                  <c:v>0.30767229852557604</c:v>
                </c:pt>
                <c:pt idx="12">
                  <c:v>0.30767229852557604</c:v>
                </c:pt>
                <c:pt idx="13">
                  <c:v>0.30767229852557604</c:v>
                </c:pt>
                <c:pt idx="14">
                  <c:v>0.30767229852557604</c:v>
                </c:pt>
                <c:pt idx="15">
                  <c:v>0.52114463433970903</c:v>
                </c:pt>
                <c:pt idx="16">
                  <c:v>0.32531023670365861</c:v>
                </c:pt>
                <c:pt idx="17">
                  <c:v>0.43816791246027881</c:v>
                </c:pt>
                <c:pt idx="18">
                  <c:v>0.74754796294443082</c:v>
                </c:pt>
                <c:pt idx="19">
                  <c:v>0.81807411305249711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F-44E2-8A51-67AAC7971655}"/>
            </c:ext>
          </c:extLst>
        </c:ser>
        <c:ser>
          <c:idx val="2"/>
          <c:order val="2"/>
          <c:tx>
            <c:strRef>
              <c:f>'Contribution 3. Society'!$A$4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3. Society'!$B$1:$U$1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3. Society'!$B$4:$U$4</c:f>
              <c:numCache>
                <c:formatCode>General</c:formatCode>
                <c:ptCount val="20"/>
                <c:pt idx="0">
                  <c:v>0.27933292366237855</c:v>
                </c:pt>
                <c:pt idx="1">
                  <c:v>0.27933292366237855</c:v>
                </c:pt>
                <c:pt idx="2">
                  <c:v>0.27933292366237855</c:v>
                </c:pt>
                <c:pt idx="3">
                  <c:v>0.27933292366237855</c:v>
                </c:pt>
                <c:pt idx="4">
                  <c:v>0.27933292366237855</c:v>
                </c:pt>
                <c:pt idx="5">
                  <c:v>0.39893196326967539</c:v>
                </c:pt>
                <c:pt idx="6">
                  <c:v>0.80487284781549628</c:v>
                </c:pt>
                <c:pt idx="7">
                  <c:v>0.5000871498582844</c:v>
                </c:pt>
                <c:pt idx="8">
                  <c:v>0.18669275601447785</c:v>
                </c:pt>
                <c:pt idx="9">
                  <c:v>0.14336799388197066</c:v>
                </c:pt>
                <c:pt idx="10">
                  <c:v>0.14318035633449044</c:v>
                </c:pt>
                <c:pt idx="11">
                  <c:v>0.14318035633449044</c:v>
                </c:pt>
                <c:pt idx="12">
                  <c:v>0.14318035633449044</c:v>
                </c:pt>
                <c:pt idx="13">
                  <c:v>0.14318035633449044</c:v>
                </c:pt>
                <c:pt idx="14">
                  <c:v>0.14318035633449044</c:v>
                </c:pt>
                <c:pt idx="15">
                  <c:v>0.33888835673996892</c:v>
                </c:pt>
                <c:pt idx="16">
                  <c:v>0.55309237470108041</c:v>
                </c:pt>
                <c:pt idx="17">
                  <c:v>0.42954344840969416</c:v>
                </c:pt>
                <c:pt idx="18">
                  <c:v>0.16813329139181157</c:v>
                </c:pt>
                <c:pt idx="19">
                  <c:v>0.13735677102819269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F-44E2-8A51-67AAC7971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4. Governance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4. Governance'!$A$2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4. Governance'!$B$1:$U$1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4. Governance'!$B$2:$U$2</c:f>
              <c:numCache>
                <c:formatCode>General</c:formatCode>
                <c:ptCount val="20"/>
                <c:pt idx="0">
                  <c:v>9.2629212243900666E-2</c:v>
                </c:pt>
                <c:pt idx="1">
                  <c:v>9.2629212243900666E-2</c:v>
                </c:pt>
                <c:pt idx="2">
                  <c:v>9.2629212243900666E-2</c:v>
                </c:pt>
                <c:pt idx="3">
                  <c:v>9.2629212243900666E-2</c:v>
                </c:pt>
                <c:pt idx="4">
                  <c:v>9.2629212243900666E-2</c:v>
                </c:pt>
                <c:pt idx="5">
                  <c:v>3.1632956243150066E-2</c:v>
                </c:pt>
                <c:pt idx="6">
                  <c:v>9.7724882817672633E-3</c:v>
                </c:pt>
                <c:pt idx="7">
                  <c:v>3.2400648638121698E-2</c:v>
                </c:pt>
                <c:pt idx="8">
                  <c:v>0.10992050697181932</c:v>
                </c:pt>
                <c:pt idx="9">
                  <c:v>3.2446455337013652E-2</c:v>
                </c:pt>
                <c:pt idx="10">
                  <c:v>0.415528744343579</c:v>
                </c:pt>
                <c:pt idx="11">
                  <c:v>0.415528744343579</c:v>
                </c:pt>
                <c:pt idx="12">
                  <c:v>0.415528744343579</c:v>
                </c:pt>
                <c:pt idx="13">
                  <c:v>0.415528744343579</c:v>
                </c:pt>
                <c:pt idx="14">
                  <c:v>0.415528744343579</c:v>
                </c:pt>
                <c:pt idx="15">
                  <c:v>0.16556933445702107</c:v>
                </c:pt>
                <c:pt idx="16">
                  <c:v>0.12049412848727065</c:v>
                </c:pt>
                <c:pt idx="17">
                  <c:v>0.14194373340932015</c:v>
                </c:pt>
                <c:pt idx="18">
                  <c:v>0.10731080751137044</c:v>
                </c:pt>
                <c:pt idx="19">
                  <c:v>9.8234136341127931E-2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9-4D56-8964-D08FB0263770}"/>
            </c:ext>
          </c:extLst>
        </c:ser>
        <c:ser>
          <c:idx val="1"/>
          <c:order val="1"/>
          <c:tx>
            <c:strRef>
              <c:f>'Contribution 4. Governance'!$A$3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4. Governance'!$B$1:$U$1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4. Governance'!$B$3:$U$3</c:f>
              <c:numCache>
                <c:formatCode>General</c:formatCode>
                <c:ptCount val="20"/>
                <c:pt idx="0">
                  <c:v>0.64482648730540104</c:v>
                </c:pt>
                <c:pt idx="1">
                  <c:v>0.64482648730540104</c:v>
                </c:pt>
                <c:pt idx="2">
                  <c:v>0.64482648730540104</c:v>
                </c:pt>
                <c:pt idx="3">
                  <c:v>0.64482648730540104</c:v>
                </c:pt>
                <c:pt idx="4">
                  <c:v>0.64482648730540104</c:v>
                </c:pt>
                <c:pt idx="5">
                  <c:v>0.5163223395651857</c:v>
                </c:pt>
                <c:pt idx="6">
                  <c:v>0.19630882884341919</c:v>
                </c:pt>
                <c:pt idx="7">
                  <c:v>0.46153839452169315</c:v>
                </c:pt>
                <c:pt idx="8">
                  <c:v>0.53177236845112885</c:v>
                </c:pt>
                <c:pt idx="9">
                  <c:v>0.64308241075374084</c:v>
                </c:pt>
                <c:pt idx="10">
                  <c:v>0.41535671172302813</c:v>
                </c:pt>
                <c:pt idx="11">
                  <c:v>0.41535671172302813</c:v>
                </c:pt>
                <c:pt idx="12">
                  <c:v>0.41535671172302813</c:v>
                </c:pt>
                <c:pt idx="13">
                  <c:v>0.41535671172302813</c:v>
                </c:pt>
                <c:pt idx="14">
                  <c:v>0.41535671172302813</c:v>
                </c:pt>
                <c:pt idx="15">
                  <c:v>0.46823715346175099</c:v>
                </c:pt>
                <c:pt idx="16">
                  <c:v>0.33651266829686305</c:v>
                </c:pt>
                <c:pt idx="17">
                  <c:v>0.43467557060122713</c:v>
                </c:pt>
                <c:pt idx="18">
                  <c:v>0.61720787685884981</c:v>
                </c:pt>
                <c:pt idx="19">
                  <c:v>0.61446787623688326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9-4D56-8964-D08FB0263770}"/>
            </c:ext>
          </c:extLst>
        </c:ser>
        <c:ser>
          <c:idx val="2"/>
          <c:order val="2"/>
          <c:tx>
            <c:strRef>
              <c:f>'Contribution 4. Governance'!$A$4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4. Governance'!$B$1:$U$1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4. Governance'!$B$4:$U$4</c:f>
              <c:numCache>
                <c:formatCode>General</c:formatCode>
                <c:ptCount val="20"/>
                <c:pt idx="0">
                  <c:v>0.26254430045069832</c:v>
                </c:pt>
                <c:pt idx="1">
                  <c:v>0.26254430045069832</c:v>
                </c:pt>
                <c:pt idx="2">
                  <c:v>0.26254430045069832</c:v>
                </c:pt>
                <c:pt idx="3">
                  <c:v>0.26254430045069832</c:v>
                </c:pt>
                <c:pt idx="4">
                  <c:v>0.26254430045069832</c:v>
                </c:pt>
                <c:pt idx="5">
                  <c:v>0.45204470419166426</c:v>
                </c:pt>
                <c:pt idx="6">
                  <c:v>0.7939186828748136</c:v>
                </c:pt>
                <c:pt idx="7">
                  <c:v>0.50606095684018526</c:v>
                </c:pt>
                <c:pt idx="8">
                  <c:v>0.35830712457705183</c:v>
                </c:pt>
                <c:pt idx="9">
                  <c:v>0.32447113390924553</c:v>
                </c:pt>
                <c:pt idx="10">
                  <c:v>0.16911454393339287</c:v>
                </c:pt>
                <c:pt idx="11">
                  <c:v>0.16911454393339287</c:v>
                </c:pt>
                <c:pt idx="12">
                  <c:v>0.16911454393339287</c:v>
                </c:pt>
                <c:pt idx="13">
                  <c:v>0.16911454393339287</c:v>
                </c:pt>
                <c:pt idx="14">
                  <c:v>0.16911454393339287</c:v>
                </c:pt>
                <c:pt idx="15">
                  <c:v>0.36619351208122797</c:v>
                </c:pt>
                <c:pt idx="16">
                  <c:v>0.54299320321586619</c:v>
                </c:pt>
                <c:pt idx="17">
                  <c:v>0.42338069598945277</c:v>
                </c:pt>
                <c:pt idx="18">
                  <c:v>0.27548131562977973</c:v>
                </c:pt>
                <c:pt idx="19">
                  <c:v>0.28729798742198881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9-4D56-8964-D08FB0263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5. Community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5. Community'!$A$2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5. Community'!$B$1:$U$1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5. Community'!$B$2:$U$2</c:f>
              <c:numCache>
                <c:formatCode>General</c:formatCode>
                <c:ptCount val="20"/>
                <c:pt idx="0">
                  <c:v>0.12233727337863905</c:v>
                </c:pt>
                <c:pt idx="1">
                  <c:v>0.12233727337863905</c:v>
                </c:pt>
                <c:pt idx="2">
                  <c:v>0.12233727337863905</c:v>
                </c:pt>
                <c:pt idx="3">
                  <c:v>0.12233727337863905</c:v>
                </c:pt>
                <c:pt idx="4">
                  <c:v>0.12233727337863905</c:v>
                </c:pt>
                <c:pt idx="5">
                  <c:v>2.2568442543575915E-2</c:v>
                </c:pt>
                <c:pt idx="6">
                  <c:v>1.0030504726444893E-2</c:v>
                </c:pt>
                <c:pt idx="7">
                  <c:v>2.5707930175093659E-2</c:v>
                </c:pt>
                <c:pt idx="8">
                  <c:v>5.0949469110307961E-2</c:v>
                </c:pt>
                <c:pt idx="9">
                  <c:v>1.0229420232474454E-2</c:v>
                </c:pt>
                <c:pt idx="10">
                  <c:v>0.6388670816309886</c:v>
                </c:pt>
                <c:pt idx="11">
                  <c:v>0.6388670816309886</c:v>
                </c:pt>
                <c:pt idx="12">
                  <c:v>0.6388670816309886</c:v>
                </c:pt>
                <c:pt idx="13">
                  <c:v>0.6388670816309886</c:v>
                </c:pt>
                <c:pt idx="14">
                  <c:v>0.6388670816309886</c:v>
                </c:pt>
                <c:pt idx="15">
                  <c:v>0.11691914719593344</c:v>
                </c:pt>
                <c:pt idx="16">
                  <c:v>0.11998626935115232</c:v>
                </c:pt>
                <c:pt idx="17">
                  <c:v>0.11040918282020036</c:v>
                </c:pt>
                <c:pt idx="18">
                  <c:v>6.8878454485982718E-2</c:v>
                </c:pt>
                <c:pt idx="19">
                  <c:v>2.8184439926719217E-2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4-4F6A-A00D-33AECF1BA4F3}"/>
            </c:ext>
          </c:extLst>
        </c:ser>
        <c:ser>
          <c:idx val="1"/>
          <c:order val="1"/>
          <c:tx>
            <c:strRef>
              <c:f>'Contribution 5. Community'!$A$3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5. Community'!$B$1:$U$1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5. Community'!$B$3:$U$3</c:f>
              <c:numCache>
                <c:formatCode>General</c:formatCode>
                <c:ptCount val="20"/>
                <c:pt idx="0">
                  <c:v>0.59980163742343484</c:v>
                </c:pt>
                <c:pt idx="1">
                  <c:v>0.59980163742343484</c:v>
                </c:pt>
                <c:pt idx="2">
                  <c:v>0.59980163742343484</c:v>
                </c:pt>
                <c:pt idx="3">
                  <c:v>0.59980163742343484</c:v>
                </c:pt>
                <c:pt idx="4">
                  <c:v>0.59980163742343484</c:v>
                </c:pt>
                <c:pt idx="5">
                  <c:v>0.64274862149409373</c:v>
                </c:pt>
                <c:pt idx="6">
                  <c:v>0.18978951062632002</c:v>
                </c:pt>
                <c:pt idx="7">
                  <c:v>0.51465315490964603</c:v>
                </c:pt>
                <c:pt idx="8">
                  <c:v>0.81192780335474146</c:v>
                </c:pt>
                <c:pt idx="9">
                  <c:v>0.87394902233561667</c:v>
                </c:pt>
                <c:pt idx="10">
                  <c:v>0.24680108792940145</c:v>
                </c:pt>
                <c:pt idx="11">
                  <c:v>0.24680108792940145</c:v>
                </c:pt>
                <c:pt idx="12">
                  <c:v>0.24680108792940145</c:v>
                </c:pt>
                <c:pt idx="13">
                  <c:v>0.24680108792940145</c:v>
                </c:pt>
                <c:pt idx="14">
                  <c:v>0.24680108792940145</c:v>
                </c:pt>
                <c:pt idx="15">
                  <c:v>0.58755266446028342</c:v>
                </c:pt>
                <c:pt idx="16">
                  <c:v>0.33050090128389897</c:v>
                </c:pt>
                <c:pt idx="17">
                  <c:v>0.47872828322528455</c:v>
                </c:pt>
                <c:pt idx="18">
                  <c:v>0.80263866738242451</c:v>
                </c:pt>
                <c:pt idx="19">
                  <c:v>0.85860081620156248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4-4F6A-A00D-33AECF1BA4F3}"/>
            </c:ext>
          </c:extLst>
        </c:ser>
        <c:ser>
          <c:idx val="2"/>
          <c:order val="2"/>
          <c:tx>
            <c:strRef>
              <c:f>'Contribution 5. Community'!$A$4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5. Community'!$B$1:$U$1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5. Community'!$B$4:$U$4</c:f>
              <c:numCache>
                <c:formatCode>General</c:formatCode>
                <c:ptCount val="20"/>
                <c:pt idx="0">
                  <c:v>0.27786108919792613</c:v>
                </c:pt>
                <c:pt idx="1">
                  <c:v>0.27786108919792613</c:v>
                </c:pt>
                <c:pt idx="2">
                  <c:v>0.27786108919792613</c:v>
                </c:pt>
                <c:pt idx="3">
                  <c:v>0.27786108919792613</c:v>
                </c:pt>
                <c:pt idx="4">
                  <c:v>0.27786108919792613</c:v>
                </c:pt>
                <c:pt idx="5">
                  <c:v>0.33468293596233034</c:v>
                </c:pt>
                <c:pt idx="6">
                  <c:v>0.80017998464723517</c:v>
                </c:pt>
                <c:pt idx="7">
                  <c:v>0.45963891491526032</c:v>
                </c:pt>
                <c:pt idx="8">
                  <c:v>0.13712272753495058</c:v>
                </c:pt>
                <c:pt idx="9">
                  <c:v>0.11582155743190888</c:v>
                </c:pt>
                <c:pt idx="10">
                  <c:v>0.11433183043960993</c:v>
                </c:pt>
                <c:pt idx="11">
                  <c:v>0.11433183043960993</c:v>
                </c:pt>
                <c:pt idx="12">
                  <c:v>0.11433183043960993</c:v>
                </c:pt>
                <c:pt idx="13">
                  <c:v>0.11433183043960993</c:v>
                </c:pt>
                <c:pt idx="14">
                  <c:v>0.11433183043960993</c:v>
                </c:pt>
                <c:pt idx="15">
                  <c:v>0.29552818834378314</c:v>
                </c:pt>
                <c:pt idx="16">
                  <c:v>0.54951282936494872</c:v>
                </c:pt>
                <c:pt idx="17">
                  <c:v>0.41086253395451505</c:v>
                </c:pt>
                <c:pt idx="18">
                  <c:v>0.12848287813159276</c:v>
                </c:pt>
                <c:pt idx="19">
                  <c:v>0.1132147438717183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4-4F6A-A00D-33AECF1BA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2. Health and safety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2. Health &amp; safety'!$A$2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2. Health &amp; safety'!$B$1:$U$1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2. Health &amp; safety'!$B$2:$U$2</c:f>
              <c:numCache>
                <c:formatCode>General</c:formatCode>
                <c:ptCount val="20"/>
                <c:pt idx="0">
                  <c:v>9.1807209172830875E-2</c:v>
                </c:pt>
                <c:pt idx="1">
                  <c:v>9.1807209172830875E-2</c:v>
                </c:pt>
                <c:pt idx="2">
                  <c:v>9.1807209172830875E-2</c:v>
                </c:pt>
                <c:pt idx="3">
                  <c:v>9.1807209172830875E-2</c:v>
                </c:pt>
                <c:pt idx="4">
                  <c:v>9.1807209172830875E-2</c:v>
                </c:pt>
                <c:pt idx="5">
                  <c:v>2.5873608678699832E-2</c:v>
                </c:pt>
                <c:pt idx="6">
                  <c:v>1.2452295795163139E-2</c:v>
                </c:pt>
                <c:pt idx="7">
                  <c:v>3.0166263082971441E-2</c:v>
                </c:pt>
                <c:pt idx="8">
                  <c:v>5.542491677937654E-2</c:v>
                </c:pt>
                <c:pt idx="9">
                  <c:v>1.264947617869806E-2</c:v>
                </c:pt>
                <c:pt idx="10">
                  <c:v>0.45235130942397872</c:v>
                </c:pt>
                <c:pt idx="11">
                  <c:v>0.45235130942397872</c:v>
                </c:pt>
                <c:pt idx="12">
                  <c:v>0.45235130942397872</c:v>
                </c:pt>
                <c:pt idx="13">
                  <c:v>0.45235130942397872</c:v>
                </c:pt>
                <c:pt idx="14">
                  <c:v>0.45235130942397872</c:v>
                </c:pt>
                <c:pt idx="15">
                  <c:v>0.11805091846309186</c:v>
                </c:pt>
                <c:pt idx="16">
                  <c:v>0.12187537302211113</c:v>
                </c:pt>
                <c:pt idx="17">
                  <c:v>0.11147335413434065</c:v>
                </c:pt>
                <c:pt idx="18">
                  <c:v>6.0642186487633844E-2</c:v>
                </c:pt>
                <c:pt idx="19">
                  <c:v>3.4660856647030683E-2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E-4F4F-8C9C-F0FFB83E4141}"/>
            </c:ext>
          </c:extLst>
        </c:ser>
        <c:ser>
          <c:idx val="1"/>
          <c:order val="1"/>
          <c:tx>
            <c:strRef>
              <c:f>'Contribution 2. Health &amp; safety'!$A$3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2. Health &amp; safety'!$B$1:$U$1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2. Health &amp; safety'!$B$3:$U$3</c:f>
              <c:numCache>
                <c:formatCode>General</c:formatCode>
                <c:ptCount val="20"/>
                <c:pt idx="0">
                  <c:v>0.65905998622980289</c:v>
                </c:pt>
                <c:pt idx="1">
                  <c:v>0.65905998622980289</c:v>
                </c:pt>
                <c:pt idx="2">
                  <c:v>0.65905998622980289</c:v>
                </c:pt>
                <c:pt idx="3">
                  <c:v>0.65905998622980289</c:v>
                </c:pt>
                <c:pt idx="4">
                  <c:v>0.65905998622980289</c:v>
                </c:pt>
                <c:pt idx="5">
                  <c:v>0.6404994057464205</c:v>
                </c:pt>
                <c:pt idx="6">
                  <c:v>0.2068590817684885</c:v>
                </c:pt>
                <c:pt idx="7">
                  <c:v>0.55767154956769904</c:v>
                </c:pt>
                <c:pt idx="8">
                  <c:v>0.75833096780171472</c:v>
                </c:pt>
                <c:pt idx="9">
                  <c:v>0.87047527567775651</c:v>
                </c:pt>
                <c:pt idx="10">
                  <c:v>0.39741929479650373</c:v>
                </c:pt>
                <c:pt idx="11">
                  <c:v>0.39741929479650373</c:v>
                </c:pt>
                <c:pt idx="12">
                  <c:v>0.39741929479650373</c:v>
                </c:pt>
                <c:pt idx="13">
                  <c:v>0.39741929479650373</c:v>
                </c:pt>
                <c:pt idx="14">
                  <c:v>0.39741929479650373</c:v>
                </c:pt>
                <c:pt idx="15">
                  <c:v>0.59032642205576324</c:v>
                </c:pt>
                <c:pt idx="16">
                  <c:v>0.34089683244451774</c:v>
                </c:pt>
                <c:pt idx="17">
                  <c:v>0.52538498335709582</c:v>
                </c:pt>
                <c:pt idx="18">
                  <c:v>0.78639897196366981</c:v>
                </c:pt>
                <c:pt idx="19">
                  <c:v>0.85266774141598645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E-4F4F-8C9C-F0FFB83E4141}"/>
            </c:ext>
          </c:extLst>
        </c:ser>
        <c:ser>
          <c:idx val="2"/>
          <c:order val="2"/>
          <c:tx>
            <c:strRef>
              <c:f>'Contribution 2. Health &amp; safety'!$A$4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2. Health &amp; safety'!$B$1:$U$1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2. Health &amp; safety'!$B$4:$U$4</c:f>
              <c:numCache>
                <c:formatCode>General</c:formatCode>
                <c:ptCount val="20"/>
                <c:pt idx="0">
                  <c:v>0.24913280459736625</c:v>
                </c:pt>
                <c:pt idx="1">
                  <c:v>0.24913280459736625</c:v>
                </c:pt>
                <c:pt idx="2">
                  <c:v>0.24913280459736625</c:v>
                </c:pt>
                <c:pt idx="3">
                  <c:v>0.24913280459736625</c:v>
                </c:pt>
                <c:pt idx="4">
                  <c:v>0.24913280459736625</c:v>
                </c:pt>
                <c:pt idx="5">
                  <c:v>0.33362698557487969</c:v>
                </c:pt>
                <c:pt idx="6">
                  <c:v>0.78068862243634829</c:v>
                </c:pt>
                <c:pt idx="7">
                  <c:v>0.41216218734932952</c:v>
                </c:pt>
                <c:pt idx="8">
                  <c:v>0.18624411541890873</c:v>
                </c:pt>
                <c:pt idx="9">
                  <c:v>0.11687524814354543</c:v>
                </c:pt>
                <c:pt idx="10">
                  <c:v>0.15022939577951755</c:v>
                </c:pt>
                <c:pt idx="11">
                  <c:v>0.15022939577951755</c:v>
                </c:pt>
                <c:pt idx="12">
                  <c:v>0.15022939577951755</c:v>
                </c:pt>
                <c:pt idx="13">
                  <c:v>0.15022939577951755</c:v>
                </c:pt>
                <c:pt idx="14">
                  <c:v>0.15022939577951755</c:v>
                </c:pt>
                <c:pt idx="15">
                  <c:v>0.29162265948114491</c:v>
                </c:pt>
                <c:pt idx="16">
                  <c:v>0.53722779453337111</c:v>
                </c:pt>
                <c:pt idx="17">
                  <c:v>0.3631416625085635</c:v>
                </c:pt>
                <c:pt idx="18">
                  <c:v>0.15295884154869635</c:v>
                </c:pt>
                <c:pt idx="19">
                  <c:v>0.11267140193698287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E-4F4F-8C9C-F0FFB83E4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3. Society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3. Society'!$A$2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3. Society'!$B$1:$U$1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3. Society'!$B$2:$U$2</c:f>
              <c:numCache>
                <c:formatCode>General</c:formatCode>
                <c:ptCount val="20"/>
                <c:pt idx="0">
                  <c:v>0.12042410392667306</c:v>
                </c:pt>
                <c:pt idx="1">
                  <c:v>0.12042410392667306</c:v>
                </c:pt>
                <c:pt idx="2">
                  <c:v>0.12042410392667306</c:v>
                </c:pt>
                <c:pt idx="3">
                  <c:v>0.12042410392667306</c:v>
                </c:pt>
                <c:pt idx="4">
                  <c:v>0.12042410392667306</c:v>
                </c:pt>
                <c:pt idx="5">
                  <c:v>2.5816167355060288E-2</c:v>
                </c:pt>
                <c:pt idx="6">
                  <c:v>1.0060060563869003E-2</c:v>
                </c:pt>
                <c:pt idx="7">
                  <c:v>2.85917764481354E-2</c:v>
                </c:pt>
                <c:pt idx="8">
                  <c:v>6.7253561084075347E-2</c:v>
                </c:pt>
                <c:pt idx="9">
                  <c:v>1.4753149859796129E-2</c:v>
                </c:pt>
                <c:pt idx="10">
                  <c:v>0.54914734513993357</c:v>
                </c:pt>
                <c:pt idx="11">
                  <c:v>0.54914734513993357</c:v>
                </c:pt>
                <c:pt idx="12">
                  <c:v>0.54914734513993357</c:v>
                </c:pt>
                <c:pt idx="13">
                  <c:v>0.54914734513993357</c:v>
                </c:pt>
                <c:pt idx="14">
                  <c:v>0.54914734513993357</c:v>
                </c:pt>
                <c:pt idx="15">
                  <c:v>0.13996700892032204</c:v>
                </c:pt>
                <c:pt idx="16">
                  <c:v>0.12159738859526091</c:v>
                </c:pt>
                <c:pt idx="17">
                  <c:v>0.13228863913002697</c:v>
                </c:pt>
                <c:pt idx="18">
                  <c:v>8.4318745663757605E-2</c:v>
                </c:pt>
                <c:pt idx="19">
                  <c:v>4.4569115919310204E-2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510-8F1C-0CDE8AC0ECAB}"/>
            </c:ext>
          </c:extLst>
        </c:ser>
        <c:ser>
          <c:idx val="1"/>
          <c:order val="1"/>
          <c:tx>
            <c:strRef>
              <c:f>'Contribution 3. Society'!$A$3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3. Society'!$B$1:$U$1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3. Society'!$B$3:$U$3</c:f>
              <c:numCache>
                <c:formatCode>General</c:formatCode>
                <c:ptCount val="20"/>
                <c:pt idx="0">
                  <c:v>0.60024297241094837</c:v>
                </c:pt>
                <c:pt idx="1">
                  <c:v>0.60024297241094837</c:v>
                </c:pt>
                <c:pt idx="2">
                  <c:v>0.60024297241094837</c:v>
                </c:pt>
                <c:pt idx="3">
                  <c:v>0.60024297241094837</c:v>
                </c:pt>
                <c:pt idx="4">
                  <c:v>0.60024297241094837</c:v>
                </c:pt>
                <c:pt idx="5">
                  <c:v>0.57525186937526429</c:v>
                </c:pt>
                <c:pt idx="6">
                  <c:v>0.18506709162063478</c:v>
                </c:pt>
                <c:pt idx="7">
                  <c:v>0.47132107369358023</c:v>
                </c:pt>
                <c:pt idx="8">
                  <c:v>0.7460536829014468</c:v>
                </c:pt>
                <c:pt idx="9">
                  <c:v>0.84187885625823322</c:v>
                </c:pt>
                <c:pt idx="10">
                  <c:v>0.30767229852557604</c:v>
                </c:pt>
                <c:pt idx="11">
                  <c:v>0.30767229852557604</c:v>
                </c:pt>
                <c:pt idx="12">
                  <c:v>0.30767229852557604</c:v>
                </c:pt>
                <c:pt idx="13">
                  <c:v>0.30767229852557604</c:v>
                </c:pt>
                <c:pt idx="14">
                  <c:v>0.30767229852557604</c:v>
                </c:pt>
                <c:pt idx="15">
                  <c:v>0.52114463433970903</c:v>
                </c:pt>
                <c:pt idx="16">
                  <c:v>0.32531023670365861</c:v>
                </c:pt>
                <c:pt idx="17">
                  <c:v>0.43816791246027881</c:v>
                </c:pt>
                <c:pt idx="18">
                  <c:v>0.74754796294443082</c:v>
                </c:pt>
                <c:pt idx="19">
                  <c:v>0.81807411305249711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B-4510-8F1C-0CDE8AC0ECAB}"/>
            </c:ext>
          </c:extLst>
        </c:ser>
        <c:ser>
          <c:idx val="2"/>
          <c:order val="2"/>
          <c:tx>
            <c:strRef>
              <c:f>'Contribution 3. Society'!$A$4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3. Society'!$B$1:$U$1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3. Society'!$B$4:$U$4</c:f>
              <c:numCache>
                <c:formatCode>General</c:formatCode>
                <c:ptCount val="20"/>
                <c:pt idx="0">
                  <c:v>0.27933292366237855</c:v>
                </c:pt>
                <c:pt idx="1">
                  <c:v>0.27933292366237855</c:v>
                </c:pt>
                <c:pt idx="2">
                  <c:v>0.27933292366237855</c:v>
                </c:pt>
                <c:pt idx="3">
                  <c:v>0.27933292366237855</c:v>
                </c:pt>
                <c:pt idx="4">
                  <c:v>0.27933292366237855</c:v>
                </c:pt>
                <c:pt idx="5">
                  <c:v>0.39893196326967539</c:v>
                </c:pt>
                <c:pt idx="6">
                  <c:v>0.80487284781549628</c:v>
                </c:pt>
                <c:pt idx="7">
                  <c:v>0.5000871498582844</c:v>
                </c:pt>
                <c:pt idx="8">
                  <c:v>0.18669275601447785</c:v>
                </c:pt>
                <c:pt idx="9">
                  <c:v>0.14336799388197066</c:v>
                </c:pt>
                <c:pt idx="10">
                  <c:v>0.14318035633449044</c:v>
                </c:pt>
                <c:pt idx="11">
                  <c:v>0.14318035633449044</c:v>
                </c:pt>
                <c:pt idx="12">
                  <c:v>0.14318035633449044</c:v>
                </c:pt>
                <c:pt idx="13">
                  <c:v>0.14318035633449044</c:v>
                </c:pt>
                <c:pt idx="14">
                  <c:v>0.14318035633449044</c:v>
                </c:pt>
                <c:pt idx="15">
                  <c:v>0.33888835673996892</c:v>
                </c:pt>
                <c:pt idx="16">
                  <c:v>0.55309237470108041</c:v>
                </c:pt>
                <c:pt idx="17">
                  <c:v>0.42954344840969416</c:v>
                </c:pt>
                <c:pt idx="18">
                  <c:v>0.16813329139181157</c:v>
                </c:pt>
                <c:pt idx="19">
                  <c:v>0.13735677102819269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B-4510-8F1C-0CDE8AC0E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4. Governance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4. Governance'!$A$2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4. Governance'!$B$1:$U$1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4. Governance'!$B$2:$U$2</c:f>
              <c:numCache>
                <c:formatCode>General</c:formatCode>
                <c:ptCount val="20"/>
                <c:pt idx="0">
                  <c:v>9.2629212243900666E-2</c:v>
                </c:pt>
                <c:pt idx="1">
                  <c:v>9.2629212243900666E-2</c:v>
                </c:pt>
                <c:pt idx="2">
                  <c:v>9.2629212243900666E-2</c:v>
                </c:pt>
                <c:pt idx="3">
                  <c:v>9.2629212243900666E-2</c:v>
                </c:pt>
                <c:pt idx="4">
                  <c:v>9.2629212243900666E-2</c:v>
                </c:pt>
                <c:pt idx="5">
                  <c:v>3.1632956243150066E-2</c:v>
                </c:pt>
                <c:pt idx="6">
                  <c:v>9.7724882817672633E-3</c:v>
                </c:pt>
                <c:pt idx="7">
                  <c:v>3.2400648638121698E-2</c:v>
                </c:pt>
                <c:pt idx="8">
                  <c:v>0.10992050697181932</c:v>
                </c:pt>
                <c:pt idx="9">
                  <c:v>3.2446455337013652E-2</c:v>
                </c:pt>
                <c:pt idx="10">
                  <c:v>0.415528744343579</c:v>
                </c:pt>
                <c:pt idx="11">
                  <c:v>0.415528744343579</c:v>
                </c:pt>
                <c:pt idx="12">
                  <c:v>0.415528744343579</c:v>
                </c:pt>
                <c:pt idx="13">
                  <c:v>0.415528744343579</c:v>
                </c:pt>
                <c:pt idx="14">
                  <c:v>0.415528744343579</c:v>
                </c:pt>
                <c:pt idx="15">
                  <c:v>0.16556933445702107</c:v>
                </c:pt>
                <c:pt idx="16">
                  <c:v>0.12049412848727065</c:v>
                </c:pt>
                <c:pt idx="17">
                  <c:v>0.14194373340932015</c:v>
                </c:pt>
                <c:pt idx="18">
                  <c:v>0.10731080751137044</c:v>
                </c:pt>
                <c:pt idx="19">
                  <c:v>9.8234136341127931E-2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1-4E76-8BF3-62726147C4BE}"/>
            </c:ext>
          </c:extLst>
        </c:ser>
        <c:ser>
          <c:idx val="1"/>
          <c:order val="1"/>
          <c:tx>
            <c:strRef>
              <c:f>'Contribution 4. Governance'!$A$3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4. Governance'!$B$1:$U$1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4. Governance'!$B$3:$U$3</c:f>
              <c:numCache>
                <c:formatCode>General</c:formatCode>
                <c:ptCount val="20"/>
                <c:pt idx="0">
                  <c:v>0.64482648730540104</c:v>
                </c:pt>
                <c:pt idx="1">
                  <c:v>0.64482648730540104</c:v>
                </c:pt>
                <c:pt idx="2">
                  <c:v>0.64482648730540104</c:v>
                </c:pt>
                <c:pt idx="3">
                  <c:v>0.64482648730540104</c:v>
                </c:pt>
                <c:pt idx="4">
                  <c:v>0.64482648730540104</c:v>
                </c:pt>
                <c:pt idx="5">
                  <c:v>0.5163223395651857</c:v>
                </c:pt>
                <c:pt idx="6">
                  <c:v>0.19630882884341919</c:v>
                </c:pt>
                <c:pt idx="7">
                  <c:v>0.46153839452169315</c:v>
                </c:pt>
                <c:pt idx="8">
                  <c:v>0.53177236845112885</c:v>
                </c:pt>
                <c:pt idx="9">
                  <c:v>0.64308241075374084</c:v>
                </c:pt>
                <c:pt idx="10">
                  <c:v>0.41535671172302813</c:v>
                </c:pt>
                <c:pt idx="11">
                  <c:v>0.41535671172302813</c:v>
                </c:pt>
                <c:pt idx="12">
                  <c:v>0.41535671172302813</c:v>
                </c:pt>
                <c:pt idx="13">
                  <c:v>0.41535671172302813</c:v>
                </c:pt>
                <c:pt idx="14">
                  <c:v>0.41535671172302813</c:v>
                </c:pt>
                <c:pt idx="15">
                  <c:v>0.46823715346175099</c:v>
                </c:pt>
                <c:pt idx="16">
                  <c:v>0.33651266829686305</c:v>
                </c:pt>
                <c:pt idx="17">
                  <c:v>0.43467557060122713</c:v>
                </c:pt>
                <c:pt idx="18">
                  <c:v>0.61720787685884981</c:v>
                </c:pt>
                <c:pt idx="19">
                  <c:v>0.61446787623688326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1-4E76-8BF3-62726147C4BE}"/>
            </c:ext>
          </c:extLst>
        </c:ser>
        <c:ser>
          <c:idx val="2"/>
          <c:order val="2"/>
          <c:tx>
            <c:strRef>
              <c:f>'Contribution 4. Governance'!$A$4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4. Governance'!$B$1:$U$1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4. Governance'!$B$4:$U$4</c:f>
              <c:numCache>
                <c:formatCode>General</c:formatCode>
                <c:ptCount val="20"/>
                <c:pt idx="0">
                  <c:v>0.26254430045069832</c:v>
                </c:pt>
                <c:pt idx="1">
                  <c:v>0.26254430045069832</c:v>
                </c:pt>
                <c:pt idx="2">
                  <c:v>0.26254430045069832</c:v>
                </c:pt>
                <c:pt idx="3">
                  <c:v>0.26254430045069832</c:v>
                </c:pt>
                <c:pt idx="4">
                  <c:v>0.26254430045069832</c:v>
                </c:pt>
                <c:pt idx="5">
                  <c:v>0.45204470419166426</c:v>
                </c:pt>
                <c:pt idx="6">
                  <c:v>0.7939186828748136</c:v>
                </c:pt>
                <c:pt idx="7">
                  <c:v>0.50606095684018526</c:v>
                </c:pt>
                <c:pt idx="8">
                  <c:v>0.35830712457705183</c:v>
                </c:pt>
                <c:pt idx="9">
                  <c:v>0.32447113390924553</c:v>
                </c:pt>
                <c:pt idx="10">
                  <c:v>0.16911454393339287</c:v>
                </c:pt>
                <c:pt idx="11">
                  <c:v>0.16911454393339287</c:v>
                </c:pt>
                <c:pt idx="12">
                  <c:v>0.16911454393339287</c:v>
                </c:pt>
                <c:pt idx="13">
                  <c:v>0.16911454393339287</c:v>
                </c:pt>
                <c:pt idx="14">
                  <c:v>0.16911454393339287</c:v>
                </c:pt>
                <c:pt idx="15">
                  <c:v>0.36619351208122797</c:v>
                </c:pt>
                <c:pt idx="16">
                  <c:v>0.54299320321586619</c:v>
                </c:pt>
                <c:pt idx="17">
                  <c:v>0.42338069598945277</c:v>
                </c:pt>
                <c:pt idx="18">
                  <c:v>0.27548131562977973</c:v>
                </c:pt>
                <c:pt idx="19">
                  <c:v>0.28729798742198881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1-4E76-8BF3-62726147C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Contribution to 5. Community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'Contribution 5. Community'!$A$2</c:f>
              <c:strCache>
                <c:ptCount val="1"/>
                <c:pt idx="0">
                  <c:v>Mining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'Contribution 5. Community'!$B$1:$U$1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5. Community'!$B$2:$U$2</c:f>
              <c:numCache>
                <c:formatCode>General</c:formatCode>
                <c:ptCount val="20"/>
                <c:pt idx="0">
                  <c:v>0.12233727337863905</c:v>
                </c:pt>
                <c:pt idx="1">
                  <c:v>0.12233727337863905</c:v>
                </c:pt>
                <c:pt idx="2">
                  <c:v>0.12233727337863905</c:v>
                </c:pt>
                <c:pt idx="3">
                  <c:v>0.12233727337863905</c:v>
                </c:pt>
                <c:pt idx="4">
                  <c:v>0.12233727337863905</c:v>
                </c:pt>
                <c:pt idx="5">
                  <c:v>2.2568442543575915E-2</c:v>
                </c:pt>
                <c:pt idx="6">
                  <c:v>1.0030504726444893E-2</c:v>
                </c:pt>
                <c:pt idx="7">
                  <c:v>2.5707930175093659E-2</c:v>
                </c:pt>
                <c:pt idx="8">
                  <c:v>5.0949469110307961E-2</c:v>
                </c:pt>
                <c:pt idx="9">
                  <c:v>1.0229420232474454E-2</c:v>
                </c:pt>
                <c:pt idx="10">
                  <c:v>0.6388670816309886</c:v>
                </c:pt>
                <c:pt idx="11">
                  <c:v>0.6388670816309886</c:v>
                </c:pt>
                <c:pt idx="12">
                  <c:v>0.6388670816309886</c:v>
                </c:pt>
                <c:pt idx="13">
                  <c:v>0.6388670816309886</c:v>
                </c:pt>
                <c:pt idx="14">
                  <c:v>0.6388670816309886</c:v>
                </c:pt>
                <c:pt idx="15">
                  <c:v>0.11691914719593344</c:v>
                </c:pt>
                <c:pt idx="16">
                  <c:v>0.11998626935115232</c:v>
                </c:pt>
                <c:pt idx="17">
                  <c:v>0.11040918282020036</c:v>
                </c:pt>
                <c:pt idx="18">
                  <c:v>6.8878454485982718E-2</c:v>
                </c:pt>
                <c:pt idx="19">
                  <c:v>2.8184439926719217E-2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3-4860-8643-B5E5528B0FF5}"/>
            </c:ext>
          </c:extLst>
        </c:ser>
        <c:ser>
          <c:idx val="1"/>
          <c:order val="1"/>
          <c:tx>
            <c:strRef>
              <c:f>'Contribution 5. Community'!$A$3</c:f>
              <c:strCache>
                <c:ptCount val="1"/>
                <c:pt idx="0">
                  <c:v>Refining 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'Contribution 5. Community'!$B$1:$U$1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5. Community'!$B$3:$U$3</c:f>
              <c:numCache>
                <c:formatCode>General</c:formatCode>
                <c:ptCount val="20"/>
                <c:pt idx="0">
                  <c:v>0.59980163742343484</c:v>
                </c:pt>
                <c:pt idx="1">
                  <c:v>0.59980163742343484</c:v>
                </c:pt>
                <c:pt idx="2">
                  <c:v>0.59980163742343484</c:v>
                </c:pt>
                <c:pt idx="3">
                  <c:v>0.59980163742343484</c:v>
                </c:pt>
                <c:pt idx="4">
                  <c:v>0.59980163742343484</c:v>
                </c:pt>
                <c:pt idx="5">
                  <c:v>0.64274862149409373</c:v>
                </c:pt>
                <c:pt idx="6">
                  <c:v>0.18978951062632002</c:v>
                </c:pt>
                <c:pt idx="7">
                  <c:v>0.51465315490964603</c:v>
                </c:pt>
                <c:pt idx="8">
                  <c:v>0.81192780335474146</c:v>
                </c:pt>
                <c:pt idx="9">
                  <c:v>0.87394902233561667</c:v>
                </c:pt>
                <c:pt idx="10">
                  <c:v>0.24680108792940145</c:v>
                </c:pt>
                <c:pt idx="11">
                  <c:v>0.24680108792940145</c:v>
                </c:pt>
                <c:pt idx="12">
                  <c:v>0.24680108792940145</c:v>
                </c:pt>
                <c:pt idx="13">
                  <c:v>0.24680108792940145</c:v>
                </c:pt>
                <c:pt idx="14">
                  <c:v>0.24680108792940145</c:v>
                </c:pt>
                <c:pt idx="15">
                  <c:v>0.58755266446028342</c:v>
                </c:pt>
                <c:pt idx="16">
                  <c:v>0.33050090128389897</c:v>
                </c:pt>
                <c:pt idx="17">
                  <c:v>0.47872828322528455</c:v>
                </c:pt>
                <c:pt idx="18">
                  <c:v>0.80263866738242451</c:v>
                </c:pt>
                <c:pt idx="19">
                  <c:v>0.85860081620156248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3-4860-8643-B5E5528B0FF5}"/>
            </c:ext>
          </c:extLst>
        </c:ser>
        <c:ser>
          <c:idx val="2"/>
          <c:order val="2"/>
          <c:tx>
            <c:strRef>
              <c:f>'Contribution 5. Community'!$A$4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'Contribution 5. Community'!$B$1:$U$1</c:f>
              <c:strCache>
                <c:ptCount val="20"/>
                <c:pt idx="0">
                  <c:v>Cobalt - CA supply &amp; CA refining</c:v>
                </c:pt>
                <c:pt idx="1">
                  <c:v>Copper - CA supply &amp; CA refining</c:v>
                </c:pt>
                <c:pt idx="2">
                  <c:v>Graphite - CA supply &amp; CA refining</c:v>
                </c:pt>
                <c:pt idx="3">
                  <c:v>Lithium - CA supply &amp; CA refining</c:v>
                </c:pt>
                <c:pt idx="4">
                  <c:v>Nickel - CA supply &amp; CA refining</c:v>
                </c:pt>
                <c:pt idx="5">
                  <c:v>Cobalt - CA supply &amp; RoW refining</c:v>
                </c:pt>
                <c:pt idx="6">
                  <c:v>Copper - CA supply &amp; RoW refining</c:v>
                </c:pt>
                <c:pt idx="7">
                  <c:v>Graphite - CA supply &amp; RoW refining</c:v>
                </c:pt>
                <c:pt idx="8">
                  <c:v>Lithium - CA supply &amp; RoW refining</c:v>
                </c:pt>
                <c:pt idx="9">
                  <c:v>Nickel - CA supply &amp; RoW refining</c:v>
                </c:pt>
                <c:pt idx="10">
                  <c:v>Cobalt - RoW supply &amp; CA refining</c:v>
                </c:pt>
                <c:pt idx="11">
                  <c:v>Copper - RoW supply &amp; CA refining</c:v>
                </c:pt>
                <c:pt idx="12">
                  <c:v>Graphite - RoW supply &amp; CA refining</c:v>
                </c:pt>
                <c:pt idx="13">
                  <c:v>Lithium - RoW supply &amp; CA refining</c:v>
                </c:pt>
                <c:pt idx="14">
                  <c:v>Nickel - RoW supply &amp; CA refining</c:v>
                </c:pt>
                <c:pt idx="15">
                  <c:v>Cobalt - RoW supply &amp; RoW refining</c:v>
                </c:pt>
                <c:pt idx="16">
                  <c:v>Copper - RoW supply &amp; RoW refining</c:v>
                </c:pt>
                <c:pt idx="17">
                  <c:v>Graphite - RoW supply &amp; RoW refining</c:v>
                </c:pt>
                <c:pt idx="18">
                  <c:v>Lithium - RoW supply &amp; RoW refining</c:v>
                </c:pt>
                <c:pt idx="19">
                  <c:v>Nickel - RoW supply &amp; RoW refining</c:v>
                </c:pt>
              </c:strCache>
            </c:strRef>
          </c:cat>
          <c:val>
            <c:numRef>
              <c:f>'Contribution 5. Community'!$B$4:$U$4</c:f>
              <c:numCache>
                <c:formatCode>General</c:formatCode>
                <c:ptCount val="20"/>
                <c:pt idx="0">
                  <c:v>0.27786108919792613</c:v>
                </c:pt>
                <c:pt idx="1">
                  <c:v>0.27786108919792613</c:v>
                </c:pt>
                <c:pt idx="2">
                  <c:v>0.27786108919792613</c:v>
                </c:pt>
                <c:pt idx="3">
                  <c:v>0.27786108919792613</c:v>
                </c:pt>
                <c:pt idx="4">
                  <c:v>0.27786108919792613</c:v>
                </c:pt>
                <c:pt idx="5">
                  <c:v>0.33468293596233034</c:v>
                </c:pt>
                <c:pt idx="6">
                  <c:v>0.80017998464723517</c:v>
                </c:pt>
                <c:pt idx="7">
                  <c:v>0.45963891491526032</c:v>
                </c:pt>
                <c:pt idx="8">
                  <c:v>0.13712272753495058</c:v>
                </c:pt>
                <c:pt idx="9">
                  <c:v>0.11582155743190888</c:v>
                </c:pt>
                <c:pt idx="10">
                  <c:v>0.11433183043960993</c:v>
                </c:pt>
                <c:pt idx="11">
                  <c:v>0.11433183043960993</c:v>
                </c:pt>
                <c:pt idx="12">
                  <c:v>0.11433183043960993</c:v>
                </c:pt>
                <c:pt idx="13">
                  <c:v>0.11433183043960993</c:v>
                </c:pt>
                <c:pt idx="14">
                  <c:v>0.11433183043960993</c:v>
                </c:pt>
                <c:pt idx="15">
                  <c:v>0.29552818834378314</c:v>
                </c:pt>
                <c:pt idx="16">
                  <c:v>0.54951282936494872</c:v>
                </c:pt>
                <c:pt idx="17">
                  <c:v>0.41086253395451505</c:v>
                </c:pt>
                <c:pt idx="18">
                  <c:v>0.12848287813159276</c:v>
                </c:pt>
                <c:pt idx="19">
                  <c:v>0.1132147438717183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3-4860-8643-B5E5528B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69920"/>
        <c:axId val="160053600"/>
      </c:barChart>
      <c:catAx>
        <c:axId val="160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53600"/>
        <c:crosses val="autoZero"/>
        <c:auto val="1"/>
        <c:lblAlgn val="ctr"/>
        <c:lblOffset val="100"/>
        <c:noMultiLvlLbl val="0"/>
      </c:catAx>
      <c:valAx>
        <c:axId val="1600536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571499</xdr:colOff>
      <xdr:row>1</xdr:row>
      <xdr:rowOff>168592</xdr:rowOff>
    </xdr:from>
    <xdr:to>
      <xdr:col>13</xdr:col>
      <xdr:colOff>85724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04111-532A-B57F-560F-0DCC331A8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733425</xdr:colOff>
      <xdr:row>21</xdr:row>
      <xdr:rowOff>21908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BD2A5-D9D8-47C8-923E-FA276BE12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0</xdr:row>
      <xdr:rowOff>0</xdr:rowOff>
    </xdr:from>
    <xdr:to>
      <xdr:col>18</xdr:col>
      <xdr:colOff>272415</xdr:colOff>
      <xdr:row>21</xdr:row>
      <xdr:rowOff>10478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D57E1B4-34D5-4097-A425-03F90A832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257175</xdr:colOff>
      <xdr:row>21</xdr:row>
      <xdr:rowOff>104775</xdr:rowOff>
    </xdr:from>
    <xdr:to>
      <xdr:col>9</xdr:col>
      <xdr:colOff>232410</xdr:colOff>
      <xdr:row>42</xdr:row>
      <xdr:rowOff>117158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44251A0-3DDD-45C0-89A7-47D8F49B9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514350</xdr:colOff>
      <xdr:row>21</xdr:row>
      <xdr:rowOff>142875</xdr:rowOff>
    </xdr:from>
    <xdr:to>
      <xdr:col>18</xdr:col>
      <xdr:colOff>497205</xdr:colOff>
      <xdr:row>42</xdr:row>
      <xdr:rowOff>162878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659D7C2-6A35-4FEC-85A0-90A413E2F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266700</xdr:colOff>
      <xdr:row>43</xdr:row>
      <xdr:rowOff>76200</xdr:rowOff>
    </xdr:from>
    <xdr:to>
      <xdr:col>11</xdr:col>
      <xdr:colOff>253365</xdr:colOff>
      <xdr:row>64</xdr:row>
      <xdr:rowOff>96203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C2C8651A-7D25-4BF5-B8EC-D669C7C03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3</xdr:row>
      <xdr:rowOff>66675</xdr:rowOff>
    </xdr:from>
    <xdr:to>
      <xdr:col>12</xdr:col>
      <xdr:colOff>596265</xdr:colOff>
      <xdr:row>24</xdr:row>
      <xdr:rowOff>77153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3D328-3C20-493B-9EA2-BD97C00E7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14</xdr:col>
      <xdr:colOff>127635</xdr:colOff>
      <xdr:row>25</xdr:row>
      <xdr:rowOff>12383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C3B57-E391-4FB4-84DE-3013AF72E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76200</xdr:rowOff>
    </xdr:from>
    <xdr:to>
      <xdr:col>14</xdr:col>
      <xdr:colOff>125730</xdr:colOff>
      <xdr:row>25</xdr:row>
      <xdr:rowOff>96203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95BD1-5747-4276-8FE4-7B27FE053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114300</xdr:rowOff>
    </xdr:from>
    <xdr:to>
      <xdr:col>14</xdr:col>
      <xdr:colOff>148590</xdr:colOff>
      <xdr:row>24</xdr:row>
      <xdr:rowOff>134303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53F3B-885C-46B6-9151-C799BDB56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eme_Ciraig">
  <a:themeElements>
    <a:clrScheme name="CIRAIG 2022">
      <a:dk1>
        <a:srgbClr val="000000"/>
      </a:dk1>
      <a:lt1>
        <a:srgbClr val="FFFFFF"/>
      </a:lt1>
      <a:dk2>
        <a:srgbClr val="000000"/>
      </a:dk2>
      <a:lt2>
        <a:srgbClr val="D9D9D9"/>
      </a:lt2>
      <a:accent1>
        <a:srgbClr val="00A1C0"/>
      </a:accent1>
      <a:accent2>
        <a:srgbClr val="0BAC43"/>
      </a:accent2>
      <a:accent3>
        <a:srgbClr val="FA961E"/>
      </a:accent3>
      <a:accent4>
        <a:srgbClr val="B91E32"/>
      </a:accent4>
      <a:accent5>
        <a:srgbClr val="005379"/>
      </a:accent5>
      <a:accent6>
        <a:srgbClr val="FDDA64"/>
      </a:accent6>
      <a:hlink>
        <a:srgbClr val="00A1C0"/>
      </a:hlink>
      <a:folHlink>
        <a:srgbClr val="09AB41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anchor="ctr"/>
      <a:lstStyle>
        <a:defPPr algn="l">
          <a:defRPr b="1" dirty="0">
            <a:solidFill>
              <a:schemeClr val="bg1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heme_Ciraig" id="{4A190B7C-04AA-8147-B518-35305C73CC5B}" vid="{3BDFB1DD-30E8-6647-BA69-0AC60E124183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opLeftCell="A2" workbookViewId="0">
      <selection activeCell="A32" sqref="A32"/>
    </sheetView>
  </sheetViews>
  <sheetFormatPr baseColWidth="10" defaultColWidth="9.140625" defaultRowHeight="15" x14ac:dyDescent="0.25"/>
  <cols>
    <col min="1" max="1" width="70.42578125" bestFit="1" customWidth="1"/>
    <col min="2" max="8" width="8.85546875" customWidth="1"/>
  </cols>
  <sheetData>
    <row r="1" spans="1:29" ht="7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8</v>
      </c>
      <c r="L1" s="2"/>
      <c r="M1" s="2"/>
      <c r="N1" s="2" t="s">
        <v>8</v>
      </c>
      <c r="O1" s="2" t="s">
        <v>9</v>
      </c>
      <c r="P1" s="2" t="s">
        <v>9</v>
      </c>
      <c r="Q1" s="2"/>
      <c r="R1" s="2"/>
      <c r="S1" s="2" t="s">
        <v>9</v>
      </c>
      <c r="T1" s="2" t="s">
        <v>10</v>
      </c>
      <c r="U1" s="2" t="s">
        <v>10</v>
      </c>
      <c r="V1" s="2"/>
      <c r="W1" s="2"/>
      <c r="X1" s="2" t="s">
        <v>10</v>
      </c>
      <c r="Y1" s="2" t="s">
        <v>11</v>
      </c>
      <c r="Z1" s="2" t="s">
        <v>11</v>
      </c>
      <c r="AA1" s="2"/>
      <c r="AB1" s="2"/>
      <c r="AC1" s="2" t="s">
        <v>11</v>
      </c>
    </row>
    <row r="2" spans="1:29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119</v>
      </c>
      <c r="M2" s="3" t="s">
        <v>121</v>
      </c>
      <c r="N2" s="3" t="s">
        <v>23</v>
      </c>
      <c r="O2" s="3" t="s">
        <v>24</v>
      </c>
      <c r="P2" s="3" t="s">
        <v>25</v>
      </c>
      <c r="Q2" s="3" t="s">
        <v>113</v>
      </c>
      <c r="R2" s="3" t="s">
        <v>109</v>
      </c>
      <c r="S2" s="3" t="s">
        <v>26</v>
      </c>
      <c r="T2" s="3" t="s">
        <v>27</v>
      </c>
      <c r="U2" s="3" t="s">
        <v>28</v>
      </c>
      <c r="V2" s="3" t="s">
        <v>115</v>
      </c>
      <c r="W2" s="3" t="s">
        <v>107</v>
      </c>
      <c r="X2" s="3" t="s">
        <v>29</v>
      </c>
      <c r="Y2" s="3" t="s">
        <v>30</v>
      </c>
      <c r="Z2" s="3" t="s">
        <v>31</v>
      </c>
      <c r="AA2" s="3" t="s">
        <v>117</v>
      </c>
      <c r="AB2" s="3" t="s">
        <v>111</v>
      </c>
      <c r="AC2" s="3" t="s">
        <v>32</v>
      </c>
    </row>
    <row r="3" spans="1:29" x14ac:dyDescent="0.25">
      <c r="A3" s="3" t="s">
        <v>33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</row>
    <row r="4" spans="1:29" x14ac:dyDescent="0.25">
      <c r="A4" s="3" t="s">
        <v>34</v>
      </c>
      <c r="B4" s="3" t="s">
        <v>35</v>
      </c>
      <c r="C4" s="3" t="s">
        <v>35</v>
      </c>
      <c r="D4" s="3" t="s">
        <v>35</v>
      </c>
      <c r="E4" s="3" t="s">
        <v>35</v>
      </c>
      <c r="F4" s="3" t="s">
        <v>35</v>
      </c>
      <c r="G4" s="3" t="s">
        <v>35</v>
      </c>
      <c r="H4" s="3" t="s">
        <v>35</v>
      </c>
      <c r="I4" s="3" t="s">
        <v>35</v>
      </c>
      <c r="J4" s="3" t="s">
        <v>35</v>
      </c>
      <c r="K4" s="3" t="s">
        <v>35</v>
      </c>
      <c r="L4" s="3" t="s">
        <v>35</v>
      </c>
      <c r="M4" s="3" t="s">
        <v>35</v>
      </c>
      <c r="N4" s="3" t="s">
        <v>35</v>
      </c>
      <c r="O4" s="3" t="s">
        <v>35</v>
      </c>
      <c r="P4" s="3" t="s">
        <v>35</v>
      </c>
      <c r="Q4" s="3" t="s">
        <v>35</v>
      </c>
      <c r="R4" s="3" t="s">
        <v>35</v>
      </c>
      <c r="S4" s="3" t="s">
        <v>35</v>
      </c>
      <c r="T4" s="3" t="s">
        <v>35</v>
      </c>
      <c r="U4" s="3" t="s">
        <v>35</v>
      </c>
      <c r="V4" s="3" t="s">
        <v>35</v>
      </c>
      <c r="W4" s="3" t="s">
        <v>35</v>
      </c>
      <c r="X4" s="3" t="s">
        <v>35</v>
      </c>
      <c r="Y4" s="3" t="s">
        <v>35</v>
      </c>
      <c r="Z4" s="3" t="s">
        <v>35</v>
      </c>
      <c r="AA4" s="3" t="s">
        <v>35</v>
      </c>
      <c r="AB4" s="3" t="s">
        <v>35</v>
      </c>
      <c r="AC4" s="3" t="s">
        <v>35</v>
      </c>
    </row>
    <row r="5" spans="1:29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120</v>
      </c>
      <c r="M5" s="3" t="s">
        <v>122</v>
      </c>
      <c r="N5" s="3" t="s">
        <v>47</v>
      </c>
      <c r="O5" s="3" t="s">
        <v>48</v>
      </c>
      <c r="P5" s="3" t="s">
        <v>49</v>
      </c>
      <c r="Q5" s="3" t="s">
        <v>114</v>
      </c>
      <c r="R5" s="3" t="s">
        <v>110</v>
      </c>
      <c r="S5" s="3" t="s">
        <v>50</v>
      </c>
      <c r="T5" s="3" t="s">
        <v>51</v>
      </c>
      <c r="U5" s="3" t="s">
        <v>52</v>
      </c>
      <c r="V5" s="3" t="s">
        <v>116</v>
      </c>
      <c r="W5" s="3" t="s">
        <v>108</v>
      </c>
      <c r="X5" s="3" t="s">
        <v>53</v>
      </c>
      <c r="Y5" s="3" t="s">
        <v>54</v>
      </c>
      <c r="Z5" s="3" t="s">
        <v>55</v>
      </c>
      <c r="AA5" s="3" t="s">
        <v>118</v>
      </c>
      <c r="AB5" s="3" t="s">
        <v>112</v>
      </c>
      <c r="AC5" s="3" t="s">
        <v>56</v>
      </c>
    </row>
    <row r="6" spans="1:29" x14ac:dyDescent="0.25">
      <c r="A6" s="3" t="s">
        <v>57</v>
      </c>
      <c r="B6" s="3" t="s">
        <v>44</v>
      </c>
      <c r="C6" s="3" t="s">
        <v>44</v>
      </c>
      <c r="D6" s="3" t="s">
        <v>44</v>
      </c>
      <c r="E6" s="3" t="s">
        <v>44</v>
      </c>
      <c r="F6" s="3" t="s">
        <v>44</v>
      </c>
      <c r="G6" s="3" t="s">
        <v>44</v>
      </c>
      <c r="H6" s="3" t="s">
        <v>44</v>
      </c>
      <c r="I6" s="3" t="s">
        <v>44</v>
      </c>
      <c r="J6" s="3" t="s">
        <v>44</v>
      </c>
      <c r="K6" s="3" t="s">
        <v>44</v>
      </c>
      <c r="L6" s="3" t="s">
        <v>44</v>
      </c>
      <c r="M6" s="3" t="s">
        <v>44</v>
      </c>
      <c r="N6" s="3" t="s">
        <v>44</v>
      </c>
      <c r="O6" s="3" t="s">
        <v>44</v>
      </c>
      <c r="P6" s="3" t="s">
        <v>44</v>
      </c>
      <c r="Q6" s="3" t="s">
        <v>44</v>
      </c>
      <c r="R6" s="3" t="s">
        <v>44</v>
      </c>
      <c r="S6" s="3" t="s">
        <v>44</v>
      </c>
      <c r="T6" s="3" t="s">
        <v>44</v>
      </c>
      <c r="U6" s="3" t="s">
        <v>44</v>
      </c>
      <c r="V6" s="3" t="s">
        <v>44</v>
      </c>
      <c r="W6" s="3" t="s">
        <v>44</v>
      </c>
      <c r="X6" s="3" t="s">
        <v>44</v>
      </c>
      <c r="Y6" s="3" t="s">
        <v>44</v>
      </c>
      <c r="Z6" s="3" t="s">
        <v>44</v>
      </c>
      <c r="AA6" s="3" t="s">
        <v>44</v>
      </c>
      <c r="AB6" s="3" t="s">
        <v>44</v>
      </c>
      <c r="AC6" s="3" t="s">
        <v>44</v>
      </c>
    </row>
    <row r="7" spans="1:29" x14ac:dyDescent="0.25">
      <c r="A7" s="3" t="s">
        <v>58</v>
      </c>
      <c r="B7" s="3" t="s">
        <v>59</v>
      </c>
      <c r="C7" s="3" t="s">
        <v>60</v>
      </c>
      <c r="D7" s="3" t="s">
        <v>60</v>
      </c>
      <c r="E7" s="3" t="s">
        <v>60</v>
      </c>
      <c r="F7" s="3" t="s">
        <v>60</v>
      </c>
      <c r="G7" s="3" t="s">
        <v>60</v>
      </c>
      <c r="H7" s="3" t="s">
        <v>60</v>
      </c>
      <c r="I7" s="3" t="s">
        <v>59</v>
      </c>
      <c r="J7" s="3" t="s">
        <v>59</v>
      </c>
      <c r="K7" s="3" t="s">
        <v>59</v>
      </c>
      <c r="L7" s="3" t="s">
        <v>59</v>
      </c>
      <c r="M7" s="3" t="s">
        <v>59</v>
      </c>
      <c r="N7" s="3" t="s">
        <v>59</v>
      </c>
      <c r="O7" s="3" t="s">
        <v>59</v>
      </c>
      <c r="P7" s="3" t="s">
        <v>59</v>
      </c>
      <c r="Q7" s="3" t="s">
        <v>59</v>
      </c>
      <c r="R7" s="3" t="s">
        <v>59</v>
      </c>
      <c r="S7" s="3" t="s">
        <v>59</v>
      </c>
      <c r="T7" s="3" t="s">
        <v>60</v>
      </c>
      <c r="U7" s="3" t="s">
        <v>60</v>
      </c>
      <c r="V7" s="3" t="s">
        <v>60</v>
      </c>
      <c r="W7" s="3" t="s">
        <v>60</v>
      </c>
      <c r="X7" s="3" t="s">
        <v>60</v>
      </c>
      <c r="Y7" s="3" t="s">
        <v>60</v>
      </c>
      <c r="Z7" s="3" t="s">
        <v>60</v>
      </c>
      <c r="AA7" s="3" t="s">
        <v>60</v>
      </c>
      <c r="AB7" s="3" t="s">
        <v>60</v>
      </c>
      <c r="AC7" s="3" t="s">
        <v>60</v>
      </c>
    </row>
    <row r="8" spans="1:29" x14ac:dyDescent="0.25">
      <c r="A8" s="3" t="s">
        <v>61</v>
      </c>
      <c r="B8" s="3" t="s">
        <v>62</v>
      </c>
      <c r="C8" s="3" t="s">
        <v>63</v>
      </c>
      <c r="D8" s="3" t="s">
        <v>63</v>
      </c>
      <c r="E8" s="3" t="s">
        <v>63</v>
      </c>
      <c r="F8" s="3" t="s">
        <v>63</v>
      </c>
      <c r="G8" s="3" t="s">
        <v>63</v>
      </c>
      <c r="H8" s="3" t="s">
        <v>63</v>
      </c>
      <c r="I8" s="3" t="s">
        <v>62</v>
      </c>
      <c r="J8" s="3" t="s">
        <v>63</v>
      </c>
      <c r="K8" s="3" t="s">
        <v>63</v>
      </c>
      <c r="L8" s="3" t="s">
        <v>63</v>
      </c>
      <c r="M8" s="3" t="s">
        <v>63</v>
      </c>
      <c r="N8" s="3" t="s">
        <v>63</v>
      </c>
      <c r="O8" s="3" t="s">
        <v>63</v>
      </c>
      <c r="P8" s="3" t="s">
        <v>63</v>
      </c>
      <c r="Q8" s="3" t="s">
        <v>63</v>
      </c>
      <c r="R8" s="3" t="s">
        <v>63</v>
      </c>
      <c r="S8" s="3" t="s">
        <v>63</v>
      </c>
      <c r="T8" s="3" t="s">
        <v>63</v>
      </c>
      <c r="U8" s="3" t="s">
        <v>63</v>
      </c>
      <c r="V8" s="3" t="s">
        <v>63</v>
      </c>
      <c r="W8" s="3" t="s">
        <v>63</v>
      </c>
      <c r="X8" s="3" t="s">
        <v>63</v>
      </c>
      <c r="Y8" s="3" t="s">
        <v>63</v>
      </c>
      <c r="Z8" s="3" t="s">
        <v>63</v>
      </c>
      <c r="AA8" s="3" t="s">
        <v>63</v>
      </c>
      <c r="AB8" s="3" t="s">
        <v>63</v>
      </c>
      <c r="AC8" s="3" t="s">
        <v>63</v>
      </c>
    </row>
    <row r="9" spans="1:29" x14ac:dyDescent="0.25">
      <c r="A9" s="3" t="s">
        <v>64</v>
      </c>
      <c r="B9" s="4">
        <v>1.09089672974697E-2</v>
      </c>
      <c r="C9" s="4">
        <v>2.2266550680936801</v>
      </c>
      <c r="D9" s="4">
        <v>0.24101520662814799</v>
      </c>
      <c r="E9" s="4">
        <v>0.33899524142923299</v>
      </c>
      <c r="F9" s="4">
        <v>1.52585036984001E-2</v>
      </c>
      <c r="G9" s="4">
        <v>0.22442845443384599</v>
      </c>
      <c r="H9" s="4">
        <v>0.32886117278989802</v>
      </c>
      <c r="I9" s="4">
        <v>2.52006591733955E-2</v>
      </c>
      <c r="J9" s="4">
        <v>2.04772320450878E-2</v>
      </c>
      <c r="K9" s="4">
        <v>2.04772320450878E-2</v>
      </c>
      <c r="L9" s="4">
        <v>2.04772320450878E-2</v>
      </c>
      <c r="M9" s="4">
        <v>2.04772320450878E-2</v>
      </c>
      <c r="N9" s="4">
        <v>2.04772320450878E-2</v>
      </c>
      <c r="O9" s="4">
        <v>3.3926065232219103E-2</v>
      </c>
      <c r="P9" s="4">
        <v>3.3926065232219103E-2</v>
      </c>
      <c r="Q9" s="4">
        <v>3.3926065232219103E-2</v>
      </c>
      <c r="R9" s="4">
        <v>3.3926065232219103E-2</v>
      </c>
      <c r="S9" s="4">
        <v>3.3926065232219103E-2</v>
      </c>
      <c r="T9" s="4">
        <v>7.3086444568549E-2</v>
      </c>
      <c r="U9" s="4">
        <v>4.7537513423202303E-2</v>
      </c>
      <c r="V9" s="4">
        <v>6.1256418439150702E-2</v>
      </c>
      <c r="W9" s="4">
        <v>4.3439274931605099E-2</v>
      </c>
      <c r="X9" s="4">
        <v>0.106340346879082</v>
      </c>
      <c r="Y9" s="4">
        <v>8.4570832974129595E-2</v>
      </c>
      <c r="Z9" s="4">
        <v>5.9299521397076803E-2</v>
      </c>
      <c r="AA9" s="4">
        <v>7.0256780067242994E-2</v>
      </c>
      <c r="AB9" s="4">
        <v>5.2524068077521899E-2</v>
      </c>
      <c r="AC9" s="4">
        <v>0.111009040371045</v>
      </c>
    </row>
    <row r="10" spans="1:29" x14ac:dyDescent="0.25">
      <c r="A10" s="3" t="s">
        <v>65</v>
      </c>
      <c r="B10" s="4">
        <v>1.8957027402227999E-2</v>
      </c>
      <c r="C10" s="4">
        <v>3.3487240711981898</v>
      </c>
      <c r="D10" s="4">
        <v>0.35956267934458103</v>
      </c>
      <c r="E10" s="4">
        <v>0.60147991879195195</v>
      </c>
      <c r="F10" s="4">
        <v>2.84246121824018E-2</v>
      </c>
      <c r="G10" s="4">
        <v>0.37363710644193798</v>
      </c>
      <c r="H10" s="4">
        <v>0.58844114843186601</v>
      </c>
      <c r="I10" s="4">
        <v>4.55588714122796E-2</v>
      </c>
      <c r="J10" s="4">
        <v>3.7015184542866002E-2</v>
      </c>
      <c r="K10" s="4">
        <v>3.7015184542866002E-2</v>
      </c>
      <c r="L10" s="4">
        <v>3.7015184542866002E-2</v>
      </c>
      <c r="M10" s="4">
        <v>3.7015184542866002E-2</v>
      </c>
      <c r="N10" s="4">
        <v>3.7015184542866002E-2</v>
      </c>
      <c r="O10" s="4">
        <v>6.13881596333073E-2</v>
      </c>
      <c r="P10" s="4">
        <v>6.13881596333073E-2</v>
      </c>
      <c r="Q10" s="4">
        <v>6.13881596333073E-2</v>
      </c>
      <c r="R10" s="4">
        <v>6.13881596333073E-2</v>
      </c>
      <c r="S10" s="4">
        <v>6.13881596333073E-2</v>
      </c>
      <c r="T10" s="4">
        <v>0.13756285623088799</v>
      </c>
      <c r="U10" s="4">
        <v>7.9648070452098194E-2</v>
      </c>
      <c r="V10" s="4">
        <v>0.10928214066506201</v>
      </c>
      <c r="W10" s="4">
        <v>9.2314181013140706E-2</v>
      </c>
      <c r="X10" s="4">
        <v>0.23871868410611799</v>
      </c>
      <c r="Y10" s="4">
        <v>0.15612413910747699</v>
      </c>
      <c r="Z10" s="4">
        <v>9.8374055676432398E-2</v>
      </c>
      <c r="AA10" s="4">
        <v>0.124034146408819</v>
      </c>
      <c r="AB10" s="4">
        <v>0.11240260980885999</v>
      </c>
      <c r="AC10" s="4">
        <v>0.24762543965688699</v>
      </c>
    </row>
    <row r="11" spans="1:29" x14ac:dyDescent="0.25">
      <c r="A11" s="3" t="s">
        <v>66</v>
      </c>
      <c r="B11" s="4">
        <v>8.0667369805997903E-3</v>
      </c>
      <c r="C11" s="4">
        <v>1.5262032673910999</v>
      </c>
      <c r="D11" s="4">
        <v>0.18997911062171599</v>
      </c>
      <c r="E11" s="4">
        <v>0.28268928305598701</v>
      </c>
      <c r="F11" s="4">
        <v>1.0558775854936199E-2</v>
      </c>
      <c r="G11" s="4">
        <v>0.22538523450099901</v>
      </c>
      <c r="H11" s="4">
        <v>0.17580192602629799</v>
      </c>
      <c r="I11" s="4">
        <v>1.5997943138097499E-2</v>
      </c>
      <c r="J11" s="4">
        <v>1.2004564732378299E-2</v>
      </c>
      <c r="K11" s="4">
        <v>1.2004564732378299E-2</v>
      </c>
      <c r="L11" s="4">
        <v>1.2004564732378299E-2</v>
      </c>
      <c r="M11" s="4">
        <v>1.2004564732378299E-2</v>
      </c>
      <c r="N11" s="4">
        <v>1.2004564732378299E-2</v>
      </c>
      <c r="O11" s="4">
        <v>2.34250779814353E-2</v>
      </c>
      <c r="P11" s="4">
        <v>2.34250779814353E-2</v>
      </c>
      <c r="Q11" s="4">
        <v>2.34250779814353E-2</v>
      </c>
      <c r="R11" s="4">
        <v>2.34250779814353E-2</v>
      </c>
      <c r="S11" s="4">
        <v>2.34250779814353E-2</v>
      </c>
      <c r="T11" s="4">
        <v>5.8342583956144299E-2</v>
      </c>
      <c r="U11" s="4">
        <v>4.1801292947025302E-2</v>
      </c>
      <c r="V11" s="4">
        <v>4.9063353291979903E-2</v>
      </c>
      <c r="W11" s="4">
        <v>3.2373215967780103E-2</v>
      </c>
      <c r="X11" s="4">
        <v>8.7096731692422893E-2</v>
      </c>
      <c r="Y11" s="4">
        <v>6.8073156321336106E-2</v>
      </c>
      <c r="Z11" s="4">
        <v>5.1774730924583699E-2</v>
      </c>
      <c r="AA11" s="4">
        <v>5.7121002778918302E-2</v>
      </c>
      <c r="AB11" s="4">
        <v>3.5946747131669503E-2</v>
      </c>
      <c r="AC11" s="4">
        <v>9.0908395727036906E-2</v>
      </c>
    </row>
    <row r="12" spans="1:29" x14ac:dyDescent="0.25">
      <c r="A12" s="3" t="s">
        <v>67</v>
      </c>
      <c r="B12" s="4">
        <v>1.21272887765651E-2</v>
      </c>
      <c r="C12" s="4">
        <v>2.7625624743777002</v>
      </c>
      <c r="D12" s="4">
        <v>0.28057012421634098</v>
      </c>
      <c r="E12" s="4">
        <v>0.32311611205872198</v>
      </c>
      <c r="F12" s="4">
        <v>1.7623880899682101E-2</v>
      </c>
      <c r="G12" s="4">
        <v>0.30517896795216098</v>
      </c>
      <c r="H12" s="4">
        <v>0.46206062160460398</v>
      </c>
      <c r="I12" s="4">
        <v>2.8047194682178499E-2</v>
      </c>
      <c r="J12" s="4">
        <v>2.3468837933893E-2</v>
      </c>
      <c r="K12" s="4">
        <v>2.3468837933893E-2</v>
      </c>
      <c r="L12" s="4">
        <v>2.3468837933893E-2</v>
      </c>
      <c r="M12" s="4">
        <v>2.3468837933893E-2</v>
      </c>
      <c r="N12" s="4">
        <v>2.3468837933893E-2</v>
      </c>
      <c r="O12" s="4">
        <v>3.6437009855296999E-2</v>
      </c>
      <c r="P12" s="4">
        <v>3.6437009855296999E-2</v>
      </c>
      <c r="Q12" s="4">
        <v>3.6437009855296999E-2</v>
      </c>
      <c r="R12" s="4">
        <v>3.6437009855296999E-2</v>
      </c>
      <c r="S12" s="4">
        <v>3.6437009855296999E-2</v>
      </c>
      <c r="T12" s="4">
        <v>7.0997987747931507E-2</v>
      </c>
      <c r="U12" s="4">
        <v>6.1989449151674703E-2</v>
      </c>
      <c r="V12" s="4">
        <v>6.5089432429430299E-2</v>
      </c>
      <c r="W12" s="4">
        <v>2.9777499727955702E-2</v>
      </c>
      <c r="X12" s="4">
        <v>5.9536757194467799E-2</v>
      </c>
      <c r="Y12" s="4">
        <v>8.6838247479765998E-2</v>
      </c>
      <c r="Z12" s="4">
        <v>7.7353766660733195E-2</v>
      </c>
      <c r="AA12" s="4">
        <v>7.7800477838136206E-2</v>
      </c>
      <c r="AB12" s="4">
        <v>3.8730359190517698E-2</v>
      </c>
      <c r="AC12" s="4">
        <v>6.7240147727849697E-2</v>
      </c>
    </row>
    <row r="13" spans="1:29" x14ac:dyDescent="0.25">
      <c r="A13" s="3" t="s">
        <v>68</v>
      </c>
      <c r="B13" s="4">
        <v>7.3940309019348803E-3</v>
      </c>
      <c r="C13" s="4">
        <v>1.50345197814938</v>
      </c>
      <c r="D13" s="4">
        <v>0.17243454922702101</v>
      </c>
      <c r="E13" s="4">
        <v>0.37433666665561699</v>
      </c>
      <c r="F13" s="4">
        <v>9.0459687396505003E-3</v>
      </c>
      <c r="G13" s="4">
        <v>0.248185151560676</v>
      </c>
      <c r="H13" s="4">
        <v>0.196515883358194</v>
      </c>
      <c r="I13" s="4">
        <v>1.6193982628686199E-2</v>
      </c>
      <c r="J13" s="4">
        <v>1.0832463994065599E-2</v>
      </c>
      <c r="K13" s="4">
        <v>1.0832463994065599E-2</v>
      </c>
      <c r="L13" s="4">
        <v>1.0832463994065599E-2</v>
      </c>
      <c r="M13" s="4">
        <v>1.0832463994065599E-2</v>
      </c>
      <c r="N13" s="4">
        <v>1.0832463994065599E-2</v>
      </c>
      <c r="O13" s="4">
        <v>2.63316727833026E-2</v>
      </c>
      <c r="P13" s="4">
        <v>2.63316727833026E-2</v>
      </c>
      <c r="Q13" s="4">
        <v>2.6331672783302701E-2</v>
      </c>
      <c r="R13" s="4">
        <v>2.6331672783302701E-2</v>
      </c>
      <c r="S13" s="4">
        <v>2.63316727833026E-2</v>
      </c>
      <c r="T13" s="4">
        <v>6.13429317261441E-2</v>
      </c>
      <c r="U13" s="4">
        <v>3.5143161010518301E-2</v>
      </c>
      <c r="V13" s="4">
        <v>5.0016652219631801E-2</v>
      </c>
      <c r="W13" s="4">
        <v>3.9169211694403898E-2</v>
      </c>
      <c r="X13" s="4">
        <v>0.115138073006504</v>
      </c>
      <c r="Y13" s="4">
        <v>6.8825296306846806E-2</v>
      </c>
      <c r="Z13" s="4">
        <v>4.2814971061120803E-2</v>
      </c>
      <c r="AA13" s="4">
        <v>5.5954480766724303E-2</v>
      </c>
      <c r="AB13" s="4">
        <v>4.1803150902562702E-2</v>
      </c>
      <c r="AC13" s="4">
        <v>0.117789171968912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6582-AB45-4219-A54E-A1CECCC5C029}">
  <dimension ref="A1:U65"/>
  <sheetViews>
    <sheetView workbookViewId="0">
      <selection activeCell="A27" sqref="A27"/>
    </sheetView>
  </sheetViews>
  <sheetFormatPr baseColWidth="10" defaultColWidth="9.140625" defaultRowHeight="15" x14ac:dyDescent="0.25"/>
  <cols>
    <col min="1" max="1" width="48.28515625" bestFit="1" customWidth="1"/>
  </cols>
  <sheetData>
    <row r="1" spans="1:21" s="13" customFormat="1" ht="75" x14ac:dyDescent="0.25">
      <c r="B1" s="14" t="s">
        <v>45</v>
      </c>
      <c r="C1" s="14" t="s">
        <v>46</v>
      </c>
      <c r="D1" s="14" t="s">
        <v>120</v>
      </c>
      <c r="E1" s="14" t="s">
        <v>122</v>
      </c>
      <c r="F1" s="14" t="s">
        <v>47</v>
      </c>
      <c r="G1" s="14" t="s">
        <v>51</v>
      </c>
      <c r="H1" s="14" t="s">
        <v>52</v>
      </c>
      <c r="I1" s="14" t="s">
        <v>116</v>
      </c>
      <c r="J1" s="14" t="s">
        <v>108</v>
      </c>
      <c r="K1" s="14" t="s">
        <v>53</v>
      </c>
      <c r="L1" s="14" t="s">
        <v>48</v>
      </c>
      <c r="M1" s="14" t="s">
        <v>49</v>
      </c>
      <c r="N1" s="14" t="s">
        <v>114</v>
      </c>
      <c r="O1" s="14" t="s">
        <v>110</v>
      </c>
      <c r="P1" s="14" t="s">
        <v>50</v>
      </c>
      <c r="Q1" s="14" t="s">
        <v>54</v>
      </c>
      <c r="R1" s="14" t="s">
        <v>55</v>
      </c>
      <c r="S1" s="14" t="s">
        <v>118</v>
      </c>
      <c r="T1" s="14" t="s">
        <v>112</v>
      </c>
      <c r="U1" s="14" t="s">
        <v>56</v>
      </c>
    </row>
    <row r="2" spans="1:21" x14ac:dyDescent="0.25">
      <c r="A2" s="10" t="s">
        <v>141</v>
      </c>
      <c r="B2" s="12">
        <f t="shared" ref="B2:T2" si="0">B40/B8</f>
        <v>9.548878334681829E-2</v>
      </c>
      <c r="C2" s="12">
        <f t="shared" si="0"/>
        <v>9.548878334681829E-2</v>
      </c>
      <c r="D2" s="12">
        <f t="shared" si="0"/>
        <v>9.548878334681829E-2</v>
      </c>
      <c r="E2" s="12">
        <f t="shared" si="0"/>
        <v>9.548878334681829E-2</v>
      </c>
      <c r="F2" s="12">
        <f t="shared" si="0"/>
        <v>9.548878334681829E-2</v>
      </c>
      <c r="G2" s="12">
        <f t="shared" si="0"/>
        <v>2.7798599463221246E-2</v>
      </c>
      <c r="H2" s="12">
        <f t="shared" si="0"/>
        <v>1.0431713259196384E-2</v>
      </c>
      <c r="I2" s="12">
        <f t="shared" si="0"/>
        <v>3.0969379864844684E-2</v>
      </c>
      <c r="J2" s="12">
        <f t="shared" si="0"/>
        <v>6.7780427737380911E-2</v>
      </c>
      <c r="K2" s="12">
        <f t="shared" si="0"/>
        <v>1.6340836427537992E-2</v>
      </c>
      <c r="L2" s="12">
        <f t="shared" si="0"/>
        <v>0.45399226089098821</v>
      </c>
      <c r="M2" s="12">
        <f t="shared" si="0"/>
        <v>0.45399226089098821</v>
      </c>
      <c r="N2" s="12">
        <f t="shared" si="0"/>
        <v>0.45399226089098821</v>
      </c>
      <c r="O2" s="12">
        <f t="shared" si="0"/>
        <v>0.45399226089098821</v>
      </c>
      <c r="P2" s="12">
        <f t="shared" si="0"/>
        <v>0.45399226089098821</v>
      </c>
      <c r="Q2" s="12">
        <f t="shared" si="0"/>
        <v>0.13719896414682714</v>
      </c>
      <c r="R2" s="12">
        <f t="shared" si="0"/>
        <v>0.12073779481889221</v>
      </c>
      <c r="S2" s="12">
        <f t="shared" si="0"/>
        <v>0.12473558323488601</v>
      </c>
      <c r="T2" s="12">
        <f t="shared" si="0"/>
        <v>7.6650998915689592E-2</v>
      </c>
      <c r="U2" s="12">
        <f t="shared" ref="U2" si="1">U40/U8</f>
        <v>4.5142580632684115E-2</v>
      </c>
    </row>
    <row r="3" spans="1:21" x14ac:dyDescent="0.25">
      <c r="A3" s="10" t="s">
        <v>142</v>
      </c>
      <c r="B3" s="12">
        <f t="shared" ref="B3:T3" si="2">B38/B8</f>
        <v>0.64953445625401318</v>
      </c>
      <c r="C3" s="12">
        <f t="shared" si="2"/>
        <v>0.64953445625401318</v>
      </c>
      <c r="D3" s="12">
        <f t="shared" si="2"/>
        <v>0.64953445625401318</v>
      </c>
      <c r="E3" s="12">
        <f t="shared" si="2"/>
        <v>0.64953445625401318</v>
      </c>
      <c r="F3" s="12">
        <f t="shared" si="2"/>
        <v>0.64953445625401318</v>
      </c>
      <c r="G3" s="12">
        <f t="shared" si="2"/>
        <v>0.59672351578747629</v>
      </c>
      <c r="H3" s="12">
        <f t="shared" si="2"/>
        <v>0.19373636407019523</v>
      </c>
      <c r="I3" s="12">
        <f t="shared" si="2"/>
        <v>0.50595271145044174</v>
      </c>
      <c r="J3" s="12">
        <f t="shared" si="2"/>
        <v>0.70601419821870803</v>
      </c>
      <c r="K3" s="12">
        <f t="shared" si="2"/>
        <v>0.83132864305030152</v>
      </c>
      <c r="L3" s="12">
        <f t="shared" si="2"/>
        <v>0.39209114647014853</v>
      </c>
      <c r="M3" s="12">
        <f t="shared" si="2"/>
        <v>0.39209114647014853</v>
      </c>
      <c r="N3" s="12">
        <f t="shared" si="2"/>
        <v>0.39209114647014853</v>
      </c>
      <c r="O3" s="12">
        <f t="shared" si="2"/>
        <v>0.39209114647014853</v>
      </c>
      <c r="P3" s="12">
        <f t="shared" si="2"/>
        <v>0.39209114647014853</v>
      </c>
      <c r="Q3" s="12">
        <f t="shared" si="2"/>
        <v>0.54140917016143408</v>
      </c>
      <c r="R3" s="12">
        <f t="shared" si="2"/>
        <v>0.33281332919737544</v>
      </c>
      <c r="S3" s="12">
        <f t="shared" si="2"/>
        <v>0.47150987354283747</v>
      </c>
      <c r="T3" s="12">
        <f t="shared" si="2"/>
        <v>0.73626910050240524</v>
      </c>
      <c r="U3" s="12">
        <f t="shared" ref="U3" si="3">U38/U8</f>
        <v>0.80893344472116691</v>
      </c>
    </row>
    <row r="4" spans="1:21" x14ac:dyDescent="0.25">
      <c r="A4" s="10" t="s">
        <v>143</v>
      </c>
      <c r="B4" s="12">
        <f t="shared" ref="B4:T4" si="4">1-B3-B2</f>
        <v>0.2549767603991685</v>
      </c>
      <c r="C4" s="12">
        <f t="shared" si="4"/>
        <v>0.2549767603991685</v>
      </c>
      <c r="D4" s="12">
        <f t="shared" si="4"/>
        <v>0.2549767603991685</v>
      </c>
      <c r="E4" s="12">
        <f t="shared" si="4"/>
        <v>0.2549767603991685</v>
      </c>
      <c r="F4" s="12">
        <f t="shared" si="4"/>
        <v>0.2549767603991685</v>
      </c>
      <c r="G4" s="12">
        <f t="shared" si="4"/>
        <v>0.37547788474930244</v>
      </c>
      <c r="H4" s="12">
        <f t="shared" si="4"/>
        <v>0.79583192267060843</v>
      </c>
      <c r="I4" s="12">
        <f t="shared" si="4"/>
        <v>0.4630779086847136</v>
      </c>
      <c r="J4" s="12">
        <f t="shared" si="4"/>
        <v>0.22620537404391106</v>
      </c>
      <c r="K4" s="12">
        <f t="shared" si="4"/>
        <v>0.15233052052216048</v>
      </c>
      <c r="L4" s="12">
        <f t="shared" si="4"/>
        <v>0.15391659263886326</v>
      </c>
      <c r="M4" s="12">
        <f t="shared" si="4"/>
        <v>0.15391659263886326</v>
      </c>
      <c r="N4" s="12">
        <f t="shared" si="4"/>
        <v>0.15391659263886326</v>
      </c>
      <c r="O4" s="12">
        <f t="shared" si="4"/>
        <v>0.15391659263886326</v>
      </c>
      <c r="P4" s="12">
        <f t="shared" si="4"/>
        <v>0.15391659263886326</v>
      </c>
      <c r="Q4" s="12">
        <f t="shared" si="4"/>
        <v>0.32139186569173878</v>
      </c>
      <c r="R4" s="12">
        <f t="shared" si="4"/>
        <v>0.54644887598373237</v>
      </c>
      <c r="S4" s="12">
        <f t="shared" si="4"/>
        <v>0.40375454322227655</v>
      </c>
      <c r="T4" s="12">
        <f t="shared" si="4"/>
        <v>0.18707990058190516</v>
      </c>
      <c r="U4" s="12">
        <f t="shared" ref="U4" si="5">1-U3-U2</f>
        <v>0.14592397464614898</v>
      </c>
    </row>
    <row r="5" spans="1:21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10" t="s">
        <v>140</v>
      </c>
      <c r="B8" s="11">
        <v>2.0482833395263331E-2</v>
      </c>
      <c r="C8" s="11">
        <v>2.0482833395263331E-2</v>
      </c>
      <c r="D8" s="11">
        <v>2.0482833395263331E-2</v>
      </c>
      <c r="E8" s="11">
        <v>2.0482833395263331E-2</v>
      </c>
      <c r="F8" s="11">
        <v>2.0482833395263331E-2</v>
      </c>
      <c r="G8" s="11">
        <v>7.5401388663930799E-2</v>
      </c>
      <c r="H8" s="11">
        <v>0.20268962977874821</v>
      </c>
      <c r="I8" s="11">
        <v>6.1256418439150848E-2</v>
      </c>
      <c r="J8" s="11">
        <v>4.3439274931605147E-2</v>
      </c>
      <c r="K8" s="11">
        <v>0.10634034687908273</v>
      </c>
      <c r="L8" s="11">
        <v>3.3931666582394562E-2</v>
      </c>
      <c r="M8" s="11">
        <v>3.3931666582394562E-2</v>
      </c>
      <c r="N8" s="11">
        <v>3.3931666582394562E-2</v>
      </c>
      <c r="O8" s="11">
        <v>3.3931666582394562E-2</v>
      </c>
      <c r="P8" s="11">
        <v>3.3931666582394562E-2</v>
      </c>
      <c r="Q8" s="11">
        <v>8.8090449525712836E-2</v>
      </c>
      <c r="R8" s="11">
        <v>0.2951911603474815</v>
      </c>
      <c r="S8" s="11">
        <v>7.0256780067243146E-2</v>
      </c>
      <c r="T8" s="11">
        <v>5.2524068077522031E-2</v>
      </c>
      <c r="U8" s="11">
        <v>0.11100904037104561</v>
      </c>
    </row>
    <row r="9" spans="1:21" x14ac:dyDescent="0.25">
      <c r="A9" s="9" t="s">
        <v>93</v>
      </c>
      <c r="B9">
        <v>8.3459419876614395E-6</v>
      </c>
      <c r="C9">
        <v>8.3459419876614395E-6</v>
      </c>
      <c r="D9">
        <v>8.3459419876614395E-6</v>
      </c>
      <c r="E9">
        <v>8.3459419876614395E-6</v>
      </c>
      <c r="F9">
        <v>8.3459419876614395E-6</v>
      </c>
      <c r="G9">
        <v>4.3765077829978761E-5</v>
      </c>
      <c r="H9">
        <v>5.5663581217322059E-4</v>
      </c>
      <c r="I9">
        <v>4.5249203595254249E-5</v>
      </c>
      <c r="J9">
        <v>4.904484821947575E-5</v>
      </c>
      <c r="K9">
        <v>2.47275983893563E-5</v>
      </c>
      <c r="L9">
        <v>8.3459419876614395E-6</v>
      </c>
      <c r="M9">
        <v>8.3459419876614395E-6</v>
      </c>
      <c r="N9">
        <v>8.3459419876614395E-6</v>
      </c>
      <c r="O9">
        <v>8.3459419876614395E-6</v>
      </c>
      <c r="P9">
        <v>8.3459419876614395E-6</v>
      </c>
      <c r="Q9">
        <v>4.3765077829978761E-5</v>
      </c>
      <c r="R9">
        <v>5.5663581217322059E-4</v>
      </c>
      <c r="S9">
        <v>4.5249203595254249E-5</v>
      </c>
      <c r="T9">
        <v>4.904484821947575E-5</v>
      </c>
      <c r="U9">
        <v>2.47275983893563E-5</v>
      </c>
    </row>
    <row r="10" spans="1:21" x14ac:dyDescent="0.25">
      <c r="A10" s="5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1.9225316114679341E-5</v>
      </c>
      <c r="H10">
        <v>1.2115070415695539E-3</v>
      </c>
      <c r="I10">
        <v>5.3681789790685476E-6</v>
      </c>
      <c r="J10">
        <v>1.884460319065351E-5</v>
      </c>
      <c r="K10">
        <v>7.5148066648422913E-7</v>
      </c>
      <c r="L10">
        <v>0</v>
      </c>
      <c r="M10">
        <v>0</v>
      </c>
      <c r="N10">
        <v>0</v>
      </c>
      <c r="O10">
        <v>0</v>
      </c>
      <c r="P10">
        <v>0</v>
      </c>
      <c r="Q10">
        <v>1.9225316114679341E-5</v>
      </c>
      <c r="R10">
        <v>1.2115070415695539E-3</v>
      </c>
      <c r="S10">
        <v>5.3681789790685476E-6</v>
      </c>
      <c r="T10">
        <v>1.884460319065351E-5</v>
      </c>
      <c r="U10">
        <v>7.5148066648422913E-7</v>
      </c>
    </row>
    <row r="11" spans="1:21" x14ac:dyDescent="0.25">
      <c r="A11" s="5" t="s">
        <v>91</v>
      </c>
      <c r="B11">
        <v>8.7472364979598091E-6</v>
      </c>
      <c r="C11">
        <v>8.7472364979598091E-6</v>
      </c>
      <c r="D11">
        <v>8.7472364979598091E-6</v>
      </c>
      <c r="E11">
        <v>8.7472364979598091E-6</v>
      </c>
      <c r="F11">
        <v>8.7472364979598091E-6</v>
      </c>
      <c r="G11">
        <v>2.7155636994583173E-4</v>
      </c>
      <c r="H11">
        <v>1.849903049441241E-4</v>
      </c>
      <c r="I11">
        <v>2.5490039678764502E-4</v>
      </c>
      <c r="J11">
        <v>4.4541932891503412E-5</v>
      </c>
      <c r="K11">
        <v>1.2309695546248379E-4</v>
      </c>
      <c r="L11">
        <v>8.7472364979598091E-6</v>
      </c>
      <c r="M11">
        <v>8.7472364979598091E-6</v>
      </c>
      <c r="N11">
        <v>8.7472364979598091E-6</v>
      </c>
      <c r="O11">
        <v>8.7472364979598091E-6</v>
      </c>
      <c r="P11">
        <v>8.7472364979598091E-6</v>
      </c>
      <c r="Q11">
        <v>2.7155636994583173E-4</v>
      </c>
      <c r="R11">
        <v>1.849903049441241E-4</v>
      </c>
      <c r="S11">
        <v>2.5490039678764502E-4</v>
      </c>
      <c r="T11">
        <v>4.4541932891503412E-5</v>
      </c>
      <c r="U11">
        <v>1.2309695546248379E-4</v>
      </c>
    </row>
    <row r="12" spans="1:21" x14ac:dyDescent="0.25">
      <c r="A12" s="5" t="s">
        <v>124</v>
      </c>
      <c r="B12">
        <v>0</v>
      </c>
      <c r="C12">
        <v>0</v>
      </c>
      <c r="D12">
        <v>0</v>
      </c>
      <c r="E12">
        <v>0</v>
      </c>
      <c r="F12">
        <v>0</v>
      </c>
      <c r="G12">
        <v>1.373584840914859E-5</v>
      </c>
      <c r="H12">
        <v>4.426259212817656E-4</v>
      </c>
      <c r="I12">
        <v>1.1063866415575931E-5</v>
      </c>
      <c r="J12">
        <v>1.517031200876338E-5</v>
      </c>
      <c r="K12">
        <v>3.255223418467318E-6</v>
      </c>
      <c r="L12">
        <v>0</v>
      </c>
      <c r="M12">
        <v>0</v>
      </c>
      <c r="N12">
        <v>0</v>
      </c>
      <c r="O12">
        <v>0</v>
      </c>
      <c r="P12">
        <v>0</v>
      </c>
      <c r="Q12">
        <v>1.373584840914859E-5</v>
      </c>
      <c r="R12">
        <v>4.426259212817656E-4</v>
      </c>
      <c r="S12">
        <v>1.1063866415575931E-5</v>
      </c>
      <c r="T12">
        <v>1.517031200876338E-5</v>
      </c>
      <c r="U12">
        <v>3.255223418467318E-6</v>
      </c>
    </row>
    <row r="13" spans="1:21" x14ac:dyDescent="0.25">
      <c r="A13" s="5" t="s">
        <v>105</v>
      </c>
      <c r="B13">
        <v>9.2042280879990906E-7</v>
      </c>
      <c r="C13">
        <v>9.2042280879990906E-7</v>
      </c>
      <c r="D13">
        <v>9.2042280879990906E-7</v>
      </c>
      <c r="E13">
        <v>9.2042280879990906E-7</v>
      </c>
      <c r="F13">
        <v>9.2042280879990906E-7</v>
      </c>
      <c r="G13">
        <v>1.770921667219949E-7</v>
      </c>
      <c r="H13">
        <v>2.0274331079277469E-6</v>
      </c>
      <c r="I13">
        <v>1.0853997776220999E-6</v>
      </c>
      <c r="J13">
        <v>1.6339156145018829E-6</v>
      </c>
      <c r="K13">
        <v>1.7856562953652209E-8</v>
      </c>
      <c r="L13">
        <v>9.2042280879990906E-7</v>
      </c>
      <c r="M13">
        <v>9.2042280879990906E-7</v>
      </c>
      <c r="N13">
        <v>9.2042280879990906E-7</v>
      </c>
      <c r="O13">
        <v>9.2042280879990906E-7</v>
      </c>
      <c r="P13">
        <v>9.2042280879990906E-7</v>
      </c>
      <c r="Q13">
        <v>1.770921667219949E-7</v>
      </c>
      <c r="R13">
        <v>2.0274331079277469E-6</v>
      </c>
      <c r="S13">
        <v>1.0853997776220999E-6</v>
      </c>
      <c r="T13">
        <v>1.6339156145018829E-6</v>
      </c>
      <c r="U13">
        <v>1.7856562953652209E-8</v>
      </c>
    </row>
    <row r="14" spans="1:21" x14ac:dyDescent="0.25">
      <c r="A14" s="5" t="s">
        <v>76</v>
      </c>
      <c r="B14">
        <v>1.3738537145041539E-4</v>
      </c>
      <c r="C14">
        <v>1.3738537145041539E-4</v>
      </c>
      <c r="D14">
        <v>1.3738537145041539E-4</v>
      </c>
      <c r="E14">
        <v>1.3738537145041539E-4</v>
      </c>
      <c r="F14">
        <v>1.3738537145041539E-4</v>
      </c>
      <c r="G14">
        <v>6.0579724776557589E-4</v>
      </c>
      <c r="H14">
        <v>8.2009753882386315E-3</v>
      </c>
      <c r="I14">
        <v>9.9041548533191563E-4</v>
      </c>
      <c r="J14">
        <v>5.8440481737787845E-4</v>
      </c>
      <c r="K14">
        <v>2.8749934455866663E-4</v>
      </c>
      <c r="L14">
        <v>1.3738537145041539E-4</v>
      </c>
      <c r="M14">
        <v>1.3738537145041539E-4</v>
      </c>
      <c r="N14">
        <v>1.3738537145041539E-4</v>
      </c>
      <c r="O14">
        <v>1.3738537145041539E-4</v>
      </c>
      <c r="P14">
        <v>1.3738537145041539E-4</v>
      </c>
      <c r="Q14">
        <v>6.0579724776557589E-4</v>
      </c>
      <c r="R14">
        <v>8.2009753882386315E-3</v>
      </c>
      <c r="S14">
        <v>9.9041548533191563E-4</v>
      </c>
      <c r="T14">
        <v>5.8440481737787845E-4</v>
      </c>
      <c r="U14">
        <v>2.8749934455866663E-4</v>
      </c>
    </row>
    <row r="15" spans="1:21" x14ac:dyDescent="0.25">
      <c r="A15" s="5" t="s">
        <v>106</v>
      </c>
      <c r="B15">
        <v>4.3100310145246452E-7</v>
      </c>
      <c r="C15">
        <v>4.3100310145246452E-7</v>
      </c>
      <c r="D15">
        <v>4.3100310145246452E-7</v>
      </c>
      <c r="E15">
        <v>4.3100310145246452E-7</v>
      </c>
      <c r="F15">
        <v>4.3100310145246452E-7</v>
      </c>
      <c r="G15">
        <v>3.8088247686386771E-9</v>
      </c>
      <c r="H15">
        <v>1.4402872190540399E-5</v>
      </c>
      <c r="I15">
        <v>6.4821534352787799E-7</v>
      </c>
      <c r="J15">
        <v>0</v>
      </c>
      <c r="K15">
        <v>1.3221683362240409E-9</v>
      </c>
      <c r="L15">
        <v>4.3100310145246452E-7</v>
      </c>
      <c r="M15">
        <v>4.3100310145246452E-7</v>
      </c>
      <c r="N15">
        <v>4.3100310145246452E-7</v>
      </c>
      <c r="O15">
        <v>4.3100310145246452E-7</v>
      </c>
      <c r="P15">
        <v>4.3100310145246452E-7</v>
      </c>
      <c r="Q15">
        <v>3.8088247686386771E-9</v>
      </c>
      <c r="R15">
        <v>1.4402872190540399E-5</v>
      </c>
      <c r="S15">
        <v>6.4821534352787799E-7</v>
      </c>
      <c r="T15">
        <v>0</v>
      </c>
      <c r="U15">
        <v>1.3221683362240409E-9</v>
      </c>
    </row>
    <row r="16" spans="1:21" x14ac:dyDescent="0.25">
      <c r="A16" s="5" t="s">
        <v>69</v>
      </c>
      <c r="B16">
        <v>1.5452758547945761E-3</v>
      </c>
      <c r="C16">
        <v>1.5452758547945761E-3</v>
      </c>
      <c r="D16">
        <v>1.5452758547945761E-3</v>
      </c>
      <c r="E16">
        <v>1.5452758547945761E-3</v>
      </c>
      <c r="F16">
        <v>1.5452758547945761E-3</v>
      </c>
      <c r="G16">
        <v>1.9280076743945121E-3</v>
      </c>
      <c r="H16">
        <v>1.2265866321350421E-2</v>
      </c>
      <c r="I16">
        <v>2.4797870447777438E-3</v>
      </c>
      <c r="J16">
        <v>7.6465815340940452E-4</v>
      </c>
      <c r="K16">
        <v>9.7517445688780047E-4</v>
      </c>
      <c r="L16">
        <v>1.5452758547945761E-3</v>
      </c>
      <c r="M16">
        <v>1.5452758547945761E-3</v>
      </c>
      <c r="N16">
        <v>1.5452758547945761E-3</v>
      </c>
      <c r="O16">
        <v>1.5452758547945761E-3</v>
      </c>
      <c r="P16">
        <v>1.5452758547945761E-3</v>
      </c>
      <c r="Q16">
        <v>1.9280076743945121E-3</v>
      </c>
      <c r="R16">
        <v>1.2265866321350421E-2</v>
      </c>
      <c r="S16">
        <v>2.4797870447777438E-3</v>
      </c>
      <c r="T16">
        <v>7.6465815340940452E-4</v>
      </c>
      <c r="U16">
        <v>9.7517445688780058E-4</v>
      </c>
    </row>
    <row r="17" spans="1:21" x14ac:dyDescent="0.25">
      <c r="A17" s="5" t="s">
        <v>94</v>
      </c>
      <c r="B17">
        <v>7.0176256559805278E-6</v>
      </c>
      <c r="C17">
        <v>7.0176256559805278E-6</v>
      </c>
      <c r="D17">
        <v>7.0176256559805278E-6</v>
      </c>
      <c r="E17">
        <v>7.0176256559805278E-6</v>
      </c>
      <c r="F17">
        <v>7.0176256559805278E-6</v>
      </c>
      <c r="G17">
        <v>5.3178901188268437E-5</v>
      </c>
      <c r="H17">
        <v>3.5066523522013798E-5</v>
      </c>
      <c r="I17">
        <v>9.3888738179436407E-5</v>
      </c>
      <c r="J17">
        <v>9.243482130504401E-5</v>
      </c>
      <c r="K17">
        <v>4.703023636566119E-5</v>
      </c>
      <c r="L17">
        <v>7.0176256559805278E-6</v>
      </c>
      <c r="M17">
        <v>7.0176256559805278E-6</v>
      </c>
      <c r="N17">
        <v>7.0176256559805278E-6</v>
      </c>
      <c r="O17">
        <v>7.0176256559805278E-6</v>
      </c>
      <c r="P17">
        <v>7.0176256559805278E-6</v>
      </c>
      <c r="Q17">
        <v>5.3178901188268437E-5</v>
      </c>
      <c r="R17">
        <v>3.5066523522013798E-5</v>
      </c>
      <c r="S17">
        <v>9.3888738179436407E-5</v>
      </c>
      <c r="T17">
        <v>9.243482130504401E-5</v>
      </c>
      <c r="U17">
        <v>4.703023636566119E-5</v>
      </c>
    </row>
    <row r="18" spans="1:21" x14ac:dyDescent="0.25">
      <c r="A18" s="5" t="s">
        <v>92</v>
      </c>
      <c r="B18">
        <v>7.918435107390233E-6</v>
      </c>
      <c r="C18">
        <v>7.918435107390233E-6</v>
      </c>
      <c r="D18">
        <v>7.918435107390233E-6</v>
      </c>
      <c r="E18">
        <v>7.918435107390233E-6</v>
      </c>
      <c r="F18">
        <v>7.918435107390233E-6</v>
      </c>
      <c r="G18">
        <v>3.2259979595154368E-4</v>
      </c>
      <c r="H18">
        <v>4.6525746613154213E-3</v>
      </c>
      <c r="I18">
        <v>4.657250255310598E-4</v>
      </c>
      <c r="J18">
        <v>8.0543582747610588E-5</v>
      </c>
      <c r="K18">
        <v>1.178556550607307E-4</v>
      </c>
      <c r="L18">
        <v>7.918435107390233E-6</v>
      </c>
      <c r="M18">
        <v>7.918435107390233E-6</v>
      </c>
      <c r="N18">
        <v>7.918435107390233E-6</v>
      </c>
      <c r="O18">
        <v>7.918435107390233E-6</v>
      </c>
      <c r="P18">
        <v>7.918435107390233E-6</v>
      </c>
      <c r="Q18">
        <v>3.2259979595154368E-4</v>
      </c>
      <c r="R18">
        <v>4.6525746613154213E-3</v>
      </c>
      <c r="S18">
        <v>4.657250255310598E-4</v>
      </c>
      <c r="T18">
        <v>8.0543582747610588E-5</v>
      </c>
      <c r="U18">
        <v>1.178556550607307E-4</v>
      </c>
    </row>
    <row r="19" spans="1:21" x14ac:dyDescent="0.25">
      <c r="A19" s="5" t="s">
        <v>83</v>
      </c>
      <c r="B19">
        <v>2.7349694105931211E-5</v>
      </c>
      <c r="C19">
        <v>2.7349694105931211E-5</v>
      </c>
      <c r="D19">
        <v>2.7349694105931211E-5</v>
      </c>
      <c r="E19">
        <v>2.7349694105931211E-5</v>
      </c>
      <c r="F19">
        <v>2.7349694105931211E-5</v>
      </c>
      <c r="G19">
        <v>3.1226010626727582E-5</v>
      </c>
      <c r="H19">
        <v>4.2634869284367171E-4</v>
      </c>
      <c r="I19">
        <v>8.1328717767675189E-5</v>
      </c>
      <c r="J19">
        <v>2.915496979043492E-5</v>
      </c>
      <c r="K19">
        <v>7.2402103508444155E-5</v>
      </c>
      <c r="L19">
        <v>2.7349694105931211E-5</v>
      </c>
      <c r="M19">
        <v>2.7349694105931211E-5</v>
      </c>
      <c r="N19">
        <v>2.7349694105931211E-5</v>
      </c>
      <c r="O19">
        <v>2.7349694105931211E-5</v>
      </c>
      <c r="P19">
        <v>2.7349694105931211E-5</v>
      </c>
      <c r="Q19">
        <v>3.1226010626727582E-5</v>
      </c>
      <c r="R19">
        <v>4.2634869284367171E-4</v>
      </c>
      <c r="S19">
        <v>8.1328717767675189E-5</v>
      </c>
      <c r="T19">
        <v>2.915496979043492E-5</v>
      </c>
      <c r="U19">
        <v>7.2402103508444155E-5</v>
      </c>
    </row>
    <row r="20" spans="1:21" x14ac:dyDescent="0.25">
      <c r="A20" s="5" t="s">
        <v>125</v>
      </c>
      <c r="B20">
        <v>1.726006080521707E-7</v>
      </c>
      <c r="C20">
        <v>1.726006080521707E-7</v>
      </c>
      <c r="D20">
        <v>1.726006080521707E-7</v>
      </c>
      <c r="E20">
        <v>1.726006080521707E-7</v>
      </c>
      <c r="F20">
        <v>1.726006080521707E-7</v>
      </c>
      <c r="G20">
        <v>1.1301386665722811E-5</v>
      </c>
      <c r="H20">
        <v>7.1275827877478523E-4</v>
      </c>
      <c r="I20">
        <v>1.204951776760509E-6</v>
      </c>
      <c r="J20">
        <v>3.9993708299174114E-6</v>
      </c>
      <c r="K20">
        <v>2.88210179390406E-8</v>
      </c>
      <c r="L20">
        <v>1.726006080521707E-7</v>
      </c>
      <c r="M20">
        <v>1.726006080521707E-7</v>
      </c>
      <c r="N20">
        <v>1.726006080521707E-7</v>
      </c>
      <c r="O20">
        <v>1.726006080521707E-7</v>
      </c>
      <c r="P20">
        <v>1.726006080521707E-7</v>
      </c>
      <c r="Q20">
        <v>1.1301386665722811E-5</v>
      </c>
      <c r="R20">
        <v>7.1275827877478523E-4</v>
      </c>
      <c r="S20">
        <v>1.204951776760509E-6</v>
      </c>
      <c r="T20">
        <v>3.9993708299174114E-6</v>
      </c>
      <c r="U20">
        <v>2.88210179390406E-8</v>
      </c>
    </row>
    <row r="21" spans="1:21" x14ac:dyDescent="0.25">
      <c r="A21" s="5" t="s">
        <v>100</v>
      </c>
      <c r="B21">
        <v>1.725568767451755E-6</v>
      </c>
      <c r="C21">
        <v>1.725568767451755E-6</v>
      </c>
      <c r="D21">
        <v>1.725568767451755E-6</v>
      </c>
      <c r="E21">
        <v>1.725568767451755E-6</v>
      </c>
      <c r="F21">
        <v>1.725568767451755E-6</v>
      </c>
      <c r="G21">
        <v>7.3652870074141661E-7</v>
      </c>
      <c r="H21">
        <v>2.1567967827232059E-5</v>
      </c>
      <c r="I21">
        <v>1.961570680356378E-6</v>
      </c>
      <c r="J21">
        <v>3.212154801763589E-6</v>
      </c>
      <c r="K21">
        <v>1.4818633726299341E-7</v>
      </c>
      <c r="L21">
        <v>1.725568767451755E-6</v>
      </c>
      <c r="M21">
        <v>1.725568767451755E-6</v>
      </c>
      <c r="N21">
        <v>1.725568767451755E-6</v>
      </c>
      <c r="O21">
        <v>1.725568767451755E-6</v>
      </c>
      <c r="P21">
        <v>1.725568767451755E-6</v>
      </c>
      <c r="Q21">
        <v>7.3652870074141661E-7</v>
      </c>
      <c r="R21">
        <v>2.1567967827232059E-5</v>
      </c>
      <c r="S21">
        <v>1.961570680356378E-6</v>
      </c>
      <c r="T21">
        <v>3.212154801763589E-6</v>
      </c>
      <c r="U21">
        <v>1.4818633726299341E-7</v>
      </c>
    </row>
    <row r="22" spans="1:21" x14ac:dyDescent="0.25">
      <c r="A22" s="5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1.5745087221721789E-6</v>
      </c>
      <c r="H22">
        <v>3.1901044571833188E-6</v>
      </c>
      <c r="I22">
        <v>2.227526521075041E-6</v>
      </c>
      <c r="J22">
        <v>2.7346966137673228E-4</v>
      </c>
      <c r="K22">
        <v>6.9045152264584738E-7</v>
      </c>
      <c r="L22">
        <v>0</v>
      </c>
      <c r="M22">
        <v>0</v>
      </c>
      <c r="N22">
        <v>0</v>
      </c>
      <c r="O22">
        <v>0</v>
      </c>
      <c r="P22">
        <v>0</v>
      </c>
      <c r="Q22">
        <v>1.5745087221721789E-6</v>
      </c>
      <c r="R22">
        <v>3.1901044571833188E-6</v>
      </c>
      <c r="S22">
        <v>2.227526521075041E-6</v>
      </c>
      <c r="T22">
        <v>2.7346966137673228E-4</v>
      </c>
      <c r="U22">
        <v>6.9045152264584738E-7</v>
      </c>
    </row>
    <row r="23" spans="1:21" x14ac:dyDescent="0.25">
      <c r="A23" s="5" t="s">
        <v>70</v>
      </c>
      <c r="B23">
        <v>5.3823281194946093E-4</v>
      </c>
      <c r="C23">
        <v>5.3823281194946093E-4</v>
      </c>
      <c r="D23">
        <v>5.3823281194946093E-4</v>
      </c>
      <c r="E23">
        <v>5.3823281194946093E-4</v>
      </c>
      <c r="F23">
        <v>5.3823281194946093E-4</v>
      </c>
      <c r="G23">
        <v>2.1650191027859861E-3</v>
      </c>
      <c r="H23">
        <v>5.5921716114045814E-3</v>
      </c>
      <c r="I23">
        <v>6.4802813531971227E-3</v>
      </c>
      <c r="J23">
        <v>1.077171741237855E-3</v>
      </c>
      <c r="K23">
        <v>2.3487605607209619E-3</v>
      </c>
      <c r="L23">
        <v>5.3823281194946093E-4</v>
      </c>
      <c r="M23">
        <v>5.3823281194946093E-4</v>
      </c>
      <c r="N23">
        <v>5.3823281194946093E-4</v>
      </c>
      <c r="O23">
        <v>5.3823281194946093E-4</v>
      </c>
      <c r="P23">
        <v>5.3823281194946093E-4</v>
      </c>
      <c r="Q23">
        <v>2.1650191027859861E-3</v>
      </c>
      <c r="R23">
        <v>5.5921716114045814E-3</v>
      </c>
      <c r="S23">
        <v>6.4802813531971227E-3</v>
      </c>
      <c r="T23">
        <v>1.077171741237855E-3</v>
      </c>
      <c r="U23">
        <v>2.3487605607209619E-3</v>
      </c>
    </row>
    <row r="24" spans="1:21" x14ac:dyDescent="0.25">
      <c r="A24" s="5" t="s">
        <v>88</v>
      </c>
      <c r="B24">
        <v>2.2393516848317339E-5</v>
      </c>
      <c r="C24">
        <v>2.2393516848317339E-5</v>
      </c>
      <c r="D24">
        <v>2.2393516848317339E-5</v>
      </c>
      <c r="E24">
        <v>2.2393516848317339E-5</v>
      </c>
      <c r="F24">
        <v>2.2393516848317339E-5</v>
      </c>
      <c r="G24">
        <v>3.0169044680767362E-5</v>
      </c>
      <c r="H24">
        <v>1.953380754550953E-4</v>
      </c>
      <c r="I24">
        <v>3.877417881743649E-5</v>
      </c>
      <c r="J24">
        <v>2.5939156510925531E-5</v>
      </c>
      <c r="K24">
        <v>1.0158484929044091E-5</v>
      </c>
      <c r="L24">
        <v>2.2393516848317339E-5</v>
      </c>
      <c r="M24">
        <v>2.2393516848317339E-5</v>
      </c>
      <c r="N24">
        <v>2.2393516848317339E-5</v>
      </c>
      <c r="O24">
        <v>2.2393516848317339E-5</v>
      </c>
      <c r="P24">
        <v>2.2393516848317339E-5</v>
      </c>
      <c r="Q24">
        <v>3.0169044680767362E-5</v>
      </c>
      <c r="R24">
        <v>1.953380754550953E-4</v>
      </c>
      <c r="S24">
        <v>3.877417881743649E-5</v>
      </c>
      <c r="T24">
        <v>2.5939156510925531E-5</v>
      </c>
      <c r="U24">
        <v>1.0158484929044091E-5</v>
      </c>
    </row>
    <row r="25" spans="1:21" x14ac:dyDescent="0.25">
      <c r="A25" s="5" t="s">
        <v>75</v>
      </c>
      <c r="B25">
        <v>2.4155741771480729E-4</v>
      </c>
      <c r="C25">
        <v>2.4155741771480729E-4</v>
      </c>
      <c r="D25">
        <v>2.4155741771480729E-4</v>
      </c>
      <c r="E25">
        <v>2.4155741771480729E-4</v>
      </c>
      <c r="F25">
        <v>2.4155741771480729E-4</v>
      </c>
      <c r="G25">
        <v>7.2776712335139099E-4</v>
      </c>
      <c r="H25">
        <v>2.2211695040652911E-3</v>
      </c>
      <c r="I25">
        <v>7.4520026560822151E-4</v>
      </c>
      <c r="J25">
        <v>3.7892286214599068E-4</v>
      </c>
      <c r="K25">
        <v>3.5617138770567449E-4</v>
      </c>
      <c r="L25">
        <v>2.4155741771480729E-4</v>
      </c>
      <c r="M25">
        <v>2.4155741771480729E-4</v>
      </c>
      <c r="N25">
        <v>2.4155741771480729E-4</v>
      </c>
      <c r="O25">
        <v>2.4155741771480729E-4</v>
      </c>
      <c r="P25">
        <v>2.4155741771480729E-4</v>
      </c>
      <c r="Q25">
        <v>7.2776712335139099E-4</v>
      </c>
      <c r="R25">
        <v>2.2211695040652911E-3</v>
      </c>
      <c r="S25">
        <v>7.4520026560822141E-4</v>
      </c>
      <c r="T25">
        <v>3.7892286214599068E-4</v>
      </c>
      <c r="U25">
        <v>3.561713877056746E-4</v>
      </c>
    </row>
    <row r="26" spans="1:21" x14ac:dyDescent="0.25">
      <c r="A26" s="5" t="s">
        <v>81</v>
      </c>
      <c r="B26">
        <v>5.4884073242540361E-5</v>
      </c>
      <c r="C26">
        <v>5.4884073242540361E-5</v>
      </c>
      <c r="D26">
        <v>5.4884073242540361E-5</v>
      </c>
      <c r="E26">
        <v>5.4884073242540361E-5</v>
      </c>
      <c r="F26">
        <v>5.4884073242540361E-5</v>
      </c>
      <c r="G26">
        <v>3.1473305934331432E-4</v>
      </c>
      <c r="H26">
        <v>2.5017120256116141E-3</v>
      </c>
      <c r="I26">
        <v>3.9963561515327008E-4</v>
      </c>
      <c r="J26">
        <v>2.5493709949674689E-4</v>
      </c>
      <c r="K26">
        <v>2.3098730652096561E-4</v>
      </c>
      <c r="L26">
        <v>5.4884073242540361E-5</v>
      </c>
      <c r="M26">
        <v>5.4884073242540361E-5</v>
      </c>
      <c r="N26">
        <v>5.4884073242540361E-5</v>
      </c>
      <c r="O26">
        <v>5.4884073242540361E-5</v>
      </c>
      <c r="P26">
        <v>5.4884073242540361E-5</v>
      </c>
      <c r="Q26">
        <v>3.1473305934331432E-4</v>
      </c>
      <c r="R26">
        <v>2.5017120256116141E-3</v>
      </c>
      <c r="S26">
        <v>3.9963561515327008E-4</v>
      </c>
      <c r="T26">
        <v>2.5493709949674689E-4</v>
      </c>
      <c r="U26">
        <v>2.3098730652096561E-4</v>
      </c>
    </row>
    <row r="27" spans="1:21" x14ac:dyDescent="0.25">
      <c r="A27" s="5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1.0193206436242431E-8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1.0193206436242431E-8</v>
      </c>
      <c r="S27">
        <v>0</v>
      </c>
      <c r="T27">
        <v>0</v>
      </c>
      <c r="U27">
        <v>0</v>
      </c>
    </row>
    <row r="28" spans="1:21" x14ac:dyDescent="0.25">
      <c r="A28" s="5" t="s">
        <v>84</v>
      </c>
      <c r="B28">
        <v>2.454397555054229E-5</v>
      </c>
      <c r="C28">
        <v>2.454397555054229E-5</v>
      </c>
      <c r="D28">
        <v>2.454397555054229E-5</v>
      </c>
      <c r="E28">
        <v>2.454397555054229E-5</v>
      </c>
      <c r="F28">
        <v>2.454397555054229E-5</v>
      </c>
      <c r="G28">
        <v>1.4453698569230351E-4</v>
      </c>
      <c r="H28">
        <v>7.3954783668841824E-3</v>
      </c>
      <c r="I28">
        <v>1.260139127917147E-5</v>
      </c>
      <c r="J28">
        <v>4.3472310216880937E-5</v>
      </c>
      <c r="K28">
        <v>1.9063286301463958E-5</v>
      </c>
      <c r="L28">
        <v>2.454397555054229E-5</v>
      </c>
      <c r="M28">
        <v>2.454397555054229E-5</v>
      </c>
      <c r="N28">
        <v>2.454397555054229E-5</v>
      </c>
      <c r="O28">
        <v>2.454397555054229E-5</v>
      </c>
      <c r="P28">
        <v>2.454397555054229E-5</v>
      </c>
      <c r="Q28">
        <v>1.4453698569230351E-4</v>
      </c>
      <c r="R28">
        <v>7.3954783668841824E-3</v>
      </c>
      <c r="S28">
        <v>1.260139127917147E-5</v>
      </c>
      <c r="T28">
        <v>4.3472310216880937E-5</v>
      </c>
      <c r="U28">
        <v>1.9063286301463958E-5</v>
      </c>
    </row>
    <row r="29" spans="1:21" x14ac:dyDescent="0.25">
      <c r="A29" s="5" t="s">
        <v>102</v>
      </c>
      <c r="B29">
        <v>1.3824219428335639E-6</v>
      </c>
      <c r="C29">
        <v>1.3824219428335639E-6</v>
      </c>
      <c r="D29">
        <v>1.3824219428335639E-6</v>
      </c>
      <c r="E29">
        <v>1.3824219428335639E-6</v>
      </c>
      <c r="F29">
        <v>1.3824219428335639E-6</v>
      </c>
      <c r="G29">
        <v>8.7959574977195158E-5</v>
      </c>
      <c r="H29">
        <v>4.0135413507917357E-4</v>
      </c>
      <c r="I29">
        <v>1.0496378447471029E-4</v>
      </c>
      <c r="J29">
        <v>1.4088152803292979E-5</v>
      </c>
      <c r="K29">
        <v>3.8082057825089971E-5</v>
      </c>
      <c r="L29">
        <v>1.3824219428335639E-6</v>
      </c>
      <c r="M29">
        <v>1.3824219428335639E-6</v>
      </c>
      <c r="N29">
        <v>1.3824219428335639E-6</v>
      </c>
      <c r="O29">
        <v>1.3824219428335639E-6</v>
      </c>
      <c r="P29">
        <v>1.3824219428335639E-6</v>
      </c>
      <c r="Q29">
        <v>8.7959574977195158E-5</v>
      </c>
      <c r="R29">
        <v>4.0135413507917357E-4</v>
      </c>
      <c r="S29">
        <v>1.0496378447471029E-4</v>
      </c>
      <c r="T29">
        <v>1.4088152803292979E-5</v>
      </c>
      <c r="U29">
        <v>3.8082057825089971E-5</v>
      </c>
    </row>
    <row r="30" spans="1:21" x14ac:dyDescent="0.25">
      <c r="A30" s="5" t="s">
        <v>95</v>
      </c>
      <c r="B30">
        <v>5.8564160465460833E-6</v>
      </c>
      <c r="C30">
        <v>5.8564160465460833E-6</v>
      </c>
      <c r="D30">
        <v>5.8564160465460833E-6</v>
      </c>
      <c r="E30">
        <v>5.8564160465460833E-6</v>
      </c>
      <c r="F30">
        <v>5.8564160465460833E-6</v>
      </c>
      <c r="G30">
        <v>4.9645101912768951E-5</v>
      </c>
      <c r="H30">
        <v>6.0016813846965313E-5</v>
      </c>
      <c r="I30">
        <v>1.5945599517395501E-4</v>
      </c>
      <c r="J30">
        <v>4.9577150900384497E-5</v>
      </c>
      <c r="K30">
        <v>4.1554559630111541E-5</v>
      </c>
      <c r="L30">
        <v>5.8564160465460833E-6</v>
      </c>
      <c r="M30">
        <v>5.8564160465460833E-6</v>
      </c>
      <c r="N30">
        <v>5.8564160465460833E-6</v>
      </c>
      <c r="O30">
        <v>5.8564160465460833E-6</v>
      </c>
      <c r="P30">
        <v>5.8564160465460833E-6</v>
      </c>
      <c r="Q30">
        <v>4.9645101912768951E-5</v>
      </c>
      <c r="R30">
        <v>6.0016813846965313E-5</v>
      </c>
      <c r="S30">
        <v>1.5945599517395501E-4</v>
      </c>
      <c r="T30">
        <v>4.9577150900384497E-5</v>
      </c>
      <c r="U30">
        <v>4.1554559630111541E-5</v>
      </c>
    </row>
    <row r="31" spans="1:21" x14ac:dyDescent="0.25">
      <c r="A31" s="5" t="s">
        <v>103</v>
      </c>
      <c r="B31">
        <v>1.0676900320148E-6</v>
      </c>
      <c r="C31">
        <v>1.0676900320148E-6</v>
      </c>
      <c r="D31">
        <v>1.0676900320148E-6</v>
      </c>
      <c r="E31">
        <v>1.0676900320148E-6</v>
      </c>
      <c r="F31">
        <v>1.0676900320148E-6</v>
      </c>
      <c r="G31">
        <v>7.501018774226547E-6</v>
      </c>
      <c r="H31">
        <v>3.2651040079720328E-4</v>
      </c>
      <c r="I31">
        <v>1.1284956333104931E-4</v>
      </c>
      <c r="J31">
        <v>2.0488299048490158E-5</v>
      </c>
      <c r="K31">
        <v>1.109524573735111E-5</v>
      </c>
      <c r="L31">
        <v>1.0676900320148E-6</v>
      </c>
      <c r="M31">
        <v>1.0676900320148E-6</v>
      </c>
      <c r="N31">
        <v>1.0676900320148E-6</v>
      </c>
      <c r="O31">
        <v>1.0676900320148E-6</v>
      </c>
      <c r="P31">
        <v>1.0676900320148E-6</v>
      </c>
      <c r="Q31">
        <v>7.501018774226547E-6</v>
      </c>
      <c r="R31">
        <v>3.2651040079720328E-4</v>
      </c>
      <c r="S31">
        <v>1.1284956333104931E-4</v>
      </c>
      <c r="T31">
        <v>2.0488299048490158E-5</v>
      </c>
      <c r="U31">
        <v>1.109524573735111E-5</v>
      </c>
    </row>
    <row r="32" spans="1:21" x14ac:dyDescent="0.25">
      <c r="A32" s="5" t="s">
        <v>98</v>
      </c>
      <c r="B32">
        <v>3.4092647426237541E-6</v>
      </c>
      <c r="C32">
        <v>3.4092647426237541E-6</v>
      </c>
      <c r="D32">
        <v>3.4092647426237541E-6</v>
      </c>
      <c r="E32">
        <v>3.4092647426237541E-6</v>
      </c>
      <c r="F32">
        <v>3.4092647426237541E-6</v>
      </c>
      <c r="G32">
        <v>7.0117499482677203E-5</v>
      </c>
      <c r="H32">
        <v>3.3543860151230201E-4</v>
      </c>
      <c r="I32">
        <v>8.8000037129669115E-5</v>
      </c>
      <c r="J32">
        <v>4.8226667970187357E-5</v>
      </c>
      <c r="K32">
        <v>3.291283856548948E-5</v>
      </c>
      <c r="L32">
        <v>3.4092647426237541E-6</v>
      </c>
      <c r="M32">
        <v>3.4092647426237541E-6</v>
      </c>
      <c r="N32">
        <v>3.4092647426237541E-6</v>
      </c>
      <c r="O32">
        <v>3.4092647426237541E-6</v>
      </c>
      <c r="P32">
        <v>3.4092647426237541E-6</v>
      </c>
      <c r="Q32">
        <v>7.0117499482677203E-5</v>
      </c>
      <c r="R32">
        <v>3.3543860151230201E-4</v>
      </c>
      <c r="S32">
        <v>8.8000037129669115E-5</v>
      </c>
      <c r="T32">
        <v>4.8226667970187357E-5</v>
      </c>
      <c r="U32">
        <v>3.291283856548948E-5</v>
      </c>
    </row>
    <row r="33" spans="1:21" x14ac:dyDescent="0.25">
      <c r="A33" s="5" t="s">
        <v>99</v>
      </c>
      <c r="B33">
        <v>3.9576101163218046E-6</v>
      </c>
      <c r="C33">
        <v>3.9576101163218046E-6</v>
      </c>
      <c r="D33">
        <v>3.9576101163218046E-6</v>
      </c>
      <c r="E33">
        <v>3.9576101163218046E-6</v>
      </c>
      <c r="F33">
        <v>3.9576101163218046E-6</v>
      </c>
      <c r="G33">
        <v>2.981111775355001E-6</v>
      </c>
      <c r="H33">
        <v>2.711146445515366E-5</v>
      </c>
      <c r="I33">
        <v>3.4901171550742462E-6</v>
      </c>
      <c r="J33">
        <v>2.8607148597958948E-6</v>
      </c>
      <c r="K33">
        <v>1.8016351365397491E-6</v>
      </c>
      <c r="L33">
        <v>3.9576101163218046E-6</v>
      </c>
      <c r="M33">
        <v>3.9576101163218046E-6</v>
      </c>
      <c r="N33">
        <v>3.9576101163218046E-6</v>
      </c>
      <c r="O33">
        <v>3.9576101163218046E-6</v>
      </c>
      <c r="P33">
        <v>3.9576101163218046E-6</v>
      </c>
      <c r="Q33">
        <v>2.981111775355001E-6</v>
      </c>
      <c r="R33">
        <v>2.711146445515366E-5</v>
      </c>
      <c r="S33">
        <v>3.4901171550742462E-6</v>
      </c>
      <c r="T33">
        <v>2.8607148597958948E-6</v>
      </c>
      <c r="U33">
        <v>1.8016351365397491E-6</v>
      </c>
    </row>
    <row r="34" spans="1:21" x14ac:dyDescent="0.25">
      <c r="A34" s="5" t="s">
        <v>78</v>
      </c>
      <c r="B34">
        <v>2.2651718814039571E-4</v>
      </c>
      <c r="C34">
        <v>2.2651718814039571E-4</v>
      </c>
      <c r="D34">
        <v>2.2651718814039571E-4</v>
      </c>
      <c r="E34">
        <v>2.2651718814039571E-4</v>
      </c>
      <c r="F34">
        <v>2.2651718814039571E-4</v>
      </c>
      <c r="G34">
        <v>1.1041146299039001E-3</v>
      </c>
      <c r="H34">
        <v>3.62904779536546E-3</v>
      </c>
      <c r="I34">
        <v>9.6969086970816274E-4</v>
      </c>
      <c r="J34">
        <v>4.0152873602258208E-4</v>
      </c>
      <c r="K34">
        <v>4.6103697284175898E-4</v>
      </c>
      <c r="L34">
        <v>2.2651718814039571E-4</v>
      </c>
      <c r="M34">
        <v>2.2651718814039571E-4</v>
      </c>
      <c r="N34">
        <v>2.2651718814039571E-4</v>
      </c>
      <c r="O34">
        <v>2.2651718814039571E-4</v>
      </c>
      <c r="P34">
        <v>2.2651718814039571E-4</v>
      </c>
      <c r="Q34">
        <v>1.1041146299039001E-3</v>
      </c>
      <c r="R34">
        <v>3.62904779536546E-3</v>
      </c>
      <c r="S34">
        <v>9.6969086970816274E-4</v>
      </c>
      <c r="T34">
        <v>4.0152873602258208E-4</v>
      </c>
      <c r="U34">
        <v>4.6103697284175898E-4</v>
      </c>
    </row>
    <row r="35" spans="1:21" x14ac:dyDescent="0.25">
      <c r="A35" s="5" t="s">
        <v>87</v>
      </c>
      <c r="B35">
        <v>3.1855169702889632E-5</v>
      </c>
      <c r="C35">
        <v>3.1855169702889632E-5</v>
      </c>
      <c r="D35">
        <v>3.1855169702889632E-5</v>
      </c>
      <c r="E35">
        <v>3.1855169702889632E-5</v>
      </c>
      <c r="F35">
        <v>3.1855169702889632E-5</v>
      </c>
      <c r="G35">
        <v>2.9972004752873349E-3</v>
      </c>
      <c r="H35">
        <v>4.5545939332434096E-3</v>
      </c>
      <c r="I35">
        <v>2.9457555022751138E-3</v>
      </c>
      <c r="J35">
        <v>7.197027620896799E-4</v>
      </c>
      <c r="K35">
        <v>1.3613571340326501E-3</v>
      </c>
      <c r="L35">
        <v>3.1855169702889632E-5</v>
      </c>
      <c r="M35">
        <v>3.1855169702889632E-5</v>
      </c>
      <c r="N35">
        <v>3.1855169702889632E-5</v>
      </c>
      <c r="O35">
        <v>3.1855169702889632E-5</v>
      </c>
      <c r="P35">
        <v>3.1855169702889632E-5</v>
      </c>
      <c r="Q35">
        <v>2.9972004752873349E-3</v>
      </c>
      <c r="R35">
        <v>4.5545939332434096E-3</v>
      </c>
      <c r="S35">
        <v>2.9457555022751138E-3</v>
      </c>
      <c r="T35">
        <v>7.197027620896799E-4</v>
      </c>
      <c r="U35">
        <v>1.3613571340326501E-3</v>
      </c>
    </row>
    <row r="36" spans="1:21" x14ac:dyDescent="0.25">
      <c r="A36" s="5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2.24463318470502E-8</v>
      </c>
      <c r="H36">
        <v>1.8878004072195139E-6</v>
      </c>
      <c r="I36">
        <v>5.7147275328039935E-7</v>
      </c>
      <c r="J36">
        <v>3.3717612566746729E-6</v>
      </c>
      <c r="K36">
        <v>1.753633458089991E-8</v>
      </c>
      <c r="L36">
        <v>0</v>
      </c>
      <c r="M36">
        <v>0</v>
      </c>
      <c r="N36">
        <v>0</v>
      </c>
      <c r="O36">
        <v>0</v>
      </c>
      <c r="P36">
        <v>0</v>
      </c>
      <c r="Q36">
        <v>2.24463318470502E-8</v>
      </c>
      <c r="R36">
        <v>1.8878004072195139E-6</v>
      </c>
      <c r="S36">
        <v>5.7147275328039935E-7</v>
      </c>
      <c r="T36">
        <v>3.3717612566746729E-6</v>
      </c>
      <c r="U36">
        <v>1.753633458089991E-8</v>
      </c>
    </row>
    <row r="37" spans="1:21" x14ac:dyDescent="0.25">
      <c r="A37" s="5" t="s">
        <v>74</v>
      </c>
      <c r="B37">
        <v>1.4309264501223629E-4</v>
      </c>
      <c r="C37">
        <v>1.4309264501223629E-4</v>
      </c>
      <c r="D37">
        <v>1.4309264501223629E-4</v>
      </c>
      <c r="E37">
        <v>1.4309264501223629E-4</v>
      </c>
      <c r="F37">
        <v>1.4309264501223629E-4</v>
      </c>
      <c r="G37">
        <v>5.7000327475692177E-4</v>
      </c>
      <c r="H37">
        <v>1.855108926014789E-3</v>
      </c>
      <c r="I37">
        <v>4.1844505929912478E-4</v>
      </c>
      <c r="J37">
        <v>2.3870060866179989E-4</v>
      </c>
      <c r="K37">
        <v>3.2912967105660438E-4</v>
      </c>
      <c r="L37">
        <v>1.4309264501223629E-4</v>
      </c>
      <c r="M37">
        <v>1.4309264501223629E-4</v>
      </c>
      <c r="N37">
        <v>1.4309264501223629E-4</v>
      </c>
      <c r="O37">
        <v>1.4309264501223629E-4</v>
      </c>
      <c r="P37">
        <v>1.4309264501223629E-4</v>
      </c>
      <c r="Q37">
        <v>5.7000327475692177E-4</v>
      </c>
      <c r="R37">
        <v>1.855108926014789E-3</v>
      </c>
      <c r="S37">
        <v>4.1844505929912478E-4</v>
      </c>
      <c r="T37">
        <v>2.3870060866179989E-4</v>
      </c>
      <c r="U37">
        <v>3.2912967105660438E-4</v>
      </c>
    </row>
    <row r="38" spans="1:21" x14ac:dyDescent="0.25">
      <c r="A38" s="5" t="s">
        <v>44</v>
      </c>
      <c r="B38">
        <v>1.330430605193391E-2</v>
      </c>
      <c r="C38">
        <v>1.330430605193391E-2</v>
      </c>
      <c r="D38">
        <v>1.330430605193391E-2</v>
      </c>
      <c r="E38">
        <v>1.330430605193391E-2</v>
      </c>
      <c r="F38">
        <v>1.330430605193391E-2</v>
      </c>
      <c r="G38">
        <v>4.4993781738798748E-2</v>
      </c>
      <c r="H38">
        <v>3.9268351908068648E-2</v>
      </c>
      <c r="I38">
        <v>3.0992851003031209E-2</v>
      </c>
      <c r="J38">
        <v>3.0668744862039229E-2</v>
      </c>
      <c r="K38">
        <v>8.8403776272486204E-2</v>
      </c>
      <c r="L38">
        <v>1.330430605193391E-2</v>
      </c>
      <c r="M38">
        <v>1.330430605193391E-2</v>
      </c>
      <c r="N38">
        <v>1.330430605193391E-2</v>
      </c>
      <c r="O38">
        <v>1.330430605193391E-2</v>
      </c>
      <c r="P38">
        <v>1.330430605193391E-2</v>
      </c>
      <c r="Q38">
        <v>4.7692977176863882E-2</v>
      </c>
      <c r="R38">
        <v>9.8243552824881605E-2</v>
      </c>
      <c r="S38">
        <v>3.3126765485032759E-2</v>
      </c>
      <c r="T38">
        <v>3.8671848358164243E-2</v>
      </c>
      <c r="U38">
        <v>8.9798925422541018E-2</v>
      </c>
    </row>
    <row r="39" spans="1:21" x14ac:dyDescent="0.25">
      <c r="A39" s="5" t="s">
        <v>77</v>
      </c>
      <c r="B39">
        <v>1.7312172544843349E-4</v>
      </c>
      <c r="C39">
        <v>1.7312172544843349E-4</v>
      </c>
      <c r="D39">
        <v>1.7312172544843349E-4</v>
      </c>
      <c r="E39">
        <v>1.7312172544843349E-4</v>
      </c>
      <c r="F39">
        <v>1.7312172544843349E-4</v>
      </c>
      <c r="G39">
        <v>5.415966067589264E-4</v>
      </c>
      <c r="H39">
        <v>2.6337030438706062E-3</v>
      </c>
      <c r="I39">
        <v>6.2172862490578564E-4</v>
      </c>
      <c r="J39">
        <v>1.6043651617036409E-4</v>
      </c>
      <c r="K39">
        <v>2.3957057041092329E-4</v>
      </c>
      <c r="L39">
        <v>1.7312172544843349E-4</v>
      </c>
      <c r="M39">
        <v>1.7312172544843349E-4</v>
      </c>
      <c r="N39">
        <v>1.7312172544843349E-4</v>
      </c>
      <c r="O39">
        <v>1.7312172544843349E-4</v>
      </c>
      <c r="P39">
        <v>1.7312172544843349E-4</v>
      </c>
      <c r="Q39">
        <v>5.415966067589264E-4</v>
      </c>
      <c r="R39">
        <v>2.6337030438706062E-3</v>
      </c>
      <c r="S39">
        <v>6.2172862490578564E-4</v>
      </c>
      <c r="T39">
        <v>1.6043651617036409E-4</v>
      </c>
      <c r="U39">
        <v>2.3957057041092329E-4</v>
      </c>
    </row>
    <row r="40" spans="1:21" x14ac:dyDescent="0.25">
      <c r="A40" s="6" t="s">
        <v>37</v>
      </c>
      <c r="B40" s="7">
        <v>1.9558808404092748E-3</v>
      </c>
      <c r="C40" s="7">
        <v>1.9558808404092748E-3</v>
      </c>
      <c r="D40" s="7">
        <v>1.9558808404092748E-3</v>
      </c>
      <c r="E40" s="7">
        <v>1.9558808404092748E-3</v>
      </c>
      <c r="F40" s="7">
        <v>1.9558808404092748E-3</v>
      </c>
      <c r="G40" s="7">
        <v>2.0960530024392832E-3</v>
      </c>
      <c r="H40" s="7">
        <v>2.114400098464574E-3</v>
      </c>
      <c r="I40" s="7">
        <v>1.8970732918019389E-3</v>
      </c>
      <c r="J40" s="7">
        <v>2.9443326354658848E-3</v>
      </c>
      <c r="K40" s="7">
        <v>1.7376902139987411E-3</v>
      </c>
      <c r="L40" s="7">
        <v>1.5404714027540499E-2</v>
      </c>
      <c r="M40" s="7">
        <v>1.5404714027540499E-2</v>
      </c>
      <c r="N40" s="7">
        <v>1.5404714027540499E-2</v>
      </c>
      <c r="O40" s="7">
        <v>1.5404714027540499E-2</v>
      </c>
      <c r="P40" s="7">
        <v>1.5404714027540499E-2</v>
      </c>
      <c r="Q40" s="7">
        <v>1.208591842615616E-2</v>
      </c>
      <c r="R40" s="7">
        <v>3.5640729750384931E-2</v>
      </c>
      <c r="S40" s="7">
        <v>8.7635204378926877E-3</v>
      </c>
      <c r="T40" s="7">
        <v>4.0260222852577477E-3</v>
      </c>
      <c r="U40" s="7">
        <v>5.0112345559068126E-3</v>
      </c>
    </row>
    <row r="41" spans="1:21" x14ac:dyDescent="0.25">
      <c r="A41" s="5" t="s">
        <v>82</v>
      </c>
      <c r="B41">
        <v>5.1289768187498587E-5</v>
      </c>
      <c r="C41">
        <v>5.1289768187498587E-5</v>
      </c>
      <c r="D41">
        <v>5.1289768187498587E-5</v>
      </c>
      <c r="E41">
        <v>5.1289768187498587E-5</v>
      </c>
      <c r="F41">
        <v>5.1289768187498587E-5</v>
      </c>
      <c r="G41">
        <v>7.3043945292073444E-5</v>
      </c>
      <c r="H41">
        <v>7.0024783087183103E-5</v>
      </c>
      <c r="I41">
        <v>7.5202956935418007E-5</v>
      </c>
      <c r="J41">
        <v>1.7103805572275301E-5</v>
      </c>
      <c r="K41">
        <v>3.8779578792163858E-5</v>
      </c>
      <c r="L41">
        <v>5.1289768187498587E-5</v>
      </c>
      <c r="M41">
        <v>5.1289768187498587E-5</v>
      </c>
      <c r="N41">
        <v>5.1289768187498587E-5</v>
      </c>
      <c r="O41">
        <v>5.1289768187498587E-5</v>
      </c>
      <c r="P41">
        <v>5.1289768187498587E-5</v>
      </c>
      <c r="Q41">
        <v>7.3043945292073444E-5</v>
      </c>
      <c r="R41">
        <v>7.0024783087183103E-5</v>
      </c>
      <c r="S41">
        <v>7.5202956935418007E-5</v>
      </c>
      <c r="T41">
        <v>1.7103805572275301E-5</v>
      </c>
      <c r="U41">
        <v>3.8779578792163858E-5</v>
      </c>
    </row>
    <row r="42" spans="1:21" x14ac:dyDescent="0.25">
      <c r="A42" s="5" t="s">
        <v>129</v>
      </c>
      <c r="B42">
        <v>0</v>
      </c>
      <c r="C42">
        <v>0</v>
      </c>
      <c r="D42">
        <v>0</v>
      </c>
      <c r="E42">
        <v>0</v>
      </c>
      <c r="F42">
        <v>0</v>
      </c>
      <c r="G42">
        <v>9.757076882757451E-5</v>
      </c>
      <c r="H42">
        <v>6.7241230187384118E-7</v>
      </c>
      <c r="I42">
        <v>1.9928636768443779E-4</v>
      </c>
      <c r="J42">
        <v>3.696192538142283E-8</v>
      </c>
      <c r="K42">
        <v>2.3922030716614761E-4</v>
      </c>
      <c r="L42">
        <v>0</v>
      </c>
      <c r="M42">
        <v>0</v>
      </c>
      <c r="N42">
        <v>0</v>
      </c>
      <c r="O42">
        <v>0</v>
      </c>
      <c r="P42">
        <v>0</v>
      </c>
      <c r="Q42">
        <v>9.757076882757451E-5</v>
      </c>
      <c r="R42">
        <v>6.7241230187384118E-7</v>
      </c>
      <c r="S42">
        <v>1.9928636768443779E-4</v>
      </c>
      <c r="T42">
        <v>3.696192538142283E-8</v>
      </c>
      <c r="U42">
        <v>2.3922030716614761E-4</v>
      </c>
    </row>
    <row r="43" spans="1:21" x14ac:dyDescent="0.25">
      <c r="A43" s="5" t="s">
        <v>130</v>
      </c>
      <c r="B43">
        <v>0</v>
      </c>
      <c r="C43">
        <v>0</v>
      </c>
      <c r="D43">
        <v>0</v>
      </c>
      <c r="E43">
        <v>0</v>
      </c>
      <c r="F43">
        <v>0</v>
      </c>
      <c r="G43">
        <v>4.0798299706110261E-8</v>
      </c>
      <c r="H43">
        <v>3.504855217141331E-6</v>
      </c>
      <c r="I43">
        <v>1.502415828076302E-5</v>
      </c>
      <c r="J43">
        <v>5.9535743380580022E-6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4.0798299706110261E-8</v>
      </c>
      <c r="R43">
        <v>3.504855217141331E-6</v>
      </c>
      <c r="S43">
        <v>1.502415828076302E-5</v>
      </c>
      <c r="T43">
        <v>5.9535743380580022E-6</v>
      </c>
      <c r="U43">
        <v>0</v>
      </c>
    </row>
    <row r="44" spans="1:21" x14ac:dyDescent="0.25">
      <c r="A44" s="5" t="s">
        <v>131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3.7664663142530039E-6</v>
      </c>
      <c r="I44">
        <v>6.6150700045153108E-8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3.7664663142530039E-6</v>
      </c>
      <c r="S44">
        <v>6.6150700045153108E-8</v>
      </c>
      <c r="T44">
        <v>0</v>
      </c>
      <c r="U44">
        <v>0</v>
      </c>
    </row>
    <row r="45" spans="1:21" x14ac:dyDescent="0.25">
      <c r="A45" s="5" t="s">
        <v>80</v>
      </c>
      <c r="B45">
        <v>5.2494794708144278E-5</v>
      </c>
      <c r="C45">
        <v>5.2494794708144278E-5</v>
      </c>
      <c r="D45">
        <v>5.2494794708144278E-5</v>
      </c>
      <c r="E45">
        <v>5.2494794708144278E-5</v>
      </c>
      <c r="F45">
        <v>5.2494794708144278E-5</v>
      </c>
      <c r="G45">
        <v>1.363899961206327E-4</v>
      </c>
      <c r="H45">
        <v>4.4441659473487229E-4</v>
      </c>
      <c r="I45">
        <v>1.5721446609705511E-4</v>
      </c>
      <c r="J45">
        <v>7.8202181958750064E-5</v>
      </c>
      <c r="K45">
        <v>7.7741529572990359E-5</v>
      </c>
      <c r="L45">
        <v>5.2494794708144278E-5</v>
      </c>
      <c r="M45">
        <v>5.2494794708144278E-5</v>
      </c>
      <c r="N45">
        <v>5.2494794708144278E-5</v>
      </c>
      <c r="O45">
        <v>5.2494794708144278E-5</v>
      </c>
      <c r="P45">
        <v>5.2494794708144278E-5</v>
      </c>
      <c r="Q45">
        <v>1.363899961206327E-4</v>
      </c>
      <c r="R45">
        <v>4.4441659473487229E-4</v>
      </c>
      <c r="S45">
        <v>1.5721446609705511E-4</v>
      </c>
      <c r="T45">
        <v>7.8202181958750064E-5</v>
      </c>
      <c r="U45">
        <v>7.7741529572990359E-5</v>
      </c>
    </row>
    <row r="46" spans="1:21" x14ac:dyDescent="0.25">
      <c r="A46" s="5" t="s">
        <v>79</v>
      </c>
      <c r="B46">
        <v>9.5511940832590723E-5</v>
      </c>
      <c r="C46">
        <v>9.5511940832590723E-5</v>
      </c>
      <c r="D46">
        <v>9.5511940832590723E-5</v>
      </c>
      <c r="E46">
        <v>9.5511940832590723E-5</v>
      </c>
      <c r="F46">
        <v>9.5511940832590723E-5</v>
      </c>
      <c r="G46">
        <v>2.7211704183911218E-3</v>
      </c>
      <c r="H46">
        <v>5.3327332669326057E-4</v>
      </c>
      <c r="I46">
        <v>5.1482160629745559E-3</v>
      </c>
      <c r="J46">
        <v>1.237888483496733E-3</v>
      </c>
      <c r="K46">
        <v>5.7100662149992586E-3</v>
      </c>
      <c r="L46">
        <v>9.5511940832590723E-5</v>
      </c>
      <c r="M46">
        <v>9.5511940832590723E-5</v>
      </c>
      <c r="N46">
        <v>9.5511940832590723E-5</v>
      </c>
      <c r="O46">
        <v>9.5511940832590723E-5</v>
      </c>
      <c r="P46">
        <v>9.5511940832590723E-5</v>
      </c>
      <c r="Q46">
        <v>2.7211704183911218E-3</v>
      </c>
      <c r="R46">
        <v>5.3327332669326057E-4</v>
      </c>
      <c r="S46">
        <v>5.1482160629745559E-3</v>
      </c>
      <c r="T46">
        <v>1.237888483496733E-3</v>
      </c>
      <c r="U46">
        <v>5.7100662149992586E-3</v>
      </c>
    </row>
    <row r="47" spans="1:21" x14ac:dyDescent="0.25">
      <c r="A47" s="5" t="s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5.420468470531006E-6</v>
      </c>
      <c r="I47">
        <v>9.9899681888595222E-8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5.420468470531006E-6</v>
      </c>
      <c r="S47">
        <v>9.9899681888595222E-8</v>
      </c>
      <c r="T47">
        <v>0</v>
      </c>
      <c r="U47">
        <v>0</v>
      </c>
    </row>
    <row r="48" spans="1:21" x14ac:dyDescent="0.25">
      <c r="A48" s="5" t="s">
        <v>133</v>
      </c>
      <c r="B48">
        <v>0</v>
      </c>
      <c r="C48">
        <v>0</v>
      </c>
      <c r="D48">
        <v>0</v>
      </c>
      <c r="E48">
        <v>0</v>
      </c>
      <c r="F48">
        <v>0</v>
      </c>
      <c r="G48">
        <v>1.8599667746753679E-6</v>
      </c>
      <c r="H48">
        <v>3.7998252395000551E-7</v>
      </c>
      <c r="I48">
        <v>1.518931361568091E-7</v>
      </c>
      <c r="J48">
        <v>6.6890650833694297E-8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1.8599667746753679E-6</v>
      </c>
      <c r="R48">
        <v>3.7998252395000551E-7</v>
      </c>
      <c r="S48">
        <v>1.518931361568091E-7</v>
      </c>
      <c r="T48">
        <v>6.6890650833694297E-8</v>
      </c>
      <c r="U48">
        <v>0</v>
      </c>
    </row>
    <row r="49" spans="1:21" x14ac:dyDescent="0.25">
      <c r="A49" s="5" t="s">
        <v>71</v>
      </c>
      <c r="B49">
        <v>6.5868994638793423E-4</v>
      </c>
      <c r="C49">
        <v>6.5868994638793423E-4</v>
      </c>
      <c r="D49">
        <v>6.5868994638793423E-4</v>
      </c>
      <c r="E49">
        <v>6.5868994638793423E-4</v>
      </c>
      <c r="F49">
        <v>6.5868994638793423E-4</v>
      </c>
      <c r="G49">
        <v>7.5087826930843489E-4</v>
      </c>
      <c r="H49">
        <v>1.7596817686491059E-2</v>
      </c>
      <c r="I49">
        <v>5.8871997470816067E-4</v>
      </c>
      <c r="J49">
        <v>2.6125647954925238E-4</v>
      </c>
      <c r="K49">
        <v>1.3986572093994309E-3</v>
      </c>
      <c r="L49">
        <v>6.5868994638793423E-4</v>
      </c>
      <c r="M49">
        <v>6.5868994638793423E-4</v>
      </c>
      <c r="N49">
        <v>6.5868994638793423E-4</v>
      </c>
      <c r="O49">
        <v>6.5868994638793423E-4</v>
      </c>
      <c r="P49">
        <v>6.5868994638793423E-4</v>
      </c>
      <c r="Q49">
        <v>7.5087826930843489E-4</v>
      </c>
      <c r="R49">
        <v>1.7596817686491059E-2</v>
      </c>
      <c r="S49">
        <v>5.8871997470816067E-4</v>
      </c>
      <c r="T49">
        <v>2.6125647954925238E-4</v>
      </c>
      <c r="U49">
        <v>1.3986572093994309E-3</v>
      </c>
    </row>
    <row r="50" spans="1:21" x14ac:dyDescent="0.25">
      <c r="A50" s="5" t="s">
        <v>134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1.519420744494522E-5</v>
      </c>
      <c r="I50">
        <v>1.4649563142149471E-5</v>
      </c>
      <c r="J50">
        <v>3.6833830814785158E-5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1.519420744494522E-5</v>
      </c>
      <c r="S50">
        <v>1.4649563142149471E-5</v>
      </c>
      <c r="T50">
        <v>3.6833830814785158E-5</v>
      </c>
      <c r="U50">
        <v>0</v>
      </c>
    </row>
    <row r="51" spans="1:21" x14ac:dyDescent="0.25">
      <c r="A51" s="5" t="s">
        <v>96</v>
      </c>
      <c r="B51">
        <v>5.7417292424729336E-6</v>
      </c>
      <c r="C51">
        <v>5.7417292424729336E-6</v>
      </c>
      <c r="D51">
        <v>5.7417292424729336E-6</v>
      </c>
      <c r="E51">
        <v>5.7417292424729336E-6</v>
      </c>
      <c r="F51">
        <v>5.7417292424729336E-6</v>
      </c>
      <c r="G51">
        <v>1.4072084730149911E-4</v>
      </c>
      <c r="H51">
        <v>2.6156660645518812E-3</v>
      </c>
      <c r="I51">
        <v>1.9742648633878419E-4</v>
      </c>
      <c r="J51">
        <v>1.2594060655258789E-4</v>
      </c>
      <c r="K51">
        <v>7.4979587855350825E-5</v>
      </c>
      <c r="L51">
        <v>5.7417292424729336E-6</v>
      </c>
      <c r="M51">
        <v>5.7417292424729336E-6</v>
      </c>
      <c r="N51">
        <v>5.7417292424729336E-6</v>
      </c>
      <c r="O51">
        <v>5.7417292424729336E-6</v>
      </c>
      <c r="P51">
        <v>5.7417292424729336E-6</v>
      </c>
      <c r="Q51">
        <v>1.4072084730149911E-4</v>
      </c>
      <c r="R51">
        <v>2.6156660645518812E-3</v>
      </c>
      <c r="S51">
        <v>1.9742648633878419E-4</v>
      </c>
      <c r="T51">
        <v>1.2594060655258789E-4</v>
      </c>
      <c r="U51">
        <v>7.4979587855350825E-5</v>
      </c>
    </row>
    <row r="52" spans="1:21" x14ac:dyDescent="0.25">
      <c r="A52" s="5" t="s">
        <v>135</v>
      </c>
      <c r="B52">
        <v>0</v>
      </c>
      <c r="C52">
        <v>0</v>
      </c>
      <c r="D52">
        <v>0</v>
      </c>
      <c r="E52">
        <v>0</v>
      </c>
      <c r="F52">
        <v>0</v>
      </c>
      <c r="G52">
        <v>3.2476273919878558E-8</v>
      </c>
      <c r="H52">
        <v>1.0521727550607009E-6</v>
      </c>
      <c r="I52">
        <v>5.4915371630388997E-5</v>
      </c>
      <c r="J52">
        <v>3.3962646164799738E-4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3.2476273919878558E-8</v>
      </c>
      <c r="R52">
        <v>1.0521727550607009E-6</v>
      </c>
      <c r="S52">
        <v>5.4915371630388997E-5</v>
      </c>
      <c r="T52">
        <v>3.3962646164799738E-4</v>
      </c>
      <c r="U52">
        <v>0</v>
      </c>
    </row>
    <row r="53" spans="1:21" x14ac:dyDescent="0.25">
      <c r="A53" s="5" t="s">
        <v>136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4.5216258034779084E-6</v>
      </c>
      <c r="I53">
        <v>8.2761799015320294E-8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4.5216258034779084E-6</v>
      </c>
      <c r="S53">
        <v>8.2761799015320294E-8</v>
      </c>
      <c r="T53">
        <v>0</v>
      </c>
      <c r="U53">
        <v>0</v>
      </c>
    </row>
    <row r="54" spans="1:21" x14ac:dyDescent="0.25">
      <c r="A54" s="5" t="s">
        <v>90</v>
      </c>
      <c r="B54">
        <v>1.3055767475821581E-5</v>
      </c>
      <c r="C54">
        <v>1.3055767475821581E-5</v>
      </c>
      <c r="D54">
        <v>1.3055767475821581E-5</v>
      </c>
      <c r="E54">
        <v>1.3055767475821581E-5</v>
      </c>
      <c r="F54">
        <v>1.3055767475821581E-5</v>
      </c>
      <c r="G54">
        <v>4.9189896081306859E-5</v>
      </c>
      <c r="H54">
        <v>2.3161440239108521E-4</v>
      </c>
      <c r="I54">
        <v>5.8319523817577057E-5</v>
      </c>
      <c r="J54">
        <v>2.3738588891518939E-5</v>
      </c>
      <c r="K54">
        <v>2.4779297193353139E-5</v>
      </c>
      <c r="L54">
        <v>1.3055767475821581E-5</v>
      </c>
      <c r="M54">
        <v>1.3055767475821581E-5</v>
      </c>
      <c r="N54">
        <v>1.3055767475821581E-5</v>
      </c>
      <c r="O54">
        <v>1.3055767475821581E-5</v>
      </c>
      <c r="P54">
        <v>1.3055767475821581E-5</v>
      </c>
      <c r="Q54">
        <v>4.9189896081306859E-5</v>
      </c>
      <c r="R54">
        <v>2.3161440239108521E-4</v>
      </c>
      <c r="S54">
        <v>5.8319523817577057E-5</v>
      </c>
      <c r="T54">
        <v>2.3738588891518939E-5</v>
      </c>
      <c r="U54">
        <v>2.4779297193353139E-5</v>
      </c>
    </row>
    <row r="55" spans="1:21" x14ac:dyDescent="0.25">
      <c r="A55" s="5" t="s">
        <v>73</v>
      </c>
      <c r="B55">
        <v>4.572123928151325E-4</v>
      </c>
      <c r="C55">
        <v>4.572123928151325E-4</v>
      </c>
      <c r="D55">
        <v>4.572123928151325E-4</v>
      </c>
      <c r="E55">
        <v>4.572123928151325E-4</v>
      </c>
      <c r="F55">
        <v>4.572123928151325E-4</v>
      </c>
      <c r="G55">
        <v>9.8141391337005571E-3</v>
      </c>
      <c r="H55">
        <v>2.405707351966397E-2</v>
      </c>
      <c r="I55">
        <v>2.2803972245562512E-3</v>
      </c>
      <c r="J55">
        <v>1.2205739717102179E-3</v>
      </c>
      <c r="K55">
        <v>7.0931487424073206E-4</v>
      </c>
      <c r="L55">
        <v>4.572123928151325E-4</v>
      </c>
      <c r="M55">
        <v>4.572123928151325E-4</v>
      </c>
      <c r="N55">
        <v>4.572123928151325E-4</v>
      </c>
      <c r="O55">
        <v>4.572123928151325E-4</v>
      </c>
      <c r="P55">
        <v>4.572123928151325E-4</v>
      </c>
      <c r="Q55">
        <v>9.8141391337005571E-3</v>
      </c>
      <c r="R55">
        <v>2.405707351966397E-2</v>
      </c>
      <c r="S55">
        <v>2.2803972245562512E-3</v>
      </c>
      <c r="T55">
        <v>1.2205739717102179E-3</v>
      </c>
      <c r="U55">
        <v>7.0931487424073206E-4</v>
      </c>
    </row>
    <row r="56" spans="1:21" x14ac:dyDescent="0.25">
      <c r="A56" s="5" t="s">
        <v>97</v>
      </c>
      <c r="B56">
        <v>2.9078019614299482E-6</v>
      </c>
      <c r="C56">
        <v>2.9078019614299482E-6</v>
      </c>
      <c r="D56">
        <v>2.9078019614299482E-6</v>
      </c>
      <c r="E56">
        <v>2.9078019614299482E-6</v>
      </c>
      <c r="F56">
        <v>2.9078019614299482E-6</v>
      </c>
      <c r="G56">
        <v>3.3042669197960859E-5</v>
      </c>
      <c r="H56">
        <v>5.6487513782285518E-5</v>
      </c>
      <c r="I56">
        <v>3.9977130086701082E-5</v>
      </c>
      <c r="J56">
        <v>9.4421617292902489E-6</v>
      </c>
      <c r="K56">
        <v>3.8381778303209388E-5</v>
      </c>
      <c r="L56">
        <v>2.9078019614299482E-6</v>
      </c>
      <c r="M56">
        <v>2.9078019614299482E-6</v>
      </c>
      <c r="N56">
        <v>2.9078019614299482E-6</v>
      </c>
      <c r="O56">
        <v>2.9078019614299482E-6</v>
      </c>
      <c r="P56">
        <v>2.9078019614299482E-6</v>
      </c>
      <c r="Q56">
        <v>3.3042669197960859E-5</v>
      </c>
      <c r="R56">
        <v>5.6487513782285518E-5</v>
      </c>
      <c r="S56">
        <v>3.9977130086701082E-5</v>
      </c>
      <c r="T56">
        <v>9.4421617292902489E-6</v>
      </c>
      <c r="U56">
        <v>3.8381778303209388E-5</v>
      </c>
    </row>
    <row r="57" spans="1:21" x14ac:dyDescent="0.25">
      <c r="A57" s="5" t="s">
        <v>72</v>
      </c>
      <c r="B57">
        <v>5.930878437111017E-4</v>
      </c>
      <c r="C57">
        <v>5.930878437111017E-4</v>
      </c>
      <c r="D57">
        <v>5.930878437111017E-4</v>
      </c>
      <c r="E57">
        <v>5.930878437111017E-4</v>
      </c>
      <c r="F57">
        <v>5.930878437111017E-4</v>
      </c>
      <c r="G57">
        <v>9.7594722830479934E-4</v>
      </c>
      <c r="H57">
        <v>9.1006859770374361E-3</v>
      </c>
      <c r="I57">
        <v>1.1591899363827939E-3</v>
      </c>
      <c r="J57">
        <v>7.9113070703451277E-4</v>
      </c>
      <c r="K57">
        <v>3.8586421949490449E-4</v>
      </c>
      <c r="L57">
        <v>5.930878437111017E-4</v>
      </c>
      <c r="M57">
        <v>5.930878437111017E-4</v>
      </c>
      <c r="N57">
        <v>5.930878437111017E-4</v>
      </c>
      <c r="O57">
        <v>5.930878437111017E-4</v>
      </c>
      <c r="P57">
        <v>5.930878437111017E-4</v>
      </c>
      <c r="Q57">
        <v>9.7594722830479934E-4</v>
      </c>
      <c r="R57">
        <v>9.1006859770374361E-3</v>
      </c>
      <c r="S57">
        <v>1.1591899363827939E-3</v>
      </c>
      <c r="T57">
        <v>7.9113070703451277E-4</v>
      </c>
      <c r="U57">
        <v>3.8586421949490438E-4</v>
      </c>
    </row>
    <row r="58" spans="1:21" x14ac:dyDescent="0.25">
      <c r="A58" s="5" t="s">
        <v>104</v>
      </c>
      <c r="B58">
        <v>1.510975473649096E-6</v>
      </c>
      <c r="C58">
        <v>1.510975473649096E-6</v>
      </c>
      <c r="D58">
        <v>1.510975473649096E-6</v>
      </c>
      <c r="E58">
        <v>1.510975473649096E-6</v>
      </c>
      <c r="F58">
        <v>1.510975473649096E-6</v>
      </c>
      <c r="G58">
        <v>3.2583980976291221E-6</v>
      </c>
      <c r="H58">
        <v>1.036765878484848E-5</v>
      </c>
      <c r="I58">
        <v>3.8315762174631702E-7</v>
      </c>
      <c r="J58">
        <v>1.0589584868667531E-6</v>
      </c>
      <c r="K58">
        <v>1.431102248922211E-6</v>
      </c>
      <c r="L58">
        <v>1.510975473649096E-6</v>
      </c>
      <c r="M58">
        <v>1.510975473649096E-6</v>
      </c>
      <c r="N58">
        <v>1.510975473649096E-6</v>
      </c>
      <c r="O58">
        <v>1.510975473649096E-6</v>
      </c>
      <c r="P58">
        <v>1.510975473649096E-6</v>
      </c>
      <c r="Q58">
        <v>3.2583980976291221E-6</v>
      </c>
      <c r="R58">
        <v>1.036765878484848E-5</v>
      </c>
      <c r="S58">
        <v>3.8315762174631702E-7</v>
      </c>
      <c r="T58">
        <v>1.0589584868667531E-6</v>
      </c>
      <c r="U58">
        <v>1.431102248922211E-6</v>
      </c>
    </row>
    <row r="59" spans="1:21" x14ac:dyDescent="0.25">
      <c r="A59" s="5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6.3512483784290924E-4</v>
      </c>
      <c r="H59">
        <v>4.2569969603674693E-2</v>
      </c>
      <c r="I59">
        <v>8.2937655724856191E-8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6.3512483784290924E-4</v>
      </c>
      <c r="R59">
        <v>4.2569969603674693E-2</v>
      </c>
      <c r="S59">
        <v>8.2937655724856191E-8</v>
      </c>
      <c r="T59">
        <v>0</v>
      </c>
      <c r="U59">
        <v>0</v>
      </c>
    </row>
    <row r="60" spans="1:21" x14ac:dyDescent="0.25">
      <c r="A60" s="5" t="s">
        <v>101</v>
      </c>
      <c r="B60">
        <v>1.5153540125925469E-6</v>
      </c>
      <c r="C60">
        <v>1.5153540125925469E-6</v>
      </c>
      <c r="D60">
        <v>1.5153540125925469E-6</v>
      </c>
      <c r="E60">
        <v>1.5153540125925469E-6</v>
      </c>
      <c r="F60">
        <v>1.5153540125925469E-6</v>
      </c>
      <c r="G60">
        <v>3.550616529191041E-5</v>
      </c>
      <c r="H60">
        <v>1.4800273155451101E-3</v>
      </c>
      <c r="I60">
        <v>1.2921796814905631E-4</v>
      </c>
      <c r="J60">
        <v>7.1431397995693166E-6</v>
      </c>
      <c r="K60">
        <v>9.1582564290063293E-6</v>
      </c>
      <c r="L60">
        <v>1.5153540125925469E-6</v>
      </c>
      <c r="M60">
        <v>1.5153540125925469E-6</v>
      </c>
      <c r="N60">
        <v>1.5153540125925469E-6</v>
      </c>
      <c r="O60">
        <v>1.5153540125925469E-6</v>
      </c>
      <c r="P60">
        <v>1.5153540125925469E-6</v>
      </c>
      <c r="Q60">
        <v>3.550616529191041E-5</v>
      </c>
      <c r="R60">
        <v>1.4800273155451101E-3</v>
      </c>
      <c r="S60">
        <v>1.2921796814905631E-4</v>
      </c>
      <c r="T60">
        <v>7.1431397995693166E-6</v>
      </c>
      <c r="U60">
        <v>9.1582564290063293E-6</v>
      </c>
    </row>
    <row r="61" spans="1:21" x14ac:dyDescent="0.25">
      <c r="A61" s="5" t="s">
        <v>86</v>
      </c>
      <c r="B61">
        <v>1.5896094444689711E-5</v>
      </c>
      <c r="C61">
        <v>1.5896094444689711E-5</v>
      </c>
      <c r="D61">
        <v>1.5896094444689711E-5</v>
      </c>
      <c r="E61">
        <v>1.5896094444689711E-5</v>
      </c>
      <c r="F61">
        <v>1.5896094444689711E-5</v>
      </c>
      <c r="G61">
        <v>2.3095014268816979E-4</v>
      </c>
      <c r="H61">
        <v>8.640613164393057E-4</v>
      </c>
      <c r="I61">
        <v>2.1160539743495511E-4</v>
      </c>
      <c r="J61">
        <v>1.575279192247523E-4</v>
      </c>
      <c r="K61">
        <v>1.187356521241265E-4</v>
      </c>
      <c r="L61">
        <v>1.5896094444689711E-5</v>
      </c>
      <c r="M61">
        <v>1.5896094444689711E-5</v>
      </c>
      <c r="N61">
        <v>1.5896094444689711E-5</v>
      </c>
      <c r="O61">
        <v>1.5896094444689711E-5</v>
      </c>
      <c r="P61">
        <v>1.5896094444689711E-5</v>
      </c>
      <c r="Q61">
        <v>2.3095014268816979E-4</v>
      </c>
      <c r="R61">
        <v>8.640613164393057E-4</v>
      </c>
      <c r="S61">
        <v>2.1160539743495511E-4</v>
      </c>
      <c r="T61">
        <v>1.575279192247523E-4</v>
      </c>
      <c r="U61">
        <v>1.187356521241265E-4</v>
      </c>
    </row>
    <row r="62" spans="1:21" x14ac:dyDescent="0.25">
      <c r="A62" s="5" t="s">
        <v>89</v>
      </c>
      <c r="B62">
        <v>2.5202005561692969E-5</v>
      </c>
      <c r="C62">
        <v>2.5202005561692969E-5</v>
      </c>
      <c r="D62">
        <v>2.5202005561692969E-5</v>
      </c>
      <c r="E62">
        <v>2.5202005561692969E-5</v>
      </c>
      <c r="F62">
        <v>2.5202005561692969E-5</v>
      </c>
      <c r="G62">
        <v>2.399881364392218E-4</v>
      </c>
      <c r="H62">
        <v>2.2498314342531801E-4</v>
      </c>
      <c r="I62">
        <v>2.3258547508742621E-4</v>
      </c>
      <c r="J62">
        <v>5.3678891278650808E-5</v>
      </c>
      <c r="K62">
        <v>1.116722406666606E-4</v>
      </c>
      <c r="L62">
        <v>2.5202005561692969E-5</v>
      </c>
      <c r="M62">
        <v>2.5202005561692969E-5</v>
      </c>
      <c r="N62">
        <v>2.5202005561692969E-5</v>
      </c>
      <c r="O62">
        <v>2.5202005561692969E-5</v>
      </c>
      <c r="P62">
        <v>2.5202005561692969E-5</v>
      </c>
      <c r="Q62">
        <v>2.399881364392218E-4</v>
      </c>
      <c r="R62">
        <v>2.2498314342531801E-4</v>
      </c>
      <c r="S62">
        <v>2.3258547508742621E-4</v>
      </c>
      <c r="T62">
        <v>5.3678891278650808E-5</v>
      </c>
      <c r="U62">
        <v>1.116722406666606E-4</v>
      </c>
    </row>
    <row r="63" spans="1:21" x14ac:dyDescent="0.25">
      <c r="A63" s="5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1.260412262240752E-8</v>
      </c>
      <c r="H63">
        <v>1.086787555217759E-6</v>
      </c>
      <c r="I63">
        <v>1.189068809158332E-8</v>
      </c>
      <c r="J63">
        <v>0</v>
      </c>
      <c r="K63">
        <v>3.709467617957209E-9</v>
      </c>
      <c r="L63">
        <v>0</v>
      </c>
      <c r="M63">
        <v>0</v>
      </c>
      <c r="N63">
        <v>0</v>
      </c>
      <c r="O63">
        <v>0</v>
      </c>
      <c r="P63">
        <v>0</v>
      </c>
      <c r="Q63">
        <v>1.260412262240752E-8</v>
      </c>
      <c r="R63">
        <v>1.086787555217759E-6</v>
      </c>
      <c r="S63">
        <v>1.189068809158332E-8</v>
      </c>
      <c r="T63">
        <v>0</v>
      </c>
      <c r="U63">
        <v>3.709467617957209E-9</v>
      </c>
    </row>
    <row r="64" spans="1:21" x14ac:dyDescent="0.25">
      <c r="A64" s="5" t="s">
        <v>85</v>
      </c>
      <c r="B64">
        <v>3.1368406729765463E-5</v>
      </c>
      <c r="C64">
        <v>3.1368406729765463E-5</v>
      </c>
      <c r="D64">
        <v>3.1368406729765463E-5</v>
      </c>
      <c r="E64">
        <v>3.1368406729765463E-5</v>
      </c>
      <c r="F64">
        <v>3.1368406729765463E-5</v>
      </c>
      <c r="G64">
        <v>2.5643460121474942E-4</v>
      </c>
      <c r="H64">
        <v>9.5457850112132064E-4</v>
      </c>
      <c r="I64">
        <v>2.6734155285274849E-4</v>
      </c>
      <c r="J64">
        <v>5.8283210990337653E-5</v>
      </c>
      <c r="K64">
        <v>1.2571589496744541E-4</v>
      </c>
      <c r="L64">
        <v>3.1368406729765463E-5</v>
      </c>
      <c r="M64">
        <v>3.1368406729765463E-5</v>
      </c>
      <c r="N64">
        <v>3.1368406729765463E-5</v>
      </c>
      <c r="O64">
        <v>3.1368406729765463E-5</v>
      </c>
      <c r="P64">
        <v>3.1368406729765463E-5</v>
      </c>
      <c r="Q64">
        <v>2.5643460121474942E-4</v>
      </c>
      <c r="R64">
        <v>9.5457850112132064E-4</v>
      </c>
      <c r="S64">
        <v>2.6734155285274849E-4</v>
      </c>
      <c r="T64">
        <v>5.8283210990337653E-5</v>
      </c>
      <c r="U64">
        <v>1.2571589496744541E-4</v>
      </c>
    </row>
    <row r="65" spans="1:21" x14ac:dyDescent="0.25">
      <c r="A65" s="5" t="s">
        <v>139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4.1371588932468253E-8</v>
      </c>
      <c r="I65">
        <v>2.7685149942102311E-8</v>
      </c>
      <c r="J65">
        <v>1.729254923345313E-7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4.1371588932468253E-8</v>
      </c>
      <c r="S65">
        <v>2.7685149942102311E-8</v>
      </c>
      <c r="T65">
        <v>1.729254923345313E-7</v>
      </c>
      <c r="U6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F455-EBBB-4F66-AC01-D1F7283FB7F4}">
  <dimension ref="A1"/>
  <sheetViews>
    <sheetView tabSelected="1" workbookViewId="0">
      <selection activeCell="G47" sqref="G4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AEE8-73D1-4572-B594-70915BE99524}">
  <dimension ref="A1:U65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50" bestFit="1" customWidth="1"/>
    <col min="2" max="2" width="8.5703125" customWidth="1"/>
  </cols>
  <sheetData>
    <row r="1" spans="1:21" s="13" customFormat="1" ht="75" x14ac:dyDescent="0.25">
      <c r="B1" s="14" t="s">
        <v>45</v>
      </c>
      <c r="C1" s="14" t="s">
        <v>46</v>
      </c>
      <c r="D1" s="14" t="s">
        <v>120</v>
      </c>
      <c r="E1" s="14" t="s">
        <v>122</v>
      </c>
      <c r="F1" s="14" t="s">
        <v>47</v>
      </c>
      <c r="G1" s="14" t="s">
        <v>51</v>
      </c>
      <c r="H1" s="14" t="s">
        <v>52</v>
      </c>
      <c r="I1" s="14" t="s">
        <v>116</v>
      </c>
      <c r="J1" s="14" t="s">
        <v>108</v>
      </c>
      <c r="K1" s="14" t="s">
        <v>53</v>
      </c>
      <c r="L1" s="14" t="s">
        <v>48</v>
      </c>
      <c r="M1" s="14" t="s">
        <v>49</v>
      </c>
      <c r="N1" s="14" t="s">
        <v>114</v>
      </c>
      <c r="O1" s="14" t="s">
        <v>110</v>
      </c>
      <c r="P1" s="14" t="s">
        <v>50</v>
      </c>
      <c r="Q1" s="14" t="s">
        <v>54</v>
      </c>
      <c r="R1" s="14" t="s">
        <v>55</v>
      </c>
      <c r="S1" s="14" t="s">
        <v>118</v>
      </c>
      <c r="T1" s="14" t="s">
        <v>112</v>
      </c>
      <c r="U1" s="14" t="s">
        <v>56</v>
      </c>
    </row>
    <row r="2" spans="1:21" x14ac:dyDescent="0.25">
      <c r="A2" s="10" t="s">
        <v>141</v>
      </c>
      <c r="B2" s="12">
        <f t="shared" ref="B2:T2" si="0">B40/B8</f>
        <v>9.1807209172830875E-2</v>
      </c>
      <c r="C2" s="12">
        <f t="shared" si="0"/>
        <v>9.1807209172830875E-2</v>
      </c>
      <c r="D2" s="12">
        <f t="shared" si="0"/>
        <v>9.1807209172830875E-2</v>
      </c>
      <c r="E2" s="12">
        <f t="shared" si="0"/>
        <v>9.1807209172830875E-2</v>
      </c>
      <c r="F2" s="12">
        <f t="shared" si="0"/>
        <v>9.1807209172830875E-2</v>
      </c>
      <c r="G2" s="12">
        <f t="shared" si="0"/>
        <v>2.5873608678699832E-2</v>
      </c>
      <c r="H2" s="12">
        <f t="shared" si="0"/>
        <v>1.2452295795163139E-2</v>
      </c>
      <c r="I2" s="12">
        <f t="shared" si="0"/>
        <v>3.0166263082971441E-2</v>
      </c>
      <c r="J2" s="12">
        <f t="shared" si="0"/>
        <v>5.542491677937654E-2</v>
      </c>
      <c r="K2" s="12">
        <f t="shared" si="0"/>
        <v>1.264947617869806E-2</v>
      </c>
      <c r="L2" s="12">
        <f t="shared" si="0"/>
        <v>0.45235130942397872</v>
      </c>
      <c r="M2" s="12">
        <f t="shared" si="0"/>
        <v>0.45235130942397872</v>
      </c>
      <c r="N2" s="12">
        <f t="shared" si="0"/>
        <v>0.45235130942397872</v>
      </c>
      <c r="O2" s="12">
        <f t="shared" si="0"/>
        <v>0.45235130942397872</v>
      </c>
      <c r="P2" s="12">
        <f t="shared" si="0"/>
        <v>0.45235130942397872</v>
      </c>
      <c r="Q2" s="12">
        <f t="shared" si="0"/>
        <v>0.11805091846309186</v>
      </c>
      <c r="R2" s="12">
        <f t="shared" si="0"/>
        <v>0.12187537302211113</v>
      </c>
      <c r="S2" s="12">
        <f t="shared" si="0"/>
        <v>0.11147335413434065</v>
      </c>
      <c r="T2" s="12">
        <f t="shared" si="0"/>
        <v>6.0642186487633844E-2</v>
      </c>
      <c r="U2" s="12">
        <f t="shared" ref="U2" si="1">U40/U8</f>
        <v>3.4660856647030683E-2</v>
      </c>
    </row>
    <row r="3" spans="1:21" x14ac:dyDescent="0.25">
      <c r="A3" s="10" t="s">
        <v>142</v>
      </c>
      <c r="B3" s="12">
        <f t="shared" ref="B3:T3" si="2">B38/B8</f>
        <v>0.65905998622980289</v>
      </c>
      <c r="C3" s="12">
        <f t="shared" si="2"/>
        <v>0.65905998622980289</v>
      </c>
      <c r="D3" s="12">
        <f t="shared" si="2"/>
        <v>0.65905998622980289</v>
      </c>
      <c r="E3" s="12">
        <f t="shared" si="2"/>
        <v>0.65905998622980289</v>
      </c>
      <c r="F3" s="12">
        <f t="shared" si="2"/>
        <v>0.65905998622980289</v>
      </c>
      <c r="G3" s="12">
        <f t="shared" si="2"/>
        <v>0.6404994057464205</v>
      </c>
      <c r="H3" s="12">
        <f t="shared" si="2"/>
        <v>0.2068590817684885</v>
      </c>
      <c r="I3" s="12">
        <f t="shared" si="2"/>
        <v>0.55767154956769904</v>
      </c>
      <c r="J3" s="12">
        <f t="shared" si="2"/>
        <v>0.75833096780171472</v>
      </c>
      <c r="K3" s="12">
        <f t="shared" si="2"/>
        <v>0.87047527567775651</v>
      </c>
      <c r="L3" s="12">
        <f t="shared" si="2"/>
        <v>0.39741929479650373</v>
      </c>
      <c r="M3" s="12">
        <f t="shared" si="2"/>
        <v>0.39741929479650373</v>
      </c>
      <c r="N3" s="12">
        <f t="shared" si="2"/>
        <v>0.39741929479650373</v>
      </c>
      <c r="O3" s="12">
        <f t="shared" si="2"/>
        <v>0.39741929479650373</v>
      </c>
      <c r="P3" s="12">
        <f t="shared" si="2"/>
        <v>0.39741929479650373</v>
      </c>
      <c r="Q3" s="12">
        <f t="shared" si="2"/>
        <v>0.59032642205576324</v>
      </c>
      <c r="R3" s="12">
        <f t="shared" si="2"/>
        <v>0.34089683244451774</v>
      </c>
      <c r="S3" s="12">
        <f t="shared" si="2"/>
        <v>0.52538498335709582</v>
      </c>
      <c r="T3" s="12">
        <f t="shared" si="2"/>
        <v>0.78639897196366981</v>
      </c>
      <c r="U3" s="12">
        <f t="shared" ref="U3" si="3">U38/U8</f>
        <v>0.85266774141598645</v>
      </c>
    </row>
    <row r="4" spans="1:21" x14ac:dyDescent="0.25">
      <c r="A4" s="10" t="s">
        <v>143</v>
      </c>
      <c r="B4" s="12">
        <f t="shared" ref="B4:T4" si="4">1-B3-B2</f>
        <v>0.24913280459736625</v>
      </c>
      <c r="C4" s="12">
        <f t="shared" si="4"/>
        <v>0.24913280459736625</v>
      </c>
      <c r="D4" s="12">
        <f t="shared" si="4"/>
        <v>0.24913280459736625</v>
      </c>
      <c r="E4" s="12">
        <f t="shared" si="4"/>
        <v>0.24913280459736625</v>
      </c>
      <c r="F4" s="12">
        <f t="shared" si="4"/>
        <v>0.24913280459736625</v>
      </c>
      <c r="G4" s="12">
        <f t="shared" si="4"/>
        <v>0.33362698557487969</v>
      </c>
      <c r="H4" s="12">
        <f t="shared" si="4"/>
        <v>0.78068862243634829</v>
      </c>
      <c r="I4" s="12">
        <f t="shared" si="4"/>
        <v>0.41216218734932952</v>
      </c>
      <c r="J4" s="12">
        <f t="shared" si="4"/>
        <v>0.18624411541890873</v>
      </c>
      <c r="K4" s="12">
        <f t="shared" si="4"/>
        <v>0.11687524814354543</v>
      </c>
      <c r="L4" s="12">
        <f t="shared" si="4"/>
        <v>0.15022939577951755</v>
      </c>
      <c r="M4" s="12">
        <f t="shared" si="4"/>
        <v>0.15022939577951755</v>
      </c>
      <c r="N4" s="12">
        <f t="shared" si="4"/>
        <v>0.15022939577951755</v>
      </c>
      <c r="O4" s="12">
        <f t="shared" si="4"/>
        <v>0.15022939577951755</v>
      </c>
      <c r="P4" s="12">
        <f t="shared" si="4"/>
        <v>0.15022939577951755</v>
      </c>
      <c r="Q4" s="12">
        <f t="shared" si="4"/>
        <v>0.29162265948114491</v>
      </c>
      <c r="R4" s="12">
        <f t="shared" si="4"/>
        <v>0.53722779453337111</v>
      </c>
      <c r="S4" s="12">
        <f t="shared" si="4"/>
        <v>0.3631416625085635</v>
      </c>
      <c r="T4" s="12">
        <f t="shared" si="4"/>
        <v>0.15295884154869635</v>
      </c>
      <c r="U4" s="12">
        <f t="shared" ref="U4" si="5">1-U3-U2</f>
        <v>0.11267140193698287</v>
      </c>
    </row>
    <row r="5" spans="1:21" s="13" customForma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s="13" customFormat="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s="13" customFormat="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s="13" customFormat="1" x14ac:dyDescent="0.25">
      <c r="A8" s="17" t="s">
        <v>140</v>
      </c>
      <c r="B8" s="16">
        <f>SUM(B9:B65)</f>
        <v>3.7021346027918262E-2</v>
      </c>
      <c r="C8" s="16">
        <f t="shared" ref="C8:U8" si="6">SUM(C9:C65)</f>
        <v>3.7021346027918262E-2</v>
      </c>
      <c r="D8" s="16">
        <f t="shared" si="6"/>
        <v>3.7021346027918262E-2</v>
      </c>
      <c r="E8" s="16">
        <f t="shared" si="6"/>
        <v>3.7021346027918262E-2</v>
      </c>
      <c r="F8" s="16">
        <f t="shared" si="6"/>
        <v>3.7021346027918262E-2</v>
      </c>
      <c r="G8" s="16">
        <f t="shared" si="6"/>
        <v>0.14077704762015389</v>
      </c>
      <c r="H8" s="16">
        <f t="shared" si="6"/>
        <v>0.29506951298762429</v>
      </c>
      <c r="I8" s="16">
        <f t="shared" si="6"/>
        <v>0.1092821406650625</v>
      </c>
      <c r="J8" s="16">
        <f t="shared" si="6"/>
        <v>9.2314181013140914E-2</v>
      </c>
      <c r="K8" s="16">
        <f t="shared" si="6"/>
        <v>0.23871868410611866</v>
      </c>
      <c r="L8" s="16">
        <f t="shared" si="6"/>
        <v>6.1394321118359629E-2</v>
      </c>
      <c r="M8" s="16">
        <f t="shared" si="6"/>
        <v>6.1394321118359629E-2</v>
      </c>
      <c r="N8" s="16">
        <f t="shared" si="6"/>
        <v>6.1394321118359629E-2</v>
      </c>
      <c r="O8" s="16">
        <f t="shared" si="6"/>
        <v>6.1394321118359629E-2</v>
      </c>
      <c r="P8" s="16">
        <f t="shared" si="6"/>
        <v>6.1394321118359629E-2</v>
      </c>
      <c r="Q8" s="16">
        <f t="shared" si="6"/>
        <v>0.16105408996408907</v>
      </c>
      <c r="R8" s="16">
        <f t="shared" si="6"/>
        <v>0.42878907971870261</v>
      </c>
      <c r="S8" s="16">
        <f t="shared" si="6"/>
        <v>0.12403414640881948</v>
      </c>
      <c r="T8" s="16">
        <f t="shared" si="6"/>
        <v>0.11240260980886066</v>
      </c>
      <c r="U8" s="16">
        <f t="shared" si="6"/>
        <v>0.24762543965688749</v>
      </c>
    </row>
    <row r="9" spans="1:21" x14ac:dyDescent="0.25">
      <c r="A9" s="5" t="s">
        <v>93</v>
      </c>
      <c r="B9">
        <v>1.354587465007081E-5</v>
      </c>
      <c r="C9">
        <v>1.354587465007081E-5</v>
      </c>
      <c r="D9">
        <v>1.354587465007081E-5</v>
      </c>
      <c r="E9">
        <v>1.354587465007081E-5</v>
      </c>
      <c r="F9">
        <v>1.354587465007081E-5</v>
      </c>
      <c r="G9">
        <v>7.0451031154796564E-5</v>
      </c>
      <c r="H9">
        <v>8.0204513351241698E-4</v>
      </c>
      <c r="I9">
        <v>6.9550850100256922E-5</v>
      </c>
      <c r="J9">
        <v>8.4215627601589465E-5</v>
      </c>
      <c r="K9">
        <v>4.4221787611395973E-5</v>
      </c>
      <c r="L9">
        <v>1.354587465007081E-5</v>
      </c>
      <c r="M9">
        <v>1.354587465007081E-5</v>
      </c>
      <c r="N9">
        <v>1.354587465007081E-5</v>
      </c>
      <c r="O9">
        <v>1.354587465007081E-5</v>
      </c>
      <c r="P9">
        <v>1.354587465007081E-5</v>
      </c>
      <c r="Q9">
        <v>7.0451031154796564E-5</v>
      </c>
      <c r="R9">
        <v>8.0204513351241698E-4</v>
      </c>
      <c r="S9">
        <v>6.9550850100256922E-5</v>
      </c>
      <c r="T9">
        <v>8.4215627601589465E-5</v>
      </c>
      <c r="U9">
        <v>4.4221787611395973E-5</v>
      </c>
    </row>
    <row r="10" spans="1:21" x14ac:dyDescent="0.25">
      <c r="A10" s="5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2.7596095202649019E-5</v>
      </c>
      <c r="H10">
        <v>1.7323443831930481E-3</v>
      </c>
      <c r="I10">
        <v>9.4133621640521755E-6</v>
      </c>
      <c r="J10">
        <v>3.5469498015623873E-5</v>
      </c>
      <c r="K10">
        <v>1.214744767595651E-6</v>
      </c>
      <c r="L10">
        <v>0</v>
      </c>
      <c r="M10">
        <v>0</v>
      </c>
      <c r="N10">
        <v>0</v>
      </c>
      <c r="O10">
        <v>0</v>
      </c>
      <c r="P10">
        <v>0</v>
      </c>
      <c r="Q10">
        <v>2.7596095202649019E-5</v>
      </c>
      <c r="R10">
        <v>1.7323443831930481E-3</v>
      </c>
      <c r="S10">
        <v>9.4133621640521755E-6</v>
      </c>
      <c r="T10">
        <v>3.5469498015623873E-5</v>
      </c>
      <c r="U10">
        <v>1.214744767595651E-6</v>
      </c>
    </row>
    <row r="11" spans="1:21" x14ac:dyDescent="0.25">
      <c r="A11" s="5" t="s">
        <v>91</v>
      </c>
      <c r="B11">
        <v>1.300653127889057E-5</v>
      </c>
      <c r="C11">
        <v>1.300653127889057E-5</v>
      </c>
      <c r="D11">
        <v>1.300653127889057E-5</v>
      </c>
      <c r="E11">
        <v>1.300653127889057E-5</v>
      </c>
      <c r="F11">
        <v>1.300653127889057E-5</v>
      </c>
      <c r="G11">
        <v>4.5203783150007802E-4</v>
      </c>
      <c r="H11">
        <v>2.9781470430258048E-4</v>
      </c>
      <c r="I11">
        <v>4.2484274651612928E-4</v>
      </c>
      <c r="J11">
        <v>7.4879283979612489E-5</v>
      </c>
      <c r="K11">
        <v>2.0456468012263309E-4</v>
      </c>
      <c r="L11">
        <v>1.300653127889057E-5</v>
      </c>
      <c r="M11">
        <v>1.300653127889057E-5</v>
      </c>
      <c r="N11">
        <v>1.300653127889057E-5</v>
      </c>
      <c r="O11">
        <v>1.300653127889057E-5</v>
      </c>
      <c r="P11">
        <v>1.300653127889057E-5</v>
      </c>
      <c r="Q11">
        <v>4.5203783150007802E-4</v>
      </c>
      <c r="R11">
        <v>2.9781470430258048E-4</v>
      </c>
      <c r="S11">
        <v>4.2484274651612928E-4</v>
      </c>
      <c r="T11">
        <v>7.4879283979612489E-5</v>
      </c>
      <c r="U11">
        <v>2.0456468012263309E-4</v>
      </c>
    </row>
    <row r="12" spans="1:21" x14ac:dyDescent="0.25">
      <c r="A12" s="5" t="s">
        <v>124</v>
      </c>
      <c r="B12">
        <v>0</v>
      </c>
      <c r="C12">
        <v>0</v>
      </c>
      <c r="D12">
        <v>0</v>
      </c>
      <c r="E12">
        <v>0</v>
      </c>
      <c r="F12">
        <v>0</v>
      </c>
      <c r="G12">
        <v>2.04955320832312E-5</v>
      </c>
      <c r="H12">
        <v>6.3784270222670551E-4</v>
      </c>
      <c r="I12">
        <v>1.6946191533671369E-5</v>
      </c>
      <c r="J12">
        <v>2.9465884220728849E-5</v>
      </c>
      <c r="K12">
        <v>5.0395979722621879E-6</v>
      </c>
      <c r="L12">
        <v>0</v>
      </c>
      <c r="M12">
        <v>0</v>
      </c>
      <c r="N12">
        <v>0</v>
      </c>
      <c r="O12">
        <v>0</v>
      </c>
      <c r="P12">
        <v>0</v>
      </c>
      <c r="Q12">
        <v>2.04955320832312E-5</v>
      </c>
      <c r="R12">
        <v>6.3784270222670551E-4</v>
      </c>
      <c r="S12">
        <v>1.6946191533671369E-5</v>
      </c>
      <c r="T12">
        <v>2.9465884220728849E-5</v>
      </c>
      <c r="U12">
        <v>5.0395979722621879E-6</v>
      </c>
    </row>
    <row r="13" spans="1:21" x14ac:dyDescent="0.25">
      <c r="A13" s="5" t="s">
        <v>105</v>
      </c>
      <c r="B13">
        <v>1.4955593130843061E-6</v>
      </c>
      <c r="C13">
        <v>1.4955593130843061E-6</v>
      </c>
      <c r="D13">
        <v>1.4955593130843061E-6</v>
      </c>
      <c r="E13">
        <v>1.4955593130843061E-6</v>
      </c>
      <c r="F13">
        <v>1.4955593130843061E-6</v>
      </c>
      <c r="G13">
        <v>2.7225065427063969E-7</v>
      </c>
      <c r="H13">
        <v>2.5977674647842941E-6</v>
      </c>
      <c r="I13">
        <v>1.7431693870434881E-6</v>
      </c>
      <c r="J13">
        <v>3.0427973176782102E-6</v>
      </c>
      <c r="K13">
        <v>2.8331849209743188E-8</v>
      </c>
      <c r="L13">
        <v>1.4955593130843061E-6</v>
      </c>
      <c r="M13">
        <v>1.4955593130843061E-6</v>
      </c>
      <c r="N13">
        <v>1.4955593130843061E-6</v>
      </c>
      <c r="O13">
        <v>1.4955593130843061E-6</v>
      </c>
      <c r="P13">
        <v>1.4955593130843061E-6</v>
      </c>
      <c r="Q13">
        <v>2.7225065427063969E-7</v>
      </c>
      <c r="R13">
        <v>2.5977674647842941E-6</v>
      </c>
      <c r="S13">
        <v>1.7431693870434881E-6</v>
      </c>
      <c r="T13">
        <v>3.0427973176782102E-6</v>
      </c>
      <c r="U13">
        <v>2.8331849209743188E-8</v>
      </c>
    </row>
    <row r="14" spans="1:21" x14ac:dyDescent="0.25">
      <c r="A14" s="5" t="s">
        <v>76</v>
      </c>
      <c r="B14">
        <v>2.1913825177792979E-4</v>
      </c>
      <c r="C14">
        <v>2.1913825177792979E-4</v>
      </c>
      <c r="D14">
        <v>2.1913825177792979E-4</v>
      </c>
      <c r="E14">
        <v>2.1913825177792979E-4</v>
      </c>
      <c r="F14">
        <v>2.1913825177792979E-4</v>
      </c>
      <c r="G14">
        <v>9.7162362289239014E-4</v>
      </c>
      <c r="H14">
        <v>1.1672797659686389E-2</v>
      </c>
      <c r="I14">
        <v>8.438409977182213E-4</v>
      </c>
      <c r="J14">
        <v>8.8762003711171408E-4</v>
      </c>
      <c r="K14">
        <v>5.3471505409953784E-4</v>
      </c>
      <c r="L14">
        <v>2.1913825177792979E-4</v>
      </c>
      <c r="M14">
        <v>2.1913825177792979E-4</v>
      </c>
      <c r="N14">
        <v>2.1913825177792979E-4</v>
      </c>
      <c r="O14">
        <v>2.1913825177792979E-4</v>
      </c>
      <c r="P14">
        <v>2.1913825177792979E-4</v>
      </c>
      <c r="Q14">
        <v>9.7162362289239014E-4</v>
      </c>
      <c r="R14">
        <v>1.1672797659686389E-2</v>
      </c>
      <c r="S14">
        <v>8.438409977182213E-4</v>
      </c>
      <c r="T14">
        <v>8.8762003711171408E-4</v>
      </c>
      <c r="U14">
        <v>5.3471505409953784E-4</v>
      </c>
    </row>
    <row r="15" spans="1:21" x14ac:dyDescent="0.25">
      <c r="A15" s="5" t="s">
        <v>106</v>
      </c>
      <c r="B15">
        <v>7.7667583810369857E-7</v>
      </c>
      <c r="C15">
        <v>7.7667583810369857E-7</v>
      </c>
      <c r="D15">
        <v>7.7667583810369857E-7</v>
      </c>
      <c r="E15">
        <v>7.7667583810369857E-7</v>
      </c>
      <c r="F15">
        <v>7.7667583810369857E-7</v>
      </c>
      <c r="G15">
        <v>6.3599452961503199E-9</v>
      </c>
      <c r="H15">
        <v>2.6463932592317391E-5</v>
      </c>
      <c r="I15">
        <v>5.2437226775551654E-7</v>
      </c>
      <c r="J15">
        <v>0</v>
      </c>
      <c r="K15">
        <v>2.207746168824784E-9</v>
      </c>
      <c r="L15">
        <v>7.7667583810369857E-7</v>
      </c>
      <c r="M15">
        <v>7.7667583810369857E-7</v>
      </c>
      <c r="N15">
        <v>7.7667583810369857E-7</v>
      </c>
      <c r="O15">
        <v>7.7667583810369857E-7</v>
      </c>
      <c r="P15">
        <v>7.7667583810369857E-7</v>
      </c>
      <c r="Q15">
        <v>6.3599452961503199E-9</v>
      </c>
      <c r="R15">
        <v>2.6463932592317391E-5</v>
      </c>
      <c r="S15">
        <v>5.2437226775551654E-7</v>
      </c>
      <c r="T15">
        <v>0</v>
      </c>
      <c r="U15">
        <v>2.207746168824784E-9</v>
      </c>
    </row>
    <row r="16" spans="1:21" x14ac:dyDescent="0.25">
      <c r="A16" s="5" t="s">
        <v>69</v>
      </c>
      <c r="B16">
        <v>2.970251968714793E-3</v>
      </c>
      <c r="C16">
        <v>2.970251968714793E-3</v>
      </c>
      <c r="D16">
        <v>2.970251968714793E-3</v>
      </c>
      <c r="E16">
        <v>2.970251968714793E-3</v>
      </c>
      <c r="F16">
        <v>2.970251968714793E-3</v>
      </c>
      <c r="G16">
        <v>3.0458299216009981E-3</v>
      </c>
      <c r="H16">
        <v>1.6988755580208431E-2</v>
      </c>
      <c r="I16">
        <v>4.0761247981692438E-3</v>
      </c>
      <c r="J16">
        <v>1.3097120401242229E-3</v>
      </c>
      <c r="K16">
        <v>1.5934526452579219E-3</v>
      </c>
      <c r="L16">
        <v>2.970251968714793E-3</v>
      </c>
      <c r="M16">
        <v>2.970251968714793E-3</v>
      </c>
      <c r="N16">
        <v>2.970251968714793E-3</v>
      </c>
      <c r="O16">
        <v>2.970251968714793E-3</v>
      </c>
      <c r="P16">
        <v>2.970251968714793E-3</v>
      </c>
      <c r="Q16">
        <v>3.0458299216009981E-3</v>
      </c>
      <c r="R16">
        <v>1.6988755580208431E-2</v>
      </c>
      <c r="S16">
        <v>4.0761247981692438E-3</v>
      </c>
      <c r="T16">
        <v>1.3097120401242229E-3</v>
      </c>
      <c r="U16">
        <v>1.5934526452579219E-3</v>
      </c>
    </row>
    <row r="17" spans="1:21" x14ac:dyDescent="0.25">
      <c r="A17" s="5" t="s">
        <v>94</v>
      </c>
      <c r="B17">
        <v>1.2185957705669651E-5</v>
      </c>
      <c r="C17">
        <v>1.2185957705669651E-5</v>
      </c>
      <c r="D17">
        <v>1.2185957705669651E-5</v>
      </c>
      <c r="E17">
        <v>1.2185957705669651E-5</v>
      </c>
      <c r="F17">
        <v>1.2185957705669651E-5</v>
      </c>
      <c r="G17">
        <v>8.7561625617507029E-5</v>
      </c>
      <c r="H17">
        <v>5.8405420089260803E-5</v>
      </c>
      <c r="I17">
        <v>1.6404553923567321E-4</v>
      </c>
      <c r="J17">
        <v>1.9353663946556111E-4</v>
      </c>
      <c r="K17">
        <v>7.9820831741967134E-5</v>
      </c>
      <c r="L17">
        <v>1.2185957705669651E-5</v>
      </c>
      <c r="M17">
        <v>1.2185957705669651E-5</v>
      </c>
      <c r="N17">
        <v>1.2185957705669651E-5</v>
      </c>
      <c r="O17">
        <v>1.2185957705669651E-5</v>
      </c>
      <c r="P17">
        <v>1.2185957705669651E-5</v>
      </c>
      <c r="Q17">
        <v>8.7561625617507029E-5</v>
      </c>
      <c r="R17">
        <v>5.8405420089260803E-5</v>
      </c>
      <c r="S17">
        <v>1.6404553923567321E-4</v>
      </c>
      <c r="T17">
        <v>1.9353663946556111E-4</v>
      </c>
      <c r="U17">
        <v>7.9820831741967134E-5</v>
      </c>
    </row>
    <row r="18" spans="1:21" x14ac:dyDescent="0.25">
      <c r="A18" s="5" t="s">
        <v>92</v>
      </c>
      <c r="B18">
        <v>1.366675583012683E-5</v>
      </c>
      <c r="C18">
        <v>1.366675583012683E-5</v>
      </c>
      <c r="D18">
        <v>1.366675583012683E-5</v>
      </c>
      <c r="E18">
        <v>1.366675583012683E-5</v>
      </c>
      <c r="F18">
        <v>1.366675583012683E-5</v>
      </c>
      <c r="G18">
        <v>5.2623878956892614E-4</v>
      </c>
      <c r="H18">
        <v>6.6328713930761266E-3</v>
      </c>
      <c r="I18">
        <v>8.0688930418555693E-4</v>
      </c>
      <c r="J18">
        <v>1.4501549736940569E-4</v>
      </c>
      <c r="K18">
        <v>2.0527408739765991E-4</v>
      </c>
      <c r="L18">
        <v>1.366675583012683E-5</v>
      </c>
      <c r="M18">
        <v>1.366675583012683E-5</v>
      </c>
      <c r="N18">
        <v>1.366675583012683E-5</v>
      </c>
      <c r="O18">
        <v>1.366675583012683E-5</v>
      </c>
      <c r="P18">
        <v>1.366675583012683E-5</v>
      </c>
      <c r="Q18">
        <v>5.2623878956892614E-4</v>
      </c>
      <c r="R18">
        <v>6.6328713930761266E-3</v>
      </c>
      <c r="S18">
        <v>8.0688930418555693E-4</v>
      </c>
      <c r="T18">
        <v>1.4501549736940569E-4</v>
      </c>
      <c r="U18">
        <v>2.0527408739765991E-4</v>
      </c>
    </row>
    <row r="19" spans="1:21" x14ac:dyDescent="0.25">
      <c r="A19" s="5" t="s">
        <v>83</v>
      </c>
      <c r="B19">
        <v>4.5647199468184068E-5</v>
      </c>
      <c r="C19">
        <v>4.5647199468184068E-5</v>
      </c>
      <c r="D19">
        <v>4.5647199468184068E-5</v>
      </c>
      <c r="E19">
        <v>4.5647199468184068E-5</v>
      </c>
      <c r="F19">
        <v>4.5647199468184068E-5</v>
      </c>
      <c r="G19">
        <v>4.4872983453666221E-5</v>
      </c>
      <c r="H19">
        <v>6.1138569841452878E-4</v>
      </c>
      <c r="I19">
        <v>1.3137986239782621E-4</v>
      </c>
      <c r="J19">
        <v>4.5550566752671408E-5</v>
      </c>
      <c r="K19">
        <v>1.7469382639401039E-4</v>
      </c>
      <c r="L19">
        <v>4.5647199468184068E-5</v>
      </c>
      <c r="M19">
        <v>4.5647199468184068E-5</v>
      </c>
      <c r="N19">
        <v>4.5647199468184068E-5</v>
      </c>
      <c r="O19">
        <v>4.5647199468184068E-5</v>
      </c>
      <c r="P19">
        <v>4.5647199468184068E-5</v>
      </c>
      <c r="Q19">
        <v>4.4872983453666221E-5</v>
      </c>
      <c r="R19">
        <v>6.1138569841452878E-4</v>
      </c>
      <c r="S19">
        <v>1.3137986239782621E-4</v>
      </c>
      <c r="T19">
        <v>4.5550566752671408E-5</v>
      </c>
      <c r="U19">
        <v>1.7469382639401039E-4</v>
      </c>
    </row>
    <row r="20" spans="1:21" x14ac:dyDescent="0.25">
      <c r="A20" s="5" t="s">
        <v>125</v>
      </c>
      <c r="B20">
        <v>2.9956321170960589E-7</v>
      </c>
      <c r="C20">
        <v>2.9956321170960589E-7</v>
      </c>
      <c r="D20">
        <v>2.9956321170960589E-7</v>
      </c>
      <c r="E20">
        <v>2.9956321170960589E-7</v>
      </c>
      <c r="F20">
        <v>2.9956321170960589E-7</v>
      </c>
      <c r="G20">
        <v>1.5587317930077212E-5</v>
      </c>
      <c r="H20">
        <v>9.6304755618996645E-4</v>
      </c>
      <c r="I20">
        <v>1.9408611720978908E-6</v>
      </c>
      <c r="J20">
        <v>7.8299649009038051E-6</v>
      </c>
      <c r="K20">
        <v>4.4483897781484992E-8</v>
      </c>
      <c r="L20">
        <v>2.9956321170960589E-7</v>
      </c>
      <c r="M20">
        <v>2.9956321170960589E-7</v>
      </c>
      <c r="N20">
        <v>2.9956321170960589E-7</v>
      </c>
      <c r="O20">
        <v>2.9956321170960589E-7</v>
      </c>
      <c r="P20">
        <v>2.9956321170960589E-7</v>
      </c>
      <c r="Q20">
        <v>1.5587317930077212E-5</v>
      </c>
      <c r="R20">
        <v>9.6304755618996645E-4</v>
      </c>
      <c r="S20">
        <v>1.9408611720978908E-6</v>
      </c>
      <c r="T20">
        <v>7.8299649009038051E-6</v>
      </c>
      <c r="U20">
        <v>4.4483897781484992E-8</v>
      </c>
    </row>
    <row r="21" spans="1:21" x14ac:dyDescent="0.25">
      <c r="A21" s="5" t="s">
        <v>100</v>
      </c>
      <c r="B21">
        <v>2.7415948588758159E-6</v>
      </c>
      <c r="C21">
        <v>2.7415948588758159E-6</v>
      </c>
      <c r="D21">
        <v>2.7415948588758159E-6</v>
      </c>
      <c r="E21">
        <v>2.7415948588758159E-6</v>
      </c>
      <c r="F21">
        <v>2.7415948588758159E-6</v>
      </c>
      <c r="G21">
        <v>1.1497661314321491E-6</v>
      </c>
      <c r="H21">
        <v>2.9635926627818648E-5</v>
      </c>
      <c r="I21">
        <v>2.424145858862728E-6</v>
      </c>
      <c r="J21">
        <v>6.0318435538599319E-6</v>
      </c>
      <c r="K21">
        <v>2.4466675818978707E-7</v>
      </c>
      <c r="L21">
        <v>2.7415948588758159E-6</v>
      </c>
      <c r="M21">
        <v>2.7415948588758159E-6</v>
      </c>
      <c r="N21">
        <v>2.7415948588758159E-6</v>
      </c>
      <c r="O21">
        <v>2.7415948588758159E-6</v>
      </c>
      <c r="P21">
        <v>2.7415948588758159E-6</v>
      </c>
      <c r="Q21">
        <v>1.1497661314321491E-6</v>
      </c>
      <c r="R21">
        <v>2.9635926627818648E-5</v>
      </c>
      <c r="S21">
        <v>2.424145858862728E-6</v>
      </c>
      <c r="T21">
        <v>6.0318435538599319E-6</v>
      </c>
      <c r="U21">
        <v>2.4466675818978707E-7</v>
      </c>
    </row>
    <row r="22" spans="1:21" x14ac:dyDescent="0.25">
      <c r="A22" s="5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2.673573561195941E-6</v>
      </c>
      <c r="H22">
        <v>7.7932868399204984E-6</v>
      </c>
      <c r="I22">
        <v>2.8035622499727351E-6</v>
      </c>
      <c r="J22">
        <v>7.4823688793842884E-4</v>
      </c>
      <c r="K22">
        <v>1.17229583339241E-6</v>
      </c>
      <c r="L22">
        <v>0</v>
      </c>
      <c r="M22">
        <v>0</v>
      </c>
      <c r="N22">
        <v>0</v>
      </c>
      <c r="O22">
        <v>0</v>
      </c>
      <c r="P22">
        <v>0</v>
      </c>
      <c r="Q22">
        <v>2.673573561195941E-6</v>
      </c>
      <c r="R22">
        <v>7.7932868399204984E-6</v>
      </c>
      <c r="S22">
        <v>2.8035622499727351E-6</v>
      </c>
      <c r="T22">
        <v>7.4823688793842884E-4</v>
      </c>
      <c r="U22">
        <v>1.17229583339241E-6</v>
      </c>
    </row>
    <row r="23" spans="1:21" x14ac:dyDescent="0.25">
      <c r="A23" s="5" t="s">
        <v>70</v>
      </c>
      <c r="B23">
        <v>8.8740401568279963E-4</v>
      </c>
      <c r="C23">
        <v>8.8740401568279963E-4</v>
      </c>
      <c r="D23">
        <v>8.8740401568279963E-4</v>
      </c>
      <c r="E23">
        <v>8.8740401568279963E-4</v>
      </c>
      <c r="F23">
        <v>8.8740401568279963E-4</v>
      </c>
      <c r="G23">
        <v>3.7580602093056519E-3</v>
      </c>
      <c r="H23">
        <v>8.6630741342232226E-3</v>
      </c>
      <c r="I23">
        <v>1.001500107063834E-2</v>
      </c>
      <c r="J23">
        <v>1.8135855847098039E-3</v>
      </c>
      <c r="K23">
        <v>4.2419771763691511E-3</v>
      </c>
      <c r="L23">
        <v>8.8740401568279963E-4</v>
      </c>
      <c r="M23">
        <v>8.8740401568279963E-4</v>
      </c>
      <c r="N23">
        <v>8.8740401568279963E-4</v>
      </c>
      <c r="O23">
        <v>8.8740401568279963E-4</v>
      </c>
      <c r="P23">
        <v>8.8740401568279963E-4</v>
      </c>
      <c r="Q23">
        <v>3.7580602093056519E-3</v>
      </c>
      <c r="R23">
        <v>8.6630741342232226E-3</v>
      </c>
      <c r="S23">
        <v>1.001500107063834E-2</v>
      </c>
      <c r="T23">
        <v>1.8135855847098039E-3</v>
      </c>
      <c r="U23">
        <v>4.2419771763691511E-3</v>
      </c>
    </row>
    <row r="24" spans="1:21" x14ac:dyDescent="0.25">
      <c r="A24" s="5" t="s">
        <v>88</v>
      </c>
      <c r="B24">
        <v>3.6633595934148897E-5</v>
      </c>
      <c r="C24">
        <v>3.6633595934148897E-5</v>
      </c>
      <c r="D24">
        <v>3.6633595934148897E-5</v>
      </c>
      <c r="E24">
        <v>3.6633595934148897E-5</v>
      </c>
      <c r="F24">
        <v>3.6633595934148897E-5</v>
      </c>
      <c r="G24">
        <v>4.0477024507189808E-5</v>
      </c>
      <c r="H24">
        <v>2.8096127790735439E-4</v>
      </c>
      <c r="I24">
        <v>6.5985794641601543E-5</v>
      </c>
      <c r="J24">
        <v>4.4553337567290268E-5</v>
      </c>
      <c r="K24">
        <v>1.7738937917856369E-5</v>
      </c>
      <c r="L24">
        <v>3.6633595934148897E-5</v>
      </c>
      <c r="M24">
        <v>3.6633595934148897E-5</v>
      </c>
      <c r="N24">
        <v>3.6633595934148897E-5</v>
      </c>
      <c r="O24">
        <v>3.6633595934148897E-5</v>
      </c>
      <c r="P24">
        <v>3.6633595934148897E-5</v>
      </c>
      <c r="Q24">
        <v>4.0477024507189808E-5</v>
      </c>
      <c r="R24">
        <v>2.8096127790735439E-4</v>
      </c>
      <c r="S24">
        <v>6.5985794641601543E-5</v>
      </c>
      <c r="T24">
        <v>4.4553337567290268E-5</v>
      </c>
      <c r="U24">
        <v>1.7738937917856369E-5</v>
      </c>
    </row>
    <row r="25" spans="1:21" x14ac:dyDescent="0.25">
      <c r="A25" s="5" t="s">
        <v>75</v>
      </c>
      <c r="B25">
        <v>4.1381451888720141E-4</v>
      </c>
      <c r="C25">
        <v>4.1381451888720141E-4</v>
      </c>
      <c r="D25">
        <v>4.1381451888720141E-4</v>
      </c>
      <c r="E25">
        <v>4.1381451888720141E-4</v>
      </c>
      <c r="F25">
        <v>4.1381451888720141E-4</v>
      </c>
      <c r="G25">
        <v>1.1415549798306369E-3</v>
      </c>
      <c r="H25">
        <v>3.386640898953003E-3</v>
      </c>
      <c r="I25">
        <v>1.2772556791080161E-3</v>
      </c>
      <c r="J25">
        <v>6.8723955184169633E-4</v>
      </c>
      <c r="K25">
        <v>6.2941664583727726E-4</v>
      </c>
      <c r="L25">
        <v>4.1381451888720141E-4</v>
      </c>
      <c r="M25">
        <v>4.1381451888720141E-4</v>
      </c>
      <c r="N25">
        <v>4.1381451888720141E-4</v>
      </c>
      <c r="O25">
        <v>4.1381451888720141E-4</v>
      </c>
      <c r="P25">
        <v>4.1381451888720141E-4</v>
      </c>
      <c r="Q25">
        <v>1.1415549798306369E-3</v>
      </c>
      <c r="R25">
        <v>3.386640898953003E-3</v>
      </c>
      <c r="S25">
        <v>1.2772556791080161E-3</v>
      </c>
      <c r="T25">
        <v>6.8723955184169633E-4</v>
      </c>
      <c r="U25">
        <v>6.2941664583727726E-4</v>
      </c>
    </row>
    <row r="26" spans="1:21" x14ac:dyDescent="0.25">
      <c r="A26" s="5" t="s">
        <v>81</v>
      </c>
      <c r="B26">
        <v>9.0536436377725664E-5</v>
      </c>
      <c r="C26">
        <v>9.0536436377725664E-5</v>
      </c>
      <c r="D26">
        <v>9.0536436377725664E-5</v>
      </c>
      <c r="E26">
        <v>9.0536436377725664E-5</v>
      </c>
      <c r="F26">
        <v>9.0536436377725664E-5</v>
      </c>
      <c r="G26">
        <v>5.3407085962881918E-4</v>
      </c>
      <c r="H26">
        <v>3.63290482720857E-3</v>
      </c>
      <c r="I26">
        <v>6.5080197271503374E-4</v>
      </c>
      <c r="J26">
        <v>4.685156080569657E-4</v>
      </c>
      <c r="K26">
        <v>4.9124581557152716E-4</v>
      </c>
      <c r="L26">
        <v>9.0536436377725664E-5</v>
      </c>
      <c r="M26">
        <v>9.0536436377725664E-5</v>
      </c>
      <c r="N26">
        <v>9.0536436377725664E-5</v>
      </c>
      <c r="O26">
        <v>9.0536436377725664E-5</v>
      </c>
      <c r="P26">
        <v>9.0536436377725664E-5</v>
      </c>
      <c r="Q26">
        <v>5.3407085962881918E-4</v>
      </c>
      <c r="R26">
        <v>3.63290482720857E-3</v>
      </c>
      <c r="S26">
        <v>6.5080197271503374E-4</v>
      </c>
      <c r="T26">
        <v>4.685156080569657E-4</v>
      </c>
      <c r="U26">
        <v>4.9124581557152716E-4</v>
      </c>
    </row>
    <row r="27" spans="1:21" x14ac:dyDescent="0.25">
      <c r="A27" s="5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1.8002338442250391E-8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1.8002338442250391E-8</v>
      </c>
      <c r="S27">
        <v>0</v>
      </c>
      <c r="T27">
        <v>0</v>
      </c>
      <c r="U27">
        <v>0</v>
      </c>
    </row>
    <row r="28" spans="1:21" x14ac:dyDescent="0.25">
      <c r="A28" s="5" t="s">
        <v>84</v>
      </c>
      <c r="B28">
        <v>3.5780668207990072E-5</v>
      </c>
      <c r="C28">
        <v>3.5780668207990072E-5</v>
      </c>
      <c r="D28">
        <v>3.5780668207990072E-5</v>
      </c>
      <c r="E28">
        <v>3.5780668207990072E-5</v>
      </c>
      <c r="F28">
        <v>3.5780668207990072E-5</v>
      </c>
      <c r="G28">
        <v>2.0721450391517651E-4</v>
      </c>
      <c r="H28">
        <v>1.0240639700805351E-2</v>
      </c>
      <c r="I28">
        <v>2.1239149920725029E-5</v>
      </c>
      <c r="J28">
        <v>8.5403198689087978E-5</v>
      </c>
      <c r="K28">
        <v>3.0549685455446867E-5</v>
      </c>
      <c r="L28">
        <v>3.5780668207990072E-5</v>
      </c>
      <c r="M28">
        <v>3.5780668207990072E-5</v>
      </c>
      <c r="N28">
        <v>3.5780668207990072E-5</v>
      </c>
      <c r="O28">
        <v>3.5780668207990072E-5</v>
      </c>
      <c r="P28">
        <v>3.5780668207990072E-5</v>
      </c>
      <c r="Q28">
        <v>2.0721450391517651E-4</v>
      </c>
      <c r="R28">
        <v>1.0240639700805351E-2</v>
      </c>
      <c r="S28">
        <v>2.1239149920725029E-5</v>
      </c>
      <c r="T28">
        <v>8.5403198689087978E-5</v>
      </c>
      <c r="U28">
        <v>3.0549685455446867E-5</v>
      </c>
    </row>
    <row r="29" spans="1:21" x14ac:dyDescent="0.25">
      <c r="A29" s="5" t="s">
        <v>102</v>
      </c>
      <c r="B29">
        <v>2.3938362552002621E-6</v>
      </c>
      <c r="C29">
        <v>2.3938362552002621E-6</v>
      </c>
      <c r="D29">
        <v>2.3938362552002621E-6</v>
      </c>
      <c r="E29">
        <v>2.3938362552002621E-6</v>
      </c>
      <c r="F29">
        <v>2.3938362552002621E-6</v>
      </c>
      <c r="G29">
        <v>1.4987177235315581E-4</v>
      </c>
      <c r="H29">
        <v>5.7737338045246397E-4</v>
      </c>
      <c r="I29">
        <v>1.8167171694444991E-4</v>
      </c>
      <c r="J29">
        <v>2.4087901521719118E-5</v>
      </c>
      <c r="K29">
        <v>6.6932328668220531E-5</v>
      </c>
      <c r="L29">
        <v>2.3938362552002621E-6</v>
      </c>
      <c r="M29">
        <v>2.3938362552002621E-6</v>
      </c>
      <c r="N29">
        <v>2.3938362552002621E-6</v>
      </c>
      <c r="O29">
        <v>2.3938362552002621E-6</v>
      </c>
      <c r="P29">
        <v>2.3938362552002621E-6</v>
      </c>
      <c r="Q29">
        <v>1.4987177235315581E-4</v>
      </c>
      <c r="R29">
        <v>5.7737338045246397E-4</v>
      </c>
      <c r="S29">
        <v>1.8167171694444991E-4</v>
      </c>
      <c r="T29">
        <v>2.4087901521719118E-5</v>
      </c>
      <c r="U29">
        <v>6.6932328668220531E-5</v>
      </c>
    </row>
    <row r="30" spans="1:21" x14ac:dyDescent="0.25">
      <c r="A30" s="5" t="s">
        <v>95</v>
      </c>
      <c r="B30">
        <v>9.4544255763010754E-6</v>
      </c>
      <c r="C30">
        <v>9.4544255763010754E-6</v>
      </c>
      <c r="D30">
        <v>9.4544255763010754E-6</v>
      </c>
      <c r="E30">
        <v>9.4544255763010754E-6</v>
      </c>
      <c r="F30">
        <v>9.4544255763010754E-6</v>
      </c>
      <c r="G30">
        <v>1.077559624110219E-4</v>
      </c>
      <c r="H30">
        <v>1.274174123886882E-4</v>
      </c>
      <c r="I30">
        <v>2.4944692064862842E-4</v>
      </c>
      <c r="J30">
        <v>8.4619303585425107E-5</v>
      </c>
      <c r="K30">
        <v>8.1336207990428451E-5</v>
      </c>
      <c r="L30">
        <v>9.4544255763010754E-6</v>
      </c>
      <c r="M30">
        <v>9.4544255763010754E-6</v>
      </c>
      <c r="N30">
        <v>9.4544255763010754E-6</v>
      </c>
      <c r="O30">
        <v>9.4544255763010754E-6</v>
      </c>
      <c r="P30">
        <v>9.4544255763010754E-6</v>
      </c>
      <c r="Q30">
        <v>1.077559624110219E-4</v>
      </c>
      <c r="R30">
        <v>1.274174123886882E-4</v>
      </c>
      <c r="S30">
        <v>2.4944692064862842E-4</v>
      </c>
      <c r="T30">
        <v>8.4619303585425107E-5</v>
      </c>
      <c r="U30">
        <v>8.1336207990428451E-5</v>
      </c>
    </row>
    <row r="31" spans="1:21" x14ac:dyDescent="0.25">
      <c r="A31" s="5" t="s">
        <v>103</v>
      </c>
      <c r="B31">
        <v>1.751962745637409E-6</v>
      </c>
      <c r="C31">
        <v>1.751962745637409E-6</v>
      </c>
      <c r="D31">
        <v>1.751962745637409E-6</v>
      </c>
      <c r="E31">
        <v>1.751962745637409E-6</v>
      </c>
      <c r="F31">
        <v>1.751962745637409E-6</v>
      </c>
      <c r="G31">
        <v>1.405714852277968E-5</v>
      </c>
      <c r="H31">
        <v>4.9448235840316964E-4</v>
      </c>
      <c r="I31">
        <v>8.0889061451177566E-5</v>
      </c>
      <c r="J31">
        <v>3.2972567564555597E-5</v>
      </c>
      <c r="K31">
        <v>1.9097113808981238E-5</v>
      </c>
      <c r="L31">
        <v>1.751962745637409E-6</v>
      </c>
      <c r="M31">
        <v>1.751962745637409E-6</v>
      </c>
      <c r="N31">
        <v>1.751962745637409E-6</v>
      </c>
      <c r="O31">
        <v>1.751962745637409E-6</v>
      </c>
      <c r="P31">
        <v>1.751962745637409E-6</v>
      </c>
      <c r="Q31">
        <v>1.405714852277968E-5</v>
      </c>
      <c r="R31">
        <v>4.9448235840316964E-4</v>
      </c>
      <c r="S31">
        <v>8.0889061451177566E-5</v>
      </c>
      <c r="T31">
        <v>3.2972567564555597E-5</v>
      </c>
      <c r="U31">
        <v>1.9097113808981238E-5</v>
      </c>
    </row>
    <row r="32" spans="1:21" x14ac:dyDescent="0.25">
      <c r="A32" s="5" t="s">
        <v>98</v>
      </c>
      <c r="B32">
        <v>5.5610789333045157E-6</v>
      </c>
      <c r="C32">
        <v>5.5610789333045157E-6</v>
      </c>
      <c r="D32">
        <v>5.5610789333045157E-6</v>
      </c>
      <c r="E32">
        <v>5.5610789333045157E-6</v>
      </c>
      <c r="F32">
        <v>5.5610789333045157E-6</v>
      </c>
      <c r="G32">
        <v>1.142649256403827E-4</v>
      </c>
      <c r="H32">
        <v>4.8670568529164243E-4</v>
      </c>
      <c r="I32">
        <v>1.3949168240881069E-4</v>
      </c>
      <c r="J32">
        <v>8.4721766579206828E-5</v>
      </c>
      <c r="K32">
        <v>5.9260928592082322E-5</v>
      </c>
      <c r="L32">
        <v>5.5610789333045157E-6</v>
      </c>
      <c r="M32">
        <v>5.5610789333045157E-6</v>
      </c>
      <c r="N32">
        <v>5.5610789333045157E-6</v>
      </c>
      <c r="O32">
        <v>5.5610789333045157E-6</v>
      </c>
      <c r="P32">
        <v>5.5610789333045157E-6</v>
      </c>
      <c r="Q32">
        <v>1.142649256403827E-4</v>
      </c>
      <c r="R32">
        <v>4.8670568529164243E-4</v>
      </c>
      <c r="S32">
        <v>1.3949168240881069E-4</v>
      </c>
      <c r="T32">
        <v>8.4721766579206828E-5</v>
      </c>
      <c r="U32">
        <v>5.9260928592082322E-5</v>
      </c>
    </row>
    <row r="33" spans="1:21" x14ac:dyDescent="0.25">
      <c r="A33" s="5" t="s">
        <v>99</v>
      </c>
      <c r="B33">
        <v>6.1311785893387496E-6</v>
      </c>
      <c r="C33">
        <v>6.1311785893387496E-6</v>
      </c>
      <c r="D33">
        <v>6.1311785893387496E-6</v>
      </c>
      <c r="E33">
        <v>6.1311785893387496E-6</v>
      </c>
      <c r="F33">
        <v>6.1311785893387496E-6</v>
      </c>
      <c r="G33">
        <v>4.1589829643467007E-6</v>
      </c>
      <c r="H33">
        <v>3.8608951950819639E-5</v>
      </c>
      <c r="I33">
        <v>5.2874097327334074E-6</v>
      </c>
      <c r="J33">
        <v>4.9008253635293104E-6</v>
      </c>
      <c r="K33">
        <v>2.7221324363368409E-6</v>
      </c>
      <c r="L33">
        <v>6.1311785893387496E-6</v>
      </c>
      <c r="M33">
        <v>6.1311785893387496E-6</v>
      </c>
      <c r="N33">
        <v>6.1311785893387496E-6</v>
      </c>
      <c r="O33">
        <v>6.1311785893387496E-6</v>
      </c>
      <c r="P33">
        <v>6.1311785893387496E-6</v>
      </c>
      <c r="Q33">
        <v>4.1589829643467007E-6</v>
      </c>
      <c r="R33">
        <v>3.8608951950819639E-5</v>
      </c>
      <c r="S33">
        <v>5.2874097327334074E-6</v>
      </c>
      <c r="T33">
        <v>4.9008253635293104E-6</v>
      </c>
      <c r="U33">
        <v>2.7221324363368409E-6</v>
      </c>
    </row>
    <row r="34" spans="1:21" x14ac:dyDescent="0.25">
      <c r="A34" s="5" t="s">
        <v>78</v>
      </c>
      <c r="B34">
        <v>3.6622665567717113E-4</v>
      </c>
      <c r="C34">
        <v>3.6622665567717113E-4</v>
      </c>
      <c r="D34">
        <v>3.6622665567717113E-4</v>
      </c>
      <c r="E34">
        <v>3.6622665567717113E-4</v>
      </c>
      <c r="F34">
        <v>3.6622665567717113E-4</v>
      </c>
      <c r="G34">
        <v>1.864074679919326E-3</v>
      </c>
      <c r="H34">
        <v>5.4047255774210276E-3</v>
      </c>
      <c r="I34">
        <v>1.6427929337588969E-3</v>
      </c>
      <c r="J34">
        <v>7.469870810792894E-4</v>
      </c>
      <c r="K34">
        <v>8.1879291419445629E-4</v>
      </c>
      <c r="L34">
        <v>3.6622665567717113E-4</v>
      </c>
      <c r="M34">
        <v>3.6622665567717113E-4</v>
      </c>
      <c r="N34">
        <v>3.6622665567717113E-4</v>
      </c>
      <c r="O34">
        <v>3.6622665567717113E-4</v>
      </c>
      <c r="P34">
        <v>3.6622665567717113E-4</v>
      </c>
      <c r="Q34">
        <v>1.864074679919326E-3</v>
      </c>
      <c r="R34">
        <v>5.4047255774210276E-3</v>
      </c>
      <c r="S34">
        <v>1.6427929337588969E-3</v>
      </c>
      <c r="T34">
        <v>7.469870810792894E-4</v>
      </c>
      <c r="U34">
        <v>8.187929141944564E-4</v>
      </c>
    </row>
    <row r="35" spans="1:21" x14ac:dyDescent="0.25">
      <c r="A35" s="5" t="s">
        <v>87</v>
      </c>
      <c r="B35">
        <v>4.9232537997520562E-5</v>
      </c>
      <c r="C35">
        <v>4.9232537997520562E-5</v>
      </c>
      <c r="D35">
        <v>4.9232537997520562E-5</v>
      </c>
      <c r="E35">
        <v>4.9232537997520562E-5</v>
      </c>
      <c r="F35">
        <v>4.9232537997520562E-5</v>
      </c>
      <c r="G35">
        <v>4.8736297386837123E-3</v>
      </c>
      <c r="H35">
        <v>6.7995433893856009E-3</v>
      </c>
      <c r="I35">
        <v>4.7727079863903628E-3</v>
      </c>
      <c r="J35">
        <v>1.171272780020802E-3</v>
      </c>
      <c r="K35">
        <v>2.2273707585460812E-3</v>
      </c>
      <c r="L35">
        <v>4.9232537997520562E-5</v>
      </c>
      <c r="M35">
        <v>4.9232537997520562E-5</v>
      </c>
      <c r="N35">
        <v>4.9232537997520562E-5</v>
      </c>
      <c r="O35">
        <v>4.9232537997520562E-5</v>
      </c>
      <c r="P35">
        <v>4.9232537997520562E-5</v>
      </c>
      <c r="Q35">
        <v>4.8736297386837123E-3</v>
      </c>
      <c r="R35">
        <v>6.7995433893856009E-3</v>
      </c>
      <c r="S35">
        <v>4.7727079863903628E-3</v>
      </c>
      <c r="T35">
        <v>1.171272780020802E-3</v>
      </c>
      <c r="U35">
        <v>2.2273707585460812E-3</v>
      </c>
    </row>
    <row r="36" spans="1:21" x14ac:dyDescent="0.25">
      <c r="A36" s="5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3.3748316836154417E-8</v>
      </c>
      <c r="H36">
        <v>2.86754239092512E-6</v>
      </c>
      <c r="I36">
        <v>1.014554547656914E-6</v>
      </c>
      <c r="J36">
        <v>6.077068744681803E-6</v>
      </c>
      <c r="K36">
        <v>2.7657075919060581E-8</v>
      </c>
      <c r="L36">
        <v>0</v>
      </c>
      <c r="M36">
        <v>0</v>
      </c>
      <c r="N36">
        <v>0</v>
      </c>
      <c r="O36">
        <v>0</v>
      </c>
      <c r="P36">
        <v>0</v>
      </c>
      <c r="Q36">
        <v>3.3748316836154417E-8</v>
      </c>
      <c r="R36">
        <v>2.86754239092512E-6</v>
      </c>
      <c r="S36">
        <v>1.014554547656914E-6</v>
      </c>
      <c r="T36">
        <v>6.077068744681803E-6</v>
      </c>
      <c r="U36">
        <v>2.7657075919060581E-8</v>
      </c>
    </row>
    <row r="37" spans="1:21" x14ac:dyDescent="0.25">
      <c r="A37" s="5" t="s">
        <v>74</v>
      </c>
      <c r="B37">
        <v>2.5087754798212012E-4</v>
      </c>
      <c r="C37">
        <v>2.5087754798212012E-4</v>
      </c>
      <c r="D37">
        <v>2.5087754798212012E-4</v>
      </c>
      <c r="E37">
        <v>2.5087754798212012E-4</v>
      </c>
      <c r="F37">
        <v>2.5087754798212012E-4</v>
      </c>
      <c r="G37">
        <v>8.2423073287687389E-4</v>
      </c>
      <c r="H37">
        <v>2.6418737934201021E-3</v>
      </c>
      <c r="I37">
        <v>7.2202286240436071E-4</v>
      </c>
      <c r="J37">
        <v>4.7882958296446241E-4</v>
      </c>
      <c r="K37">
        <v>6.6247281970100705E-4</v>
      </c>
      <c r="L37">
        <v>2.5087754798212012E-4</v>
      </c>
      <c r="M37">
        <v>2.5087754798212012E-4</v>
      </c>
      <c r="N37">
        <v>2.5087754798212012E-4</v>
      </c>
      <c r="O37">
        <v>2.5087754798212012E-4</v>
      </c>
      <c r="P37">
        <v>2.5087754798212012E-4</v>
      </c>
      <c r="Q37">
        <v>8.2423073287687389E-4</v>
      </c>
      <c r="R37">
        <v>2.6418737934201021E-3</v>
      </c>
      <c r="S37">
        <v>7.2202286240436071E-4</v>
      </c>
      <c r="T37">
        <v>4.7882958296446241E-4</v>
      </c>
      <c r="U37">
        <v>6.6247281970100705E-4</v>
      </c>
    </row>
    <row r="38" spans="1:21" x14ac:dyDescent="0.25">
      <c r="A38" s="5" t="s">
        <v>44</v>
      </c>
      <c r="B38">
        <v>2.4399287803368579E-2</v>
      </c>
      <c r="C38">
        <v>2.4399287803368579E-2</v>
      </c>
      <c r="D38">
        <v>2.4399287803368579E-2</v>
      </c>
      <c r="E38">
        <v>2.4399287803368579E-2</v>
      </c>
      <c r="F38">
        <v>2.4399287803368579E-2</v>
      </c>
      <c r="G38">
        <v>9.0167615343444099E-2</v>
      </c>
      <c r="H38">
        <v>6.103780851449505E-2</v>
      </c>
      <c r="I38">
        <v>6.0943540724760659E-2</v>
      </c>
      <c r="J38">
        <v>7.0004702229517823E-2</v>
      </c>
      <c r="K38">
        <v>0.20779871235670491</v>
      </c>
      <c r="L38">
        <v>2.4399287803368579E-2</v>
      </c>
      <c r="M38">
        <v>2.4399287803368579E-2</v>
      </c>
      <c r="N38">
        <v>2.4399287803368579E-2</v>
      </c>
      <c r="O38">
        <v>2.4399287803368579E-2</v>
      </c>
      <c r="P38">
        <v>2.4399287803368579E-2</v>
      </c>
      <c r="Q38">
        <v>9.5074484685947702E-2</v>
      </c>
      <c r="R38">
        <v>0.14617283906290551</v>
      </c>
      <c r="S38">
        <v>6.5165677946709202E-2</v>
      </c>
      <c r="T38">
        <v>8.8393296799721535E-2</v>
      </c>
      <c r="U38">
        <v>0.2111422243493789</v>
      </c>
    </row>
    <row r="39" spans="1:21" x14ac:dyDescent="0.25">
      <c r="A39" s="5" t="s">
        <v>77</v>
      </c>
      <c r="B39">
        <v>2.8213116075753079E-4</v>
      </c>
      <c r="C39">
        <v>2.8213116075753079E-4</v>
      </c>
      <c r="D39">
        <v>2.8213116075753079E-4</v>
      </c>
      <c r="E39">
        <v>2.8213116075753079E-4</v>
      </c>
      <c r="F39">
        <v>2.8213116075753079E-4</v>
      </c>
      <c r="G39">
        <v>8.2805066594151459E-4</v>
      </c>
      <c r="H39">
        <v>3.763461725302317E-3</v>
      </c>
      <c r="I39">
        <v>1.002475220964791E-3</v>
      </c>
      <c r="J39">
        <v>2.6542941937075169E-4</v>
      </c>
      <c r="K39">
        <v>3.8299588364914768E-4</v>
      </c>
      <c r="L39">
        <v>2.8213116075753079E-4</v>
      </c>
      <c r="M39">
        <v>2.8213116075753079E-4</v>
      </c>
      <c r="N39">
        <v>2.8213116075753079E-4</v>
      </c>
      <c r="O39">
        <v>2.8213116075753079E-4</v>
      </c>
      <c r="P39">
        <v>2.8213116075753079E-4</v>
      </c>
      <c r="Q39">
        <v>8.2805066594151459E-4</v>
      </c>
      <c r="R39">
        <v>3.763461725302317E-3</v>
      </c>
      <c r="S39">
        <v>1.002475220964791E-3</v>
      </c>
      <c r="T39">
        <v>2.6542941937075169E-4</v>
      </c>
      <c r="U39">
        <v>3.8299588364914768E-4</v>
      </c>
    </row>
    <row r="40" spans="1:21" x14ac:dyDescent="0.25">
      <c r="A40" s="5" t="s">
        <v>37</v>
      </c>
      <c r="B40">
        <v>3.3988264586448432E-3</v>
      </c>
      <c r="C40">
        <v>3.3988264586448432E-3</v>
      </c>
      <c r="D40">
        <v>3.3988264586448432E-3</v>
      </c>
      <c r="E40">
        <v>3.3988264586448432E-3</v>
      </c>
      <c r="F40">
        <v>3.3988264586448432E-3</v>
      </c>
      <c r="G40">
        <v>3.642410241066553E-3</v>
      </c>
      <c r="H40">
        <v>3.6742928558566291E-3</v>
      </c>
      <c r="I40">
        <v>3.2966338055725672E-3</v>
      </c>
      <c r="J40">
        <v>5.1165058002096368E-3</v>
      </c>
      <c r="K40">
        <v>3.019666308010495E-3</v>
      </c>
      <c r="L40">
        <v>2.7771801549086209E-2</v>
      </c>
      <c r="M40">
        <v>2.7771801549086209E-2</v>
      </c>
      <c r="N40">
        <v>2.7771801549086209E-2</v>
      </c>
      <c r="O40">
        <v>2.7771801549086209E-2</v>
      </c>
      <c r="P40">
        <v>2.7771801549086209E-2</v>
      </c>
      <c r="Q40">
        <v>1.9012583242498139E-2</v>
      </c>
      <c r="R40">
        <v>5.2258829038524628E-2</v>
      </c>
      <c r="S40">
        <v>1.382650232738099E-2</v>
      </c>
      <c r="T40">
        <v>6.8163400257256696E-3</v>
      </c>
      <c r="U40">
        <v>8.5829098661053243E-3</v>
      </c>
    </row>
    <row r="41" spans="1:21" x14ac:dyDescent="0.25">
      <c r="A41" s="5" t="s">
        <v>82</v>
      </c>
      <c r="B41">
        <v>8.4281610157980146E-5</v>
      </c>
      <c r="C41">
        <v>8.4281610157980146E-5</v>
      </c>
      <c r="D41">
        <v>8.4281610157980146E-5</v>
      </c>
      <c r="E41">
        <v>8.4281610157980146E-5</v>
      </c>
      <c r="F41">
        <v>8.4281610157980146E-5</v>
      </c>
      <c r="G41">
        <v>1.189694992233287E-4</v>
      </c>
      <c r="H41">
        <v>1.1007481313045691E-4</v>
      </c>
      <c r="I41">
        <v>1.2393346379106909E-4</v>
      </c>
      <c r="J41">
        <v>2.8287663428611748E-5</v>
      </c>
      <c r="K41">
        <v>6.668518641313897E-5</v>
      </c>
      <c r="L41">
        <v>8.4281610157980146E-5</v>
      </c>
      <c r="M41">
        <v>8.4281610157980146E-5</v>
      </c>
      <c r="N41">
        <v>8.4281610157980146E-5</v>
      </c>
      <c r="O41">
        <v>8.4281610157980146E-5</v>
      </c>
      <c r="P41">
        <v>8.4281610157980146E-5</v>
      </c>
      <c r="Q41">
        <v>1.189694992233287E-4</v>
      </c>
      <c r="R41">
        <v>1.1007481313045691E-4</v>
      </c>
      <c r="S41">
        <v>1.2393346379106909E-4</v>
      </c>
      <c r="T41">
        <v>2.8287663428611748E-5</v>
      </c>
      <c r="U41">
        <v>6.6685186413138983E-5</v>
      </c>
    </row>
    <row r="42" spans="1:21" x14ac:dyDescent="0.25">
      <c r="A42" s="5" t="s">
        <v>129</v>
      </c>
      <c r="B42">
        <v>0</v>
      </c>
      <c r="C42">
        <v>0</v>
      </c>
      <c r="D42">
        <v>0</v>
      </c>
      <c r="E42">
        <v>0</v>
      </c>
      <c r="F42">
        <v>0</v>
      </c>
      <c r="G42">
        <v>1.790073780369914E-4</v>
      </c>
      <c r="H42">
        <v>1.482750300150296E-6</v>
      </c>
      <c r="I42">
        <v>3.655912796374624E-4</v>
      </c>
      <c r="J42">
        <v>7.9873084238534408E-8</v>
      </c>
      <c r="K42">
        <v>4.388968544906953E-4</v>
      </c>
      <c r="L42">
        <v>0</v>
      </c>
      <c r="M42">
        <v>0</v>
      </c>
      <c r="N42">
        <v>0</v>
      </c>
      <c r="O42">
        <v>0</v>
      </c>
      <c r="P42">
        <v>0</v>
      </c>
      <c r="Q42">
        <v>1.790073780369914E-4</v>
      </c>
      <c r="R42">
        <v>1.482750300150296E-6</v>
      </c>
      <c r="S42">
        <v>3.655912796374624E-4</v>
      </c>
      <c r="T42">
        <v>7.9873084238534408E-8</v>
      </c>
      <c r="U42">
        <v>4.388968544906953E-4</v>
      </c>
    </row>
    <row r="43" spans="1:21" x14ac:dyDescent="0.25">
      <c r="A43" s="5" t="s">
        <v>130</v>
      </c>
      <c r="B43">
        <v>0</v>
      </c>
      <c r="C43">
        <v>0</v>
      </c>
      <c r="D43">
        <v>0</v>
      </c>
      <c r="E43">
        <v>0</v>
      </c>
      <c r="F43">
        <v>0</v>
      </c>
      <c r="G43">
        <v>3.7634714703421847E-8</v>
      </c>
      <c r="H43">
        <v>4.7315710942498037E-6</v>
      </c>
      <c r="I43">
        <v>4.0697983480523754E-6</v>
      </c>
      <c r="J43">
        <v>1.121658060383491E-5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3.7634714703421847E-8</v>
      </c>
      <c r="R43">
        <v>4.7315710942498037E-6</v>
      </c>
      <c r="S43">
        <v>4.0697983480523754E-6</v>
      </c>
      <c r="T43">
        <v>1.121658060383491E-5</v>
      </c>
      <c r="U43">
        <v>0</v>
      </c>
    </row>
    <row r="44" spans="1:21" x14ac:dyDescent="0.25">
      <c r="A44" s="5" t="s">
        <v>131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6.8666961426714189E-6</v>
      </c>
      <c r="I44">
        <v>1.2417457579570231E-7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6.8666961426714189E-6</v>
      </c>
      <c r="S44">
        <v>1.2417457579570231E-7</v>
      </c>
      <c r="T44">
        <v>0</v>
      </c>
      <c r="U44">
        <v>0</v>
      </c>
    </row>
    <row r="45" spans="1:21" x14ac:dyDescent="0.25">
      <c r="A45" s="5" t="s">
        <v>80</v>
      </c>
      <c r="B45">
        <v>8.9218305302524918E-5</v>
      </c>
      <c r="C45">
        <v>8.9218305302524918E-5</v>
      </c>
      <c r="D45">
        <v>8.9218305302524918E-5</v>
      </c>
      <c r="E45">
        <v>8.9218305302524918E-5</v>
      </c>
      <c r="F45">
        <v>8.9218305302524918E-5</v>
      </c>
      <c r="G45">
        <v>2.2465893849041459E-4</v>
      </c>
      <c r="H45">
        <v>6.3917217688799972E-4</v>
      </c>
      <c r="I45">
        <v>2.5727784044250751E-4</v>
      </c>
      <c r="J45">
        <v>1.5573439520971089E-4</v>
      </c>
      <c r="K45">
        <v>1.3083632878922811E-4</v>
      </c>
      <c r="L45">
        <v>8.9218305302524918E-5</v>
      </c>
      <c r="M45">
        <v>8.9218305302524918E-5</v>
      </c>
      <c r="N45">
        <v>8.9218305302524918E-5</v>
      </c>
      <c r="O45">
        <v>8.9218305302524918E-5</v>
      </c>
      <c r="P45">
        <v>8.9218305302524918E-5</v>
      </c>
      <c r="Q45">
        <v>2.2465893849041459E-4</v>
      </c>
      <c r="R45">
        <v>6.3917217688799972E-4</v>
      </c>
      <c r="S45">
        <v>2.5727784044250751E-4</v>
      </c>
      <c r="T45">
        <v>1.5573439520971089E-4</v>
      </c>
      <c r="U45">
        <v>1.3083632878922811E-4</v>
      </c>
    </row>
    <row r="46" spans="1:21" x14ac:dyDescent="0.25">
      <c r="A46" s="5" t="s">
        <v>79</v>
      </c>
      <c r="B46">
        <v>1.4722263532937461E-4</v>
      </c>
      <c r="C46">
        <v>1.4722263532937461E-4</v>
      </c>
      <c r="D46">
        <v>1.4722263532937461E-4</v>
      </c>
      <c r="E46">
        <v>1.4722263532937461E-4</v>
      </c>
      <c r="F46">
        <v>1.4722263532937461E-4</v>
      </c>
      <c r="G46">
        <v>4.5907139341788226E-3</v>
      </c>
      <c r="H46">
        <v>8.7104674719750818E-4</v>
      </c>
      <c r="I46">
        <v>8.660323916640034E-3</v>
      </c>
      <c r="J46">
        <v>1.878345241306444E-3</v>
      </c>
      <c r="K46">
        <v>9.5598106995774604E-3</v>
      </c>
      <c r="L46">
        <v>1.4722263532937461E-4</v>
      </c>
      <c r="M46">
        <v>1.4722263532937461E-4</v>
      </c>
      <c r="N46">
        <v>1.4722263532937461E-4</v>
      </c>
      <c r="O46">
        <v>1.4722263532937461E-4</v>
      </c>
      <c r="P46">
        <v>1.4722263532937461E-4</v>
      </c>
      <c r="Q46">
        <v>4.5907139341788226E-3</v>
      </c>
      <c r="R46">
        <v>8.7104674719750818E-4</v>
      </c>
      <c r="S46">
        <v>8.660323916640034E-3</v>
      </c>
      <c r="T46">
        <v>1.878345241306444E-3</v>
      </c>
      <c r="U46">
        <v>9.5598106995774604E-3</v>
      </c>
    </row>
    <row r="47" spans="1:21" x14ac:dyDescent="0.25">
      <c r="A47" s="5" t="s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1.016020927243743E-5</v>
      </c>
      <c r="I47">
        <v>1.8742473459632E-7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1.016020927243743E-5</v>
      </c>
      <c r="S47">
        <v>1.8742473459632E-7</v>
      </c>
      <c r="T47">
        <v>0</v>
      </c>
      <c r="U47">
        <v>0</v>
      </c>
    </row>
    <row r="48" spans="1:21" x14ac:dyDescent="0.25">
      <c r="A48" s="5" t="s">
        <v>133</v>
      </c>
      <c r="B48">
        <v>0</v>
      </c>
      <c r="C48">
        <v>0</v>
      </c>
      <c r="D48">
        <v>0</v>
      </c>
      <c r="E48">
        <v>0</v>
      </c>
      <c r="F48">
        <v>0</v>
      </c>
      <c r="G48">
        <v>2.7247974868657102E-6</v>
      </c>
      <c r="H48">
        <v>4.6663486939824119E-7</v>
      </c>
      <c r="I48">
        <v>2.5844333550638558E-7</v>
      </c>
      <c r="J48">
        <v>7.9238822153357712E-8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2.7247974868657102E-6</v>
      </c>
      <c r="R48">
        <v>4.6663486939824119E-7</v>
      </c>
      <c r="S48">
        <v>2.5844333550638558E-7</v>
      </c>
      <c r="T48">
        <v>7.9238822153357712E-8</v>
      </c>
      <c r="U48">
        <v>0</v>
      </c>
    </row>
    <row r="49" spans="1:21" x14ac:dyDescent="0.25">
      <c r="A49" s="5" t="s">
        <v>71</v>
      </c>
      <c r="B49">
        <v>1.1312676013805259E-3</v>
      </c>
      <c r="C49">
        <v>1.1312676013805259E-3</v>
      </c>
      <c r="D49">
        <v>1.1312676013805259E-3</v>
      </c>
      <c r="E49">
        <v>1.1312676013805259E-3</v>
      </c>
      <c r="F49">
        <v>1.1312676013805259E-3</v>
      </c>
      <c r="G49">
        <v>1.0983656340425971E-3</v>
      </c>
      <c r="H49">
        <v>2.517394734177868E-2</v>
      </c>
      <c r="I49">
        <v>1.020686677403667E-3</v>
      </c>
      <c r="J49">
        <v>5.0517081779416441E-4</v>
      </c>
      <c r="K49">
        <v>2.241529492228605E-3</v>
      </c>
      <c r="L49">
        <v>1.1312676013805259E-3</v>
      </c>
      <c r="M49">
        <v>1.1312676013805259E-3</v>
      </c>
      <c r="N49">
        <v>1.1312676013805259E-3</v>
      </c>
      <c r="O49">
        <v>1.1312676013805259E-3</v>
      </c>
      <c r="P49">
        <v>1.1312676013805259E-3</v>
      </c>
      <c r="Q49">
        <v>1.0983656340425971E-3</v>
      </c>
      <c r="R49">
        <v>2.517394734177868E-2</v>
      </c>
      <c r="S49">
        <v>1.020686677403667E-3</v>
      </c>
      <c r="T49">
        <v>5.0517081779416441E-4</v>
      </c>
      <c r="U49">
        <v>2.241529492228605E-3</v>
      </c>
    </row>
    <row r="50" spans="1:21" x14ac:dyDescent="0.25">
      <c r="A50" s="5" t="s">
        <v>134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2.8643907874932669E-5</v>
      </c>
      <c r="I50">
        <v>1.2468078017885931E-5</v>
      </c>
      <c r="J50">
        <v>6.9560870362844057E-5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2.8643907874932669E-5</v>
      </c>
      <c r="S50">
        <v>1.2468078017885931E-5</v>
      </c>
      <c r="T50">
        <v>6.9560870362844057E-5</v>
      </c>
      <c r="U50">
        <v>0</v>
      </c>
    </row>
    <row r="51" spans="1:21" x14ac:dyDescent="0.25">
      <c r="A51" s="5" t="s">
        <v>96</v>
      </c>
      <c r="B51">
        <v>9.6544723271619922E-6</v>
      </c>
      <c r="C51">
        <v>9.6544723271619922E-6</v>
      </c>
      <c r="D51">
        <v>9.6544723271619922E-6</v>
      </c>
      <c r="E51">
        <v>9.6544723271619922E-6</v>
      </c>
      <c r="F51">
        <v>9.6544723271619922E-6</v>
      </c>
      <c r="G51">
        <v>2.2616712034428471E-4</v>
      </c>
      <c r="H51">
        <v>3.5523348863670508E-3</v>
      </c>
      <c r="I51">
        <v>3.4840637572509421E-4</v>
      </c>
      <c r="J51">
        <v>2.4070730352150399E-4</v>
      </c>
      <c r="K51">
        <v>1.3989348159025499E-4</v>
      </c>
      <c r="L51">
        <v>9.6544723271619922E-6</v>
      </c>
      <c r="M51">
        <v>9.6544723271619922E-6</v>
      </c>
      <c r="N51">
        <v>9.6544723271619922E-6</v>
      </c>
      <c r="O51">
        <v>9.6544723271619922E-6</v>
      </c>
      <c r="P51">
        <v>9.6544723271619922E-6</v>
      </c>
      <c r="Q51">
        <v>2.2616712034428471E-4</v>
      </c>
      <c r="R51">
        <v>3.5523348863670508E-3</v>
      </c>
      <c r="S51">
        <v>3.4840637572509421E-4</v>
      </c>
      <c r="T51">
        <v>2.4070730352150399E-4</v>
      </c>
      <c r="U51">
        <v>1.3989348159025499E-4</v>
      </c>
    </row>
    <row r="52" spans="1:21" x14ac:dyDescent="0.25">
      <c r="A52" s="5" t="s">
        <v>135</v>
      </c>
      <c r="B52">
        <v>0</v>
      </c>
      <c r="C52">
        <v>0</v>
      </c>
      <c r="D52">
        <v>0</v>
      </c>
      <c r="E52">
        <v>0</v>
      </c>
      <c r="F52">
        <v>0</v>
      </c>
      <c r="G52">
        <v>4.6327316349252817E-8</v>
      </c>
      <c r="H52">
        <v>1.0859756180051251E-6</v>
      </c>
      <c r="I52">
        <v>1.0190079535947379E-4</v>
      </c>
      <c r="J52">
        <v>6.3270795102867415E-4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4.6327316349252817E-8</v>
      </c>
      <c r="R52">
        <v>1.0859756180051251E-6</v>
      </c>
      <c r="S52">
        <v>1.0190079535947379E-4</v>
      </c>
      <c r="T52">
        <v>6.3270795102867415E-4</v>
      </c>
      <c r="U52">
        <v>0</v>
      </c>
    </row>
    <row r="53" spans="1:21" x14ac:dyDescent="0.25">
      <c r="A53" s="5" t="s">
        <v>136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8.4622354179721847E-6</v>
      </c>
      <c r="I53">
        <v>1.552359885596252E-7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8.4622354179721847E-6</v>
      </c>
      <c r="S53">
        <v>1.552359885596252E-7</v>
      </c>
      <c r="T53">
        <v>0</v>
      </c>
      <c r="U53">
        <v>0</v>
      </c>
    </row>
    <row r="54" spans="1:21" x14ac:dyDescent="0.25">
      <c r="A54" s="5" t="s">
        <v>90</v>
      </c>
      <c r="B54">
        <v>2.1041014031886818E-5</v>
      </c>
      <c r="C54">
        <v>2.1041014031886818E-5</v>
      </c>
      <c r="D54">
        <v>2.1041014031886818E-5</v>
      </c>
      <c r="E54">
        <v>2.1041014031886818E-5</v>
      </c>
      <c r="F54">
        <v>2.1041014031886818E-5</v>
      </c>
      <c r="G54">
        <v>7.2953998934523713E-5</v>
      </c>
      <c r="H54">
        <v>3.3026170823510071E-4</v>
      </c>
      <c r="I54">
        <v>8.3085327299056965E-5</v>
      </c>
      <c r="J54">
        <v>3.9168766626842257E-5</v>
      </c>
      <c r="K54">
        <v>3.7249808705742599E-5</v>
      </c>
      <c r="L54">
        <v>2.1041014031886818E-5</v>
      </c>
      <c r="M54">
        <v>2.1041014031886818E-5</v>
      </c>
      <c r="N54">
        <v>2.1041014031886818E-5</v>
      </c>
      <c r="O54">
        <v>2.1041014031886818E-5</v>
      </c>
      <c r="P54">
        <v>2.1041014031886818E-5</v>
      </c>
      <c r="Q54">
        <v>7.2953998934523713E-5</v>
      </c>
      <c r="R54">
        <v>3.3026170823510071E-4</v>
      </c>
      <c r="S54">
        <v>8.3085327299056965E-5</v>
      </c>
      <c r="T54">
        <v>3.9168766626842257E-5</v>
      </c>
      <c r="U54">
        <v>3.7249808705742599E-5</v>
      </c>
    </row>
    <row r="55" spans="1:21" x14ac:dyDescent="0.25">
      <c r="A55" s="5" t="s">
        <v>73</v>
      </c>
      <c r="B55">
        <v>7.8550150073536178E-4</v>
      </c>
      <c r="C55">
        <v>7.8550150073536178E-4</v>
      </c>
      <c r="D55">
        <v>7.8550150073536178E-4</v>
      </c>
      <c r="E55">
        <v>7.8550150073536178E-4</v>
      </c>
      <c r="F55">
        <v>7.8550150073536178E-4</v>
      </c>
      <c r="G55">
        <v>1.6987104483748159E-2</v>
      </c>
      <c r="H55">
        <v>3.7011925380873237E-2</v>
      </c>
      <c r="I55">
        <v>3.71020324655241E-3</v>
      </c>
      <c r="J55">
        <v>2.158226705196018E-3</v>
      </c>
      <c r="K55">
        <v>1.2995423904440309E-3</v>
      </c>
      <c r="L55">
        <v>7.8550150073536178E-4</v>
      </c>
      <c r="M55">
        <v>7.8550150073536178E-4</v>
      </c>
      <c r="N55">
        <v>7.8550150073536178E-4</v>
      </c>
      <c r="O55">
        <v>7.8550150073536178E-4</v>
      </c>
      <c r="P55">
        <v>7.8550150073536178E-4</v>
      </c>
      <c r="Q55">
        <v>1.6987104483748159E-2</v>
      </c>
      <c r="R55">
        <v>3.7011925380873237E-2</v>
      </c>
      <c r="S55">
        <v>3.71020324655241E-3</v>
      </c>
      <c r="T55">
        <v>2.158226705196018E-3</v>
      </c>
      <c r="U55">
        <v>1.2995423904440309E-3</v>
      </c>
    </row>
    <row r="56" spans="1:21" x14ac:dyDescent="0.25">
      <c r="A56" s="5" t="s">
        <v>97</v>
      </c>
      <c r="B56">
        <v>5.0826642463041744E-6</v>
      </c>
      <c r="C56">
        <v>5.0826642463041744E-6</v>
      </c>
      <c r="D56">
        <v>5.0826642463041744E-6</v>
      </c>
      <c r="E56">
        <v>5.0826642463041744E-6</v>
      </c>
      <c r="F56">
        <v>5.0826642463041744E-6</v>
      </c>
      <c r="G56">
        <v>5.7181929746832658E-5</v>
      </c>
      <c r="H56">
        <v>8.3245346067760013E-5</v>
      </c>
      <c r="I56">
        <v>6.4623184673031974E-5</v>
      </c>
      <c r="J56">
        <v>1.643172596857654E-5</v>
      </c>
      <c r="K56">
        <v>8.2038752438842925E-5</v>
      </c>
      <c r="L56">
        <v>5.0826642463041744E-6</v>
      </c>
      <c r="M56">
        <v>5.0826642463041744E-6</v>
      </c>
      <c r="N56">
        <v>5.0826642463041744E-6</v>
      </c>
      <c r="O56">
        <v>5.0826642463041744E-6</v>
      </c>
      <c r="P56">
        <v>5.0826642463041744E-6</v>
      </c>
      <c r="Q56">
        <v>5.7181929746832658E-5</v>
      </c>
      <c r="R56">
        <v>8.3245346067760013E-5</v>
      </c>
      <c r="S56">
        <v>6.4623184673031974E-5</v>
      </c>
      <c r="T56">
        <v>1.643172596857654E-5</v>
      </c>
      <c r="U56">
        <v>8.2038752438842925E-5</v>
      </c>
    </row>
    <row r="57" spans="1:21" x14ac:dyDescent="0.25">
      <c r="A57" s="5" t="s">
        <v>72</v>
      </c>
      <c r="B57">
        <v>1.1048302442419439E-3</v>
      </c>
      <c r="C57">
        <v>1.1048302442419439E-3</v>
      </c>
      <c r="D57">
        <v>1.1048302442419439E-3</v>
      </c>
      <c r="E57">
        <v>1.1048302442419439E-3</v>
      </c>
      <c r="F57">
        <v>1.1048302442419439E-3</v>
      </c>
      <c r="G57">
        <v>1.5981304804374671E-3</v>
      </c>
      <c r="H57">
        <v>1.2976066288630289E-2</v>
      </c>
      <c r="I57">
        <v>1.5346392987586959E-3</v>
      </c>
      <c r="J57">
        <v>1.4356612919359151E-3</v>
      </c>
      <c r="K57">
        <v>7.2940720755040379E-4</v>
      </c>
      <c r="L57">
        <v>1.1048302442419439E-3</v>
      </c>
      <c r="M57">
        <v>1.1048302442419439E-3</v>
      </c>
      <c r="N57">
        <v>1.1048302442419439E-3</v>
      </c>
      <c r="O57">
        <v>1.1048302442419439E-3</v>
      </c>
      <c r="P57">
        <v>1.1048302442419439E-3</v>
      </c>
      <c r="Q57">
        <v>1.5981304804374671E-3</v>
      </c>
      <c r="R57">
        <v>1.2976066288630289E-2</v>
      </c>
      <c r="S57">
        <v>1.5346392987586959E-3</v>
      </c>
      <c r="T57">
        <v>1.4356612919359151E-3</v>
      </c>
      <c r="U57">
        <v>7.2940720755040379E-4</v>
      </c>
    </row>
    <row r="58" spans="1:21" x14ac:dyDescent="0.25">
      <c r="A58" s="5" t="s">
        <v>104</v>
      </c>
      <c r="B58">
        <v>2.3489418402236432E-6</v>
      </c>
      <c r="C58">
        <v>2.3489418402236432E-6</v>
      </c>
      <c r="D58">
        <v>2.3489418402236432E-6</v>
      </c>
      <c r="E58">
        <v>2.3489418402236432E-6</v>
      </c>
      <c r="F58">
        <v>2.3489418402236432E-6</v>
      </c>
      <c r="G58">
        <v>4.01807251006543E-6</v>
      </c>
      <c r="H58">
        <v>1.6742935078446951E-5</v>
      </c>
      <c r="I58">
        <v>7.0866050845773849E-7</v>
      </c>
      <c r="J58">
        <v>2.0049847738435588E-6</v>
      </c>
      <c r="K58">
        <v>1.7449517786346831E-6</v>
      </c>
      <c r="L58">
        <v>2.3489418402236432E-6</v>
      </c>
      <c r="M58">
        <v>2.3489418402236432E-6</v>
      </c>
      <c r="N58">
        <v>2.3489418402236432E-6</v>
      </c>
      <c r="O58">
        <v>2.3489418402236432E-6</v>
      </c>
      <c r="P58">
        <v>2.3489418402236432E-6</v>
      </c>
      <c r="Q58">
        <v>4.01807251006543E-6</v>
      </c>
      <c r="R58">
        <v>1.6742935078446951E-5</v>
      </c>
      <c r="S58">
        <v>7.0866050845773849E-7</v>
      </c>
      <c r="T58">
        <v>2.0049847738435588E-6</v>
      </c>
      <c r="U58">
        <v>1.7449517786346831E-6</v>
      </c>
    </row>
    <row r="59" spans="1:21" x14ac:dyDescent="0.25">
      <c r="A59" s="5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8.5263961006687558E-4</v>
      </c>
      <c r="H59">
        <v>5.7150468485272991E-2</v>
      </c>
      <c r="I59">
        <v>9.756783338465539E-8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8.5263961006687558E-4</v>
      </c>
      <c r="R59">
        <v>5.7150468485272991E-2</v>
      </c>
      <c r="S59">
        <v>9.756783338465539E-8</v>
      </c>
      <c r="T59">
        <v>0</v>
      </c>
      <c r="U59">
        <v>0</v>
      </c>
    </row>
    <row r="60" spans="1:21" x14ac:dyDescent="0.25">
      <c r="A60" s="5" t="s">
        <v>101</v>
      </c>
      <c r="B60">
        <v>2.6929449677724232E-6</v>
      </c>
      <c r="C60">
        <v>2.6929449677724232E-6</v>
      </c>
      <c r="D60">
        <v>2.6929449677724232E-6</v>
      </c>
      <c r="E60">
        <v>2.6929449677724232E-6</v>
      </c>
      <c r="F60">
        <v>2.6929449677724232E-6</v>
      </c>
      <c r="G60">
        <v>5.8016026041784731E-5</v>
      </c>
      <c r="H60">
        <v>2.3347822257822571E-3</v>
      </c>
      <c r="I60">
        <v>2.3430248995834709E-4</v>
      </c>
      <c r="J60">
        <v>1.356575586091847E-5</v>
      </c>
      <c r="K60">
        <v>1.7136677035890611E-5</v>
      </c>
      <c r="L60">
        <v>2.6929449677724232E-6</v>
      </c>
      <c r="M60">
        <v>2.6929449677724232E-6</v>
      </c>
      <c r="N60">
        <v>2.6929449677724232E-6</v>
      </c>
      <c r="O60">
        <v>2.6929449677724232E-6</v>
      </c>
      <c r="P60">
        <v>2.6929449677724232E-6</v>
      </c>
      <c r="Q60">
        <v>5.8016026041784731E-5</v>
      </c>
      <c r="R60">
        <v>2.3347822257822571E-3</v>
      </c>
      <c r="S60">
        <v>2.3430248995834709E-4</v>
      </c>
      <c r="T60">
        <v>1.356575586091847E-5</v>
      </c>
      <c r="U60">
        <v>1.7136677035890611E-5</v>
      </c>
    </row>
    <row r="61" spans="1:21" x14ac:dyDescent="0.25">
      <c r="A61" s="5" t="s">
        <v>86</v>
      </c>
      <c r="B61">
        <v>2.6694682102745941E-5</v>
      </c>
      <c r="C61">
        <v>2.6694682102745941E-5</v>
      </c>
      <c r="D61">
        <v>2.6694682102745941E-5</v>
      </c>
      <c r="E61">
        <v>2.6694682102745941E-5</v>
      </c>
      <c r="F61">
        <v>2.6694682102745941E-5</v>
      </c>
      <c r="G61">
        <v>3.8118638008714898E-4</v>
      </c>
      <c r="H61">
        <v>1.3184323747736919E-3</v>
      </c>
      <c r="I61">
        <v>3.548484656153946E-4</v>
      </c>
      <c r="J61">
        <v>2.5656652946874192E-4</v>
      </c>
      <c r="K61">
        <v>2.00858593939225E-4</v>
      </c>
      <c r="L61">
        <v>2.6694682102745941E-5</v>
      </c>
      <c r="M61">
        <v>2.6694682102745941E-5</v>
      </c>
      <c r="N61">
        <v>2.6694682102745941E-5</v>
      </c>
      <c r="O61">
        <v>2.6694682102745941E-5</v>
      </c>
      <c r="P61">
        <v>2.6694682102745941E-5</v>
      </c>
      <c r="Q61">
        <v>3.8118638008714898E-4</v>
      </c>
      <c r="R61">
        <v>1.3184323747736919E-3</v>
      </c>
      <c r="S61">
        <v>3.548484656153946E-4</v>
      </c>
      <c r="T61">
        <v>2.5656652946874192E-4</v>
      </c>
      <c r="U61">
        <v>2.00858593939225E-4</v>
      </c>
    </row>
    <row r="62" spans="1:21" x14ac:dyDescent="0.25">
      <c r="A62" s="5" t="s">
        <v>89</v>
      </c>
      <c r="B62">
        <v>2.930467362012927E-5</v>
      </c>
      <c r="C62">
        <v>2.930467362012927E-5</v>
      </c>
      <c r="D62">
        <v>2.930467362012927E-5</v>
      </c>
      <c r="E62">
        <v>2.930467362012927E-5</v>
      </c>
      <c r="F62">
        <v>2.930467362012927E-5</v>
      </c>
      <c r="G62">
        <v>3.5593844120617178E-4</v>
      </c>
      <c r="H62">
        <v>3.3059114607075562E-4</v>
      </c>
      <c r="I62">
        <v>3.4585296460142771E-4</v>
      </c>
      <c r="J62">
        <v>7.824314447908587E-5</v>
      </c>
      <c r="K62">
        <v>1.6661147274143109E-4</v>
      </c>
      <c r="L62">
        <v>2.930467362012927E-5</v>
      </c>
      <c r="M62">
        <v>2.930467362012927E-5</v>
      </c>
      <c r="N62">
        <v>2.930467362012927E-5</v>
      </c>
      <c r="O62">
        <v>2.930467362012927E-5</v>
      </c>
      <c r="P62">
        <v>2.930467362012927E-5</v>
      </c>
      <c r="Q62">
        <v>3.5593844120617178E-4</v>
      </c>
      <c r="R62">
        <v>3.3059114607075562E-4</v>
      </c>
      <c r="S62">
        <v>3.4585296460142771E-4</v>
      </c>
      <c r="T62">
        <v>7.824314447908587E-5</v>
      </c>
      <c r="U62">
        <v>1.6661147274143109E-4</v>
      </c>
    </row>
    <row r="63" spans="1:21" x14ac:dyDescent="0.25">
      <c r="A63" s="5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2.0950263852898181E-8</v>
      </c>
      <c r="H63">
        <v>2.0926371333366469E-6</v>
      </c>
      <c r="I63">
        <v>2.2635062436710971E-8</v>
      </c>
      <c r="J63">
        <v>0</v>
      </c>
      <c r="K63">
        <v>6.2230239844331027E-9</v>
      </c>
      <c r="L63">
        <v>0</v>
      </c>
      <c r="M63">
        <v>0</v>
      </c>
      <c r="N63">
        <v>0</v>
      </c>
      <c r="O63">
        <v>0</v>
      </c>
      <c r="P63">
        <v>0</v>
      </c>
      <c r="Q63">
        <v>2.0950263852898181E-8</v>
      </c>
      <c r="R63">
        <v>2.0926371333366469E-6</v>
      </c>
      <c r="S63">
        <v>2.2635062436710971E-8</v>
      </c>
      <c r="T63">
        <v>0</v>
      </c>
      <c r="U63">
        <v>6.2230239844331027E-9</v>
      </c>
    </row>
    <row r="64" spans="1:21" x14ac:dyDescent="0.25">
      <c r="A64" s="5" t="s">
        <v>85</v>
      </c>
      <c r="B64">
        <v>5.3404923369469142E-5</v>
      </c>
      <c r="C64">
        <v>5.3404923369469142E-5</v>
      </c>
      <c r="D64">
        <v>5.3404923369469142E-5</v>
      </c>
      <c r="E64">
        <v>5.3404923369469142E-5</v>
      </c>
      <c r="F64">
        <v>5.3404923369469142E-5</v>
      </c>
      <c r="G64">
        <v>4.3123776265202541E-4</v>
      </c>
      <c r="H64">
        <v>1.389165161294652E-3</v>
      </c>
      <c r="I64">
        <v>4.375918202616587E-4</v>
      </c>
      <c r="J64">
        <v>1.010797630853454E-4</v>
      </c>
      <c r="K64">
        <v>2.1163107339202739E-4</v>
      </c>
      <c r="L64">
        <v>5.3404923369469142E-5</v>
      </c>
      <c r="M64">
        <v>5.3404923369469142E-5</v>
      </c>
      <c r="N64">
        <v>5.3404923369469142E-5</v>
      </c>
      <c r="O64">
        <v>5.3404923369469142E-5</v>
      </c>
      <c r="P64">
        <v>5.3404923369469142E-5</v>
      </c>
      <c r="Q64">
        <v>4.3123776265202541E-4</v>
      </c>
      <c r="R64">
        <v>1.389165161294652E-3</v>
      </c>
      <c r="S64">
        <v>4.375918202616587E-4</v>
      </c>
      <c r="T64">
        <v>1.010797630853454E-4</v>
      </c>
      <c r="U64">
        <v>2.1163107339202739E-4</v>
      </c>
    </row>
    <row r="65" spans="1:21" x14ac:dyDescent="0.25">
      <c r="A65" s="5" t="s">
        <v>139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6.217984145108603E-8</v>
      </c>
      <c r="I65">
        <v>5.3190373304319871E-8</v>
      </c>
      <c r="J65">
        <v>3.3223484468542351E-7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6.217984145108603E-8</v>
      </c>
      <c r="S65">
        <v>5.3190373304319871E-8</v>
      </c>
      <c r="T65">
        <v>3.3223484468542351E-7</v>
      </c>
      <c r="U65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86A-14DA-43C6-AE85-43611CDE8259}">
  <dimension ref="A1:U65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50" bestFit="1" customWidth="1"/>
  </cols>
  <sheetData>
    <row r="1" spans="1:21" s="13" customFormat="1" ht="75" x14ac:dyDescent="0.25">
      <c r="B1" s="14" t="s">
        <v>45</v>
      </c>
      <c r="C1" s="14" t="s">
        <v>46</v>
      </c>
      <c r="D1" s="14" t="s">
        <v>120</v>
      </c>
      <c r="E1" s="14" t="s">
        <v>122</v>
      </c>
      <c r="F1" s="14" t="s">
        <v>47</v>
      </c>
      <c r="G1" s="14" t="s">
        <v>51</v>
      </c>
      <c r="H1" s="14" t="s">
        <v>52</v>
      </c>
      <c r="I1" s="14" t="s">
        <v>116</v>
      </c>
      <c r="J1" s="14" t="s">
        <v>108</v>
      </c>
      <c r="K1" s="14" t="s">
        <v>53</v>
      </c>
      <c r="L1" s="14" t="s">
        <v>48</v>
      </c>
      <c r="M1" s="14" t="s">
        <v>49</v>
      </c>
      <c r="N1" s="14" t="s">
        <v>114</v>
      </c>
      <c r="O1" s="14" t="s">
        <v>110</v>
      </c>
      <c r="P1" s="14" t="s">
        <v>50</v>
      </c>
      <c r="Q1" s="14" t="s">
        <v>54</v>
      </c>
      <c r="R1" s="14" t="s">
        <v>55</v>
      </c>
      <c r="S1" s="14" t="s">
        <v>118</v>
      </c>
      <c r="T1" s="14" t="s">
        <v>112</v>
      </c>
      <c r="U1" s="14" t="s">
        <v>56</v>
      </c>
    </row>
    <row r="2" spans="1:21" x14ac:dyDescent="0.25">
      <c r="A2" s="10" t="s">
        <v>141</v>
      </c>
      <c r="B2" s="12">
        <f t="shared" ref="B2:T2" si="0">B40/B8</f>
        <v>0.12042410392667306</v>
      </c>
      <c r="C2" s="12">
        <f t="shared" si="0"/>
        <v>0.12042410392667306</v>
      </c>
      <c r="D2" s="12">
        <f t="shared" si="0"/>
        <v>0.12042410392667306</v>
      </c>
      <c r="E2" s="12">
        <f t="shared" si="0"/>
        <v>0.12042410392667306</v>
      </c>
      <c r="F2" s="12">
        <f t="shared" si="0"/>
        <v>0.12042410392667306</v>
      </c>
      <c r="G2" s="12">
        <f t="shared" si="0"/>
        <v>2.5816167355060288E-2</v>
      </c>
      <c r="H2" s="12">
        <f t="shared" si="0"/>
        <v>1.0060060563869003E-2</v>
      </c>
      <c r="I2" s="12">
        <f t="shared" si="0"/>
        <v>2.85917764481354E-2</v>
      </c>
      <c r="J2" s="12">
        <f t="shared" si="0"/>
        <v>6.7253561084075347E-2</v>
      </c>
      <c r="K2" s="12">
        <f t="shared" si="0"/>
        <v>1.4753149859796129E-2</v>
      </c>
      <c r="L2" s="12">
        <f t="shared" si="0"/>
        <v>0.54914734513993357</v>
      </c>
      <c r="M2" s="12">
        <f t="shared" si="0"/>
        <v>0.54914734513993357</v>
      </c>
      <c r="N2" s="12">
        <f t="shared" si="0"/>
        <v>0.54914734513993357</v>
      </c>
      <c r="O2" s="12">
        <f t="shared" si="0"/>
        <v>0.54914734513993357</v>
      </c>
      <c r="P2" s="12">
        <f t="shared" si="0"/>
        <v>0.54914734513993357</v>
      </c>
      <c r="Q2" s="12">
        <f t="shared" si="0"/>
        <v>0.13996700892032204</v>
      </c>
      <c r="R2" s="12">
        <f t="shared" si="0"/>
        <v>0.12159738859526091</v>
      </c>
      <c r="S2" s="12">
        <f t="shared" si="0"/>
        <v>0.13228863913002697</v>
      </c>
      <c r="T2" s="12">
        <f t="shared" si="0"/>
        <v>8.4318745663757605E-2</v>
      </c>
      <c r="U2" s="12">
        <f t="shared" ref="U2" si="1">U40/U8</f>
        <v>4.4569115919310204E-2</v>
      </c>
    </row>
    <row r="3" spans="1:21" x14ac:dyDescent="0.25">
      <c r="A3" s="10" t="s">
        <v>142</v>
      </c>
      <c r="B3" s="12">
        <f t="shared" ref="B3:T3" si="2">B38/B8</f>
        <v>0.60024297241094837</v>
      </c>
      <c r="C3" s="12">
        <f t="shared" si="2"/>
        <v>0.60024297241094837</v>
      </c>
      <c r="D3" s="12">
        <f t="shared" si="2"/>
        <v>0.60024297241094837</v>
      </c>
      <c r="E3" s="12">
        <f t="shared" si="2"/>
        <v>0.60024297241094837</v>
      </c>
      <c r="F3" s="12">
        <f t="shared" si="2"/>
        <v>0.60024297241094837</v>
      </c>
      <c r="G3" s="12">
        <f t="shared" si="2"/>
        <v>0.57525186937526429</v>
      </c>
      <c r="H3" s="12">
        <f t="shared" si="2"/>
        <v>0.18506709162063478</v>
      </c>
      <c r="I3" s="12">
        <f t="shared" si="2"/>
        <v>0.47132107369358023</v>
      </c>
      <c r="J3" s="12">
        <f t="shared" si="2"/>
        <v>0.7460536829014468</v>
      </c>
      <c r="K3" s="12">
        <f t="shared" si="2"/>
        <v>0.84187885625823322</v>
      </c>
      <c r="L3" s="12">
        <f t="shared" si="2"/>
        <v>0.30767229852557604</v>
      </c>
      <c r="M3" s="12">
        <f t="shared" si="2"/>
        <v>0.30767229852557604</v>
      </c>
      <c r="N3" s="12">
        <f t="shared" si="2"/>
        <v>0.30767229852557604</v>
      </c>
      <c r="O3" s="12">
        <f t="shared" si="2"/>
        <v>0.30767229852557604</v>
      </c>
      <c r="P3" s="12">
        <f t="shared" si="2"/>
        <v>0.30767229852557604</v>
      </c>
      <c r="Q3" s="12">
        <f t="shared" si="2"/>
        <v>0.52114463433970903</v>
      </c>
      <c r="R3" s="12">
        <f t="shared" si="2"/>
        <v>0.32531023670365861</v>
      </c>
      <c r="S3" s="12">
        <f t="shared" si="2"/>
        <v>0.43816791246027881</v>
      </c>
      <c r="T3" s="12">
        <f t="shared" si="2"/>
        <v>0.74754796294443082</v>
      </c>
      <c r="U3" s="12">
        <f t="shared" ref="U3" si="3">U38/U8</f>
        <v>0.81807411305249711</v>
      </c>
    </row>
    <row r="4" spans="1:21" x14ac:dyDescent="0.25">
      <c r="A4" s="10" t="s">
        <v>143</v>
      </c>
      <c r="B4" s="12">
        <f t="shared" ref="B4:T4" si="4">1-B3-B2</f>
        <v>0.27933292366237855</v>
      </c>
      <c r="C4" s="12">
        <f t="shared" si="4"/>
        <v>0.27933292366237855</v>
      </c>
      <c r="D4" s="12">
        <f t="shared" si="4"/>
        <v>0.27933292366237855</v>
      </c>
      <c r="E4" s="12">
        <f t="shared" si="4"/>
        <v>0.27933292366237855</v>
      </c>
      <c r="F4" s="12">
        <f t="shared" si="4"/>
        <v>0.27933292366237855</v>
      </c>
      <c r="G4" s="12">
        <f t="shared" si="4"/>
        <v>0.39893196326967539</v>
      </c>
      <c r="H4" s="12">
        <f t="shared" si="4"/>
        <v>0.80487284781549628</v>
      </c>
      <c r="I4" s="12">
        <f t="shared" si="4"/>
        <v>0.5000871498582844</v>
      </c>
      <c r="J4" s="12">
        <f t="shared" si="4"/>
        <v>0.18669275601447785</v>
      </c>
      <c r="K4" s="12">
        <f t="shared" si="4"/>
        <v>0.14336799388197066</v>
      </c>
      <c r="L4" s="12">
        <f t="shared" si="4"/>
        <v>0.14318035633449044</v>
      </c>
      <c r="M4" s="12">
        <f t="shared" si="4"/>
        <v>0.14318035633449044</v>
      </c>
      <c r="N4" s="12">
        <f t="shared" si="4"/>
        <v>0.14318035633449044</v>
      </c>
      <c r="O4" s="12">
        <f t="shared" si="4"/>
        <v>0.14318035633449044</v>
      </c>
      <c r="P4" s="12">
        <f t="shared" si="4"/>
        <v>0.14318035633449044</v>
      </c>
      <c r="Q4" s="12">
        <f t="shared" si="4"/>
        <v>0.33888835673996892</v>
      </c>
      <c r="R4" s="12">
        <f t="shared" si="4"/>
        <v>0.55309237470108041</v>
      </c>
      <c r="S4" s="12">
        <f t="shared" si="4"/>
        <v>0.42954344840969416</v>
      </c>
      <c r="T4" s="12">
        <f t="shared" si="4"/>
        <v>0.16813329139181157</v>
      </c>
      <c r="U4" s="12">
        <f t="shared" ref="U4" si="5">1-U3-U2</f>
        <v>0.13735677102819269</v>
      </c>
    </row>
    <row r="5" spans="1:21" s="13" customForma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s="13" customFormat="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s="13" customFormat="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s="13" customFormat="1" x14ac:dyDescent="0.25">
      <c r="A8" s="17" t="s">
        <v>140</v>
      </c>
      <c r="B8" s="16">
        <f>SUM(B9:B65)</f>
        <v>1.2010006044063836E-2</v>
      </c>
      <c r="C8" s="16">
        <f t="shared" ref="C8:U8" si="6">SUM(C9:C65)</f>
        <v>1.2010006044063836E-2</v>
      </c>
      <c r="D8" s="16">
        <f t="shared" si="6"/>
        <v>1.2010006044063836E-2</v>
      </c>
      <c r="E8" s="16">
        <f t="shared" si="6"/>
        <v>1.2010006044063836E-2</v>
      </c>
      <c r="F8" s="16">
        <f t="shared" si="6"/>
        <v>1.2010006044063836E-2</v>
      </c>
      <c r="G8" s="16">
        <f t="shared" si="6"/>
        <v>6.0037797211609005E-2</v>
      </c>
      <c r="H8" s="16">
        <f t="shared" si="6"/>
        <v>0.1554178268339666</v>
      </c>
      <c r="I8" s="16">
        <f t="shared" si="6"/>
        <v>4.906335329198E-2</v>
      </c>
      <c r="J8" s="16">
        <f t="shared" si="6"/>
        <v>3.2373215967780138E-2</v>
      </c>
      <c r="K8" s="16">
        <f t="shared" si="6"/>
        <v>8.7096731692423116E-2</v>
      </c>
      <c r="L8" s="16">
        <f t="shared" si="6"/>
        <v>2.3430519293120802E-2</v>
      </c>
      <c r="M8" s="16">
        <f t="shared" si="6"/>
        <v>2.3430519293120802E-2</v>
      </c>
      <c r="N8" s="16">
        <f t="shared" si="6"/>
        <v>2.3430519293120802E-2</v>
      </c>
      <c r="O8" s="16">
        <f t="shared" si="6"/>
        <v>2.3430519293120802E-2</v>
      </c>
      <c r="P8" s="16">
        <f t="shared" si="6"/>
        <v>2.3430519293120802E-2</v>
      </c>
      <c r="Q8" s="16">
        <f t="shared" si="6"/>
        <v>7.0675182064137934E-2</v>
      </c>
      <c r="R8" s="16">
        <f t="shared" si="6"/>
        <v>0.22616762516886302</v>
      </c>
      <c r="S8" s="16">
        <f t="shared" si="6"/>
        <v>5.712100277891842E-2</v>
      </c>
      <c r="T8" s="16">
        <f t="shared" si="6"/>
        <v>3.59467471316696E-2</v>
      </c>
      <c r="U8" s="16">
        <f t="shared" si="6"/>
        <v>9.0908395727036947E-2</v>
      </c>
    </row>
    <row r="9" spans="1:21" x14ac:dyDescent="0.25">
      <c r="A9" s="5" t="s">
        <v>93</v>
      </c>
      <c r="B9">
        <v>5.7739662750164052E-6</v>
      </c>
      <c r="C9">
        <v>5.7739662750164052E-6</v>
      </c>
      <c r="D9">
        <v>5.7739662750164052E-6</v>
      </c>
      <c r="E9">
        <v>5.7739662750164052E-6</v>
      </c>
      <c r="F9">
        <v>5.7739662750164052E-6</v>
      </c>
      <c r="G9">
        <v>3.5163894540229192E-5</v>
      </c>
      <c r="H9">
        <v>4.6986505011908659E-4</v>
      </c>
      <c r="I9">
        <v>3.8943831265516277E-5</v>
      </c>
      <c r="J9">
        <v>2.736133606456073E-5</v>
      </c>
      <c r="K9">
        <v>1.6036302497205778E-5</v>
      </c>
      <c r="L9">
        <v>5.7739662750164052E-6</v>
      </c>
      <c r="M9">
        <v>5.7739662750164052E-6</v>
      </c>
      <c r="N9">
        <v>5.7739662750164052E-6</v>
      </c>
      <c r="O9">
        <v>5.7739662750164052E-6</v>
      </c>
      <c r="P9">
        <v>5.7739662750164052E-6</v>
      </c>
      <c r="Q9">
        <v>3.5163894540229192E-5</v>
      </c>
      <c r="R9">
        <v>4.6986505011908659E-4</v>
      </c>
      <c r="S9">
        <v>3.8943831265516277E-5</v>
      </c>
      <c r="T9">
        <v>2.736133606456073E-5</v>
      </c>
      <c r="U9">
        <v>1.6036302497205778E-5</v>
      </c>
    </row>
    <row r="10" spans="1:21" x14ac:dyDescent="0.25">
      <c r="A10" s="5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1.461192946775927E-5</v>
      </c>
      <c r="H10">
        <v>9.0439571783649674E-4</v>
      </c>
      <c r="I10">
        <v>4.2086568204786156E-6</v>
      </c>
      <c r="J10">
        <v>1.365031188363192E-5</v>
      </c>
      <c r="K10">
        <v>6.5074758287649348E-7</v>
      </c>
      <c r="L10">
        <v>0</v>
      </c>
      <c r="M10">
        <v>0</v>
      </c>
      <c r="N10">
        <v>0</v>
      </c>
      <c r="O10">
        <v>0</v>
      </c>
      <c r="P10">
        <v>0</v>
      </c>
      <c r="Q10">
        <v>1.461192946775927E-5</v>
      </c>
      <c r="R10">
        <v>9.0439571783649674E-4</v>
      </c>
      <c r="S10">
        <v>4.2086568204786156E-6</v>
      </c>
      <c r="T10">
        <v>1.365031188363192E-5</v>
      </c>
      <c r="U10">
        <v>6.5074758287649348E-7</v>
      </c>
    </row>
    <row r="11" spans="1:21" x14ac:dyDescent="0.25">
      <c r="A11" s="5" t="s">
        <v>91</v>
      </c>
      <c r="B11">
        <v>7.588052329206236E-6</v>
      </c>
      <c r="C11">
        <v>7.588052329206236E-6</v>
      </c>
      <c r="D11">
        <v>7.588052329206236E-6</v>
      </c>
      <c r="E11">
        <v>7.588052329206236E-6</v>
      </c>
      <c r="F11">
        <v>7.588052329206236E-6</v>
      </c>
      <c r="G11">
        <v>2.1727401624414491E-4</v>
      </c>
      <c r="H11">
        <v>1.4552429793791759E-4</v>
      </c>
      <c r="I11">
        <v>2.0369695311297129E-4</v>
      </c>
      <c r="J11">
        <v>3.5517518491072321E-5</v>
      </c>
      <c r="K11">
        <v>9.8544012866580899E-5</v>
      </c>
      <c r="L11">
        <v>7.588052329206236E-6</v>
      </c>
      <c r="M11">
        <v>7.588052329206236E-6</v>
      </c>
      <c r="N11">
        <v>7.588052329206236E-6</v>
      </c>
      <c r="O11">
        <v>7.588052329206236E-6</v>
      </c>
      <c r="P11">
        <v>7.588052329206236E-6</v>
      </c>
      <c r="Q11">
        <v>2.1727401624414491E-4</v>
      </c>
      <c r="R11">
        <v>1.4552429793791759E-4</v>
      </c>
      <c r="S11">
        <v>2.0369695311297129E-4</v>
      </c>
      <c r="T11">
        <v>3.5517518491072321E-5</v>
      </c>
      <c r="U11">
        <v>9.8544012866580899E-5</v>
      </c>
    </row>
    <row r="12" spans="1:21" x14ac:dyDescent="0.25">
      <c r="A12" s="5" t="s">
        <v>124</v>
      </c>
      <c r="B12">
        <v>0</v>
      </c>
      <c r="C12">
        <v>0</v>
      </c>
      <c r="D12">
        <v>0</v>
      </c>
      <c r="E12">
        <v>0</v>
      </c>
      <c r="F12">
        <v>0</v>
      </c>
      <c r="G12">
        <v>1.1093964996822021E-5</v>
      </c>
      <c r="H12">
        <v>3.3287678782943891E-4</v>
      </c>
      <c r="I12">
        <v>9.4672052883266763E-6</v>
      </c>
      <c r="J12">
        <v>1.180621083639763E-5</v>
      </c>
      <c r="K12">
        <v>2.772604551748919E-6</v>
      </c>
      <c r="L12">
        <v>0</v>
      </c>
      <c r="M12">
        <v>0</v>
      </c>
      <c r="N12">
        <v>0</v>
      </c>
      <c r="O12">
        <v>0</v>
      </c>
      <c r="P12">
        <v>0</v>
      </c>
      <c r="Q12">
        <v>1.1093964996822021E-5</v>
      </c>
      <c r="R12">
        <v>3.3287678782943891E-4</v>
      </c>
      <c r="S12">
        <v>9.4672052883266763E-6</v>
      </c>
      <c r="T12">
        <v>1.180621083639763E-5</v>
      </c>
      <c r="U12">
        <v>2.772604551748919E-6</v>
      </c>
    </row>
    <row r="13" spans="1:21" x14ac:dyDescent="0.25">
      <c r="A13" s="5" t="s">
        <v>105</v>
      </c>
      <c r="B13">
        <v>7.503048537609877E-7</v>
      </c>
      <c r="C13">
        <v>7.503048537609877E-7</v>
      </c>
      <c r="D13">
        <v>7.503048537609877E-7</v>
      </c>
      <c r="E13">
        <v>7.503048537609877E-7</v>
      </c>
      <c r="F13">
        <v>7.503048537609877E-7</v>
      </c>
      <c r="G13">
        <v>1.549039876938035E-7</v>
      </c>
      <c r="H13">
        <v>1.588881422799679E-6</v>
      </c>
      <c r="I13">
        <v>7.0390694427735113E-7</v>
      </c>
      <c r="J13">
        <v>7.610661873014449E-7</v>
      </c>
      <c r="K13">
        <v>1.5518473550266549E-8</v>
      </c>
      <c r="L13">
        <v>7.503048537609877E-7</v>
      </c>
      <c r="M13">
        <v>7.503048537609877E-7</v>
      </c>
      <c r="N13">
        <v>7.503048537609877E-7</v>
      </c>
      <c r="O13">
        <v>7.503048537609877E-7</v>
      </c>
      <c r="P13">
        <v>7.503048537609877E-7</v>
      </c>
      <c r="Q13">
        <v>1.549039876938035E-7</v>
      </c>
      <c r="R13">
        <v>1.588881422799679E-6</v>
      </c>
      <c r="S13">
        <v>7.0390694427735113E-7</v>
      </c>
      <c r="T13">
        <v>7.610661873014449E-7</v>
      </c>
      <c r="U13">
        <v>1.5518473550266549E-8</v>
      </c>
    </row>
    <row r="14" spans="1:21" x14ac:dyDescent="0.25">
      <c r="A14" s="5" t="s">
        <v>76</v>
      </c>
      <c r="B14">
        <v>1.0015764175419989E-4</v>
      </c>
      <c r="C14">
        <v>1.0015764175419989E-4</v>
      </c>
      <c r="D14">
        <v>1.0015764175419989E-4</v>
      </c>
      <c r="E14">
        <v>1.0015764175419989E-4</v>
      </c>
      <c r="F14">
        <v>1.0015764175419989E-4</v>
      </c>
      <c r="G14">
        <v>5.0644397579780831E-4</v>
      </c>
      <c r="H14">
        <v>6.1376998953411796E-3</v>
      </c>
      <c r="I14">
        <v>1.0451617921084749E-3</v>
      </c>
      <c r="J14">
        <v>2.926342748114774E-4</v>
      </c>
      <c r="K14">
        <v>2.2634176724775339E-4</v>
      </c>
      <c r="L14">
        <v>1.0015764175419989E-4</v>
      </c>
      <c r="M14">
        <v>1.0015764175419989E-4</v>
      </c>
      <c r="N14">
        <v>1.0015764175419989E-4</v>
      </c>
      <c r="O14">
        <v>1.0015764175419989E-4</v>
      </c>
      <c r="P14">
        <v>1.0015764175419989E-4</v>
      </c>
      <c r="Q14">
        <v>5.0644397579780831E-4</v>
      </c>
      <c r="R14">
        <v>6.1376998953411796E-3</v>
      </c>
      <c r="S14">
        <v>1.0451617921084749E-3</v>
      </c>
      <c r="T14">
        <v>2.926342748114774E-4</v>
      </c>
      <c r="U14">
        <v>2.2634176724775339E-4</v>
      </c>
    </row>
    <row r="15" spans="1:21" x14ac:dyDescent="0.25">
      <c r="A15" s="5" t="s">
        <v>106</v>
      </c>
      <c r="B15">
        <v>3.2783036823961932E-7</v>
      </c>
      <c r="C15">
        <v>3.2783036823961932E-7</v>
      </c>
      <c r="D15">
        <v>3.2783036823961932E-7</v>
      </c>
      <c r="E15">
        <v>3.2783036823961932E-7</v>
      </c>
      <c r="F15">
        <v>3.2783036823961932E-7</v>
      </c>
      <c r="G15">
        <v>3.006116570350295E-9</v>
      </c>
      <c r="H15">
        <v>9.4299081348538128E-6</v>
      </c>
      <c r="I15">
        <v>5.8273769436113418E-7</v>
      </c>
      <c r="J15">
        <v>0</v>
      </c>
      <c r="K15">
        <v>1.0435219223109971E-9</v>
      </c>
      <c r="L15">
        <v>3.2783036823961932E-7</v>
      </c>
      <c r="M15">
        <v>3.2783036823961932E-7</v>
      </c>
      <c r="N15">
        <v>3.2783036823961932E-7</v>
      </c>
      <c r="O15">
        <v>3.2783036823961932E-7</v>
      </c>
      <c r="P15">
        <v>3.2783036823961932E-7</v>
      </c>
      <c r="Q15">
        <v>3.006116570350295E-9</v>
      </c>
      <c r="R15">
        <v>9.4299081348538128E-6</v>
      </c>
      <c r="S15">
        <v>5.8273769436113418E-7</v>
      </c>
      <c r="T15">
        <v>0</v>
      </c>
      <c r="U15">
        <v>1.0435219223109971E-9</v>
      </c>
    </row>
    <row r="16" spans="1:21" x14ac:dyDescent="0.25">
      <c r="A16" s="5" t="s">
        <v>69</v>
      </c>
      <c r="B16">
        <v>1.2253313920629371E-3</v>
      </c>
      <c r="C16">
        <v>1.2253313920629371E-3</v>
      </c>
      <c r="D16">
        <v>1.2253313920629371E-3</v>
      </c>
      <c r="E16">
        <v>1.2253313920629371E-3</v>
      </c>
      <c r="F16">
        <v>1.2253313920629371E-3</v>
      </c>
      <c r="G16">
        <v>1.552350941046831E-3</v>
      </c>
      <c r="H16">
        <v>8.9678408887026717E-3</v>
      </c>
      <c r="I16">
        <v>2.076033091408852E-3</v>
      </c>
      <c r="J16">
        <v>5.4023887422273279E-4</v>
      </c>
      <c r="K16">
        <v>7.8962473073699712E-4</v>
      </c>
      <c r="L16">
        <v>1.2253313920629371E-3</v>
      </c>
      <c r="M16">
        <v>1.2253313920629371E-3</v>
      </c>
      <c r="N16">
        <v>1.2253313920629371E-3</v>
      </c>
      <c r="O16">
        <v>1.2253313920629371E-3</v>
      </c>
      <c r="P16">
        <v>1.2253313920629371E-3</v>
      </c>
      <c r="Q16">
        <v>1.552350941046831E-3</v>
      </c>
      <c r="R16">
        <v>8.9678408887026717E-3</v>
      </c>
      <c r="S16">
        <v>2.076033091408852E-3</v>
      </c>
      <c r="T16">
        <v>5.4023887422273279E-4</v>
      </c>
      <c r="U16">
        <v>7.8962473073699712E-4</v>
      </c>
    </row>
    <row r="17" spans="1:21" x14ac:dyDescent="0.25">
      <c r="A17" s="5" t="s">
        <v>94</v>
      </c>
      <c r="B17">
        <v>5.0341432851554001E-6</v>
      </c>
      <c r="C17">
        <v>5.0341432851554001E-6</v>
      </c>
      <c r="D17">
        <v>5.0341432851554001E-6</v>
      </c>
      <c r="E17">
        <v>5.0341432851554001E-6</v>
      </c>
      <c r="F17">
        <v>5.0341432851554001E-6</v>
      </c>
      <c r="G17">
        <v>4.3042738419223539E-5</v>
      </c>
      <c r="H17">
        <v>2.9993476434165051E-5</v>
      </c>
      <c r="I17">
        <v>7.6220193394788328E-5</v>
      </c>
      <c r="J17">
        <v>7.3379347122829765E-5</v>
      </c>
      <c r="K17">
        <v>3.7852591409063259E-5</v>
      </c>
      <c r="L17">
        <v>5.0341432851554001E-6</v>
      </c>
      <c r="M17">
        <v>5.0341432851554001E-6</v>
      </c>
      <c r="N17">
        <v>5.0341432851554001E-6</v>
      </c>
      <c r="O17">
        <v>5.0341432851554001E-6</v>
      </c>
      <c r="P17">
        <v>5.0341432851554001E-6</v>
      </c>
      <c r="Q17">
        <v>4.3042738419223539E-5</v>
      </c>
      <c r="R17">
        <v>2.9993476434165051E-5</v>
      </c>
      <c r="S17">
        <v>7.6220193394788328E-5</v>
      </c>
      <c r="T17">
        <v>7.3379347122829765E-5</v>
      </c>
      <c r="U17">
        <v>3.7852591409063259E-5</v>
      </c>
    </row>
    <row r="18" spans="1:21" x14ac:dyDescent="0.25">
      <c r="A18" s="5" t="s">
        <v>92</v>
      </c>
      <c r="B18">
        <v>4.1043936248474969E-6</v>
      </c>
      <c r="C18">
        <v>4.1043936248474969E-6</v>
      </c>
      <c r="D18">
        <v>4.1043936248474969E-6</v>
      </c>
      <c r="E18">
        <v>4.1043936248474969E-6</v>
      </c>
      <c r="F18">
        <v>4.1043936248474969E-6</v>
      </c>
      <c r="G18">
        <v>2.573042150696584E-4</v>
      </c>
      <c r="H18">
        <v>3.4985026375294178E-3</v>
      </c>
      <c r="I18">
        <v>4.0584102886509141E-4</v>
      </c>
      <c r="J18">
        <v>4.8395819648876942E-5</v>
      </c>
      <c r="K18">
        <v>9.3157426147818384E-5</v>
      </c>
      <c r="L18">
        <v>4.1043936248474969E-6</v>
      </c>
      <c r="M18">
        <v>4.1043936248474969E-6</v>
      </c>
      <c r="N18">
        <v>4.1043936248474969E-6</v>
      </c>
      <c r="O18">
        <v>4.1043936248474969E-6</v>
      </c>
      <c r="P18">
        <v>4.1043936248474969E-6</v>
      </c>
      <c r="Q18">
        <v>2.573042150696584E-4</v>
      </c>
      <c r="R18">
        <v>3.4985026375294178E-3</v>
      </c>
      <c r="S18">
        <v>4.0584102886509141E-4</v>
      </c>
      <c r="T18">
        <v>4.8395819648876942E-5</v>
      </c>
      <c r="U18">
        <v>9.3157426147818384E-5</v>
      </c>
    </row>
    <row r="19" spans="1:21" x14ac:dyDescent="0.25">
      <c r="A19" s="5" t="s">
        <v>83</v>
      </c>
      <c r="B19">
        <v>2.13296637050477E-5</v>
      </c>
      <c r="C19">
        <v>2.13296637050477E-5</v>
      </c>
      <c r="D19">
        <v>2.13296637050477E-5</v>
      </c>
      <c r="E19">
        <v>2.13296637050477E-5</v>
      </c>
      <c r="F19">
        <v>2.13296637050477E-5</v>
      </c>
      <c r="G19">
        <v>2.3716612182425E-5</v>
      </c>
      <c r="H19">
        <v>3.2894261857516492E-4</v>
      </c>
      <c r="I19">
        <v>7.4218712243286593E-5</v>
      </c>
      <c r="J19">
        <v>1.9560287141218421E-5</v>
      </c>
      <c r="K19">
        <v>5.3406706711185222E-5</v>
      </c>
      <c r="L19">
        <v>2.13296637050477E-5</v>
      </c>
      <c r="M19">
        <v>2.13296637050477E-5</v>
      </c>
      <c r="N19">
        <v>2.13296637050477E-5</v>
      </c>
      <c r="O19">
        <v>2.13296637050477E-5</v>
      </c>
      <c r="P19">
        <v>2.13296637050477E-5</v>
      </c>
      <c r="Q19">
        <v>2.3716612182425E-5</v>
      </c>
      <c r="R19">
        <v>3.2894261857516492E-4</v>
      </c>
      <c r="S19">
        <v>7.4218712243286593E-5</v>
      </c>
      <c r="T19">
        <v>1.9560287141218421E-5</v>
      </c>
      <c r="U19">
        <v>5.3406706711185222E-5</v>
      </c>
    </row>
    <row r="20" spans="1:21" x14ac:dyDescent="0.25">
      <c r="A20" s="5" t="s">
        <v>125</v>
      </c>
      <c r="B20">
        <v>1.3630099802561879E-7</v>
      </c>
      <c r="C20">
        <v>1.3630099802561879E-7</v>
      </c>
      <c r="D20">
        <v>1.3630099802561879E-7</v>
      </c>
      <c r="E20">
        <v>1.3630099802561879E-7</v>
      </c>
      <c r="F20">
        <v>1.3630099802561879E-7</v>
      </c>
      <c r="G20">
        <v>8.1052684126998892E-6</v>
      </c>
      <c r="H20">
        <v>5.0641202012442082E-4</v>
      </c>
      <c r="I20">
        <v>1.0063064194036189E-6</v>
      </c>
      <c r="J20">
        <v>3.0718885353589351E-6</v>
      </c>
      <c r="K20">
        <v>2.1263202737185229E-8</v>
      </c>
      <c r="L20">
        <v>1.3630099802561879E-7</v>
      </c>
      <c r="M20">
        <v>1.3630099802561879E-7</v>
      </c>
      <c r="N20">
        <v>1.3630099802561879E-7</v>
      </c>
      <c r="O20">
        <v>1.3630099802561879E-7</v>
      </c>
      <c r="P20">
        <v>1.3630099802561879E-7</v>
      </c>
      <c r="Q20">
        <v>8.1052684126998892E-6</v>
      </c>
      <c r="R20">
        <v>5.0641202012442082E-4</v>
      </c>
      <c r="S20">
        <v>1.0063064194036189E-6</v>
      </c>
      <c r="T20">
        <v>3.0718885353589351E-6</v>
      </c>
      <c r="U20">
        <v>2.1263202737185229E-8</v>
      </c>
    </row>
    <row r="21" spans="1:21" x14ac:dyDescent="0.25">
      <c r="A21" s="5" t="s">
        <v>100</v>
      </c>
      <c r="B21">
        <v>1.426456146246015E-6</v>
      </c>
      <c r="C21">
        <v>1.426456146246015E-6</v>
      </c>
      <c r="D21">
        <v>1.426456146246015E-6</v>
      </c>
      <c r="E21">
        <v>1.426456146246015E-6</v>
      </c>
      <c r="F21">
        <v>1.426456146246015E-6</v>
      </c>
      <c r="G21">
        <v>5.6452355453771764E-7</v>
      </c>
      <c r="H21">
        <v>1.6502003376256769E-5</v>
      </c>
      <c r="I21">
        <v>1.724497475951384E-6</v>
      </c>
      <c r="J21">
        <v>2.3402910257181109E-6</v>
      </c>
      <c r="K21">
        <v>1.109431854761579E-7</v>
      </c>
      <c r="L21">
        <v>1.426456146246015E-6</v>
      </c>
      <c r="M21">
        <v>1.426456146246015E-6</v>
      </c>
      <c r="N21">
        <v>1.426456146246015E-6</v>
      </c>
      <c r="O21">
        <v>1.426456146246015E-6</v>
      </c>
      <c r="P21">
        <v>1.426456146246015E-6</v>
      </c>
      <c r="Q21">
        <v>5.6452355453771764E-7</v>
      </c>
      <c r="R21">
        <v>1.6502003376256769E-5</v>
      </c>
      <c r="S21">
        <v>1.724497475951384E-6</v>
      </c>
      <c r="T21">
        <v>2.3402910257181109E-6</v>
      </c>
      <c r="U21">
        <v>1.109431854761579E-7</v>
      </c>
    </row>
    <row r="22" spans="1:21" x14ac:dyDescent="0.25">
      <c r="A22" s="5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1.302708971565273E-6</v>
      </c>
      <c r="H22">
        <v>1.59075598383315E-6</v>
      </c>
      <c r="I22">
        <v>2.0698741750140361E-6</v>
      </c>
      <c r="J22">
        <v>1.01323365689535E-4</v>
      </c>
      <c r="K22">
        <v>5.7087299797344075E-7</v>
      </c>
      <c r="L22">
        <v>0</v>
      </c>
      <c r="M22">
        <v>0</v>
      </c>
      <c r="N22">
        <v>0</v>
      </c>
      <c r="O22">
        <v>0</v>
      </c>
      <c r="P22">
        <v>0</v>
      </c>
      <c r="Q22">
        <v>1.302708971565273E-6</v>
      </c>
      <c r="R22">
        <v>1.59075598383315E-6</v>
      </c>
      <c r="S22">
        <v>2.0698741750140361E-6</v>
      </c>
      <c r="T22">
        <v>1.01323365689535E-4</v>
      </c>
      <c r="U22">
        <v>5.7087299797344075E-7</v>
      </c>
    </row>
    <row r="23" spans="1:21" x14ac:dyDescent="0.25">
      <c r="A23" s="5" t="s">
        <v>70</v>
      </c>
      <c r="B23">
        <v>3.9309075427346603E-4</v>
      </c>
      <c r="C23">
        <v>3.9309075427346603E-4</v>
      </c>
      <c r="D23">
        <v>3.9309075427346603E-4</v>
      </c>
      <c r="E23">
        <v>3.9309075427346603E-4</v>
      </c>
      <c r="F23">
        <v>3.9309075427346603E-4</v>
      </c>
      <c r="G23">
        <v>1.8257660882489361E-3</v>
      </c>
      <c r="H23">
        <v>7.1091636441839639E-3</v>
      </c>
      <c r="I23">
        <v>6.0961263905950783E-3</v>
      </c>
      <c r="J23">
        <v>7.8885442697699626E-4</v>
      </c>
      <c r="K23">
        <v>1.8669116611630899E-3</v>
      </c>
      <c r="L23">
        <v>3.9309075427346603E-4</v>
      </c>
      <c r="M23">
        <v>3.9309075427346603E-4</v>
      </c>
      <c r="N23">
        <v>3.9309075427346603E-4</v>
      </c>
      <c r="O23">
        <v>3.9309075427346603E-4</v>
      </c>
      <c r="P23">
        <v>3.9309075427346603E-4</v>
      </c>
      <c r="Q23">
        <v>1.8257660882489361E-3</v>
      </c>
      <c r="R23">
        <v>7.1091636441839639E-3</v>
      </c>
      <c r="S23">
        <v>6.0961263905950783E-3</v>
      </c>
      <c r="T23">
        <v>7.8885442697699626E-4</v>
      </c>
      <c r="U23">
        <v>1.8669116611630899E-3</v>
      </c>
    </row>
    <row r="24" spans="1:21" x14ac:dyDescent="0.25">
      <c r="A24" s="5" t="s">
        <v>88</v>
      </c>
      <c r="B24">
        <v>1.449845741389146E-5</v>
      </c>
      <c r="C24">
        <v>1.449845741389146E-5</v>
      </c>
      <c r="D24">
        <v>1.449845741389146E-5</v>
      </c>
      <c r="E24">
        <v>1.449845741389146E-5</v>
      </c>
      <c r="F24">
        <v>1.449845741389146E-5</v>
      </c>
      <c r="G24">
        <v>2.4851156826371791E-5</v>
      </c>
      <c r="H24">
        <v>1.482036393241885E-4</v>
      </c>
      <c r="I24">
        <v>3.3088488532366273E-5</v>
      </c>
      <c r="J24">
        <v>1.6732650138550331E-5</v>
      </c>
      <c r="K24">
        <v>7.5548986561458401E-6</v>
      </c>
      <c r="L24">
        <v>1.449845741389146E-5</v>
      </c>
      <c r="M24">
        <v>1.449845741389146E-5</v>
      </c>
      <c r="N24">
        <v>1.449845741389146E-5</v>
      </c>
      <c r="O24">
        <v>1.449845741389146E-5</v>
      </c>
      <c r="P24">
        <v>1.449845741389146E-5</v>
      </c>
      <c r="Q24">
        <v>2.4851156826371791E-5</v>
      </c>
      <c r="R24">
        <v>1.482036393241885E-4</v>
      </c>
      <c r="S24">
        <v>3.3088488532366273E-5</v>
      </c>
      <c r="T24">
        <v>1.6732650138550331E-5</v>
      </c>
      <c r="U24">
        <v>7.5548986561458401E-6</v>
      </c>
    </row>
    <row r="25" spans="1:21" x14ac:dyDescent="0.25">
      <c r="A25" s="5" t="s">
        <v>75</v>
      </c>
      <c r="B25">
        <v>1.6632362172000869E-4</v>
      </c>
      <c r="C25">
        <v>1.6632362172000869E-4</v>
      </c>
      <c r="D25">
        <v>1.6632362172000869E-4</v>
      </c>
      <c r="E25">
        <v>1.6632362172000869E-4</v>
      </c>
      <c r="F25">
        <v>1.6632362172000869E-4</v>
      </c>
      <c r="G25">
        <v>5.4381668304128903E-4</v>
      </c>
      <c r="H25">
        <v>1.6549850833759061E-3</v>
      </c>
      <c r="I25">
        <v>5.7464742686981853E-4</v>
      </c>
      <c r="J25">
        <v>2.4688417952897313E-4</v>
      </c>
      <c r="K25">
        <v>2.7885327892802008E-4</v>
      </c>
      <c r="L25">
        <v>1.6632362172000869E-4</v>
      </c>
      <c r="M25">
        <v>1.6632362172000869E-4</v>
      </c>
      <c r="N25">
        <v>1.6632362172000869E-4</v>
      </c>
      <c r="O25">
        <v>1.6632362172000869E-4</v>
      </c>
      <c r="P25">
        <v>1.6632362172000869E-4</v>
      </c>
      <c r="Q25">
        <v>5.4381668304128903E-4</v>
      </c>
      <c r="R25">
        <v>1.6549850833759061E-3</v>
      </c>
      <c r="S25">
        <v>5.7464742686981853E-4</v>
      </c>
      <c r="T25">
        <v>2.4688417952897313E-4</v>
      </c>
      <c r="U25">
        <v>2.7885327892802008E-4</v>
      </c>
    </row>
    <row r="26" spans="1:21" x14ac:dyDescent="0.25">
      <c r="A26" s="5" t="s">
        <v>81</v>
      </c>
      <c r="B26">
        <v>2.7875266592648141E-5</v>
      </c>
      <c r="C26">
        <v>2.7875266592648141E-5</v>
      </c>
      <c r="D26">
        <v>2.7875266592648141E-5</v>
      </c>
      <c r="E26">
        <v>2.7875266592648141E-5</v>
      </c>
      <c r="F26">
        <v>2.7875266592648141E-5</v>
      </c>
      <c r="G26">
        <v>2.6662485567591042E-4</v>
      </c>
      <c r="H26">
        <v>1.884182466225602E-3</v>
      </c>
      <c r="I26">
        <v>3.5118652300921501E-4</v>
      </c>
      <c r="J26">
        <v>8.9518520234938806E-5</v>
      </c>
      <c r="K26">
        <v>1.619064055142746E-4</v>
      </c>
      <c r="L26">
        <v>2.7875266592648141E-5</v>
      </c>
      <c r="M26">
        <v>2.7875266592648141E-5</v>
      </c>
      <c r="N26">
        <v>2.7875266592648141E-5</v>
      </c>
      <c r="O26">
        <v>2.7875266592648141E-5</v>
      </c>
      <c r="P26">
        <v>2.7875266592648141E-5</v>
      </c>
      <c r="Q26">
        <v>2.6662485567591042E-4</v>
      </c>
      <c r="R26">
        <v>1.884182466225602E-3</v>
      </c>
      <c r="S26">
        <v>3.5118652300921501E-4</v>
      </c>
      <c r="T26">
        <v>8.9518520234938806E-5</v>
      </c>
      <c r="U26">
        <v>1.619064055142746E-4</v>
      </c>
    </row>
    <row r="27" spans="1:21" x14ac:dyDescent="0.25">
      <c r="A27" s="5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7.7675461556072032E-9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7.7675461556072032E-9</v>
      </c>
      <c r="S27">
        <v>0</v>
      </c>
      <c r="T27">
        <v>0</v>
      </c>
      <c r="U27">
        <v>0</v>
      </c>
    </row>
    <row r="28" spans="1:21" x14ac:dyDescent="0.25">
      <c r="A28" s="5" t="s">
        <v>84</v>
      </c>
      <c r="B28">
        <v>2.2499147030597129E-5</v>
      </c>
      <c r="C28">
        <v>2.2499147030597129E-5</v>
      </c>
      <c r="D28">
        <v>2.2499147030597129E-5</v>
      </c>
      <c r="E28">
        <v>2.2499147030597129E-5</v>
      </c>
      <c r="F28">
        <v>2.2499147030597129E-5</v>
      </c>
      <c r="G28">
        <v>1.075976388524507E-4</v>
      </c>
      <c r="H28">
        <v>5.3798383249171033E-3</v>
      </c>
      <c r="I28">
        <v>1.021567900119844E-5</v>
      </c>
      <c r="J28">
        <v>3.1609406798209412E-5</v>
      </c>
      <c r="K28">
        <v>1.5032083975794999E-5</v>
      </c>
      <c r="L28">
        <v>2.2499147030597129E-5</v>
      </c>
      <c r="M28">
        <v>2.2499147030597129E-5</v>
      </c>
      <c r="N28">
        <v>2.2499147030597129E-5</v>
      </c>
      <c r="O28">
        <v>2.2499147030597129E-5</v>
      </c>
      <c r="P28">
        <v>2.2499147030597129E-5</v>
      </c>
      <c r="Q28">
        <v>1.075976388524507E-4</v>
      </c>
      <c r="R28">
        <v>5.3798383249171033E-3</v>
      </c>
      <c r="S28">
        <v>1.021567900119844E-5</v>
      </c>
      <c r="T28">
        <v>3.1609406798209412E-5</v>
      </c>
      <c r="U28">
        <v>1.5032083975794999E-5</v>
      </c>
    </row>
    <row r="29" spans="1:21" x14ac:dyDescent="0.25">
      <c r="A29" s="5" t="s">
        <v>102</v>
      </c>
      <c r="B29">
        <v>1.064103213768164E-6</v>
      </c>
      <c r="C29">
        <v>1.064103213768164E-6</v>
      </c>
      <c r="D29">
        <v>1.064103213768164E-6</v>
      </c>
      <c r="E29">
        <v>1.064103213768164E-6</v>
      </c>
      <c r="F29">
        <v>1.064103213768164E-6</v>
      </c>
      <c r="G29">
        <v>6.7790646871000016E-5</v>
      </c>
      <c r="H29">
        <v>3.026807496448443E-4</v>
      </c>
      <c r="I29">
        <v>8.8252792200137976E-5</v>
      </c>
      <c r="J29">
        <v>1.084036887736739E-5</v>
      </c>
      <c r="K29">
        <v>2.9395663169437129E-5</v>
      </c>
      <c r="L29">
        <v>1.064103213768164E-6</v>
      </c>
      <c r="M29">
        <v>1.064103213768164E-6</v>
      </c>
      <c r="N29">
        <v>1.064103213768164E-6</v>
      </c>
      <c r="O29">
        <v>1.064103213768164E-6</v>
      </c>
      <c r="P29">
        <v>1.064103213768164E-6</v>
      </c>
      <c r="Q29">
        <v>6.7790646871000016E-5</v>
      </c>
      <c r="R29">
        <v>3.026807496448443E-4</v>
      </c>
      <c r="S29">
        <v>8.8252792200137976E-5</v>
      </c>
      <c r="T29">
        <v>1.084036887736739E-5</v>
      </c>
      <c r="U29">
        <v>2.9395663169437129E-5</v>
      </c>
    </row>
    <row r="30" spans="1:21" x14ac:dyDescent="0.25">
      <c r="A30" s="5" t="s">
        <v>95</v>
      </c>
      <c r="B30">
        <v>4.3024738524284381E-6</v>
      </c>
      <c r="C30">
        <v>4.3024738524284381E-6</v>
      </c>
      <c r="D30">
        <v>4.3024738524284381E-6</v>
      </c>
      <c r="E30">
        <v>4.3024738524284381E-6</v>
      </c>
      <c r="F30">
        <v>4.3024738524284381E-6</v>
      </c>
      <c r="G30">
        <v>3.788907023330084E-5</v>
      </c>
      <c r="H30">
        <v>4.6800255584265807E-5</v>
      </c>
      <c r="I30">
        <v>1.4142420337459499E-4</v>
      </c>
      <c r="J30">
        <v>3.1260425146073283E-5</v>
      </c>
      <c r="K30">
        <v>3.0882773718571417E-5</v>
      </c>
      <c r="L30">
        <v>4.3024738524284381E-6</v>
      </c>
      <c r="M30">
        <v>4.3024738524284381E-6</v>
      </c>
      <c r="N30">
        <v>4.3024738524284381E-6</v>
      </c>
      <c r="O30">
        <v>4.3024738524284381E-6</v>
      </c>
      <c r="P30">
        <v>4.3024738524284381E-6</v>
      </c>
      <c r="Q30">
        <v>3.788907023330084E-5</v>
      </c>
      <c r="R30">
        <v>4.6800255584265807E-5</v>
      </c>
      <c r="S30">
        <v>1.4142420337459499E-4</v>
      </c>
      <c r="T30">
        <v>3.1260425146073283E-5</v>
      </c>
      <c r="U30">
        <v>3.0882773718571417E-5</v>
      </c>
    </row>
    <row r="31" spans="1:21" x14ac:dyDescent="0.25">
      <c r="A31" s="5" t="s">
        <v>103</v>
      </c>
      <c r="B31">
        <v>7.3012475744572041E-7</v>
      </c>
      <c r="C31">
        <v>7.3012475744572041E-7</v>
      </c>
      <c r="D31">
        <v>7.3012475744572041E-7</v>
      </c>
      <c r="E31">
        <v>7.3012475744572041E-7</v>
      </c>
      <c r="F31">
        <v>7.3012475744572041E-7</v>
      </c>
      <c r="G31">
        <v>6.0150148469538191E-6</v>
      </c>
      <c r="H31">
        <v>4.8379918106291779E-4</v>
      </c>
      <c r="I31">
        <v>1.2441272086418899E-4</v>
      </c>
      <c r="J31">
        <v>1.247000222219478E-5</v>
      </c>
      <c r="K31">
        <v>8.4650540175336113E-6</v>
      </c>
      <c r="L31">
        <v>7.3012475744572041E-7</v>
      </c>
      <c r="M31">
        <v>7.3012475744572041E-7</v>
      </c>
      <c r="N31">
        <v>7.3012475744572041E-7</v>
      </c>
      <c r="O31">
        <v>7.3012475744572041E-7</v>
      </c>
      <c r="P31">
        <v>7.3012475744572041E-7</v>
      </c>
      <c r="Q31">
        <v>6.0150148469538191E-6</v>
      </c>
      <c r="R31">
        <v>4.8379918106291779E-4</v>
      </c>
      <c r="S31">
        <v>1.2441272086418899E-4</v>
      </c>
      <c r="T31">
        <v>1.247000222219478E-5</v>
      </c>
      <c r="U31">
        <v>8.4650540175336113E-6</v>
      </c>
    </row>
    <row r="32" spans="1:21" x14ac:dyDescent="0.25">
      <c r="A32" s="5" t="s">
        <v>98</v>
      </c>
      <c r="B32">
        <v>1.7943423371082439E-6</v>
      </c>
      <c r="C32">
        <v>1.7943423371082439E-6</v>
      </c>
      <c r="D32">
        <v>1.7943423371082439E-6</v>
      </c>
      <c r="E32">
        <v>1.7943423371082439E-6</v>
      </c>
      <c r="F32">
        <v>1.7943423371082439E-6</v>
      </c>
      <c r="G32">
        <v>5.4085402378073049E-5</v>
      </c>
      <c r="H32">
        <v>2.5023927879745791E-4</v>
      </c>
      <c r="I32">
        <v>7.1967140662782214E-5</v>
      </c>
      <c r="J32">
        <v>1.9433591018684041E-5</v>
      </c>
      <c r="K32">
        <v>2.2750302282545119E-5</v>
      </c>
      <c r="L32">
        <v>1.7943423371082439E-6</v>
      </c>
      <c r="M32">
        <v>1.7943423371082439E-6</v>
      </c>
      <c r="N32">
        <v>1.7943423371082439E-6</v>
      </c>
      <c r="O32">
        <v>1.7943423371082439E-6</v>
      </c>
      <c r="P32">
        <v>1.7943423371082439E-6</v>
      </c>
      <c r="Q32">
        <v>5.4085402378073049E-5</v>
      </c>
      <c r="R32">
        <v>2.5023927879745791E-4</v>
      </c>
      <c r="S32">
        <v>7.1967140662782214E-5</v>
      </c>
      <c r="T32">
        <v>1.9433591018684041E-5</v>
      </c>
      <c r="U32">
        <v>2.2750302282545119E-5</v>
      </c>
    </row>
    <row r="33" spans="1:21" x14ac:dyDescent="0.25">
      <c r="A33" s="5" t="s">
        <v>99</v>
      </c>
      <c r="B33">
        <v>2.9273030571660031E-6</v>
      </c>
      <c r="C33">
        <v>2.9273030571660031E-6</v>
      </c>
      <c r="D33">
        <v>2.9273030571660031E-6</v>
      </c>
      <c r="E33">
        <v>2.9273030571660031E-6</v>
      </c>
      <c r="F33">
        <v>2.9273030571660031E-6</v>
      </c>
      <c r="G33">
        <v>2.5655723113557488E-6</v>
      </c>
      <c r="H33">
        <v>2.282676817709885E-5</v>
      </c>
      <c r="I33">
        <v>2.7384544247531139E-6</v>
      </c>
      <c r="J33">
        <v>2.0059012819504739E-6</v>
      </c>
      <c r="K33">
        <v>1.5147835963352919E-6</v>
      </c>
      <c r="L33">
        <v>2.9273030571660031E-6</v>
      </c>
      <c r="M33">
        <v>2.9273030571660031E-6</v>
      </c>
      <c r="N33">
        <v>2.9273030571660031E-6</v>
      </c>
      <c r="O33">
        <v>2.9273030571660031E-6</v>
      </c>
      <c r="P33">
        <v>2.9273030571660031E-6</v>
      </c>
      <c r="Q33">
        <v>2.565572311355748E-6</v>
      </c>
      <c r="R33">
        <v>2.282676817709885E-5</v>
      </c>
      <c r="S33">
        <v>2.7384544247531139E-6</v>
      </c>
      <c r="T33">
        <v>2.0059012819504739E-6</v>
      </c>
      <c r="U33">
        <v>1.5147835963352919E-6</v>
      </c>
    </row>
    <row r="34" spans="1:21" x14ac:dyDescent="0.25">
      <c r="A34" s="5" t="s">
        <v>78</v>
      </c>
      <c r="B34">
        <v>1.620232309979013E-4</v>
      </c>
      <c r="C34">
        <v>1.620232309979013E-4</v>
      </c>
      <c r="D34">
        <v>1.620232309979013E-4</v>
      </c>
      <c r="E34">
        <v>1.620232309979013E-4</v>
      </c>
      <c r="F34">
        <v>1.620232309979013E-4</v>
      </c>
      <c r="G34">
        <v>8.3293969372901617E-4</v>
      </c>
      <c r="H34">
        <v>2.7084932275463409E-3</v>
      </c>
      <c r="I34">
        <v>7.7423737052704762E-4</v>
      </c>
      <c r="J34">
        <v>2.5467767790636567E-4</v>
      </c>
      <c r="K34">
        <v>3.5207246709419978E-4</v>
      </c>
      <c r="L34">
        <v>1.620232309979013E-4</v>
      </c>
      <c r="M34">
        <v>1.620232309979013E-4</v>
      </c>
      <c r="N34">
        <v>1.620232309979013E-4</v>
      </c>
      <c r="O34">
        <v>1.620232309979013E-4</v>
      </c>
      <c r="P34">
        <v>1.620232309979013E-4</v>
      </c>
      <c r="Q34">
        <v>8.3293969372901617E-4</v>
      </c>
      <c r="R34">
        <v>2.7084932275463409E-3</v>
      </c>
      <c r="S34">
        <v>7.7423737052704762E-4</v>
      </c>
      <c r="T34">
        <v>2.5467767790636567E-4</v>
      </c>
      <c r="U34">
        <v>3.5207246709419978E-4</v>
      </c>
    </row>
    <row r="35" spans="1:21" x14ac:dyDescent="0.25">
      <c r="A35" s="5" t="s">
        <v>87</v>
      </c>
      <c r="B35">
        <v>2.6317376617253191E-5</v>
      </c>
      <c r="C35">
        <v>2.6317376617253191E-5</v>
      </c>
      <c r="D35">
        <v>2.6317376617253191E-5</v>
      </c>
      <c r="E35">
        <v>2.6317376617253191E-5</v>
      </c>
      <c r="F35">
        <v>2.6317376617253191E-5</v>
      </c>
      <c r="G35">
        <v>2.4667296819454211E-3</v>
      </c>
      <c r="H35">
        <v>3.483192380894722E-3</v>
      </c>
      <c r="I35">
        <v>2.4405401639908302E-3</v>
      </c>
      <c r="J35">
        <v>5.6468980772038629E-4</v>
      </c>
      <c r="K35">
        <v>1.114945251373192E-3</v>
      </c>
      <c r="L35">
        <v>2.6317376617253191E-5</v>
      </c>
      <c r="M35">
        <v>2.6317376617253191E-5</v>
      </c>
      <c r="N35">
        <v>2.6317376617253191E-5</v>
      </c>
      <c r="O35">
        <v>2.6317376617253191E-5</v>
      </c>
      <c r="P35">
        <v>2.6317376617253191E-5</v>
      </c>
      <c r="Q35">
        <v>2.4667296819454211E-3</v>
      </c>
      <c r="R35">
        <v>3.483192380894722E-3</v>
      </c>
      <c r="S35">
        <v>2.4405401639908302E-3</v>
      </c>
      <c r="T35">
        <v>5.6468980772038629E-4</v>
      </c>
      <c r="U35">
        <v>1.114945251373192E-3</v>
      </c>
    </row>
    <row r="36" spans="1:21" x14ac:dyDescent="0.25">
      <c r="A36" s="5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1.884980617804144E-8</v>
      </c>
      <c r="H36">
        <v>1.383407146126033E-6</v>
      </c>
      <c r="I36">
        <v>4.1546997628020349E-7</v>
      </c>
      <c r="J36">
        <v>2.2968152533881422E-6</v>
      </c>
      <c r="K36">
        <v>1.4339088131160981E-8</v>
      </c>
      <c r="L36">
        <v>0</v>
      </c>
      <c r="M36">
        <v>0</v>
      </c>
      <c r="N36">
        <v>0</v>
      </c>
      <c r="O36">
        <v>0</v>
      </c>
      <c r="P36">
        <v>0</v>
      </c>
      <c r="Q36">
        <v>1.884980617804144E-8</v>
      </c>
      <c r="R36">
        <v>1.383407146126033E-6</v>
      </c>
      <c r="S36">
        <v>4.1546997628020349E-7</v>
      </c>
      <c r="T36">
        <v>2.2968152533881422E-6</v>
      </c>
      <c r="U36">
        <v>1.4339088131160981E-8</v>
      </c>
    </row>
    <row r="37" spans="1:21" x14ac:dyDescent="0.25">
      <c r="A37" s="5" t="s">
        <v>74</v>
      </c>
      <c r="B37">
        <v>9.9161925174733463E-5</v>
      </c>
      <c r="C37">
        <v>9.9161925174733463E-5</v>
      </c>
      <c r="D37">
        <v>9.9161925174733463E-5</v>
      </c>
      <c r="E37">
        <v>9.9161925174733463E-5</v>
      </c>
      <c r="F37">
        <v>9.9161925174733463E-5</v>
      </c>
      <c r="G37">
        <v>4.4927099655175218E-4</v>
      </c>
      <c r="H37">
        <v>1.3855260701298091E-3</v>
      </c>
      <c r="I37">
        <v>3.2710157753675052E-4</v>
      </c>
      <c r="J37">
        <v>1.2506992004480619E-4</v>
      </c>
      <c r="K37">
        <v>2.6167481579889013E-4</v>
      </c>
      <c r="L37">
        <v>9.9161925174733463E-5</v>
      </c>
      <c r="M37">
        <v>9.9161925174733463E-5</v>
      </c>
      <c r="N37">
        <v>9.9161925174733463E-5</v>
      </c>
      <c r="O37">
        <v>9.9161925174733463E-5</v>
      </c>
      <c r="P37">
        <v>9.9161925174733463E-5</v>
      </c>
      <c r="Q37">
        <v>4.4927099655175208E-4</v>
      </c>
      <c r="R37">
        <v>1.3855260701298091E-3</v>
      </c>
      <c r="S37">
        <v>3.2710157753675052E-4</v>
      </c>
      <c r="T37">
        <v>1.2506992004480619E-4</v>
      </c>
      <c r="U37">
        <v>2.6167481579889013E-4</v>
      </c>
    </row>
    <row r="38" spans="1:21" x14ac:dyDescent="0.25">
      <c r="A38" s="5" t="s">
        <v>44</v>
      </c>
      <c r="B38">
        <v>7.2089217265623321E-3</v>
      </c>
      <c r="C38">
        <v>7.2089217265623321E-3</v>
      </c>
      <c r="D38">
        <v>7.2089217265623321E-3</v>
      </c>
      <c r="E38">
        <v>7.2089217265623321E-3</v>
      </c>
      <c r="F38">
        <v>7.2089217265623321E-3</v>
      </c>
      <c r="G38">
        <v>3.4536855079151108E-2</v>
      </c>
      <c r="H38">
        <v>2.876272519816165E-2</v>
      </c>
      <c r="I38">
        <v>2.3124592352583469E-2</v>
      </c>
      <c r="J38">
        <v>2.4152157000126299E-2</v>
      </c>
      <c r="K38">
        <v>7.3324896861047387E-2</v>
      </c>
      <c r="L38">
        <v>7.2089217265623321E-3</v>
      </c>
      <c r="M38">
        <v>7.2089217265623321E-3</v>
      </c>
      <c r="N38">
        <v>7.2089217265623321E-3</v>
      </c>
      <c r="O38">
        <v>7.2089217265623321E-3</v>
      </c>
      <c r="P38">
        <v>7.2089217265623321E-3</v>
      </c>
      <c r="Q38">
        <v>3.6831991913707528E-2</v>
      </c>
      <c r="R38">
        <v>7.3574643678387161E-2</v>
      </c>
      <c r="S38">
        <v>2.502859054527647E-2</v>
      </c>
      <c r="T38">
        <v>2.6871917592758171E-2</v>
      </c>
      <c r="U38">
        <v>7.4369805203421166E-2</v>
      </c>
    </row>
    <row r="39" spans="1:21" x14ac:dyDescent="0.25">
      <c r="A39" s="5" t="s">
        <v>77</v>
      </c>
      <c r="B39">
        <v>1.2586003091549211E-4</v>
      </c>
      <c r="C39">
        <v>1.2586003091549211E-4</v>
      </c>
      <c r="D39">
        <v>1.2586003091549211E-4</v>
      </c>
      <c r="E39">
        <v>1.2586003091549211E-4</v>
      </c>
      <c r="F39">
        <v>1.2586003091549211E-4</v>
      </c>
      <c r="G39">
        <v>4.174502216324023E-4</v>
      </c>
      <c r="H39">
        <v>1.96544315495468E-3</v>
      </c>
      <c r="I39">
        <v>4.9779674238736957E-4</v>
      </c>
      <c r="J39">
        <v>9.3127378647499536E-5</v>
      </c>
      <c r="K39">
        <v>1.8456364322847981E-4</v>
      </c>
      <c r="L39">
        <v>1.2586003091549211E-4</v>
      </c>
      <c r="M39">
        <v>1.2586003091549211E-4</v>
      </c>
      <c r="N39">
        <v>1.2586003091549211E-4</v>
      </c>
      <c r="O39">
        <v>1.2586003091549211E-4</v>
      </c>
      <c r="P39">
        <v>1.2586003091549211E-4</v>
      </c>
      <c r="Q39">
        <v>4.174502216324023E-4</v>
      </c>
      <c r="R39">
        <v>1.96544315495468E-3</v>
      </c>
      <c r="S39">
        <v>4.9779674238736957E-4</v>
      </c>
      <c r="T39">
        <v>9.3127378647499536E-5</v>
      </c>
      <c r="U39">
        <v>1.8456364322847981E-4</v>
      </c>
    </row>
    <row r="40" spans="1:21" x14ac:dyDescent="0.25">
      <c r="A40" s="5" t="s">
        <v>37</v>
      </c>
      <c r="B40">
        <v>1.446294216010315E-3</v>
      </c>
      <c r="C40">
        <v>1.446294216010315E-3</v>
      </c>
      <c r="D40">
        <v>1.446294216010315E-3</v>
      </c>
      <c r="E40">
        <v>1.446294216010315E-3</v>
      </c>
      <c r="F40">
        <v>1.446294216010315E-3</v>
      </c>
      <c r="G40">
        <v>1.5499458204440699E-3</v>
      </c>
      <c r="H40">
        <v>1.563512750654609E-3</v>
      </c>
      <c r="I40">
        <v>1.4028084291201801E-3</v>
      </c>
      <c r="J40">
        <v>2.1772140575770649E-3</v>
      </c>
      <c r="K40">
        <v>1.2849511349567731E-3</v>
      </c>
      <c r="L40">
        <v>1.2866807465067281E-2</v>
      </c>
      <c r="M40">
        <v>1.2866807465067281E-2</v>
      </c>
      <c r="N40">
        <v>1.2866807465067281E-2</v>
      </c>
      <c r="O40">
        <v>1.2866807465067281E-2</v>
      </c>
      <c r="P40">
        <v>1.2866807465067281E-2</v>
      </c>
      <c r="Q40">
        <v>9.8921938384165797E-3</v>
      </c>
      <c r="R40">
        <v>2.750139260532555E-2</v>
      </c>
      <c r="S40">
        <v>7.5564597233656067E-3</v>
      </c>
      <c r="T40">
        <v>3.0309846288346571E-3</v>
      </c>
      <c r="U40">
        <v>4.051706827196834E-3</v>
      </c>
    </row>
    <row r="41" spans="1:21" x14ac:dyDescent="0.25">
      <c r="A41" s="5" t="s">
        <v>82</v>
      </c>
      <c r="B41">
        <v>3.5680965795711143E-5</v>
      </c>
      <c r="C41">
        <v>3.5680965795711143E-5</v>
      </c>
      <c r="D41">
        <v>3.5680965795711143E-5</v>
      </c>
      <c r="E41">
        <v>3.5680965795711143E-5</v>
      </c>
      <c r="F41">
        <v>3.5680965795711143E-5</v>
      </c>
      <c r="G41">
        <v>5.802187580268449E-5</v>
      </c>
      <c r="H41">
        <v>5.4361652393830551E-5</v>
      </c>
      <c r="I41">
        <v>6.023204073947332E-5</v>
      </c>
      <c r="J41">
        <v>1.289135370827677E-5</v>
      </c>
      <c r="K41">
        <v>3.032171327769841E-5</v>
      </c>
      <c r="L41">
        <v>3.5680965795711143E-5</v>
      </c>
      <c r="M41">
        <v>3.5680965795711143E-5</v>
      </c>
      <c r="N41">
        <v>3.5680965795711143E-5</v>
      </c>
      <c r="O41">
        <v>3.5680965795711143E-5</v>
      </c>
      <c r="P41">
        <v>3.5680965795711143E-5</v>
      </c>
      <c r="Q41">
        <v>5.802187580268449E-5</v>
      </c>
      <c r="R41">
        <v>5.4361652393830551E-5</v>
      </c>
      <c r="S41">
        <v>6.023204073947332E-5</v>
      </c>
      <c r="T41">
        <v>1.289135370827677E-5</v>
      </c>
      <c r="U41">
        <v>3.032171327769841E-5</v>
      </c>
    </row>
    <row r="42" spans="1:21" x14ac:dyDescent="0.25">
      <c r="A42" s="5" t="s">
        <v>129</v>
      </c>
      <c r="B42">
        <v>0</v>
      </c>
      <c r="C42">
        <v>0</v>
      </c>
      <c r="D42">
        <v>0</v>
      </c>
      <c r="E42">
        <v>0</v>
      </c>
      <c r="F42">
        <v>0</v>
      </c>
      <c r="G42">
        <v>8.1846712392285437E-5</v>
      </c>
      <c r="H42">
        <v>5.3177132135189685E-7</v>
      </c>
      <c r="I42">
        <v>1.6722228203037799E-4</v>
      </c>
      <c r="J42">
        <v>2.9806923880525711E-8</v>
      </c>
      <c r="K42">
        <v>2.0066373773409239E-4</v>
      </c>
      <c r="L42">
        <v>0</v>
      </c>
      <c r="M42">
        <v>0</v>
      </c>
      <c r="N42">
        <v>0</v>
      </c>
      <c r="O42">
        <v>0</v>
      </c>
      <c r="P42">
        <v>0</v>
      </c>
      <c r="Q42">
        <v>8.1846712392285437E-5</v>
      </c>
      <c r="R42">
        <v>5.3177132135189685E-7</v>
      </c>
      <c r="S42">
        <v>1.6722228203037799E-4</v>
      </c>
      <c r="T42">
        <v>2.9806923880525711E-8</v>
      </c>
      <c r="U42">
        <v>2.0066373773409239E-4</v>
      </c>
    </row>
    <row r="43" spans="1:21" x14ac:dyDescent="0.25">
      <c r="A43" s="5" t="s">
        <v>130</v>
      </c>
      <c r="B43">
        <v>0</v>
      </c>
      <c r="C43">
        <v>0</v>
      </c>
      <c r="D43">
        <v>0</v>
      </c>
      <c r="E43">
        <v>0</v>
      </c>
      <c r="F43">
        <v>0</v>
      </c>
      <c r="G43">
        <v>4.204422949378223E-8</v>
      </c>
      <c r="H43">
        <v>2.9449985039311881E-6</v>
      </c>
      <c r="I43">
        <v>1.5561896397331931E-5</v>
      </c>
      <c r="J43">
        <v>4.3105208182465581E-6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4.204422949378223E-8</v>
      </c>
      <c r="R43">
        <v>2.9449985039311881E-6</v>
      </c>
      <c r="S43">
        <v>1.5561896397331931E-5</v>
      </c>
      <c r="T43">
        <v>4.3105208182465581E-6</v>
      </c>
      <c r="U43">
        <v>0</v>
      </c>
    </row>
    <row r="44" spans="1:21" x14ac:dyDescent="0.25">
      <c r="A44" s="5" t="s">
        <v>131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2.456054690705682E-6</v>
      </c>
      <c r="I44">
        <v>4.257715260039574E-8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2.456054690705682E-6</v>
      </c>
      <c r="S44">
        <v>4.257715260039574E-8</v>
      </c>
      <c r="T44">
        <v>0</v>
      </c>
      <c r="U44">
        <v>0</v>
      </c>
    </row>
    <row r="45" spans="1:21" x14ac:dyDescent="0.25">
      <c r="A45" s="5" t="s">
        <v>80</v>
      </c>
      <c r="B45">
        <v>3.9384607826938332E-5</v>
      </c>
      <c r="C45">
        <v>3.9384607826938332E-5</v>
      </c>
      <c r="D45">
        <v>3.9384607826938332E-5</v>
      </c>
      <c r="E45">
        <v>3.9384607826938332E-5</v>
      </c>
      <c r="F45">
        <v>3.9384607826938332E-5</v>
      </c>
      <c r="G45">
        <v>1.105500215940216E-4</v>
      </c>
      <c r="H45">
        <v>3.4133977189978071E-4</v>
      </c>
      <c r="I45">
        <v>1.330763463919047E-4</v>
      </c>
      <c r="J45">
        <v>3.8484948885741532E-5</v>
      </c>
      <c r="K45">
        <v>6.1727154955252975E-5</v>
      </c>
      <c r="L45">
        <v>3.9384607826938332E-5</v>
      </c>
      <c r="M45">
        <v>3.9384607826938332E-5</v>
      </c>
      <c r="N45">
        <v>3.9384607826938332E-5</v>
      </c>
      <c r="O45">
        <v>3.9384607826938332E-5</v>
      </c>
      <c r="P45">
        <v>3.9384607826938332E-5</v>
      </c>
      <c r="Q45">
        <v>1.105500215940216E-4</v>
      </c>
      <c r="R45">
        <v>3.4133977189978071E-4</v>
      </c>
      <c r="S45">
        <v>1.330763463919047E-4</v>
      </c>
      <c r="T45">
        <v>3.8484948885741532E-5</v>
      </c>
      <c r="U45">
        <v>6.1727154955252975E-5</v>
      </c>
    </row>
    <row r="46" spans="1:21" x14ac:dyDescent="0.25">
      <c r="A46" s="5" t="s">
        <v>79</v>
      </c>
      <c r="B46">
        <v>7.3382464626979546E-5</v>
      </c>
      <c r="C46">
        <v>7.3382464626979546E-5</v>
      </c>
      <c r="D46">
        <v>7.3382464626979546E-5</v>
      </c>
      <c r="E46">
        <v>7.3382464626979546E-5</v>
      </c>
      <c r="F46">
        <v>7.3382464626979546E-5</v>
      </c>
      <c r="G46">
        <v>2.167361586022285E-3</v>
      </c>
      <c r="H46">
        <v>4.9839692769501956E-4</v>
      </c>
      <c r="I46">
        <v>4.0312696700533553E-3</v>
      </c>
      <c r="J46">
        <v>9.6502814889673006E-4</v>
      </c>
      <c r="K46">
        <v>4.4521477683293689E-3</v>
      </c>
      <c r="L46">
        <v>7.3382464626979546E-5</v>
      </c>
      <c r="M46">
        <v>7.3382464626979546E-5</v>
      </c>
      <c r="N46">
        <v>7.3382464626979546E-5</v>
      </c>
      <c r="O46">
        <v>7.3382464626979546E-5</v>
      </c>
      <c r="P46">
        <v>7.3382464626979546E-5</v>
      </c>
      <c r="Q46">
        <v>2.167361586022285E-3</v>
      </c>
      <c r="R46">
        <v>4.9839692769501956E-4</v>
      </c>
      <c r="S46">
        <v>4.0312696700533553E-3</v>
      </c>
      <c r="T46">
        <v>9.6502814889673006E-4</v>
      </c>
      <c r="U46">
        <v>4.4521477683293689E-3</v>
      </c>
    </row>
    <row r="47" spans="1:21" x14ac:dyDescent="0.25">
      <c r="A47" s="5" t="s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3.4845211951613871E-6</v>
      </c>
      <c r="I47">
        <v>6.4261559220024655E-8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3.4845211951613871E-6</v>
      </c>
      <c r="S47">
        <v>6.4261559220024655E-8</v>
      </c>
      <c r="T47">
        <v>0</v>
      </c>
      <c r="U47">
        <v>0</v>
      </c>
    </row>
    <row r="48" spans="1:21" x14ac:dyDescent="0.25">
      <c r="A48" s="5" t="s">
        <v>133</v>
      </c>
      <c r="B48">
        <v>0</v>
      </c>
      <c r="C48">
        <v>0</v>
      </c>
      <c r="D48">
        <v>0</v>
      </c>
      <c r="E48">
        <v>0</v>
      </c>
      <c r="F48">
        <v>0</v>
      </c>
      <c r="G48">
        <v>1.719013153430889E-6</v>
      </c>
      <c r="H48">
        <v>2.7492137452686549E-7</v>
      </c>
      <c r="I48">
        <v>9.7432611836498241E-8</v>
      </c>
      <c r="J48">
        <v>5.4088773301914683E-8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1.719013153430889E-6</v>
      </c>
      <c r="R48">
        <v>2.7492137452686549E-7</v>
      </c>
      <c r="S48">
        <v>9.7432611836498241E-8</v>
      </c>
      <c r="T48">
        <v>5.4088773301914683E-8</v>
      </c>
      <c r="U48">
        <v>0</v>
      </c>
    </row>
    <row r="49" spans="1:21" x14ac:dyDescent="0.25">
      <c r="A49" s="5" t="s">
        <v>71</v>
      </c>
      <c r="B49">
        <v>2.6774565960970231E-4</v>
      </c>
      <c r="C49">
        <v>2.6774565960970231E-4</v>
      </c>
      <c r="D49">
        <v>2.6774565960970231E-4</v>
      </c>
      <c r="E49">
        <v>2.6774565960970231E-4</v>
      </c>
      <c r="F49">
        <v>2.6774565960970231E-4</v>
      </c>
      <c r="G49">
        <v>5.2524906302239035E-4</v>
      </c>
      <c r="H49">
        <v>1.3288501295792451E-2</v>
      </c>
      <c r="I49">
        <v>5.0371435111325538E-4</v>
      </c>
      <c r="J49">
        <v>8.8757487422454955E-5</v>
      </c>
      <c r="K49">
        <v>8.6118690184152724E-4</v>
      </c>
      <c r="L49">
        <v>2.6774565960970231E-4</v>
      </c>
      <c r="M49">
        <v>2.6774565960970231E-4</v>
      </c>
      <c r="N49">
        <v>2.6774565960970231E-4</v>
      </c>
      <c r="O49">
        <v>2.6774565960970231E-4</v>
      </c>
      <c r="P49">
        <v>2.6774565960970231E-4</v>
      </c>
      <c r="Q49">
        <v>5.2524906302239035E-4</v>
      </c>
      <c r="R49">
        <v>1.3288501295792451E-2</v>
      </c>
      <c r="S49">
        <v>5.0371435111325538E-4</v>
      </c>
      <c r="T49">
        <v>8.8757487422454955E-5</v>
      </c>
      <c r="U49">
        <v>8.6118690184152724E-4</v>
      </c>
    </row>
    <row r="50" spans="1:21" x14ac:dyDescent="0.25">
      <c r="A50" s="5" t="s">
        <v>134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1.014330206692663E-5</v>
      </c>
      <c r="I50">
        <v>1.321525093019419E-5</v>
      </c>
      <c r="J50">
        <v>2.6711577715400379E-5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1.014330206692663E-5</v>
      </c>
      <c r="S50">
        <v>1.321525093019419E-5</v>
      </c>
      <c r="T50">
        <v>2.6711577715400379E-5</v>
      </c>
      <c r="U50">
        <v>0</v>
      </c>
    </row>
    <row r="51" spans="1:21" x14ac:dyDescent="0.25">
      <c r="A51" s="5" t="s">
        <v>96</v>
      </c>
      <c r="B51">
        <v>3.6287331068016249E-6</v>
      </c>
      <c r="C51">
        <v>3.6287331068016249E-6</v>
      </c>
      <c r="D51">
        <v>3.6287331068016249E-6</v>
      </c>
      <c r="E51">
        <v>3.6287331068016249E-6</v>
      </c>
      <c r="F51">
        <v>3.6287331068016249E-6</v>
      </c>
      <c r="G51">
        <v>1.121974035364227E-4</v>
      </c>
      <c r="H51">
        <v>1.8604506282516419E-3</v>
      </c>
      <c r="I51">
        <v>1.770264871656337E-4</v>
      </c>
      <c r="J51">
        <v>4.5487275997805631E-5</v>
      </c>
      <c r="K51">
        <v>6.090752577284409E-5</v>
      </c>
      <c r="L51">
        <v>3.6287331068016249E-6</v>
      </c>
      <c r="M51">
        <v>3.6287331068016249E-6</v>
      </c>
      <c r="N51">
        <v>3.6287331068016249E-6</v>
      </c>
      <c r="O51">
        <v>3.6287331068016249E-6</v>
      </c>
      <c r="P51">
        <v>3.6287331068016249E-6</v>
      </c>
      <c r="Q51">
        <v>1.121974035364227E-4</v>
      </c>
      <c r="R51">
        <v>1.8604506282516419E-3</v>
      </c>
      <c r="S51">
        <v>1.770264871656337E-4</v>
      </c>
      <c r="T51">
        <v>4.5487275997805631E-5</v>
      </c>
      <c r="U51">
        <v>6.090752577284409E-5</v>
      </c>
    </row>
    <row r="52" spans="1:21" x14ac:dyDescent="0.25">
      <c r="A52" s="5" t="s">
        <v>135</v>
      </c>
      <c r="B52">
        <v>0</v>
      </c>
      <c r="C52">
        <v>0</v>
      </c>
      <c r="D52">
        <v>0</v>
      </c>
      <c r="E52">
        <v>0</v>
      </c>
      <c r="F52">
        <v>0</v>
      </c>
      <c r="G52">
        <v>2.6801939084998292E-8</v>
      </c>
      <c r="H52">
        <v>9.2893422108367664E-7</v>
      </c>
      <c r="I52">
        <v>3.9563638500972221E-5</v>
      </c>
      <c r="J52">
        <v>2.4410777484434949E-4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2.6801939084998292E-8</v>
      </c>
      <c r="R52">
        <v>9.2893422108367664E-7</v>
      </c>
      <c r="S52">
        <v>3.9563638500972221E-5</v>
      </c>
      <c r="T52">
        <v>2.4410777484434949E-4</v>
      </c>
      <c r="U52">
        <v>0</v>
      </c>
    </row>
    <row r="53" spans="1:21" x14ac:dyDescent="0.25">
      <c r="A53" s="5" t="s">
        <v>136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2.9032555316695321E-6</v>
      </c>
      <c r="I53">
        <v>5.322461301560113E-8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2.9032555316695321E-6</v>
      </c>
      <c r="S53">
        <v>5.322461301560113E-8</v>
      </c>
      <c r="T53">
        <v>0</v>
      </c>
      <c r="U53">
        <v>0</v>
      </c>
    </row>
    <row r="54" spans="1:21" x14ac:dyDescent="0.25">
      <c r="A54" s="5" t="s">
        <v>90</v>
      </c>
      <c r="B54">
        <v>1.0244693736356041E-5</v>
      </c>
      <c r="C54">
        <v>1.0244693736356041E-5</v>
      </c>
      <c r="D54">
        <v>1.0244693736356041E-5</v>
      </c>
      <c r="E54">
        <v>1.0244693736356041E-5</v>
      </c>
      <c r="F54">
        <v>1.0244693736356041E-5</v>
      </c>
      <c r="G54">
        <v>3.8112935507996709E-5</v>
      </c>
      <c r="H54">
        <v>1.7609339086056849E-4</v>
      </c>
      <c r="I54">
        <v>4.6650927225033423E-5</v>
      </c>
      <c r="J54">
        <v>1.7511660737572229E-5</v>
      </c>
      <c r="K54">
        <v>1.9299064713683149E-5</v>
      </c>
      <c r="L54">
        <v>1.0244693736356041E-5</v>
      </c>
      <c r="M54">
        <v>1.0244693736356041E-5</v>
      </c>
      <c r="N54">
        <v>1.0244693736356041E-5</v>
      </c>
      <c r="O54">
        <v>1.0244693736356041E-5</v>
      </c>
      <c r="P54">
        <v>1.0244693736356041E-5</v>
      </c>
      <c r="Q54">
        <v>3.8112935507996709E-5</v>
      </c>
      <c r="R54">
        <v>1.7609339086056849E-4</v>
      </c>
      <c r="S54">
        <v>4.6650927225033423E-5</v>
      </c>
      <c r="T54">
        <v>1.7511660737572229E-5</v>
      </c>
      <c r="U54">
        <v>1.9299064713683149E-5</v>
      </c>
    </row>
    <row r="55" spans="1:21" x14ac:dyDescent="0.25">
      <c r="A55" s="5" t="s">
        <v>73</v>
      </c>
      <c r="B55">
        <v>2.2131567258140629E-4</v>
      </c>
      <c r="C55">
        <v>2.2131567258140629E-4</v>
      </c>
      <c r="D55">
        <v>2.2131567258140629E-4</v>
      </c>
      <c r="E55">
        <v>2.2131567258140629E-4</v>
      </c>
      <c r="F55">
        <v>2.2131567258140629E-4</v>
      </c>
      <c r="G55">
        <v>9.2077230152396751E-3</v>
      </c>
      <c r="H55">
        <v>2.0215581271230389E-2</v>
      </c>
      <c r="I55">
        <v>1.9788723447794971E-3</v>
      </c>
      <c r="J55">
        <v>5.6720011267492822E-4</v>
      </c>
      <c r="K55">
        <v>5.5837144439113251E-4</v>
      </c>
      <c r="L55">
        <v>2.2131567258140629E-4</v>
      </c>
      <c r="M55">
        <v>2.2131567258140629E-4</v>
      </c>
      <c r="N55">
        <v>2.2131567258140629E-4</v>
      </c>
      <c r="O55">
        <v>2.2131567258140629E-4</v>
      </c>
      <c r="P55">
        <v>2.2131567258140629E-4</v>
      </c>
      <c r="Q55">
        <v>9.2077230152396751E-3</v>
      </c>
      <c r="R55">
        <v>2.0215581271230389E-2</v>
      </c>
      <c r="S55">
        <v>1.9788723447794971E-3</v>
      </c>
      <c r="T55">
        <v>5.6720011267492822E-4</v>
      </c>
      <c r="U55">
        <v>5.5837144439113251E-4</v>
      </c>
    </row>
    <row r="56" spans="1:21" x14ac:dyDescent="0.25">
      <c r="A56" s="5" t="s">
        <v>97</v>
      </c>
      <c r="B56">
        <v>1.7954282800173979E-6</v>
      </c>
      <c r="C56">
        <v>1.7954282800173979E-6</v>
      </c>
      <c r="D56">
        <v>1.7954282800173979E-6</v>
      </c>
      <c r="E56">
        <v>1.7954282800173979E-6</v>
      </c>
      <c r="F56">
        <v>1.7954282800173979E-6</v>
      </c>
      <c r="G56">
        <v>2.6614345323951241E-5</v>
      </c>
      <c r="H56">
        <v>4.4908449196070468E-5</v>
      </c>
      <c r="I56">
        <v>3.379651101863332E-5</v>
      </c>
      <c r="J56">
        <v>5.8918002581279714E-6</v>
      </c>
      <c r="K56">
        <v>3.0847506696874398E-5</v>
      </c>
      <c r="L56">
        <v>1.7954282800173979E-6</v>
      </c>
      <c r="M56">
        <v>1.7954282800173979E-6</v>
      </c>
      <c r="N56">
        <v>1.7954282800173979E-6</v>
      </c>
      <c r="O56">
        <v>1.7954282800173979E-6</v>
      </c>
      <c r="P56">
        <v>1.7954282800173979E-6</v>
      </c>
      <c r="Q56">
        <v>2.6614345323951241E-5</v>
      </c>
      <c r="R56">
        <v>4.4908449196070468E-5</v>
      </c>
      <c r="S56">
        <v>3.379651101863332E-5</v>
      </c>
      <c r="T56">
        <v>5.8918002581279714E-6</v>
      </c>
      <c r="U56">
        <v>3.0847506696874398E-5</v>
      </c>
    </row>
    <row r="57" spans="1:21" x14ac:dyDescent="0.25">
      <c r="A57" s="5" t="s">
        <v>72</v>
      </c>
      <c r="B57">
        <v>2.2635539299683529E-4</v>
      </c>
      <c r="C57">
        <v>2.2635539299683529E-4</v>
      </c>
      <c r="D57">
        <v>2.2635539299683529E-4</v>
      </c>
      <c r="E57">
        <v>2.2635539299683529E-4</v>
      </c>
      <c r="F57">
        <v>2.2635539299683529E-4</v>
      </c>
      <c r="G57">
        <v>7.9286663331827579E-4</v>
      </c>
      <c r="H57">
        <v>7.1674330516831976E-3</v>
      </c>
      <c r="I57">
        <v>1.170120315234091E-3</v>
      </c>
      <c r="J57">
        <v>3.834328237485608E-4</v>
      </c>
      <c r="K57">
        <v>2.7679521702403761E-4</v>
      </c>
      <c r="L57">
        <v>2.2635539299683529E-4</v>
      </c>
      <c r="M57">
        <v>2.2635539299683529E-4</v>
      </c>
      <c r="N57">
        <v>2.2635539299683529E-4</v>
      </c>
      <c r="O57">
        <v>2.2635539299683529E-4</v>
      </c>
      <c r="P57">
        <v>2.2635539299683529E-4</v>
      </c>
      <c r="Q57">
        <v>7.9286663331827579E-4</v>
      </c>
      <c r="R57">
        <v>7.1674330516831976E-3</v>
      </c>
      <c r="S57">
        <v>1.170120315234091E-3</v>
      </c>
      <c r="T57">
        <v>3.834328237485608E-4</v>
      </c>
      <c r="U57">
        <v>2.7679521702403761E-4</v>
      </c>
    </row>
    <row r="58" spans="1:21" x14ac:dyDescent="0.25">
      <c r="A58" s="5" t="s">
        <v>104</v>
      </c>
      <c r="B58">
        <v>1.309362436943549E-6</v>
      </c>
      <c r="C58">
        <v>1.309362436943549E-6</v>
      </c>
      <c r="D58">
        <v>1.309362436943549E-6</v>
      </c>
      <c r="E58">
        <v>1.309362436943549E-6</v>
      </c>
      <c r="F58">
        <v>1.309362436943549E-6</v>
      </c>
      <c r="G58">
        <v>2.492588236896502E-6</v>
      </c>
      <c r="H58">
        <v>7.5987512883345309E-6</v>
      </c>
      <c r="I58">
        <v>2.5836620416895432E-7</v>
      </c>
      <c r="J58">
        <v>7.6889841040950031E-7</v>
      </c>
      <c r="K58">
        <v>1.091986672165978E-6</v>
      </c>
      <c r="L58">
        <v>1.309362436943549E-6</v>
      </c>
      <c r="M58">
        <v>1.309362436943549E-6</v>
      </c>
      <c r="N58">
        <v>1.309362436943549E-6</v>
      </c>
      <c r="O58">
        <v>1.309362436943549E-6</v>
      </c>
      <c r="P58">
        <v>1.309362436943549E-6</v>
      </c>
      <c r="Q58">
        <v>2.492588236896502E-6</v>
      </c>
      <c r="R58">
        <v>7.5987512883345309E-6</v>
      </c>
      <c r="S58">
        <v>2.5836620416895432E-7</v>
      </c>
      <c r="T58">
        <v>7.6889841040950031E-7</v>
      </c>
      <c r="U58">
        <v>1.091986672165978E-6</v>
      </c>
    </row>
    <row r="59" spans="1:21" x14ac:dyDescent="0.25">
      <c r="A59" s="5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4.5055506656415599E-4</v>
      </c>
      <c r="H59">
        <v>3.0198821077030789E-2</v>
      </c>
      <c r="I59">
        <v>7.0222067905822417E-8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4.5055506656415599E-4</v>
      </c>
      <c r="R59">
        <v>3.0198821077030789E-2</v>
      </c>
      <c r="S59">
        <v>7.0222067905822417E-8</v>
      </c>
      <c r="T59">
        <v>0</v>
      </c>
      <c r="U59">
        <v>0</v>
      </c>
    </row>
    <row r="60" spans="1:21" x14ac:dyDescent="0.25">
      <c r="A60" s="5" t="s">
        <v>101</v>
      </c>
      <c r="B60">
        <v>1.136027873841772E-6</v>
      </c>
      <c r="C60">
        <v>1.136027873841772E-6</v>
      </c>
      <c r="D60">
        <v>1.136027873841772E-6</v>
      </c>
      <c r="E60">
        <v>1.136027873841772E-6</v>
      </c>
      <c r="F60">
        <v>1.136027873841772E-6</v>
      </c>
      <c r="G60">
        <v>3.017316813147539E-5</v>
      </c>
      <c r="H60">
        <v>1.32052705287462E-3</v>
      </c>
      <c r="I60">
        <v>1.140278588989041E-4</v>
      </c>
      <c r="J60">
        <v>4.2294322944435058E-6</v>
      </c>
      <c r="K60">
        <v>6.6378107292764822E-6</v>
      </c>
      <c r="L60">
        <v>1.136027873841772E-6</v>
      </c>
      <c r="M60">
        <v>1.136027873841772E-6</v>
      </c>
      <c r="N60">
        <v>1.136027873841772E-6</v>
      </c>
      <c r="O60">
        <v>1.136027873841772E-6</v>
      </c>
      <c r="P60">
        <v>1.136027873841772E-6</v>
      </c>
      <c r="Q60">
        <v>3.017316813147539E-5</v>
      </c>
      <c r="R60">
        <v>1.32052705287462E-3</v>
      </c>
      <c r="S60">
        <v>1.140278588989041E-4</v>
      </c>
      <c r="T60">
        <v>4.2294322944435058E-6</v>
      </c>
      <c r="U60">
        <v>6.6378107292764822E-6</v>
      </c>
    </row>
    <row r="61" spans="1:21" x14ac:dyDescent="0.25">
      <c r="A61" s="5" t="s">
        <v>86</v>
      </c>
      <c r="B61">
        <v>9.6172511780582445E-6</v>
      </c>
      <c r="C61">
        <v>9.6172511780582445E-6</v>
      </c>
      <c r="D61">
        <v>9.6172511780582445E-6</v>
      </c>
      <c r="E61">
        <v>9.6172511780582445E-6</v>
      </c>
      <c r="F61">
        <v>9.6172511780582445E-6</v>
      </c>
      <c r="G61">
        <v>1.7883948575190419E-4</v>
      </c>
      <c r="H61">
        <v>7.1844189560224937E-4</v>
      </c>
      <c r="I61">
        <v>1.700340642812502E-4</v>
      </c>
      <c r="J61">
        <v>9.8563798135968664E-5</v>
      </c>
      <c r="K61">
        <v>8.5003488357606022E-5</v>
      </c>
      <c r="L61">
        <v>9.6172511780582445E-6</v>
      </c>
      <c r="M61">
        <v>9.6172511780582445E-6</v>
      </c>
      <c r="N61">
        <v>9.6172511780582445E-6</v>
      </c>
      <c r="O61">
        <v>9.6172511780582445E-6</v>
      </c>
      <c r="P61">
        <v>9.6172511780582445E-6</v>
      </c>
      <c r="Q61">
        <v>1.7883948575190419E-4</v>
      </c>
      <c r="R61">
        <v>7.1844189560224937E-4</v>
      </c>
      <c r="S61">
        <v>1.700340642812502E-4</v>
      </c>
      <c r="T61">
        <v>9.8563798135968664E-5</v>
      </c>
      <c r="U61">
        <v>8.5003488357606022E-5</v>
      </c>
    </row>
    <row r="62" spans="1:21" x14ac:dyDescent="0.25">
      <c r="A62" s="5" t="s">
        <v>89</v>
      </c>
      <c r="B62">
        <v>1.8774079972090971E-5</v>
      </c>
      <c r="C62">
        <v>1.8774079972090971E-5</v>
      </c>
      <c r="D62">
        <v>1.8774079972090971E-5</v>
      </c>
      <c r="E62">
        <v>1.8774079972090971E-5</v>
      </c>
      <c r="F62">
        <v>1.8774079972090971E-5</v>
      </c>
      <c r="G62">
        <v>1.8537181896140291E-4</v>
      </c>
      <c r="H62">
        <v>1.715404427213123E-4</v>
      </c>
      <c r="I62">
        <v>1.7958590582935809E-4</v>
      </c>
      <c r="J62">
        <v>4.0122181799761788E-5</v>
      </c>
      <c r="K62">
        <v>8.6168296770746668E-5</v>
      </c>
      <c r="L62">
        <v>1.8774079972090971E-5</v>
      </c>
      <c r="M62">
        <v>1.8774079972090971E-5</v>
      </c>
      <c r="N62">
        <v>1.8774079972090971E-5</v>
      </c>
      <c r="O62">
        <v>1.8774079972090971E-5</v>
      </c>
      <c r="P62">
        <v>1.8774079972090971E-5</v>
      </c>
      <c r="Q62">
        <v>1.8537181896140291E-4</v>
      </c>
      <c r="R62">
        <v>1.715404427213123E-4</v>
      </c>
      <c r="S62">
        <v>1.7958590582935809E-4</v>
      </c>
      <c r="T62">
        <v>4.0122181799761788E-5</v>
      </c>
      <c r="U62">
        <v>8.6168296770746668E-5</v>
      </c>
    </row>
    <row r="63" spans="1:21" x14ac:dyDescent="0.25">
      <c r="A63" s="5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9.6034934914896583E-9</v>
      </c>
      <c r="H63">
        <v>8.8376564405059117E-7</v>
      </c>
      <c r="I63">
        <v>7.7175669444746189E-9</v>
      </c>
      <c r="J63">
        <v>0</v>
      </c>
      <c r="K63">
        <v>2.9078633727957512E-9</v>
      </c>
      <c r="L63">
        <v>0</v>
      </c>
      <c r="M63">
        <v>0</v>
      </c>
      <c r="N63">
        <v>0</v>
      </c>
      <c r="O63">
        <v>0</v>
      </c>
      <c r="P63">
        <v>0</v>
      </c>
      <c r="Q63">
        <v>9.6034934914896583E-9</v>
      </c>
      <c r="R63">
        <v>8.8376564405059117E-7</v>
      </c>
      <c r="S63">
        <v>7.7175669444746189E-9</v>
      </c>
      <c r="T63">
        <v>0</v>
      </c>
      <c r="U63">
        <v>2.9078633727957512E-9</v>
      </c>
    </row>
    <row r="64" spans="1:21" x14ac:dyDescent="0.25">
      <c r="A64" s="5" t="s">
        <v>85</v>
      </c>
      <c r="B64">
        <v>2.3991458112917688E-5</v>
      </c>
      <c r="C64">
        <v>2.3991458112917688E-5</v>
      </c>
      <c r="D64">
        <v>2.3991458112917688E-5</v>
      </c>
      <c r="E64">
        <v>2.3991458112917688E-5</v>
      </c>
      <c r="F64">
        <v>2.3991458112917688E-5</v>
      </c>
      <c r="G64">
        <v>2.066788580341093E-4</v>
      </c>
      <c r="H64">
        <v>8.2508865504525965E-4</v>
      </c>
      <c r="I64">
        <v>2.2733865016907621E-4</v>
      </c>
      <c r="J64">
        <v>4.0623153980883762E-5</v>
      </c>
      <c r="K64">
        <v>1.000672185517438E-4</v>
      </c>
      <c r="L64">
        <v>2.3991458112917688E-5</v>
      </c>
      <c r="M64">
        <v>2.3991458112917688E-5</v>
      </c>
      <c r="N64">
        <v>2.3991458112917688E-5</v>
      </c>
      <c r="O64">
        <v>2.3991458112917688E-5</v>
      </c>
      <c r="P64">
        <v>2.3991458112917688E-5</v>
      </c>
      <c r="Q64">
        <v>2.066788580341093E-4</v>
      </c>
      <c r="R64">
        <v>8.2508865504525965E-4</v>
      </c>
      <c r="S64">
        <v>2.2733865016907621E-4</v>
      </c>
      <c r="T64">
        <v>4.0623153980883762E-5</v>
      </c>
      <c r="U64">
        <v>1.000672185517438E-4</v>
      </c>
    </row>
    <row r="65" spans="1:21" x14ac:dyDescent="0.25">
      <c r="A65" s="5" t="s">
        <v>139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2.27081765232098E-8</v>
      </c>
      <c r="I65">
        <v>2.023657309423636E-8</v>
      </c>
      <c r="J65">
        <v>1.2640059283777961E-7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2.27081765232098E-8</v>
      </c>
      <c r="S65">
        <v>2.023657309423636E-8</v>
      </c>
      <c r="T65">
        <v>1.2640059283777961E-7</v>
      </c>
      <c r="U6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1B8F-A99A-4616-824B-1AC0A5F0F931}">
  <dimension ref="A1:U65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50" bestFit="1" customWidth="1"/>
  </cols>
  <sheetData>
    <row r="1" spans="1:21" s="13" customFormat="1" ht="75" x14ac:dyDescent="0.25">
      <c r="B1" s="14" t="s">
        <v>45</v>
      </c>
      <c r="C1" s="14" t="s">
        <v>46</v>
      </c>
      <c r="D1" s="14" t="s">
        <v>120</v>
      </c>
      <c r="E1" s="14" t="s">
        <v>122</v>
      </c>
      <c r="F1" s="14" t="s">
        <v>47</v>
      </c>
      <c r="G1" s="14" t="s">
        <v>51</v>
      </c>
      <c r="H1" s="14" t="s">
        <v>52</v>
      </c>
      <c r="I1" s="14" t="s">
        <v>116</v>
      </c>
      <c r="J1" s="14" t="s">
        <v>108</v>
      </c>
      <c r="K1" s="14" t="s">
        <v>53</v>
      </c>
      <c r="L1" s="14" t="s">
        <v>48</v>
      </c>
      <c r="M1" s="14" t="s">
        <v>49</v>
      </c>
      <c r="N1" s="14" t="s">
        <v>114</v>
      </c>
      <c r="O1" s="14" t="s">
        <v>110</v>
      </c>
      <c r="P1" s="14" t="s">
        <v>50</v>
      </c>
      <c r="Q1" s="14" t="s">
        <v>54</v>
      </c>
      <c r="R1" s="14" t="s">
        <v>55</v>
      </c>
      <c r="S1" s="14" t="s">
        <v>118</v>
      </c>
      <c r="T1" s="14" t="s">
        <v>112</v>
      </c>
      <c r="U1" s="14" t="s">
        <v>56</v>
      </c>
    </row>
    <row r="2" spans="1:21" x14ac:dyDescent="0.25">
      <c r="A2" s="10" t="s">
        <v>141</v>
      </c>
      <c r="B2" s="12">
        <f t="shared" ref="B2:T2" si="0">B40/B8</f>
        <v>9.2629212243900666E-2</v>
      </c>
      <c r="C2" s="12">
        <f t="shared" si="0"/>
        <v>9.2629212243900666E-2</v>
      </c>
      <c r="D2" s="12">
        <f t="shared" si="0"/>
        <v>9.2629212243900666E-2</v>
      </c>
      <c r="E2" s="12">
        <f t="shared" si="0"/>
        <v>9.2629212243900666E-2</v>
      </c>
      <c r="F2" s="12">
        <f t="shared" si="0"/>
        <v>9.2629212243900666E-2</v>
      </c>
      <c r="G2" s="12">
        <f t="shared" si="0"/>
        <v>3.1632956243150066E-2</v>
      </c>
      <c r="H2" s="12">
        <f t="shared" si="0"/>
        <v>9.7724882817672633E-3</v>
      </c>
      <c r="I2" s="12">
        <f t="shared" si="0"/>
        <v>3.2400648638121698E-2</v>
      </c>
      <c r="J2" s="12">
        <f t="shared" si="0"/>
        <v>0.10992050697181932</v>
      </c>
      <c r="K2" s="12">
        <f t="shared" si="0"/>
        <v>3.2446455337013652E-2</v>
      </c>
      <c r="L2" s="12">
        <f t="shared" si="0"/>
        <v>0.415528744343579</v>
      </c>
      <c r="M2" s="12">
        <f t="shared" si="0"/>
        <v>0.415528744343579</v>
      </c>
      <c r="N2" s="12">
        <f t="shared" si="0"/>
        <v>0.415528744343579</v>
      </c>
      <c r="O2" s="12">
        <f t="shared" si="0"/>
        <v>0.415528744343579</v>
      </c>
      <c r="P2" s="12">
        <f t="shared" si="0"/>
        <v>0.415528744343579</v>
      </c>
      <c r="Q2" s="12">
        <f t="shared" si="0"/>
        <v>0.16556933445702107</v>
      </c>
      <c r="R2" s="12">
        <f t="shared" si="0"/>
        <v>0.12049412848727065</v>
      </c>
      <c r="S2" s="12">
        <f t="shared" si="0"/>
        <v>0.14194373340932015</v>
      </c>
      <c r="T2" s="12">
        <f t="shared" si="0"/>
        <v>0.10731080751137044</v>
      </c>
      <c r="U2" s="12">
        <f t="shared" ref="U2" si="1">U40/U8</f>
        <v>9.8234136341127931E-2</v>
      </c>
    </row>
    <row r="3" spans="1:21" x14ac:dyDescent="0.25">
      <c r="A3" s="10" t="s">
        <v>142</v>
      </c>
      <c r="B3" s="12">
        <f t="shared" ref="B3:T3" si="2">B38/B8</f>
        <v>0.64482648730540104</v>
      </c>
      <c r="C3" s="12">
        <f t="shared" si="2"/>
        <v>0.64482648730540104</v>
      </c>
      <c r="D3" s="12">
        <f t="shared" si="2"/>
        <v>0.64482648730540104</v>
      </c>
      <c r="E3" s="12">
        <f t="shared" si="2"/>
        <v>0.64482648730540104</v>
      </c>
      <c r="F3" s="12">
        <f t="shared" si="2"/>
        <v>0.64482648730540104</v>
      </c>
      <c r="G3" s="12">
        <f t="shared" si="2"/>
        <v>0.5163223395651857</v>
      </c>
      <c r="H3" s="12">
        <f t="shared" si="2"/>
        <v>0.19630882884341919</v>
      </c>
      <c r="I3" s="12">
        <f t="shared" si="2"/>
        <v>0.46153839452169315</v>
      </c>
      <c r="J3" s="12">
        <f t="shared" si="2"/>
        <v>0.53177236845112885</v>
      </c>
      <c r="K3" s="12">
        <f t="shared" si="2"/>
        <v>0.64308241075374084</v>
      </c>
      <c r="L3" s="12">
        <f t="shared" si="2"/>
        <v>0.41535671172302813</v>
      </c>
      <c r="M3" s="12">
        <f t="shared" si="2"/>
        <v>0.41535671172302813</v>
      </c>
      <c r="N3" s="12">
        <f t="shared" si="2"/>
        <v>0.41535671172302813</v>
      </c>
      <c r="O3" s="12">
        <f t="shared" si="2"/>
        <v>0.41535671172302813</v>
      </c>
      <c r="P3" s="12">
        <f t="shared" si="2"/>
        <v>0.41535671172302813</v>
      </c>
      <c r="Q3" s="12">
        <f t="shared" si="2"/>
        <v>0.46823715346175099</v>
      </c>
      <c r="R3" s="12">
        <f t="shared" si="2"/>
        <v>0.33651266829686305</v>
      </c>
      <c r="S3" s="12">
        <f t="shared" si="2"/>
        <v>0.43467557060122713</v>
      </c>
      <c r="T3" s="12">
        <f t="shared" si="2"/>
        <v>0.61720787685884981</v>
      </c>
      <c r="U3" s="12">
        <f t="shared" ref="U3" si="3">U38/U8</f>
        <v>0.61446787623688326</v>
      </c>
    </row>
    <row r="4" spans="1:21" x14ac:dyDescent="0.25">
      <c r="A4" s="10" t="s">
        <v>143</v>
      </c>
      <c r="B4" s="12">
        <f t="shared" ref="B4:T4" si="4">1-B3-B2</f>
        <v>0.26254430045069832</v>
      </c>
      <c r="C4" s="12">
        <f t="shared" si="4"/>
        <v>0.26254430045069832</v>
      </c>
      <c r="D4" s="12">
        <f t="shared" si="4"/>
        <v>0.26254430045069832</v>
      </c>
      <c r="E4" s="12">
        <f t="shared" si="4"/>
        <v>0.26254430045069832</v>
      </c>
      <c r="F4" s="12">
        <f t="shared" si="4"/>
        <v>0.26254430045069832</v>
      </c>
      <c r="G4" s="12">
        <f t="shared" si="4"/>
        <v>0.45204470419166426</v>
      </c>
      <c r="H4" s="12">
        <f t="shared" si="4"/>
        <v>0.7939186828748136</v>
      </c>
      <c r="I4" s="12">
        <f t="shared" si="4"/>
        <v>0.50606095684018526</v>
      </c>
      <c r="J4" s="12">
        <f t="shared" si="4"/>
        <v>0.35830712457705183</v>
      </c>
      <c r="K4" s="12">
        <f t="shared" si="4"/>
        <v>0.32447113390924553</v>
      </c>
      <c r="L4" s="12">
        <f t="shared" si="4"/>
        <v>0.16911454393339287</v>
      </c>
      <c r="M4" s="12">
        <f t="shared" si="4"/>
        <v>0.16911454393339287</v>
      </c>
      <c r="N4" s="12">
        <f t="shared" si="4"/>
        <v>0.16911454393339287</v>
      </c>
      <c r="O4" s="12">
        <f t="shared" si="4"/>
        <v>0.16911454393339287</v>
      </c>
      <c r="P4" s="12">
        <f t="shared" si="4"/>
        <v>0.16911454393339287</v>
      </c>
      <c r="Q4" s="12">
        <f t="shared" si="4"/>
        <v>0.36619351208122797</v>
      </c>
      <c r="R4" s="12">
        <f t="shared" si="4"/>
        <v>0.54299320321586619</v>
      </c>
      <c r="S4" s="12">
        <f t="shared" si="4"/>
        <v>0.42338069598945277</v>
      </c>
      <c r="T4" s="12">
        <f t="shared" si="4"/>
        <v>0.27548131562977973</v>
      </c>
      <c r="U4" s="12">
        <f t="shared" ref="U4" si="5">1-U3-U2</f>
        <v>0.28729798742198881</v>
      </c>
    </row>
    <row r="5" spans="1:21" s="13" customForma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s="13" customFormat="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s="13" customFormat="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s="13" customFormat="1" x14ac:dyDescent="0.25">
      <c r="A8" s="17" t="s">
        <v>140</v>
      </c>
      <c r="B8" s="16">
        <f>SUM(B9:B65)</f>
        <v>2.3473319014075168E-2</v>
      </c>
      <c r="C8" s="16">
        <f t="shared" ref="C8:U8" si="6">SUM(C9:C65)</f>
        <v>2.3473319014075168E-2</v>
      </c>
      <c r="D8" s="16">
        <f t="shared" si="6"/>
        <v>2.3473319014075168E-2</v>
      </c>
      <c r="E8" s="16">
        <f t="shared" si="6"/>
        <v>2.3473319014075168E-2</v>
      </c>
      <c r="F8" s="16">
        <f t="shared" si="6"/>
        <v>2.3473319014075168E-2</v>
      </c>
      <c r="G8" s="16">
        <f t="shared" si="6"/>
        <v>7.3661839353162437E-2</v>
      </c>
      <c r="H8" s="16">
        <f t="shared" si="6"/>
        <v>0.24052603456348984</v>
      </c>
      <c r="I8" s="16">
        <f t="shared" si="6"/>
        <v>6.5089432429430452E-2</v>
      </c>
      <c r="J8" s="16">
        <f t="shared" si="6"/>
        <v>2.9777499727955761E-2</v>
      </c>
      <c r="K8" s="16">
        <f t="shared" si="6"/>
        <v>5.9536757194467958E-2</v>
      </c>
      <c r="L8" s="16">
        <f t="shared" si="6"/>
        <v>3.644149093547918E-2</v>
      </c>
      <c r="M8" s="16">
        <f t="shared" si="6"/>
        <v>3.644149093547918E-2</v>
      </c>
      <c r="N8" s="16">
        <f t="shared" si="6"/>
        <v>3.644149093547918E-2</v>
      </c>
      <c r="O8" s="16">
        <f t="shared" si="6"/>
        <v>3.644149093547918E-2</v>
      </c>
      <c r="P8" s="16">
        <f t="shared" si="6"/>
        <v>3.644149093547918E-2</v>
      </c>
      <c r="Q8" s="16">
        <f t="shared" si="6"/>
        <v>9.0931278905968291E-2</v>
      </c>
      <c r="R8" s="16">
        <f t="shared" si="6"/>
        <v>0.35167680079014307</v>
      </c>
      <c r="S8" s="16">
        <f t="shared" si="6"/>
        <v>7.7800477838136303E-2</v>
      </c>
      <c r="T8" s="16">
        <f t="shared" si="6"/>
        <v>3.8730359190517781E-2</v>
      </c>
      <c r="U8" s="16">
        <f t="shared" si="6"/>
        <v>6.724014772784985E-2</v>
      </c>
    </row>
    <row r="9" spans="1:21" x14ac:dyDescent="0.25">
      <c r="A9" s="5" t="s">
        <v>93</v>
      </c>
      <c r="B9">
        <v>1.110480098925359E-5</v>
      </c>
      <c r="C9">
        <v>1.110480098925359E-5</v>
      </c>
      <c r="D9">
        <v>1.110480098925359E-5</v>
      </c>
      <c r="E9">
        <v>1.110480098925359E-5</v>
      </c>
      <c r="F9">
        <v>1.110480098925359E-5</v>
      </c>
      <c r="G9">
        <v>5.0184725044497347E-5</v>
      </c>
      <c r="H9">
        <v>7.4469916142666623E-4</v>
      </c>
      <c r="I9">
        <v>5.3610954213257803E-5</v>
      </c>
      <c r="J9">
        <v>6.5470478011900267E-5</v>
      </c>
      <c r="K9">
        <v>3.499056922633921E-5</v>
      </c>
      <c r="L9">
        <v>1.110480098925359E-5</v>
      </c>
      <c r="M9">
        <v>1.110480098925359E-5</v>
      </c>
      <c r="N9">
        <v>1.110480098925359E-5</v>
      </c>
      <c r="O9">
        <v>1.110480098925359E-5</v>
      </c>
      <c r="P9">
        <v>1.110480098925359E-5</v>
      </c>
      <c r="Q9">
        <v>5.0184725044497347E-5</v>
      </c>
      <c r="R9">
        <v>7.4469916142666623E-4</v>
      </c>
      <c r="S9">
        <v>5.3610954213257803E-5</v>
      </c>
      <c r="T9">
        <v>6.5470478011900267E-5</v>
      </c>
      <c r="U9">
        <v>3.499056922633921E-5</v>
      </c>
    </row>
    <row r="10" spans="1:21" x14ac:dyDescent="0.25">
      <c r="A10" s="5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2.3100655637146929E-5</v>
      </c>
      <c r="H10">
        <v>1.459700085235996E-3</v>
      </c>
      <c r="I10">
        <v>5.3956931281669742E-6</v>
      </c>
      <c r="J10">
        <v>1.2315003976849399E-5</v>
      </c>
      <c r="K10">
        <v>1.0697259125698599E-6</v>
      </c>
      <c r="L10">
        <v>0</v>
      </c>
      <c r="M10">
        <v>0</v>
      </c>
      <c r="N10">
        <v>0</v>
      </c>
      <c r="O10">
        <v>0</v>
      </c>
      <c r="P10">
        <v>0</v>
      </c>
      <c r="Q10">
        <v>2.3100655637146929E-5</v>
      </c>
      <c r="R10">
        <v>1.459700085235996E-3</v>
      </c>
      <c r="S10">
        <v>5.3956931281669742E-6</v>
      </c>
      <c r="T10">
        <v>1.2315003976849399E-5</v>
      </c>
      <c r="U10">
        <v>1.0697259125698599E-6</v>
      </c>
    </row>
    <row r="11" spans="1:21" x14ac:dyDescent="0.25">
      <c r="A11" s="5" t="s">
        <v>91</v>
      </c>
      <c r="B11">
        <v>7.2550694532672112E-6</v>
      </c>
      <c r="C11">
        <v>7.2550694532672112E-6</v>
      </c>
      <c r="D11">
        <v>7.2550694532672112E-6</v>
      </c>
      <c r="E11">
        <v>7.2550694532672112E-6</v>
      </c>
      <c r="F11">
        <v>7.2550694532672112E-6</v>
      </c>
      <c r="G11">
        <v>4.0106718496702251E-4</v>
      </c>
      <c r="H11">
        <v>2.6556066602444862E-4</v>
      </c>
      <c r="I11">
        <v>3.8629582784532792E-4</v>
      </c>
      <c r="J11">
        <v>6.6228414342238488E-5</v>
      </c>
      <c r="K11">
        <v>1.787465006494804E-4</v>
      </c>
      <c r="L11">
        <v>7.2550694532672112E-6</v>
      </c>
      <c r="M11">
        <v>7.2550694532672112E-6</v>
      </c>
      <c r="N11">
        <v>7.2550694532672112E-6</v>
      </c>
      <c r="O11">
        <v>7.2550694532672112E-6</v>
      </c>
      <c r="P11">
        <v>7.2550694532672112E-6</v>
      </c>
      <c r="Q11">
        <v>4.0106718496702251E-4</v>
      </c>
      <c r="R11">
        <v>2.6556066602444862E-4</v>
      </c>
      <c r="S11">
        <v>3.8629582784532792E-4</v>
      </c>
      <c r="T11">
        <v>6.6228414342238488E-5</v>
      </c>
      <c r="U11">
        <v>1.787465006494804E-4</v>
      </c>
    </row>
    <row r="12" spans="1:21" x14ac:dyDescent="0.25">
      <c r="A12" s="5" t="s">
        <v>124</v>
      </c>
      <c r="B12">
        <v>0</v>
      </c>
      <c r="C12">
        <v>0</v>
      </c>
      <c r="D12">
        <v>0</v>
      </c>
      <c r="E12">
        <v>0</v>
      </c>
      <c r="F12">
        <v>0</v>
      </c>
      <c r="G12">
        <v>1.8582004166891E-5</v>
      </c>
      <c r="H12">
        <v>5.3886037920574217E-4</v>
      </c>
      <c r="I12">
        <v>1.3213487475513461E-5</v>
      </c>
      <c r="J12">
        <v>8.5510192411855593E-6</v>
      </c>
      <c r="K12">
        <v>4.8606353684599949E-6</v>
      </c>
      <c r="L12">
        <v>0</v>
      </c>
      <c r="M12">
        <v>0</v>
      </c>
      <c r="N12">
        <v>0</v>
      </c>
      <c r="O12">
        <v>0</v>
      </c>
      <c r="P12">
        <v>0</v>
      </c>
      <c r="Q12">
        <v>1.8582004166891E-5</v>
      </c>
      <c r="R12">
        <v>5.3886037920574217E-4</v>
      </c>
      <c r="S12">
        <v>1.3213487475513461E-5</v>
      </c>
      <c r="T12">
        <v>8.5510192411855593E-6</v>
      </c>
      <c r="U12">
        <v>4.8606353684599949E-6</v>
      </c>
    </row>
    <row r="13" spans="1:21" x14ac:dyDescent="0.25">
      <c r="A13" s="5" t="s">
        <v>105</v>
      </c>
      <c r="B13">
        <v>8.2195929749675843E-7</v>
      </c>
      <c r="C13">
        <v>8.2195929749675843E-7</v>
      </c>
      <c r="D13">
        <v>8.2195929749675843E-7</v>
      </c>
      <c r="E13">
        <v>8.2195929749675843E-7</v>
      </c>
      <c r="F13">
        <v>8.2195929749675843E-7</v>
      </c>
      <c r="G13">
        <v>1.2993064527143799E-7</v>
      </c>
      <c r="H13">
        <v>2.402750629768065E-6</v>
      </c>
      <c r="I13">
        <v>6.857011586165354E-7</v>
      </c>
      <c r="J13">
        <v>1.1267136291424281E-6</v>
      </c>
      <c r="K13">
        <v>1.5198010428860889E-8</v>
      </c>
      <c r="L13">
        <v>8.2195929749675843E-7</v>
      </c>
      <c r="M13">
        <v>8.2195929749675843E-7</v>
      </c>
      <c r="N13">
        <v>8.2195929749675843E-7</v>
      </c>
      <c r="O13">
        <v>8.2195929749675843E-7</v>
      </c>
      <c r="P13">
        <v>8.2195929749675843E-7</v>
      </c>
      <c r="Q13">
        <v>1.2993064527143799E-7</v>
      </c>
      <c r="R13">
        <v>2.402750629768065E-6</v>
      </c>
      <c r="S13">
        <v>6.857011586165354E-7</v>
      </c>
      <c r="T13">
        <v>1.1267136291424281E-6</v>
      </c>
      <c r="U13">
        <v>1.5198010428860889E-8</v>
      </c>
    </row>
    <row r="14" spans="1:21" x14ac:dyDescent="0.25">
      <c r="A14" s="5" t="s">
        <v>76</v>
      </c>
      <c r="B14">
        <v>1.3550141456905961E-4</v>
      </c>
      <c r="C14">
        <v>1.3550141456905961E-4</v>
      </c>
      <c r="D14">
        <v>1.3550141456905961E-4</v>
      </c>
      <c r="E14">
        <v>1.3550141456905961E-4</v>
      </c>
      <c r="F14">
        <v>1.3550141456905961E-4</v>
      </c>
      <c r="G14">
        <v>7.0396420395918793E-4</v>
      </c>
      <c r="H14">
        <v>9.6246710362318869E-3</v>
      </c>
      <c r="I14">
        <v>1.031547193678215E-3</v>
      </c>
      <c r="J14">
        <v>5.2929109715934371E-4</v>
      </c>
      <c r="K14">
        <v>3.4504994181676672E-4</v>
      </c>
      <c r="L14">
        <v>1.3550141456905961E-4</v>
      </c>
      <c r="M14">
        <v>1.3550141456905961E-4</v>
      </c>
      <c r="N14">
        <v>1.3550141456905961E-4</v>
      </c>
      <c r="O14">
        <v>1.3550141456905961E-4</v>
      </c>
      <c r="P14">
        <v>1.3550141456905961E-4</v>
      </c>
      <c r="Q14">
        <v>7.0396420395918793E-4</v>
      </c>
      <c r="R14">
        <v>9.6246710362318869E-3</v>
      </c>
      <c r="S14">
        <v>1.031547193678215E-3</v>
      </c>
      <c r="T14">
        <v>5.2929109715934371E-4</v>
      </c>
      <c r="U14">
        <v>3.4504994181676672E-4</v>
      </c>
    </row>
    <row r="15" spans="1:21" x14ac:dyDescent="0.25">
      <c r="A15" s="5" t="s">
        <v>106</v>
      </c>
      <c r="B15">
        <v>4.0254610556309551E-7</v>
      </c>
      <c r="C15">
        <v>4.0254610556309551E-7</v>
      </c>
      <c r="D15">
        <v>4.0254610556309551E-7</v>
      </c>
      <c r="E15">
        <v>4.0254610556309551E-7</v>
      </c>
      <c r="F15">
        <v>4.0254610556309551E-7</v>
      </c>
      <c r="G15">
        <v>4.3288397214249519E-9</v>
      </c>
      <c r="H15">
        <v>2.968829315582164E-5</v>
      </c>
      <c r="I15">
        <v>8.6261369942863726E-7</v>
      </c>
      <c r="J15">
        <v>0</v>
      </c>
      <c r="K15">
        <v>1.502682627823439E-9</v>
      </c>
      <c r="L15">
        <v>4.0254610556309551E-7</v>
      </c>
      <c r="M15">
        <v>4.0254610556309551E-7</v>
      </c>
      <c r="N15">
        <v>4.0254610556309551E-7</v>
      </c>
      <c r="O15">
        <v>4.0254610556309551E-7</v>
      </c>
      <c r="P15">
        <v>4.0254610556309551E-7</v>
      </c>
      <c r="Q15">
        <v>4.3288397214249519E-9</v>
      </c>
      <c r="R15">
        <v>2.968829315582164E-5</v>
      </c>
      <c r="S15">
        <v>8.6261369942863726E-7</v>
      </c>
      <c r="T15">
        <v>0</v>
      </c>
      <c r="U15">
        <v>1.502682627823439E-9</v>
      </c>
    </row>
    <row r="16" spans="1:21" x14ac:dyDescent="0.25">
      <c r="A16" s="5" t="s">
        <v>69</v>
      </c>
      <c r="B16">
        <v>1.237575397781424E-3</v>
      </c>
      <c r="C16">
        <v>1.237575397781424E-3</v>
      </c>
      <c r="D16">
        <v>1.237575397781424E-3</v>
      </c>
      <c r="E16">
        <v>1.237575397781424E-3</v>
      </c>
      <c r="F16">
        <v>1.237575397781424E-3</v>
      </c>
      <c r="G16">
        <v>2.575170917211613E-3</v>
      </c>
      <c r="H16">
        <v>1.388802930043828E-2</v>
      </c>
      <c r="I16">
        <v>2.9065695475616262E-3</v>
      </c>
      <c r="J16">
        <v>9.2203529402520954E-4</v>
      </c>
      <c r="K16">
        <v>1.2611643504495879E-3</v>
      </c>
      <c r="L16">
        <v>1.237575397781424E-3</v>
      </c>
      <c r="M16">
        <v>1.237575397781424E-3</v>
      </c>
      <c r="N16">
        <v>1.237575397781424E-3</v>
      </c>
      <c r="O16">
        <v>1.237575397781424E-3</v>
      </c>
      <c r="P16">
        <v>1.237575397781424E-3</v>
      </c>
      <c r="Q16">
        <v>2.575170917211613E-3</v>
      </c>
      <c r="R16">
        <v>1.388802930043828E-2</v>
      </c>
      <c r="S16">
        <v>2.9065695475616262E-3</v>
      </c>
      <c r="T16">
        <v>9.2203529402520954E-4</v>
      </c>
      <c r="U16">
        <v>1.2611643504495879E-3</v>
      </c>
    </row>
    <row r="17" spans="1:21" x14ac:dyDescent="0.25">
      <c r="A17" s="5" t="s">
        <v>94</v>
      </c>
      <c r="B17">
        <v>6.8751676256965546E-6</v>
      </c>
      <c r="C17">
        <v>6.8751676256965546E-6</v>
      </c>
      <c r="D17">
        <v>6.8751676256965546E-6</v>
      </c>
      <c r="E17">
        <v>6.8751676256965546E-6</v>
      </c>
      <c r="F17">
        <v>6.8751676256965546E-6</v>
      </c>
      <c r="G17">
        <v>7.2945960984419618E-5</v>
      </c>
      <c r="H17">
        <v>4.9440174350260372E-5</v>
      </c>
      <c r="I17">
        <v>1.085376835787006E-4</v>
      </c>
      <c r="J17">
        <v>5.7337811895286817E-5</v>
      </c>
      <c r="K17">
        <v>5.5305355275847891E-5</v>
      </c>
      <c r="L17">
        <v>6.8751676256965546E-6</v>
      </c>
      <c r="M17">
        <v>6.8751676256965546E-6</v>
      </c>
      <c r="N17">
        <v>6.8751676256965546E-6</v>
      </c>
      <c r="O17">
        <v>6.8751676256965546E-6</v>
      </c>
      <c r="P17">
        <v>6.8751676256965546E-6</v>
      </c>
      <c r="Q17">
        <v>7.2945960984419618E-5</v>
      </c>
      <c r="R17">
        <v>4.9440174350260372E-5</v>
      </c>
      <c r="S17">
        <v>1.085376835787006E-4</v>
      </c>
      <c r="T17">
        <v>5.7337811895286817E-5</v>
      </c>
      <c r="U17">
        <v>5.5305355275847891E-5</v>
      </c>
    </row>
    <row r="18" spans="1:21" x14ac:dyDescent="0.25">
      <c r="A18" s="5" t="s">
        <v>92</v>
      </c>
      <c r="B18">
        <v>1.104341639596668E-5</v>
      </c>
      <c r="C18">
        <v>1.104341639596668E-5</v>
      </c>
      <c r="D18">
        <v>1.104341639596668E-5</v>
      </c>
      <c r="E18">
        <v>1.104341639596668E-5</v>
      </c>
      <c r="F18">
        <v>1.104341639596668E-5</v>
      </c>
      <c r="G18">
        <v>4.7242522333661451E-4</v>
      </c>
      <c r="H18">
        <v>5.5291538779853001E-3</v>
      </c>
      <c r="I18">
        <v>5.9501363530063472E-4</v>
      </c>
      <c r="J18">
        <v>1.044554132713858E-4</v>
      </c>
      <c r="K18">
        <v>1.8074616346646031E-4</v>
      </c>
      <c r="L18">
        <v>1.104341639596668E-5</v>
      </c>
      <c r="M18">
        <v>1.104341639596668E-5</v>
      </c>
      <c r="N18">
        <v>1.104341639596668E-5</v>
      </c>
      <c r="O18">
        <v>1.104341639596668E-5</v>
      </c>
      <c r="P18">
        <v>1.104341639596668E-5</v>
      </c>
      <c r="Q18">
        <v>4.7242522333661451E-4</v>
      </c>
      <c r="R18">
        <v>5.5291538779853001E-3</v>
      </c>
      <c r="S18">
        <v>5.9501363530063472E-4</v>
      </c>
      <c r="T18">
        <v>1.044554132713858E-4</v>
      </c>
      <c r="U18">
        <v>1.8074616346646031E-4</v>
      </c>
    </row>
    <row r="19" spans="1:21" x14ac:dyDescent="0.25">
      <c r="A19" s="5" t="s">
        <v>83</v>
      </c>
      <c r="B19">
        <v>2.7436865304673759E-5</v>
      </c>
      <c r="C19">
        <v>2.7436865304673759E-5</v>
      </c>
      <c r="D19">
        <v>2.7436865304673759E-5</v>
      </c>
      <c r="E19">
        <v>2.7436865304673759E-5</v>
      </c>
      <c r="F19">
        <v>2.7436865304673759E-5</v>
      </c>
      <c r="G19">
        <v>3.9956949596320232E-5</v>
      </c>
      <c r="H19">
        <v>5.0015275040269562E-4</v>
      </c>
      <c r="I19">
        <v>7.2673524981885235E-5</v>
      </c>
      <c r="J19">
        <v>2.5580880964077081E-5</v>
      </c>
      <c r="K19">
        <v>1.4370896059837831E-4</v>
      </c>
      <c r="L19">
        <v>2.7436865304673759E-5</v>
      </c>
      <c r="M19">
        <v>2.7436865304673759E-5</v>
      </c>
      <c r="N19">
        <v>2.7436865304673759E-5</v>
      </c>
      <c r="O19">
        <v>2.7436865304673759E-5</v>
      </c>
      <c r="P19">
        <v>2.7436865304673759E-5</v>
      </c>
      <c r="Q19">
        <v>3.9956949596320232E-5</v>
      </c>
      <c r="R19">
        <v>5.0015275040269562E-4</v>
      </c>
      <c r="S19">
        <v>7.2673524981885235E-5</v>
      </c>
      <c r="T19">
        <v>2.5580880964077081E-5</v>
      </c>
      <c r="U19">
        <v>1.4370896059837831E-4</v>
      </c>
    </row>
    <row r="20" spans="1:21" x14ac:dyDescent="0.25">
      <c r="A20" s="5" t="s">
        <v>125</v>
      </c>
      <c r="B20">
        <v>1.607533015091188E-7</v>
      </c>
      <c r="C20">
        <v>1.607533015091188E-7</v>
      </c>
      <c r="D20">
        <v>1.607533015091188E-7</v>
      </c>
      <c r="E20">
        <v>1.607533015091188E-7</v>
      </c>
      <c r="F20">
        <v>1.607533015091188E-7</v>
      </c>
      <c r="G20">
        <v>1.199814765168864E-5</v>
      </c>
      <c r="H20">
        <v>7.9683448619071459E-4</v>
      </c>
      <c r="I20">
        <v>8.1903572881627011E-7</v>
      </c>
      <c r="J20">
        <v>2.8129689940847388E-6</v>
      </c>
      <c r="K20">
        <v>2.500254296416363E-8</v>
      </c>
      <c r="L20">
        <v>1.607533015091188E-7</v>
      </c>
      <c r="M20">
        <v>1.607533015091188E-7</v>
      </c>
      <c r="N20">
        <v>1.607533015091188E-7</v>
      </c>
      <c r="O20">
        <v>1.607533015091188E-7</v>
      </c>
      <c r="P20">
        <v>1.607533015091188E-7</v>
      </c>
      <c r="Q20">
        <v>1.199814765168864E-5</v>
      </c>
      <c r="R20">
        <v>7.9683448619071459E-4</v>
      </c>
      <c r="S20">
        <v>8.1903572881627011E-7</v>
      </c>
      <c r="T20">
        <v>2.8129689940847388E-6</v>
      </c>
      <c r="U20">
        <v>2.500254296416363E-8</v>
      </c>
    </row>
    <row r="21" spans="1:21" x14ac:dyDescent="0.25">
      <c r="A21" s="5" t="s">
        <v>100</v>
      </c>
      <c r="B21">
        <v>1.5537873584888951E-6</v>
      </c>
      <c r="C21">
        <v>1.5537873584888951E-6</v>
      </c>
      <c r="D21">
        <v>1.5537873584888951E-6</v>
      </c>
      <c r="E21">
        <v>1.5537873584888951E-6</v>
      </c>
      <c r="F21">
        <v>1.5537873584888951E-6</v>
      </c>
      <c r="G21">
        <v>6.9946130933597072E-7</v>
      </c>
      <c r="H21">
        <v>2.5134162965419381E-5</v>
      </c>
      <c r="I21">
        <v>1.388326702121588E-6</v>
      </c>
      <c r="J21">
        <v>2.13489837322779E-6</v>
      </c>
      <c r="K21">
        <v>1.3450837443332311E-7</v>
      </c>
      <c r="L21">
        <v>1.5537873584888951E-6</v>
      </c>
      <c r="M21">
        <v>1.5537873584888951E-6</v>
      </c>
      <c r="N21">
        <v>1.5537873584888951E-6</v>
      </c>
      <c r="O21">
        <v>1.5537873584888951E-6</v>
      </c>
      <c r="P21">
        <v>1.5537873584888951E-6</v>
      </c>
      <c r="Q21">
        <v>6.9946130933597072E-7</v>
      </c>
      <c r="R21">
        <v>2.5134162965419381E-5</v>
      </c>
      <c r="S21">
        <v>1.388326702121588E-6</v>
      </c>
      <c r="T21">
        <v>2.13489837322779E-6</v>
      </c>
      <c r="U21">
        <v>1.3450837443332311E-7</v>
      </c>
    </row>
    <row r="22" spans="1:21" x14ac:dyDescent="0.25">
      <c r="A22" s="5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2.4564542504476819E-6</v>
      </c>
      <c r="H22">
        <v>4.0614749801009243E-6</v>
      </c>
      <c r="I22">
        <v>3.0383422811580311E-6</v>
      </c>
      <c r="J22">
        <v>3.1756024607800052E-4</v>
      </c>
      <c r="K22">
        <v>1.076477993879262E-6</v>
      </c>
      <c r="L22">
        <v>0</v>
      </c>
      <c r="M22">
        <v>0</v>
      </c>
      <c r="N22">
        <v>0</v>
      </c>
      <c r="O22">
        <v>0</v>
      </c>
      <c r="P22">
        <v>0</v>
      </c>
      <c r="Q22">
        <v>2.4564542504476819E-6</v>
      </c>
      <c r="R22">
        <v>4.0614749801009243E-6</v>
      </c>
      <c r="S22">
        <v>3.0383422811580311E-6</v>
      </c>
      <c r="T22">
        <v>3.1756024607800052E-4</v>
      </c>
      <c r="U22">
        <v>1.076477993879262E-6</v>
      </c>
    </row>
    <row r="23" spans="1:21" x14ac:dyDescent="0.25">
      <c r="A23" s="5" t="s">
        <v>70</v>
      </c>
      <c r="B23">
        <v>6.6904314433959716E-4</v>
      </c>
      <c r="C23">
        <v>6.6904314433959716E-4</v>
      </c>
      <c r="D23">
        <v>6.6904314433959716E-4</v>
      </c>
      <c r="E23">
        <v>6.6904314433959716E-4</v>
      </c>
      <c r="F23">
        <v>6.6904314433959716E-4</v>
      </c>
      <c r="G23">
        <v>2.8034086404737191E-3</v>
      </c>
      <c r="H23">
        <v>1.069964495033666E-2</v>
      </c>
      <c r="I23">
        <v>7.2261839473354234E-3</v>
      </c>
      <c r="J23">
        <v>1.2080738197928239E-3</v>
      </c>
      <c r="K23">
        <v>3.0751073882455712E-3</v>
      </c>
      <c r="L23">
        <v>6.6904314433959716E-4</v>
      </c>
      <c r="M23">
        <v>6.6904314433959716E-4</v>
      </c>
      <c r="N23">
        <v>6.6904314433959716E-4</v>
      </c>
      <c r="O23">
        <v>6.6904314433959716E-4</v>
      </c>
      <c r="P23">
        <v>6.6904314433959716E-4</v>
      </c>
      <c r="Q23">
        <v>2.8034086404737191E-3</v>
      </c>
      <c r="R23">
        <v>1.069964495033666E-2</v>
      </c>
      <c r="S23">
        <v>7.2261839473354234E-3</v>
      </c>
      <c r="T23">
        <v>1.2080738197928239E-3</v>
      </c>
      <c r="U23">
        <v>3.0751073882455712E-3</v>
      </c>
    </row>
    <row r="24" spans="1:21" x14ac:dyDescent="0.25">
      <c r="A24" s="5" t="s">
        <v>88</v>
      </c>
      <c r="B24">
        <v>2.7503167341575602E-5</v>
      </c>
      <c r="C24">
        <v>2.7503167341575602E-5</v>
      </c>
      <c r="D24">
        <v>2.7503167341575602E-5</v>
      </c>
      <c r="E24">
        <v>2.7503167341575602E-5</v>
      </c>
      <c r="F24">
        <v>2.7503167341575602E-5</v>
      </c>
      <c r="G24">
        <v>3.4369286302790499E-5</v>
      </c>
      <c r="H24">
        <v>2.289067928862146E-4</v>
      </c>
      <c r="I24">
        <v>4.4138412154558512E-5</v>
      </c>
      <c r="J24">
        <v>2.6243114456418219E-5</v>
      </c>
      <c r="K24">
        <v>1.1534707903664021E-5</v>
      </c>
      <c r="L24">
        <v>2.7503167341575602E-5</v>
      </c>
      <c r="M24">
        <v>2.7503167341575602E-5</v>
      </c>
      <c r="N24">
        <v>2.7503167341575602E-5</v>
      </c>
      <c r="O24">
        <v>2.7503167341575602E-5</v>
      </c>
      <c r="P24">
        <v>2.7503167341575602E-5</v>
      </c>
      <c r="Q24">
        <v>3.4369286302790499E-5</v>
      </c>
      <c r="R24">
        <v>2.289067928862146E-4</v>
      </c>
      <c r="S24">
        <v>4.4138412154558512E-5</v>
      </c>
      <c r="T24">
        <v>2.6243114456418219E-5</v>
      </c>
      <c r="U24">
        <v>1.1534707903664021E-5</v>
      </c>
    </row>
    <row r="25" spans="1:21" x14ac:dyDescent="0.25">
      <c r="A25" s="5" t="s">
        <v>75</v>
      </c>
      <c r="B25">
        <v>2.7582215549349981E-4</v>
      </c>
      <c r="C25">
        <v>2.7582215549349981E-4</v>
      </c>
      <c r="D25">
        <v>2.7582215549349981E-4</v>
      </c>
      <c r="E25">
        <v>2.7582215549349981E-4</v>
      </c>
      <c r="F25">
        <v>2.7582215549349981E-4</v>
      </c>
      <c r="G25">
        <v>1.003011948262734E-3</v>
      </c>
      <c r="H25">
        <v>2.7312394172979721E-3</v>
      </c>
      <c r="I25">
        <v>9.4745068152637967E-4</v>
      </c>
      <c r="J25">
        <v>3.779588184844681E-4</v>
      </c>
      <c r="K25">
        <v>4.5225145969638678E-4</v>
      </c>
      <c r="L25">
        <v>2.7582215549349981E-4</v>
      </c>
      <c r="M25">
        <v>2.7582215549349981E-4</v>
      </c>
      <c r="N25">
        <v>2.7582215549349981E-4</v>
      </c>
      <c r="O25">
        <v>2.7582215549349981E-4</v>
      </c>
      <c r="P25">
        <v>2.7582215549349981E-4</v>
      </c>
      <c r="Q25">
        <v>1.003011948262734E-3</v>
      </c>
      <c r="R25">
        <v>2.7312394172979721E-3</v>
      </c>
      <c r="S25">
        <v>9.4745068152637967E-4</v>
      </c>
      <c r="T25">
        <v>3.779588184844681E-4</v>
      </c>
      <c r="U25">
        <v>4.5225145969638678E-4</v>
      </c>
    </row>
    <row r="26" spans="1:21" x14ac:dyDescent="0.25">
      <c r="A26" s="5" t="s">
        <v>81</v>
      </c>
      <c r="B26">
        <v>7.4306741121852788E-5</v>
      </c>
      <c r="C26">
        <v>7.4306741121852788E-5</v>
      </c>
      <c r="D26">
        <v>7.4306741121852788E-5</v>
      </c>
      <c r="E26">
        <v>7.4306741121852788E-5</v>
      </c>
      <c r="F26">
        <v>7.4306741121852788E-5</v>
      </c>
      <c r="G26">
        <v>4.5018841965011351E-4</v>
      </c>
      <c r="H26">
        <v>3.0063752151642149E-3</v>
      </c>
      <c r="I26">
        <v>5.0893580305886677E-4</v>
      </c>
      <c r="J26">
        <v>3.1094221673609758E-4</v>
      </c>
      <c r="K26">
        <v>4.0184546685072151E-4</v>
      </c>
      <c r="L26">
        <v>7.4306741121852788E-5</v>
      </c>
      <c r="M26">
        <v>7.4306741121852788E-5</v>
      </c>
      <c r="N26">
        <v>7.4306741121852788E-5</v>
      </c>
      <c r="O26">
        <v>7.4306741121852788E-5</v>
      </c>
      <c r="P26">
        <v>7.4306741121852788E-5</v>
      </c>
      <c r="Q26">
        <v>4.5018841965011351E-4</v>
      </c>
      <c r="R26">
        <v>3.0063752151642149E-3</v>
      </c>
      <c r="S26">
        <v>5.0893580305886677E-4</v>
      </c>
      <c r="T26">
        <v>3.1094221673609758E-4</v>
      </c>
      <c r="U26">
        <v>4.0184546685072151E-4</v>
      </c>
    </row>
    <row r="27" spans="1:21" x14ac:dyDescent="0.25">
      <c r="A27" s="5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8.4668573351157094E-9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8.4668573351157094E-9</v>
      </c>
      <c r="S27">
        <v>0</v>
      </c>
      <c r="T27">
        <v>0</v>
      </c>
      <c r="U27">
        <v>0</v>
      </c>
    </row>
    <row r="28" spans="1:21" x14ac:dyDescent="0.25">
      <c r="A28" s="5" t="s">
        <v>84</v>
      </c>
      <c r="B28">
        <v>1.936061976145763E-5</v>
      </c>
      <c r="C28">
        <v>1.936061976145763E-5</v>
      </c>
      <c r="D28">
        <v>1.936061976145763E-5</v>
      </c>
      <c r="E28">
        <v>1.936061976145763E-5</v>
      </c>
      <c r="F28">
        <v>1.936061976145763E-5</v>
      </c>
      <c r="G28">
        <v>1.545818822809056E-4</v>
      </c>
      <c r="H28">
        <v>8.3812524601575254E-3</v>
      </c>
      <c r="I28">
        <v>7.4086277149028779E-6</v>
      </c>
      <c r="J28">
        <v>1.997275388852093E-5</v>
      </c>
      <c r="K28">
        <v>1.664904224267967E-5</v>
      </c>
      <c r="L28">
        <v>1.936061976145763E-5</v>
      </c>
      <c r="M28">
        <v>1.936061976145763E-5</v>
      </c>
      <c r="N28">
        <v>1.936061976145763E-5</v>
      </c>
      <c r="O28">
        <v>1.936061976145763E-5</v>
      </c>
      <c r="P28">
        <v>1.936061976145763E-5</v>
      </c>
      <c r="Q28">
        <v>1.545818822809056E-4</v>
      </c>
      <c r="R28">
        <v>8.3812524601575254E-3</v>
      </c>
      <c r="S28">
        <v>7.4086277149028779E-6</v>
      </c>
      <c r="T28">
        <v>1.997275388852093E-5</v>
      </c>
      <c r="U28">
        <v>1.664904224267967E-5</v>
      </c>
    </row>
    <row r="29" spans="1:21" x14ac:dyDescent="0.25">
      <c r="A29" s="5" t="s">
        <v>102</v>
      </c>
      <c r="B29">
        <v>1.454892442475409E-6</v>
      </c>
      <c r="C29">
        <v>1.454892442475409E-6</v>
      </c>
      <c r="D29">
        <v>1.454892442475409E-6</v>
      </c>
      <c r="E29">
        <v>1.454892442475409E-6</v>
      </c>
      <c r="F29">
        <v>1.454892442475409E-6</v>
      </c>
      <c r="G29">
        <v>1.4385733242905781E-4</v>
      </c>
      <c r="H29">
        <v>4.9198732295603002E-4</v>
      </c>
      <c r="I29">
        <v>1.61425409017886E-4</v>
      </c>
      <c r="J29">
        <v>2.3279829778292561E-5</v>
      </c>
      <c r="K29">
        <v>6.3545327665909463E-5</v>
      </c>
      <c r="L29">
        <v>1.454892442475409E-6</v>
      </c>
      <c r="M29">
        <v>1.454892442475409E-6</v>
      </c>
      <c r="N29">
        <v>1.454892442475409E-6</v>
      </c>
      <c r="O29">
        <v>1.454892442475409E-6</v>
      </c>
      <c r="P29">
        <v>1.454892442475409E-6</v>
      </c>
      <c r="Q29">
        <v>1.4385733242905781E-4</v>
      </c>
      <c r="R29">
        <v>4.9198732295603002E-4</v>
      </c>
      <c r="S29">
        <v>1.61425409017886E-4</v>
      </c>
      <c r="T29">
        <v>2.3279829778292561E-5</v>
      </c>
      <c r="U29">
        <v>6.3545327665909463E-5</v>
      </c>
    </row>
    <row r="30" spans="1:21" x14ac:dyDescent="0.25">
      <c r="A30" s="5" t="s">
        <v>95</v>
      </c>
      <c r="B30">
        <v>6.6427502549859154E-6</v>
      </c>
      <c r="C30">
        <v>6.6427502549859154E-6</v>
      </c>
      <c r="D30">
        <v>6.6427502549859154E-6</v>
      </c>
      <c r="E30">
        <v>6.6427502549859154E-6</v>
      </c>
      <c r="F30">
        <v>6.6427502549859154E-6</v>
      </c>
      <c r="G30">
        <v>1.150785813104343E-4</v>
      </c>
      <c r="H30">
        <v>1.3155154898661251E-4</v>
      </c>
      <c r="I30">
        <v>2.6956589201409333E-4</v>
      </c>
      <c r="J30">
        <v>6.7428065392963728E-5</v>
      </c>
      <c r="K30">
        <v>6.9135878392514088E-5</v>
      </c>
      <c r="L30">
        <v>6.6427502549859154E-6</v>
      </c>
      <c r="M30">
        <v>6.6427502549859154E-6</v>
      </c>
      <c r="N30">
        <v>6.6427502549859154E-6</v>
      </c>
      <c r="O30">
        <v>6.6427502549859154E-6</v>
      </c>
      <c r="P30">
        <v>6.6427502549859154E-6</v>
      </c>
      <c r="Q30">
        <v>1.150785813104343E-4</v>
      </c>
      <c r="R30">
        <v>1.3155154898661251E-4</v>
      </c>
      <c r="S30">
        <v>2.6956589201409333E-4</v>
      </c>
      <c r="T30">
        <v>6.7428065392963728E-5</v>
      </c>
      <c r="U30">
        <v>6.9135878392514088E-5</v>
      </c>
    </row>
    <row r="31" spans="1:21" x14ac:dyDescent="0.25">
      <c r="A31" s="5" t="s">
        <v>103</v>
      </c>
      <c r="B31">
        <v>1.2678021279241169E-6</v>
      </c>
      <c r="C31">
        <v>1.2678021279241169E-6</v>
      </c>
      <c r="D31">
        <v>1.2678021279241169E-6</v>
      </c>
      <c r="E31">
        <v>1.2678021279241169E-6</v>
      </c>
      <c r="F31">
        <v>1.2678021279241169E-6</v>
      </c>
      <c r="G31">
        <v>1.199288237687522E-5</v>
      </c>
      <c r="H31">
        <v>7.7411282606785624E-4</v>
      </c>
      <c r="I31">
        <v>1.130000713314288E-4</v>
      </c>
      <c r="J31">
        <v>2.434813249652768E-5</v>
      </c>
      <c r="K31">
        <v>1.362176509255778E-5</v>
      </c>
      <c r="L31">
        <v>1.2678021279241169E-6</v>
      </c>
      <c r="M31">
        <v>1.2678021279241169E-6</v>
      </c>
      <c r="N31">
        <v>1.2678021279241169E-6</v>
      </c>
      <c r="O31">
        <v>1.2678021279241169E-6</v>
      </c>
      <c r="P31">
        <v>1.2678021279241169E-6</v>
      </c>
      <c r="Q31">
        <v>1.199288237687522E-5</v>
      </c>
      <c r="R31">
        <v>7.7411282606785624E-4</v>
      </c>
      <c r="S31">
        <v>1.130000713314288E-4</v>
      </c>
      <c r="T31">
        <v>2.434813249652768E-5</v>
      </c>
      <c r="U31">
        <v>1.362176509255778E-5</v>
      </c>
    </row>
    <row r="32" spans="1:21" x14ac:dyDescent="0.25">
      <c r="A32" s="5" t="s">
        <v>98</v>
      </c>
      <c r="B32">
        <v>4.469436155817745E-6</v>
      </c>
      <c r="C32">
        <v>4.469436155817745E-6</v>
      </c>
      <c r="D32">
        <v>4.469436155817745E-6</v>
      </c>
      <c r="E32">
        <v>4.469436155817745E-6</v>
      </c>
      <c r="F32">
        <v>4.469436155817745E-6</v>
      </c>
      <c r="G32">
        <v>1.029315720278948E-4</v>
      </c>
      <c r="H32">
        <v>4.0158303979587098E-4</v>
      </c>
      <c r="I32">
        <v>1.117449858634669E-4</v>
      </c>
      <c r="J32">
        <v>5.5989646550107861E-5</v>
      </c>
      <c r="K32">
        <v>4.9129506657625268E-5</v>
      </c>
      <c r="L32">
        <v>4.469436155817745E-6</v>
      </c>
      <c r="M32">
        <v>4.469436155817745E-6</v>
      </c>
      <c r="N32">
        <v>4.469436155817745E-6</v>
      </c>
      <c r="O32">
        <v>4.469436155817745E-6</v>
      </c>
      <c r="P32">
        <v>4.469436155817745E-6</v>
      </c>
      <c r="Q32">
        <v>1.029315720278948E-4</v>
      </c>
      <c r="R32">
        <v>4.0158303979587098E-4</v>
      </c>
      <c r="S32">
        <v>1.117449858634669E-4</v>
      </c>
      <c r="T32">
        <v>5.5989646550107861E-5</v>
      </c>
      <c r="U32">
        <v>4.9129506657625268E-5</v>
      </c>
    </row>
    <row r="33" spans="1:21" x14ac:dyDescent="0.25">
      <c r="A33" s="5" t="s">
        <v>99</v>
      </c>
      <c r="B33">
        <v>4.1836439337106997E-6</v>
      </c>
      <c r="C33">
        <v>4.1836439337106997E-6</v>
      </c>
      <c r="D33">
        <v>4.1836439337106997E-6</v>
      </c>
      <c r="E33">
        <v>4.1836439337106997E-6</v>
      </c>
      <c r="F33">
        <v>4.1836439337106997E-6</v>
      </c>
      <c r="G33">
        <v>3.0064623907846601E-6</v>
      </c>
      <c r="H33">
        <v>2.461774383663177E-5</v>
      </c>
      <c r="I33">
        <v>3.658391697293562E-6</v>
      </c>
      <c r="J33">
        <v>3.4967110157884218E-6</v>
      </c>
      <c r="K33">
        <v>2.0440730329373648E-6</v>
      </c>
      <c r="L33">
        <v>4.1836439337106997E-6</v>
      </c>
      <c r="M33">
        <v>4.1836439337106997E-6</v>
      </c>
      <c r="N33">
        <v>4.1836439337106997E-6</v>
      </c>
      <c r="O33">
        <v>4.1836439337106997E-6</v>
      </c>
      <c r="P33">
        <v>4.1836439337106997E-6</v>
      </c>
      <c r="Q33">
        <v>3.0064623907846601E-6</v>
      </c>
      <c r="R33">
        <v>2.461774383663177E-5</v>
      </c>
      <c r="S33">
        <v>3.658391697293562E-6</v>
      </c>
      <c r="T33">
        <v>3.4967110157884218E-6</v>
      </c>
      <c r="U33">
        <v>2.0440730329373648E-6</v>
      </c>
    </row>
    <row r="34" spans="1:21" x14ac:dyDescent="0.25">
      <c r="A34" s="5" t="s">
        <v>78</v>
      </c>
      <c r="B34">
        <v>2.5700426610737449E-4</v>
      </c>
      <c r="C34">
        <v>2.5700426610737449E-4</v>
      </c>
      <c r="D34">
        <v>2.5700426610737449E-4</v>
      </c>
      <c r="E34">
        <v>2.5700426610737449E-4</v>
      </c>
      <c r="F34">
        <v>2.5700426610737449E-4</v>
      </c>
      <c r="G34">
        <v>1.4649871638447681E-3</v>
      </c>
      <c r="H34">
        <v>4.3405185596521326E-3</v>
      </c>
      <c r="I34">
        <v>1.2649936865932569E-3</v>
      </c>
      <c r="J34">
        <v>4.6280622076197442E-4</v>
      </c>
      <c r="K34">
        <v>6.3820421450270105E-4</v>
      </c>
      <c r="L34">
        <v>2.5700426610737449E-4</v>
      </c>
      <c r="M34">
        <v>2.5700426610737449E-4</v>
      </c>
      <c r="N34">
        <v>2.5700426610737449E-4</v>
      </c>
      <c r="O34">
        <v>2.5700426610737449E-4</v>
      </c>
      <c r="P34">
        <v>2.5700426610737449E-4</v>
      </c>
      <c r="Q34">
        <v>1.4649871638447681E-3</v>
      </c>
      <c r="R34">
        <v>4.3405185596521326E-3</v>
      </c>
      <c r="S34">
        <v>1.2649936865932569E-3</v>
      </c>
      <c r="T34">
        <v>4.6280622076197442E-4</v>
      </c>
      <c r="U34">
        <v>6.3820421450270105E-4</v>
      </c>
    </row>
    <row r="35" spans="1:21" x14ac:dyDescent="0.25">
      <c r="A35" s="5" t="s">
        <v>87</v>
      </c>
      <c r="B35">
        <v>2.9105584498840441E-5</v>
      </c>
      <c r="C35">
        <v>2.9105584498840441E-5</v>
      </c>
      <c r="D35">
        <v>2.9105584498840441E-5</v>
      </c>
      <c r="E35">
        <v>2.9105584498840441E-5</v>
      </c>
      <c r="F35">
        <v>2.9105584498840441E-5</v>
      </c>
      <c r="G35">
        <v>4.4239800119397349E-3</v>
      </c>
      <c r="H35">
        <v>5.7544082497048409E-3</v>
      </c>
      <c r="I35">
        <v>4.4106619397955207E-3</v>
      </c>
      <c r="J35">
        <v>9.9370886126550688E-4</v>
      </c>
      <c r="K35">
        <v>2.0354229286334178E-3</v>
      </c>
      <c r="L35">
        <v>2.9105584498840441E-5</v>
      </c>
      <c r="M35">
        <v>2.9105584498840441E-5</v>
      </c>
      <c r="N35">
        <v>2.9105584498840441E-5</v>
      </c>
      <c r="O35">
        <v>2.9105584498840441E-5</v>
      </c>
      <c r="P35">
        <v>2.9105584498840441E-5</v>
      </c>
      <c r="Q35">
        <v>4.4239800119397349E-3</v>
      </c>
      <c r="R35">
        <v>5.7544082497048409E-3</v>
      </c>
      <c r="S35">
        <v>4.4106619397955207E-3</v>
      </c>
      <c r="T35">
        <v>9.9370886126550688E-4</v>
      </c>
      <c r="U35">
        <v>2.0354229286334178E-3</v>
      </c>
    </row>
    <row r="36" spans="1:21" x14ac:dyDescent="0.25">
      <c r="A36" s="5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1.9822641095167831E-8</v>
      </c>
      <c r="H36">
        <v>2.5828303221923381E-6</v>
      </c>
      <c r="I36">
        <v>3.6908481508241828E-7</v>
      </c>
      <c r="J36">
        <v>2.2238821350939742E-6</v>
      </c>
      <c r="K36">
        <v>1.628678057223488E-8</v>
      </c>
      <c r="L36">
        <v>0</v>
      </c>
      <c r="M36">
        <v>0</v>
      </c>
      <c r="N36">
        <v>0</v>
      </c>
      <c r="O36">
        <v>0</v>
      </c>
      <c r="P36">
        <v>0</v>
      </c>
      <c r="Q36">
        <v>1.9822641095167831E-8</v>
      </c>
      <c r="R36">
        <v>2.5828303221923381E-6</v>
      </c>
      <c r="S36">
        <v>3.6908481508241828E-7</v>
      </c>
      <c r="T36">
        <v>2.2238821350939742E-6</v>
      </c>
      <c r="U36">
        <v>1.628678057223488E-8</v>
      </c>
    </row>
    <row r="37" spans="1:21" x14ac:dyDescent="0.25">
      <c r="A37" s="5" t="s">
        <v>74</v>
      </c>
      <c r="B37">
        <v>1.5428661044952419E-4</v>
      </c>
      <c r="C37">
        <v>1.5428661044952419E-4</v>
      </c>
      <c r="D37">
        <v>1.5428661044952419E-4</v>
      </c>
      <c r="E37">
        <v>1.5428661044952419E-4</v>
      </c>
      <c r="F37">
        <v>1.5428661044952419E-4</v>
      </c>
      <c r="G37">
        <v>7.1249511801686261E-4</v>
      </c>
      <c r="H37">
        <v>2.172655887020218E-3</v>
      </c>
      <c r="I37">
        <v>5.3312504950040179E-4</v>
      </c>
      <c r="J37">
        <v>2.5188540532951201E-4</v>
      </c>
      <c r="K37">
        <v>3.1819286889181052E-4</v>
      </c>
      <c r="L37">
        <v>1.5428661044952419E-4</v>
      </c>
      <c r="M37">
        <v>1.5428661044952419E-4</v>
      </c>
      <c r="N37">
        <v>1.5428661044952419E-4</v>
      </c>
      <c r="O37">
        <v>1.5428661044952419E-4</v>
      </c>
      <c r="P37">
        <v>1.5428661044952419E-4</v>
      </c>
      <c r="Q37">
        <v>7.1249511801686261E-4</v>
      </c>
      <c r="R37">
        <v>2.172655887020218E-3</v>
      </c>
      <c r="S37">
        <v>5.3312504950040179E-4</v>
      </c>
      <c r="T37">
        <v>2.5188540532951201E-4</v>
      </c>
      <c r="U37">
        <v>3.1819286889181052E-4</v>
      </c>
    </row>
    <row r="38" spans="1:21" x14ac:dyDescent="0.25">
      <c r="A38" s="5" t="s">
        <v>44</v>
      </c>
      <c r="B38">
        <v>1.5136217845245169E-2</v>
      </c>
      <c r="C38">
        <v>1.5136217845245169E-2</v>
      </c>
      <c r="D38">
        <v>1.5136217845245169E-2</v>
      </c>
      <c r="E38">
        <v>1.5136217845245169E-2</v>
      </c>
      <c r="F38">
        <v>1.5136217845245169E-2</v>
      </c>
      <c r="G38">
        <v>3.8033253231499697E-2</v>
      </c>
      <c r="H38">
        <v>4.7217384151510451E-2</v>
      </c>
      <c r="I38">
        <v>3.004127214380756E-2</v>
      </c>
      <c r="J38">
        <v>1.583485155688788E-2</v>
      </c>
      <c r="K38">
        <v>3.8287041345078578E-2</v>
      </c>
      <c r="L38">
        <v>1.5136217845245169E-2</v>
      </c>
      <c r="M38">
        <v>1.5136217845245169E-2</v>
      </c>
      <c r="N38">
        <v>1.5136217845245169E-2</v>
      </c>
      <c r="O38">
        <v>1.5136217845245169E-2</v>
      </c>
      <c r="P38">
        <v>1.5136217845245169E-2</v>
      </c>
      <c r="Q38">
        <v>4.2577403195567153E-2</v>
      </c>
      <c r="R38">
        <v>0.1183436986119954</v>
      </c>
      <c r="S38">
        <v>3.3817967097340022E-2</v>
      </c>
      <c r="T38">
        <v>2.3904682765960122E-2</v>
      </c>
      <c r="U38">
        <v>4.1316910772186188E-2</v>
      </c>
    </row>
    <row r="39" spans="1:21" x14ac:dyDescent="0.25">
      <c r="A39" s="5" t="s">
        <v>77</v>
      </c>
      <c r="B39">
        <v>1.9700882918950141E-4</v>
      </c>
      <c r="C39">
        <v>1.9700882918950141E-4</v>
      </c>
      <c r="D39">
        <v>1.9700882918950141E-4</v>
      </c>
      <c r="E39">
        <v>1.9700882918950141E-4</v>
      </c>
      <c r="F39">
        <v>1.9700882918950141E-4</v>
      </c>
      <c r="G39">
        <v>7.4884935390213698E-4</v>
      </c>
      <c r="H39">
        <v>3.1319008077361809E-3</v>
      </c>
      <c r="I39">
        <v>8.2523722908311873E-4</v>
      </c>
      <c r="J39">
        <v>1.8428988194421221E-4</v>
      </c>
      <c r="K39">
        <v>3.2802421519655318E-4</v>
      </c>
      <c r="L39">
        <v>1.9700882918950141E-4</v>
      </c>
      <c r="M39">
        <v>1.9700882918950141E-4</v>
      </c>
      <c r="N39">
        <v>1.9700882918950141E-4</v>
      </c>
      <c r="O39">
        <v>1.9700882918950141E-4</v>
      </c>
      <c r="P39">
        <v>1.9700882918950141E-4</v>
      </c>
      <c r="Q39">
        <v>7.4884935390213698E-4</v>
      </c>
      <c r="R39">
        <v>3.1319008077361809E-3</v>
      </c>
      <c r="S39">
        <v>8.2523722908311873E-4</v>
      </c>
      <c r="T39">
        <v>1.8428988194421221E-4</v>
      </c>
      <c r="U39">
        <v>3.2802421519655318E-4</v>
      </c>
    </row>
    <row r="40" spans="1:21" x14ac:dyDescent="0.25">
      <c r="A40" s="5" t="s">
        <v>37</v>
      </c>
      <c r="B40">
        <v>2.1743150490235578E-3</v>
      </c>
      <c r="C40">
        <v>2.1743150490235578E-3</v>
      </c>
      <c r="D40">
        <v>2.1743150490235578E-3</v>
      </c>
      <c r="E40">
        <v>2.1743150490235578E-3</v>
      </c>
      <c r="F40">
        <v>2.1743150490235578E-3</v>
      </c>
      <c r="G40">
        <v>2.3301417410485372E-3</v>
      </c>
      <c r="H40">
        <v>2.3505378542316522E-3</v>
      </c>
      <c r="I40">
        <v>2.10893983020074E-3</v>
      </c>
      <c r="J40">
        <v>3.2731578664501092E-3</v>
      </c>
      <c r="K40">
        <v>1.931756733220931E-3</v>
      </c>
      <c r="L40">
        <v>1.514248697042758E-2</v>
      </c>
      <c r="M40">
        <v>1.514248697042758E-2</v>
      </c>
      <c r="N40">
        <v>1.514248697042758E-2</v>
      </c>
      <c r="O40">
        <v>1.514248697042758E-2</v>
      </c>
      <c r="P40">
        <v>1.514248697042758E-2</v>
      </c>
      <c r="Q40">
        <v>1.505543132978693E-2</v>
      </c>
      <c r="R40">
        <v>4.2374989620399782E-2</v>
      </c>
      <c r="S40">
        <v>1.104329028537414E-2</v>
      </c>
      <c r="T40">
        <v>4.1561861199398906E-3</v>
      </c>
      <c r="U40">
        <v>6.6052778394951857E-3</v>
      </c>
    </row>
    <row r="41" spans="1:21" x14ac:dyDescent="0.25">
      <c r="A41" s="5" t="s">
        <v>82</v>
      </c>
      <c r="B41">
        <v>5.5629733502477573E-5</v>
      </c>
      <c r="C41">
        <v>5.5629733502477573E-5</v>
      </c>
      <c r="D41">
        <v>5.5629733502477573E-5</v>
      </c>
      <c r="E41">
        <v>5.5629733502477573E-5</v>
      </c>
      <c r="F41">
        <v>5.5629733502477573E-5</v>
      </c>
      <c r="G41">
        <v>1.0485130231618571E-4</v>
      </c>
      <c r="H41">
        <v>9.1387649193851384E-5</v>
      </c>
      <c r="I41">
        <v>1.0666205219801591E-4</v>
      </c>
      <c r="J41">
        <v>2.2697707387871339E-5</v>
      </c>
      <c r="K41">
        <v>5.4328700924512149E-5</v>
      </c>
      <c r="L41">
        <v>5.5629733502477573E-5</v>
      </c>
      <c r="M41">
        <v>5.5629733502477573E-5</v>
      </c>
      <c r="N41">
        <v>5.5629733502477573E-5</v>
      </c>
      <c r="O41">
        <v>5.5629733502477573E-5</v>
      </c>
      <c r="P41">
        <v>5.5629733502477573E-5</v>
      </c>
      <c r="Q41">
        <v>1.0485130231618571E-4</v>
      </c>
      <c r="R41">
        <v>9.1387649193851384E-5</v>
      </c>
      <c r="S41">
        <v>1.0666205219801591E-4</v>
      </c>
      <c r="T41">
        <v>2.2697707387871339E-5</v>
      </c>
      <c r="U41">
        <v>5.4328700924512149E-5</v>
      </c>
    </row>
    <row r="42" spans="1:21" x14ac:dyDescent="0.25">
      <c r="A42" s="5" t="s">
        <v>129</v>
      </c>
      <c r="B42">
        <v>0</v>
      </c>
      <c r="C42">
        <v>0</v>
      </c>
      <c r="D42">
        <v>0</v>
      </c>
      <c r="E42">
        <v>0</v>
      </c>
      <c r="F42">
        <v>0</v>
      </c>
      <c r="G42">
        <v>8.9603455088827993E-5</v>
      </c>
      <c r="H42">
        <v>9.8216892968290861E-7</v>
      </c>
      <c r="I42">
        <v>1.8326440268471111E-4</v>
      </c>
      <c r="J42">
        <v>2.0170147733268851E-8</v>
      </c>
      <c r="K42">
        <v>2.197118095355749E-4</v>
      </c>
      <c r="L42">
        <v>0</v>
      </c>
      <c r="M42">
        <v>0</v>
      </c>
      <c r="N42">
        <v>0</v>
      </c>
      <c r="O42">
        <v>0</v>
      </c>
      <c r="P42">
        <v>0</v>
      </c>
      <c r="Q42">
        <v>8.9603455088827993E-5</v>
      </c>
      <c r="R42">
        <v>9.8216892968290861E-7</v>
      </c>
      <c r="S42">
        <v>1.8326440268471111E-4</v>
      </c>
      <c r="T42">
        <v>2.0170147733268851E-8</v>
      </c>
      <c r="U42">
        <v>2.197118095355749E-4</v>
      </c>
    </row>
    <row r="43" spans="1:21" x14ac:dyDescent="0.25">
      <c r="A43" s="5" t="s">
        <v>130</v>
      </c>
      <c r="B43">
        <v>0</v>
      </c>
      <c r="C43">
        <v>0</v>
      </c>
      <c r="D43">
        <v>0</v>
      </c>
      <c r="E43">
        <v>0</v>
      </c>
      <c r="F43">
        <v>0</v>
      </c>
      <c r="G43">
        <v>8.8874902358479195E-9</v>
      </c>
      <c r="H43">
        <v>4.3885938554331744E-6</v>
      </c>
      <c r="I43">
        <v>1.1533120036555329E-5</v>
      </c>
      <c r="J43">
        <v>3.9582543864133023E-6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8.8874902358479195E-9</v>
      </c>
      <c r="R43">
        <v>4.3885938554331744E-6</v>
      </c>
      <c r="S43">
        <v>1.1533120036555329E-5</v>
      </c>
      <c r="T43">
        <v>3.9582543864133023E-6</v>
      </c>
      <c r="U43">
        <v>0</v>
      </c>
    </row>
    <row r="44" spans="1:21" x14ac:dyDescent="0.25">
      <c r="A44" s="5" t="s">
        <v>131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7.6457347858194787E-6</v>
      </c>
      <c r="I44">
        <v>1.37959026590802E-7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7.6457347858194787E-6</v>
      </c>
      <c r="S44">
        <v>1.37959026590802E-7</v>
      </c>
      <c r="T44">
        <v>0</v>
      </c>
      <c r="U44">
        <v>0</v>
      </c>
    </row>
    <row r="45" spans="1:21" x14ac:dyDescent="0.25">
      <c r="A45" s="5" t="s">
        <v>80</v>
      </c>
      <c r="B45">
        <v>5.2830507953402641E-5</v>
      </c>
      <c r="C45">
        <v>5.2830507953402641E-5</v>
      </c>
      <c r="D45">
        <v>5.2830507953402641E-5</v>
      </c>
      <c r="E45">
        <v>5.2830507953402641E-5</v>
      </c>
      <c r="F45">
        <v>5.2830507953402641E-5</v>
      </c>
      <c r="G45">
        <v>1.9319908873524649E-4</v>
      </c>
      <c r="H45">
        <v>5.2840973280602341E-4</v>
      </c>
      <c r="I45">
        <v>2.0188736642305009E-4</v>
      </c>
      <c r="J45">
        <v>8.7396015899774107E-5</v>
      </c>
      <c r="K45">
        <v>1.0077980281233001E-4</v>
      </c>
      <c r="L45">
        <v>5.2830507953402641E-5</v>
      </c>
      <c r="M45">
        <v>5.2830507953402641E-5</v>
      </c>
      <c r="N45">
        <v>5.2830507953402641E-5</v>
      </c>
      <c r="O45">
        <v>5.2830507953402641E-5</v>
      </c>
      <c r="P45">
        <v>5.2830507953402641E-5</v>
      </c>
      <c r="Q45">
        <v>1.9319908873524649E-4</v>
      </c>
      <c r="R45">
        <v>5.2840973280602341E-4</v>
      </c>
      <c r="S45">
        <v>2.0188736642305009E-4</v>
      </c>
      <c r="T45">
        <v>8.7396015899774107E-5</v>
      </c>
      <c r="U45">
        <v>1.0077980281233001E-4</v>
      </c>
    </row>
    <row r="46" spans="1:21" x14ac:dyDescent="0.25">
      <c r="A46" s="5" t="s">
        <v>79</v>
      </c>
      <c r="B46">
        <v>1.2188688226271849E-4</v>
      </c>
      <c r="C46">
        <v>1.2188688226271849E-4</v>
      </c>
      <c r="D46">
        <v>1.2188688226271849E-4</v>
      </c>
      <c r="E46">
        <v>1.2188688226271849E-4</v>
      </c>
      <c r="F46">
        <v>1.2188688226271849E-4</v>
      </c>
      <c r="G46">
        <v>2.7230333357061722E-3</v>
      </c>
      <c r="H46">
        <v>7.8402241874564482E-4</v>
      </c>
      <c r="I46">
        <v>4.9472097435826531E-3</v>
      </c>
      <c r="J46">
        <v>1.4973520815001521E-3</v>
      </c>
      <c r="K46">
        <v>5.2886781652845133E-3</v>
      </c>
      <c r="L46">
        <v>1.2188688226271849E-4</v>
      </c>
      <c r="M46">
        <v>1.2188688226271849E-4</v>
      </c>
      <c r="N46">
        <v>1.2188688226271849E-4</v>
      </c>
      <c r="O46">
        <v>1.2188688226271849E-4</v>
      </c>
      <c r="P46">
        <v>1.2188688226271849E-4</v>
      </c>
      <c r="Q46">
        <v>2.7230333357061722E-3</v>
      </c>
      <c r="R46">
        <v>7.8402241874564482E-4</v>
      </c>
      <c r="S46">
        <v>4.9472097435826531E-3</v>
      </c>
      <c r="T46">
        <v>1.4973520815001521E-3</v>
      </c>
      <c r="U46">
        <v>5.2886781652845133E-3</v>
      </c>
    </row>
    <row r="47" spans="1:21" x14ac:dyDescent="0.25">
      <c r="A47" s="5" t="s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1.126317687075799E-5</v>
      </c>
      <c r="I47">
        <v>2.0824341590008431E-7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1.126317687075799E-5</v>
      </c>
      <c r="S47">
        <v>2.0824341590008431E-7</v>
      </c>
      <c r="T47">
        <v>0</v>
      </c>
      <c r="U47">
        <v>0</v>
      </c>
    </row>
    <row r="48" spans="1:21" x14ac:dyDescent="0.25">
      <c r="A48" s="5" t="s">
        <v>133</v>
      </c>
      <c r="B48">
        <v>0</v>
      </c>
      <c r="C48">
        <v>0</v>
      </c>
      <c r="D48">
        <v>0</v>
      </c>
      <c r="E48">
        <v>0</v>
      </c>
      <c r="F48">
        <v>0</v>
      </c>
      <c r="G48">
        <v>1.9947023695342471E-6</v>
      </c>
      <c r="H48">
        <v>2.6879591899812021E-7</v>
      </c>
      <c r="I48">
        <v>1.312855241776309E-7</v>
      </c>
      <c r="J48">
        <v>3.3152484830304603E-8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1.9947023695342471E-6</v>
      </c>
      <c r="R48">
        <v>2.6879591899812021E-7</v>
      </c>
      <c r="S48">
        <v>1.312855241776309E-7</v>
      </c>
      <c r="T48">
        <v>3.3152484830304603E-8</v>
      </c>
      <c r="U48">
        <v>0</v>
      </c>
    </row>
    <row r="49" spans="1:21" x14ac:dyDescent="0.25">
      <c r="A49" s="5" t="s">
        <v>71</v>
      </c>
      <c r="B49">
        <v>9.8322778936507909E-4</v>
      </c>
      <c r="C49">
        <v>9.8322778936507909E-4</v>
      </c>
      <c r="D49">
        <v>9.8322778936507909E-4</v>
      </c>
      <c r="E49">
        <v>9.8322778936507909E-4</v>
      </c>
      <c r="F49">
        <v>9.8322778936507909E-4</v>
      </c>
      <c r="G49">
        <v>9.4983861880619871E-4</v>
      </c>
      <c r="H49">
        <v>2.0988033578009341E-2</v>
      </c>
      <c r="I49">
        <v>6.916320772212747E-4</v>
      </c>
      <c r="J49">
        <v>2.2450671397645621E-4</v>
      </c>
      <c r="K49">
        <v>1.820121527836752E-3</v>
      </c>
      <c r="L49">
        <v>9.8322778936507909E-4</v>
      </c>
      <c r="M49">
        <v>9.8322778936507909E-4</v>
      </c>
      <c r="N49">
        <v>9.8322778936507909E-4</v>
      </c>
      <c r="O49">
        <v>9.8322778936507909E-4</v>
      </c>
      <c r="P49">
        <v>9.8322778936507909E-4</v>
      </c>
      <c r="Q49">
        <v>9.4983861880619871E-4</v>
      </c>
      <c r="R49">
        <v>2.0988033578009341E-2</v>
      </c>
      <c r="S49">
        <v>6.916320772212747E-4</v>
      </c>
      <c r="T49">
        <v>2.2450671397645621E-4</v>
      </c>
      <c r="U49">
        <v>1.820121527836752E-3</v>
      </c>
    </row>
    <row r="50" spans="1:21" x14ac:dyDescent="0.25">
      <c r="A50" s="5" t="s">
        <v>134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3.0883134952728499E-5</v>
      </c>
      <c r="I50">
        <v>1.125536758859628E-5</v>
      </c>
      <c r="J50">
        <v>2.419599997166708E-5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3.0883134952728499E-5</v>
      </c>
      <c r="S50">
        <v>1.125536758859628E-5</v>
      </c>
      <c r="T50">
        <v>2.419599997166708E-5</v>
      </c>
      <c r="U50">
        <v>0</v>
      </c>
    </row>
    <row r="51" spans="1:21" x14ac:dyDescent="0.25">
      <c r="A51" s="5" t="s">
        <v>96</v>
      </c>
      <c r="B51">
        <v>6.6898643547591094E-6</v>
      </c>
      <c r="C51">
        <v>6.6898643547591094E-6</v>
      </c>
      <c r="D51">
        <v>6.6898643547591094E-6</v>
      </c>
      <c r="E51">
        <v>6.6898643547591094E-6</v>
      </c>
      <c r="F51">
        <v>6.6898643547591094E-6</v>
      </c>
      <c r="G51">
        <v>2.008996256868889E-4</v>
      </c>
      <c r="H51">
        <v>2.966345595502779E-3</v>
      </c>
      <c r="I51">
        <v>2.5863859690643828E-4</v>
      </c>
      <c r="J51">
        <v>1.2274713955799221E-4</v>
      </c>
      <c r="K51">
        <v>9.2979801506062697E-5</v>
      </c>
      <c r="L51">
        <v>6.6898643547591094E-6</v>
      </c>
      <c r="M51">
        <v>6.6898643547591094E-6</v>
      </c>
      <c r="N51">
        <v>6.6898643547591094E-6</v>
      </c>
      <c r="O51">
        <v>6.6898643547591094E-6</v>
      </c>
      <c r="P51">
        <v>6.6898643547591094E-6</v>
      </c>
      <c r="Q51">
        <v>2.008996256868889E-4</v>
      </c>
      <c r="R51">
        <v>2.966345595502779E-3</v>
      </c>
      <c r="S51">
        <v>2.5863859690643828E-4</v>
      </c>
      <c r="T51">
        <v>1.2274713955799221E-4</v>
      </c>
      <c r="U51">
        <v>9.2979801506062697E-5</v>
      </c>
    </row>
    <row r="52" spans="1:21" x14ac:dyDescent="0.25">
      <c r="A52" s="5" t="s">
        <v>135</v>
      </c>
      <c r="B52">
        <v>0</v>
      </c>
      <c r="C52">
        <v>0</v>
      </c>
      <c r="D52">
        <v>0</v>
      </c>
      <c r="E52">
        <v>0</v>
      </c>
      <c r="F52">
        <v>0</v>
      </c>
      <c r="G52">
        <v>1.5372521001486818E-8</v>
      </c>
      <c r="H52">
        <v>6.7589555173080025E-7</v>
      </c>
      <c r="I52">
        <v>3.738199152963715E-5</v>
      </c>
      <c r="J52">
        <v>2.320445158198901E-4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1.5372521001486818E-8</v>
      </c>
      <c r="R52">
        <v>6.7589555173080025E-7</v>
      </c>
      <c r="S52">
        <v>3.738199152963715E-5</v>
      </c>
      <c r="T52">
        <v>2.320445158198901E-4</v>
      </c>
      <c r="U52">
        <v>0</v>
      </c>
    </row>
    <row r="53" spans="1:21" x14ac:dyDescent="0.25">
      <c r="A53" s="5" t="s">
        <v>136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9.3488314301354186E-6</v>
      </c>
      <c r="I53">
        <v>1.724807845559684E-7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9.3488314301354186E-6</v>
      </c>
      <c r="S53">
        <v>1.724807845559684E-7</v>
      </c>
      <c r="T53">
        <v>0</v>
      </c>
      <c r="U53">
        <v>0</v>
      </c>
    </row>
    <row r="54" spans="1:21" x14ac:dyDescent="0.25">
      <c r="A54" s="5" t="s">
        <v>90</v>
      </c>
      <c r="B54">
        <v>1.2650786002015739E-5</v>
      </c>
      <c r="C54">
        <v>1.2650786002015739E-5</v>
      </c>
      <c r="D54">
        <v>1.2650786002015739E-5</v>
      </c>
      <c r="E54">
        <v>1.2650786002015739E-5</v>
      </c>
      <c r="F54">
        <v>1.2650786002015739E-5</v>
      </c>
      <c r="G54">
        <v>5.7373694222271657E-5</v>
      </c>
      <c r="H54">
        <v>2.7257441764713978E-4</v>
      </c>
      <c r="I54">
        <v>5.7348060409987817E-5</v>
      </c>
      <c r="J54">
        <v>2.341394057407027E-5</v>
      </c>
      <c r="K54">
        <v>2.8156102027042091E-5</v>
      </c>
      <c r="L54">
        <v>1.2650786002015739E-5</v>
      </c>
      <c r="M54">
        <v>1.2650786002015739E-5</v>
      </c>
      <c r="N54">
        <v>1.2650786002015739E-5</v>
      </c>
      <c r="O54">
        <v>1.2650786002015739E-5</v>
      </c>
      <c r="P54">
        <v>1.2650786002015739E-5</v>
      </c>
      <c r="Q54">
        <v>5.7373694222271657E-5</v>
      </c>
      <c r="R54">
        <v>2.7257441764713978E-4</v>
      </c>
      <c r="S54">
        <v>5.7348060409987817E-5</v>
      </c>
      <c r="T54">
        <v>2.341394057407027E-5</v>
      </c>
      <c r="U54">
        <v>2.8156102027042091E-5</v>
      </c>
    </row>
    <row r="55" spans="1:21" x14ac:dyDescent="0.25">
      <c r="A55" s="5" t="s">
        <v>73</v>
      </c>
      <c r="B55">
        <v>6.7297173378707566E-4</v>
      </c>
      <c r="C55">
        <v>6.7297173378707566E-4</v>
      </c>
      <c r="D55">
        <v>6.7297173378707566E-4</v>
      </c>
      <c r="E55">
        <v>6.7297173378707566E-4</v>
      </c>
      <c r="F55">
        <v>6.7297173378707566E-4</v>
      </c>
      <c r="G55">
        <v>9.4488366555553517E-3</v>
      </c>
      <c r="H55">
        <v>2.601036331446242E-2</v>
      </c>
      <c r="I55">
        <v>2.4564754379760821E-3</v>
      </c>
      <c r="J55">
        <v>1.082416894069238E-3</v>
      </c>
      <c r="K55">
        <v>9.6483238770432047E-4</v>
      </c>
      <c r="L55">
        <v>6.7297173378707566E-4</v>
      </c>
      <c r="M55">
        <v>6.7297173378707566E-4</v>
      </c>
      <c r="N55">
        <v>6.7297173378707566E-4</v>
      </c>
      <c r="O55">
        <v>6.7297173378707566E-4</v>
      </c>
      <c r="P55">
        <v>6.7297173378707566E-4</v>
      </c>
      <c r="Q55">
        <v>9.4488366555553517E-3</v>
      </c>
      <c r="R55">
        <v>2.601036331446242E-2</v>
      </c>
      <c r="S55">
        <v>2.4564754379760821E-3</v>
      </c>
      <c r="T55">
        <v>1.082416894069238E-3</v>
      </c>
      <c r="U55">
        <v>9.6483238770432047E-4</v>
      </c>
    </row>
    <row r="56" spans="1:21" x14ac:dyDescent="0.25">
      <c r="A56" s="5" t="s">
        <v>97</v>
      </c>
      <c r="B56">
        <v>3.5042066303270462E-6</v>
      </c>
      <c r="C56">
        <v>3.5042066303270462E-6</v>
      </c>
      <c r="D56">
        <v>3.5042066303270462E-6</v>
      </c>
      <c r="E56">
        <v>3.5042066303270462E-6</v>
      </c>
      <c r="F56">
        <v>3.5042066303270462E-6</v>
      </c>
      <c r="G56">
        <v>4.0612774699367377E-5</v>
      </c>
      <c r="H56">
        <v>6.3364585967433089E-5</v>
      </c>
      <c r="I56">
        <v>4.5643125871582908E-5</v>
      </c>
      <c r="J56">
        <v>1.326006394726999E-5</v>
      </c>
      <c r="K56">
        <v>2.8490763775656829E-5</v>
      </c>
      <c r="L56">
        <v>3.5042066303270462E-6</v>
      </c>
      <c r="M56">
        <v>3.5042066303270462E-6</v>
      </c>
      <c r="N56">
        <v>3.5042066303270462E-6</v>
      </c>
      <c r="O56">
        <v>3.5042066303270462E-6</v>
      </c>
      <c r="P56">
        <v>3.5042066303270462E-6</v>
      </c>
      <c r="Q56">
        <v>4.0612774699367377E-5</v>
      </c>
      <c r="R56">
        <v>6.3364585967433089E-5</v>
      </c>
      <c r="S56">
        <v>4.5643125871582908E-5</v>
      </c>
      <c r="T56">
        <v>1.326006394726999E-5</v>
      </c>
      <c r="U56">
        <v>2.8490763775656829E-5</v>
      </c>
    </row>
    <row r="57" spans="1:21" x14ac:dyDescent="0.25">
      <c r="A57" s="5" t="s">
        <v>72</v>
      </c>
      <c r="B57">
        <v>1.0029611807322049E-3</v>
      </c>
      <c r="C57">
        <v>1.0029611807322049E-3</v>
      </c>
      <c r="D57">
        <v>1.0029611807322049E-3</v>
      </c>
      <c r="E57">
        <v>1.0029611807322049E-3</v>
      </c>
      <c r="F57">
        <v>1.0029611807322049E-3</v>
      </c>
      <c r="G57">
        <v>1.1795382053471711E-3</v>
      </c>
      <c r="H57">
        <v>1.102550834778767E-2</v>
      </c>
      <c r="I57">
        <v>1.2221730291804411E-3</v>
      </c>
      <c r="J57">
        <v>8.4421447897394452E-4</v>
      </c>
      <c r="K57">
        <v>5.2400719866744507E-4</v>
      </c>
      <c r="L57">
        <v>1.0029611807322049E-3</v>
      </c>
      <c r="M57">
        <v>1.0029611807322049E-3</v>
      </c>
      <c r="N57">
        <v>1.0029611807322049E-3</v>
      </c>
      <c r="O57">
        <v>1.0029611807322049E-3</v>
      </c>
      <c r="P57">
        <v>1.0029611807322049E-3</v>
      </c>
      <c r="Q57">
        <v>1.1795382053471711E-3</v>
      </c>
      <c r="R57">
        <v>1.102550834778767E-2</v>
      </c>
      <c r="S57">
        <v>1.2221730291804411E-3</v>
      </c>
      <c r="T57">
        <v>8.4421447897394452E-4</v>
      </c>
      <c r="U57">
        <v>5.2400719866744507E-4</v>
      </c>
    </row>
    <row r="58" spans="1:21" x14ac:dyDescent="0.25">
      <c r="A58" s="5" t="s">
        <v>104</v>
      </c>
      <c r="B58">
        <v>1.3157905983640009E-6</v>
      </c>
      <c r="C58">
        <v>1.3157905983640009E-6</v>
      </c>
      <c r="D58">
        <v>1.3157905983640009E-6</v>
      </c>
      <c r="E58">
        <v>1.3157905983640009E-6</v>
      </c>
      <c r="F58">
        <v>1.3157905983640009E-6</v>
      </c>
      <c r="G58">
        <v>1.72177531800965E-6</v>
      </c>
      <c r="H58">
        <v>8.3181603303041214E-6</v>
      </c>
      <c r="I58">
        <v>2.9600994076253073E-7</v>
      </c>
      <c r="J58">
        <v>7.022652472827078E-7</v>
      </c>
      <c r="K58">
        <v>7.4225114295749513E-7</v>
      </c>
      <c r="L58">
        <v>1.3157905983640009E-6</v>
      </c>
      <c r="M58">
        <v>1.3157905983640009E-6</v>
      </c>
      <c r="N58">
        <v>1.3157905983640009E-6</v>
      </c>
      <c r="O58">
        <v>1.3157905983640009E-6</v>
      </c>
      <c r="P58">
        <v>1.3157905983640009E-6</v>
      </c>
      <c r="Q58">
        <v>1.72177531800965E-6</v>
      </c>
      <c r="R58">
        <v>8.3181603303041214E-6</v>
      </c>
      <c r="S58">
        <v>2.9600994076253073E-7</v>
      </c>
      <c r="T58">
        <v>7.022652472827078E-7</v>
      </c>
      <c r="U58">
        <v>7.4225114295749513E-7</v>
      </c>
    </row>
    <row r="59" spans="1:21" x14ac:dyDescent="0.25">
      <c r="A59" s="5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7.1018426584433644E-4</v>
      </c>
      <c r="H59">
        <v>4.7603294231182279E-2</v>
      </c>
      <c r="I59">
        <v>1.291378064717602E-7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7.1018426584433644E-4</v>
      </c>
      <c r="R59">
        <v>4.7603294231182279E-2</v>
      </c>
      <c r="S59">
        <v>1.291378064717602E-7</v>
      </c>
      <c r="T59">
        <v>0</v>
      </c>
      <c r="U59">
        <v>0</v>
      </c>
    </row>
    <row r="60" spans="1:21" x14ac:dyDescent="0.25">
      <c r="A60" s="5" t="s">
        <v>101</v>
      </c>
      <c r="B60">
        <v>1.469966682890535E-6</v>
      </c>
      <c r="C60">
        <v>1.469966682890535E-6</v>
      </c>
      <c r="D60">
        <v>1.469966682890535E-6</v>
      </c>
      <c r="E60">
        <v>1.469966682890535E-6</v>
      </c>
      <c r="F60">
        <v>1.469966682890535E-6</v>
      </c>
      <c r="G60">
        <v>4.6107507935380948E-5</v>
      </c>
      <c r="H60">
        <v>2.0761449001599308E-3</v>
      </c>
      <c r="I60">
        <v>1.3805307897395049E-4</v>
      </c>
      <c r="J60">
        <v>7.7481341842884256E-6</v>
      </c>
      <c r="K60">
        <v>1.368419521404777E-5</v>
      </c>
      <c r="L60">
        <v>1.469966682890535E-6</v>
      </c>
      <c r="M60">
        <v>1.469966682890535E-6</v>
      </c>
      <c r="N60">
        <v>1.469966682890535E-6</v>
      </c>
      <c r="O60">
        <v>1.469966682890535E-6</v>
      </c>
      <c r="P60">
        <v>1.469966682890535E-6</v>
      </c>
      <c r="Q60">
        <v>4.6107507935380948E-5</v>
      </c>
      <c r="R60">
        <v>2.0761449001599308E-3</v>
      </c>
      <c r="S60">
        <v>1.3805307897395049E-4</v>
      </c>
      <c r="T60">
        <v>7.7481341842884256E-6</v>
      </c>
      <c r="U60">
        <v>1.368419521404777E-5</v>
      </c>
    </row>
    <row r="61" spans="1:21" x14ac:dyDescent="0.25">
      <c r="A61" s="5" t="s">
        <v>86</v>
      </c>
      <c r="B61">
        <v>2.1813841492551871E-5</v>
      </c>
      <c r="C61">
        <v>2.1813841492551871E-5</v>
      </c>
      <c r="D61">
        <v>2.1813841492551871E-5</v>
      </c>
      <c r="E61">
        <v>2.1813841492551871E-5</v>
      </c>
      <c r="F61">
        <v>2.1813841492551871E-5</v>
      </c>
      <c r="G61">
        <v>3.1921600460638752E-4</v>
      </c>
      <c r="H61">
        <v>1.1743524451226759E-3</v>
      </c>
      <c r="I61">
        <v>2.9262885858072428E-4</v>
      </c>
      <c r="J61">
        <v>2.1069712346092549E-4</v>
      </c>
      <c r="K61">
        <v>1.7234616432487809E-4</v>
      </c>
      <c r="L61">
        <v>2.1813841492551871E-5</v>
      </c>
      <c r="M61">
        <v>2.1813841492551871E-5</v>
      </c>
      <c r="N61">
        <v>2.1813841492551871E-5</v>
      </c>
      <c r="O61">
        <v>2.1813841492551871E-5</v>
      </c>
      <c r="P61">
        <v>2.1813841492551871E-5</v>
      </c>
      <c r="Q61">
        <v>3.1921600460638752E-4</v>
      </c>
      <c r="R61">
        <v>1.1743524451226759E-3</v>
      </c>
      <c r="S61">
        <v>2.9262885858072428E-4</v>
      </c>
      <c r="T61">
        <v>2.1069712346092549E-4</v>
      </c>
      <c r="U61">
        <v>1.7234616432487809E-4</v>
      </c>
    </row>
    <row r="62" spans="1:21" x14ac:dyDescent="0.25">
      <c r="A62" s="5" t="s">
        <v>89</v>
      </c>
      <c r="B62">
        <v>2.3572495868542039E-5</v>
      </c>
      <c r="C62">
        <v>2.3572495868542039E-5</v>
      </c>
      <c r="D62">
        <v>2.3572495868542039E-5</v>
      </c>
      <c r="E62">
        <v>2.3572495868542039E-5</v>
      </c>
      <c r="F62">
        <v>2.3572495868542039E-5</v>
      </c>
      <c r="G62">
        <v>2.9998173875157158E-4</v>
      </c>
      <c r="H62">
        <v>2.8108800017320892E-4</v>
      </c>
      <c r="I62">
        <v>2.9248951626090051E-4</v>
      </c>
      <c r="J62">
        <v>6.3016180029417448E-5</v>
      </c>
      <c r="K62">
        <v>1.402131016139772E-4</v>
      </c>
      <c r="L62">
        <v>2.3572495868542039E-5</v>
      </c>
      <c r="M62">
        <v>2.3572495868542039E-5</v>
      </c>
      <c r="N62">
        <v>2.3572495868542039E-5</v>
      </c>
      <c r="O62">
        <v>2.3572495868542039E-5</v>
      </c>
      <c r="P62">
        <v>2.3572495868542039E-5</v>
      </c>
      <c r="Q62">
        <v>2.9998173875157158E-4</v>
      </c>
      <c r="R62">
        <v>2.8108800017320892E-4</v>
      </c>
      <c r="S62">
        <v>2.9248951626090051E-4</v>
      </c>
      <c r="T62">
        <v>6.3016180029417448E-5</v>
      </c>
      <c r="U62">
        <v>1.402131016139772E-4</v>
      </c>
    </row>
    <row r="63" spans="1:21" x14ac:dyDescent="0.25">
      <c r="A63" s="5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1.417130366919557E-8</v>
      </c>
      <c r="H63">
        <v>1.7296218365335191E-6</v>
      </c>
      <c r="I63">
        <v>2.490327432484487E-8</v>
      </c>
      <c r="J63">
        <v>0</v>
      </c>
      <c r="K63">
        <v>4.2300535036906559E-9</v>
      </c>
      <c r="L63">
        <v>0</v>
      </c>
      <c r="M63">
        <v>0</v>
      </c>
      <c r="N63">
        <v>0</v>
      </c>
      <c r="O63">
        <v>0</v>
      </c>
      <c r="P63">
        <v>0</v>
      </c>
      <c r="Q63">
        <v>1.417130366919557E-8</v>
      </c>
      <c r="R63">
        <v>1.7296218365335191E-6</v>
      </c>
      <c r="S63">
        <v>2.490327432484487E-8</v>
      </c>
      <c r="T63">
        <v>0</v>
      </c>
      <c r="U63">
        <v>4.2300535036906559E-9</v>
      </c>
    </row>
    <row r="64" spans="1:21" x14ac:dyDescent="0.25">
      <c r="A64" s="5" t="s">
        <v>85</v>
      </c>
      <c r="B64">
        <v>4.1070519173495459E-5</v>
      </c>
      <c r="C64">
        <v>4.1070519173495459E-5</v>
      </c>
      <c r="D64">
        <v>4.1070519173495459E-5</v>
      </c>
      <c r="E64">
        <v>4.1070519173495459E-5</v>
      </c>
      <c r="F64">
        <v>4.1070519173495459E-5</v>
      </c>
      <c r="G64">
        <v>3.8596857286030009E-4</v>
      </c>
      <c r="H64">
        <v>1.2859578112557469E-3</v>
      </c>
      <c r="I64">
        <v>3.7627652281047231E-4</v>
      </c>
      <c r="J64">
        <v>8.141376109374944E-5</v>
      </c>
      <c r="K64">
        <v>1.8726289159103811E-4</v>
      </c>
      <c r="L64">
        <v>4.1070519173495459E-5</v>
      </c>
      <c r="M64">
        <v>4.1070519173495459E-5</v>
      </c>
      <c r="N64">
        <v>4.1070519173495459E-5</v>
      </c>
      <c r="O64">
        <v>4.1070519173495459E-5</v>
      </c>
      <c r="P64">
        <v>4.1070519173495459E-5</v>
      </c>
      <c r="Q64">
        <v>3.8596857286030009E-4</v>
      </c>
      <c r="R64">
        <v>1.2859578112557469E-3</v>
      </c>
      <c r="S64">
        <v>3.7627652281047231E-4</v>
      </c>
      <c r="T64">
        <v>8.141376109374944E-5</v>
      </c>
      <c r="U64">
        <v>1.8726289159103811E-4</v>
      </c>
    </row>
    <row r="65" spans="1:21" x14ac:dyDescent="0.25">
      <c r="A65" s="5" t="s">
        <v>139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2.6697267924666551E-8</v>
      </c>
      <c r="I65">
        <v>1.7308579116368398E-8</v>
      </c>
      <c r="J65">
        <v>1.0811191456678481E-7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2.6697267924666551E-8</v>
      </c>
      <c r="S65">
        <v>1.7308579116368398E-8</v>
      </c>
      <c r="T65">
        <v>1.0811191456678481E-7</v>
      </c>
      <c r="U65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1A74-D9F3-47EF-B30D-12DFE5F9B900}">
  <dimension ref="A1:U65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50" bestFit="1" customWidth="1"/>
  </cols>
  <sheetData>
    <row r="1" spans="1:21" s="13" customFormat="1" ht="75" x14ac:dyDescent="0.25">
      <c r="B1" s="14" t="s">
        <v>45</v>
      </c>
      <c r="C1" s="14" t="s">
        <v>46</v>
      </c>
      <c r="D1" s="14" t="s">
        <v>120</v>
      </c>
      <c r="E1" s="14" t="s">
        <v>122</v>
      </c>
      <c r="F1" s="14" t="s">
        <v>47</v>
      </c>
      <c r="G1" s="14" t="s">
        <v>51</v>
      </c>
      <c r="H1" s="14" t="s">
        <v>52</v>
      </c>
      <c r="I1" s="14" t="s">
        <v>116</v>
      </c>
      <c r="J1" s="14" t="s">
        <v>108</v>
      </c>
      <c r="K1" s="14" t="s">
        <v>53</v>
      </c>
      <c r="L1" s="14" t="s">
        <v>48</v>
      </c>
      <c r="M1" s="14" t="s">
        <v>49</v>
      </c>
      <c r="N1" s="14" t="s">
        <v>114</v>
      </c>
      <c r="O1" s="14" t="s">
        <v>110</v>
      </c>
      <c r="P1" s="14" t="s">
        <v>50</v>
      </c>
      <c r="Q1" s="14" t="s">
        <v>54</v>
      </c>
      <c r="R1" s="14" t="s">
        <v>55</v>
      </c>
      <c r="S1" s="14" t="s">
        <v>118</v>
      </c>
      <c r="T1" s="14" t="s">
        <v>112</v>
      </c>
      <c r="U1" s="14" t="s">
        <v>56</v>
      </c>
    </row>
    <row r="2" spans="1:21" x14ac:dyDescent="0.25">
      <c r="A2" s="10" t="s">
        <v>141</v>
      </c>
      <c r="B2" s="12">
        <f t="shared" ref="B2:T2" si="0">B40/B8</f>
        <v>0.12233727337863905</v>
      </c>
      <c r="C2" s="12">
        <f t="shared" si="0"/>
        <v>0.12233727337863905</v>
      </c>
      <c r="D2" s="12">
        <f t="shared" si="0"/>
        <v>0.12233727337863905</v>
      </c>
      <c r="E2" s="12">
        <f t="shared" si="0"/>
        <v>0.12233727337863905</v>
      </c>
      <c r="F2" s="12">
        <f t="shared" si="0"/>
        <v>0.12233727337863905</v>
      </c>
      <c r="G2" s="12">
        <f t="shared" si="0"/>
        <v>2.2568442543575915E-2</v>
      </c>
      <c r="H2" s="12">
        <f t="shared" si="0"/>
        <v>1.0030504726444893E-2</v>
      </c>
      <c r="I2" s="12">
        <f t="shared" si="0"/>
        <v>2.5707930175093659E-2</v>
      </c>
      <c r="J2" s="12">
        <f t="shared" si="0"/>
        <v>5.0949469110307961E-2</v>
      </c>
      <c r="K2" s="12">
        <f t="shared" si="0"/>
        <v>1.0229420232474454E-2</v>
      </c>
      <c r="L2" s="12">
        <f t="shared" si="0"/>
        <v>0.6388670816309886</v>
      </c>
      <c r="M2" s="12">
        <f t="shared" si="0"/>
        <v>0.6388670816309886</v>
      </c>
      <c r="N2" s="12">
        <f t="shared" si="0"/>
        <v>0.6388670816309886</v>
      </c>
      <c r="O2" s="12">
        <f t="shared" si="0"/>
        <v>0.6388670816309886</v>
      </c>
      <c r="P2" s="12">
        <f t="shared" si="0"/>
        <v>0.6388670816309886</v>
      </c>
      <c r="Q2" s="12">
        <f t="shared" si="0"/>
        <v>0.11691914719593344</v>
      </c>
      <c r="R2" s="12">
        <f t="shared" si="0"/>
        <v>0.11998626935115232</v>
      </c>
      <c r="S2" s="12">
        <f t="shared" si="0"/>
        <v>0.11040918282020036</v>
      </c>
      <c r="T2" s="12">
        <f t="shared" si="0"/>
        <v>6.8878454485982718E-2</v>
      </c>
      <c r="U2" s="12">
        <f t="shared" ref="U2" si="1">U40/U8</f>
        <v>2.8184439926719217E-2</v>
      </c>
    </row>
    <row r="3" spans="1:21" x14ac:dyDescent="0.25">
      <c r="A3" s="10" t="s">
        <v>142</v>
      </c>
      <c r="B3" s="12">
        <f t="shared" ref="B3:T3" si="2">B38/B8</f>
        <v>0.59980163742343484</v>
      </c>
      <c r="C3" s="12">
        <f t="shared" si="2"/>
        <v>0.59980163742343484</v>
      </c>
      <c r="D3" s="12">
        <f t="shared" si="2"/>
        <v>0.59980163742343484</v>
      </c>
      <c r="E3" s="12">
        <f t="shared" si="2"/>
        <v>0.59980163742343484</v>
      </c>
      <c r="F3" s="12">
        <f t="shared" si="2"/>
        <v>0.59980163742343484</v>
      </c>
      <c r="G3" s="12">
        <f t="shared" si="2"/>
        <v>0.64274862149409373</v>
      </c>
      <c r="H3" s="12">
        <f t="shared" si="2"/>
        <v>0.18978951062632002</v>
      </c>
      <c r="I3" s="12">
        <f t="shared" si="2"/>
        <v>0.51465315490964603</v>
      </c>
      <c r="J3" s="12">
        <f t="shared" si="2"/>
        <v>0.81192780335474146</v>
      </c>
      <c r="K3" s="12">
        <f t="shared" si="2"/>
        <v>0.87394902233561667</v>
      </c>
      <c r="L3" s="12">
        <f t="shared" si="2"/>
        <v>0.24680108792940145</v>
      </c>
      <c r="M3" s="12">
        <f t="shared" si="2"/>
        <v>0.24680108792940145</v>
      </c>
      <c r="N3" s="12">
        <f t="shared" si="2"/>
        <v>0.24680108792940145</v>
      </c>
      <c r="O3" s="12">
        <f t="shared" si="2"/>
        <v>0.24680108792940145</v>
      </c>
      <c r="P3" s="12">
        <f t="shared" si="2"/>
        <v>0.24680108792940145</v>
      </c>
      <c r="Q3" s="12">
        <f t="shared" si="2"/>
        <v>0.58755266446028342</v>
      </c>
      <c r="R3" s="12">
        <f t="shared" si="2"/>
        <v>0.33050090128389897</v>
      </c>
      <c r="S3" s="12">
        <f t="shared" si="2"/>
        <v>0.47872828322528455</v>
      </c>
      <c r="T3" s="12">
        <f t="shared" si="2"/>
        <v>0.80263866738242451</v>
      </c>
      <c r="U3" s="12">
        <f t="shared" ref="U3" si="3">U38/U8</f>
        <v>0.85860081620156248</v>
      </c>
    </row>
    <row r="4" spans="1:21" x14ac:dyDescent="0.25">
      <c r="A4" s="10" t="s">
        <v>143</v>
      </c>
      <c r="B4" s="12">
        <f t="shared" ref="B4:T4" si="4">1-B3-B2</f>
        <v>0.27786108919792613</v>
      </c>
      <c r="C4" s="12">
        <f t="shared" si="4"/>
        <v>0.27786108919792613</v>
      </c>
      <c r="D4" s="12">
        <f t="shared" si="4"/>
        <v>0.27786108919792613</v>
      </c>
      <c r="E4" s="12">
        <f t="shared" si="4"/>
        <v>0.27786108919792613</v>
      </c>
      <c r="F4" s="12">
        <f t="shared" si="4"/>
        <v>0.27786108919792613</v>
      </c>
      <c r="G4" s="12">
        <f t="shared" si="4"/>
        <v>0.33468293596233034</v>
      </c>
      <c r="H4" s="12">
        <f t="shared" si="4"/>
        <v>0.80017998464723517</v>
      </c>
      <c r="I4" s="12">
        <f t="shared" si="4"/>
        <v>0.45963891491526032</v>
      </c>
      <c r="J4" s="12">
        <f t="shared" si="4"/>
        <v>0.13712272753495058</v>
      </c>
      <c r="K4" s="12">
        <f t="shared" si="4"/>
        <v>0.11582155743190888</v>
      </c>
      <c r="L4" s="12">
        <f t="shared" si="4"/>
        <v>0.11433183043960993</v>
      </c>
      <c r="M4" s="12">
        <f t="shared" si="4"/>
        <v>0.11433183043960993</v>
      </c>
      <c r="N4" s="12">
        <f t="shared" si="4"/>
        <v>0.11433183043960993</v>
      </c>
      <c r="O4" s="12">
        <f t="shared" si="4"/>
        <v>0.11433183043960993</v>
      </c>
      <c r="P4" s="12">
        <f t="shared" si="4"/>
        <v>0.11433183043960993</v>
      </c>
      <c r="Q4" s="12">
        <f t="shared" si="4"/>
        <v>0.29552818834378314</v>
      </c>
      <c r="R4" s="12">
        <f t="shared" si="4"/>
        <v>0.54951282936494872</v>
      </c>
      <c r="S4" s="12">
        <f t="shared" si="4"/>
        <v>0.41086253395451505</v>
      </c>
      <c r="T4" s="12">
        <f t="shared" si="4"/>
        <v>0.12848287813159276</v>
      </c>
      <c r="U4" s="12">
        <f t="shared" ref="U4" si="5">1-U3-U2</f>
        <v>0.1132147438717183</v>
      </c>
    </row>
    <row r="5" spans="1:21" s="13" customForma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s="13" customFormat="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s="13" customFormat="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s="13" customFormat="1" x14ac:dyDescent="0.25">
      <c r="A8" s="17" t="s">
        <v>140</v>
      </c>
      <c r="B8" s="16">
        <f>SUM(B9:B65)</f>
        <v>1.0836304919953937E-2</v>
      </c>
      <c r="C8" s="16">
        <f t="shared" ref="C8:U8" si="6">SUM(C9:C65)</f>
        <v>1.0836304919953937E-2</v>
      </c>
      <c r="D8" s="16">
        <f t="shared" si="6"/>
        <v>1.0836304919953937E-2</v>
      </c>
      <c r="E8" s="16">
        <f t="shared" si="6"/>
        <v>1.0836304919953937E-2</v>
      </c>
      <c r="F8" s="16">
        <f t="shared" si="6"/>
        <v>1.0836304919953937E-2</v>
      </c>
      <c r="G8" s="16">
        <f t="shared" si="6"/>
        <v>6.295037078820287E-2</v>
      </c>
      <c r="H8" s="16">
        <f t="shared" si="6"/>
        <v>0.14287689544000901</v>
      </c>
      <c r="I8" s="16">
        <f t="shared" si="6"/>
        <v>5.0016652219631932E-2</v>
      </c>
      <c r="J8" s="16">
        <f t="shared" si="6"/>
        <v>3.9169211694404023E-2</v>
      </c>
      <c r="K8" s="16">
        <f t="shared" si="6"/>
        <v>0.11513807300650432</v>
      </c>
      <c r="L8" s="16">
        <f t="shared" si="6"/>
        <v>2.6335513709190957E-2</v>
      </c>
      <c r="M8" s="16">
        <f t="shared" si="6"/>
        <v>2.6335513709190957E-2</v>
      </c>
      <c r="N8" s="16">
        <f t="shared" si="6"/>
        <v>2.6335513709190957E-2</v>
      </c>
      <c r="O8" s="16">
        <f t="shared" si="6"/>
        <v>2.6335513709190957E-2</v>
      </c>
      <c r="P8" s="16">
        <f t="shared" si="6"/>
        <v>2.6335513709190957E-2</v>
      </c>
      <c r="Q8" s="16">
        <f t="shared" si="6"/>
        <v>7.1290711838305279E-2</v>
      </c>
      <c r="R8" s="16">
        <f t="shared" si="6"/>
        <v>0.20805197966306763</v>
      </c>
      <c r="S8" s="16">
        <f t="shared" si="6"/>
        <v>5.5954480766724407E-2</v>
      </c>
      <c r="T8" s="16">
        <f t="shared" si="6"/>
        <v>4.180315090256282E-2</v>
      </c>
      <c r="U8" s="16">
        <f t="shared" si="6"/>
        <v>0.11778917196891206</v>
      </c>
    </row>
    <row r="9" spans="1:21" x14ac:dyDescent="0.25">
      <c r="A9" s="5" t="s">
        <v>93</v>
      </c>
      <c r="B9">
        <v>5.19802242059894E-6</v>
      </c>
      <c r="C9">
        <v>5.19802242059894E-6</v>
      </c>
      <c r="D9">
        <v>5.19802242059894E-6</v>
      </c>
      <c r="E9">
        <v>5.19802242059894E-6</v>
      </c>
      <c r="F9">
        <v>5.19802242059894E-6</v>
      </c>
      <c r="G9">
        <v>3.0578962817321412E-5</v>
      </c>
      <c r="H9">
        <v>4.2532110241910492E-4</v>
      </c>
      <c r="I9">
        <v>3.5682292192195232E-5</v>
      </c>
      <c r="J9">
        <v>2.5485383595242129E-5</v>
      </c>
      <c r="K9">
        <v>1.476372321385588E-5</v>
      </c>
      <c r="L9">
        <v>5.19802242059894E-6</v>
      </c>
      <c r="M9">
        <v>5.19802242059894E-6</v>
      </c>
      <c r="N9">
        <v>5.19802242059894E-6</v>
      </c>
      <c r="O9">
        <v>5.19802242059894E-6</v>
      </c>
      <c r="P9">
        <v>5.19802242059894E-6</v>
      </c>
      <c r="Q9">
        <v>3.0578962817321412E-5</v>
      </c>
      <c r="R9">
        <v>4.2532110241910492E-4</v>
      </c>
      <c r="S9">
        <v>3.5682292192195232E-5</v>
      </c>
      <c r="T9">
        <v>2.5485383595242129E-5</v>
      </c>
      <c r="U9">
        <v>1.476372321385588E-5</v>
      </c>
    </row>
    <row r="10" spans="1:21" x14ac:dyDescent="0.25">
      <c r="A10" s="5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1.3743154063186161E-5</v>
      </c>
      <c r="H10">
        <v>8.4426678773562953E-4</v>
      </c>
      <c r="I10">
        <v>3.7352273740260448E-6</v>
      </c>
      <c r="J10">
        <v>1.3810098978109479E-5</v>
      </c>
      <c r="K10">
        <v>5.8011991343735486E-7</v>
      </c>
      <c r="L10">
        <v>0</v>
      </c>
      <c r="M10">
        <v>0</v>
      </c>
      <c r="N10">
        <v>0</v>
      </c>
      <c r="O10">
        <v>0</v>
      </c>
      <c r="P10">
        <v>0</v>
      </c>
      <c r="Q10">
        <v>1.3743154063186161E-5</v>
      </c>
      <c r="R10">
        <v>8.4426678773562953E-4</v>
      </c>
      <c r="S10">
        <v>3.7352273740260448E-6</v>
      </c>
      <c r="T10">
        <v>1.3810098978109479E-5</v>
      </c>
      <c r="U10">
        <v>5.8011991343735486E-7</v>
      </c>
    </row>
    <row r="11" spans="1:21" x14ac:dyDescent="0.25">
      <c r="A11" s="5" t="s">
        <v>91</v>
      </c>
      <c r="B11">
        <v>6.4583387399554486E-6</v>
      </c>
      <c r="C11">
        <v>6.4583387399554486E-6</v>
      </c>
      <c r="D11">
        <v>6.4583387399554486E-6</v>
      </c>
      <c r="E11">
        <v>6.4583387399554486E-6</v>
      </c>
      <c r="F11">
        <v>6.4583387399554486E-6</v>
      </c>
      <c r="G11">
        <v>1.8847207058134819E-4</v>
      </c>
      <c r="H11">
        <v>1.251974100272296E-4</v>
      </c>
      <c r="I11">
        <v>1.722501161496896E-4</v>
      </c>
      <c r="J11">
        <v>3.0449389624550311E-5</v>
      </c>
      <c r="K11">
        <v>8.649891373899866E-5</v>
      </c>
      <c r="L11">
        <v>6.4583387399554486E-6</v>
      </c>
      <c r="M11">
        <v>6.4583387399554486E-6</v>
      </c>
      <c r="N11">
        <v>6.4583387399554486E-6</v>
      </c>
      <c r="O11">
        <v>6.4583387399554486E-6</v>
      </c>
      <c r="P11">
        <v>6.4583387399554486E-6</v>
      </c>
      <c r="Q11">
        <v>1.8847207058134819E-4</v>
      </c>
      <c r="R11">
        <v>1.251974100272296E-4</v>
      </c>
      <c r="S11">
        <v>1.722501161496896E-4</v>
      </c>
      <c r="T11">
        <v>3.0449389624550311E-5</v>
      </c>
      <c r="U11">
        <v>8.649891373899866E-5</v>
      </c>
    </row>
    <row r="12" spans="1:21" x14ac:dyDescent="0.25">
      <c r="A12" s="5" t="s">
        <v>124</v>
      </c>
      <c r="B12">
        <v>0</v>
      </c>
      <c r="C12">
        <v>0</v>
      </c>
      <c r="D12">
        <v>0</v>
      </c>
      <c r="E12">
        <v>0</v>
      </c>
      <c r="F12">
        <v>0</v>
      </c>
      <c r="G12">
        <v>9.9407956563881258E-6</v>
      </c>
      <c r="H12">
        <v>3.0969710640668349E-4</v>
      </c>
      <c r="I12">
        <v>8.5314690433662198E-6</v>
      </c>
      <c r="J12">
        <v>1.2965603748671221E-5</v>
      </c>
      <c r="K12">
        <v>2.380904440366761E-6</v>
      </c>
      <c r="L12">
        <v>0</v>
      </c>
      <c r="M12">
        <v>0</v>
      </c>
      <c r="N12">
        <v>0</v>
      </c>
      <c r="O12">
        <v>0</v>
      </c>
      <c r="P12">
        <v>0</v>
      </c>
      <c r="Q12">
        <v>9.9407956563881258E-6</v>
      </c>
      <c r="R12">
        <v>3.0969710640668349E-4</v>
      </c>
      <c r="S12">
        <v>8.5314690433662198E-6</v>
      </c>
      <c r="T12">
        <v>1.2965603748671221E-5</v>
      </c>
      <c r="U12">
        <v>2.380904440366761E-6</v>
      </c>
    </row>
    <row r="13" spans="1:21" x14ac:dyDescent="0.25">
      <c r="A13" s="5" t="s">
        <v>105</v>
      </c>
      <c r="B13">
        <v>6.6359057604854621E-7</v>
      </c>
      <c r="C13">
        <v>6.6359057604854621E-7</v>
      </c>
      <c r="D13">
        <v>6.6359057604854621E-7</v>
      </c>
      <c r="E13">
        <v>6.6359057604854621E-7</v>
      </c>
      <c r="F13">
        <v>6.6359057604854621E-7</v>
      </c>
      <c r="G13">
        <v>1.4430917580704481E-7</v>
      </c>
      <c r="H13">
        <v>1.025543694939677E-6</v>
      </c>
      <c r="I13">
        <v>4.8543180414107197E-7</v>
      </c>
      <c r="J13">
        <v>6.8979786318177499E-7</v>
      </c>
      <c r="K13">
        <v>1.602509092782367E-8</v>
      </c>
      <c r="L13">
        <v>6.6359057604854621E-7</v>
      </c>
      <c r="M13">
        <v>6.6359057604854621E-7</v>
      </c>
      <c r="N13">
        <v>6.6359057604854621E-7</v>
      </c>
      <c r="O13">
        <v>6.6359057604854621E-7</v>
      </c>
      <c r="P13">
        <v>6.6359057604854621E-7</v>
      </c>
      <c r="Q13">
        <v>1.4430917580704481E-7</v>
      </c>
      <c r="R13">
        <v>1.025543694939677E-6</v>
      </c>
      <c r="S13">
        <v>4.8543180414107197E-7</v>
      </c>
      <c r="T13">
        <v>6.8979786318177499E-7</v>
      </c>
      <c r="U13">
        <v>1.602509092782367E-8</v>
      </c>
    </row>
    <row r="14" spans="1:21" x14ac:dyDescent="0.25">
      <c r="A14" s="5" t="s">
        <v>76</v>
      </c>
      <c r="B14">
        <v>8.0825855923151826E-5</v>
      </c>
      <c r="C14">
        <v>8.0825855923151826E-5</v>
      </c>
      <c r="D14">
        <v>8.0825855923151826E-5</v>
      </c>
      <c r="E14">
        <v>8.0825855923151826E-5</v>
      </c>
      <c r="F14">
        <v>8.0825855923151826E-5</v>
      </c>
      <c r="G14">
        <v>4.2515438601528708E-4</v>
      </c>
      <c r="H14">
        <v>5.7417835516206774E-3</v>
      </c>
      <c r="I14">
        <v>9.3920606741502175E-4</v>
      </c>
      <c r="J14">
        <v>2.9208129588830011E-4</v>
      </c>
      <c r="K14">
        <v>2.3286124251704931E-4</v>
      </c>
      <c r="L14">
        <v>8.0825855923151826E-5</v>
      </c>
      <c r="M14">
        <v>8.0825855923151826E-5</v>
      </c>
      <c r="N14">
        <v>8.0825855923151826E-5</v>
      </c>
      <c r="O14">
        <v>8.0825855923151826E-5</v>
      </c>
      <c r="P14">
        <v>8.0825855923151826E-5</v>
      </c>
      <c r="Q14">
        <v>4.2515438601528708E-4</v>
      </c>
      <c r="R14">
        <v>5.7417835516206774E-3</v>
      </c>
      <c r="S14">
        <v>9.3920606741502175E-4</v>
      </c>
      <c r="T14">
        <v>2.9208129588830011E-4</v>
      </c>
      <c r="U14">
        <v>2.3286124251704931E-4</v>
      </c>
    </row>
    <row r="15" spans="1:21" x14ac:dyDescent="0.25">
      <c r="A15" s="5" t="s">
        <v>106</v>
      </c>
      <c r="B15">
        <v>2.9770066733341071E-7</v>
      </c>
      <c r="C15">
        <v>2.9770066733341071E-7</v>
      </c>
      <c r="D15">
        <v>2.9770066733341071E-7</v>
      </c>
      <c r="E15">
        <v>2.9770066733341071E-7</v>
      </c>
      <c r="F15">
        <v>2.9770066733341071E-7</v>
      </c>
      <c r="G15">
        <v>2.8662914605598329E-9</v>
      </c>
      <c r="H15">
        <v>3.9368357288791289E-6</v>
      </c>
      <c r="I15">
        <v>4.7809896400544491E-7</v>
      </c>
      <c r="J15">
        <v>0</v>
      </c>
      <c r="K15">
        <v>9.9498402834007658E-10</v>
      </c>
      <c r="L15">
        <v>2.9770066733341071E-7</v>
      </c>
      <c r="M15">
        <v>2.9770066733341071E-7</v>
      </c>
      <c r="N15">
        <v>2.9770066733341071E-7</v>
      </c>
      <c r="O15">
        <v>2.9770066733341071E-7</v>
      </c>
      <c r="P15">
        <v>2.9770066733341071E-7</v>
      </c>
      <c r="Q15">
        <v>2.8662914605598329E-9</v>
      </c>
      <c r="R15">
        <v>3.9368357288791289E-6</v>
      </c>
      <c r="S15">
        <v>4.7809896400544491E-7</v>
      </c>
      <c r="T15">
        <v>0</v>
      </c>
      <c r="U15">
        <v>9.9498402834007658E-10</v>
      </c>
    </row>
    <row r="16" spans="1:21" x14ac:dyDescent="0.25">
      <c r="A16" s="5" t="s">
        <v>69</v>
      </c>
      <c r="B16">
        <v>1.1502371416456799E-3</v>
      </c>
      <c r="C16">
        <v>1.1502371416456799E-3</v>
      </c>
      <c r="D16">
        <v>1.1502371416456799E-3</v>
      </c>
      <c r="E16">
        <v>1.1502371416456799E-3</v>
      </c>
      <c r="F16">
        <v>1.1502371416456799E-3</v>
      </c>
      <c r="G16">
        <v>1.3832662121873931E-3</v>
      </c>
      <c r="H16">
        <v>8.4036640963474647E-3</v>
      </c>
      <c r="I16">
        <v>1.927019501100823E-3</v>
      </c>
      <c r="J16">
        <v>4.7323427788079141E-4</v>
      </c>
      <c r="K16">
        <v>7.2011896112114779E-4</v>
      </c>
      <c r="L16">
        <v>1.1502371416456799E-3</v>
      </c>
      <c r="M16">
        <v>1.1502371416456799E-3</v>
      </c>
      <c r="N16">
        <v>1.1502371416456799E-3</v>
      </c>
      <c r="O16">
        <v>1.1502371416456799E-3</v>
      </c>
      <c r="P16">
        <v>1.1502371416456799E-3</v>
      </c>
      <c r="Q16">
        <v>1.3832662121873931E-3</v>
      </c>
      <c r="R16">
        <v>8.4036640963474647E-3</v>
      </c>
      <c r="S16">
        <v>1.927019501100823E-3</v>
      </c>
      <c r="T16">
        <v>4.7323427788079141E-4</v>
      </c>
      <c r="U16">
        <v>7.2011896112114779E-4</v>
      </c>
    </row>
    <row r="17" spans="1:21" x14ac:dyDescent="0.25">
      <c r="A17" s="5" t="s">
        <v>94</v>
      </c>
      <c r="B17">
        <v>4.5023343707052524E-6</v>
      </c>
      <c r="C17">
        <v>4.5023343707052524E-6</v>
      </c>
      <c r="D17">
        <v>4.5023343707052524E-6</v>
      </c>
      <c r="E17">
        <v>4.5023343707052524E-6</v>
      </c>
      <c r="F17">
        <v>4.5023343707052524E-6</v>
      </c>
      <c r="G17">
        <v>3.8435268109522268E-5</v>
      </c>
      <c r="H17">
        <v>2.2001923945926971E-5</v>
      </c>
      <c r="I17">
        <v>7.0601649390251585E-5</v>
      </c>
      <c r="J17">
        <v>8.8340403442926336E-5</v>
      </c>
      <c r="K17">
        <v>4.0745357509441773E-5</v>
      </c>
      <c r="L17">
        <v>4.5023343707052524E-6</v>
      </c>
      <c r="M17">
        <v>4.5023343707052524E-6</v>
      </c>
      <c r="N17">
        <v>4.5023343707052524E-6</v>
      </c>
      <c r="O17">
        <v>4.5023343707052524E-6</v>
      </c>
      <c r="P17">
        <v>4.5023343707052524E-6</v>
      </c>
      <c r="Q17">
        <v>3.8435268109522268E-5</v>
      </c>
      <c r="R17">
        <v>2.2001923945926971E-5</v>
      </c>
      <c r="S17">
        <v>7.0601649390251585E-5</v>
      </c>
      <c r="T17">
        <v>8.8340403442926336E-5</v>
      </c>
      <c r="U17">
        <v>4.0745357509441773E-5</v>
      </c>
    </row>
    <row r="18" spans="1:21" x14ac:dyDescent="0.25">
      <c r="A18" s="5" t="s">
        <v>92</v>
      </c>
      <c r="B18">
        <v>3.5182114044859961E-6</v>
      </c>
      <c r="C18">
        <v>3.5182114044859961E-6</v>
      </c>
      <c r="D18">
        <v>3.5182114044859961E-6</v>
      </c>
      <c r="E18">
        <v>3.5182114044859961E-6</v>
      </c>
      <c r="F18">
        <v>3.5182114044859961E-6</v>
      </c>
      <c r="G18">
        <v>2.0004084622539899E-4</v>
      </c>
      <c r="H18">
        <v>3.2729987613359639E-3</v>
      </c>
      <c r="I18">
        <v>3.4154734446088721E-4</v>
      </c>
      <c r="J18">
        <v>3.7585932479514638E-5</v>
      </c>
      <c r="K18">
        <v>7.029143116331063E-5</v>
      </c>
      <c r="L18">
        <v>3.5182114044859961E-6</v>
      </c>
      <c r="M18">
        <v>3.5182114044859961E-6</v>
      </c>
      <c r="N18">
        <v>3.5182114044859961E-6</v>
      </c>
      <c r="O18">
        <v>3.5182114044859961E-6</v>
      </c>
      <c r="P18">
        <v>3.5182114044859961E-6</v>
      </c>
      <c r="Q18">
        <v>2.0004084622539899E-4</v>
      </c>
      <c r="R18">
        <v>3.2729987613359639E-3</v>
      </c>
      <c r="S18">
        <v>3.4154734446088721E-4</v>
      </c>
      <c r="T18">
        <v>3.7585932479514638E-5</v>
      </c>
      <c r="U18">
        <v>7.029143116331063E-5</v>
      </c>
    </row>
    <row r="19" spans="1:21" x14ac:dyDescent="0.25">
      <c r="A19" s="5" t="s">
        <v>83</v>
      </c>
      <c r="B19">
        <v>1.8541474725187001E-5</v>
      </c>
      <c r="C19">
        <v>1.8541474725187001E-5</v>
      </c>
      <c r="D19">
        <v>1.8541474725187001E-5</v>
      </c>
      <c r="E19">
        <v>1.8541474725187001E-5</v>
      </c>
      <c r="F19">
        <v>1.8541474725187001E-5</v>
      </c>
      <c r="G19">
        <v>2.138872267630577E-5</v>
      </c>
      <c r="H19">
        <v>2.9506941313177338E-4</v>
      </c>
      <c r="I19">
        <v>7.3415957207602665E-5</v>
      </c>
      <c r="J19">
        <v>1.959201413900946E-5</v>
      </c>
      <c r="K19">
        <v>3.4425752930155008E-5</v>
      </c>
      <c r="L19">
        <v>1.8541474725187001E-5</v>
      </c>
      <c r="M19">
        <v>1.8541474725187001E-5</v>
      </c>
      <c r="N19">
        <v>1.8541474725187001E-5</v>
      </c>
      <c r="O19">
        <v>1.8541474725187001E-5</v>
      </c>
      <c r="P19">
        <v>1.8541474725187001E-5</v>
      </c>
      <c r="Q19">
        <v>2.138872267630577E-5</v>
      </c>
      <c r="R19">
        <v>2.9506941313177338E-4</v>
      </c>
      <c r="S19">
        <v>7.3415957207602665E-5</v>
      </c>
      <c r="T19">
        <v>1.959201413900946E-5</v>
      </c>
      <c r="U19">
        <v>3.4425752930155008E-5</v>
      </c>
    </row>
    <row r="20" spans="1:21" x14ac:dyDescent="0.25">
      <c r="A20" s="5" t="s">
        <v>125</v>
      </c>
      <c r="B20">
        <v>1.2061877377423851E-7</v>
      </c>
      <c r="C20">
        <v>1.2061877377423851E-7</v>
      </c>
      <c r="D20">
        <v>1.2061877377423851E-7</v>
      </c>
      <c r="E20">
        <v>1.2061877377423851E-7</v>
      </c>
      <c r="F20">
        <v>1.2061877377423851E-7</v>
      </c>
      <c r="G20">
        <v>7.8922715075472967E-6</v>
      </c>
      <c r="H20">
        <v>4.7875397277916961E-4</v>
      </c>
      <c r="I20">
        <v>8.6780478376364379E-7</v>
      </c>
      <c r="J20">
        <v>3.081985687157763E-6</v>
      </c>
      <c r="K20">
        <v>2.3761175052227909E-8</v>
      </c>
      <c r="L20">
        <v>1.2061877377423851E-7</v>
      </c>
      <c r="M20">
        <v>1.2061877377423851E-7</v>
      </c>
      <c r="N20">
        <v>1.2061877377423851E-7</v>
      </c>
      <c r="O20">
        <v>1.2061877377423851E-7</v>
      </c>
      <c r="P20">
        <v>1.2061877377423851E-7</v>
      </c>
      <c r="Q20">
        <v>7.8922715075472967E-6</v>
      </c>
      <c r="R20">
        <v>4.7875397277916961E-4</v>
      </c>
      <c r="S20">
        <v>8.6780478376364379E-7</v>
      </c>
      <c r="T20">
        <v>3.081985687157763E-6</v>
      </c>
      <c r="U20">
        <v>2.3761175052227909E-8</v>
      </c>
    </row>
    <row r="21" spans="1:21" x14ac:dyDescent="0.25">
      <c r="A21" s="5" t="s">
        <v>100</v>
      </c>
      <c r="B21">
        <v>1.228798535785908E-6</v>
      </c>
      <c r="C21">
        <v>1.228798535785908E-6</v>
      </c>
      <c r="D21">
        <v>1.228798535785908E-6</v>
      </c>
      <c r="E21">
        <v>1.228798535785908E-6</v>
      </c>
      <c r="F21">
        <v>1.228798535785908E-6</v>
      </c>
      <c r="G21">
        <v>5.6714211689984231E-7</v>
      </c>
      <c r="H21">
        <v>1.5067329738042429E-5</v>
      </c>
      <c r="I21">
        <v>1.46044440894548E-6</v>
      </c>
      <c r="J21">
        <v>2.3434799008106999E-6</v>
      </c>
      <c r="K21">
        <v>1.217589959098387E-7</v>
      </c>
      <c r="L21">
        <v>1.228798535785908E-6</v>
      </c>
      <c r="M21">
        <v>1.228798535785908E-6</v>
      </c>
      <c r="N21">
        <v>1.228798535785908E-6</v>
      </c>
      <c r="O21">
        <v>1.228798535785908E-6</v>
      </c>
      <c r="P21">
        <v>1.228798535785908E-6</v>
      </c>
      <c r="Q21">
        <v>5.6714211689984231E-7</v>
      </c>
      <c r="R21">
        <v>1.5067329738042429E-5</v>
      </c>
      <c r="S21">
        <v>1.46044440894548E-6</v>
      </c>
      <c r="T21">
        <v>2.3434799008106999E-6</v>
      </c>
      <c r="U21">
        <v>1.217589959098387E-7</v>
      </c>
    </row>
    <row r="22" spans="1:21" x14ac:dyDescent="0.25">
      <c r="A22" s="5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9.4763867215177997E-7</v>
      </c>
      <c r="H22">
        <v>1.0785181400891539E-6</v>
      </c>
      <c r="I22">
        <v>1.6354186662434819E-6</v>
      </c>
      <c r="J22">
        <v>6.4423693684506202E-5</v>
      </c>
      <c r="K22">
        <v>4.1550045452984811E-7</v>
      </c>
      <c r="L22">
        <v>0</v>
      </c>
      <c r="M22">
        <v>0</v>
      </c>
      <c r="N22">
        <v>0</v>
      </c>
      <c r="O22">
        <v>0</v>
      </c>
      <c r="P22">
        <v>0</v>
      </c>
      <c r="Q22">
        <v>9.4763867215177997E-7</v>
      </c>
      <c r="R22">
        <v>1.0785181400891539E-6</v>
      </c>
      <c r="S22">
        <v>1.6354186662434819E-6</v>
      </c>
      <c r="T22">
        <v>6.4423693684506202E-5</v>
      </c>
      <c r="U22">
        <v>4.1550045452984811E-7</v>
      </c>
    </row>
    <row r="23" spans="1:21" x14ac:dyDescent="0.25">
      <c r="A23" s="5" t="s">
        <v>70</v>
      </c>
      <c r="B23">
        <v>3.4021488744502332E-4</v>
      </c>
      <c r="C23">
        <v>3.4021488744502332E-4</v>
      </c>
      <c r="D23">
        <v>3.4021488744502332E-4</v>
      </c>
      <c r="E23">
        <v>3.4021488744502332E-4</v>
      </c>
      <c r="F23">
        <v>3.4021488744502332E-4</v>
      </c>
      <c r="G23">
        <v>1.556043623238584E-3</v>
      </c>
      <c r="H23">
        <v>5.5551521392839592E-3</v>
      </c>
      <c r="I23">
        <v>5.1663891289949679E-3</v>
      </c>
      <c r="J23">
        <v>7.1754643083689015E-4</v>
      </c>
      <c r="K23">
        <v>1.829707013772707E-3</v>
      </c>
      <c r="L23">
        <v>3.4021488744502332E-4</v>
      </c>
      <c r="M23">
        <v>3.4021488744502332E-4</v>
      </c>
      <c r="N23">
        <v>3.4021488744502332E-4</v>
      </c>
      <c r="O23">
        <v>3.4021488744502332E-4</v>
      </c>
      <c r="P23">
        <v>3.4021488744502332E-4</v>
      </c>
      <c r="Q23">
        <v>1.556043623238584E-3</v>
      </c>
      <c r="R23">
        <v>5.5551521392839592E-3</v>
      </c>
      <c r="S23">
        <v>5.1663891289949679E-3</v>
      </c>
      <c r="T23">
        <v>7.1754643083689015E-4</v>
      </c>
      <c r="U23">
        <v>1.829707013772707E-3</v>
      </c>
    </row>
    <row r="24" spans="1:21" x14ac:dyDescent="0.25">
      <c r="A24" s="5" t="s">
        <v>88</v>
      </c>
      <c r="B24">
        <v>1.2217479440210801E-5</v>
      </c>
      <c r="C24">
        <v>1.2217479440210801E-5</v>
      </c>
      <c r="D24">
        <v>1.2217479440210801E-5</v>
      </c>
      <c r="E24">
        <v>1.2217479440210801E-5</v>
      </c>
      <c r="F24">
        <v>1.2217479440210801E-5</v>
      </c>
      <c r="G24">
        <v>2.224294695478025E-5</v>
      </c>
      <c r="H24">
        <v>1.35088718963074E-4</v>
      </c>
      <c r="I24">
        <v>2.7817126351880471E-5</v>
      </c>
      <c r="J24">
        <v>1.6077591291046089E-5</v>
      </c>
      <c r="K24">
        <v>7.1174097081090833E-6</v>
      </c>
      <c r="L24">
        <v>1.2217479440210801E-5</v>
      </c>
      <c r="M24">
        <v>1.2217479440210801E-5</v>
      </c>
      <c r="N24">
        <v>1.2217479440210801E-5</v>
      </c>
      <c r="O24">
        <v>1.2217479440210801E-5</v>
      </c>
      <c r="P24">
        <v>1.2217479440210801E-5</v>
      </c>
      <c r="Q24">
        <v>2.224294695478025E-5</v>
      </c>
      <c r="R24">
        <v>1.35088718963074E-4</v>
      </c>
      <c r="S24">
        <v>2.7817126351880471E-5</v>
      </c>
      <c r="T24">
        <v>1.6077591291046089E-5</v>
      </c>
      <c r="U24">
        <v>7.1174097081090833E-6</v>
      </c>
    </row>
    <row r="25" spans="1:21" x14ac:dyDescent="0.25">
      <c r="A25" s="5" t="s">
        <v>75</v>
      </c>
      <c r="B25">
        <v>1.5062651157202951E-4</v>
      </c>
      <c r="C25">
        <v>1.5062651157202951E-4</v>
      </c>
      <c r="D25">
        <v>1.5062651157202951E-4</v>
      </c>
      <c r="E25">
        <v>1.5062651157202951E-4</v>
      </c>
      <c r="F25">
        <v>1.5062651157202951E-4</v>
      </c>
      <c r="G25">
        <v>4.564718511801747E-4</v>
      </c>
      <c r="H25">
        <v>1.4471295125771269E-3</v>
      </c>
      <c r="I25">
        <v>4.6436611153362009E-4</v>
      </c>
      <c r="J25">
        <v>2.4239356504924609E-4</v>
      </c>
      <c r="K25">
        <v>2.3551733088984561E-4</v>
      </c>
      <c r="L25">
        <v>1.5062651157202951E-4</v>
      </c>
      <c r="M25">
        <v>1.5062651157202951E-4</v>
      </c>
      <c r="N25">
        <v>1.5062651157202951E-4</v>
      </c>
      <c r="O25">
        <v>1.5062651157202951E-4</v>
      </c>
      <c r="P25">
        <v>1.5062651157202951E-4</v>
      </c>
      <c r="Q25">
        <v>4.564718511801747E-4</v>
      </c>
      <c r="R25">
        <v>1.4471295125771269E-3</v>
      </c>
      <c r="S25">
        <v>4.6436611153362009E-4</v>
      </c>
      <c r="T25">
        <v>2.4239356504924609E-4</v>
      </c>
      <c r="U25">
        <v>2.3551733088984561E-4</v>
      </c>
    </row>
    <row r="26" spans="1:21" x14ac:dyDescent="0.25">
      <c r="A26" s="5" t="s">
        <v>81</v>
      </c>
      <c r="B26">
        <v>2.3013566397090099E-5</v>
      </c>
      <c r="C26">
        <v>2.3013566397090099E-5</v>
      </c>
      <c r="D26">
        <v>2.3013566397090099E-5</v>
      </c>
      <c r="E26">
        <v>2.3013566397090099E-5</v>
      </c>
      <c r="F26">
        <v>2.3013566397090099E-5</v>
      </c>
      <c r="G26">
        <v>2.028130386329778E-4</v>
      </c>
      <c r="H26">
        <v>1.714046423250957E-3</v>
      </c>
      <c r="I26">
        <v>2.7907057036044141E-4</v>
      </c>
      <c r="J26">
        <v>6.7555184807652159E-5</v>
      </c>
      <c r="K26">
        <v>1.329689035735395E-4</v>
      </c>
      <c r="L26">
        <v>2.3013566397090099E-5</v>
      </c>
      <c r="M26">
        <v>2.3013566397090099E-5</v>
      </c>
      <c r="N26">
        <v>2.3013566397090099E-5</v>
      </c>
      <c r="O26">
        <v>2.3013566397090099E-5</v>
      </c>
      <c r="P26">
        <v>2.3013566397090099E-5</v>
      </c>
      <c r="Q26">
        <v>2.028130386329778E-4</v>
      </c>
      <c r="R26">
        <v>1.714046423250957E-3</v>
      </c>
      <c r="S26">
        <v>2.7907057036044141E-4</v>
      </c>
      <c r="T26">
        <v>6.7555184807652159E-5</v>
      </c>
      <c r="U26">
        <v>1.329689035735395E-4</v>
      </c>
    </row>
    <row r="27" spans="1:21" x14ac:dyDescent="0.25">
      <c r="A27" s="5" t="s">
        <v>127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9.5296432412216429E-9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9.5296432412216429E-9</v>
      </c>
      <c r="S27">
        <v>0</v>
      </c>
      <c r="T27">
        <v>0</v>
      </c>
      <c r="U27">
        <v>0</v>
      </c>
    </row>
    <row r="28" spans="1:21" x14ac:dyDescent="0.25">
      <c r="A28" s="5" t="s">
        <v>84</v>
      </c>
      <c r="B28">
        <v>1.8935886859803911E-5</v>
      </c>
      <c r="C28">
        <v>1.8935886859803911E-5</v>
      </c>
      <c r="D28">
        <v>1.8935886859803911E-5</v>
      </c>
      <c r="E28">
        <v>1.8935886859803911E-5</v>
      </c>
      <c r="F28">
        <v>1.8935886859803911E-5</v>
      </c>
      <c r="G28">
        <v>1.058907156973976E-4</v>
      </c>
      <c r="H28">
        <v>5.1463339954592562E-3</v>
      </c>
      <c r="I28">
        <v>1.031791953796867E-5</v>
      </c>
      <c r="J28">
        <v>3.8584306694666898E-5</v>
      </c>
      <c r="K28">
        <v>1.6350761860553791E-5</v>
      </c>
      <c r="L28">
        <v>1.8935886859803911E-5</v>
      </c>
      <c r="M28">
        <v>1.8935886859803911E-5</v>
      </c>
      <c r="N28">
        <v>1.8935886859803911E-5</v>
      </c>
      <c r="O28">
        <v>1.8935886859803911E-5</v>
      </c>
      <c r="P28">
        <v>1.8935886859803911E-5</v>
      </c>
      <c r="Q28">
        <v>1.058907156973976E-4</v>
      </c>
      <c r="R28">
        <v>5.1463339954592562E-3</v>
      </c>
      <c r="S28">
        <v>1.031791953796867E-5</v>
      </c>
      <c r="T28">
        <v>3.8584306694666898E-5</v>
      </c>
      <c r="U28">
        <v>1.6350761860553791E-5</v>
      </c>
    </row>
    <row r="29" spans="1:21" x14ac:dyDescent="0.25">
      <c r="A29" s="5" t="s">
        <v>102</v>
      </c>
      <c r="B29">
        <v>8.9288323399535521E-7</v>
      </c>
      <c r="C29">
        <v>8.9288323399535521E-7</v>
      </c>
      <c r="D29">
        <v>8.9288323399535521E-7</v>
      </c>
      <c r="E29">
        <v>8.9288323399535521E-7</v>
      </c>
      <c r="F29">
        <v>8.9288323399535521E-7</v>
      </c>
      <c r="G29">
        <v>7.0915788089062103E-5</v>
      </c>
      <c r="H29">
        <v>2.8868469736129332E-4</v>
      </c>
      <c r="I29">
        <v>9.3684446567243707E-5</v>
      </c>
      <c r="J29">
        <v>1.1445777521060669E-5</v>
      </c>
      <c r="K29">
        <v>3.0565703100209662E-5</v>
      </c>
      <c r="L29">
        <v>8.9288323399535521E-7</v>
      </c>
      <c r="M29">
        <v>8.9288323399535521E-7</v>
      </c>
      <c r="N29">
        <v>8.9288323399535521E-7</v>
      </c>
      <c r="O29">
        <v>8.9288323399535521E-7</v>
      </c>
      <c r="P29">
        <v>8.9288323399535521E-7</v>
      </c>
      <c r="Q29">
        <v>7.0915788089062103E-5</v>
      </c>
      <c r="R29">
        <v>2.8868469736129332E-4</v>
      </c>
      <c r="S29">
        <v>9.3684446567243707E-5</v>
      </c>
      <c r="T29">
        <v>1.1445777521060669E-5</v>
      </c>
      <c r="U29">
        <v>3.0565703100209662E-5</v>
      </c>
    </row>
    <row r="30" spans="1:21" x14ac:dyDescent="0.25">
      <c r="A30" s="5" t="s">
        <v>95</v>
      </c>
      <c r="B30">
        <v>3.697252169920041E-6</v>
      </c>
      <c r="C30">
        <v>3.697252169920041E-6</v>
      </c>
      <c r="D30">
        <v>3.697252169920041E-6</v>
      </c>
      <c r="E30">
        <v>3.697252169920041E-6</v>
      </c>
      <c r="F30">
        <v>3.697252169920041E-6</v>
      </c>
      <c r="G30">
        <v>1.7544706785993041E-5</v>
      </c>
      <c r="H30">
        <v>2.26376997005453E-5</v>
      </c>
      <c r="I30">
        <v>9.6189983823083137E-5</v>
      </c>
      <c r="J30">
        <v>2.3758163596001982E-5</v>
      </c>
      <c r="K30">
        <v>2.1232240375967689E-5</v>
      </c>
      <c r="L30">
        <v>3.697252169920041E-6</v>
      </c>
      <c r="M30">
        <v>3.697252169920041E-6</v>
      </c>
      <c r="N30">
        <v>3.697252169920041E-6</v>
      </c>
      <c r="O30">
        <v>3.697252169920041E-6</v>
      </c>
      <c r="P30">
        <v>3.697252169920041E-6</v>
      </c>
      <c r="Q30">
        <v>1.7544706785993041E-5</v>
      </c>
      <c r="R30">
        <v>2.26376997005453E-5</v>
      </c>
      <c r="S30">
        <v>9.6189983823083137E-5</v>
      </c>
      <c r="T30">
        <v>2.3758163596001982E-5</v>
      </c>
      <c r="U30">
        <v>2.1232240375967689E-5</v>
      </c>
    </row>
    <row r="31" spans="1:21" x14ac:dyDescent="0.25">
      <c r="A31" s="5" t="s">
        <v>103</v>
      </c>
      <c r="B31">
        <v>6.1424737702325846E-7</v>
      </c>
      <c r="C31">
        <v>6.1424737702325846E-7</v>
      </c>
      <c r="D31">
        <v>6.1424737702325846E-7</v>
      </c>
      <c r="E31">
        <v>6.1424737702325846E-7</v>
      </c>
      <c r="F31">
        <v>6.1424737702325846E-7</v>
      </c>
      <c r="G31">
        <v>5.1136107439589787E-6</v>
      </c>
      <c r="H31">
        <v>3.8786593253609271E-4</v>
      </c>
      <c r="I31">
        <v>1.088082294138697E-4</v>
      </c>
      <c r="J31">
        <v>1.013097384074362E-5</v>
      </c>
      <c r="K31">
        <v>9.0512025952622321E-6</v>
      </c>
      <c r="L31">
        <v>6.1424737702325846E-7</v>
      </c>
      <c r="M31">
        <v>6.1424737702325846E-7</v>
      </c>
      <c r="N31">
        <v>6.1424737702325846E-7</v>
      </c>
      <c r="O31">
        <v>6.1424737702325846E-7</v>
      </c>
      <c r="P31">
        <v>6.1424737702325846E-7</v>
      </c>
      <c r="Q31">
        <v>5.1136107439589787E-6</v>
      </c>
      <c r="R31">
        <v>3.8786593253609271E-4</v>
      </c>
      <c r="S31">
        <v>1.088082294138697E-4</v>
      </c>
      <c r="T31">
        <v>1.013097384074362E-5</v>
      </c>
      <c r="U31">
        <v>9.0512025952622321E-6</v>
      </c>
    </row>
    <row r="32" spans="1:21" x14ac:dyDescent="0.25">
      <c r="A32" s="5" t="s">
        <v>98</v>
      </c>
      <c r="B32">
        <v>1.461449164676767E-6</v>
      </c>
      <c r="C32">
        <v>1.461449164676767E-6</v>
      </c>
      <c r="D32">
        <v>1.461449164676767E-6</v>
      </c>
      <c r="E32">
        <v>1.461449164676767E-6</v>
      </c>
      <c r="F32">
        <v>1.461449164676767E-6</v>
      </c>
      <c r="G32">
        <v>4.1229258310950017E-5</v>
      </c>
      <c r="H32">
        <v>2.2720782170632581E-4</v>
      </c>
      <c r="I32">
        <v>5.6117145559583509E-5</v>
      </c>
      <c r="J32">
        <v>1.6623736108575051E-5</v>
      </c>
      <c r="K32">
        <v>1.7632508943044989E-5</v>
      </c>
      <c r="L32">
        <v>1.461449164676767E-6</v>
      </c>
      <c r="M32">
        <v>1.461449164676767E-6</v>
      </c>
      <c r="N32">
        <v>1.461449164676767E-6</v>
      </c>
      <c r="O32">
        <v>1.461449164676767E-6</v>
      </c>
      <c r="P32">
        <v>1.461449164676767E-6</v>
      </c>
      <c r="Q32">
        <v>4.1229258310950017E-5</v>
      </c>
      <c r="R32">
        <v>2.2720782170632581E-4</v>
      </c>
      <c r="S32">
        <v>5.6117145559583509E-5</v>
      </c>
      <c r="T32">
        <v>1.6623736108575051E-5</v>
      </c>
      <c r="U32">
        <v>1.7632508943044989E-5</v>
      </c>
    </row>
    <row r="33" spans="1:21" x14ac:dyDescent="0.25">
      <c r="A33" s="5" t="s">
        <v>99</v>
      </c>
      <c r="B33">
        <v>2.629796942926892E-6</v>
      </c>
      <c r="C33">
        <v>2.629796942926892E-6</v>
      </c>
      <c r="D33">
        <v>2.629796942926892E-6</v>
      </c>
      <c r="E33">
        <v>2.629796942926892E-6</v>
      </c>
      <c r="F33">
        <v>2.629796942926892E-6</v>
      </c>
      <c r="G33">
        <v>2.1314465634037282E-6</v>
      </c>
      <c r="H33">
        <v>1.9768627307888961E-5</v>
      </c>
      <c r="I33">
        <v>2.463214645130073E-6</v>
      </c>
      <c r="J33">
        <v>1.6759225255014189E-6</v>
      </c>
      <c r="K33">
        <v>1.322555600598928E-6</v>
      </c>
      <c r="L33">
        <v>2.629796942926892E-6</v>
      </c>
      <c r="M33">
        <v>2.629796942926892E-6</v>
      </c>
      <c r="N33">
        <v>2.629796942926892E-6</v>
      </c>
      <c r="O33">
        <v>2.629796942926892E-6</v>
      </c>
      <c r="P33">
        <v>2.629796942926892E-6</v>
      </c>
      <c r="Q33">
        <v>2.1314465634037282E-6</v>
      </c>
      <c r="R33">
        <v>1.9768627307888961E-5</v>
      </c>
      <c r="S33">
        <v>2.463214645130073E-6</v>
      </c>
      <c r="T33">
        <v>1.6759225255014189E-6</v>
      </c>
      <c r="U33">
        <v>1.322555600598928E-6</v>
      </c>
    </row>
    <row r="34" spans="1:21" x14ac:dyDescent="0.25">
      <c r="A34" s="5" t="s">
        <v>78</v>
      </c>
      <c r="B34">
        <v>1.359172931103966E-4</v>
      </c>
      <c r="C34">
        <v>1.359172931103966E-4</v>
      </c>
      <c r="D34">
        <v>1.359172931103966E-4</v>
      </c>
      <c r="E34">
        <v>1.359172931103966E-4</v>
      </c>
      <c r="F34">
        <v>1.359172931103966E-4</v>
      </c>
      <c r="G34">
        <v>7.2138598564238775E-4</v>
      </c>
      <c r="H34">
        <v>2.5087215361339608E-3</v>
      </c>
      <c r="I34">
        <v>6.6374134859247913E-4</v>
      </c>
      <c r="J34">
        <v>2.2235807959078481E-4</v>
      </c>
      <c r="K34">
        <v>2.9768430270106088E-4</v>
      </c>
      <c r="L34">
        <v>1.359172931103966E-4</v>
      </c>
      <c r="M34">
        <v>1.359172931103966E-4</v>
      </c>
      <c r="N34">
        <v>1.359172931103966E-4</v>
      </c>
      <c r="O34">
        <v>1.359172931103966E-4</v>
      </c>
      <c r="P34">
        <v>1.359172931103966E-4</v>
      </c>
      <c r="Q34">
        <v>7.2138598564238775E-4</v>
      </c>
      <c r="R34">
        <v>2.5087215361339608E-3</v>
      </c>
      <c r="S34">
        <v>6.6374134859247913E-4</v>
      </c>
      <c r="T34">
        <v>2.2235807959078481E-4</v>
      </c>
      <c r="U34">
        <v>2.9768430270106088E-4</v>
      </c>
    </row>
    <row r="35" spans="1:21" x14ac:dyDescent="0.25">
      <c r="A35" s="5" t="s">
        <v>87</v>
      </c>
      <c r="B35">
        <v>2.3267412569573708E-5</v>
      </c>
      <c r="C35">
        <v>2.3267412569573708E-5</v>
      </c>
      <c r="D35">
        <v>2.3267412569573708E-5</v>
      </c>
      <c r="E35">
        <v>2.3267412569573708E-5</v>
      </c>
      <c r="F35">
        <v>2.3267412569573708E-5</v>
      </c>
      <c r="G35">
        <v>2.2299165456795889E-3</v>
      </c>
      <c r="H35">
        <v>3.243021590514223E-3</v>
      </c>
      <c r="I35">
        <v>2.1772506019240119E-3</v>
      </c>
      <c r="J35">
        <v>5.0600522776369768E-4</v>
      </c>
      <c r="K35">
        <v>1.00430426677381E-3</v>
      </c>
      <c r="L35">
        <v>2.3267412569573708E-5</v>
      </c>
      <c r="M35">
        <v>2.3267412569573708E-5</v>
      </c>
      <c r="N35">
        <v>2.3267412569573708E-5</v>
      </c>
      <c r="O35">
        <v>2.3267412569573708E-5</v>
      </c>
      <c r="P35">
        <v>2.3267412569573708E-5</v>
      </c>
      <c r="Q35">
        <v>2.2299165456795889E-3</v>
      </c>
      <c r="R35">
        <v>3.243021590514223E-3</v>
      </c>
      <c r="S35">
        <v>2.1772506019240119E-3</v>
      </c>
      <c r="T35">
        <v>5.0600522776369768E-4</v>
      </c>
      <c r="U35">
        <v>1.00430426677381E-3</v>
      </c>
    </row>
    <row r="36" spans="1:21" x14ac:dyDescent="0.25">
      <c r="A36" s="5" t="s">
        <v>128</v>
      </c>
      <c r="B36">
        <v>0</v>
      </c>
      <c r="C36">
        <v>0</v>
      </c>
      <c r="D36">
        <v>0</v>
      </c>
      <c r="E36">
        <v>0</v>
      </c>
      <c r="F36">
        <v>0</v>
      </c>
      <c r="G36">
        <v>1.8380974400213779E-8</v>
      </c>
      <c r="H36">
        <v>9.5708826767632194E-7</v>
      </c>
      <c r="I36">
        <v>3.987988608518803E-7</v>
      </c>
      <c r="J36">
        <v>2.291896821339541E-6</v>
      </c>
      <c r="K36">
        <v>1.4792565108091129E-8</v>
      </c>
      <c r="L36">
        <v>0</v>
      </c>
      <c r="M36">
        <v>0</v>
      </c>
      <c r="N36">
        <v>0</v>
      </c>
      <c r="O36">
        <v>0</v>
      </c>
      <c r="P36">
        <v>0</v>
      </c>
      <c r="Q36">
        <v>1.8380974400213779E-8</v>
      </c>
      <c r="R36">
        <v>9.5708826767632194E-7</v>
      </c>
      <c r="S36">
        <v>3.987988608518803E-7</v>
      </c>
      <c r="T36">
        <v>2.291896821339541E-6</v>
      </c>
      <c r="U36">
        <v>1.4792565108091129E-8</v>
      </c>
    </row>
    <row r="37" spans="1:21" x14ac:dyDescent="0.25">
      <c r="A37" s="5" t="s">
        <v>74</v>
      </c>
      <c r="B37">
        <v>8.8568628782107893E-5</v>
      </c>
      <c r="C37">
        <v>8.8568628782107893E-5</v>
      </c>
      <c r="D37">
        <v>8.8568628782107893E-5</v>
      </c>
      <c r="E37">
        <v>8.8568628782107893E-5</v>
      </c>
      <c r="F37">
        <v>8.8568628782107893E-5</v>
      </c>
      <c r="G37">
        <v>4.1672629231019099E-4</v>
      </c>
      <c r="H37">
        <v>1.2745362776474371E-3</v>
      </c>
      <c r="I37">
        <v>2.791406026014299E-4</v>
      </c>
      <c r="J37">
        <v>1.074024334380921E-4</v>
      </c>
      <c r="K37">
        <v>2.8856405489355931E-4</v>
      </c>
      <c r="L37">
        <v>8.8568628782107893E-5</v>
      </c>
      <c r="M37">
        <v>8.8568628782107893E-5</v>
      </c>
      <c r="N37">
        <v>8.8568628782107893E-5</v>
      </c>
      <c r="O37">
        <v>8.8568628782107893E-5</v>
      </c>
      <c r="P37">
        <v>8.8568628782107893E-5</v>
      </c>
      <c r="Q37">
        <v>4.1672629231019099E-4</v>
      </c>
      <c r="R37">
        <v>1.2745362776474371E-3</v>
      </c>
      <c r="S37">
        <v>2.791406026014299E-4</v>
      </c>
      <c r="T37">
        <v>1.074024334380921E-4</v>
      </c>
      <c r="U37">
        <v>2.8856405489355931E-4</v>
      </c>
    </row>
    <row r="38" spans="1:21" x14ac:dyDescent="0.25">
      <c r="A38" s="5" t="s">
        <v>44</v>
      </c>
      <c r="B38">
        <v>6.4996334346079949E-3</v>
      </c>
      <c r="C38">
        <v>6.4996334346079949E-3</v>
      </c>
      <c r="D38">
        <v>6.4996334346079949E-3</v>
      </c>
      <c r="E38">
        <v>6.4996334346079949E-3</v>
      </c>
      <c r="F38">
        <v>6.4996334346079949E-3</v>
      </c>
      <c r="G38">
        <v>4.0461264046659458E-2</v>
      </c>
      <c r="H38">
        <v>2.7116536065367201E-2</v>
      </c>
      <c r="I38">
        <v>2.5741227862852122E-2</v>
      </c>
      <c r="J38">
        <v>3.1802572010174307E-2</v>
      </c>
      <c r="K38">
        <v>0.1006248063376413</v>
      </c>
      <c r="L38">
        <v>6.4996334346079949E-3</v>
      </c>
      <c r="M38">
        <v>6.4996334346079949E-3</v>
      </c>
      <c r="N38">
        <v>6.4996334346079949E-3</v>
      </c>
      <c r="O38">
        <v>6.4996334346079949E-3</v>
      </c>
      <c r="P38">
        <v>6.4996334346079949E-3</v>
      </c>
      <c r="Q38">
        <v>4.1887047691866533E-2</v>
      </c>
      <c r="R38">
        <v>6.8761366792543271E-2</v>
      </c>
      <c r="S38">
        <v>2.678699251621618E-2</v>
      </c>
      <c r="T38">
        <v>3.3552825332819419E-2</v>
      </c>
      <c r="U38">
        <v>0.1011338791922141</v>
      </c>
    </row>
    <row r="39" spans="1:21" x14ac:dyDescent="0.25">
      <c r="A39" s="5" t="s">
        <v>77</v>
      </c>
      <c r="B39">
        <v>1.100613881311753E-4</v>
      </c>
      <c r="C39">
        <v>1.100613881311753E-4</v>
      </c>
      <c r="D39">
        <v>1.100613881311753E-4</v>
      </c>
      <c r="E39">
        <v>1.100613881311753E-4</v>
      </c>
      <c r="F39">
        <v>1.100613881311753E-4</v>
      </c>
      <c r="G39">
        <v>3.3416101913207101E-4</v>
      </c>
      <c r="H39">
        <v>1.8253462150876699E-3</v>
      </c>
      <c r="I39">
        <v>3.9897519006096131E-4</v>
      </c>
      <c r="J39">
        <v>7.306916622008441E-5</v>
      </c>
      <c r="K39">
        <v>1.5119209544083839E-4</v>
      </c>
      <c r="L39">
        <v>1.100613881311753E-4</v>
      </c>
      <c r="M39">
        <v>1.100613881311753E-4</v>
      </c>
      <c r="N39">
        <v>1.100613881311753E-4</v>
      </c>
      <c r="O39">
        <v>1.100613881311753E-4</v>
      </c>
      <c r="P39">
        <v>1.100613881311753E-4</v>
      </c>
      <c r="Q39">
        <v>3.3416101913207101E-4</v>
      </c>
      <c r="R39">
        <v>1.8253462150876699E-3</v>
      </c>
      <c r="S39">
        <v>3.9897519006096131E-4</v>
      </c>
      <c r="T39">
        <v>7.306916622008441E-5</v>
      </c>
      <c r="U39">
        <v>1.5119209544083839E-4</v>
      </c>
    </row>
    <row r="40" spans="1:21" x14ac:dyDescent="0.25">
      <c r="A40" s="5" t="s">
        <v>37</v>
      </c>
      <c r="B40">
        <v>1.3256839974066961E-3</v>
      </c>
      <c r="C40">
        <v>1.3256839974066961E-3</v>
      </c>
      <c r="D40">
        <v>1.3256839974066961E-3</v>
      </c>
      <c r="E40">
        <v>1.3256839974066961E-3</v>
      </c>
      <c r="F40">
        <v>1.3256839974066961E-3</v>
      </c>
      <c r="G40">
        <v>1.420691826230356E-3</v>
      </c>
      <c r="H40">
        <v>1.433127375010783E-3</v>
      </c>
      <c r="I40">
        <v>1.285824602854241E-3</v>
      </c>
      <c r="J40">
        <v>1.9956505412991512E-3</v>
      </c>
      <c r="K40">
        <v>1.177795733540856E-3</v>
      </c>
      <c r="L40">
        <v>1.682489278664372E-2</v>
      </c>
      <c r="M40">
        <v>1.682489278664372E-2</v>
      </c>
      <c r="N40">
        <v>1.682489278664372E-2</v>
      </c>
      <c r="O40">
        <v>1.682489278664372E-2</v>
      </c>
      <c r="P40">
        <v>1.682489278664372E-2</v>
      </c>
      <c r="Q40">
        <v>8.3352492311256892E-3</v>
      </c>
      <c r="R40">
        <v>2.4963380870893299E-2</v>
      </c>
      <c r="S40">
        <v>6.1778884965826598E-3</v>
      </c>
      <c r="T40">
        <v>2.8793364268128408E-3</v>
      </c>
      <c r="U40">
        <v>3.3198218413758012E-3</v>
      </c>
    </row>
    <row r="41" spans="1:21" x14ac:dyDescent="0.25">
      <c r="A41" s="5" t="s">
        <v>82</v>
      </c>
      <c r="B41">
        <v>3.0870610629489492E-5</v>
      </c>
      <c r="C41">
        <v>3.0870610629489492E-5</v>
      </c>
      <c r="D41">
        <v>3.0870610629489492E-5</v>
      </c>
      <c r="E41">
        <v>3.0870610629489492E-5</v>
      </c>
      <c r="F41">
        <v>3.0870610629489492E-5</v>
      </c>
      <c r="G41">
        <v>4.6074097854271601E-5</v>
      </c>
      <c r="H41">
        <v>4.4819025788306622E-5</v>
      </c>
      <c r="I41">
        <v>4.6363063080725068E-5</v>
      </c>
      <c r="J41">
        <v>1.0667056290440401E-5</v>
      </c>
      <c r="K41">
        <v>2.4644997047908719E-5</v>
      </c>
      <c r="L41">
        <v>3.0870610629489492E-5</v>
      </c>
      <c r="M41">
        <v>3.0870610629489492E-5</v>
      </c>
      <c r="N41">
        <v>3.0870610629489492E-5</v>
      </c>
      <c r="O41">
        <v>3.0870610629489492E-5</v>
      </c>
      <c r="P41">
        <v>3.0870610629489492E-5</v>
      </c>
      <c r="Q41">
        <v>4.6074097854271601E-5</v>
      </c>
      <c r="R41">
        <v>4.4819025788306622E-5</v>
      </c>
      <c r="S41">
        <v>4.6363063080725068E-5</v>
      </c>
      <c r="T41">
        <v>1.0667056290440401E-5</v>
      </c>
      <c r="U41">
        <v>2.4644997047908719E-5</v>
      </c>
    </row>
    <row r="42" spans="1:21" x14ac:dyDescent="0.25">
      <c r="A42" s="5" t="s">
        <v>129</v>
      </c>
      <c r="B42">
        <v>0</v>
      </c>
      <c r="C42">
        <v>0</v>
      </c>
      <c r="D42">
        <v>0</v>
      </c>
      <c r="E42">
        <v>0</v>
      </c>
      <c r="F42">
        <v>0</v>
      </c>
      <c r="G42">
        <v>1.1680179921318081E-4</v>
      </c>
      <c r="H42">
        <v>3.7707301109261288E-7</v>
      </c>
      <c r="I42">
        <v>2.382160090745947E-4</v>
      </c>
      <c r="J42">
        <v>3.5152490989802627E-8</v>
      </c>
      <c r="K42">
        <v>2.8635144536313798E-4</v>
      </c>
      <c r="L42">
        <v>0</v>
      </c>
      <c r="M42">
        <v>0</v>
      </c>
      <c r="N42">
        <v>0</v>
      </c>
      <c r="O42">
        <v>0</v>
      </c>
      <c r="P42">
        <v>0</v>
      </c>
      <c r="Q42">
        <v>1.1680179921318081E-4</v>
      </c>
      <c r="R42">
        <v>3.7707301109261288E-7</v>
      </c>
      <c r="S42">
        <v>2.382160090745947E-4</v>
      </c>
      <c r="T42">
        <v>3.5152490989802627E-8</v>
      </c>
      <c r="U42">
        <v>2.8635144536313798E-4</v>
      </c>
    </row>
    <row r="43" spans="1:21" x14ac:dyDescent="0.25">
      <c r="A43" s="5" t="s">
        <v>130</v>
      </c>
      <c r="B43">
        <v>0</v>
      </c>
      <c r="C43">
        <v>0</v>
      </c>
      <c r="D43">
        <v>0</v>
      </c>
      <c r="E43">
        <v>0</v>
      </c>
      <c r="F43">
        <v>0</v>
      </c>
      <c r="G43">
        <v>3.3013168040801292E-8</v>
      </c>
      <c r="H43">
        <v>1.821793040779931E-6</v>
      </c>
      <c r="I43">
        <v>1.5224827510454079E-5</v>
      </c>
      <c r="J43">
        <v>4.2667925332655392E-6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3.3013168040801292E-8</v>
      </c>
      <c r="R43">
        <v>1.821793040779931E-6</v>
      </c>
      <c r="S43">
        <v>1.5224827510454079E-5</v>
      </c>
      <c r="T43">
        <v>4.2667925332655392E-6</v>
      </c>
      <c r="U43">
        <v>0</v>
      </c>
    </row>
    <row r="44" spans="1:21" x14ac:dyDescent="0.25">
      <c r="A44" s="5" t="s">
        <v>131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1.047232515541578E-6</v>
      </c>
      <c r="I44">
        <v>1.727409294805624E-8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1.047232515541578E-6</v>
      </c>
      <c r="S44">
        <v>1.727409294805624E-8</v>
      </c>
      <c r="T44">
        <v>0</v>
      </c>
      <c r="U44">
        <v>0</v>
      </c>
    </row>
    <row r="45" spans="1:21" x14ac:dyDescent="0.25">
      <c r="A45" s="5" t="s">
        <v>80</v>
      </c>
      <c r="B45">
        <v>3.4695491027572632E-5</v>
      </c>
      <c r="C45">
        <v>3.4695491027572632E-5</v>
      </c>
      <c r="D45">
        <v>3.4695491027572632E-5</v>
      </c>
      <c r="E45">
        <v>3.4695491027572632E-5</v>
      </c>
      <c r="F45">
        <v>3.4695491027572632E-5</v>
      </c>
      <c r="G45">
        <v>1.005064780378775E-4</v>
      </c>
      <c r="H45">
        <v>3.1471131854491513E-4</v>
      </c>
      <c r="I45">
        <v>1.2339354955630581E-4</v>
      </c>
      <c r="J45">
        <v>3.0775220572929051E-5</v>
      </c>
      <c r="K45">
        <v>6.2613647590786136E-5</v>
      </c>
      <c r="L45">
        <v>3.4695491027572632E-5</v>
      </c>
      <c r="M45">
        <v>3.4695491027572632E-5</v>
      </c>
      <c r="N45">
        <v>3.4695491027572632E-5</v>
      </c>
      <c r="O45">
        <v>3.4695491027572632E-5</v>
      </c>
      <c r="P45">
        <v>3.4695491027572632E-5</v>
      </c>
      <c r="Q45">
        <v>1.005064780378775E-4</v>
      </c>
      <c r="R45">
        <v>3.1471131854491513E-4</v>
      </c>
      <c r="S45">
        <v>1.2339354955630581E-4</v>
      </c>
      <c r="T45">
        <v>3.0775220572929051E-5</v>
      </c>
      <c r="U45">
        <v>6.2613647590786136E-5</v>
      </c>
    </row>
    <row r="46" spans="1:21" x14ac:dyDescent="0.25">
      <c r="A46" s="5" t="s">
        <v>79</v>
      </c>
      <c r="B46">
        <v>6.7860376870357828E-5</v>
      </c>
      <c r="C46">
        <v>6.7860376870357828E-5</v>
      </c>
      <c r="D46">
        <v>6.7860376870357828E-5</v>
      </c>
      <c r="E46">
        <v>6.7860376870357828E-5</v>
      </c>
      <c r="F46">
        <v>6.7860376870357828E-5</v>
      </c>
      <c r="G46">
        <v>2.647634191393306E-3</v>
      </c>
      <c r="H46">
        <v>4.1162059956854929E-4</v>
      </c>
      <c r="I46">
        <v>5.0951569538863666E-3</v>
      </c>
      <c r="J46">
        <v>8.6497544173884671E-4</v>
      </c>
      <c r="K46">
        <v>5.8051881030379334E-3</v>
      </c>
      <c r="L46">
        <v>6.7860376870357828E-5</v>
      </c>
      <c r="M46">
        <v>6.7860376870357828E-5</v>
      </c>
      <c r="N46">
        <v>6.7860376870357828E-5</v>
      </c>
      <c r="O46">
        <v>6.7860376870357828E-5</v>
      </c>
      <c r="P46">
        <v>6.7860376870357828E-5</v>
      </c>
      <c r="Q46">
        <v>2.647634191393306E-3</v>
      </c>
      <c r="R46">
        <v>4.1162059956854929E-4</v>
      </c>
      <c r="S46">
        <v>5.0951569538863666E-3</v>
      </c>
      <c r="T46">
        <v>8.6497544173884671E-4</v>
      </c>
      <c r="U46">
        <v>5.8051881030379334E-3</v>
      </c>
    </row>
    <row r="47" spans="1:21" x14ac:dyDescent="0.25">
      <c r="A47" s="5" t="s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1.42148704173931E-6</v>
      </c>
      <c r="I47">
        <v>2.606517289937789E-8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1.42148704173931E-6</v>
      </c>
      <c r="S47">
        <v>2.606517289937789E-8</v>
      </c>
      <c r="T47">
        <v>0</v>
      </c>
      <c r="U47">
        <v>0</v>
      </c>
    </row>
    <row r="48" spans="1:21" x14ac:dyDescent="0.25">
      <c r="A48" s="5" t="s">
        <v>133</v>
      </c>
      <c r="B48">
        <v>0</v>
      </c>
      <c r="C48">
        <v>0</v>
      </c>
      <c r="D48">
        <v>0</v>
      </c>
      <c r="E48">
        <v>0</v>
      </c>
      <c r="F48">
        <v>0</v>
      </c>
      <c r="G48">
        <v>1.234849019861905E-6</v>
      </c>
      <c r="H48">
        <v>2.5729496025599007E-7</v>
      </c>
      <c r="I48">
        <v>7.7438846502638993E-8</v>
      </c>
      <c r="J48">
        <v>4.4992869844322633E-8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1.234849019861905E-6</v>
      </c>
      <c r="R48">
        <v>2.5729496025599007E-7</v>
      </c>
      <c r="S48">
        <v>7.7438846502638993E-8</v>
      </c>
      <c r="T48">
        <v>4.4992869844322633E-8</v>
      </c>
      <c r="U48">
        <v>0</v>
      </c>
    </row>
    <row r="49" spans="1:21" x14ac:dyDescent="0.25">
      <c r="A49" s="5" t="s">
        <v>71</v>
      </c>
      <c r="B49">
        <v>2.480586161480196E-4</v>
      </c>
      <c r="C49">
        <v>2.480586161480196E-4</v>
      </c>
      <c r="D49">
        <v>2.480586161480196E-4</v>
      </c>
      <c r="E49">
        <v>2.480586161480196E-4</v>
      </c>
      <c r="F49">
        <v>2.480586161480196E-4</v>
      </c>
      <c r="G49">
        <v>4.9273301154123832E-4</v>
      </c>
      <c r="H49">
        <v>1.254638152549048E-2</v>
      </c>
      <c r="I49">
        <v>4.6320837253221759E-4</v>
      </c>
      <c r="J49">
        <v>5.2032668510738417E-5</v>
      </c>
      <c r="K49">
        <v>8.2101356888801156E-4</v>
      </c>
      <c r="L49">
        <v>2.480586161480196E-4</v>
      </c>
      <c r="M49">
        <v>2.480586161480196E-4</v>
      </c>
      <c r="N49">
        <v>2.480586161480196E-4</v>
      </c>
      <c r="O49">
        <v>2.480586161480196E-4</v>
      </c>
      <c r="P49">
        <v>2.480586161480196E-4</v>
      </c>
      <c r="Q49">
        <v>4.9273301154123832E-4</v>
      </c>
      <c r="R49">
        <v>1.254638152549048E-2</v>
      </c>
      <c r="S49">
        <v>4.6320837253221759E-4</v>
      </c>
      <c r="T49">
        <v>5.2032668510738417E-5</v>
      </c>
      <c r="U49">
        <v>8.2101356888801156E-4</v>
      </c>
    </row>
    <row r="50" spans="1:21" x14ac:dyDescent="0.25">
      <c r="A50" s="5" t="s">
        <v>134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4.4313343885143676E-6</v>
      </c>
      <c r="I50">
        <v>1.309347706759362E-5</v>
      </c>
      <c r="J50">
        <v>2.6645392256431441E-5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4.4313343885143676E-6</v>
      </c>
      <c r="S50">
        <v>1.309347706759362E-5</v>
      </c>
      <c r="T50">
        <v>2.6645392256431441E-5</v>
      </c>
      <c r="U50">
        <v>0</v>
      </c>
    </row>
    <row r="51" spans="1:21" x14ac:dyDescent="0.25">
      <c r="A51" s="5" t="s">
        <v>96</v>
      </c>
      <c r="B51">
        <v>3.2291449858115251E-6</v>
      </c>
      <c r="C51">
        <v>3.2291449858115251E-6</v>
      </c>
      <c r="D51">
        <v>3.2291449858115251E-6</v>
      </c>
      <c r="E51">
        <v>3.2291449858115251E-6</v>
      </c>
      <c r="F51">
        <v>3.2291449858115251E-6</v>
      </c>
      <c r="G51">
        <v>8.9915780723997911E-5</v>
      </c>
      <c r="H51">
        <v>1.745660179660453E-3</v>
      </c>
      <c r="I51">
        <v>1.515553038065753E-4</v>
      </c>
      <c r="J51">
        <v>3.1802578988095293E-5</v>
      </c>
      <c r="K51">
        <v>5.5587187382516392E-5</v>
      </c>
      <c r="L51">
        <v>3.2291449858115251E-6</v>
      </c>
      <c r="M51">
        <v>3.2291449858115251E-6</v>
      </c>
      <c r="N51">
        <v>3.2291449858115251E-6</v>
      </c>
      <c r="O51">
        <v>3.2291449858115251E-6</v>
      </c>
      <c r="P51">
        <v>3.2291449858115251E-6</v>
      </c>
      <c r="Q51">
        <v>8.9915780723997911E-5</v>
      </c>
      <c r="R51">
        <v>1.745660179660453E-3</v>
      </c>
      <c r="S51">
        <v>1.515553038065753E-4</v>
      </c>
      <c r="T51">
        <v>3.1802578988095293E-5</v>
      </c>
      <c r="U51">
        <v>5.5587187382516392E-5</v>
      </c>
    </row>
    <row r="52" spans="1:21" x14ac:dyDescent="0.25">
      <c r="A52" s="5" t="s">
        <v>135</v>
      </c>
      <c r="B52">
        <v>0</v>
      </c>
      <c r="C52">
        <v>0</v>
      </c>
      <c r="D52">
        <v>0</v>
      </c>
      <c r="E52">
        <v>0</v>
      </c>
      <c r="F52">
        <v>0</v>
      </c>
      <c r="G52">
        <v>2.3276335558813669E-8</v>
      </c>
      <c r="H52">
        <v>7.1778970628045765E-7</v>
      </c>
      <c r="I52">
        <v>3.799912310273915E-5</v>
      </c>
      <c r="J52">
        <v>2.350825192812708E-4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2.3276335558813669E-8</v>
      </c>
      <c r="R52">
        <v>7.1778970628045765E-7</v>
      </c>
      <c r="S52">
        <v>3.799912310273915E-5</v>
      </c>
      <c r="T52">
        <v>2.350825192812708E-4</v>
      </c>
      <c r="U52">
        <v>0</v>
      </c>
    </row>
    <row r="53" spans="1:21" x14ac:dyDescent="0.25">
      <c r="A53" s="5" t="s">
        <v>136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1.1944756460941771E-6</v>
      </c>
      <c r="I53">
        <v>2.1587479228248751E-8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1.1944756460941771E-6</v>
      </c>
      <c r="S53">
        <v>2.1587479228248751E-8</v>
      </c>
      <c r="T53">
        <v>0</v>
      </c>
      <c r="U53">
        <v>0</v>
      </c>
    </row>
    <row r="54" spans="1:21" x14ac:dyDescent="0.25">
      <c r="A54" s="5" t="s">
        <v>90</v>
      </c>
      <c r="B54">
        <v>9.0680144670359408E-6</v>
      </c>
      <c r="C54">
        <v>9.0680144670359408E-6</v>
      </c>
      <c r="D54">
        <v>9.0680144670359408E-6</v>
      </c>
      <c r="E54">
        <v>9.0680144670359408E-6</v>
      </c>
      <c r="F54">
        <v>9.0680144670359408E-6</v>
      </c>
      <c r="G54">
        <v>3.1999870437633792E-5</v>
      </c>
      <c r="H54">
        <v>1.5607745320367491E-4</v>
      </c>
      <c r="I54">
        <v>4.0711532420583489E-5</v>
      </c>
      <c r="J54">
        <v>1.547854598043091E-5</v>
      </c>
      <c r="K54">
        <v>1.6738677844050209E-5</v>
      </c>
      <c r="L54">
        <v>9.0680144670359408E-6</v>
      </c>
      <c r="M54">
        <v>9.0680144670359408E-6</v>
      </c>
      <c r="N54">
        <v>9.0680144670359408E-6</v>
      </c>
      <c r="O54">
        <v>9.0680144670359408E-6</v>
      </c>
      <c r="P54">
        <v>9.0680144670359408E-6</v>
      </c>
      <c r="Q54">
        <v>3.1999870437633792E-5</v>
      </c>
      <c r="R54">
        <v>1.5607745320367491E-4</v>
      </c>
      <c r="S54">
        <v>4.0711532420583489E-5</v>
      </c>
      <c r="T54">
        <v>1.547854598043091E-5</v>
      </c>
      <c r="U54">
        <v>1.6738677844050209E-5</v>
      </c>
    </row>
    <row r="55" spans="1:21" x14ac:dyDescent="0.25">
      <c r="A55" s="5" t="s">
        <v>73</v>
      </c>
      <c r="B55">
        <v>1.8129145961299641E-4</v>
      </c>
      <c r="C55">
        <v>1.8129145961299641E-4</v>
      </c>
      <c r="D55">
        <v>1.8129145961299641E-4</v>
      </c>
      <c r="E55">
        <v>1.8129145961299641E-4</v>
      </c>
      <c r="F55">
        <v>1.8129145961299641E-4</v>
      </c>
      <c r="G55">
        <v>7.4052171790960934E-3</v>
      </c>
      <c r="H55">
        <v>1.7458522845011551E-2</v>
      </c>
      <c r="I55">
        <v>1.7718373197055709E-3</v>
      </c>
      <c r="J55">
        <v>4.8242691706277771E-4</v>
      </c>
      <c r="K55">
        <v>4.8070576379276818E-4</v>
      </c>
      <c r="L55">
        <v>1.8129145961299641E-4</v>
      </c>
      <c r="M55">
        <v>1.8129145961299641E-4</v>
      </c>
      <c r="N55">
        <v>1.8129145961299641E-4</v>
      </c>
      <c r="O55">
        <v>1.8129145961299641E-4</v>
      </c>
      <c r="P55">
        <v>1.8129145961299641E-4</v>
      </c>
      <c r="Q55">
        <v>7.4052171790960934E-3</v>
      </c>
      <c r="R55">
        <v>1.7458522845011551E-2</v>
      </c>
      <c r="S55">
        <v>1.7718373197055709E-3</v>
      </c>
      <c r="T55">
        <v>4.8242691706277771E-4</v>
      </c>
      <c r="U55">
        <v>4.8070576379276818E-4</v>
      </c>
    </row>
    <row r="56" spans="1:21" x14ac:dyDescent="0.25">
      <c r="A56" s="5" t="s">
        <v>97</v>
      </c>
      <c r="B56">
        <v>1.570267880593718E-6</v>
      </c>
      <c r="C56">
        <v>1.570267880593718E-6</v>
      </c>
      <c r="D56">
        <v>1.570267880593718E-6</v>
      </c>
      <c r="E56">
        <v>1.570267880593718E-6</v>
      </c>
      <c r="F56">
        <v>1.570267880593718E-6</v>
      </c>
      <c r="G56">
        <v>2.466473136111008E-5</v>
      </c>
      <c r="H56">
        <v>3.6852499183982147E-5</v>
      </c>
      <c r="I56">
        <v>2.600444139332909E-5</v>
      </c>
      <c r="J56">
        <v>5.1962079889204852E-6</v>
      </c>
      <c r="K56">
        <v>3.6925104352675748E-5</v>
      </c>
      <c r="L56">
        <v>1.570267880593718E-6</v>
      </c>
      <c r="M56">
        <v>1.570267880593718E-6</v>
      </c>
      <c r="N56">
        <v>1.570267880593718E-6</v>
      </c>
      <c r="O56">
        <v>1.570267880593718E-6</v>
      </c>
      <c r="P56">
        <v>1.570267880593718E-6</v>
      </c>
      <c r="Q56">
        <v>2.466473136111008E-5</v>
      </c>
      <c r="R56">
        <v>3.6852499183982147E-5</v>
      </c>
      <c r="S56">
        <v>2.600444139332909E-5</v>
      </c>
      <c r="T56">
        <v>5.1962079889204852E-6</v>
      </c>
      <c r="U56">
        <v>3.6925104352675748E-5</v>
      </c>
    </row>
    <row r="57" spans="1:21" x14ac:dyDescent="0.25">
      <c r="A57" s="5" t="s">
        <v>72</v>
      </c>
      <c r="B57">
        <v>1.984815375561315E-4</v>
      </c>
      <c r="C57">
        <v>1.984815375561315E-4</v>
      </c>
      <c r="D57">
        <v>1.984815375561315E-4</v>
      </c>
      <c r="E57">
        <v>1.984815375561315E-4</v>
      </c>
      <c r="F57">
        <v>1.984815375561315E-4</v>
      </c>
      <c r="G57">
        <v>6.649546554784772E-4</v>
      </c>
      <c r="H57">
        <v>6.5197224387381729E-3</v>
      </c>
      <c r="I57">
        <v>9.5775338212913919E-4</v>
      </c>
      <c r="J57">
        <v>3.2873840530594372E-4</v>
      </c>
      <c r="K57">
        <v>2.561294634678984E-4</v>
      </c>
      <c r="L57">
        <v>1.984815375561315E-4</v>
      </c>
      <c r="M57">
        <v>1.984815375561315E-4</v>
      </c>
      <c r="N57">
        <v>1.984815375561315E-4</v>
      </c>
      <c r="O57">
        <v>1.984815375561315E-4</v>
      </c>
      <c r="P57">
        <v>1.984815375561315E-4</v>
      </c>
      <c r="Q57">
        <v>6.649546554784772E-4</v>
      </c>
      <c r="R57">
        <v>6.5197224387381729E-3</v>
      </c>
      <c r="S57">
        <v>9.5775338212913919E-4</v>
      </c>
      <c r="T57">
        <v>3.2873840530594372E-4</v>
      </c>
      <c r="U57">
        <v>2.561294634678984E-4</v>
      </c>
    </row>
    <row r="58" spans="1:21" x14ac:dyDescent="0.25">
      <c r="A58" s="5" t="s">
        <v>104</v>
      </c>
      <c r="B58">
        <v>1.2356826204898969E-6</v>
      </c>
      <c r="C58">
        <v>1.2356826204898969E-6</v>
      </c>
      <c r="D58">
        <v>1.2356826204898969E-6</v>
      </c>
      <c r="E58">
        <v>1.2356826204898969E-6</v>
      </c>
      <c r="F58">
        <v>1.2356826204898969E-6</v>
      </c>
      <c r="G58">
        <v>2.2513028178628791E-6</v>
      </c>
      <c r="H58">
        <v>1.009989346073016E-5</v>
      </c>
      <c r="I58">
        <v>2.3307977174179319E-7</v>
      </c>
      <c r="J58">
        <v>7.6299659041961669E-7</v>
      </c>
      <c r="K58">
        <v>9.6399437259637803E-7</v>
      </c>
      <c r="L58">
        <v>1.2356826204898969E-6</v>
      </c>
      <c r="M58">
        <v>1.2356826204898969E-6</v>
      </c>
      <c r="N58">
        <v>1.2356826204898969E-6</v>
      </c>
      <c r="O58">
        <v>1.2356826204898969E-6</v>
      </c>
      <c r="P58">
        <v>1.2356826204898969E-6</v>
      </c>
      <c r="Q58">
        <v>2.2513028178628791E-6</v>
      </c>
      <c r="R58">
        <v>1.009989346073016E-5</v>
      </c>
      <c r="S58">
        <v>2.3307977174179319E-7</v>
      </c>
      <c r="T58">
        <v>7.6299659041961669E-7</v>
      </c>
      <c r="U58">
        <v>9.6399437259637803E-7</v>
      </c>
    </row>
    <row r="59" spans="1:21" x14ac:dyDescent="0.25">
      <c r="A59" s="5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4.2640672180941519E-4</v>
      </c>
      <c r="H59">
        <v>2.8579369891271411E-2</v>
      </c>
      <c r="I59">
        <v>5.10856318624727E-8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4.2640672180941519E-4</v>
      </c>
      <c r="R59">
        <v>2.8579369891271411E-2</v>
      </c>
      <c r="S59">
        <v>5.10856318624727E-8</v>
      </c>
      <c r="T59">
        <v>0</v>
      </c>
      <c r="U59">
        <v>0</v>
      </c>
    </row>
    <row r="60" spans="1:21" x14ac:dyDescent="0.25">
      <c r="A60" s="5" t="s">
        <v>101</v>
      </c>
      <c r="B60">
        <v>1.0278851564467699E-6</v>
      </c>
      <c r="C60">
        <v>1.0278851564467699E-6</v>
      </c>
      <c r="D60">
        <v>1.0278851564467699E-6</v>
      </c>
      <c r="E60">
        <v>1.0278851564467699E-6</v>
      </c>
      <c r="F60">
        <v>1.0278851564467699E-6</v>
      </c>
      <c r="G60">
        <v>2.5553503151868051E-5</v>
      </c>
      <c r="H60">
        <v>1.220506888221673E-3</v>
      </c>
      <c r="I60">
        <v>1.104756193683943E-4</v>
      </c>
      <c r="J60">
        <v>3.5509196301305278E-6</v>
      </c>
      <c r="K60">
        <v>5.2873092564403613E-6</v>
      </c>
      <c r="L60">
        <v>1.0278851564467699E-6</v>
      </c>
      <c r="M60">
        <v>1.0278851564467699E-6</v>
      </c>
      <c r="N60">
        <v>1.0278851564467699E-6</v>
      </c>
      <c r="O60">
        <v>1.0278851564467699E-6</v>
      </c>
      <c r="P60">
        <v>1.0278851564467699E-6</v>
      </c>
      <c r="Q60">
        <v>2.5553503151868051E-5</v>
      </c>
      <c r="R60">
        <v>1.220506888221673E-3</v>
      </c>
      <c r="S60">
        <v>1.104756193683943E-4</v>
      </c>
      <c r="T60">
        <v>3.5509196301305278E-6</v>
      </c>
      <c r="U60">
        <v>5.2873092564403613E-6</v>
      </c>
    </row>
    <row r="61" spans="1:21" x14ac:dyDescent="0.25">
      <c r="A61" s="5" t="s">
        <v>86</v>
      </c>
      <c r="B61">
        <v>8.4517872745729724E-6</v>
      </c>
      <c r="C61">
        <v>8.4517872745729724E-6</v>
      </c>
      <c r="D61">
        <v>8.4517872745729724E-6</v>
      </c>
      <c r="E61">
        <v>8.4517872745729724E-6</v>
      </c>
      <c r="F61">
        <v>8.4517872745729724E-6</v>
      </c>
      <c r="G61">
        <v>1.3963411680236769E-4</v>
      </c>
      <c r="H61">
        <v>6.3994725921717266E-4</v>
      </c>
      <c r="I61">
        <v>1.321877188472219E-4</v>
      </c>
      <c r="J61">
        <v>8.5507479432402029E-5</v>
      </c>
      <c r="K61">
        <v>6.7802672417868008E-5</v>
      </c>
      <c r="L61">
        <v>8.4517872745729724E-6</v>
      </c>
      <c r="M61">
        <v>8.4517872745729724E-6</v>
      </c>
      <c r="N61">
        <v>8.4517872745729724E-6</v>
      </c>
      <c r="O61">
        <v>8.4517872745729724E-6</v>
      </c>
      <c r="P61">
        <v>8.4517872745729724E-6</v>
      </c>
      <c r="Q61">
        <v>1.3963411680236769E-4</v>
      </c>
      <c r="R61">
        <v>6.3994725921717266E-4</v>
      </c>
      <c r="S61">
        <v>1.321877188472219E-4</v>
      </c>
      <c r="T61">
        <v>8.5507479432402029E-5</v>
      </c>
      <c r="U61">
        <v>6.7802672417868008E-5</v>
      </c>
    </row>
    <row r="62" spans="1:21" x14ac:dyDescent="0.25">
      <c r="A62" s="5" t="s">
        <v>89</v>
      </c>
      <c r="B62">
        <v>1.8858476038221291E-5</v>
      </c>
      <c r="C62">
        <v>1.8858476038221291E-5</v>
      </c>
      <c r="D62">
        <v>1.8858476038221291E-5</v>
      </c>
      <c r="E62">
        <v>1.8858476038221291E-5</v>
      </c>
      <c r="F62">
        <v>1.8858476038221291E-5</v>
      </c>
      <c r="G62">
        <v>1.4945042746346019E-4</v>
      </c>
      <c r="H62">
        <v>1.4384921251643621E-4</v>
      </c>
      <c r="I62">
        <v>1.4480255843967891E-4</v>
      </c>
      <c r="J62">
        <v>3.2644902058589942E-5</v>
      </c>
      <c r="K62">
        <v>6.9398804017213784E-5</v>
      </c>
      <c r="L62">
        <v>1.8858476038221291E-5</v>
      </c>
      <c r="M62">
        <v>1.8858476038221291E-5</v>
      </c>
      <c r="N62">
        <v>1.8858476038221291E-5</v>
      </c>
      <c r="O62">
        <v>1.8858476038221291E-5</v>
      </c>
      <c r="P62">
        <v>1.8858476038221291E-5</v>
      </c>
      <c r="Q62">
        <v>1.4945042746346019E-4</v>
      </c>
      <c r="R62">
        <v>1.4384921251643621E-4</v>
      </c>
      <c r="S62">
        <v>1.4480255843967891E-4</v>
      </c>
      <c r="T62">
        <v>3.2644902058589942E-5</v>
      </c>
      <c r="U62">
        <v>6.9398804017213784E-5</v>
      </c>
    </row>
    <row r="63" spans="1:21" x14ac:dyDescent="0.25">
      <c r="A63" s="5" t="s">
        <v>138</v>
      </c>
      <c r="B63">
        <v>0</v>
      </c>
      <c r="C63">
        <v>0</v>
      </c>
      <c r="D63">
        <v>0</v>
      </c>
      <c r="E63">
        <v>0</v>
      </c>
      <c r="F63">
        <v>0</v>
      </c>
      <c r="G63">
        <v>8.956460718687296E-9</v>
      </c>
      <c r="H63">
        <v>5.5284193711169909E-7</v>
      </c>
      <c r="I63">
        <v>3.1363653034258841E-9</v>
      </c>
      <c r="J63">
        <v>0</v>
      </c>
      <c r="K63">
        <v>2.788910215996604E-9</v>
      </c>
      <c r="L63">
        <v>0</v>
      </c>
      <c r="M63">
        <v>0</v>
      </c>
      <c r="N63">
        <v>0</v>
      </c>
      <c r="O63">
        <v>0</v>
      </c>
      <c r="P63">
        <v>0</v>
      </c>
      <c r="Q63">
        <v>8.956460718687296E-9</v>
      </c>
      <c r="R63">
        <v>5.5284193711169909E-7</v>
      </c>
      <c r="S63">
        <v>3.1363653034258841E-9</v>
      </c>
      <c r="T63">
        <v>0</v>
      </c>
      <c r="U63">
        <v>2.788910215996604E-9</v>
      </c>
    </row>
    <row r="64" spans="1:21" x14ac:dyDescent="0.25">
      <c r="A64" s="5" t="s">
        <v>85</v>
      </c>
      <c r="B64">
        <v>2.2577366692843341E-5</v>
      </c>
      <c r="C64">
        <v>2.2577366692843341E-5</v>
      </c>
      <c r="D64">
        <v>2.2577366692843341E-5</v>
      </c>
      <c r="E64">
        <v>2.2577366692843341E-5</v>
      </c>
      <c r="F64">
        <v>2.2577366692843341E-5</v>
      </c>
      <c r="G64">
        <v>2.0013709711477089E-4</v>
      </c>
      <c r="H64">
        <v>7.5087691535876235E-4</v>
      </c>
      <c r="I64">
        <v>2.1951862369388639E-4</v>
      </c>
      <c r="J64">
        <v>3.9222163884653019E-5</v>
      </c>
      <c r="K64">
        <v>9.9647817537707375E-5</v>
      </c>
      <c r="L64">
        <v>2.2577366692843341E-5</v>
      </c>
      <c r="M64">
        <v>2.2577366692843341E-5</v>
      </c>
      <c r="N64">
        <v>2.2577366692843341E-5</v>
      </c>
      <c r="O64">
        <v>2.2577366692843341E-5</v>
      </c>
      <c r="P64">
        <v>2.2577366692843341E-5</v>
      </c>
      <c r="Q64">
        <v>2.0013709711477089E-4</v>
      </c>
      <c r="R64">
        <v>7.5087691535876235E-4</v>
      </c>
      <c r="S64">
        <v>2.1951862369388639E-4</v>
      </c>
      <c r="T64">
        <v>3.9222163884653019E-5</v>
      </c>
      <c r="U64">
        <v>9.9647817537707375E-5</v>
      </c>
    </row>
    <row r="65" spans="1:21" x14ac:dyDescent="0.25">
      <c r="A65" s="5" t="s">
        <v>139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2.2573655039436081E-8</v>
      </c>
      <c r="I65">
        <v>2.0969161209955512E-8</v>
      </c>
      <c r="J65">
        <v>1.309764452660342E-7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2.2573655039436081E-8</v>
      </c>
      <c r="S65">
        <v>2.0969161209955512E-8</v>
      </c>
      <c r="T65">
        <v>1.309764452660342E-7</v>
      </c>
      <c r="U6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Overall results</vt:lpstr>
      <vt:lpstr>Contribution 1. Labor</vt:lpstr>
      <vt:lpstr>Feuil1</vt:lpstr>
      <vt:lpstr>Contribution 2. Health &amp; safety</vt:lpstr>
      <vt:lpstr>Contribution 3. Society</vt:lpstr>
      <vt:lpstr>Contribution 4. Governance</vt:lpstr>
      <vt:lpstr>Contribution 5. 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Marin Pellan</cp:lastModifiedBy>
  <dcterms:created xsi:type="dcterms:W3CDTF">2015-06-05T18:17:20Z</dcterms:created>
  <dcterms:modified xsi:type="dcterms:W3CDTF">2026-01-30T13:30:59Z</dcterms:modified>
</cp:coreProperties>
</file>