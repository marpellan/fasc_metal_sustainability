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polymtlca-my.sharepoint.com/personal/marin_pellan_polymtl_ca/Documents/POST_DOC/CODE/fasc_metal_sustainability/results/LCA/"/>
    </mc:Choice>
  </mc:AlternateContent>
  <xr:revisionPtr revIDLastSave="284" documentId="11_AD4D9D64A577C15A4A5418A680D85C6E5BDEDD8E" xr6:coauthVersionLast="47" xr6:coauthVersionMax="47" xr10:uidLastSave="{75898676-C870-4E27-B7A0-91CABA4CFC08}"/>
  <bookViews>
    <workbookView xWindow="-120" yWindow="-120" windowWidth="29040" windowHeight="15720" activeTab="2" xr2:uid="{00000000-000D-0000-FFFF-FFFF00000000}"/>
  </bookViews>
  <sheets>
    <sheet name="README" sheetId="7" r:id="rId1"/>
    <sheet name="Scenarios" sheetId="3" r:id="rId2"/>
    <sheet name="Associated_LCIs" sheetId="8" r:id="rId3"/>
    <sheet name="EQ_LCA_results" sheetId="4" r:id="rId4"/>
    <sheet name="HH_LCA_results" sheetId="5" r:id="rId5"/>
    <sheet name="GWP_LCA_results" sheetId="6" r:id="rId6"/>
    <sheet name="DEMAND" sheetId="1" r:id="rId7"/>
    <sheet name="PRODUCTION" sheetId="2" r:id="rId8"/>
  </sheets>
  <definedNames>
    <definedName name="_xlnm._FilterDatabase" localSheetId="2" hidden="1">Associated_LCIs!$A$1:$H$289</definedName>
    <definedName name="_xlnm._FilterDatabase" localSheetId="6" hidden="1">DEMAND!$A$1:$E$531</definedName>
    <definedName name="_xlnm._FilterDatabase" localSheetId="7" hidden="1">PRODUCTION!$A$1:$G$1</definedName>
    <definedName name="_xlnm._FilterDatabase" localSheetId="1" hidden="1">Scenarios!$A$1:$D$1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5" i="8" l="1"/>
  <c r="F75" i="8"/>
  <c r="G74" i="8"/>
  <c r="F74" i="8"/>
  <c r="H74" i="8" s="1"/>
  <c r="G61" i="8"/>
  <c r="F61" i="8"/>
  <c r="G57" i="8"/>
  <c r="H57" i="8" s="1"/>
  <c r="F57" i="8"/>
  <c r="G56" i="8"/>
  <c r="F56" i="8"/>
  <c r="H56" i="8" s="1"/>
  <c r="G43" i="8"/>
  <c r="F43" i="8"/>
  <c r="H43" i="8" s="1"/>
  <c r="G25" i="8"/>
  <c r="F25" i="8"/>
  <c r="H289" i="8"/>
  <c r="H285" i="8"/>
  <c r="H284" i="8"/>
  <c r="H283" i="8"/>
  <c r="H279" i="8"/>
  <c r="H278" i="8"/>
  <c r="H277" i="8"/>
  <c r="H273" i="8"/>
  <c r="H272" i="8"/>
  <c r="H271" i="8"/>
  <c r="H267" i="8"/>
  <c r="H266" i="8"/>
  <c r="H265" i="8"/>
  <c r="H261" i="8"/>
  <c r="H260" i="8"/>
  <c r="H259" i="8"/>
  <c r="H255" i="8"/>
  <c r="H254" i="8"/>
  <c r="H253" i="8"/>
  <c r="H249" i="8"/>
  <c r="H248" i="8"/>
  <c r="H247" i="8"/>
  <c r="H243" i="8"/>
  <c r="H242" i="8"/>
  <c r="H241" i="8"/>
  <c r="H237" i="8"/>
  <c r="H236" i="8"/>
  <c r="H235" i="8"/>
  <c r="H231" i="8"/>
  <c r="H230" i="8"/>
  <c r="H229" i="8"/>
  <c r="H225" i="8"/>
  <c r="H224" i="8"/>
  <c r="H223" i="8"/>
  <c r="H219" i="8"/>
  <c r="H218" i="8"/>
  <c r="H217" i="8"/>
  <c r="H213" i="8"/>
  <c r="H212" i="8"/>
  <c r="H211" i="8"/>
  <c r="H207" i="8"/>
  <c r="H206" i="8"/>
  <c r="H205" i="8"/>
  <c r="H201" i="8"/>
  <c r="H200" i="8"/>
  <c r="H199" i="8"/>
  <c r="H195" i="8"/>
  <c r="H194" i="8"/>
  <c r="H193" i="8"/>
  <c r="H189" i="8"/>
  <c r="H188" i="8"/>
  <c r="H187" i="8"/>
  <c r="H183" i="8"/>
  <c r="H182" i="8"/>
  <c r="H181" i="8"/>
  <c r="H177" i="8"/>
  <c r="H176" i="8"/>
  <c r="H175" i="8"/>
  <c r="H171" i="8"/>
  <c r="H170" i="8"/>
  <c r="H169" i="8"/>
  <c r="H165" i="8"/>
  <c r="H164" i="8"/>
  <c r="H163" i="8"/>
  <c r="H159" i="8"/>
  <c r="H158" i="8"/>
  <c r="H157" i="8"/>
  <c r="H153" i="8"/>
  <c r="H152" i="8"/>
  <c r="H151" i="8"/>
  <c r="H147" i="8"/>
  <c r="H146" i="8"/>
  <c r="H145" i="8"/>
  <c r="H141" i="8"/>
  <c r="H140" i="8"/>
  <c r="H139" i="8"/>
  <c r="H135" i="8"/>
  <c r="H134" i="8"/>
  <c r="H133" i="8"/>
  <c r="H129" i="8"/>
  <c r="H128" i="8"/>
  <c r="H127" i="8"/>
  <c r="H123" i="8"/>
  <c r="H122" i="8"/>
  <c r="H121" i="8"/>
  <c r="H117" i="8"/>
  <c r="H116" i="8"/>
  <c r="H115" i="8"/>
  <c r="H111" i="8"/>
  <c r="H110" i="8"/>
  <c r="H109" i="8"/>
  <c r="H105" i="8"/>
  <c r="H104" i="8"/>
  <c r="H103" i="8"/>
  <c r="H99" i="8"/>
  <c r="H98" i="8"/>
  <c r="H97" i="8"/>
  <c r="H93" i="8"/>
  <c r="H92" i="8"/>
  <c r="H91" i="8"/>
  <c r="H87" i="8"/>
  <c r="H86" i="8"/>
  <c r="H85" i="8"/>
  <c r="H81" i="8"/>
  <c r="H80" i="8"/>
  <c r="H79" i="8"/>
  <c r="H73" i="8"/>
  <c r="H69" i="8"/>
  <c r="H68" i="8"/>
  <c r="H67" i="8"/>
  <c r="H63" i="8"/>
  <c r="H62" i="8"/>
  <c r="H55" i="8"/>
  <c r="H51" i="8"/>
  <c r="H50" i="8"/>
  <c r="H49" i="8"/>
  <c r="H45" i="8"/>
  <c r="H44" i="8"/>
  <c r="H39" i="8"/>
  <c r="H38" i="8"/>
  <c r="H37" i="8"/>
  <c r="H33" i="8"/>
  <c r="H32" i="8"/>
  <c r="H31" i="8"/>
  <c r="H27" i="8"/>
  <c r="H26" i="8"/>
  <c r="H25" i="8"/>
  <c r="H21" i="8"/>
  <c r="H20" i="8"/>
  <c r="H19" i="8"/>
  <c r="H15" i="8"/>
  <c r="H14" i="8"/>
  <c r="H13" i="8"/>
  <c r="H9" i="8"/>
  <c r="H8" i="8"/>
  <c r="H7" i="8"/>
  <c r="H3" i="8"/>
  <c r="G7" i="8"/>
  <c r="F7" i="8"/>
  <c r="H24" i="8"/>
  <c r="H41" i="8"/>
  <c r="G39" i="8"/>
  <c r="F39" i="8"/>
  <c r="G38" i="8"/>
  <c r="F38" i="8"/>
  <c r="H23" i="8"/>
  <c r="F21" i="8"/>
  <c r="G21" i="8"/>
  <c r="G20" i="8"/>
  <c r="F20" i="8"/>
  <c r="H6" i="8"/>
  <c r="G3" i="8"/>
  <c r="F3" i="8"/>
  <c r="H5" i="8"/>
  <c r="H4" i="8"/>
  <c r="H10" i="8"/>
  <c r="H11" i="8"/>
  <c r="H12" i="8"/>
  <c r="H16" i="8"/>
  <c r="H17" i="8"/>
  <c r="H18" i="8"/>
  <c r="H22" i="8"/>
  <c r="H28" i="8"/>
  <c r="H29" i="8"/>
  <c r="H30" i="8"/>
  <c r="H34" i="8"/>
  <c r="H35" i="8"/>
  <c r="H36" i="8"/>
  <c r="H40" i="8"/>
  <c r="H42" i="8"/>
  <c r="H46" i="8"/>
  <c r="H47" i="8"/>
  <c r="H48" i="8"/>
  <c r="H52" i="8"/>
  <c r="H53" i="8"/>
  <c r="H54" i="8"/>
  <c r="H58" i="8"/>
  <c r="H59" i="8"/>
  <c r="H60" i="8"/>
  <c r="H64" i="8"/>
  <c r="H65" i="8"/>
  <c r="H66" i="8"/>
  <c r="H70" i="8"/>
  <c r="H71" i="8"/>
  <c r="H72" i="8"/>
  <c r="G2" i="8"/>
  <c r="F2" i="8"/>
  <c r="R3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60" i="5"/>
  <c r="R61" i="5"/>
  <c r="R62" i="5"/>
  <c r="R63" i="5"/>
  <c r="R64" i="5"/>
  <c r="R65" i="5"/>
  <c r="R66" i="5"/>
  <c r="R67" i="5"/>
  <c r="R68" i="5"/>
  <c r="R69" i="5"/>
  <c r="R70" i="5"/>
  <c r="R71" i="5"/>
  <c r="R72" i="5"/>
  <c r="R73" i="5"/>
  <c r="R74" i="5"/>
  <c r="R75" i="5"/>
  <c r="R76" i="5"/>
  <c r="R77" i="5"/>
  <c r="R78" i="5"/>
  <c r="R79" i="5"/>
  <c r="R80" i="5"/>
  <c r="R81" i="5"/>
  <c r="R82" i="5"/>
  <c r="R83" i="5"/>
  <c r="R84" i="5"/>
  <c r="R85" i="5"/>
  <c r="R86" i="5"/>
  <c r="R87" i="5"/>
  <c r="R88" i="5"/>
  <c r="R89" i="5"/>
  <c r="R90" i="5"/>
  <c r="R91" i="5"/>
  <c r="R92" i="5"/>
  <c r="R93" i="5"/>
  <c r="R94" i="5"/>
  <c r="R95" i="5"/>
  <c r="R96" i="5"/>
  <c r="R97" i="5"/>
  <c r="R98" i="5"/>
  <c r="R99" i="5"/>
  <c r="R100" i="5"/>
  <c r="R101" i="5"/>
  <c r="R102" i="5"/>
  <c r="R103" i="5"/>
  <c r="R104" i="5"/>
  <c r="R105" i="5"/>
  <c r="R106" i="5"/>
  <c r="R107" i="5"/>
  <c r="R108" i="5"/>
  <c r="R109" i="5"/>
  <c r="R110" i="5"/>
  <c r="R111" i="5"/>
  <c r="R112" i="5"/>
  <c r="R113" i="5"/>
  <c r="R114" i="5"/>
  <c r="R115" i="5"/>
  <c r="R116" i="5"/>
  <c r="R117" i="5"/>
  <c r="R118" i="5"/>
  <c r="R119" i="5"/>
  <c r="R120" i="5"/>
  <c r="R121" i="5"/>
  <c r="R122" i="5"/>
  <c r="R123" i="5"/>
  <c r="R124" i="5"/>
  <c r="R125" i="5"/>
  <c r="R126" i="5"/>
  <c r="R127" i="5"/>
  <c r="R128" i="5"/>
  <c r="R129" i="5"/>
  <c r="R130" i="5"/>
  <c r="R131" i="5"/>
  <c r="R132" i="5"/>
  <c r="R133" i="5"/>
  <c r="R134" i="5"/>
  <c r="R135" i="5"/>
  <c r="R136" i="5"/>
  <c r="R2" i="5"/>
  <c r="AC3" i="4"/>
  <c r="AC4" i="4"/>
  <c r="AC5" i="4"/>
  <c r="AC6" i="4"/>
  <c r="AC7" i="4"/>
  <c r="AC8" i="4"/>
  <c r="AC9" i="4"/>
  <c r="AC10" i="4"/>
  <c r="AC11" i="4"/>
  <c r="AC12" i="4"/>
  <c r="AC13" i="4"/>
  <c r="AC14" i="4"/>
  <c r="AC15" i="4"/>
  <c r="AC16" i="4"/>
  <c r="AC17" i="4"/>
  <c r="AC18" i="4"/>
  <c r="AC19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41" i="4"/>
  <c r="AC42" i="4"/>
  <c r="AC43" i="4"/>
  <c r="AC44" i="4"/>
  <c r="AC45" i="4"/>
  <c r="AC46" i="4"/>
  <c r="AC47" i="4"/>
  <c r="AC48" i="4"/>
  <c r="AC49" i="4"/>
  <c r="AC50" i="4"/>
  <c r="AC51" i="4"/>
  <c r="AC52" i="4"/>
  <c r="AC53" i="4"/>
  <c r="AC54" i="4"/>
  <c r="AC55" i="4"/>
  <c r="AC56" i="4"/>
  <c r="AC57" i="4"/>
  <c r="AC58" i="4"/>
  <c r="AC59" i="4"/>
  <c r="AC60" i="4"/>
  <c r="AC61" i="4"/>
  <c r="AC62" i="4"/>
  <c r="AC63" i="4"/>
  <c r="AC64" i="4"/>
  <c r="AC65" i="4"/>
  <c r="AC66" i="4"/>
  <c r="AC67" i="4"/>
  <c r="AC68" i="4"/>
  <c r="AC69" i="4"/>
  <c r="AC70" i="4"/>
  <c r="AC71" i="4"/>
  <c r="AC72" i="4"/>
  <c r="AC73" i="4"/>
  <c r="AC74" i="4"/>
  <c r="AC75" i="4"/>
  <c r="AC76" i="4"/>
  <c r="AC77" i="4"/>
  <c r="AC78" i="4"/>
  <c r="AC79" i="4"/>
  <c r="AC80" i="4"/>
  <c r="AC81" i="4"/>
  <c r="AC82" i="4"/>
  <c r="AC83" i="4"/>
  <c r="AC84" i="4"/>
  <c r="AC85" i="4"/>
  <c r="AC86" i="4"/>
  <c r="AC87" i="4"/>
  <c r="AC88" i="4"/>
  <c r="AC89" i="4"/>
  <c r="AC90" i="4"/>
  <c r="AC91" i="4"/>
  <c r="AC92" i="4"/>
  <c r="AC93" i="4"/>
  <c r="AC94" i="4"/>
  <c r="AC95" i="4"/>
  <c r="AC96" i="4"/>
  <c r="AC97" i="4"/>
  <c r="AC98" i="4"/>
  <c r="AC99" i="4"/>
  <c r="AC100" i="4"/>
  <c r="AC101" i="4"/>
  <c r="AC102" i="4"/>
  <c r="AC103" i="4"/>
  <c r="AC104" i="4"/>
  <c r="AC105" i="4"/>
  <c r="AC106" i="4"/>
  <c r="AC107" i="4"/>
  <c r="AC108" i="4"/>
  <c r="AC109" i="4"/>
  <c r="AC110" i="4"/>
  <c r="AC111" i="4"/>
  <c r="AC112" i="4"/>
  <c r="AC113" i="4"/>
  <c r="AC114" i="4"/>
  <c r="AC115" i="4"/>
  <c r="AC116" i="4"/>
  <c r="AC117" i="4"/>
  <c r="AC118" i="4"/>
  <c r="AC119" i="4"/>
  <c r="AC120" i="4"/>
  <c r="AC121" i="4"/>
  <c r="AC122" i="4"/>
  <c r="AC123" i="4"/>
  <c r="AC124" i="4"/>
  <c r="AC125" i="4"/>
  <c r="AC126" i="4"/>
  <c r="AC127" i="4"/>
  <c r="AC128" i="4"/>
  <c r="AC129" i="4"/>
  <c r="AC130" i="4"/>
  <c r="AC131" i="4"/>
  <c r="AC132" i="4"/>
  <c r="AC133" i="4"/>
  <c r="AC134" i="4"/>
  <c r="AC135" i="4"/>
  <c r="AC136" i="4"/>
  <c r="AC2" i="4"/>
  <c r="G126" i="6"/>
  <c r="G125" i="6"/>
  <c r="G124" i="6"/>
  <c r="G123" i="6"/>
  <c r="G122" i="6"/>
  <c r="G121" i="6"/>
  <c r="G120" i="6"/>
  <c r="G119" i="6"/>
  <c r="G118" i="6"/>
  <c r="G117" i="6"/>
  <c r="G81" i="6"/>
  <c r="G80" i="6"/>
  <c r="G79" i="6"/>
  <c r="G78" i="6"/>
  <c r="G77" i="6"/>
  <c r="G76" i="6"/>
  <c r="G75" i="6"/>
  <c r="G74" i="6"/>
  <c r="G73" i="6"/>
  <c r="G72" i="6"/>
  <c r="G51" i="6"/>
  <c r="G50" i="6"/>
  <c r="G49" i="6"/>
  <c r="G48" i="6"/>
  <c r="G47" i="6"/>
  <c r="G46" i="6"/>
  <c r="G45" i="6"/>
  <c r="G44" i="6"/>
  <c r="G43" i="6"/>
  <c r="G42" i="6"/>
  <c r="Q126" i="5"/>
  <c r="P126" i="5"/>
  <c r="O126" i="5"/>
  <c r="N126" i="5"/>
  <c r="M126" i="5"/>
  <c r="L126" i="5"/>
  <c r="K126" i="5"/>
  <c r="J126" i="5"/>
  <c r="I126" i="5"/>
  <c r="H126" i="5"/>
  <c r="G126" i="5"/>
  <c r="Q125" i="5"/>
  <c r="P125" i="5"/>
  <c r="O125" i="5"/>
  <c r="N125" i="5"/>
  <c r="M125" i="5"/>
  <c r="L125" i="5"/>
  <c r="K125" i="5"/>
  <c r="J125" i="5"/>
  <c r="I125" i="5"/>
  <c r="H125" i="5"/>
  <c r="G125" i="5"/>
  <c r="Q124" i="5"/>
  <c r="P124" i="5"/>
  <c r="O124" i="5"/>
  <c r="N124" i="5"/>
  <c r="M124" i="5"/>
  <c r="L124" i="5"/>
  <c r="K124" i="5"/>
  <c r="J124" i="5"/>
  <c r="I124" i="5"/>
  <c r="H124" i="5"/>
  <c r="G124" i="5"/>
  <c r="Q123" i="5"/>
  <c r="P123" i="5"/>
  <c r="O123" i="5"/>
  <c r="N123" i="5"/>
  <c r="M123" i="5"/>
  <c r="L123" i="5"/>
  <c r="K123" i="5"/>
  <c r="J123" i="5"/>
  <c r="I123" i="5"/>
  <c r="H123" i="5"/>
  <c r="G123" i="5"/>
  <c r="Q122" i="5"/>
  <c r="P122" i="5"/>
  <c r="O122" i="5"/>
  <c r="N122" i="5"/>
  <c r="M122" i="5"/>
  <c r="L122" i="5"/>
  <c r="K122" i="5"/>
  <c r="J122" i="5"/>
  <c r="I122" i="5"/>
  <c r="H122" i="5"/>
  <c r="G122" i="5"/>
  <c r="Q121" i="5"/>
  <c r="P121" i="5"/>
  <c r="O121" i="5"/>
  <c r="N121" i="5"/>
  <c r="M121" i="5"/>
  <c r="L121" i="5"/>
  <c r="K121" i="5"/>
  <c r="J121" i="5"/>
  <c r="I121" i="5"/>
  <c r="H121" i="5"/>
  <c r="G121" i="5"/>
  <c r="Q120" i="5"/>
  <c r="P120" i="5"/>
  <c r="O120" i="5"/>
  <c r="N120" i="5"/>
  <c r="M120" i="5"/>
  <c r="L120" i="5"/>
  <c r="K120" i="5"/>
  <c r="J120" i="5"/>
  <c r="I120" i="5"/>
  <c r="H120" i="5"/>
  <c r="G120" i="5"/>
  <c r="Q119" i="5"/>
  <c r="P119" i="5"/>
  <c r="O119" i="5"/>
  <c r="N119" i="5"/>
  <c r="M119" i="5"/>
  <c r="L119" i="5"/>
  <c r="K119" i="5"/>
  <c r="J119" i="5"/>
  <c r="I119" i="5"/>
  <c r="H119" i="5"/>
  <c r="G119" i="5"/>
  <c r="Q118" i="5"/>
  <c r="P118" i="5"/>
  <c r="O118" i="5"/>
  <c r="N118" i="5"/>
  <c r="M118" i="5"/>
  <c r="L118" i="5"/>
  <c r="K118" i="5"/>
  <c r="J118" i="5"/>
  <c r="I118" i="5"/>
  <c r="H118" i="5"/>
  <c r="G118" i="5"/>
  <c r="Q117" i="5"/>
  <c r="P117" i="5"/>
  <c r="O117" i="5"/>
  <c r="N117" i="5"/>
  <c r="M117" i="5"/>
  <c r="L117" i="5"/>
  <c r="K117" i="5"/>
  <c r="J117" i="5"/>
  <c r="I117" i="5"/>
  <c r="H117" i="5"/>
  <c r="G117" i="5"/>
  <c r="Q81" i="5"/>
  <c r="P81" i="5"/>
  <c r="O81" i="5"/>
  <c r="N81" i="5"/>
  <c r="M81" i="5"/>
  <c r="L81" i="5"/>
  <c r="K81" i="5"/>
  <c r="J81" i="5"/>
  <c r="I81" i="5"/>
  <c r="H81" i="5"/>
  <c r="G81" i="5"/>
  <c r="Q80" i="5"/>
  <c r="P80" i="5"/>
  <c r="O80" i="5"/>
  <c r="N80" i="5"/>
  <c r="M80" i="5"/>
  <c r="L80" i="5"/>
  <c r="K80" i="5"/>
  <c r="J80" i="5"/>
  <c r="I80" i="5"/>
  <c r="H80" i="5"/>
  <c r="G80" i="5"/>
  <c r="Q79" i="5"/>
  <c r="P79" i="5"/>
  <c r="O79" i="5"/>
  <c r="N79" i="5"/>
  <c r="M79" i="5"/>
  <c r="L79" i="5"/>
  <c r="K79" i="5"/>
  <c r="J79" i="5"/>
  <c r="I79" i="5"/>
  <c r="H79" i="5"/>
  <c r="G79" i="5"/>
  <c r="Q78" i="5"/>
  <c r="P78" i="5"/>
  <c r="O78" i="5"/>
  <c r="N78" i="5"/>
  <c r="M78" i="5"/>
  <c r="L78" i="5"/>
  <c r="K78" i="5"/>
  <c r="J78" i="5"/>
  <c r="I78" i="5"/>
  <c r="H78" i="5"/>
  <c r="G78" i="5"/>
  <c r="Q77" i="5"/>
  <c r="P77" i="5"/>
  <c r="O77" i="5"/>
  <c r="N77" i="5"/>
  <c r="M77" i="5"/>
  <c r="L77" i="5"/>
  <c r="K77" i="5"/>
  <c r="J77" i="5"/>
  <c r="I77" i="5"/>
  <c r="H77" i="5"/>
  <c r="G77" i="5"/>
  <c r="Q76" i="5"/>
  <c r="P76" i="5"/>
  <c r="O76" i="5"/>
  <c r="N76" i="5"/>
  <c r="M76" i="5"/>
  <c r="L76" i="5"/>
  <c r="K76" i="5"/>
  <c r="J76" i="5"/>
  <c r="I76" i="5"/>
  <c r="H76" i="5"/>
  <c r="G76" i="5"/>
  <c r="Q75" i="5"/>
  <c r="P75" i="5"/>
  <c r="O75" i="5"/>
  <c r="N75" i="5"/>
  <c r="M75" i="5"/>
  <c r="L75" i="5"/>
  <c r="K75" i="5"/>
  <c r="J75" i="5"/>
  <c r="I75" i="5"/>
  <c r="H75" i="5"/>
  <c r="G75" i="5"/>
  <c r="Q74" i="5"/>
  <c r="P74" i="5"/>
  <c r="O74" i="5"/>
  <c r="N74" i="5"/>
  <c r="M74" i="5"/>
  <c r="L74" i="5"/>
  <c r="K74" i="5"/>
  <c r="J74" i="5"/>
  <c r="I74" i="5"/>
  <c r="H74" i="5"/>
  <c r="G74" i="5"/>
  <c r="Q73" i="5"/>
  <c r="P73" i="5"/>
  <c r="O73" i="5"/>
  <c r="N73" i="5"/>
  <c r="M73" i="5"/>
  <c r="L73" i="5"/>
  <c r="K73" i="5"/>
  <c r="J73" i="5"/>
  <c r="I73" i="5"/>
  <c r="H73" i="5"/>
  <c r="G73" i="5"/>
  <c r="Q72" i="5"/>
  <c r="P72" i="5"/>
  <c r="O72" i="5"/>
  <c r="N72" i="5"/>
  <c r="M72" i="5"/>
  <c r="L72" i="5"/>
  <c r="K72" i="5"/>
  <c r="J72" i="5"/>
  <c r="I72" i="5"/>
  <c r="H72" i="5"/>
  <c r="G72" i="5"/>
  <c r="Q51" i="5"/>
  <c r="P51" i="5"/>
  <c r="O51" i="5"/>
  <c r="N51" i="5"/>
  <c r="M51" i="5"/>
  <c r="L51" i="5"/>
  <c r="K51" i="5"/>
  <c r="J51" i="5"/>
  <c r="I51" i="5"/>
  <c r="H51" i="5"/>
  <c r="G51" i="5"/>
  <c r="Q50" i="5"/>
  <c r="P50" i="5"/>
  <c r="O50" i="5"/>
  <c r="N50" i="5"/>
  <c r="M50" i="5"/>
  <c r="L50" i="5"/>
  <c r="K50" i="5"/>
  <c r="J50" i="5"/>
  <c r="I50" i="5"/>
  <c r="H50" i="5"/>
  <c r="G50" i="5"/>
  <c r="Q49" i="5"/>
  <c r="P49" i="5"/>
  <c r="O49" i="5"/>
  <c r="N49" i="5"/>
  <c r="M49" i="5"/>
  <c r="L49" i="5"/>
  <c r="K49" i="5"/>
  <c r="J49" i="5"/>
  <c r="I49" i="5"/>
  <c r="H49" i="5"/>
  <c r="G49" i="5"/>
  <c r="Q48" i="5"/>
  <c r="P48" i="5"/>
  <c r="O48" i="5"/>
  <c r="N48" i="5"/>
  <c r="M48" i="5"/>
  <c r="L48" i="5"/>
  <c r="K48" i="5"/>
  <c r="J48" i="5"/>
  <c r="I48" i="5"/>
  <c r="H48" i="5"/>
  <c r="G48" i="5"/>
  <c r="Q47" i="5"/>
  <c r="P47" i="5"/>
  <c r="O47" i="5"/>
  <c r="N47" i="5"/>
  <c r="M47" i="5"/>
  <c r="L47" i="5"/>
  <c r="K47" i="5"/>
  <c r="J47" i="5"/>
  <c r="I47" i="5"/>
  <c r="H47" i="5"/>
  <c r="G47" i="5"/>
  <c r="Q46" i="5"/>
  <c r="P46" i="5"/>
  <c r="O46" i="5"/>
  <c r="N46" i="5"/>
  <c r="M46" i="5"/>
  <c r="L46" i="5"/>
  <c r="K46" i="5"/>
  <c r="J46" i="5"/>
  <c r="I46" i="5"/>
  <c r="H46" i="5"/>
  <c r="G46" i="5"/>
  <c r="Q45" i="5"/>
  <c r="P45" i="5"/>
  <c r="O45" i="5"/>
  <c r="N45" i="5"/>
  <c r="M45" i="5"/>
  <c r="L45" i="5"/>
  <c r="K45" i="5"/>
  <c r="J45" i="5"/>
  <c r="I45" i="5"/>
  <c r="H45" i="5"/>
  <c r="G45" i="5"/>
  <c r="Q44" i="5"/>
  <c r="P44" i="5"/>
  <c r="O44" i="5"/>
  <c r="N44" i="5"/>
  <c r="M44" i="5"/>
  <c r="L44" i="5"/>
  <c r="K44" i="5"/>
  <c r="J44" i="5"/>
  <c r="I44" i="5"/>
  <c r="H44" i="5"/>
  <c r="G44" i="5"/>
  <c r="Q43" i="5"/>
  <c r="P43" i="5"/>
  <c r="O43" i="5"/>
  <c r="N43" i="5"/>
  <c r="M43" i="5"/>
  <c r="L43" i="5"/>
  <c r="K43" i="5"/>
  <c r="J43" i="5"/>
  <c r="I43" i="5"/>
  <c r="H43" i="5"/>
  <c r="G43" i="5"/>
  <c r="Q42" i="5"/>
  <c r="P42" i="5"/>
  <c r="O42" i="5"/>
  <c r="N42" i="5"/>
  <c r="M42" i="5"/>
  <c r="L42" i="5"/>
  <c r="K42" i="5"/>
  <c r="J42" i="5"/>
  <c r="I42" i="5"/>
  <c r="H42" i="5"/>
  <c r="G42" i="5"/>
  <c r="Q21" i="5"/>
  <c r="P21" i="5"/>
  <c r="O21" i="5"/>
  <c r="N21" i="5"/>
  <c r="M21" i="5"/>
  <c r="L21" i="5"/>
  <c r="K21" i="5"/>
  <c r="J21" i="5"/>
  <c r="I21" i="5"/>
  <c r="H21" i="5"/>
  <c r="G21" i="5"/>
  <c r="Q20" i="5"/>
  <c r="P20" i="5"/>
  <c r="O20" i="5"/>
  <c r="N20" i="5"/>
  <c r="M20" i="5"/>
  <c r="L20" i="5"/>
  <c r="K20" i="5"/>
  <c r="J20" i="5"/>
  <c r="I20" i="5"/>
  <c r="H20" i="5"/>
  <c r="G20" i="5"/>
  <c r="Q19" i="5"/>
  <c r="P19" i="5"/>
  <c r="O19" i="5"/>
  <c r="N19" i="5"/>
  <c r="M19" i="5"/>
  <c r="L19" i="5"/>
  <c r="K19" i="5"/>
  <c r="J19" i="5"/>
  <c r="I19" i="5"/>
  <c r="H19" i="5"/>
  <c r="G19" i="5"/>
  <c r="Q18" i="5"/>
  <c r="P18" i="5"/>
  <c r="O18" i="5"/>
  <c r="N18" i="5"/>
  <c r="M18" i="5"/>
  <c r="L18" i="5"/>
  <c r="K18" i="5"/>
  <c r="J18" i="5"/>
  <c r="I18" i="5"/>
  <c r="H18" i="5"/>
  <c r="G18" i="5"/>
  <c r="Q17" i="5"/>
  <c r="P17" i="5"/>
  <c r="O17" i="5"/>
  <c r="N17" i="5"/>
  <c r="M17" i="5"/>
  <c r="L17" i="5"/>
  <c r="K17" i="5"/>
  <c r="J17" i="5"/>
  <c r="I17" i="5"/>
  <c r="H17" i="5"/>
  <c r="G17" i="5"/>
  <c r="Q16" i="5"/>
  <c r="P16" i="5"/>
  <c r="O16" i="5"/>
  <c r="N16" i="5"/>
  <c r="M16" i="5"/>
  <c r="L16" i="5"/>
  <c r="K16" i="5"/>
  <c r="J16" i="5"/>
  <c r="I16" i="5"/>
  <c r="H16" i="5"/>
  <c r="G16" i="5"/>
  <c r="Q15" i="5"/>
  <c r="P15" i="5"/>
  <c r="O15" i="5"/>
  <c r="N15" i="5"/>
  <c r="M15" i="5"/>
  <c r="L15" i="5"/>
  <c r="K15" i="5"/>
  <c r="J15" i="5"/>
  <c r="I15" i="5"/>
  <c r="H15" i="5"/>
  <c r="G15" i="5"/>
  <c r="Q14" i="5"/>
  <c r="P14" i="5"/>
  <c r="O14" i="5"/>
  <c r="N14" i="5"/>
  <c r="M14" i="5"/>
  <c r="L14" i="5"/>
  <c r="K14" i="5"/>
  <c r="J14" i="5"/>
  <c r="I14" i="5"/>
  <c r="H14" i="5"/>
  <c r="G14" i="5"/>
  <c r="Q13" i="5"/>
  <c r="P13" i="5"/>
  <c r="O13" i="5"/>
  <c r="N13" i="5"/>
  <c r="M13" i="5"/>
  <c r="L13" i="5"/>
  <c r="K13" i="5"/>
  <c r="J13" i="5"/>
  <c r="I13" i="5"/>
  <c r="H13" i="5"/>
  <c r="G13" i="5"/>
  <c r="Q12" i="5"/>
  <c r="P12" i="5"/>
  <c r="O12" i="5"/>
  <c r="N12" i="5"/>
  <c r="M12" i="5"/>
  <c r="L12" i="5"/>
  <c r="K12" i="5"/>
  <c r="J12" i="5"/>
  <c r="I12" i="5"/>
  <c r="H12" i="5"/>
  <c r="G12" i="5"/>
  <c r="AB126" i="4"/>
  <c r="AA126" i="4"/>
  <c r="Z126" i="4"/>
  <c r="Y126" i="4"/>
  <c r="X126" i="4"/>
  <c r="W126" i="4"/>
  <c r="V126" i="4"/>
  <c r="U126" i="4"/>
  <c r="T126" i="4"/>
  <c r="S126" i="4"/>
  <c r="R126" i="4"/>
  <c r="Q126" i="4"/>
  <c r="P126" i="4"/>
  <c r="O126" i="4"/>
  <c r="N126" i="4"/>
  <c r="M126" i="4"/>
  <c r="L126" i="4"/>
  <c r="K126" i="4"/>
  <c r="J126" i="4"/>
  <c r="I126" i="4"/>
  <c r="H126" i="4"/>
  <c r="G126" i="4"/>
  <c r="AB125" i="4"/>
  <c r="AA125" i="4"/>
  <c r="Z125" i="4"/>
  <c r="Y125" i="4"/>
  <c r="X125" i="4"/>
  <c r="W125" i="4"/>
  <c r="V125" i="4"/>
  <c r="U125" i="4"/>
  <c r="T125" i="4"/>
  <c r="S125" i="4"/>
  <c r="R125" i="4"/>
  <c r="Q125" i="4"/>
  <c r="P125" i="4"/>
  <c r="O125" i="4"/>
  <c r="N125" i="4"/>
  <c r="M125" i="4"/>
  <c r="L125" i="4"/>
  <c r="K125" i="4"/>
  <c r="J125" i="4"/>
  <c r="I125" i="4"/>
  <c r="H125" i="4"/>
  <c r="G125" i="4"/>
  <c r="AB124" i="4"/>
  <c r="AA124" i="4"/>
  <c r="Z124" i="4"/>
  <c r="Y124" i="4"/>
  <c r="X124" i="4"/>
  <c r="W124" i="4"/>
  <c r="V124" i="4"/>
  <c r="U124" i="4"/>
  <c r="T124" i="4"/>
  <c r="S124" i="4"/>
  <c r="R124" i="4"/>
  <c r="Q124" i="4"/>
  <c r="P124" i="4"/>
  <c r="O124" i="4"/>
  <c r="N124" i="4"/>
  <c r="M124" i="4"/>
  <c r="L124" i="4"/>
  <c r="K124" i="4"/>
  <c r="J124" i="4"/>
  <c r="I124" i="4"/>
  <c r="H124" i="4"/>
  <c r="G124" i="4"/>
  <c r="AB123" i="4"/>
  <c r="AA123" i="4"/>
  <c r="Z123" i="4"/>
  <c r="Y123" i="4"/>
  <c r="X123" i="4"/>
  <c r="W123" i="4"/>
  <c r="V123" i="4"/>
  <c r="U123" i="4"/>
  <c r="T123" i="4"/>
  <c r="S123" i="4"/>
  <c r="R123" i="4"/>
  <c r="Q123" i="4"/>
  <c r="P123" i="4"/>
  <c r="O123" i="4"/>
  <c r="N123" i="4"/>
  <c r="M123" i="4"/>
  <c r="L123" i="4"/>
  <c r="K123" i="4"/>
  <c r="J123" i="4"/>
  <c r="I123" i="4"/>
  <c r="H123" i="4"/>
  <c r="G123" i="4"/>
  <c r="AB122" i="4"/>
  <c r="AA122" i="4"/>
  <c r="Z122" i="4"/>
  <c r="Y122" i="4"/>
  <c r="X122" i="4"/>
  <c r="W122" i="4"/>
  <c r="V122" i="4"/>
  <c r="U122" i="4"/>
  <c r="T122" i="4"/>
  <c r="S122" i="4"/>
  <c r="R122" i="4"/>
  <c r="Q122" i="4"/>
  <c r="P122" i="4"/>
  <c r="O122" i="4"/>
  <c r="N122" i="4"/>
  <c r="M122" i="4"/>
  <c r="L122" i="4"/>
  <c r="K122" i="4"/>
  <c r="J122" i="4"/>
  <c r="I122" i="4"/>
  <c r="H122" i="4"/>
  <c r="G122" i="4"/>
  <c r="AB121" i="4"/>
  <c r="AA121" i="4"/>
  <c r="Z121" i="4"/>
  <c r="Y121" i="4"/>
  <c r="X121" i="4"/>
  <c r="W121" i="4"/>
  <c r="V121" i="4"/>
  <c r="U121" i="4"/>
  <c r="T121" i="4"/>
  <c r="S121" i="4"/>
  <c r="R121" i="4"/>
  <c r="Q121" i="4"/>
  <c r="P121" i="4"/>
  <c r="O121" i="4"/>
  <c r="N121" i="4"/>
  <c r="M121" i="4"/>
  <c r="L121" i="4"/>
  <c r="K121" i="4"/>
  <c r="J121" i="4"/>
  <c r="I121" i="4"/>
  <c r="H121" i="4"/>
  <c r="G121" i="4"/>
  <c r="AB120" i="4"/>
  <c r="AA120" i="4"/>
  <c r="Z120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J120" i="4"/>
  <c r="I120" i="4"/>
  <c r="H120" i="4"/>
  <c r="G120" i="4"/>
  <c r="AB119" i="4"/>
  <c r="AA119" i="4"/>
  <c r="Z119" i="4"/>
  <c r="Y119" i="4"/>
  <c r="X119" i="4"/>
  <c r="W119" i="4"/>
  <c r="V119" i="4"/>
  <c r="U119" i="4"/>
  <c r="T119" i="4"/>
  <c r="S119" i="4"/>
  <c r="R119" i="4"/>
  <c r="Q119" i="4"/>
  <c r="P119" i="4"/>
  <c r="O119" i="4"/>
  <c r="N119" i="4"/>
  <c r="M119" i="4"/>
  <c r="L119" i="4"/>
  <c r="K119" i="4"/>
  <c r="J119" i="4"/>
  <c r="I119" i="4"/>
  <c r="H119" i="4"/>
  <c r="G119" i="4"/>
  <c r="AB118" i="4"/>
  <c r="AA118" i="4"/>
  <c r="Z118" i="4"/>
  <c r="Y118" i="4"/>
  <c r="X118" i="4"/>
  <c r="W118" i="4"/>
  <c r="V118" i="4"/>
  <c r="U118" i="4"/>
  <c r="T118" i="4"/>
  <c r="S118" i="4"/>
  <c r="R118" i="4"/>
  <c r="Q118" i="4"/>
  <c r="P118" i="4"/>
  <c r="O118" i="4"/>
  <c r="N118" i="4"/>
  <c r="M118" i="4"/>
  <c r="L118" i="4"/>
  <c r="K118" i="4"/>
  <c r="J118" i="4"/>
  <c r="I118" i="4"/>
  <c r="H118" i="4"/>
  <c r="G118" i="4"/>
  <c r="AB117" i="4"/>
  <c r="AA117" i="4"/>
  <c r="Z117" i="4"/>
  <c r="Y117" i="4"/>
  <c r="X117" i="4"/>
  <c r="W117" i="4"/>
  <c r="V117" i="4"/>
  <c r="U117" i="4"/>
  <c r="T117" i="4"/>
  <c r="S117" i="4"/>
  <c r="R117" i="4"/>
  <c r="Q117" i="4"/>
  <c r="P117" i="4"/>
  <c r="O117" i="4"/>
  <c r="N117" i="4"/>
  <c r="M117" i="4"/>
  <c r="L117" i="4"/>
  <c r="K117" i="4"/>
  <c r="J117" i="4"/>
  <c r="I117" i="4"/>
  <c r="H117" i="4"/>
  <c r="G117" i="4"/>
  <c r="AB81" i="4"/>
  <c r="AA81" i="4"/>
  <c r="Z81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J81" i="4"/>
  <c r="I81" i="4"/>
  <c r="H81" i="4"/>
  <c r="G81" i="4"/>
  <c r="AB80" i="4"/>
  <c r="AA80" i="4"/>
  <c r="Z80" i="4"/>
  <c r="Y80" i="4"/>
  <c r="X80" i="4"/>
  <c r="W80" i="4"/>
  <c r="V80" i="4"/>
  <c r="U80" i="4"/>
  <c r="T80" i="4"/>
  <c r="S80" i="4"/>
  <c r="R80" i="4"/>
  <c r="Q80" i="4"/>
  <c r="P80" i="4"/>
  <c r="O80" i="4"/>
  <c r="N80" i="4"/>
  <c r="M80" i="4"/>
  <c r="L80" i="4"/>
  <c r="K80" i="4"/>
  <c r="J80" i="4"/>
  <c r="I80" i="4"/>
  <c r="H80" i="4"/>
  <c r="G80" i="4"/>
  <c r="AB79" i="4"/>
  <c r="AA79" i="4"/>
  <c r="Z79" i="4"/>
  <c r="Y79" i="4"/>
  <c r="X79" i="4"/>
  <c r="W79" i="4"/>
  <c r="V79" i="4"/>
  <c r="U79" i="4"/>
  <c r="T79" i="4"/>
  <c r="S79" i="4"/>
  <c r="R79" i="4"/>
  <c r="Q79" i="4"/>
  <c r="P79" i="4"/>
  <c r="O79" i="4"/>
  <c r="N79" i="4"/>
  <c r="M79" i="4"/>
  <c r="L79" i="4"/>
  <c r="K79" i="4"/>
  <c r="J79" i="4"/>
  <c r="I79" i="4"/>
  <c r="H79" i="4"/>
  <c r="G79" i="4"/>
  <c r="AB78" i="4"/>
  <c r="AA78" i="4"/>
  <c r="Z78" i="4"/>
  <c r="Y78" i="4"/>
  <c r="X78" i="4"/>
  <c r="W78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AB77" i="4"/>
  <c r="AA77" i="4"/>
  <c r="Z77" i="4"/>
  <c r="Y77" i="4"/>
  <c r="X77" i="4"/>
  <c r="W77" i="4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AB76" i="4"/>
  <c r="AA76" i="4"/>
  <c r="Z76" i="4"/>
  <c r="Y76" i="4"/>
  <c r="X76" i="4"/>
  <c r="W76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AB75" i="4"/>
  <c r="AA75" i="4"/>
  <c r="Z75" i="4"/>
  <c r="Y75" i="4"/>
  <c r="X75" i="4"/>
  <c r="W75" i="4"/>
  <c r="V75" i="4"/>
  <c r="U75" i="4"/>
  <c r="T75" i="4"/>
  <c r="S75" i="4"/>
  <c r="R75" i="4"/>
  <c r="Q75" i="4"/>
  <c r="P75" i="4"/>
  <c r="O75" i="4"/>
  <c r="N75" i="4"/>
  <c r="M75" i="4"/>
  <c r="L75" i="4"/>
  <c r="K75" i="4"/>
  <c r="J75" i="4"/>
  <c r="I75" i="4"/>
  <c r="H75" i="4"/>
  <c r="G75" i="4"/>
  <c r="AB74" i="4"/>
  <c r="AA74" i="4"/>
  <c r="Z74" i="4"/>
  <c r="Y74" i="4"/>
  <c r="X74" i="4"/>
  <c r="W74" i="4"/>
  <c r="V74" i="4"/>
  <c r="U74" i="4"/>
  <c r="T74" i="4"/>
  <c r="S74" i="4"/>
  <c r="R74" i="4"/>
  <c r="Q74" i="4"/>
  <c r="P74" i="4"/>
  <c r="O74" i="4"/>
  <c r="N74" i="4"/>
  <c r="M74" i="4"/>
  <c r="L74" i="4"/>
  <c r="K74" i="4"/>
  <c r="J74" i="4"/>
  <c r="I74" i="4"/>
  <c r="H74" i="4"/>
  <c r="G74" i="4"/>
  <c r="AB73" i="4"/>
  <c r="AA73" i="4"/>
  <c r="Z73" i="4"/>
  <c r="Y73" i="4"/>
  <c r="X73" i="4"/>
  <c r="W73" i="4"/>
  <c r="V73" i="4"/>
  <c r="U73" i="4"/>
  <c r="T73" i="4"/>
  <c r="S73" i="4"/>
  <c r="R73" i="4"/>
  <c r="Q73" i="4"/>
  <c r="P73" i="4"/>
  <c r="O73" i="4"/>
  <c r="N73" i="4"/>
  <c r="M73" i="4"/>
  <c r="L73" i="4"/>
  <c r="K73" i="4"/>
  <c r="J73" i="4"/>
  <c r="I73" i="4"/>
  <c r="H73" i="4"/>
  <c r="G73" i="4"/>
  <c r="AB72" i="4"/>
  <c r="AA72" i="4"/>
  <c r="Z72" i="4"/>
  <c r="Y72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AB51" i="4"/>
  <c r="AA51" i="4"/>
  <c r="Z51" i="4"/>
  <c r="Y51" i="4"/>
  <c r="X51" i="4"/>
  <c r="W51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AB50" i="4"/>
  <c r="AA50" i="4"/>
  <c r="Z50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AB49" i="4"/>
  <c r="AA49" i="4"/>
  <c r="Z49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AB48" i="4"/>
  <c r="AA48" i="4"/>
  <c r="Z48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AB46" i="4"/>
  <c r="AA46" i="4"/>
  <c r="Z46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AB45" i="4"/>
  <c r="AA45" i="4"/>
  <c r="Z45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AB44" i="4"/>
  <c r="AA44" i="4"/>
  <c r="Z44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AB43" i="4"/>
  <c r="AA43" i="4"/>
  <c r="Z43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AB42" i="4"/>
  <c r="AA42" i="4"/>
  <c r="Z42" i="4"/>
  <c r="Y42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AB21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AB20" i="4"/>
  <c r="AA20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AB17" i="4"/>
  <c r="AA17" i="4"/>
  <c r="Z17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AB15" i="4"/>
  <c r="AA15" i="4"/>
  <c r="Z15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AB14" i="4"/>
  <c r="AA14" i="4"/>
  <c r="Z14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AB13" i="4"/>
  <c r="AA13" i="4"/>
  <c r="Z13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AB12" i="4"/>
  <c r="AA12" i="4"/>
  <c r="Z12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H75" i="8" l="1"/>
  <c r="H61" i="8"/>
  <c r="H2" i="8"/>
</calcChain>
</file>

<file path=xl/sharedStrings.xml><?xml version="1.0" encoding="utf-8"?>
<sst xmlns="http://schemas.openxmlformats.org/spreadsheetml/2006/main" count="5693" uniqueCount="110">
  <si>
    <t>Scenario</t>
  </si>
  <si>
    <t>Country</t>
  </si>
  <si>
    <t>Year</t>
  </si>
  <si>
    <t>Metal</t>
  </si>
  <si>
    <t>Metal_demand_t</t>
  </si>
  <si>
    <t>Canada Net-zero</t>
  </si>
  <si>
    <t>Canada</t>
  </si>
  <si>
    <t>Cobalt</t>
  </si>
  <si>
    <t>Copper</t>
  </si>
  <si>
    <t>Nickel</t>
  </si>
  <si>
    <t>Current Measures</t>
  </si>
  <si>
    <t>Global Net-zero</t>
  </si>
  <si>
    <t>Neodymium</t>
  </si>
  <si>
    <t>Lithium</t>
  </si>
  <si>
    <t>Graphite</t>
  </si>
  <si>
    <t>Value</t>
  </si>
  <si>
    <t>Unit</t>
  </si>
  <si>
    <t>Value_t_mining</t>
  </si>
  <si>
    <t>Value_t_refining</t>
  </si>
  <si>
    <t>Existing production</t>
  </si>
  <si>
    <t>kilotonnes</t>
  </si>
  <si>
    <t>Production potential</t>
  </si>
  <si>
    <t>Commodity</t>
  </si>
  <si>
    <t>Geography</t>
  </si>
  <si>
    <t>Reference point</t>
  </si>
  <si>
    <t>Climate change EQ LT (PDF.m2.yr)</t>
  </si>
  <si>
    <t>Climate change EQ ST (PDF.m2.yr)</t>
  </si>
  <si>
    <t>Fisheries impact (PDF.m2.yr)</t>
  </si>
  <si>
    <t>Freshwater acidification (PDF.m2.yr)</t>
  </si>
  <si>
    <t>Freshwater ecotoxicity LT (PDF.m2.yr)</t>
  </si>
  <si>
    <t>Freshwater ecotoxicity ST (PDF.m2.yr)</t>
  </si>
  <si>
    <t>Freshwater eutrophication (PDF.m2.yr)</t>
  </si>
  <si>
    <t>Ionizing radiations EQ (PDF.m2.yr)</t>
  </si>
  <si>
    <t>Land occupation biodiversity (PDF.m2.yr)</t>
  </si>
  <si>
    <t>Land transformation biodiversity (PDF.m2.yr)</t>
  </si>
  <si>
    <t>Marine acidification LT (PDF.m2.yr)</t>
  </si>
  <si>
    <t>Marine acidification ST (PDF.m2.yr)</t>
  </si>
  <si>
    <t>Marine ecotoxicity LT (PDF.m2.yr)</t>
  </si>
  <si>
    <t>Marine ecotoxicity ST (PDF.m2.yr)</t>
  </si>
  <si>
    <t>Marine eutrophication (PDF.m2.yr)</t>
  </si>
  <si>
    <t>Photochemical ozone EQ (PDF.m2.yr)</t>
  </si>
  <si>
    <t>Terrestrial acidification (PDF.m2.yr)</t>
  </si>
  <si>
    <t>Terrestrial ecotoxicity LT (PDF.m2.yr)</t>
  </si>
  <si>
    <t>Terrestrial ecotoxicity ST (PDF.m2.yr)</t>
  </si>
  <si>
    <t>Thermally polluted water (PDF.m2.yr)</t>
  </si>
  <si>
    <t>Water availability freshwater (PDF.m2.yr)</t>
  </si>
  <si>
    <t>Water availability terrestrial (PDF.m2.yr)</t>
  </si>
  <si>
    <t>IMAGE_SSP2L</t>
  </si>
  <si>
    <t>C mining CA</t>
  </si>
  <si>
    <t>Mining</t>
  </si>
  <si>
    <t>C mining World</t>
  </si>
  <si>
    <t>World</t>
  </si>
  <si>
    <t>C refining CA</t>
  </si>
  <si>
    <t>Refining</t>
  </si>
  <si>
    <t>C refining World</t>
  </si>
  <si>
    <t>Mining+refining</t>
  </si>
  <si>
    <t>Co mining CA</t>
  </si>
  <si>
    <t>Co mining World</t>
  </si>
  <si>
    <t>Co refining CA</t>
  </si>
  <si>
    <t>Co refining World</t>
  </si>
  <si>
    <t>Cu mining CA</t>
  </si>
  <si>
    <t>Cu mining World</t>
  </si>
  <si>
    <t>Cu refining CA</t>
  </si>
  <si>
    <t>Cu refining World</t>
  </si>
  <si>
    <t>Li refining CA</t>
  </si>
  <si>
    <t>Li refining World</t>
  </si>
  <si>
    <t>Nd refining World</t>
  </si>
  <si>
    <t>Ni mining CA</t>
  </si>
  <si>
    <t>Ni mining World</t>
  </si>
  <si>
    <t>Ni refining CA</t>
  </si>
  <si>
    <t>Ni refining World</t>
  </si>
  <si>
    <t>Climate change HH LT (DALY)</t>
  </si>
  <si>
    <t>Climate change HH ST (DALY)</t>
  </si>
  <si>
    <t>Human toxicity cancer LT (DALY)</t>
  </si>
  <si>
    <t>Human toxicity cancer ST (DALY)</t>
  </si>
  <si>
    <t>Human toxicity non-cancer LT (DALY)</t>
  </si>
  <si>
    <t>Human toxicity non-cancer ST (DALY)</t>
  </si>
  <si>
    <t>Ionizing radiations HH (DALY)</t>
  </si>
  <si>
    <t>Ozone layer depletion (DALY)</t>
  </si>
  <si>
    <t>Particulate matter formation (DALY)</t>
  </si>
  <si>
    <t>Photochemical ozone HH (DALY)</t>
  </si>
  <si>
    <t>Water availability HH (DALY)</t>
  </si>
  <si>
    <t>Climate change ST (kg CO2 eq (short))</t>
  </si>
  <si>
    <t>Scenario_name</t>
  </si>
  <si>
    <t>NIMBY</t>
  </si>
  <si>
    <t>Status Quo</t>
  </si>
  <si>
    <t>Scenario name</t>
  </si>
  <si>
    <t>Integrated</t>
  </si>
  <si>
    <t>Scenario#</t>
  </si>
  <si>
    <t>Secondary_production</t>
  </si>
  <si>
    <t>100% RoW</t>
  </si>
  <si>
    <t>BAU</t>
  </si>
  <si>
    <t>CCI BAU; rest RoW</t>
  </si>
  <si>
    <t>Current CA capacity; rest RoW</t>
  </si>
  <si>
    <t>Expansion Extractive</t>
  </si>
  <si>
    <t>CCI ++; rest RoW</t>
  </si>
  <si>
    <t>Expansion Extractive+Circularity</t>
  </si>
  <si>
    <t>NZE</t>
  </si>
  <si>
    <t>Impact category</t>
  </si>
  <si>
    <t>GWP</t>
  </si>
  <si>
    <t>Total EP</t>
  </si>
  <si>
    <t>Total HH</t>
  </si>
  <si>
    <t>kgCO2eq/kg</t>
  </si>
  <si>
    <t>PDF.m2.yr/kg</t>
  </si>
  <si>
    <t>DALY/kg</t>
  </si>
  <si>
    <t>Total EQ</t>
  </si>
  <si>
    <t>100% ROW</t>
  </si>
  <si>
    <t>Mining CA, Refining ROW</t>
  </si>
  <si>
    <t>Mining ROW, Refining CA</t>
  </si>
  <si>
    <t>100% 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</si>
</sst>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1" fillId="3" borderId="2" xfId="0" applyFont="1" applyFill="1" applyBorder="1" applyAlignment="1">
      <alignment horizontal="center" vertical="top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850A3-7268-4DD2-BE3E-654B44EF73F0}">
  <sheetPr>
    <tabColor rgb="FFC00000"/>
  </sheetPr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41CA0-9ECB-4D61-9B96-A99669EE4944}">
  <dimension ref="A1:E6"/>
  <sheetViews>
    <sheetView workbookViewId="0">
      <selection activeCell="C4" sqref="C4"/>
    </sheetView>
  </sheetViews>
  <sheetFormatPr baseColWidth="10" defaultRowHeight="15" x14ac:dyDescent="0.25"/>
  <cols>
    <col min="1" max="1" width="11.85546875" bestFit="1" customWidth="1"/>
    <col min="2" max="2" width="29.5703125" bestFit="1" customWidth="1"/>
    <col min="3" max="3" width="17.140625" bestFit="1" customWidth="1"/>
    <col min="4" max="4" width="27.5703125" bestFit="1" customWidth="1"/>
    <col min="5" max="5" width="21" bestFit="1" customWidth="1"/>
  </cols>
  <sheetData>
    <row r="1" spans="1:5" x14ac:dyDescent="0.25">
      <c r="A1" s="1" t="s">
        <v>88</v>
      </c>
      <c r="B1" s="1" t="s">
        <v>83</v>
      </c>
      <c r="C1" s="1" t="s">
        <v>49</v>
      </c>
      <c r="D1" s="1" t="s">
        <v>53</v>
      </c>
      <c r="E1" s="1" t="s">
        <v>89</v>
      </c>
    </row>
    <row r="2" spans="1:5" x14ac:dyDescent="0.25">
      <c r="A2">
        <v>1</v>
      </c>
      <c r="B2" t="s">
        <v>84</v>
      </c>
      <c r="C2" t="s">
        <v>90</v>
      </c>
      <c r="D2" t="s">
        <v>90</v>
      </c>
      <c r="E2" t="s">
        <v>91</v>
      </c>
    </row>
    <row r="3" spans="1:5" x14ac:dyDescent="0.25">
      <c r="A3">
        <v>2</v>
      </c>
      <c r="B3" t="s">
        <v>85</v>
      </c>
      <c r="C3" t="s">
        <v>92</v>
      </c>
      <c r="D3" t="s">
        <v>93</v>
      </c>
      <c r="E3" t="s">
        <v>91</v>
      </c>
    </row>
    <row r="4" spans="1:5" x14ac:dyDescent="0.25">
      <c r="A4">
        <v>3</v>
      </c>
      <c r="B4" t="s">
        <v>94</v>
      </c>
      <c r="C4" t="s">
        <v>95</v>
      </c>
      <c r="D4" t="s">
        <v>93</v>
      </c>
      <c r="E4" t="s">
        <v>91</v>
      </c>
    </row>
    <row r="5" spans="1:5" x14ac:dyDescent="0.25">
      <c r="A5">
        <v>4</v>
      </c>
      <c r="B5" t="s">
        <v>96</v>
      </c>
      <c r="C5" t="s">
        <v>95</v>
      </c>
      <c r="D5" t="s">
        <v>93</v>
      </c>
      <c r="E5" t="s">
        <v>97</v>
      </c>
    </row>
    <row r="6" spans="1:5" x14ac:dyDescent="0.25">
      <c r="A6">
        <v>5</v>
      </c>
      <c r="B6" t="s">
        <v>87</v>
      </c>
      <c r="C6" t="s">
        <v>95</v>
      </c>
      <c r="E6" t="s">
        <v>91</v>
      </c>
    </row>
  </sheetData>
  <autoFilter ref="A1:D1" xr:uid="{77241CA0-9ECB-4D61-9B96-A99669EE4944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9DF36-0CB8-433F-8716-DDB7C1B25226}">
  <sheetPr filterMode="1"/>
  <dimension ref="A1:H289"/>
  <sheetViews>
    <sheetView tabSelected="1" workbookViewId="0">
      <selection activeCell="E14" sqref="E14"/>
    </sheetView>
  </sheetViews>
  <sheetFormatPr baseColWidth="10" defaultRowHeight="15" x14ac:dyDescent="0.25"/>
  <cols>
    <col min="1" max="1" width="23.5703125" bestFit="1" customWidth="1"/>
    <col min="2" max="2" width="7.28515625" bestFit="1" customWidth="1"/>
    <col min="3" max="3" width="12" bestFit="1" customWidth="1"/>
    <col min="4" max="4" width="17.28515625" bestFit="1" customWidth="1"/>
    <col min="5" max="5" width="12.85546875" bestFit="1" customWidth="1"/>
    <col min="6" max="7" width="12" bestFit="1" customWidth="1"/>
    <col min="8" max="8" width="17.5703125" bestFit="1" customWidth="1"/>
    <col min="9" max="16384" width="11.42578125" style="11"/>
  </cols>
  <sheetData>
    <row r="1" spans="1:8" s="10" customFormat="1" x14ac:dyDescent="0.25">
      <c r="A1" s="1" t="s">
        <v>86</v>
      </c>
      <c r="B1" s="1" t="s">
        <v>2</v>
      </c>
      <c r="C1" s="1" t="s">
        <v>3</v>
      </c>
      <c r="D1" s="1" t="s">
        <v>98</v>
      </c>
      <c r="E1" s="1" t="s">
        <v>16</v>
      </c>
      <c r="F1" s="1" t="s">
        <v>49</v>
      </c>
      <c r="G1" s="1" t="s">
        <v>53</v>
      </c>
      <c r="H1" s="1" t="s">
        <v>55</v>
      </c>
    </row>
    <row r="2" spans="1:8" x14ac:dyDescent="0.25">
      <c r="A2" s="6" t="s">
        <v>106</v>
      </c>
      <c r="B2" s="6">
        <v>2025</v>
      </c>
      <c r="C2" s="6" t="s">
        <v>7</v>
      </c>
      <c r="D2" s="6" t="s">
        <v>99</v>
      </c>
      <c r="E2" s="6" t="s">
        <v>102</v>
      </c>
      <c r="F2" s="6">
        <f>GWP_LCA_results!G37</f>
        <v>0.108801769692105</v>
      </c>
      <c r="G2" s="6">
        <f>GWP_LCA_results!G47</f>
        <v>11.014117549437014</v>
      </c>
      <c r="H2" s="6">
        <f>F2+G2</f>
        <v>11.122919319129119</v>
      </c>
    </row>
    <row r="3" spans="1:8" x14ac:dyDescent="0.25">
      <c r="A3" s="6" t="s">
        <v>106</v>
      </c>
      <c r="B3" s="6">
        <v>2025</v>
      </c>
      <c r="C3" s="6" t="s">
        <v>8</v>
      </c>
      <c r="D3" s="6" t="s">
        <v>99</v>
      </c>
      <c r="E3" s="6" t="s">
        <v>102</v>
      </c>
      <c r="F3" s="6">
        <f>GWP_LCA_results!G68</f>
        <v>0.96646219204725781</v>
      </c>
      <c r="G3" s="6">
        <f>GWP_LCA_results!G78</f>
        <v>4.277874819378467</v>
      </c>
      <c r="H3" s="6">
        <f>F3+G3</f>
        <v>5.2443370114257251</v>
      </c>
    </row>
    <row r="4" spans="1:8" hidden="1" x14ac:dyDescent="0.25">
      <c r="A4" s="6" t="s">
        <v>106</v>
      </c>
      <c r="B4" s="6">
        <v>2025</v>
      </c>
      <c r="C4" s="6" t="s">
        <v>14</v>
      </c>
      <c r="D4" s="6" t="s">
        <v>99</v>
      </c>
      <c r="E4" s="6" t="s">
        <v>102</v>
      </c>
      <c r="F4" s="6"/>
      <c r="G4" s="6"/>
      <c r="H4" s="6">
        <f t="shared" ref="H3:H72" si="0">F4+G4</f>
        <v>0</v>
      </c>
    </row>
    <row r="5" spans="1:8" hidden="1" x14ac:dyDescent="0.25">
      <c r="A5" s="6" t="s">
        <v>106</v>
      </c>
      <c r="B5" s="6">
        <v>2025</v>
      </c>
      <c r="C5" s="6" t="s">
        <v>13</v>
      </c>
      <c r="D5" s="6" t="s">
        <v>99</v>
      </c>
      <c r="E5" s="6" t="s">
        <v>102</v>
      </c>
      <c r="F5" s="6"/>
      <c r="G5" s="6"/>
      <c r="H5" s="6">
        <f>GWP_LCA_results!G98</f>
        <v>15.2470599529707</v>
      </c>
    </row>
    <row r="6" spans="1:8" hidden="1" x14ac:dyDescent="0.25">
      <c r="A6" s="6" t="s">
        <v>106</v>
      </c>
      <c r="B6" s="6">
        <v>2025</v>
      </c>
      <c r="C6" s="6" t="s">
        <v>12</v>
      </c>
      <c r="D6" s="6" t="s">
        <v>99</v>
      </c>
      <c r="E6" s="6" t="s">
        <v>102</v>
      </c>
      <c r="F6" s="6"/>
      <c r="G6" s="6"/>
      <c r="H6" s="6">
        <f>GWP_LCA_results!G103</f>
        <v>49.035825056430063</v>
      </c>
    </row>
    <row r="7" spans="1:8" x14ac:dyDescent="0.25">
      <c r="A7" s="6" t="s">
        <v>106</v>
      </c>
      <c r="B7" s="6">
        <v>2025</v>
      </c>
      <c r="C7" s="6" t="s">
        <v>9</v>
      </c>
      <c r="D7" s="6" t="s">
        <v>99</v>
      </c>
      <c r="E7" s="6" t="s">
        <v>102</v>
      </c>
      <c r="F7" s="6">
        <f>GWP_LCA_results!G113</f>
        <v>0.63772813833659914</v>
      </c>
      <c r="G7" s="6">
        <f>GWP_LCA_results!G123</f>
        <v>14.93170638533153</v>
      </c>
      <c r="H7" s="6">
        <f t="shared" ref="H7:H9" si="1">F7+G7</f>
        <v>15.569434523668129</v>
      </c>
    </row>
    <row r="8" spans="1:8" x14ac:dyDescent="0.25">
      <c r="A8" s="6" t="s">
        <v>106</v>
      </c>
      <c r="B8" s="6">
        <v>2025</v>
      </c>
      <c r="C8" s="6" t="s">
        <v>7</v>
      </c>
      <c r="D8" s="6" t="s">
        <v>100</v>
      </c>
      <c r="E8" s="6" t="s">
        <v>103</v>
      </c>
      <c r="F8" s="6"/>
      <c r="G8" s="6"/>
      <c r="H8" s="6">
        <f t="shared" si="1"/>
        <v>0</v>
      </c>
    </row>
    <row r="9" spans="1:8" x14ac:dyDescent="0.25">
      <c r="A9" s="6" t="s">
        <v>106</v>
      </c>
      <c r="B9" s="6">
        <v>2025</v>
      </c>
      <c r="C9" s="6" t="s">
        <v>8</v>
      </c>
      <c r="D9" s="6" t="s">
        <v>100</v>
      </c>
      <c r="E9" s="6" t="s">
        <v>103</v>
      </c>
      <c r="F9" s="6"/>
      <c r="G9" s="6"/>
      <c r="H9" s="6">
        <f t="shared" si="1"/>
        <v>0</v>
      </c>
    </row>
    <row r="10" spans="1:8" hidden="1" x14ac:dyDescent="0.25">
      <c r="A10" s="6" t="s">
        <v>106</v>
      </c>
      <c r="B10" s="6">
        <v>2025</v>
      </c>
      <c r="C10" s="6" t="s">
        <v>14</v>
      </c>
      <c r="D10" s="6" t="s">
        <v>100</v>
      </c>
      <c r="E10" s="6" t="s">
        <v>103</v>
      </c>
      <c r="F10" s="6"/>
      <c r="G10" s="6"/>
      <c r="H10" s="6">
        <f t="shared" si="0"/>
        <v>0</v>
      </c>
    </row>
    <row r="11" spans="1:8" hidden="1" x14ac:dyDescent="0.25">
      <c r="A11" s="6" t="s">
        <v>106</v>
      </c>
      <c r="B11" s="6">
        <v>2025</v>
      </c>
      <c r="C11" s="6" t="s">
        <v>13</v>
      </c>
      <c r="D11" s="6" t="s">
        <v>100</v>
      </c>
      <c r="E11" s="6" t="s">
        <v>103</v>
      </c>
      <c r="F11" s="6"/>
      <c r="G11" s="6"/>
      <c r="H11" s="6">
        <f t="shared" si="0"/>
        <v>0</v>
      </c>
    </row>
    <row r="12" spans="1:8" hidden="1" x14ac:dyDescent="0.25">
      <c r="A12" s="6" t="s">
        <v>106</v>
      </c>
      <c r="B12" s="6">
        <v>2025</v>
      </c>
      <c r="C12" s="6" t="s">
        <v>12</v>
      </c>
      <c r="D12" s="6" t="s">
        <v>100</v>
      </c>
      <c r="E12" s="6" t="s">
        <v>103</v>
      </c>
      <c r="F12" s="6"/>
      <c r="G12" s="6"/>
      <c r="H12" s="6">
        <f t="shared" si="0"/>
        <v>0</v>
      </c>
    </row>
    <row r="13" spans="1:8" x14ac:dyDescent="0.25">
      <c r="A13" s="6" t="s">
        <v>106</v>
      </c>
      <c r="B13" s="6">
        <v>2025</v>
      </c>
      <c r="C13" s="6" t="s">
        <v>9</v>
      </c>
      <c r="D13" s="6" t="s">
        <v>100</v>
      </c>
      <c r="E13" s="6" t="s">
        <v>103</v>
      </c>
      <c r="F13" s="6"/>
      <c r="G13" s="6"/>
      <c r="H13" s="6">
        <f t="shared" si="0"/>
        <v>0</v>
      </c>
    </row>
    <row r="14" spans="1:8" x14ac:dyDescent="0.25">
      <c r="A14" s="6" t="s">
        <v>106</v>
      </c>
      <c r="B14" s="6">
        <v>2025</v>
      </c>
      <c r="C14" s="6" t="s">
        <v>7</v>
      </c>
      <c r="D14" s="6" t="s">
        <v>101</v>
      </c>
      <c r="E14" s="6" t="s">
        <v>104</v>
      </c>
      <c r="F14" s="6"/>
      <c r="G14" s="6"/>
      <c r="H14" s="6">
        <f t="shared" si="0"/>
        <v>0</v>
      </c>
    </row>
    <row r="15" spans="1:8" x14ac:dyDescent="0.25">
      <c r="A15" s="6" t="s">
        <v>106</v>
      </c>
      <c r="B15" s="6">
        <v>2025</v>
      </c>
      <c r="C15" s="6" t="s">
        <v>8</v>
      </c>
      <c r="D15" s="6" t="s">
        <v>101</v>
      </c>
      <c r="E15" s="6" t="s">
        <v>104</v>
      </c>
      <c r="F15" s="6"/>
      <c r="G15" s="6"/>
      <c r="H15" s="6">
        <f t="shared" si="0"/>
        <v>0</v>
      </c>
    </row>
    <row r="16" spans="1:8" hidden="1" x14ac:dyDescent="0.25">
      <c r="A16" s="6" t="s">
        <v>106</v>
      </c>
      <c r="B16" s="6">
        <v>2025</v>
      </c>
      <c r="C16" s="6" t="s">
        <v>14</v>
      </c>
      <c r="D16" s="6" t="s">
        <v>101</v>
      </c>
      <c r="E16" s="6" t="s">
        <v>104</v>
      </c>
      <c r="F16" s="6"/>
      <c r="G16" s="6"/>
      <c r="H16" s="6">
        <f t="shared" si="0"/>
        <v>0</v>
      </c>
    </row>
    <row r="17" spans="1:8" hidden="1" x14ac:dyDescent="0.25">
      <c r="A17" s="6" t="s">
        <v>106</v>
      </c>
      <c r="B17" s="6">
        <v>2025</v>
      </c>
      <c r="C17" s="6" t="s">
        <v>13</v>
      </c>
      <c r="D17" s="6" t="s">
        <v>101</v>
      </c>
      <c r="E17" s="6" t="s">
        <v>104</v>
      </c>
      <c r="F17" s="6"/>
      <c r="G17" s="6"/>
      <c r="H17" s="6">
        <f t="shared" si="0"/>
        <v>0</v>
      </c>
    </row>
    <row r="18" spans="1:8" hidden="1" x14ac:dyDescent="0.25">
      <c r="A18" s="6" t="s">
        <v>106</v>
      </c>
      <c r="B18" s="6">
        <v>2025</v>
      </c>
      <c r="C18" s="6" t="s">
        <v>12</v>
      </c>
      <c r="D18" s="6" t="s">
        <v>101</v>
      </c>
      <c r="E18" s="6" t="s">
        <v>104</v>
      </c>
      <c r="F18" s="6"/>
      <c r="G18" s="6"/>
      <c r="H18" s="6">
        <f t="shared" si="0"/>
        <v>0</v>
      </c>
    </row>
    <row r="19" spans="1:8" x14ac:dyDescent="0.25">
      <c r="A19" s="6" t="s">
        <v>106</v>
      </c>
      <c r="B19" s="6">
        <v>2025</v>
      </c>
      <c r="C19" s="6" t="s">
        <v>9</v>
      </c>
      <c r="D19" s="6" t="s">
        <v>101</v>
      </c>
      <c r="E19" s="6" t="s">
        <v>104</v>
      </c>
      <c r="F19" s="6"/>
      <c r="G19" s="6"/>
      <c r="H19" s="6">
        <f t="shared" si="0"/>
        <v>0</v>
      </c>
    </row>
    <row r="20" spans="1:8" x14ac:dyDescent="0.25">
      <c r="A20" s="7" t="s">
        <v>107</v>
      </c>
      <c r="B20" s="7">
        <v>2025</v>
      </c>
      <c r="C20" s="7" t="s">
        <v>7</v>
      </c>
      <c r="D20" s="7" t="s">
        <v>99</v>
      </c>
      <c r="E20" s="7" t="s">
        <v>102</v>
      </c>
      <c r="F20" s="7">
        <f>GWP_LCA_results!G33</f>
        <v>3.4790589935713927E-2</v>
      </c>
      <c r="G20" s="7">
        <f>GWP_LCA_results!G48</f>
        <v>10.841424597750828</v>
      </c>
      <c r="H20" s="6">
        <f t="shared" si="0"/>
        <v>10.876215187686542</v>
      </c>
    </row>
    <row r="21" spans="1:8" x14ac:dyDescent="0.25">
      <c r="A21" s="7" t="s">
        <v>107</v>
      </c>
      <c r="B21" s="7">
        <v>2025</v>
      </c>
      <c r="C21" s="7" t="s">
        <v>8</v>
      </c>
      <c r="D21" s="7" t="s">
        <v>99</v>
      </c>
      <c r="E21" s="7" t="s">
        <v>102</v>
      </c>
      <c r="F21" s="7">
        <f>GWP_LCA_results!G63</f>
        <v>0.95853164076924013</v>
      </c>
      <c r="G21" s="7">
        <f>GWP_LCA_results!G78</f>
        <v>4.277874819378467</v>
      </c>
      <c r="H21" s="6">
        <f t="shared" si="0"/>
        <v>5.2364064601477072</v>
      </c>
    </row>
    <row r="22" spans="1:8" hidden="1" x14ac:dyDescent="0.25">
      <c r="A22" s="7" t="s">
        <v>107</v>
      </c>
      <c r="B22" s="7">
        <v>2025</v>
      </c>
      <c r="C22" s="7" t="s">
        <v>14</v>
      </c>
      <c r="D22" s="7" t="s">
        <v>99</v>
      </c>
      <c r="E22" s="7" t="s">
        <v>102</v>
      </c>
      <c r="F22" s="7"/>
      <c r="G22" s="7"/>
      <c r="H22" s="7">
        <f t="shared" si="0"/>
        <v>0</v>
      </c>
    </row>
    <row r="23" spans="1:8" hidden="1" x14ac:dyDescent="0.25">
      <c r="A23" s="7" t="s">
        <v>107</v>
      </c>
      <c r="B23" s="7">
        <v>2025</v>
      </c>
      <c r="C23" s="7" t="s">
        <v>13</v>
      </c>
      <c r="D23" s="7" t="s">
        <v>99</v>
      </c>
      <c r="E23" s="7" t="s">
        <v>102</v>
      </c>
      <c r="F23" s="7"/>
      <c r="G23" s="7"/>
      <c r="H23" s="7">
        <f>GWP_LCA_results!G93</f>
        <v>5.0197176478844758</v>
      </c>
    </row>
    <row r="24" spans="1:8" hidden="1" x14ac:dyDescent="0.25">
      <c r="A24" s="7" t="s">
        <v>107</v>
      </c>
      <c r="B24" s="7">
        <v>2025</v>
      </c>
      <c r="C24" s="7" t="s">
        <v>12</v>
      </c>
      <c r="D24" s="7" t="s">
        <v>99</v>
      </c>
      <c r="E24" s="7" t="s">
        <v>102</v>
      </c>
      <c r="F24" s="7"/>
      <c r="G24" s="7"/>
      <c r="H24" s="7">
        <f t="shared" si="0"/>
        <v>0</v>
      </c>
    </row>
    <row r="25" spans="1:8" x14ac:dyDescent="0.25">
      <c r="A25" s="7" t="s">
        <v>107</v>
      </c>
      <c r="B25" s="7">
        <v>2025</v>
      </c>
      <c r="C25" s="7" t="s">
        <v>9</v>
      </c>
      <c r="D25" s="7" t="s">
        <v>99</v>
      </c>
      <c r="E25" s="7" t="s">
        <v>102</v>
      </c>
      <c r="F25" s="7">
        <f>GWP_LCA_results!G108</f>
        <v>0.50044849607856146</v>
      </c>
      <c r="G25" s="7">
        <f>GWP_LCA_results!G123</f>
        <v>14.93170638533153</v>
      </c>
      <c r="H25" s="6">
        <f t="shared" si="0"/>
        <v>15.432154881410092</v>
      </c>
    </row>
    <row r="26" spans="1:8" x14ac:dyDescent="0.25">
      <c r="A26" s="7" t="s">
        <v>107</v>
      </c>
      <c r="B26" s="7">
        <v>2025</v>
      </c>
      <c r="C26" s="7" t="s">
        <v>7</v>
      </c>
      <c r="D26" s="7" t="s">
        <v>100</v>
      </c>
      <c r="E26" s="7" t="s">
        <v>103</v>
      </c>
      <c r="F26" s="7"/>
      <c r="G26" s="7"/>
      <c r="H26" s="6">
        <f t="shared" si="0"/>
        <v>0</v>
      </c>
    </row>
    <row r="27" spans="1:8" x14ac:dyDescent="0.25">
      <c r="A27" s="7" t="s">
        <v>107</v>
      </c>
      <c r="B27" s="7">
        <v>2025</v>
      </c>
      <c r="C27" s="7" t="s">
        <v>8</v>
      </c>
      <c r="D27" s="7" t="s">
        <v>100</v>
      </c>
      <c r="E27" s="7" t="s">
        <v>103</v>
      </c>
      <c r="F27" s="7"/>
      <c r="G27" s="7"/>
      <c r="H27" s="6">
        <f t="shared" si="0"/>
        <v>0</v>
      </c>
    </row>
    <row r="28" spans="1:8" hidden="1" x14ac:dyDescent="0.25">
      <c r="A28" s="7" t="s">
        <v>107</v>
      </c>
      <c r="B28" s="7">
        <v>2025</v>
      </c>
      <c r="C28" s="7" t="s">
        <v>14</v>
      </c>
      <c r="D28" s="7" t="s">
        <v>100</v>
      </c>
      <c r="E28" s="7" t="s">
        <v>103</v>
      </c>
      <c r="F28" s="7"/>
      <c r="G28" s="7"/>
      <c r="H28" s="7">
        <f t="shared" si="0"/>
        <v>0</v>
      </c>
    </row>
    <row r="29" spans="1:8" hidden="1" x14ac:dyDescent="0.25">
      <c r="A29" s="7" t="s">
        <v>107</v>
      </c>
      <c r="B29" s="7">
        <v>2025</v>
      </c>
      <c r="C29" s="7" t="s">
        <v>13</v>
      </c>
      <c r="D29" s="7" t="s">
        <v>100</v>
      </c>
      <c r="E29" s="7" t="s">
        <v>103</v>
      </c>
      <c r="F29" s="7"/>
      <c r="G29" s="7"/>
      <c r="H29" s="7">
        <f t="shared" si="0"/>
        <v>0</v>
      </c>
    </row>
    <row r="30" spans="1:8" hidden="1" x14ac:dyDescent="0.25">
      <c r="A30" s="7" t="s">
        <v>107</v>
      </c>
      <c r="B30" s="7">
        <v>2025</v>
      </c>
      <c r="C30" s="7" t="s">
        <v>12</v>
      </c>
      <c r="D30" s="7" t="s">
        <v>100</v>
      </c>
      <c r="E30" s="7" t="s">
        <v>103</v>
      </c>
      <c r="F30" s="7"/>
      <c r="G30" s="7"/>
      <c r="H30" s="7">
        <f t="shared" si="0"/>
        <v>0</v>
      </c>
    </row>
    <row r="31" spans="1:8" x14ac:dyDescent="0.25">
      <c r="A31" s="7" t="s">
        <v>107</v>
      </c>
      <c r="B31" s="7">
        <v>2025</v>
      </c>
      <c r="C31" s="7" t="s">
        <v>9</v>
      </c>
      <c r="D31" s="7" t="s">
        <v>100</v>
      </c>
      <c r="E31" s="7" t="s">
        <v>103</v>
      </c>
      <c r="F31" s="7"/>
      <c r="G31" s="7"/>
      <c r="H31" s="6">
        <f t="shared" si="0"/>
        <v>0</v>
      </c>
    </row>
    <row r="32" spans="1:8" x14ac:dyDescent="0.25">
      <c r="A32" s="7" t="s">
        <v>107</v>
      </c>
      <c r="B32" s="7">
        <v>2025</v>
      </c>
      <c r="C32" s="7" t="s">
        <v>7</v>
      </c>
      <c r="D32" s="7" t="s">
        <v>101</v>
      </c>
      <c r="E32" s="7" t="s">
        <v>104</v>
      </c>
      <c r="F32" s="7"/>
      <c r="G32" s="7"/>
      <c r="H32" s="6">
        <f t="shared" si="0"/>
        <v>0</v>
      </c>
    </row>
    <row r="33" spans="1:8" x14ac:dyDescent="0.25">
      <c r="A33" s="7" t="s">
        <v>107</v>
      </c>
      <c r="B33" s="7">
        <v>2025</v>
      </c>
      <c r="C33" s="7" t="s">
        <v>8</v>
      </c>
      <c r="D33" s="7" t="s">
        <v>101</v>
      </c>
      <c r="E33" s="7" t="s">
        <v>104</v>
      </c>
      <c r="F33" s="7"/>
      <c r="G33" s="7"/>
      <c r="H33" s="6">
        <f t="shared" si="0"/>
        <v>0</v>
      </c>
    </row>
    <row r="34" spans="1:8" hidden="1" x14ac:dyDescent="0.25">
      <c r="A34" s="7" t="s">
        <v>107</v>
      </c>
      <c r="B34" s="7">
        <v>2025</v>
      </c>
      <c r="C34" s="7" t="s">
        <v>14</v>
      </c>
      <c r="D34" s="7" t="s">
        <v>101</v>
      </c>
      <c r="E34" s="7" t="s">
        <v>104</v>
      </c>
      <c r="F34" s="7"/>
      <c r="G34" s="7"/>
      <c r="H34" s="7">
        <f t="shared" si="0"/>
        <v>0</v>
      </c>
    </row>
    <row r="35" spans="1:8" hidden="1" x14ac:dyDescent="0.25">
      <c r="A35" s="7" t="s">
        <v>107</v>
      </c>
      <c r="B35" s="7">
        <v>2025</v>
      </c>
      <c r="C35" s="7" t="s">
        <v>13</v>
      </c>
      <c r="D35" s="7" t="s">
        <v>101</v>
      </c>
      <c r="E35" s="7" t="s">
        <v>104</v>
      </c>
      <c r="F35" s="7"/>
      <c r="G35" s="7"/>
      <c r="H35" s="7">
        <f t="shared" si="0"/>
        <v>0</v>
      </c>
    </row>
    <row r="36" spans="1:8" hidden="1" x14ac:dyDescent="0.25">
      <c r="A36" s="7" t="s">
        <v>107</v>
      </c>
      <c r="B36" s="7">
        <v>2025</v>
      </c>
      <c r="C36" s="7" t="s">
        <v>12</v>
      </c>
      <c r="D36" s="7" t="s">
        <v>101</v>
      </c>
      <c r="E36" s="7" t="s">
        <v>104</v>
      </c>
      <c r="F36" s="7"/>
      <c r="G36" s="7"/>
      <c r="H36" s="7">
        <f t="shared" si="0"/>
        <v>0</v>
      </c>
    </row>
    <row r="37" spans="1:8" x14ac:dyDescent="0.25">
      <c r="A37" s="7" t="s">
        <v>107</v>
      </c>
      <c r="B37" s="7">
        <v>2025</v>
      </c>
      <c r="C37" s="7" t="s">
        <v>9</v>
      </c>
      <c r="D37" s="7" t="s">
        <v>101</v>
      </c>
      <c r="E37" s="7" t="s">
        <v>104</v>
      </c>
      <c r="F37" s="7"/>
      <c r="G37" s="7"/>
      <c r="H37" s="6">
        <f t="shared" si="0"/>
        <v>0</v>
      </c>
    </row>
    <row r="38" spans="1:8" x14ac:dyDescent="0.25">
      <c r="A38" s="8" t="s">
        <v>108</v>
      </c>
      <c r="B38" s="8">
        <v>2025</v>
      </c>
      <c r="C38" s="8" t="s">
        <v>7</v>
      </c>
      <c r="D38" s="8" t="s">
        <v>99</v>
      </c>
      <c r="E38" s="8" t="s">
        <v>102</v>
      </c>
      <c r="F38" s="8">
        <f>GWP_LCA_results!G38</f>
        <v>0.12755567757005101</v>
      </c>
      <c r="G38" s="8">
        <f>GWP_LCA_results!G43</f>
        <v>10.263995665860516</v>
      </c>
      <c r="H38" s="6">
        <f t="shared" si="0"/>
        <v>10.391551343430567</v>
      </c>
    </row>
    <row r="39" spans="1:8" x14ac:dyDescent="0.25">
      <c r="A39" s="8" t="s">
        <v>108</v>
      </c>
      <c r="B39" s="8">
        <v>2025</v>
      </c>
      <c r="C39" s="8" t="s">
        <v>8</v>
      </c>
      <c r="D39" s="8" t="s">
        <v>99</v>
      </c>
      <c r="E39" s="8" t="s">
        <v>102</v>
      </c>
      <c r="F39" s="8">
        <f>GWP_LCA_results!G68</f>
        <v>0.96646219204725781</v>
      </c>
      <c r="G39" s="8">
        <f>GWP_LCA_results!G73</f>
        <v>3.3081251156863836</v>
      </c>
      <c r="H39" s="6">
        <f t="shared" si="0"/>
        <v>4.2745873077336416</v>
      </c>
    </row>
    <row r="40" spans="1:8" hidden="1" x14ac:dyDescent="0.25">
      <c r="A40" s="8" t="s">
        <v>108</v>
      </c>
      <c r="B40" s="8">
        <v>2025</v>
      </c>
      <c r="C40" s="8" t="s">
        <v>14</v>
      </c>
      <c r="D40" s="8" t="s">
        <v>99</v>
      </c>
      <c r="E40" s="8" t="s">
        <v>102</v>
      </c>
      <c r="F40" s="8"/>
      <c r="G40" s="8"/>
      <c r="H40" s="8">
        <f t="shared" si="0"/>
        <v>0</v>
      </c>
    </row>
    <row r="41" spans="1:8" hidden="1" x14ac:dyDescent="0.25">
      <c r="A41" s="8" t="s">
        <v>108</v>
      </c>
      <c r="B41" s="8">
        <v>2025</v>
      </c>
      <c r="C41" s="8" t="s">
        <v>13</v>
      </c>
      <c r="D41" s="8" t="s">
        <v>99</v>
      </c>
      <c r="E41" s="8" t="s">
        <v>102</v>
      </c>
      <c r="F41" s="8"/>
      <c r="G41" s="8"/>
      <c r="H41" s="8">
        <f t="shared" si="0"/>
        <v>0</v>
      </c>
    </row>
    <row r="42" spans="1:8" hidden="1" x14ac:dyDescent="0.25">
      <c r="A42" s="8" t="s">
        <v>108</v>
      </c>
      <c r="B42" s="8">
        <v>2025</v>
      </c>
      <c r="C42" s="8" t="s">
        <v>12</v>
      </c>
      <c r="D42" s="8" t="s">
        <v>99</v>
      </c>
      <c r="E42" s="8" t="s">
        <v>102</v>
      </c>
      <c r="F42" s="8"/>
      <c r="G42" s="8"/>
      <c r="H42" s="8">
        <f t="shared" si="0"/>
        <v>0</v>
      </c>
    </row>
    <row r="43" spans="1:8" x14ac:dyDescent="0.25">
      <c r="A43" s="8" t="s">
        <v>108</v>
      </c>
      <c r="B43" s="8">
        <v>2025</v>
      </c>
      <c r="C43" s="8" t="s">
        <v>9</v>
      </c>
      <c r="D43" s="8" t="s">
        <v>99</v>
      </c>
      <c r="E43" s="8" t="s">
        <v>102</v>
      </c>
      <c r="F43" s="8">
        <f>GWP_LCA_results!G113</f>
        <v>0.63772813833659914</v>
      </c>
      <c r="G43" s="8">
        <f>GWP_LCA_results!G118</f>
        <v>4.1153045167114879</v>
      </c>
      <c r="H43" s="6">
        <f t="shared" si="0"/>
        <v>4.753032655048087</v>
      </c>
    </row>
    <row r="44" spans="1:8" x14ac:dyDescent="0.25">
      <c r="A44" s="8" t="s">
        <v>108</v>
      </c>
      <c r="B44" s="8">
        <v>2025</v>
      </c>
      <c r="C44" s="8" t="s">
        <v>7</v>
      </c>
      <c r="D44" s="8" t="s">
        <v>100</v>
      </c>
      <c r="E44" s="8" t="s">
        <v>103</v>
      </c>
      <c r="F44" s="8"/>
      <c r="G44" s="8"/>
      <c r="H44" s="6">
        <f t="shared" si="0"/>
        <v>0</v>
      </c>
    </row>
    <row r="45" spans="1:8" x14ac:dyDescent="0.25">
      <c r="A45" s="8" t="s">
        <v>108</v>
      </c>
      <c r="B45" s="8">
        <v>2025</v>
      </c>
      <c r="C45" s="8" t="s">
        <v>8</v>
      </c>
      <c r="D45" s="8" t="s">
        <v>100</v>
      </c>
      <c r="E45" s="8" t="s">
        <v>103</v>
      </c>
      <c r="F45" s="8"/>
      <c r="G45" s="8"/>
      <c r="H45" s="6">
        <f t="shared" si="0"/>
        <v>0</v>
      </c>
    </row>
    <row r="46" spans="1:8" hidden="1" x14ac:dyDescent="0.25">
      <c r="A46" s="8" t="s">
        <v>108</v>
      </c>
      <c r="B46" s="8">
        <v>2025</v>
      </c>
      <c r="C46" s="8" t="s">
        <v>14</v>
      </c>
      <c r="D46" s="8" t="s">
        <v>100</v>
      </c>
      <c r="E46" s="8" t="s">
        <v>103</v>
      </c>
      <c r="F46" s="8"/>
      <c r="G46" s="8"/>
      <c r="H46" s="8">
        <f t="shared" si="0"/>
        <v>0</v>
      </c>
    </row>
    <row r="47" spans="1:8" hidden="1" x14ac:dyDescent="0.25">
      <c r="A47" s="8" t="s">
        <v>108</v>
      </c>
      <c r="B47" s="8">
        <v>2025</v>
      </c>
      <c r="C47" s="8" t="s">
        <v>13</v>
      </c>
      <c r="D47" s="8" t="s">
        <v>100</v>
      </c>
      <c r="E47" s="8" t="s">
        <v>103</v>
      </c>
      <c r="F47" s="8"/>
      <c r="G47" s="8"/>
      <c r="H47" s="8">
        <f t="shared" si="0"/>
        <v>0</v>
      </c>
    </row>
    <row r="48" spans="1:8" hidden="1" x14ac:dyDescent="0.25">
      <c r="A48" s="8" t="s">
        <v>108</v>
      </c>
      <c r="B48" s="8">
        <v>2025</v>
      </c>
      <c r="C48" s="8" t="s">
        <v>12</v>
      </c>
      <c r="D48" s="8" t="s">
        <v>100</v>
      </c>
      <c r="E48" s="8" t="s">
        <v>103</v>
      </c>
      <c r="F48" s="8"/>
      <c r="G48" s="8"/>
      <c r="H48" s="8">
        <f t="shared" si="0"/>
        <v>0</v>
      </c>
    </row>
    <row r="49" spans="1:8" x14ac:dyDescent="0.25">
      <c r="A49" s="8" t="s">
        <v>108</v>
      </c>
      <c r="B49" s="8">
        <v>2025</v>
      </c>
      <c r="C49" s="8" t="s">
        <v>9</v>
      </c>
      <c r="D49" s="8" t="s">
        <v>100</v>
      </c>
      <c r="E49" s="8" t="s">
        <v>103</v>
      </c>
      <c r="F49" s="8"/>
      <c r="G49" s="8"/>
      <c r="H49" s="6">
        <f t="shared" si="0"/>
        <v>0</v>
      </c>
    </row>
    <row r="50" spans="1:8" x14ac:dyDescent="0.25">
      <c r="A50" s="8" t="s">
        <v>108</v>
      </c>
      <c r="B50" s="8">
        <v>2025</v>
      </c>
      <c r="C50" s="8" t="s">
        <v>7</v>
      </c>
      <c r="D50" s="8" t="s">
        <v>101</v>
      </c>
      <c r="E50" s="8" t="s">
        <v>104</v>
      </c>
      <c r="F50" s="8"/>
      <c r="G50" s="8"/>
      <c r="H50" s="6">
        <f t="shared" si="0"/>
        <v>0</v>
      </c>
    </row>
    <row r="51" spans="1:8" x14ac:dyDescent="0.25">
      <c r="A51" s="8" t="s">
        <v>108</v>
      </c>
      <c r="B51" s="8">
        <v>2025</v>
      </c>
      <c r="C51" s="8" t="s">
        <v>8</v>
      </c>
      <c r="D51" s="8" t="s">
        <v>101</v>
      </c>
      <c r="E51" s="8" t="s">
        <v>104</v>
      </c>
      <c r="F51" s="8"/>
      <c r="G51" s="8"/>
      <c r="H51" s="6">
        <f t="shared" si="0"/>
        <v>0</v>
      </c>
    </row>
    <row r="52" spans="1:8" hidden="1" x14ac:dyDescent="0.25">
      <c r="A52" s="8" t="s">
        <v>108</v>
      </c>
      <c r="B52" s="8">
        <v>2025</v>
      </c>
      <c r="C52" s="8" t="s">
        <v>14</v>
      </c>
      <c r="D52" s="8" t="s">
        <v>101</v>
      </c>
      <c r="E52" s="8" t="s">
        <v>104</v>
      </c>
      <c r="F52" s="8"/>
      <c r="G52" s="8"/>
      <c r="H52" s="8">
        <f t="shared" si="0"/>
        <v>0</v>
      </c>
    </row>
    <row r="53" spans="1:8" hidden="1" x14ac:dyDescent="0.25">
      <c r="A53" s="8" t="s">
        <v>108</v>
      </c>
      <c r="B53" s="8">
        <v>2025</v>
      </c>
      <c r="C53" s="8" t="s">
        <v>13</v>
      </c>
      <c r="D53" s="8" t="s">
        <v>101</v>
      </c>
      <c r="E53" s="8" t="s">
        <v>104</v>
      </c>
      <c r="F53" s="8"/>
      <c r="G53" s="8"/>
      <c r="H53" s="8">
        <f t="shared" si="0"/>
        <v>0</v>
      </c>
    </row>
    <row r="54" spans="1:8" hidden="1" x14ac:dyDescent="0.25">
      <c r="A54" s="8" t="s">
        <v>108</v>
      </c>
      <c r="B54" s="8">
        <v>2025</v>
      </c>
      <c r="C54" s="8" t="s">
        <v>12</v>
      </c>
      <c r="D54" s="8" t="s">
        <v>101</v>
      </c>
      <c r="E54" s="8" t="s">
        <v>104</v>
      </c>
      <c r="F54" s="8"/>
      <c r="G54" s="8"/>
      <c r="H54" s="8">
        <f t="shared" si="0"/>
        <v>0</v>
      </c>
    </row>
    <row r="55" spans="1:8" x14ac:dyDescent="0.25">
      <c r="A55" s="8" t="s">
        <v>108</v>
      </c>
      <c r="B55" s="8">
        <v>2025</v>
      </c>
      <c r="C55" s="8" t="s">
        <v>9</v>
      </c>
      <c r="D55" s="8" t="s">
        <v>101</v>
      </c>
      <c r="E55" s="8" t="s">
        <v>104</v>
      </c>
      <c r="F55" s="8"/>
      <c r="G55" s="8"/>
      <c r="H55" s="6">
        <f t="shared" si="0"/>
        <v>0</v>
      </c>
    </row>
    <row r="56" spans="1:8" x14ac:dyDescent="0.25">
      <c r="A56" s="9" t="s">
        <v>109</v>
      </c>
      <c r="B56" s="9">
        <v>2025</v>
      </c>
      <c r="C56" s="9" t="s">
        <v>7</v>
      </c>
      <c r="D56" s="9" t="s">
        <v>99</v>
      </c>
      <c r="E56" s="9" t="s">
        <v>102</v>
      </c>
      <c r="F56" s="9">
        <f>GWP_LCA_results!G33</f>
        <v>3.4790589935713927E-2</v>
      </c>
      <c r="G56" s="9">
        <f>GWP_LCA_results!G43</f>
        <v>10.263995665860516</v>
      </c>
      <c r="H56" s="6">
        <f t="shared" si="0"/>
        <v>10.29878625579623</v>
      </c>
    </row>
    <row r="57" spans="1:8" x14ac:dyDescent="0.25">
      <c r="A57" s="9" t="s">
        <v>109</v>
      </c>
      <c r="B57" s="9">
        <v>2025</v>
      </c>
      <c r="C57" s="9" t="s">
        <v>8</v>
      </c>
      <c r="D57" s="9" t="s">
        <v>99</v>
      </c>
      <c r="E57" s="9" t="s">
        <v>102</v>
      </c>
      <c r="F57" s="9">
        <f>GWP_LCA_results!G63</f>
        <v>0.95853164076924013</v>
      </c>
      <c r="G57" s="9">
        <f>GWP_LCA_results!G73</f>
        <v>3.3081251156863836</v>
      </c>
      <c r="H57" s="6">
        <f t="shared" si="0"/>
        <v>4.2666567564556237</v>
      </c>
    </row>
    <row r="58" spans="1:8" hidden="1" x14ac:dyDescent="0.25">
      <c r="A58" s="9" t="s">
        <v>109</v>
      </c>
      <c r="B58" s="9">
        <v>2025</v>
      </c>
      <c r="C58" s="9" t="s">
        <v>14</v>
      </c>
      <c r="D58" s="9" t="s">
        <v>99</v>
      </c>
      <c r="E58" s="9" t="s">
        <v>102</v>
      </c>
      <c r="F58" s="9"/>
      <c r="G58" s="9"/>
      <c r="H58" s="9">
        <f t="shared" si="0"/>
        <v>0</v>
      </c>
    </row>
    <row r="59" spans="1:8" hidden="1" x14ac:dyDescent="0.25">
      <c r="A59" s="9" t="s">
        <v>109</v>
      </c>
      <c r="B59" s="9">
        <v>2025</v>
      </c>
      <c r="C59" s="9" t="s">
        <v>13</v>
      </c>
      <c r="D59" s="9" t="s">
        <v>99</v>
      </c>
      <c r="E59" s="9" t="s">
        <v>102</v>
      </c>
      <c r="F59" s="9"/>
      <c r="G59" s="9"/>
      <c r="H59" s="9">
        <f t="shared" si="0"/>
        <v>0</v>
      </c>
    </row>
    <row r="60" spans="1:8" hidden="1" x14ac:dyDescent="0.25">
      <c r="A60" s="9" t="s">
        <v>109</v>
      </c>
      <c r="B60" s="9">
        <v>2025</v>
      </c>
      <c r="C60" s="9" t="s">
        <v>12</v>
      </c>
      <c r="D60" s="9" t="s">
        <v>99</v>
      </c>
      <c r="E60" s="9" t="s">
        <v>102</v>
      </c>
      <c r="F60" s="9"/>
      <c r="G60" s="9"/>
      <c r="H60" s="9">
        <f t="shared" si="0"/>
        <v>0</v>
      </c>
    </row>
    <row r="61" spans="1:8" x14ac:dyDescent="0.25">
      <c r="A61" s="9" t="s">
        <v>109</v>
      </c>
      <c r="B61" s="9">
        <v>2025</v>
      </c>
      <c r="C61" s="9" t="s">
        <v>9</v>
      </c>
      <c r="D61" s="9" t="s">
        <v>99</v>
      </c>
      <c r="E61" s="9" t="s">
        <v>102</v>
      </c>
      <c r="F61" s="9">
        <f>GWP_LCA_results!G108</f>
        <v>0.50044849607856146</v>
      </c>
      <c r="G61" s="9">
        <f>GWP_LCA_results!G118</f>
        <v>4.1153045167114879</v>
      </c>
      <c r="H61" s="6">
        <f t="shared" si="0"/>
        <v>4.6157530127900497</v>
      </c>
    </row>
    <row r="62" spans="1:8" x14ac:dyDescent="0.25">
      <c r="A62" s="9" t="s">
        <v>109</v>
      </c>
      <c r="B62" s="9">
        <v>2025</v>
      </c>
      <c r="C62" s="9" t="s">
        <v>7</v>
      </c>
      <c r="D62" s="9" t="s">
        <v>100</v>
      </c>
      <c r="E62" s="9" t="s">
        <v>103</v>
      </c>
      <c r="F62" s="9"/>
      <c r="G62" s="9"/>
      <c r="H62" s="6">
        <f t="shared" si="0"/>
        <v>0</v>
      </c>
    </row>
    <row r="63" spans="1:8" x14ac:dyDescent="0.25">
      <c r="A63" s="9" t="s">
        <v>109</v>
      </c>
      <c r="B63" s="9">
        <v>2025</v>
      </c>
      <c r="C63" s="9" t="s">
        <v>8</v>
      </c>
      <c r="D63" s="9" t="s">
        <v>100</v>
      </c>
      <c r="E63" s="9" t="s">
        <v>103</v>
      </c>
      <c r="F63" s="9"/>
      <c r="G63" s="9"/>
      <c r="H63" s="6">
        <f t="shared" si="0"/>
        <v>0</v>
      </c>
    </row>
    <row r="64" spans="1:8" hidden="1" x14ac:dyDescent="0.25">
      <c r="A64" s="9" t="s">
        <v>109</v>
      </c>
      <c r="B64" s="9">
        <v>2025</v>
      </c>
      <c r="C64" s="9" t="s">
        <v>14</v>
      </c>
      <c r="D64" s="9" t="s">
        <v>100</v>
      </c>
      <c r="E64" s="9" t="s">
        <v>103</v>
      </c>
      <c r="F64" s="9"/>
      <c r="G64" s="9"/>
      <c r="H64" s="9">
        <f t="shared" si="0"/>
        <v>0</v>
      </c>
    </row>
    <row r="65" spans="1:8" hidden="1" x14ac:dyDescent="0.25">
      <c r="A65" s="9" t="s">
        <v>109</v>
      </c>
      <c r="B65" s="9">
        <v>2025</v>
      </c>
      <c r="C65" s="9" t="s">
        <v>13</v>
      </c>
      <c r="D65" s="9" t="s">
        <v>100</v>
      </c>
      <c r="E65" s="9" t="s">
        <v>103</v>
      </c>
      <c r="F65" s="9"/>
      <c r="G65" s="9"/>
      <c r="H65" s="9">
        <f t="shared" si="0"/>
        <v>0</v>
      </c>
    </row>
    <row r="66" spans="1:8" hidden="1" x14ac:dyDescent="0.25">
      <c r="A66" s="9" t="s">
        <v>109</v>
      </c>
      <c r="B66" s="9">
        <v>2025</v>
      </c>
      <c r="C66" s="9" t="s">
        <v>12</v>
      </c>
      <c r="D66" s="9" t="s">
        <v>100</v>
      </c>
      <c r="E66" s="9" t="s">
        <v>103</v>
      </c>
      <c r="F66" s="9"/>
      <c r="G66" s="9"/>
      <c r="H66" s="9">
        <f t="shared" si="0"/>
        <v>0</v>
      </c>
    </row>
    <row r="67" spans="1:8" x14ac:dyDescent="0.25">
      <c r="A67" s="9" t="s">
        <v>109</v>
      </c>
      <c r="B67" s="9">
        <v>2025</v>
      </c>
      <c r="C67" s="9" t="s">
        <v>9</v>
      </c>
      <c r="D67" s="9" t="s">
        <v>100</v>
      </c>
      <c r="E67" s="9" t="s">
        <v>103</v>
      </c>
      <c r="F67" s="9"/>
      <c r="G67" s="9"/>
      <c r="H67" s="6">
        <f t="shared" si="0"/>
        <v>0</v>
      </c>
    </row>
    <row r="68" spans="1:8" x14ac:dyDescent="0.25">
      <c r="A68" s="9" t="s">
        <v>109</v>
      </c>
      <c r="B68" s="9">
        <v>2025</v>
      </c>
      <c r="C68" s="9" t="s">
        <v>7</v>
      </c>
      <c r="D68" s="9" t="s">
        <v>101</v>
      </c>
      <c r="E68" s="9" t="s">
        <v>104</v>
      </c>
      <c r="F68" s="9"/>
      <c r="G68" s="9"/>
      <c r="H68" s="6">
        <f t="shared" si="0"/>
        <v>0</v>
      </c>
    </row>
    <row r="69" spans="1:8" x14ac:dyDescent="0.25">
      <c r="A69" s="9" t="s">
        <v>109</v>
      </c>
      <c r="B69" s="9">
        <v>2025</v>
      </c>
      <c r="C69" s="9" t="s">
        <v>8</v>
      </c>
      <c r="D69" s="9" t="s">
        <v>101</v>
      </c>
      <c r="E69" s="9" t="s">
        <v>104</v>
      </c>
      <c r="F69" s="9"/>
      <c r="G69" s="9"/>
      <c r="H69" s="6">
        <f t="shared" si="0"/>
        <v>0</v>
      </c>
    </row>
    <row r="70" spans="1:8" hidden="1" x14ac:dyDescent="0.25">
      <c r="A70" s="9" t="s">
        <v>109</v>
      </c>
      <c r="B70" s="9">
        <v>2025</v>
      </c>
      <c r="C70" s="9" t="s">
        <v>14</v>
      </c>
      <c r="D70" s="9" t="s">
        <v>101</v>
      </c>
      <c r="E70" s="9" t="s">
        <v>104</v>
      </c>
      <c r="F70" s="9"/>
      <c r="G70" s="9"/>
      <c r="H70" s="9">
        <f t="shared" si="0"/>
        <v>0</v>
      </c>
    </row>
    <row r="71" spans="1:8" hidden="1" x14ac:dyDescent="0.25">
      <c r="A71" s="9" t="s">
        <v>109</v>
      </c>
      <c r="B71" s="9">
        <v>2025</v>
      </c>
      <c r="C71" s="9" t="s">
        <v>13</v>
      </c>
      <c r="D71" s="9" t="s">
        <v>101</v>
      </c>
      <c r="E71" s="9" t="s">
        <v>104</v>
      </c>
      <c r="F71" s="9"/>
      <c r="G71" s="9"/>
      <c r="H71" s="9">
        <f t="shared" si="0"/>
        <v>0</v>
      </c>
    </row>
    <row r="72" spans="1:8" hidden="1" x14ac:dyDescent="0.25">
      <c r="A72" s="9" t="s">
        <v>109</v>
      </c>
      <c r="B72" s="9">
        <v>2025</v>
      </c>
      <c r="C72" s="9" t="s">
        <v>12</v>
      </c>
      <c r="D72" s="9" t="s">
        <v>101</v>
      </c>
      <c r="E72" s="9" t="s">
        <v>104</v>
      </c>
      <c r="F72" s="9"/>
      <c r="G72" s="9"/>
      <c r="H72" s="9">
        <f t="shared" si="0"/>
        <v>0</v>
      </c>
    </row>
    <row r="73" spans="1:8" x14ac:dyDescent="0.25">
      <c r="A73" s="9" t="s">
        <v>109</v>
      </c>
      <c r="B73" s="9">
        <v>2025</v>
      </c>
      <c r="C73" s="9" t="s">
        <v>9</v>
      </c>
      <c r="D73" s="9" t="s">
        <v>101</v>
      </c>
      <c r="E73" s="9" t="s">
        <v>104</v>
      </c>
      <c r="F73" s="9"/>
      <c r="G73" s="9"/>
      <c r="H73" s="6">
        <f t="shared" ref="H73:H75" si="2">F73+G73</f>
        <v>0</v>
      </c>
    </row>
    <row r="74" spans="1:8" x14ac:dyDescent="0.25">
      <c r="A74" s="6" t="s">
        <v>106</v>
      </c>
      <c r="B74" s="6">
        <v>2030</v>
      </c>
      <c r="C74" s="6" t="s">
        <v>7</v>
      </c>
      <c r="D74" s="6" t="s">
        <v>99</v>
      </c>
      <c r="E74" s="6" t="s">
        <v>102</v>
      </c>
      <c r="F74" s="6">
        <f>GWP_LCA_results!G34</f>
        <v>3.4392960186002082E-2</v>
      </c>
      <c r="G74" s="6">
        <f>GWP_LCA_results!G49</f>
        <v>10.492810663594851</v>
      </c>
      <c r="H74" s="6">
        <f t="shared" si="2"/>
        <v>10.527203623780853</v>
      </c>
    </row>
    <row r="75" spans="1:8" x14ac:dyDescent="0.25">
      <c r="A75" s="6" t="s">
        <v>106</v>
      </c>
      <c r="B75" s="6">
        <v>2030</v>
      </c>
      <c r="C75" s="6" t="s">
        <v>8</v>
      </c>
      <c r="D75" s="6" t="s">
        <v>99</v>
      </c>
      <c r="E75" s="6" t="s">
        <v>102</v>
      </c>
      <c r="F75" s="6">
        <f>GWP_LCA_results!G69</f>
        <v>0.90100416616042223</v>
      </c>
      <c r="G75" s="6">
        <f>GWP_LCA_results!G79</f>
        <v>3.8993023359944039</v>
      </c>
      <c r="H75" s="6">
        <f t="shared" si="2"/>
        <v>4.8003065021548261</v>
      </c>
    </row>
    <row r="76" spans="1:8" hidden="1" x14ac:dyDescent="0.25">
      <c r="A76" s="6" t="s">
        <v>106</v>
      </c>
      <c r="B76" s="6">
        <v>2030</v>
      </c>
      <c r="C76" s="6" t="s">
        <v>14</v>
      </c>
      <c r="D76" s="6" t="s">
        <v>99</v>
      </c>
      <c r="E76" s="6" t="s">
        <v>102</v>
      </c>
      <c r="F76" s="6"/>
      <c r="G76" s="6"/>
      <c r="H76" s="6"/>
    </row>
    <row r="77" spans="1:8" hidden="1" x14ac:dyDescent="0.25">
      <c r="A77" s="6" t="s">
        <v>106</v>
      </c>
      <c r="B77" s="6">
        <v>2030</v>
      </c>
      <c r="C77" s="6" t="s">
        <v>13</v>
      </c>
      <c r="D77" s="6" t="s">
        <v>99</v>
      </c>
      <c r="E77" s="6" t="s">
        <v>102</v>
      </c>
      <c r="F77" s="6"/>
      <c r="G77" s="6"/>
      <c r="H77" s="6"/>
    </row>
    <row r="78" spans="1:8" hidden="1" x14ac:dyDescent="0.25">
      <c r="A78" s="6" t="s">
        <v>106</v>
      </c>
      <c r="B78" s="6">
        <v>2030</v>
      </c>
      <c r="C78" s="6" t="s">
        <v>12</v>
      </c>
      <c r="D78" s="6" t="s">
        <v>99</v>
      </c>
      <c r="E78" s="6" t="s">
        <v>102</v>
      </c>
      <c r="F78" s="6"/>
      <c r="G78" s="6"/>
      <c r="H78" s="6"/>
    </row>
    <row r="79" spans="1:8" x14ac:dyDescent="0.25">
      <c r="A79" s="6" t="s">
        <v>106</v>
      </c>
      <c r="B79" s="6">
        <v>2030</v>
      </c>
      <c r="C79" s="6" t="s">
        <v>9</v>
      </c>
      <c r="D79" s="6" t="s">
        <v>99</v>
      </c>
      <c r="E79" s="6" t="s">
        <v>102</v>
      </c>
      <c r="F79" s="6"/>
      <c r="G79" s="6"/>
      <c r="H79" s="6">
        <f t="shared" ref="H79:H81" si="3">F79+G79</f>
        <v>0</v>
      </c>
    </row>
    <row r="80" spans="1:8" x14ac:dyDescent="0.25">
      <c r="A80" s="6" t="s">
        <v>106</v>
      </c>
      <c r="B80" s="6">
        <v>2030</v>
      </c>
      <c r="C80" s="6" t="s">
        <v>7</v>
      </c>
      <c r="D80" s="6" t="s">
        <v>100</v>
      </c>
      <c r="E80" s="6" t="s">
        <v>103</v>
      </c>
      <c r="F80" s="6"/>
      <c r="G80" s="6"/>
      <c r="H80" s="6">
        <f t="shared" si="3"/>
        <v>0</v>
      </c>
    </row>
    <row r="81" spans="1:8" x14ac:dyDescent="0.25">
      <c r="A81" s="6" t="s">
        <v>106</v>
      </c>
      <c r="B81" s="6">
        <v>2030</v>
      </c>
      <c r="C81" s="6" t="s">
        <v>8</v>
      </c>
      <c r="D81" s="6" t="s">
        <v>100</v>
      </c>
      <c r="E81" s="6" t="s">
        <v>103</v>
      </c>
      <c r="F81" s="6"/>
      <c r="G81" s="6"/>
      <c r="H81" s="6">
        <f t="shared" si="3"/>
        <v>0</v>
      </c>
    </row>
    <row r="82" spans="1:8" hidden="1" x14ac:dyDescent="0.25">
      <c r="A82" s="6" t="s">
        <v>106</v>
      </c>
      <c r="B82" s="6">
        <v>2030</v>
      </c>
      <c r="C82" s="6" t="s">
        <v>14</v>
      </c>
      <c r="D82" s="6" t="s">
        <v>100</v>
      </c>
      <c r="E82" s="6" t="s">
        <v>103</v>
      </c>
      <c r="F82" s="6"/>
      <c r="G82" s="6"/>
      <c r="H82" s="6"/>
    </row>
    <row r="83" spans="1:8" hidden="1" x14ac:dyDescent="0.25">
      <c r="A83" s="6" t="s">
        <v>106</v>
      </c>
      <c r="B83" s="6">
        <v>2030</v>
      </c>
      <c r="C83" s="6" t="s">
        <v>13</v>
      </c>
      <c r="D83" s="6" t="s">
        <v>100</v>
      </c>
      <c r="E83" s="6" t="s">
        <v>103</v>
      </c>
      <c r="F83" s="6"/>
      <c r="G83" s="6"/>
      <c r="H83" s="6"/>
    </row>
    <row r="84" spans="1:8" hidden="1" x14ac:dyDescent="0.25">
      <c r="A84" s="6" t="s">
        <v>106</v>
      </c>
      <c r="B84" s="6">
        <v>2030</v>
      </c>
      <c r="C84" s="6" t="s">
        <v>12</v>
      </c>
      <c r="D84" s="6" t="s">
        <v>100</v>
      </c>
      <c r="E84" s="6" t="s">
        <v>103</v>
      </c>
      <c r="F84" s="6"/>
      <c r="G84" s="6"/>
      <c r="H84" s="6"/>
    </row>
    <row r="85" spans="1:8" x14ac:dyDescent="0.25">
      <c r="A85" s="6" t="s">
        <v>106</v>
      </c>
      <c r="B85" s="6">
        <v>2030</v>
      </c>
      <c r="C85" s="6" t="s">
        <v>9</v>
      </c>
      <c r="D85" s="6" t="s">
        <v>100</v>
      </c>
      <c r="E85" s="6" t="s">
        <v>103</v>
      </c>
      <c r="F85" s="6"/>
      <c r="G85" s="6"/>
      <c r="H85" s="6">
        <f t="shared" ref="H85:H87" si="4">F85+G85</f>
        <v>0</v>
      </c>
    </row>
    <row r="86" spans="1:8" x14ac:dyDescent="0.25">
      <c r="A86" s="6" t="s">
        <v>106</v>
      </c>
      <c r="B86" s="6">
        <v>2030</v>
      </c>
      <c r="C86" s="6" t="s">
        <v>7</v>
      </c>
      <c r="D86" s="6" t="s">
        <v>101</v>
      </c>
      <c r="E86" s="6" t="s">
        <v>104</v>
      </c>
      <c r="F86" s="6"/>
      <c r="G86" s="6"/>
      <c r="H86" s="6">
        <f t="shared" si="4"/>
        <v>0</v>
      </c>
    </row>
    <row r="87" spans="1:8" x14ac:dyDescent="0.25">
      <c r="A87" s="6" t="s">
        <v>106</v>
      </c>
      <c r="B87" s="6">
        <v>2030</v>
      </c>
      <c r="C87" s="6" t="s">
        <v>8</v>
      </c>
      <c r="D87" s="6" t="s">
        <v>101</v>
      </c>
      <c r="E87" s="6" t="s">
        <v>104</v>
      </c>
      <c r="F87" s="6"/>
      <c r="G87" s="6"/>
      <c r="H87" s="6">
        <f t="shared" si="4"/>
        <v>0</v>
      </c>
    </row>
    <row r="88" spans="1:8" hidden="1" x14ac:dyDescent="0.25">
      <c r="A88" s="6" t="s">
        <v>106</v>
      </c>
      <c r="B88" s="6">
        <v>2030</v>
      </c>
      <c r="C88" s="6" t="s">
        <v>14</v>
      </c>
      <c r="D88" s="6" t="s">
        <v>101</v>
      </c>
      <c r="E88" s="6" t="s">
        <v>104</v>
      </c>
      <c r="F88" s="6"/>
      <c r="G88" s="6"/>
      <c r="H88" s="6"/>
    </row>
    <row r="89" spans="1:8" hidden="1" x14ac:dyDescent="0.25">
      <c r="A89" s="6" t="s">
        <v>106</v>
      </c>
      <c r="B89" s="6">
        <v>2030</v>
      </c>
      <c r="C89" s="6" t="s">
        <v>13</v>
      </c>
      <c r="D89" s="6" t="s">
        <v>101</v>
      </c>
      <c r="E89" s="6" t="s">
        <v>104</v>
      </c>
      <c r="F89" s="6"/>
      <c r="G89" s="6"/>
      <c r="H89" s="6"/>
    </row>
    <row r="90" spans="1:8" hidden="1" x14ac:dyDescent="0.25">
      <c r="A90" s="6" t="s">
        <v>106</v>
      </c>
      <c r="B90" s="6">
        <v>2030</v>
      </c>
      <c r="C90" s="6" t="s">
        <v>12</v>
      </c>
      <c r="D90" s="6" t="s">
        <v>101</v>
      </c>
      <c r="E90" s="6" t="s">
        <v>104</v>
      </c>
      <c r="F90" s="6"/>
      <c r="G90" s="6"/>
      <c r="H90" s="6"/>
    </row>
    <row r="91" spans="1:8" x14ac:dyDescent="0.25">
      <c r="A91" s="6" t="s">
        <v>106</v>
      </c>
      <c r="B91" s="6">
        <v>2030</v>
      </c>
      <c r="C91" s="6" t="s">
        <v>9</v>
      </c>
      <c r="D91" s="6" t="s">
        <v>101</v>
      </c>
      <c r="E91" s="6" t="s">
        <v>104</v>
      </c>
      <c r="F91" s="6"/>
      <c r="G91" s="6"/>
      <c r="H91" s="6">
        <f t="shared" ref="H91:H93" si="5">F91+G91</f>
        <v>0</v>
      </c>
    </row>
    <row r="92" spans="1:8" x14ac:dyDescent="0.25">
      <c r="A92" s="7" t="s">
        <v>107</v>
      </c>
      <c r="B92" s="6">
        <v>2030</v>
      </c>
      <c r="C92" s="7" t="s">
        <v>7</v>
      </c>
      <c r="D92" s="7" t="s">
        <v>99</v>
      </c>
      <c r="E92" s="7" t="s">
        <v>102</v>
      </c>
      <c r="F92" s="7"/>
      <c r="G92" s="7"/>
      <c r="H92" s="6">
        <f t="shared" si="5"/>
        <v>0</v>
      </c>
    </row>
    <row r="93" spans="1:8" x14ac:dyDescent="0.25">
      <c r="A93" s="7" t="s">
        <v>107</v>
      </c>
      <c r="B93" s="6">
        <v>2030</v>
      </c>
      <c r="C93" s="7" t="s">
        <v>8</v>
      </c>
      <c r="D93" s="7" t="s">
        <v>99</v>
      </c>
      <c r="E93" s="7" t="s">
        <v>102</v>
      </c>
      <c r="F93" s="7"/>
      <c r="G93" s="7"/>
      <c r="H93" s="6">
        <f t="shared" si="5"/>
        <v>0</v>
      </c>
    </row>
    <row r="94" spans="1:8" hidden="1" x14ac:dyDescent="0.25">
      <c r="A94" s="7" t="s">
        <v>107</v>
      </c>
      <c r="B94" s="6">
        <v>2030</v>
      </c>
      <c r="C94" s="7" t="s">
        <v>14</v>
      </c>
      <c r="D94" s="7" t="s">
        <v>99</v>
      </c>
      <c r="E94" s="7" t="s">
        <v>102</v>
      </c>
      <c r="F94" s="7"/>
      <c r="G94" s="7"/>
      <c r="H94" s="7"/>
    </row>
    <row r="95" spans="1:8" hidden="1" x14ac:dyDescent="0.25">
      <c r="A95" s="7" t="s">
        <v>107</v>
      </c>
      <c r="B95" s="6">
        <v>2030</v>
      </c>
      <c r="C95" s="7" t="s">
        <v>13</v>
      </c>
      <c r="D95" s="7" t="s">
        <v>99</v>
      </c>
      <c r="E95" s="7" t="s">
        <v>102</v>
      </c>
      <c r="F95" s="7"/>
      <c r="G95" s="7"/>
      <c r="H95" s="7"/>
    </row>
    <row r="96" spans="1:8" hidden="1" x14ac:dyDescent="0.25">
      <c r="A96" s="7" t="s">
        <v>107</v>
      </c>
      <c r="B96" s="6">
        <v>2030</v>
      </c>
      <c r="C96" s="7" t="s">
        <v>12</v>
      </c>
      <c r="D96" s="7" t="s">
        <v>99</v>
      </c>
      <c r="E96" s="7" t="s">
        <v>102</v>
      </c>
      <c r="F96" s="7"/>
      <c r="G96" s="7"/>
      <c r="H96" s="7"/>
    </row>
    <row r="97" spans="1:8" x14ac:dyDescent="0.25">
      <c r="A97" s="7" t="s">
        <v>107</v>
      </c>
      <c r="B97" s="6">
        <v>2030</v>
      </c>
      <c r="C97" s="7" t="s">
        <v>9</v>
      </c>
      <c r="D97" s="7" t="s">
        <v>99</v>
      </c>
      <c r="E97" s="7" t="s">
        <v>102</v>
      </c>
      <c r="F97" s="7"/>
      <c r="G97" s="7"/>
      <c r="H97" s="6">
        <f t="shared" ref="H97:H99" si="6">F97+G97</f>
        <v>0</v>
      </c>
    </row>
    <row r="98" spans="1:8" x14ac:dyDescent="0.25">
      <c r="A98" s="7" t="s">
        <v>107</v>
      </c>
      <c r="B98" s="6">
        <v>2030</v>
      </c>
      <c r="C98" s="7" t="s">
        <v>7</v>
      </c>
      <c r="D98" s="7" t="s">
        <v>100</v>
      </c>
      <c r="E98" s="7" t="s">
        <v>103</v>
      </c>
      <c r="F98" s="7"/>
      <c r="G98" s="7"/>
      <c r="H98" s="6">
        <f t="shared" si="6"/>
        <v>0</v>
      </c>
    </row>
    <row r="99" spans="1:8" x14ac:dyDescent="0.25">
      <c r="A99" s="7" t="s">
        <v>107</v>
      </c>
      <c r="B99" s="6">
        <v>2030</v>
      </c>
      <c r="C99" s="7" t="s">
        <v>8</v>
      </c>
      <c r="D99" s="7" t="s">
        <v>100</v>
      </c>
      <c r="E99" s="7" t="s">
        <v>103</v>
      </c>
      <c r="F99" s="7"/>
      <c r="G99" s="7"/>
      <c r="H99" s="6">
        <f t="shared" si="6"/>
        <v>0</v>
      </c>
    </row>
    <row r="100" spans="1:8" hidden="1" x14ac:dyDescent="0.25">
      <c r="A100" s="7" t="s">
        <v>107</v>
      </c>
      <c r="B100" s="6">
        <v>2030</v>
      </c>
      <c r="C100" s="7" t="s">
        <v>14</v>
      </c>
      <c r="D100" s="7" t="s">
        <v>100</v>
      </c>
      <c r="E100" s="7" t="s">
        <v>103</v>
      </c>
      <c r="F100" s="7"/>
      <c r="G100" s="7"/>
      <c r="H100" s="7"/>
    </row>
    <row r="101" spans="1:8" hidden="1" x14ac:dyDescent="0.25">
      <c r="A101" s="7" t="s">
        <v>107</v>
      </c>
      <c r="B101" s="6">
        <v>2030</v>
      </c>
      <c r="C101" s="7" t="s">
        <v>13</v>
      </c>
      <c r="D101" s="7" t="s">
        <v>100</v>
      </c>
      <c r="E101" s="7" t="s">
        <v>103</v>
      </c>
      <c r="F101" s="7"/>
      <c r="G101" s="7"/>
      <c r="H101" s="7"/>
    </row>
    <row r="102" spans="1:8" hidden="1" x14ac:dyDescent="0.25">
      <c r="A102" s="7" t="s">
        <v>107</v>
      </c>
      <c r="B102" s="6">
        <v>2030</v>
      </c>
      <c r="C102" s="7" t="s">
        <v>12</v>
      </c>
      <c r="D102" s="7" t="s">
        <v>100</v>
      </c>
      <c r="E102" s="7" t="s">
        <v>103</v>
      </c>
      <c r="F102" s="7"/>
      <c r="G102" s="7"/>
      <c r="H102" s="7"/>
    </row>
    <row r="103" spans="1:8" x14ac:dyDescent="0.25">
      <c r="A103" s="7" t="s">
        <v>107</v>
      </c>
      <c r="B103" s="6">
        <v>2030</v>
      </c>
      <c r="C103" s="7" t="s">
        <v>9</v>
      </c>
      <c r="D103" s="7" t="s">
        <v>100</v>
      </c>
      <c r="E103" s="7" t="s">
        <v>103</v>
      </c>
      <c r="F103" s="7"/>
      <c r="G103" s="7"/>
      <c r="H103" s="6">
        <f t="shared" ref="H103:H105" si="7">F103+G103</f>
        <v>0</v>
      </c>
    </row>
    <row r="104" spans="1:8" x14ac:dyDescent="0.25">
      <c r="A104" s="7" t="s">
        <v>107</v>
      </c>
      <c r="B104" s="6">
        <v>2030</v>
      </c>
      <c r="C104" s="7" t="s">
        <v>7</v>
      </c>
      <c r="D104" s="7" t="s">
        <v>101</v>
      </c>
      <c r="E104" s="7" t="s">
        <v>104</v>
      </c>
      <c r="F104" s="7"/>
      <c r="G104" s="7"/>
      <c r="H104" s="6">
        <f t="shared" si="7"/>
        <v>0</v>
      </c>
    </row>
    <row r="105" spans="1:8" x14ac:dyDescent="0.25">
      <c r="A105" s="7" t="s">
        <v>107</v>
      </c>
      <c r="B105" s="6">
        <v>2030</v>
      </c>
      <c r="C105" s="7" t="s">
        <v>8</v>
      </c>
      <c r="D105" s="7" t="s">
        <v>101</v>
      </c>
      <c r="E105" s="7" t="s">
        <v>104</v>
      </c>
      <c r="F105" s="7"/>
      <c r="G105" s="7"/>
      <c r="H105" s="6">
        <f t="shared" si="7"/>
        <v>0</v>
      </c>
    </row>
    <row r="106" spans="1:8" hidden="1" x14ac:dyDescent="0.25">
      <c r="A106" s="7" t="s">
        <v>107</v>
      </c>
      <c r="B106" s="6">
        <v>2030</v>
      </c>
      <c r="C106" s="7" t="s">
        <v>14</v>
      </c>
      <c r="D106" s="7" t="s">
        <v>101</v>
      </c>
      <c r="E106" s="7" t="s">
        <v>104</v>
      </c>
      <c r="F106" s="7"/>
      <c r="G106" s="7"/>
      <c r="H106" s="7"/>
    </row>
    <row r="107" spans="1:8" hidden="1" x14ac:dyDescent="0.25">
      <c r="A107" s="7" t="s">
        <v>107</v>
      </c>
      <c r="B107" s="6">
        <v>2030</v>
      </c>
      <c r="C107" s="7" t="s">
        <v>13</v>
      </c>
      <c r="D107" s="7" t="s">
        <v>101</v>
      </c>
      <c r="E107" s="7" t="s">
        <v>104</v>
      </c>
      <c r="F107" s="7"/>
      <c r="G107" s="7"/>
      <c r="H107" s="7"/>
    </row>
    <row r="108" spans="1:8" hidden="1" x14ac:dyDescent="0.25">
      <c r="A108" s="7" t="s">
        <v>107</v>
      </c>
      <c r="B108" s="6">
        <v>2030</v>
      </c>
      <c r="C108" s="7" t="s">
        <v>12</v>
      </c>
      <c r="D108" s="7" t="s">
        <v>101</v>
      </c>
      <c r="E108" s="7" t="s">
        <v>104</v>
      </c>
      <c r="F108" s="7"/>
      <c r="G108" s="7"/>
      <c r="H108" s="7"/>
    </row>
    <row r="109" spans="1:8" x14ac:dyDescent="0.25">
      <c r="A109" s="7" t="s">
        <v>107</v>
      </c>
      <c r="B109" s="6">
        <v>2030</v>
      </c>
      <c r="C109" s="7" t="s">
        <v>9</v>
      </c>
      <c r="D109" s="7" t="s">
        <v>101</v>
      </c>
      <c r="E109" s="7" t="s">
        <v>104</v>
      </c>
      <c r="F109" s="7"/>
      <c r="G109" s="7"/>
      <c r="H109" s="6">
        <f t="shared" ref="H109:H111" si="8">F109+G109</f>
        <v>0</v>
      </c>
    </row>
    <row r="110" spans="1:8" x14ac:dyDescent="0.25">
      <c r="A110" s="8" t="s">
        <v>108</v>
      </c>
      <c r="B110" s="6">
        <v>2030</v>
      </c>
      <c r="C110" s="8" t="s">
        <v>7</v>
      </c>
      <c r="D110" s="8" t="s">
        <v>99</v>
      </c>
      <c r="E110" s="8" t="s">
        <v>102</v>
      </c>
      <c r="F110" s="8"/>
      <c r="G110" s="8"/>
      <c r="H110" s="6">
        <f t="shared" si="8"/>
        <v>0</v>
      </c>
    </row>
    <row r="111" spans="1:8" x14ac:dyDescent="0.25">
      <c r="A111" s="8" t="s">
        <v>108</v>
      </c>
      <c r="B111" s="6">
        <v>2030</v>
      </c>
      <c r="C111" s="8" t="s">
        <v>8</v>
      </c>
      <c r="D111" s="8" t="s">
        <v>99</v>
      </c>
      <c r="E111" s="8" t="s">
        <v>102</v>
      </c>
      <c r="F111" s="8"/>
      <c r="G111" s="8"/>
      <c r="H111" s="6">
        <f t="shared" si="8"/>
        <v>0</v>
      </c>
    </row>
    <row r="112" spans="1:8" hidden="1" x14ac:dyDescent="0.25">
      <c r="A112" s="8" t="s">
        <v>108</v>
      </c>
      <c r="B112" s="6">
        <v>2030</v>
      </c>
      <c r="C112" s="8" t="s">
        <v>14</v>
      </c>
      <c r="D112" s="8" t="s">
        <v>99</v>
      </c>
      <c r="E112" s="8" t="s">
        <v>102</v>
      </c>
      <c r="F112" s="8"/>
      <c r="G112" s="8"/>
      <c r="H112" s="8"/>
    </row>
    <row r="113" spans="1:8" hidden="1" x14ac:dyDescent="0.25">
      <c r="A113" s="8" t="s">
        <v>108</v>
      </c>
      <c r="B113" s="6">
        <v>2030</v>
      </c>
      <c r="C113" s="8" t="s">
        <v>13</v>
      </c>
      <c r="D113" s="8" t="s">
        <v>99</v>
      </c>
      <c r="E113" s="8" t="s">
        <v>102</v>
      </c>
      <c r="F113" s="8"/>
      <c r="G113" s="8"/>
      <c r="H113" s="8"/>
    </row>
    <row r="114" spans="1:8" hidden="1" x14ac:dyDescent="0.25">
      <c r="A114" s="8" t="s">
        <v>108</v>
      </c>
      <c r="B114" s="6">
        <v>2030</v>
      </c>
      <c r="C114" s="8" t="s">
        <v>12</v>
      </c>
      <c r="D114" s="8" t="s">
        <v>99</v>
      </c>
      <c r="E114" s="8" t="s">
        <v>102</v>
      </c>
      <c r="F114" s="8"/>
      <c r="G114" s="8"/>
      <c r="H114" s="8"/>
    </row>
    <row r="115" spans="1:8" x14ac:dyDescent="0.25">
      <c r="A115" s="8" t="s">
        <v>108</v>
      </c>
      <c r="B115" s="6">
        <v>2030</v>
      </c>
      <c r="C115" s="8" t="s">
        <v>9</v>
      </c>
      <c r="D115" s="8" t="s">
        <v>99</v>
      </c>
      <c r="E115" s="8" t="s">
        <v>102</v>
      </c>
      <c r="F115" s="8"/>
      <c r="G115" s="8"/>
      <c r="H115" s="6">
        <f t="shared" ref="H115:H117" si="9">F115+G115</f>
        <v>0</v>
      </c>
    </row>
    <row r="116" spans="1:8" x14ac:dyDescent="0.25">
      <c r="A116" s="8" t="s">
        <v>108</v>
      </c>
      <c r="B116" s="6">
        <v>2030</v>
      </c>
      <c r="C116" s="8" t="s">
        <v>7</v>
      </c>
      <c r="D116" s="8" t="s">
        <v>100</v>
      </c>
      <c r="E116" s="8" t="s">
        <v>103</v>
      </c>
      <c r="F116" s="8"/>
      <c r="G116" s="8"/>
      <c r="H116" s="6">
        <f t="shared" si="9"/>
        <v>0</v>
      </c>
    </row>
    <row r="117" spans="1:8" x14ac:dyDescent="0.25">
      <c r="A117" s="8" t="s">
        <v>108</v>
      </c>
      <c r="B117" s="6">
        <v>2030</v>
      </c>
      <c r="C117" s="8" t="s">
        <v>8</v>
      </c>
      <c r="D117" s="8" t="s">
        <v>100</v>
      </c>
      <c r="E117" s="8" t="s">
        <v>103</v>
      </c>
      <c r="F117" s="8"/>
      <c r="G117" s="8"/>
      <c r="H117" s="6">
        <f t="shared" si="9"/>
        <v>0</v>
      </c>
    </row>
    <row r="118" spans="1:8" hidden="1" x14ac:dyDescent="0.25">
      <c r="A118" s="8" t="s">
        <v>108</v>
      </c>
      <c r="B118" s="6">
        <v>2030</v>
      </c>
      <c r="C118" s="8" t="s">
        <v>14</v>
      </c>
      <c r="D118" s="8" t="s">
        <v>100</v>
      </c>
      <c r="E118" s="8" t="s">
        <v>103</v>
      </c>
      <c r="F118" s="8"/>
      <c r="G118" s="8"/>
      <c r="H118" s="8"/>
    </row>
    <row r="119" spans="1:8" hidden="1" x14ac:dyDescent="0.25">
      <c r="A119" s="8" t="s">
        <v>108</v>
      </c>
      <c r="B119" s="6">
        <v>2030</v>
      </c>
      <c r="C119" s="8" t="s">
        <v>13</v>
      </c>
      <c r="D119" s="8" t="s">
        <v>100</v>
      </c>
      <c r="E119" s="8" t="s">
        <v>103</v>
      </c>
      <c r="F119" s="8"/>
      <c r="G119" s="8"/>
      <c r="H119" s="8"/>
    </row>
    <row r="120" spans="1:8" hidden="1" x14ac:dyDescent="0.25">
      <c r="A120" s="8" t="s">
        <v>108</v>
      </c>
      <c r="B120" s="6">
        <v>2030</v>
      </c>
      <c r="C120" s="8" t="s">
        <v>12</v>
      </c>
      <c r="D120" s="8" t="s">
        <v>100</v>
      </c>
      <c r="E120" s="8" t="s">
        <v>103</v>
      </c>
      <c r="F120" s="8"/>
      <c r="G120" s="8"/>
      <c r="H120" s="8"/>
    </row>
    <row r="121" spans="1:8" x14ac:dyDescent="0.25">
      <c r="A121" s="8" t="s">
        <v>108</v>
      </c>
      <c r="B121" s="6">
        <v>2030</v>
      </c>
      <c r="C121" s="8" t="s">
        <v>9</v>
      </c>
      <c r="D121" s="8" t="s">
        <v>100</v>
      </c>
      <c r="E121" s="8" t="s">
        <v>103</v>
      </c>
      <c r="F121" s="8"/>
      <c r="G121" s="8"/>
      <c r="H121" s="6">
        <f t="shared" ref="H121:H123" si="10">F121+G121</f>
        <v>0</v>
      </c>
    </row>
    <row r="122" spans="1:8" x14ac:dyDescent="0.25">
      <c r="A122" s="8" t="s">
        <v>108</v>
      </c>
      <c r="B122" s="6">
        <v>2030</v>
      </c>
      <c r="C122" s="8" t="s">
        <v>7</v>
      </c>
      <c r="D122" s="8" t="s">
        <v>101</v>
      </c>
      <c r="E122" s="8" t="s">
        <v>104</v>
      </c>
      <c r="F122" s="8"/>
      <c r="G122" s="8"/>
      <c r="H122" s="6">
        <f t="shared" si="10"/>
        <v>0</v>
      </c>
    </row>
    <row r="123" spans="1:8" x14ac:dyDescent="0.25">
      <c r="A123" s="8" t="s">
        <v>108</v>
      </c>
      <c r="B123" s="6">
        <v>2030</v>
      </c>
      <c r="C123" s="8" t="s">
        <v>8</v>
      </c>
      <c r="D123" s="8" t="s">
        <v>101</v>
      </c>
      <c r="E123" s="8" t="s">
        <v>104</v>
      </c>
      <c r="F123" s="8"/>
      <c r="G123" s="8"/>
      <c r="H123" s="6">
        <f t="shared" si="10"/>
        <v>0</v>
      </c>
    </row>
    <row r="124" spans="1:8" hidden="1" x14ac:dyDescent="0.25">
      <c r="A124" s="8" t="s">
        <v>108</v>
      </c>
      <c r="B124" s="6">
        <v>2030</v>
      </c>
      <c r="C124" s="8" t="s">
        <v>14</v>
      </c>
      <c r="D124" s="8" t="s">
        <v>101</v>
      </c>
      <c r="E124" s="8" t="s">
        <v>104</v>
      </c>
      <c r="F124" s="8"/>
      <c r="G124" s="8"/>
      <c r="H124" s="8"/>
    </row>
    <row r="125" spans="1:8" hidden="1" x14ac:dyDescent="0.25">
      <c r="A125" s="8" t="s">
        <v>108</v>
      </c>
      <c r="B125" s="6">
        <v>2030</v>
      </c>
      <c r="C125" s="8" t="s">
        <v>13</v>
      </c>
      <c r="D125" s="8" t="s">
        <v>101</v>
      </c>
      <c r="E125" s="8" t="s">
        <v>104</v>
      </c>
      <c r="F125" s="8"/>
      <c r="G125" s="8"/>
      <c r="H125" s="8"/>
    </row>
    <row r="126" spans="1:8" hidden="1" x14ac:dyDescent="0.25">
      <c r="A126" s="8" t="s">
        <v>108</v>
      </c>
      <c r="B126" s="6">
        <v>2030</v>
      </c>
      <c r="C126" s="8" t="s">
        <v>12</v>
      </c>
      <c r="D126" s="8" t="s">
        <v>101</v>
      </c>
      <c r="E126" s="8" t="s">
        <v>104</v>
      </c>
      <c r="F126" s="8"/>
      <c r="G126" s="8"/>
      <c r="H126" s="8"/>
    </row>
    <row r="127" spans="1:8" x14ac:dyDescent="0.25">
      <c r="A127" s="8" t="s">
        <v>108</v>
      </c>
      <c r="B127" s="6">
        <v>2030</v>
      </c>
      <c r="C127" s="8" t="s">
        <v>9</v>
      </c>
      <c r="D127" s="8" t="s">
        <v>101</v>
      </c>
      <c r="E127" s="8" t="s">
        <v>104</v>
      </c>
      <c r="F127" s="8"/>
      <c r="G127" s="8"/>
      <c r="H127" s="6">
        <f t="shared" ref="H127:H129" si="11">F127+G127</f>
        <v>0</v>
      </c>
    </row>
    <row r="128" spans="1:8" x14ac:dyDescent="0.25">
      <c r="A128" s="9" t="s">
        <v>109</v>
      </c>
      <c r="B128" s="6">
        <v>2030</v>
      </c>
      <c r="C128" s="9" t="s">
        <v>7</v>
      </c>
      <c r="D128" s="9" t="s">
        <v>99</v>
      </c>
      <c r="E128" s="9" t="s">
        <v>102</v>
      </c>
      <c r="F128" s="9"/>
      <c r="G128" s="9"/>
      <c r="H128" s="6">
        <f t="shared" si="11"/>
        <v>0</v>
      </c>
    </row>
    <row r="129" spans="1:8" x14ac:dyDescent="0.25">
      <c r="A129" s="9" t="s">
        <v>109</v>
      </c>
      <c r="B129" s="6">
        <v>2030</v>
      </c>
      <c r="C129" s="9" t="s">
        <v>8</v>
      </c>
      <c r="D129" s="9" t="s">
        <v>99</v>
      </c>
      <c r="E129" s="9" t="s">
        <v>102</v>
      </c>
      <c r="F129" s="9"/>
      <c r="G129" s="9"/>
      <c r="H129" s="6">
        <f t="shared" si="11"/>
        <v>0</v>
      </c>
    </row>
    <row r="130" spans="1:8" hidden="1" x14ac:dyDescent="0.25">
      <c r="A130" s="9" t="s">
        <v>109</v>
      </c>
      <c r="B130" s="6">
        <v>2030</v>
      </c>
      <c r="C130" s="9" t="s">
        <v>14</v>
      </c>
      <c r="D130" s="9" t="s">
        <v>99</v>
      </c>
      <c r="E130" s="9" t="s">
        <v>102</v>
      </c>
      <c r="F130" s="9"/>
      <c r="G130" s="9"/>
      <c r="H130" s="9"/>
    </row>
    <row r="131" spans="1:8" hidden="1" x14ac:dyDescent="0.25">
      <c r="A131" s="9" t="s">
        <v>109</v>
      </c>
      <c r="B131" s="6">
        <v>2030</v>
      </c>
      <c r="C131" s="9" t="s">
        <v>13</v>
      </c>
      <c r="D131" s="9" t="s">
        <v>99</v>
      </c>
      <c r="E131" s="9" t="s">
        <v>102</v>
      </c>
      <c r="F131" s="9"/>
      <c r="G131" s="9"/>
      <c r="H131" s="9"/>
    </row>
    <row r="132" spans="1:8" hidden="1" x14ac:dyDescent="0.25">
      <c r="A132" s="9" t="s">
        <v>109</v>
      </c>
      <c r="B132" s="6">
        <v>2030</v>
      </c>
      <c r="C132" s="9" t="s">
        <v>12</v>
      </c>
      <c r="D132" s="9" t="s">
        <v>99</v>
      </c>
      <c r="E132" s="9" t="s">
        <v>102</v>
      </c>
      <c r="F132" s="9"/>
      <c r="G132" s="9"/>
      <c r="H132" s="9"/>
    </row>
    <row r="133" spans="1:8" x14ac:dyDescent="0.25">
      <c r="A133" s="9" t="s">
        <v>109</v>
      </c>
      <c r="B133" s="6">
        <v>2030</v>
      </c>
      <c r="C133" s="9" t="s">
        <v>9</v>
      </c>
      <c r="D133" s="9" t="s">
        <v>99</v>
      </c>
      <c r="E133" s="9" t="s">
        <v>102</v>
      </c>
      <c r="F133" s="9"/>
      <c r="G133" s="9"/>
      <c r="H133" s="6">
        <f t="shared" ref="H133:H135" si="12">F133+G133</f>
        <v>0</v>
      </c>
    </row>
    <row r="134" spans="1:8" x14ac:dyDescent="0.25">
      <c r="A134" s="9" t="s">
        <v>109</v>
      </c>
      <c r="B134" s="6">
        <v>2030</v>
      </c>
      <c r="C134" s="9" t="s">
        <v>7</v>
      </c>
      <c r="D134" s="9" t="s">
        <v>100</v>
      </c>
      <c r="E134" s="9" t="s">
        <v>103</v>
      </c>
      <c r="F134" s="9"/>
      <c r="G134" s="9"/>
      <c r="H134" s="6">
        <f t="shared" si="12"/>
        <v>0</v>
      </c>
    </row>
    <row r="135" spans="1:8" x14ac:dyDescent="0.25">
      <c r="A135" s="9" t="s">
        <v>109</v>
      </c>
      <c r="B135" s="6">
        <v>2030</v>
      </c>
      <c r="C135" s="9" t="s">
        <v>8</v>
      </c>
      <c r="D135" s="9" t="s">
        <v>100</v>
      </c>
      <c r="E135" s="9" t="s">
        <v>103</v>
      </c>
      <c r="F135" s="9"/>
      <c r="G135" s="9"/>
      <c r="H135" s="6">
        <f t="shared" si="12"/>
        <v>0</v>
      </c>
    </row>
    <row r="136" spans="1:8" hidden="1" x14ac:dyDescent="0.25">
      <c r="A136" s="9" t="s">
        <v>109</v>
      </c>
      <c r="B136" s="6">
        <v>2030</v>
      </c>
      <c r="C136" s="9" t="s">
        <v>14</v>
      </c>
      <c r="D136" s="9" t="s">
        <v>100</v>
      </c>
      <c r="E136" s="9" t="s">
        <v>103</v>
      </c>
      <c r="F136" s="9"/>
      <c r="G136" s="9"/>
      <c r="H136" s="9"/>
    </row>
    <row r="137" spans="1:8" hidden="1" x14ac:dyDescent="0.25">
      <c r="A137" s="9" t="s">
        <v>109</v>
      </c>
      <c r="B137" s="6">
        <v>2030</v>
      </c>
      <c r="C137" s="9" t="s">
        <v>13</v>
      </c>
      <c r="D137" s="9" t="s">
        <v>100</v>
      </c>
      <c r="E137" s="9" t="s">
        <v>103</v>
      </c>
      <c r="F137" s="9"/>
      <c r="G137" s="9"/>
      <c r="H137" s="9"/>
    </row>
    <row r="138" spans="1:8" hidden="1" x14ac:dyDescent="0.25">
      <c r="A138" s="9" t="s">
        <v>109</v>
      </c>
      <c r="B138" s="6">
        <v>2030</v>
      </c>
      <c r="C138" s="9" t="s">
        <v>12</v>
      </c>
      <c r="D138" s="9" t="s">
        <v>100</v>
      </c>
      <c r="E138" s="9" t="s">
        <v>103</v>
      </c>
      <c r="F138" s="9"/>
      <c r="G138" s="9"/>
      <c r="H138" s="9"/>
    </row>
    <row r="139" spans="1:8" x14ac:dyDescent="0.25">
      <c r="A139" s="9" t="s">
        <v>109</v>
      </c>
      <c r="B139" s="6">
        <v>2030</v>
      </c>
      <c r="C139" s="9" t="s">
        <v>9</v>
      </c>
      <c r="D139" s="9" t="s">
        <v>100</v>
      </c>
      <c r="E139" s="9" t="s">
        <v>103</v>
      </c>
      <c r="F139" s="9"/>
      <c r="G139" s="9"/>
      <c r="H139" s="6">
        <f t="shared" ref="H139:H141" si="13">F139+G139</f>
        <v>0</v>
      </c>
    </row>
    <row r="140" spans="1:8" x14ac:dyDescent="0.25">
      <c r="A140" s="9" t="s">
        <v>109</v>
      </c>
      <c r="B140" s="6">
        <v>2030</v>
      </c>
      <c r="C140" s="9" t="s">
        <v>7</v>
      </c>
      <c r="D140" s="9" t="s">
        <v>101</v>
      </c>
      <c r="E140" s="9" t="s">
        <v>104</v>
      </c>
      <c r="F140" s="9"/>
      <c r="G140" s="9"/>
      <c r="H140" s="6">
        <f t="shared" si="13"/>
        <v>0</v>
      </c>
    </row>
    <row r="141" spans="1:8" x14ac:dyDescent="0.25">
      <c r="A141" s="9" t="s">
        <v>109</v>
      </c>
      <c r="B141" s="6">
        <v>2030</v>
      </c>
      <c r="C141" s="9" t="s">
        <v>8</v>
      </c>
      <c r="D141" s="9" t="s">
        <v>101</v>
      </c>
      <c r="E141" s="9" t="s">
        <v>104</v>
      </c>
      <c r="F141" s="9"/>
      <c r="G141" s="9"/>
      <c r="H141" s="6">
        <f t="shared" si="13"/>
        <v>0</v>
      </c>
    </row>
    <row r="142" spans="1:8" hidden="1" x14ac:dyDescent="0.25">
      <c r="A142" s="9" t="s">
        <v>109</v>
      </c>
      <c r="B142" s="6">
        <v>2030</v>
      </c>
      <c r="C142" s="9" t="s">
        <v>14</v>
      </c>
      <c r="D142" s="9" t="s">
        <v>101</v>
      </c>
      <c r="E142" s="9" t="s">
        <v>104</v>
      </c>
      <c r="F142" s="9"/>
      <c r="G142" s="9"/>
      <c r="H142" s="9"/>
    </row>
    <row r="143" spans="1:8" hidden="1" x14ac:dyDescent="0.25">
      <c r="A143" s="9" t="s">
        <v>109</v>
      </c>
      <c r="B143" s="6">
        <v>2030</v>
      </c>
      <c r="C143" s="9" t="s">
        <v>13</v>
      </c>
      <c r="D143" s="9" t="s">
        <v>101</v>
      </c>
      <c r="E143" s="9" t="s">
        <v>104</v>
      </c>
      <c r="F143" s="9"/>
      <c r="G143" s="9"/>
      <c r="H143" s="9"/>
    </row>
    <row r="144" spans="1:8" hidden="1" x14ac:dyDescent="0.25">
      <c r="A144" s="9" t="s">
        <v>109</v>
      </c>
      <c r="B144" s="6">
        <v>2030</v>
      </c>
      <c r="C144" s="9" t="s">
        <v>12</v>
      </c>
      <c r="D144" s="9" t="s">
        <v>101</v>
      </c>
      <c r="E144" s="9" t="s">
        <v>104</v>
      </c>
      <c r="F144" s="9"/>
      <c r="G144" s="9"/>
      <c r="H144" s="9"/>
    </row>
    <row r="145" spans="1:8" x14ac:dyDescent="0.25">
      <c r="A145" s="9" t="s">
        <v>109</v>
      </c>
      <c r="B145" s="6">
        <v>2030</v>
      </c>
      <c r="C145" s="9" t="s">
        <v>9</v>
      </c>
      <c r="D145" s="9" t="s">
        <v>101</v>
      </c>
      <c r="E145" s="9" t="s">
        <v>104</v>
      </c>
      <c r="F145" s="9"/>
      <c r="G145" s="9"/>
      <c r="H145" s="6">
        <f t="shared" ref="H145:H147" si="14">F145+G145</f>
        <v>0</v>
      </c>
    </row>
    <row r="146" spans="1:8" x14ac:dyDescent="0.25">
      <c r="A146" s="6" t="s">
        <v>106</v>
      </c>
      <c r="B146" s="6">
        <v>2035</v>
      </c>
      <c r="C146" s="6" t="s">
        <v>7</v>
      </c>
      <c r="D146" s="6" t="s">
        <v>99</v>
      </c>
      <c r="E146" s="6" t="s">
        <v>102</v>
      </c>
      <c r="F146" s="6"/>
      <c r="G146" s="6"/>
      <c r="H146" s="6">
        <f t="shared" si="14"/>
        <v>0</v>
      </c>
    </row>
    <row r="147" spans="1:8" x14ac:dyDescent="0.25">
      <c r="A147" s="6" t="s">
        <v>106</v>
      </c>
      <c r="B147" s="6">
        <v>2035</v>
      </c>
      <c r="C147" s="6" t="s">
        <v>8</v>
      </c>
      <c r="D147" s="6" t="s">
        <v>99</v>
      </c>
      <c r="E147" s="6" t="s">
        <v>102</v>
      </c>
      <c r="F147" s="6"/>
      <c r="G147" s="6"/>
      <c r="H147" s="6">
        <f t="shared" si="14"/>
        <v>0</v>
      </c>
    </row>
    <row r="148" spans="1:8" hidden="1" x14ac:dyDescent="0.25">
      <c r="A148" s="6" t="s">
        <v>106</v>
      </c>
      <c r="B148" s="6">
        <v>2035</v>
      </c>
      <c r="C148" s="6" t="s">
        <v>14</v>
      </c>
      <c r="D148" s="6" t="s">
        <v>99</v>
      </c>
      <c r="E148" s="6" t="s">
        <v>102</v>
      </c>
      <c r="F148" s="6"/>
      <c r="G148" s="6"/>
      <c r="H148" s="6"/>
    </row>
    <row r="149" spans="1:8" hidden="1" x14ac:dyDescent="0.25">
      <c r="A149" s="6" t="s">
        <v>106</v>
      </c>
      <c r="B149" s="6">
        <v>2035</v>
      </c>
      <c r="C149" s="6" t="s">
        <v>13</v>
      </c>
      <c r="D149" s="6" t="s">
        <v>99</v>
      </c>
      <c r="E149" s="6" t="s">
        <v>102</v>
      </c>
      <c r="F149" s="6"/>
      <c r="G149" s="6"/>
      <c r="H149" s="6"/>
    </row>
    <row r="150" spans="1:8" hidden="1" x14ac:dyDescent="0.25">
      <c r="A150" s="6" t="s">
        <v>106</v>
      </c>
      <c r="B150" s="6">
        <v>2035</v>
      </c>
      <c r="C150" s="6" t="s">
        <v>12</v>
      </c>
      <c r="D150" s="6" t="s">
        <v>99</v>
      </c>
      <c r="E150" s="6" t="s">
        <v>102</v>
      </c>
      <c r="F150" s="6"/>
      <c r="G150" s="6"/>
      <c r="H150" s="6"/>
    </row>
    <row r="151" spans="1:8" x14ac:dyDescent="0.25">
      <c r="A151" s="6" t="s">
        <v>106</v>
      </c>
      <c r="B151" s="6">
        <v>2035</v>
      </c>
      <c r="C151" s="6" t="s">
        <v>9</v>
      </c>
      <c r="D151" s="6" t="s">
        <v>99</v>
      </c>
      <c r="E151" s="6" t="s">
        <v>102</v>
      </c>
      <c r="F151" s="6"/>
      <c r="G151" s="6"/>
      <c r="H151" s="6">
        <f t="shared" ref="H151:H153" si="15">F151+G151</f>
        <v>0</v>
      </c>
    </row>
    <row r="152" spans="1:8" x14ac:dyDescent="0.25">
      <c r="A152" s="6" t="s">
        <v>106</v>
      </c>
      <c r="B152" s="6">
        <v>2035</v>
      </c>
      <c r="C152" s="6" t="s">
        <v>7</v>
      </c>
      <c r="D152" s="6" t="s">
        <v>100</v>
      </c>
      <c r="E152" s="6" t="s">
        <v>103</v>
      </c>
      <c r="F152" s="6"/>
      <c r="G152" s="6"/>
      <c r="H152" s="6">
        <f t="shared" si="15"/>
        <v>0</v>
      </c>
    </row>
    <row r="153" spans="1:8" x14ac:dyDescent="0.25">
      <c r="A153" s="6" t="s">
        <v>106</v>
      </c>
      <c r="B153" s="6">
        <v>2035</v>
      </c>
      <c r="C153" s="6" t="s">
        <v>8</v>
      </c>
      <c r="D153" s="6" t="s">
        <v>100</v>
      </c>
      <c r="E153" s="6" t="s">
        <v>103</v>
      </c>
      <c r="F153" s="6"/>
      <c r="G153" s="6"/>
      <c r="H153" s="6">
        <f t="shared" si="15"/>
        <v>0</v>
      </c>
    </row>
    <row r="154" spans="1:8" hidden="1" x14ac:dyDescent="0.25">
      <c r="A154" s="6" t="s">
        <v>106</v>
      </c>
      <c r="B154" s="6">
        <v>2035</v>
      </c>
      <c r="C154" s="6" t="s">
        <v>14</v>
      </c>
      <c r="D154" s="6" t="s">
        <v>100</v>
      </c>
      <c r="E154" s="6" t="s">
        <v>103</v>
      </c>
      <c r="F154" s="6"/>
      <c r="G154" s="6"/>
      <c r="H154" s="6"/>
    </row>
    <row r="155" spans="1:8" hidden="1" x14ac:dyDescent="0.25">
      <c r="A155" s="6" t="s">
        <v>106</v>
      </c>
      <c r="B155" s="6">
        <v>2035</v>
      </c>
      <c r="C155" s="6" t="s">
        <v>13</v>
      </c>
      <c r="D155" s="6" t="s">
        <v>100</v>
      </c>
      <c r="E155" s="6" t="s">
        <v>103</v>
      </c>
      <c r="F155" s="6"/>
      <c r="G155" s="6"/>
      <c r="H155" s="6"/>
    </row>
    <row r="156" spans="1:8" hidden="1" x14ac:dyDescent="0.25">
      <c r="A156" s="6" t="s">
        <v>106</v>
      </c>
      <c r="B156" s="6">
        <v>2035</v>
      </c>
      <c r="C156" s="6" t="s">
        <v>12</v>
      </c>
      <c r="D156" s="6" t="s">
        <v>100</v>
      </c>
      <c r="E156" s="6" t="s">
        <v>103</v>
      </c>
      <c r="F156" s="6"/>
      <c r="G156" s="6"/>
      <c r="H156" s="6"/>
    </row>
    <row r="157" spans="1:8" x14ac:dyDescent="0.25">
      <c r="A157" s="6" t="s">
        <v>106</v>
      </c>
      <c r="B157" s="6">
        <v>2035</v>
      </c>
      <c r="C157" s="6" t="s">
        <v>9</v>
      </c>
      <c r="D157" s="6" t="s">
        <v>100</v>
      </c>
      <c r="E157" s="6" t="s">
        <v>103</v>
      </c>
      <c r="F157" s="6"/>
      <c r="G157" s="6"/>
      <c r="H157" s="6">
        <f t="shared" ref="H157:H159" si="16">F157+G157</f>
        <v>0</v>
      </c>
    </row>
    <row r="158" spans="1:8" x14ac:dyDescent="0.25">
      <c r="A158" s="6" t="s">
        <v>106</v>
      </c>
      <c r="B158" s="6">
        <v>2035</v>
      </c>
      <c r="C158" s="6" t="s">
        <v>7</v>
      </c>
      <c r="D158" s="6" t="s">
        <v>101</v>
      </c>
      <c r="E158" s="6" t="s">
        <v>104</v>
      </c>
      <c r="F158" s="6"/>
      <c r="G158" s="6"/>
      <c r="H158" s="6">
        <f t="shared" si="16"/>
        <v>0</v>
      </c>
    </row>
    <row r="159" spans="1:8" x14ac:dyDescent="0.25">
      <c r="A159" s="6" t="s">
        <v>106</v>
      </c>
      <c r="B159" s="6">
        <v>2035</v>
      </c>
      <c r="C159" s="6" t="s">
        <v>8</v>
      </c>
      <c r="D159" s="6" t="s">
        <v>101</v>
      </c>
      <c r="E159" s="6" t="s">
        <v>104</v>
      </c>
      <c r="F159" s="6"/>
      <c r="G159" s="6"/>
      <c r="H159" s="6">
        <f t="shared" si="16"/>
        <v>0</v>
      </c>
    </row>
    <row r="160" spans="1:8" hidden="1" x14ac:dyDescent="0.25">
      <c r="A160" s="6" t="s">
        <v>106</v>
      </c>
      <c r="B160" s="6">
        <v>2035</v>
      </c>
      <c r="C160" s="6" t="s">
        <v>14</v>
      </c>
      <c r="D160" s="6" t="s">
        <v>101</v>
      </c>
      <c r="E160" s="6" t="s">
        <v>104</v>
      </c>
      <c r="F160" s="6"/>
      <c r="G160" s="6"/>
      <c r="H160" s="6"/>
    </row>
    <row r="161" spans="1:8" hidden="1" x14ac:dyDescent="0.25">
      <c r="A161" s="6" t="s">
        <v>106</v>
      </c>
      <c r="B161" s="6">
        <v>2035</v>
      </c>
      <c r="C161" s="6" t="s">
        <v>13</v>
      </c>
      <c r="D161" s="6" t="s">
        <v>101</v>
      </c>
      <c r="E161" s="6" t="s">
        <v>104</v>
      </c>
      <c r="F161" s="6"/>
      <c r="G161" s="6"/>
      <c r="H161" s="6"/>
    </row>
    <row r="162" spans="1:8" hidden="1" x14ac:dyDescent="0.25">
      <c r="A162" s="6" t="s">
        <v>106</v>
      </c>
      <c r="B162" s="6">
        <v>2035</v>
      </c>
      <c r="C162" s="6" t="s">
        <v>12</v>
      </c>
      <c r="D162" s="6" t="s">
        <v>101</v>
      </c>
      <c r="E162" s="6" t="s">
        <v>104</v>
      </c>
      <c r="F162" s="6"/>
      <c r="G162" s="6"/>
      <c r="H162" s="6"/>
    </row>
    <row r="163" spans="1:8" x14ac:dyDescent="0.25">
      <c r="A163" s="6" t="s">
        <v>106</v>
      </c>
      <c r="B163" s="6">
        <v>2035</v>
      </c>
      <c r="C163" s="6" t="s">
        <v>9</v>
      </c>
      <c r="D163" s="6" t="s">
        <v>101</v>
      </c>
      <c r="E163" s="6" t="s">
        <v>104</v>
      </c>
      <c r="F163" s="6"/>
      <c r="G163" s="6"/>
      <c r="H163" s="6">
        <f t="shared" ref="H163:H165" si="17">F163+G163</f>
        <v>0</v>
      </c>
    </row>
    <row r="164" spans="1:8" x14ac:dyDescent="0.25">
      <c r="A164" s="7" t="s">
        <v>107</v>
      </c>
      <c r="B164" s="6">
        <v>2035</v>
      </c>
      <c r="C164" s="7" t="s">
        <v>7</v>
      </c>
      <c r="D164" s="7" t="s">
        <v>99</v>
      </c>
      <c r="E164" s="7" t="s">
        <v>102</v>
      </c>
      <c r="F164" s="7"/>
      <c r="G164" s="7"/>
      <c r="H164" s="6">
        <f t="shared" si="17"/>
        <v>0</v>
      </c>
    </row>
    <row r="165" spans="1:8" x14ac:dyDescent="0.25">
      <c r="A165" s="7" t="s">
        <v>107</v>
      </c>
      <c r="B165" s="6">
        <v>2035</v>
      </c>
      <c r="C165" s="7" t="s">
        <v>8</v>
      </c>
      <c r="D165" s="7" t="s">
        <v>99</v>
      </c>
      <c r="E165" s="7" t="s">
        <v>102</v>
      </c>
      <c r="F165" s="7"/>
      <c r="G165" s="7"/>
      <c r="H165" s="6">
        <f t="shared" si="17"/>
        <v>0</v>
      </c>
    </row>
    <row r="166" spans="1:8" hidden="1" x14ac:dyDescent="0.25">
      <c r="A166" s="7" t="s">
        <v>107</v>
      </c>
      <c r="B166" s="6">
        <v>2035</v>
      </c>
      <c r="C166" s="7" t="s">
        <v>14</v>
      </c>
      <c r="D166" s="7" t="s">
        <v>99</v>
      </c>
      <c r="E166" s="7" t="s">
        <v>102</v>
      </c>
      <c r="F166" s="7"/>
      <c r="G166" s="7"/>
      <c r="H166" s="7"/>
    </row>
    <row r="167" spans="1:8" hidden="1" x14ac:dyDescent="0.25">
      <c r="A167" s="7" t="s">
        <v>107</v>
      </c>
      <c r="B167" s="6">
        <v>2035</v>
      </c>
      <c r="C167" s="7" t="s">
        <v>13</v>
      </c>
      <c r="D167" s="7" t="s">
        <v>99</v>
      </c>
      <c r="E167" s="7" t="s">
        <v>102</v>
      </c>
      <c r="F167" s="7"/>
      <c r="G167" s="7"/>
      <c r="H167" s="7"/>
    </row>
    <row r="168" spans="1:8" hidden="1" x14ac:dyDescent="0.25">
      <c r="A168" s="7" t="s">
        <v>107</v>
      </c>
      <c r="B168" s="6">
        <v>2035</v>
      </c>
      <c r="C168" s="7" t="s">
        <v>12</v>
      </c>
      <c r="D168" s="7" t="s">
        <v>99</v>
      </c>
      <c r="E168" s="7" t="s">
        <v>102</v>
      </c>
      <c r="F168" s="7"/>
      <c r="G168" s="7"/>
      <c r="H168" s="7"/>
    </row>
    <row r="169" spans="1:8" x14ac:dyDescent="0.25">
      <c r="A169" s="7" t="s">
        <v>107</v>
      </c>
      <c r="B169" s="6">
        <v>2035</v>
      </c>
      <c r="C169" s="7" t="s">
        <v>9</v>
      </c>
      <c r="D169" s="7" t="s">
        <v>99</v>
      </c>
      <c r="E169" s="7" t="s">
        <v>102</v>
      </c>
      <c r="F169" s="7"/>
      <c r="G169" s="7"/>
      <c r="H169" s="6">
        <f t="shared" ref="H169:H171" si="18">F169+G169</f>
        <v>0</v>
      </c>
    </row>
    <row r="170" spans="1:8" x14ac:dyDescent="0.25">
      <c r="A170" s="7" t="s">
        <v>107</v>
      </c>
      <c r="B170" s="6">
        <v>2035</v>
      </c>
      <c r="C170" s="7" t="s">
        <v>7</v>
      </c>
      <c r="D170" s="7" t="s">
        <v>100</v>
      </c>
      <c r="E170" s="7" t="s">
        <v>103</v>
      </c>
      <c r="F170" s="7"/>
      <c r="G170" s="7"/>
      <c r="H170" s="6">
        <f t="shared" si="18"/>
        <v>0</v>
      </c>
    </row>
    <row r="171" spans="1:8" x14ac:dyDescent="0.25">
      <c r="A171" s="7" t="s">
        <v>107</v>
      </c>
      <c r="B171" s="6">
        <v>2035</v>
      </c>
      <c r="C171" s="7" t="s">
        <v>8</v>
      </c>
      <c r="D171" s="7" t="s">
        <v>100</v>
      </c>
      <c r="E171" s="7" t="s">
        <v>103</v>
      </c>
      <c r="F171" s="7"/>
      <c r="G171" s="7"/>
      <c r="H171" s="6">
        <f t="shared" si="18"/>
        <v>0</v>
      </c>
    </row>
    <row r="172" spans="1:8" hidden="1" x14ac:dyDescent="0.25">
      <c r="A172" s="7" t="s">
        <v>107</v>
      </c>
      <c r="B172" s="6">
        <v>2035</v>
      </c>
      <c r="C172" s="7" t="s">
        <v>14</v>
      </c>
      <c r="D172" s="7" t="s">
        <v>100</v>
      </c>
      <c r="E172" s="7" t="s">
        <v>103</v>
      </c>
      <c r="F172" s="7"/>
      <c r="G172" s="7"/>
      <c r="H172" s="7"/>
    </row>
    <row r="173" spans="1:8" hidden="1" x14ac:dyDescent="0.25">
      <c r="A173" s="7" t="s">
        <v>107</v>
      </c>
      <c r="B173" s="6">
        <v>2035</v>
      </c>
      <c r="C173" s="7" t="s">
        <v>13</v>
      </c>
      <c r="D173" s="7" t="s">
        <v>100</v>
      </c>
      <c r="E173" s="7" t="s">
        <v>103</v>
      </c>
      <c r="F173" s="7"/>
      <c r="G173" s="7"/>
      <c r="H173" s="7"/>
    </row>
    <row r="174" spans="1:8" hidden="1" x14ac:dyDescent="0.25">
      <c r="A174" s="7" t="s">
        <v>107</v>
      </c>
      <c r="B174" s="6">
        <v>2035</v>
      </c>
      <c r="C174" s="7" t="s">
        <v>12</v>
      </c>
      <c r="D174" s="7" t="s">
        <v>100</v>
      </c>
      <c r="E174" s="7" t="s">
        <v>103</v>
      </c>
      <c r="F174" s="7"/>
      <c r="G174" s="7"/>
      <c r="H174" s="7"/>
    </row>
    <row r="175" spans="1:8" x14ac:dyDescent="0.25">
      <c r="A175" s="7" t="s">
        <v>107</v>
      </c>
      <c r="B175" s="6">
        <v>2035</v>
      </c>
      <c r="C175" s="7" t="s">
        <v>9</v>
      </c>
      <c r="D175" s="7" t="s">
        <v>100</v>
      </c>
      <c r="E175" s="7" t="s">
        <v>103</v>
      </c>
      <c r="F175" s="7"/>
      <c r="G175" s="7"/>
      <c r="H175" s="6">
        <f t="shared" ref="H175:H177" si="19">F175+G175</f>
        <v>0</v>
      </c>
    </row>
    <row r="176" spans="1:8" x14ac:dyDescent="0.25">
      <c r="A176" s="7" t="s">
        <v>107</v>
      </c>
      <c r="B176" s="6">
        <v>2035</v>
      </c>
      <c r="C176" s="7" t="s">
        <v>7</v>
      </c>
      <c r="D176" s="7" t="s">
        <v>101</v>
      </c>
      <c r="E176" s="7" t="s">
        <v>104</v>
      </c>
      <c r="F176" s="7"/>
      <c r="G176" s="7"/>
      <c r="H176" s="6">
        <f t="shared" si="19"/>
        <v>0</v>
      </c>
    </row>
    <row r="177" spans="1:8" x14ac:dyDescent="0.25">
      <c r="A177" s="7" t="s">
        <v>107</v>
      </c>
      <c r="B177" s="6">
        <v>2035</v>
      </c>
      <c r="C177" s="7" t="s">
        <v>8</v>
      </c>
      <c r="D177" s="7" t="s">
        <v>101</v>
      </c>
      <c r="E177" s="7" t="s">
        <v>104</v>
      </c>
      <c r="F177" s="7"/>
      <c r="G177" s="7"/>
      <c r="H177" s="6">
        <f t="shared" si="19"/>
        <v>0</v>
      </c>
    </row>
    <row r="178" spans="1:8" hidden="1" x14ac:dyDescent="0.25">
      <c r="A178" s="7" t="s">
        <v>107</v>
      </c>
      <c r="B178" s="6">
        <v>2035</v>
      </c>
      <c r="C178" s="7" t="s">
        <v>14</v>
      </c>
      <c r="D178" s="7" t="s">
        <v>101</v>
      </c>
      <c r="E178" s="7" t="s">
        <v>104</v>
      </c>
      <c r="F178" s="7"/>
      <c r="G178" s="7"/>
      <c r="H178" s="7"/>
    </row>
    <row r="179" spans="1:8" hidden="1" x14ac:dyDescent="0.25">
      <c r="A179" s="7" t="s">
        <v>107</v>
      </c>
      <c r="B179" s="6">
        <v>2035</v>
      </c>
      <c r="C179" s="7" t="s">
        <v>13</v>
      </c>
      <c r="D179" s="7" t="s">
        <v>101</v>
      </c>
      <c r="E179" s="7" t="s">
        <v>104</v>
      </c>
      <c r="F179" s="7"/>
      <c r="G179" s="7"/>
      <c r="H179" s="7"/>
    </row>
    <row r="180" spans="1:8" hidden="1" x14ac:dyDescent="0.25">
      <c r="A180" s="7" t="s">
        <v>107</v>
      </c>
      <c r="B180" s="6">
        <v>2035</v>
      </c>
      <c r="C180" s="7" t="s">
        <v>12</v>
      </c>
      <c r="D180" s="7" t="s">
        <v>101</v>
      </c>
      <c r="E180" s="7" t="s">
        <v>104</v>
      </c>
      <c r="F180" s="7"/>
      <c r="G180" s="7"/>
      <c r="H180" s="7"/>
    </row>
    <row r="181" spans="1:8" x14ac:dyDescent="0.25">
      <c r="A181" s="7" t="s">
        <v>107</v>
      </c>
      <c r="B181" s="6">
        <v>2035</v>
      </c>
      <c r="C181" s="7" t="s">
        <v>9</v>
      </c>
      <c r="D181" s="7" t="s">
        <v>101</v>
      </c>
      <c r="E181" s="7" t="s">
        <v>104</v>
      </c>
      <c r="F181" s="7"/>
      <c r="G181" s="7"/>
      <c r="H181" s="6">
        <f t="shared" ref="H181:H183" si="20">F181+G181</f>
        <v>0</v>
      </c>
    </row>
    <row r="182" spans="1:8" x14ac:dyDescent="0.25">
      <c r="A182" s="8" t="s">
        <v>108</v>
      </c>
      <c r="B182" s="6">
        <v>2035</v>
      </c>
      <c r="C182" s="8" t="s">
        <v>7</v>
      </c>
      <c r="D182" s="8" t="s">
        <v>99</v>
      </c>
      <c r="E182" s="8" t="s">
        <v>102</v>
      </c>
      <c r="F182" s="8"/>
      <c r="G182" s="8"/>
      <c r="H182" s="6">
        <f t="shared" si="20"/>
        <v>0</v>
      </c>
    </row>
    <row r="183" spans="1:8" x14ac:dyDescent="0.25">
      <c r="A183" s="8" t="s">
        <v>108</v>
      </c>
      <c r="B183" s="6">
        <v>2035</v>
      </c>
      <c r="C183" s="8" t="s">
        <v>8</v>
      </c>
      <c r="D183" s="8" t="s">
        <v>99</v>
      </c>
      <c r="E183" s="8" t="s">
        <v>102</v>
      </c>
      <c r="F183" s="8"/>
      <c r="G183" s="8"/>
      <c r="H183" s="6">
        <f t="shared" si="20"/>
        <v>0</v>
      </c>
    </row>
    <row r="184" spans="1:8" hidden="1" x14ac:dyDescent="0.25">
      <c r="A184" s="8" t="s">
        <v>108</v>
      </c>
      <c r="B184" s="6">
        <v>2035</v>
      </c>
      <c r="C184" s="8" t="s">
        <v>14</v>
      </c>
      <c r="D184" s="8" t="s">
        <v>99</v>
      </c>
      <c r="E184" s="8" t="s">
        <v>102</v>
      </c>
      <c r="F184" s="8"/>
      <c r="G184" s="8"/>
      <c r="H184" s="8"/>
    </row>
    <row r="185" spans="1:8" hidden="1" x14ac:dyDescent="0.25">
      <c r="A185" s="8" t="s">
        <v>108</v>
      </c>
      <c r="B185" s="6">
        <v>2035</v>
      </c>
      <c r="C185" s="8" t="s">
        <v>13</v>
      </c>
      <c r="D185" s="8" t="s">
        <v>99</v>
      </c>
      <c r="E185" s="8" t="s">
        <v>102</v>
      </c>
      <c r="F185" s="8"/>
      <c r="G185" s="8"/>
      <c r="H185" s="8"/>
    </row>
    <row r="186" spans="1:8" hidden="1" x14ac:dyDescent="0.25">
      <c r="A186" s="8" t="s">
        <v>108</v>
      </c>
      <c r="B186" s="6">
        <v>2035</v>
      </c>
      <c r="C186" s="8" t="s">
        <v>12</v>
      </c>
      <c r="D186" s="8" t="s">
        <v>99</v>
      </c>
      <c r="E186" s="8" t="s">
        <v>102</v>
      </c>
      <c r="F186" s="8"/>
      <c r="G186" s="8"/>
      <c r="H186" s="8"/>
    </row>
    <row r="187" spans="1:8" x14ac:dyDescent="0.25">
      <c r="A187" s="8" t="s">
        <v>108</v>
      </c>
      <c r="B187" s="6">
        <v>2035</v>
      </c>
      <c r="C187" s="8" t="s">
        <v>9</v>
      </c>
      <c r="D187" s="8" t="s">
        <v>99</v>
      </c>
      <c r="E187" s="8" t="s">
        <v>102</v>
      </c>
      <c r="F187" s="8"/>
      <c r="G187" s="8"/>
      <c r="H187" s="6">
        <f t="shared" ref="H187:H189" si="21">F187+G187</f>
        <v>0</v>
      </c>
    </row>
    <row r="188" spans="1:8" x14ac:dyDescent="0.25">
      <c r="A188" s="8" t="s">
        <v>108</v>
      </c>
      <c r="B188" s="6">
        <v>2035</v>
      </c>
      <c r="C188" s="8" t="s">
        <v>7</v>
      </c>
      <c r="D188" s="8" t="s">
        <v>100</v>
      </c>
      <c r="E188" s="8" t="s">
        <v>103</v>
      </c>
      <c r="F188" s="8"/>
      <c r="G188" s="8"/>
      <c r="H188" s="6">
        <f t="shared" si="21"/>
        <v>0</v>
      </c>
    </row>
    <row r="189" spans="1:8" x14ac:dyDescent="0.25">
      <c r="A189" s="8" t="s">
        <v>108</v>
      </c>
      <c r="B189" s="6">
        <v>2035</v>
      </c>
      <c r="C189" s="8" t="s">
        <v>8</v>
      </c>
      <c r="D189" s="8" t="s">
        <v>100</v>
      </c>
      <c r="E189" s="8" t="s">
        <v>103</v>
      </c>
      <c r="F189" s="8"/>
      <c r="G189" s="8"/>
      <c r="H189" s="6">
        <f t="shared" si="21"/>
        <v>0</v>
      </c>
    </row>
    <row r="190" spans="1:8" hidden="1" x14ac:dyDescent="0.25">
      <c r="A190" s="8" t="s">
        <v>108</v>
      </c>
      <c r="B190" s="6">
        <v>2035</v>
      </c>
      <c r="C190" s="8" t="s">
        <v>14</v>
      </c>
      <c r="D190" s="8" t="s">
        <v>100</v>
      </c>
      <c r="E190" s="8" t="s">
        <v>103</v>
      </c>
      <c r="F190" s="8"/>
      <c r="G190" s="8"/>
      <c r="H190" s="8"/>
    </row>
    <row r="191" spans="1:8" hidden="1" x14ac:dyDescent="0.25">
      <c r="A191" s="8" t="s">
        <v>108</v>
      </c>
      <c r="B191" s="6">
        <v>2035</v>
      </c>
      <c r="C191" s="8" t="s">
        <v>13</v>
      </c>
      <c r="D191" s="8" t="s">
        <v>100</v>
      </c>
      <c r="E191" s="8" t="s">
        <v>103</v>
      </c>
      <c r="F191" s="8"/>
      <c r="G191" s="8"/>
      <c r="H191" s="8"/>
    </row>
    <row r="192" spans="1:8" hidden="1" x14ac:dyDescent="0.25">
      <c r="A192" s="8" t="s">
        <v>108</v>
      </c>
      <c r="B192" s="6">
        <v>2035</v>
      </c>
      <c r="C192" s="8" t="s">
        <v>12</v>
      </c>
      <c r="D192" s="8" t="s">
        <v>100</v>
      </c>
      <c r="E192" s="8" t="s">
        <v>103</v>
      </c>
      <c r="F192" s="8"/>
      <c r="G192" s="8"/>
      <c r="H192" s="8"/>
    </row>
    <row r="193" spans="1:8" x14ac:dyDescent="0.25">
      <c r="A193" s="8" t="s">
        <v>108</v>
      </c>
      <c r="B193" s="6">
        <v>2035</v>
      </c>
      <c r="C193" s="8" t="s">
        <v>9</v>
      </c>
      <c r="D193" s="8" t="s">
        <v>100</v>
      </c>
      <c r="E193" s="8" t="s">
        <v>103</v>
      </c>
      <c r="F193" s="8"/>
      <c r="G193" s="8"/>
      <c r="H193" s="6">
        <f t="shared" ref="H193:H195" si="22">F193+G193</f>
        <v>0</v>
      </c>
    </row>
    <row r="194" spans="1:8" x14ac:dyDescent="0.25">
      <c r="A194" s="8" t="s">
        <v>108</v>
      </c>
      <c r="B194" s="6">
        <v>2035</v>
      </c>
      <c r="C194" s="8" t="s">
        <v>7</v>
      </c>
      <c r="D194" s="8" t="s">
        <v>101</v>
      </c>
      <c r="E194" s="8" t="s">
        <v>104</v>
      </c>
      <c r="F194" s="8"/>
      <c r="G194" s="8"/>
      <c r="H194" s="6">
        <f t="shared" si="22"/>
        <v>0</v>
      </c>
    </row>
    <row r="195" spans="1:8" x14ac:dyDescent="0.25">
      <c r="A195" s="8" t="s">
        <v>108</v>
      </c>
      <c r="B195" s="6">
        <v>2035</v>
      </c>
      <c r="C195" s="8" t="s">
        <v>8</v>
      </c>
      <c r="D195" s="8" t="s">
        <v>101</v>
      </c>
      <c r="E195" s="8" t="s">
        <v>104</v>
      </c>
      <c r="F195" s="8"/>
      <c r="G195" s="8"/>
      <c r="H195" s="6">
        <f t="shared" si="22"/>
        <v>0</v>
      </c>
    </row>
    <row r="196" spans="1:8" hidden="1" x14ac:dyDescent="0.25">
      <c r="A196" s="8" t="s">
        <v>108</v>
      </c>
      <c r="B196" s="6">
        <v>2035</v>
      </c>
      <c r="C196" s="8" t="s">
        <v>14</v>
      </c>
      <c r="D196" s="8" t="s">
        <v>101</v>
      </c>
      <c r="E196" s="8" t="s">
        <v>104</v>
      </c>
      <c r="F196" s="8"/>
      <c r="G196" s="8"/>
      <c r="H196" s="8"/>
    </row>
    <row r="197" spans="1:8" hidden="1" x14ac:dyDescent="0.25">
      <c r="A197" s="8" t="s">
        <v>108</v>
      </c>
      <c r="B197" s="6">
        <v>2035</v>
      </c>
      <c r="C197" s="8" t="s">
        <v>13</v>
      </c>
      <c r="D197" s="8" t="s">
        <v>101</v>
      </c>
      <c r="E197" s="8" t="s">
        <v>104</v>
      </c>
      <c r="F197" s="8"/>
      <c r="G197" s="8"/>
      <c r="H197" s="8"/>
    </row>
    <row r="198" spans="1:8" hidden="1" x14ac:dyDescent="0.25">
      <c r="A198" s="8" t="s">
        <v>108</v>
      </c>
      <c r="B198" s="6">
        <v>2035</v>
      </c>
      <c r="C198" s="8" t="s">
        <v>12</v>
      </c>
      <c r="D198" s="8" t="s">
        <v>101</v>
      </c>
      <c r="E198" s="8" t="s">
        <v>104</v>
      </c>
      <c r="F198" s="8"/>
      <c r="G198" s="8"/>
      <c r="H198" s="8"/>
    </row>
    <row r="199" spans="1:8" x14ac:dyDescent="0.25">
      <c r="A199" s="8" t="s">
        <v>108</v>
      </c>
      <c r="B199" s="6">
        <v>2035</v>
      </c>
      <c r="C199" s="8" t="s">
        <v>9</v>
      </c>
      <c r="D199" s="8" t="s">
        <v>101</v>
      </c>
      <c r="E199" s="8" t="s">
        <v>104</v>
      </c>
      <c r="F199" s="8"/>
      <c r="G199" s="8"/>
      <c r="H199" s="6">
        <f t="shared" ref="H199:H201" si="23">F199+G199</f>
        <v>0</v>
      </c>
    </row>
    <row r="200" spans="1:8" x14ac:dyDescent="0.25">
      <c r="A200" s="9" t="s">
        <v>109</v>
      </c>
      <c r="B200" s="6">
        <v>2035</v>
      </c>
      <c r="C200" s="9" t="s">
        <v>7</v>
      </c>
      <c r="D200" s="9" t="s">
        <v>99</v>
      </c>
      <c r="E200" s="9" t="s">
        <v>102</v>
      </c>
      <c r="F200" s="9"/>
      <c r="G200" s="9"/>
      <c r="H200" s="6">
        <f t="shared" si="23"/>
        <v>0</v>
      </c>
    </row>
    <row r="201" spans="1:8" x14ac:dyDescent="0.25">
      <c r="A201" s="9" t="s">
        <v>109</v>
      </c>
      <c r="B201" s="6">
        <v>2035</v>
      </c>
      <c r="C201" s="9" t="s">
        <v>8</v>
      </c>
      <c r="D201" s="9" t="s">
        <v>99</v>
      </c>
      <c r="E201" s="9" t="s">
        <v>102</v>
      </c>
      <c r="F201" s="9"/>
      <c r="G201" s="9"/>
      <c r="H201" s="6">
        <f t="shared" si="23"/>
        <v>0</v>
      </c>
    </row>
    <row r="202" spans="1:8" hidden="1" x14ac:dyDescent="0.25">
      <c r="A202" s="9" t="s">
        <v>109</v>
      </c>
      <c r="B202" s="6">
        <v>2035</v>
      </c>
      <c r="C202" s="9" t="s">
        <v>14</v>
      </c>
      <c r="D202" s="9" t="s">
        <v>99</v>
      </c>
      <c r="E202" s="9" t="s">
        <v>102</v>
      </c>
      <c r="F202" s="9"/>
      <c r="G202" s="9"/>
      <c r="H202" s="9"/>
    </row>
    <row r="203" spans="1:8" hidden="1" x14ac:dyDescent="0.25">
      <c r="A203" s="9" t="s">
        <v>109</v>
      </c>
      <c r="B203" s="6">
        <v>2035</v>
      </c>
      <c r="C203" s="9" t="s">
        <v>13</v>
      </c>
      <c r="D203" s="9" t="s">
        <v>99</v>
      </c>
      <c r="E203" s="9" t="s">
        <v>102</v>
      </c>
      <c r="F203" s="9"/>
      <c r="G203" s="9"/>
      <c r="H203" s="9"/>
    </row>
    <row r="204" spans="1:8" hidden="1" x14ac:dyDescent="0.25">
      <c r="A204" s="9" t="s">
        <v>109</v>
      </c>
      <c r="B204" s="6">
        <v>2035</v>
      </c>
      <c r="C204" s="9" t="s">
        <v>12</v>
      </c>
      <c r="D204" s="9" t="s">
        <v>99</v>
      </c>
      <c r="E204" s="9" t="s">
        <v>102</v>
      </c>
      <c r="F204" s="9"/>
      <c r="G204" s="9"/>
      <c r="H204" s="9"/>
    </row>
    <row r="205" spans="1:8" x14ac:dyDescent="0.25">
      <c r="A205" s="9" t="s">
        <v>109</v>
      </c>
      <c r="B205" s="6">
        <v>2035</v>
      </c>
      <c r="C205" s="9" t="s">
        <v>9</v>
      </c>
      <c r="D205" s="9" t="s">
        <v>99</v>
      </c>
      <c r="E205" s="9" t="s">
        <v>102</v>
      </c>
      <c r="F205" s="9"/>
      <c r="G205" s="9"/>
      <c r="H205" s="6">
        <f t="shared" ref="H205:H207" si="24">F205+G205</f>
        <v>0</v>
      </c>
    </row>
    <row r="206" spans="1:8" x14ac:dyDescent="0.25">
      <c r="A206" s="9" t="s">
        <v>109</v>
      </c>
      <c r="B206" s="6">
        <v>2035</v>
      </c>
      <c r="C206" s="9" t="s">
        <v>7</v>
      </c>
      <c r="D206" s="9" t="s">
        <v>100</v>
      </c>
      <c r="E206" s="9" t="s">
        <v>103</v>
      </c>
      <c r="F206" s="9"/>
      <c r="G206" s="9"/>
      <c r="H206" s="6">
        <f t="shared" si="24"/>
        <v>0</v>
      </c>
    </row>
    <row r="207" spans="1:8" x14ac:dyDescent="0.25">
      <c r="A207" s="9" t="s">
        <v>109</v>
      </c>
      <c r="B207" s="6">
        <v>2035</v>
      </c>
      <c r="C207" s="9" t="s">
        <v>8</v>
      </c>
      <c r="D207" s="9" t="s">
        <v>100</v>
      </c>
      <c r="E207" s="9" t="s">
        <v>103</v>
      </c>
      <c r="F207" s="9"/>
      <c r="G207" s="9"/>
      <c r="H207" s="6">
        <f t="shared" si="24"/>
        <v>0</v>
      </c>
    </row>
    <row r="208" spans="1:8" hidden="1" x14ac:dyDescent="0.25">
      <c r="A208" s="9" t="s">
        <v>109</v>
      </c>
      <c r="B208" s="6">
        <v>2035</v>
      </c>
      <c r="C208" s="9" t="s">
        <v>14</v>
      </c>
      <c r="D208" s="9" t="s">
        <v>100</v>
      </c>
      <c r="E208" s="9" t="s">
        <v>103</v>
      </c>
      <c r="F208" s="9"/>
      <c r="G208" s="9"/>
      <c r="H208" s="9"/>
    </row>
    <row r="209" spans="1:8" hidden="1" x14ac:dyDescent="0.25">
      <c r="A209" s="9" t="s">
        <v>109</v>
      </c>
      <c r="B209" s="6">
        <v>2035</v>
      </c>
      <c r="C209" s="9" t="s">
        <v>13</v>
      </c>
      <c r="D209" s="9" t="s">
        <v>100</v>
      </c>
      <c r="E209" s="9" t="s">
        <v>103</v>
      </c>
      <c r="F209" s="9"/>
      <c r="G209" s="9"/>
      <c r="H209" s="9"/>
    </row>
    <row r="210" spans="1:8" hidden="1" x14ac:dyDescent="0.25">
      <c r="A210" s="9" t="s">
        <v>109</v>
      </c>
      <c r="B210" s="6">
        <v>2035</v>
      </c>
      <c r="C210" s="9" t="s">
        <v>12</v>
      </c>
      <c r="D210" s="9" t="s">
        <v>100</v>
      </c>
      <c r="E210" s="9" t="s">
        <v>103</v>
      </c>
      <c r="F210" s="9"/>
      <c r="G210" s="9"/>
      <c r="H210" s="9"/>
    </row>
    <row r="211" spans="1:8" x14ac:dyDescent="0.25">
      <c r="A211" s="9" t="s">
        <v>109</v>
      </c>
      <c r="B211" s="6">
        <v>2035</v>
      </c>
      <c r="C211" s="9" t="s">
        <v>9</v>
      </c>
      <c r="D211" s="9" t="s">
        <v>100</v>
      </c>
      <c r="E211" s="9" t="s">
        <v>103</v>
      </c>
      <c r="F211" s="9"/>
      <c r="G211" s="9"/>
      <c r="H211" s="6">
        <f t="shared" ref="H211:H213" si="25">F211+G211</f>
        <v>0</v>
      </c>
    </row>
    <row r="212" spans="1:8" x14ac:dyDescent="0.25">
      <c r="A212" s="9" t="s">
        <v>109</v>
      </c>
      <c r="B212" s="6">
        <v>2035</v>
      </c>
      <c r="C212" s="9" t="s">
        <v>7</v>
      </c>
      <c r="D212" s="9" t="s">
        <v>101</v>
      </c>
      <c r="E212" s="9" t="s">
        <v>104</v>
      </c>
      <c r="F212" s="9"/>
      <c r="G212" s="9"/>
      <c r="H212" s="6">
        <f t="shared" si="25"/>
        <v>0</v>
      </c>
    </row>
    <row r="213" spans="1:8" x14ac:dyDescent="0.25">
      <c r="A213" s="9" t="s">
        <v>109</v>
      </c>
      <c r="B213" s="6">
        <v>2035</v>
      </c>
      <c r="C213" s="9" t="s">
        <v>8</v>
      </c>
      <c r="D213" s="9" t="s">
        <v>101</v>
      </c>
      <c r="E213" s="9" t="s">
        <v>104</v>
      </c>
      <c r="F213" s="9"/>
      <c r="G213" s="9"/>
      <c r="H213" s="6">
        <f t="shared" si="25"/>
        <v>0</v>
      </c>
    </row>
    <row r="214" spans="1:8" hidden="1" x14ac:dyDescent="0.25">
      <c r="A214" s="9" t="s">
        <v>109</v>
      </c>
      <c r="B214" s="6">
        <v>2035</v>
      </c>
      <c r="C214" s="9" t="s">
        <v>14</v>
      </c>
      <c r="D214" s="9" t="s">
        <v>101</v>
      </c>
      <c r="E214" s="9" t="s">
        <v>104</v>
      </c>
      <c r="F214" s="9"/>
      <c r="G214" s="9"/>
      <c r="H214" s="9"/>
    </row>
    <row r="215" spans="1:8" hidden="1" x14ac:dyDescent="0.25">
      <c r="A215" s="9" t="s">
        <v>109</v>
      </c>
      <c r="B215" s="6">
        <v>2035</v>
      </c>
      <c r="C215" s="9" t="s">
        <v>13</v>
      </c>
      <c r="D215" s="9" t="s">
        <v>101</v>
      </c>
      <c r="E215" s="9" t="s">
        <v>104</v>
      </c>
      <c r="F215" s="9"/>
      <c r="G215" s="9"/>
      <c r="H215" s="9"/>
    </row>
    <row r="216" spans="1:8" hidden="1" x14ac:dyDescent="0.25">
      <c r="A216" s="9" t="s">
        <v>109</v>
      </c>
      <c r="B216" s="6">
        <v>2035</v>
      </c>
      <c r="C216" s="9" t="s">
        <v>12</v>
      </c>
      <c r="D216" s="9" t="s">
        <v>101</v>
      </c>
      <c r="E216" s="9" t="s">
        <v>104</v>
      </c>
      <c r="F216" s="9"/>
      <c r="G216" s="9"/>
      <c r="H216" s="9"/>
    </row>
    <row r="217" spans="1:8" x14ac:dyDescent="0.25">
      <c r="A217" s="9" t="s">
        <v>109</v>
      </c>
      <c r="B217" s="6">
        <v>2035</v>
      </c>
      <c r="C217" s="9" t="s">
        <v>9</v>
      </c>
      <c r="D217" s="9" t="s">
        <v>101</v>
      </c>
      <c r="E217" s="9" t="s">
        <v>104</v>
      </c>
      <c r="F217" s="9"/>
      <c r="G217" s="9"/>
      <c r="H217" s="6">
        <f t="shared" ref="H217:H219" si="26">F217+G217</f>
        <v>0</v>
      </c>
    </row>
    <row r="218" spans="1:8" x14ac:dyDescent="0.25">
      <c r="A218" s="6" t="s">
        <v>106</v>
      </c>
      <c r="B218" s="6">
        <v>2040</v>
      </c>
      <c r="C218" s="6" t="s">
        <v>7</v>
      </c>
      <c r="D218" s="6" t="s">
        <v>99</v>
      </c>
      <c r="E218" s="6" t="s">
        <v>102</v>
      </c>
      <c r="F218" s="6"/>
      <c r="G218" s="6"/>
      <c r="H218" s="6">
        <f t="shared" si="26"/>
        <v>0</v>
      </c>
    </row>
    <row r="219" spans="1:8" x14ac:dyDescent="0.25">
      <c r="A219" s="6" t="s">
        <v>106</v>
      </c>
      <c r="B219" s="6">
        <v>2040</v>
      </c>
      <c r="C219" s="6" t="s">
        <v>8</v>
      </c>
      <c r="D219" s="6" t="s">
        <v>99</v>
      </c>
      <c r="E219" s="6" t="s">
        <v>102</v>
      </c>
      <c r="F219" s="6"/>
      <c r="G219" s="6"/>
      <c r="H219" s="6">
        <f t="shared" si="26"/>
        <v>0</v>
      </c>
    </row>
    <row r="220" spans="1:8" hidden="1" x14ac:dyDescent="0.25">
      <c r="A220" s="6" t="s">
        <v>106</v>
      </c>
      <c r="B220" s="6">
        <v>2040</v>
      </c>
      <c r="C220" s="6" t="s">
        <v>14</v>
      </c>
      <c r="D220" s="6" t="s">
        <v>99</v>
      </c>
      <c r="E220" s="6" t="s">
        <v>102</v>
      </c>
      <c r="F220" s="6"/>
      <c r="G220" s="6"/>
      <c r="H220" s="6"/>
    </row>
    <row r="221" spans="1:8" hidden="1" x14ac:dyDescent="0.25">
      <c r="A221" s="6" t="s">
        <v>106</v>
      </c>
      <c r="B221" s="6">
        <v>2040</v>
      </c>
      <c r="C221" s="6" t="s">
        <v>13</v>
      </c>
      <c r="D221" s="6" t="s">
        <v>99</v>
      </c>
      <c r="E221" s="6" t="s">
        <v>102</v>
      </c>
      <c r="F221" s="6"/>
      <c r="G221" s="6"/>
      <c r="H221" s="6"/>
    </row>
    <row r="222" spans="1:8" hidden="1" x14ac:dyDescent="0.25">
      <c r="A222" s="6" t="s">
        <v>106</v>
      </c>
      <c r="B222" s="6">
        <v>2040</v>
      </c>
      <c r="C222" s="6" t="s">
        <v>12</v>
      </c>
      <c r="D222" s="6" t="s">
        <v>99</v>
      </c>
      <c r="E222" s="6" t="s">
        <v>102</v>
      </c>
      <c r="F222" s="6"/>
      <c r="G222" s="6"/>
      <c r="H222" s="6"/>
    </row>
    <row r="223" spans="1:8" x14ac:dyDescent="0.25">
      <c r="A223" s="6" t="s">
        <v>106</v>
      </c>
      <c r="B223" s="6">
        <v>2040</v>
      </c>
      <c r="C223" s="6" t="s">
        <v>9</v>
      </c>
      <c r="D223" s="6" t="s">
        <v>99</v>
      </c>
      <c r="E223" s="6" t="s">
        <v>102</v>
      </c>
      <c r="F223" s="6"/>
      <c r="G223" s="6"/>
      <c r="H223" s="6">
        <f t="shared" ref="H223:H225" si="27">F223+G223</f>
        <v>0</v>
      </c>
    </row>
    <row r="224" spans="1:8" x14ac:dyDescent="0.25">
      <c r="A224" s="6" t="s">
        <v>106</v>
      </c>
      <c r="B224" s="6">
        <v>2040</v>
      </c>
      <c r="C224" s="6" t="s">
        <v>7</v>
      </c>
      <c r="D224" s="6" t="s">
        <v>100</v>
      </c>
      <c r="E224" s="6" t="s">
        <v>103</v>
      </c>
      <c r="F224" s="6"/>
      <c r="G224" s="6"/>
      <c r="H224" s="6">
        <f t="shared" si="27"/>
        <v>0</v>
      </c>
    </row>
    <row r="225" spans="1:8" x14ac:dyDescent="0.25">
      <c r="A225" s="6" t="s">
        <v>106</v>
      </c>
      <c r="B225" s="6">
        <v>2040</v>
      </c>
      <c r="C225" s="6" t="s">
        <v>8</v>
      </c>
      <c r="D225" s="6" t="s">
        <v>100</v>
      </c>
      <c r="E225" s="6" t="s">
        <v>103</v>
      </c>
      <c r="F225" s="6"/>
      <c r="G225" s="6"/>
      <c r="H225" s="6">
        <f t="shared" si="27"/>
        <v>0</v>
      </c>
    </row>
    <row r="226" spans="1:8" hidden="1" x14ac:dyDescent="0.25">
      <c r="A226" s="6" t="s">
        <v>106</v>
      </c>
      <c r="B226" s="6">
        <v>2040</v>
      </c>
      <c r="C226" s="6" t="s">
        <v>14</v>
      </c>
      <c r="D226" s="6" t="s">
        <v>100</v>
      </c>
      <c r="E226" s="6" t="s">
        <v>103</v>
      </c>
      <c r="F226" s="6"/>
      <c r="G226" s="6"/>
      <c r="H226" s="6"/>
    </row>
    <row r="227" spans="1:8" hidden="1" x14ac:dyDescent="0.25">
      <c r="A227" s="6" t="s">
        <v>106</v>
      </c>
      <c r="B227" s="6">
        <v>2040</v>
      </c>
      <c r="C227" s="6" t="s">
        <v>13</v>
      </c>
      <c r="D227" s="6" t="s">
        <v>100</v>
      </c>
      <c r="E227" s="6" t="s">
        <v>103</v>
      </c>
      <c r="F227" s="6"/>
      <c r="G227" s="6"/>
      <c r="H227" s="6"/>
    </row>
    <row r="228" spans="1:8" hidden="1" x14ac:dyDescent="0.25">
      <c r="A228" s="6" t="s">
        <v>106</v>
      </c>
      <c r="B228" s="6">
        <v>2040</v>
      </c>
      <c r="C228" s="6" t="s">
        <v>12</v>
      </c>
      <c r="D228" s="6" t="s">
        <v>100</v>
      </c>
      <c r="E228" s="6" t="s">
        <v>103</v>
      </c>
      <c r="F228" s="6"/>
      <c r="G228" s="6"/>
      <c r="H228" s="6"/>
    </row>
    <row r="229" spans="1:8" x14ac:dyDescent="0.25">
      <c r="A229" s="6" t="s">
        <v>106</v>
      </c>
      <c r="B229" s="6">
        <v>2040</v>
      </c>
      <c r="C229" s="6" t="s">
        <v>9</v>
      </c>
      <c r="D229" s="6" t="s">
        <v>100</v>
      </c>
      <c r="E229" s="6" t="s">
        <v>103</v>
      </c>
      <c r="F229" s="6"/>
      <c r="G229" s="6"/>
      <c r="H229" s="6">
        <f t="shared" ref="H229:H231" si="28">F229+G229</f>
        <v>0</v>
      </c>
    </row>
    <row r="230" spans="1:8" x14ac:dyDescent="0.25">
      <c r="A230" s="6" t="s">
        <v>106</v>
      </c>
      <c r="B230" s="6">
        <v>2040</v>
      </c>
      <c r="C230" s="6" t="s">
        <v>7</v>
      </c>
      <c r="D230" s="6" t="s">
        <v>101</v>
      </c>
      <c r="E230" s="6" t="s">
        <v>104</v>
      </c>
      <c r="F230" s="6"/>
      <c r="G230" s="6"/>
      <c r="H230" s="6">
        <f t="shared" si="28"/>
        <v>0</v>
      </c>
    </row>
    <row r="231" spans="1:8" x14ac:dyDescent="0.25">
      <c r="A231" s="6" t="s">
        <v>106</v>
      </c>
      <c r="B231" s="6">
        <v>2040</v>
      </c>
      <c r="C231" s="6" t="s">
        <v>8</v>
      </c>
      <c r="D231" s="6" t="s">
        <v>101</v>
      </c>
      <c r="E231" s="6" t="s">
        <v>104</v>
      </c>
      <c r="F231" s="6"/>
      <c r="G231" s="6"/>
      <c r="H231" s="6">
        <f t="shared" si="28"/>
        <v>0</v>
      </c>
    </row>
    <row r="232" spans="1:8" hidden="1" x14ac:dyDescent="0.25">
      <c r="A232" s="6" t="s">
        <v>106</v>
      </c>
      <c r="B232" s="6">
        <v>2040</v>
      </c>
      <c r="C232" s="6" t="s">
        <v>14</v>
      </c>
      <c r="D232" s="6" t="s">
        <v>101</v>
      </c>
      <c r="E232" s="6" t="s">
        <v>104</v>
      </c>
      <c r="F232" s="6"/>
      <c r="G232" s="6"/>
      <c r="H232" s="6"/>
    </row>
    <row r="233" spans="1:8" hidden="1" x14ac:dyDescent="0.25">
      <c r="A233" s="6" t="s">
        <v>106</v>
      </c>
      <c r="B233" s="6">
        <v>2040</v>
      </c>
      <c r="C233" s="6" t="s">
        <v>13</v>
      </c>
      <c r="D233" s="6" t="s">
        <v>101</v>
      </c>
      <c r="E233" s="6" t="s">
        <v>104</v>
      </c>
      <c r="F233" s="6"/>
      <c r="G233" s="6"/>
      <c r="H233" s="6"/>
    </row>
    <row r="234" spans="1:8" hidden="1" x14ac:dyDescent="0.25">
      <c r="A234" s="6" t="s">
        <v>106</v>
      </c>
      <c r="B234" s="6">
        <v>2040</v>
      </c>
      <c r="C234" s="6" t="s">
        <v>12</v>
      </c>
      <c r="D234" s="6" t="s">
        <v>101</v>
      </c>
      <c r="E234" s="6" t="s">
        <v>104</v>
      </c>
      <c r="F234" s="6"/>
      <c r="G234" s="6"/>
      <c r="H234" s="6"/>
    </row>
    <row r="235" spans="1:8" x14ac:dyDescent="0.25">
      <c r="A235" s="6" t="s">
        <v>106</v>
      </c>
      <c r="B235" s="6">
        <v>2040</v>
      </c>
      <c r="C235" s="6" t="s">
        <v>9</v>
      </c>
      <c r="D235" s="6" t="s">
        <v>101</v>
      </c>
      <c r="E235" s="6" t="s">
        <v>104</v>
      </c>
      <c r="F235" s="6"/>
      <c r="G235" s="6"/>
      <c r="H235" s="6">
        <f t="shared" ref="H235:H237" si="29">F235+G235</f>
        <v>0</v>
      </c>
    </row>
    <row r="236" spans="1:8" x14ac:dyDescent="0.25">
      <c r="A236" s="7" t="s">
        <v>107</v>
      </c>
      <c r="B236" s="6">
        <v>2040</v>
      </c>
      <c r="C236" s="7" t="s">
        <v>7</v>
      </c>
      <c r="D236" s="7" t="s">
        <v>99</v>
      </c>
      <c r="E236" s="7" t="s">
        <v>102</v>
      </c>
      <c r="F236" s="7"/>
      <c r="G236" s="7"/>
      <c r="H236" s="6">
        <f t="shared" si="29"/>
        <v>0</v>
      </c>
    </row>
    <row r="237" spans="1:8" x14ac:dyDescent="0.25">
      <c r="A237" s="7" t="s">
        <v>107</v>
      </c>
      <c r="B237" s="6">
        <v>2040</v>
      </c>
      <c r="C237" s="7" t="s">
        <v>8</v>
      </c>
      <c r="D237" s="7" t="s">
        <v>99</v>
      </c>
      <c r="E237" s="7" t="s">
        <v>102</v>
      </c>
      <c r="F237" s="7"/>
      <c r="G237" s="7"/>
      <c r="H237" s="6">
        <f t="shared" si="29"/>
        <v>0</v>
      </c>
    </row>
    <row r="238" spans="1:8" hidden="1" x14ac:dyDescent="0.25">
      <c r="A238" s="7" t="s">
        <v>107</v>
      </c>
      <c r="B238" s="6">
        <v>2040</v>
      </c>
      <c r="C238" s="7" t="s">
        <v>14</v>
      </c>
      <c r="D238" s="7" t="s">
        <v>99</v>
      </c>
      <c r="E238" s="7" t="s">
        <v>102</v>
      </c>
      <c r="F238" s="7"/>
      <c r="G238" s="7"/>
      <c r="H238" s="7"/>
    </row>
    <row r="239" spans="1:8" hidden="1" x14ac:dyDescent="0.25">
      <c r="A239" s="7" t="s">
        <v>107</v>
      </c>
      <c r="B239" s="6">
        <v>2040</v>
      </c>
      <c r="C239" s="7" t="s">
        <v>13</v>
      </c>
      <c r="D239" s="7" t="s">
        <v>99</v>
      </c>
      <c r="E239" s="7" t="s">
        <v>102</v>
      </c>
      <c r="F239" s="7"/>
      <c r="G239" s="7"/>
      <c r="H239" s="7"/>
    </row>
    <row r="240" spans="1:8" hidden="1" x14ac:dyDescent="0.25">
      <c r="A240" s="7" t="s">
        <v>107</v>
      </c>
      <c r="B240" s="6">
        <v>2040</v>
      </c>
      <c r="C240" s="7" t="s">
        <v>12</v>
      </c>
      <c r="D240" s="7" t="s">
        <v>99</v>
      </c>
      <c r="E240" s="7" t="s">
        <v>102</v>
      </c>
      <c r="F240" s="7"/>
      <c r="G240" s="7"/>
      <c r="H240" s="7"/>
    </row>
    <row r="241" spans="1:8" x14ac:dyDescent="0.25">
      <c r="A241" s="7" t="s">
        <v>107</v>
      </c>
      <c r="B241" s="6">
        <v>2040</v>
      </c>
      <c r="C241" s="7" t="s">
        <v>9</v>
      </c>
      <c r="D241" s="7" t="s">
        <v>99</v>
      </c>
      <c r="E241" s="7" t="s">
        <v>102</v>
      </c>
      <c r="F241" s="7"/>
      <c r="G241" s="7"/>
      <c r="H241" s="6">
        <f t="shared" ref="H241:H243" si="30">F241+G241</f>
        <v>0</v>
      </c>
    </row>
    <row r="242" spans="1:8" x14ac:dyDescent="0.25">
      <c r="A242" s="7" t="s">
        <v>107</v>
      </c>
      <c r="B242" s="6">
        <v>2040</v>
      </c>
      <c r="C242" s="7" t="s">
        <v>7</v>
      </c>
      <c r="D242" s="7" t="s">
        <v>100</v>
      </c>
      <c r="E242" s="7" t="s">
        <v>103</v>
      </c>
      <c r="F242" s="7"/>
      <c r="G242" s="7"/>
      <c r="H242" s="6">
        <f t="shared" si="30"/>
        <v>0</v>
      </c>
    </row>
    <row r="243" spans="1:8" x14ac:dyDescent="0.25">
      <c r="A243" s="7" t="s">
        <v>107</v>
      </c>
      <c r="B243" s="6">
        <v>2040</v>
      </c>
      <c r="C243" s="7" t="s">
        <v>8</v>
      </c>
      <c r="D243" s="7" t="s">
        <v>100</v>
      </c>
      <c r="E243" s="7" t="s">
        <v>103</v>
      </c>
      <c r="F243" s="7"/>
      <c r="G243" s="7"/>
      <c r="H243" s="6">
        <f t="shared" si="30"/>
        <v>0</v>
      </c>
    </row>
    <row r="244" spans="1:8" hidden="1" x14ac:dyDescent="0.25">
      <c r="A244" s="7" t="s">
        <v>107</v>
      </c>
      <c r="B244" s="6">
        <v>2040</v>
      </c>
      <c r="C244" s="7" t="s">
        <v>14</v>
      </c>
      <c r="D244" s="7" t="s">
        <v>100</v>
      </c>
      <c r="E244" s="7" t="s">
        <v>103</v>
      </c>
      <c r="F244" s="7"/>
      <c r="G244" s="7"/>
      <c r="H244" s="7"/>
    </row>
    <row r="245" spans="1:8" hidden="1" x14ac:dyDescent="0.25">
      <c r="A245" s="7" t="s">
        <v>107</v>
      </c>
      <c r="B245" s="6">
        <v>2040</v>
      </c>
      <c r="C245" s="7" t="s">
        <v>13</v>
      </c>
      <c r="D245" s="7" t="s">
        <v>100</v>
      </c>
      <c r="E245" s="7" t="s">
        <v>103</v>
      </c>
      <c r="F245" s="7"/>
      <c r="G245" s="7"/>
      <c r="H245" s="7"/>
    </row>
    <row r="246" spans="1:8" hidden="1" x14ac:dyDescent="0.25">
      <c r="A246" s="7" t="s">
        <v>107</v>
      </c>
      <c r="B246" s="6">
        <v>2040</v>
      </c>
      <c r="C246" s="7" t="s">
        <v>12</v>
      </c>
      <c r="D246" s="7" t="s">
        <v>100</v>
      </c>
      <c r="E246" s="7" t="s">
        <v>103</v>
      </c>
      <c r="F246" s="7"/>
      <c r="G246" s="7"/>
      <c r="H246" s="7"/>
    </row>
    <row r="247" spans="1:8" x14ac:dyDescent="0.25">
      <c r="A247" s="7" t="s">
        <v>107</v>
      </c>
      <c r="B247" s="6">
        <v>2040</v>
      </c>
      <c r="C247" s="7" t="s">
        <v>9</v>
      </c>
      <c r="D247" s="7" t="s">
        <v>100</v>
      </c>
      <c r="E247" s="7" t="s">
        <v>103</v>
      </c>
      <c r="F247" s="7"/>
      <c r="G247" s="7"/>
      <c r="H247" s="6">
        <f t="shared" ref="H247:H249" si="31">F247+G247</f>
        <v>0</v>
      </c>
    </row>
    <row r="248" spans="1:8" x14ac:dyDescent="0.25">
      <c r="A248" s="7" t="s">
        <v>107</v>
      </c>
      <c r="B248" s="6">
        <v>2040</v>
      </c>
      <c r="C248" s="7" t="s">
        <v>7</v>
      </c>
      <c r="D248" s="7" t="s">
        <v>101</v>
      </c>
      <c r="E248" s="7" t="s">
        <v>104</v>
      </c>
      <c r="F248" s="7"/>
      <c r="G248" s="7"/>
      <c r="H248" s="6">
        <f t="shared" si="31"/>
        <v>0</v>
      </c>
    </row>
    <row r="249" spans="1:8" x14ac:dyDescent="0.25">
      <c r="A249" s="7" t="s">
        <v>107</v>
      </c>
      <c r="B249" s="6">
        <v>2040</v>
      </c>
      <c r="C249" s="7" t="s">
        <v>8</v>
      </c>
      <c r="D249" s="7" t="s">
        <v>101</v>
      </c>
      <c r="E249" s="7" t="s">
        <v>104</v>
      </c>
      <c r="F249" s="7"/>
      <c r="G249" s="7"/>
      <c r="H249" s="6">
        <f t="shared" si="31"/>
        <v>0</v>
      </c>
    </row>
    <row r="250" spans="1:8" hidden="1" x14ac:dyDescent="0.25">
      <c r="A250" s="7" t="s">
        <v>107</v>
      </c>
      <c r="B250" s="6">
        <v>2040</v>
      </c>
      <c r="C250" s="7" t="s">
        <v>14</v>
      </c>
      <c r="D250" s="7" t="s">
        <v>101</v>
      </c>
      <c r="E250" s="7" t="s">
        <v>104</v>
      </c>
      <c r="F250" s="7"/>
      <c r="G250" s="7"/>
      <c r="H250" s="7"/>
    </row>
    <row r="251" spans="1:8" hidden="1" x14ac:dyDescent="0.25">
      <c r="A251" s="7" t="s">
        <v>107</v>
      </c>
      <c r="B251" s="6">
        <v>2040</v>
      </c>
      <c r="C251" s="7" t="s">
        <v>13</v>
      </c>
      <c r="D251" s="7" t="s">
        <v>101</v>
      </c>
      <c r="E251" s="7" t="s">
        <v>104</v>
      </c>
      <c r="F251" s="7"/>
      <c r="G251" s="7"/>
      <c r="H251" s="7"/>
    </row>
    <row r="252" spans="1:8" hidden="1" x14ac:dyDescent="0.25">
      <c r="A252" s="7" t="s">
        <v>107</v>
      </c>
      <c r="B252" s="6">
        <v>2040</v>
      </c>
      <c r="C252" s="7" t="s">
        <v>12</v>
      </c>
      <c r="D252" s="7" t="s">
        <v>101</v>
      </c>
      <c r="E252" s="7" t="s">
        <v>104</v>
      </c>
      <c r="F252" s="7"/>
      <c r="G252" s="7"/>
      <c r="H252" s="7"/>
    </row>
    <row r="253" spans="1:8" x14ac:dyDescent="0.25">
      <c r="A253" s="7" t="s">
        <v>107</v>
      </c>
      <c r="B253" s="6">
        <v>2040</v>
      </c>
      <c r="C253" s="7" t="s">
        <v>9</v>
      </c>
      <c r="D253" s="7" t="s">
        <v>101</v>
      </c>
      <c r="E253" s="7" t="s">
        <v>104</v>
      </c>
      <c r="F253" s="7"/>
      <c r="G253" s="7"/>
      <c r="H253" s="6">
        <f t="shared" ref="H253:H255" si="32">F253+G253</f>
        <v>0</v>
      </c>
    </row>
    <row r="254" spans="1:8" x14ac:dyDescent="0.25">
      <c r="A254" s="8" t="s">
        <v>108</v>
      </c>
      <c r="B254" s="6">
        <v>2040</v>
      </c>
      <c r="C254" s="8" t="s">
        <v>7</v>
      </c>
      <c r="D254" s="8" t="s">
        <v>99</v>
      </c>
      <c r="E254" s="8" t="s">
        <v>102</v>
      </c>
      <c r="F254" s="8"/>
      <c r="G254" s="8"/>
      <c r="H254" s="6">
        <f t="shared" si="32"/>
        <v>0</v>
      </c>
    </row>
    <row r="255" spans="1:8" x14ac:dyDescent="0.25">
      <c r="A255" s="8" t="s">
        <v>108</v>
      </c>
      <c r="B255" s="6">
        <v>2040</v>
      </c>
      <c r="C255" s="8" t="s">
        <v>8</v>
      </c>
      <c r="D255" s="8" t="s">
        <v>99</v>
      </c>
      <c r="E255" s="8" t="s">
        <v>102</v>
      </c>
      <c r="F255" s="8"/>
      <c r="G255" s="8"/>
      <c r="H255" s="6">
        <f t="shared" si="32"/>
        <v>0</v>
      </c>
    </row>
    <row r="256" spans="1:8" hidden="1" x14ac:dyDescent="0.25">
      <c r="A256" s="8" t="s">
        <v>108</v>
      </c>
      <c r="B256" s="6">
        <v>2040</v>
      </c>
      <c r="C256" s="8" t="s">
        <v>14</v>
      </c>
      <c r="D256" s="8" t="s">
        <v>99</v>
      </c>
      <c r="E256" s="8" t="s">
        <v>102</v>
      </c>
      <c r="F256" s="8"/>
      <c r="G256" s="8"/>
      <c r="H256" s="8"/>
    </row>
    <row r="257" spans="1:8" hidden="1" x14ac:dyDescent="0.25">
      <c r="A257" s="8" t="s">
        <v>108</v>
      </c>
      <c r="B257" s="6">
        <v>2040</v>
      </c>
      <c r="C257" s="8" t="s">
        <v>13</v>
      </c>
      <c r="D257" s="8" t="s">
        <v>99</v>
      </c>
      <c r="E257" s="8" t="s">
        <v>102</v>
      </c>
      <c r="F257" s="8"/>
      <c r="G257" s="8"/>
      <c r="H257" s="8"/>
    </row>
    <row r="258" spans="1:8" hidden="1" x14ac:dyDescent="0.25">
      <c r="A258" s="8" t="s">
        <v>108</v>
      </c>
      <c r="B258" s="6">
        <v>2040</v>
      </c>
      <c r="C258" s="8" t="s">
        <v>12</v>
      </c>
      <c r="D258" s="8" t="s">
        <v>99</v>
      </c>
      <c r="E258" s="8" t="s">
        <v>102</v>
      </c>
      <c r="F258" s="8"/>
      <c r="G258" s="8"/>
      <c r="H258" s="8"/>
    </row>
    <row r="259" spans="1:8" x14ac:dyDescent="0.25">
      <c r="A259" s="8" t="s">
        <v>108</v>
      </c>
      <c r="B259" s="6">
        <v>2040</v>
      </c>
      <c r="C259" s="8" t="s">
        <v>9</v>
      </c>
      <c r="D259" s="8" t="s">
        <v>99</v>
      </c>
      <c r="E259" s="8" t="s">
        <v>102</v>
      </c>
      <c r="F259" s="8"/>
      <c r="G259" s="8"/>
      <c r="H259" s="6">
        <f t="shared" ref="H259:H261" si="33">F259+G259</f>
        <v>0</v>
      </c>
    </row>
    <row r="260" spans="1:8" x14ac:dyDescent="0.25">
      <c r="A260" s="8" t="s">
        <v>108</v>
      </c>
      <c r="B260" s="6">
        <v>2040</v>
      </c>
      <c r="C260" s="8" t="s">
        <v>7</v>
      </c>
      <c r="D260" s="8" t="s">
        <v>100</v>
      </c>
      <c r="E260" s="8" t="s">
        <v>103</v>
      </c>
      <c r="F260" s="8"/>
      <c r="G260" s="8"/>
      <c r="H260" s="6">
        <f t="shared" si="33"/>
        <v>0</v>
      </c>
    </row>
    <row r="261" spans="1:8" x14ac:dyDescent="0.25">
      <c r="A261" s="8" t="s">
        <v>108</v>
      </c>
      <c r="B261" s="6">
        <v>2040</v>
      </c>
      <c r="C261" s="8" t="s">
        <v>8</v>
      </c>
      <c r="D261" s="8" t="s">
        <v>100</v>
      </c>
      <c r="E261" s="8" t="s">
        <v>103</v>
      </c>
      <c r="F261" s="8"/>
      <c r="G261" s="8"/>
      <c r="H261" s="6">
        <f t="shared" si="33"/>
        <v>0</v>
      </c>
    </row>
    <row r="262" spans="1:8" hidden="1" x14ac:dyDescent="0.25">
      <c r="A262" s="8" t="s">
        <v>108</v>
      </c>
      <c r="B262" s="6">
        <v>2040</v>
      </c>
      <c r="C262" s="8" t="s">
        <v>14</v>
      </c>
      <c r="D262" s="8" t="s">
        <v>100</v>
      </c>
      <c r="E262" s="8" t="s">
        <v>103</v>
      </c>
      <c r="F262" s="8"/>
      <c r="G262" s="8"/>
      <c r="H262" s="8"/>
    </row>
    <row r="263" spans="1:8" hidden="1" x14ac:dyDescent="0.25">
      <c r="A263" s="8" t="s">
        <v>108</v>
      </c>
      <c r="B263" s="6">
        <v>2040</v>
      </c>
      <c r="C263" s="8" t="s">
        <v>13</v>
      </c>
      <c r="D263" s="8" t="s">
        <v>100</v>
      </c>
      <c r="E263" s="8" t="s">
        <v>103</v>
      </c>
      <c r="F263" s="8"/>
      <c r="G263" s="8"/>
      <c r="H263" s="8"/>
    </row>
    <row r="264" spans="1:8" hidden="1" x14ac:dyDescent="0.25">
      <c r="A264" s="8" t="s">
        <v>108</v>
      </c>
      <c r="B264" s="6">
        <v>2040</v>
      </c>
      <c r="C264" s="8" t="s">
        <v>12</v>
      </c>
      <c r="D264" s="8" t="s">
        <v>100</v>
      </c>
      <c r="E264" s="8" t="s">
        <v>103</v>
      </c>
      <c r="F264" s="8"/>
      <c r="G264" s="8"/>
      <c r="H264" s="8"/>
    </row>
    <row r="265" spans="1:8" x14ac:dyDescent="0.25">
      <c r="A265" s="8" t="s">
        <v>108</v>
      </c>
      <c r="B265" s="6">
        <v>2040</v>
      </c>
      <c r="C265" s="8" t="s">
        <v>9</v>
      </c>
      <c r="D265" s="8" t="s">
        <v>100</v>
      </c>
      <c r="E265" s="8" t="s">
        <v>103</v>
      </c>
      <c r="F265" s="8"/>
      <c r="G265" s="8"/>
      <c r="H265" s="6">
        <f t="shared" ref="H265:H267" si="34">F265+G265</f>
        <v>0</v>
      </c>
    </row>
    <row r="266" spans="1:8" x14ac:dyDescent="0.25">
      <c r="A266" s="8" t="s">
        <v>108</v>
      </c>
      <c r="B266" s="6">
        <v>2040</v>
      </c>
      <c r="C266" s="8" t="s">
        <v>7</v>
      </c>
      <c r="D266" s="8" t="s">
        <v>101</v>
      </c>
      <c r="E266" s="8" t="s">
        <v>104</v>
      </c>
      <c r="F266" s="8"/>
      <c r="G266" s="8"/>
      <c r="H266" s="6">
        <f t="shared" si="34"/>
        <v>0</v>
      </c>
    </row>
    <row r="267" spans="1:8" x14ac:dyDescent="0.25">
      <c r="A267" s="8" t="s">
        <v>108</v>
      </c>
      <c r="B267" s="6">
        <v>2040</v>
      </c>
      <c r="C267" s="8" t="s">
        <v>8</v>
      </c>
      <c r="D267" s="8" t="s">
        <v>101</v>
      </c>
      <c r="E267" s="8" t="s">
        <v>104</v>
      </c>
      <c r="F267" s="8"/>
      <c r="G267" s="8"/>
      <c r="H267" s="6">
        <f t="shared" si="34"/>
        <v>0</v>
      </c>
    </row>
    <row r="268" spans="1:8" hidden="1" x14ac:dyDescent="0.25">
      <c r="A268" s="8" t="s">
        <v>108</v>
      </c>
      <c r="B268" s="6">
        <v>2040</v>
      </c>
      <c r="C268" s="8" t="s">
        <v>14</v>
      </c>
      <c r="D268" s="8" t="s">
        <v>101</v>
      </c>
      <c r="E268" s="8" t="s">
        <v>104</v>
      </c>
      <c r="F268" s="8"/>
      <c r="G268" s="8"/>
      <c r="H268" s="8"/>
    </row>
    <row r="269" spans="1:8" hidden="1" x14ac:dyDescent="0.25">
      <c r="A269" s="8" t="s">
        <v>108</v>
      </c>
      <c r="B269" s="6">
        <v>2040</v>
      </c>
      <c r="C269" s="8" t="s">
        <v>13</v>
      </c>
      <c r="D269" s="8" t="s">
        <v>101</v>
      </c>
      <c r="E269" s="8" t="s">
        <v>104</v>
      </c>
      <c r="F269" s="8"/>
      <c r="G269" s="8"/>
      <c r="H269" s="8"/>
    </row>
    <row r="270" spans="1:8" hidden="1" x14ac:dyDescent="0.25">
      <c r="A270" s="8" t="s">
        <v>108</v>
      </c>
      <c r="B270" s="6">
        <v>2040</v>
      </c>
      <c r="C270" s="8" t="s">
        <v>12</v>
      </c>
      <c r="D270" s="8" t="s">
        <v>101</v>
      </c>
      <c r="E270" s="8" t="s">
        <v>104</v>
      </c>
      <c r="F270" s="8"/>
      <c r="G270" s="8"/>
      <c r="H270" s="8"/>
    </row>
    <row r="271" spans="1:8" x14ac:dyDescent="0.25">
      <c r="A271" s="8" t="s">
        <v>108</v>
      </c>
      <c r="B271" s="6">
        <v>2040</v>
      </c>
      <c r="C271" s="8" t="s">
        <v>9</v>
      </c>
      <c r="D271" s="8" t="s">
        <v>101</v>
      </c>
      <c r="E271" s="8" t="s">
        <v>104</v>
      </c>
      <c r="F271" s="8"/>
      <c r="G271" s="8"/>
      <c r="H271" s="6">
        <f t="shared" ref="H271:H273" si="35">F271+G271</f>
        <v>0</v>
      </c>
    </row>
    <row r="272" spans="1:8" x14ac:dyDescent="0.25">
      <c r="A272" s="9" t="s">
        <v>109</v>
      </c>
      <c r="B272" s="6">
        <v>2040</v>
      </c>
      <c r="C272" s="9" t="s">
        <v>7</v>
      </c>
      <c r="D272" s="9" t="s">
        <v>99</v>
      </c>
      <c r="E272" s="9" t="s">
        <v>102</v>
      </c>
      <c r="F272" s="9"/>
      <c r="G272" s="9"/>
      <c r="H272" s="6">
        <f t="shared" si="35"/>
        <v>0</v>
      </c>
    </row>
    <row r="273" spans="1:8" x14ac:dyDescent="0.25">
      <c r="A273" s="9" t="s">
        <v>109</v>
      </c>
      <c r="B273" s="6">
        <v>2040</v>
      </c>
      <c r="C273" s="9" t="s">
        <v>8</v>
      </c>
      <c r="D273" s="9" t="s">
        <v>99</v>
      </c>
      <c r="E273" s="9" t="s">
        <v>102</v>
      </c>
      <c r="F273" s="9"/>
      <c r="G273" s="9"/>
      <c r="H273" s="6">
        <f t="shared" si="35"/>
        <v>0</v>
      </c>
    </row>
    <row r="274" spans="1:8" hidden="1" x14ac:dyDescent="0.25">
      <c r="A274" s="9" t="s">
        <v>109</v>
      </c>
      <c r="B274" s="6">
        <v>2040</v>
      </c>
      <c r="C274" s="9" t="s">
        <v>14</v>
      </c>
      <c r="D274" s="9" t="s">
        <v>99</v>
      </c>
      <c r="E274" s="9" t="s">
        <v>102</v>
      </c>
      <c r="F274" s="9"/>
      <c r="G274" s="9"/>
      <c r="H274" s="9"/>
    </row>
    <row r="275" spans="1:8" hidden="1" x14ac:dyDescent="0.25">
      <c r="A275" s="9" t="s">
        <v>109</v>
      </c>
      <c r="B275" s="6">
        <v>2040</v>
      </c>
      <c r="C275" s="9" t="s">
        <v>13</v>
      </c>
      <c r="D275" s="9" t="s">
        <v>99</v>
      </c>
      <c r="E275" s="9" t="s">
        <v>102</v>
      </c>
      <c r="F275" s="9"/>
      <c r="G275" s="9"/>
      <c r="H275" s="9"/>
    </row>
    <row r="276" spans="1:8" hidden="1" x14ac:dyDescent="0.25">
      <c r="A276" s="9" t="s">
        <v>109</v>
      </c>
      <c r="B276" s="6">
        <v>2040</v>
      </c>
      <c r="C276" s="9" t="s">
        <v>12</v>
      </c>
      <c r="D276" s="9" t="s">
        <v>99</v>
      </c>
      <c r="E276" s="9" t="s">
        <v>102</v>
      </c>
      <c r="F276" s="9"/>
      <c r="G276" s="9"/>
      <c r="H276" s="9"/>
    </row>
    <row r="277" spans="1:8" x14ac:dyDescent="0.25">
      <c r="A277" s="9" t="s">
        <v>109</v>
      </c>
      <c r="B277" s="6">
        <v>2040</v>
      </c>
      <c r="C277" s="9" t="s">
        <v>9</v>
      </c>
      <c r="D277" s="9" t="s">
        <v>99</v>
      </c>
      <c r="E277" s="9" t="s">
        <v>102</v>
      </c>
      <c r="F277" s="9"/>
      <c r="G277" s="9"/>
      <c r="H277" s="6">
        <f t="shared" ref="H277:H279" si="36">F277+G277</f>
        <v>0</v>
      </c>
    </row>
    <row r="278" spans="1:8" x14ac:dyDescent="0.25">
      <c r="A278" s="9" t="s">
        <v>109</v>
      </c>
      <c r="B278" s="6">
        <v>2040</v>
      </c>
      <c r="C278" s="9" t="s">
        <v>7</v>
      </c>
      <c r="D278" s="9" t="s">
        <v>100</v>
      </c>
      <c r="E278" s="9" t="s">
        <v>103</v>
      </c>
      <c r="F278" s="9"/>
      <c r="G278" s="9"/>
      <c r="H278" s="6">
        <f t="shared" si="36"/>
        <v>0</v>
      </c>
    </row>
    <row r="279" spans="1:8" x14ac:dyDescent="0.25">
      <c r="A279" s="9" t="s">
        <v>109</v>
      </c>
      <c r="B279" s="6">
        <v>2040</v>
      </c>
      <c r="C279" s="9" t="s">
        <v>8</v>
      </c>
      <c r="D279" s="9" t="s">
        <v>100</v>
      </c>
      <c r="E279" s="9" t="s">
        <v>103</v>
      </c>
      <c r="F279" s="9"/>
      <c r="G279" s="9"/>
      <c r="H279" s="6">
        <f t="shared" si="36"/>
        <v>0</v>
      </c>
    </row>
    <row r="280" spans="1:8" hidden="1" x14ac:dyDescent="0.25">
      <c r="A280" s="9" t="s">
        <v>109</v>
      </c>
      <c r="B280" s="6">
        <v>2040</v>
      </c>
      <c r="C280" s="9" t="s">
        <v>14</v>
      </c>
      <c r="D280" s="9" t="s">
        <v>100</v>
      </c>
      <c r="E280" s="9" t="s">
        <v>103</v>
      </c>
      <c r="F280" s="9"/>
      <c r="G280" s="9"/>
      <c r="H280" s="9"/>
    </row>
    <row r="281" spans="1:8" hidden="1" x14ac:dyDescent="0.25">
      <c r="A281" s="9" t="s">
        <v>109</v>
      </c>
      <c r="B281" s="6">
        <v>2040</v>
      </c>
      <c r="C281" s="9" t="s">
        <v>13</v>
      </c>
      <c r="D281" s="9" t="s">
        <v>100</v>
      </c>
      <c r="E281" s="9" t="s">
        <v>103</v>
      </c>
      <c r="F281" s="9"/>
      <c r="G281" s="9"/>
      <c r="H281" s="9"/>
    </row>
    <row r="282" spans="1:8" hidden="1" x14ac:dyDescent="0.25">
      <c r="A282" s="9" t="s">
        <v>109</v>
      </c>
      <c r="B282" s="6">
        <v>2040</v>
      </c>
      <c r="C282" s="9" t="s">
        <v>12</v>
      </c>
      <c r="D282" s="9" t="s">
        <v>100</v>
      </c>
      <c r="E282" s="9" t="s">
        <v>103</v>
      </c>
      <c r="F282" s="9"/>
      <c r="G282" s="9"/>
      <c r="H282" s="9"/>
    </row>
    <row r="283" spans="1:8" x14ac:dyDescent="0.25">
      <c r="A283" s="9" t="s">
        <v>109</v>
      </c>
      <c r="B283" s="6">
        <v>2040</v>
      </c>
      <c r="C283" s="9" t="s">
        <v>9</v>
      </c>
      <c r="D283" s="9" t="s">
        <v>100</v>
      </c>
      <c r="E283" s="9" t="s">
        <v>103</v>
      </c>
      <c r="F283" s="9"/>
      <c r="G283" s="9"/>
      <c r="H283" s="6">
        <f t="shared" ref="H283:H285" si="37">F283+G283</f>
        <v>0</v>
      </c>
    </row>
    <row r="284" spans="1:8" x14ac:dyDescent="0.25">
      <c r="A284" s="9" t="s">
        <v>109</v>
      </c>
      <c r="B284" s="6">
        <v>2040</v>
      </c>
      <c r="C284" s="9" t="s">
        <v>7</v>
      </c>
      <c r="D284" s="9" t="s">
        <v>101</v>
      </c>
      <c r="E284" s="9" t="s">
        <v>104</v>
      </c>
      <c r="F284" s="9"/>
      <c r="G284" s="9"/>
      <c r="H284" s="6">
        <f t="shared" si="37"/>
        <v>0</v>
      </c>
    </row>
    <row r="285" spans="1:8" x14ac:dyDescent="0.25">
      <c r="A285" s="9" t="s">
        <v>109</v>
      </c>
      <c r="B285" s="6">
        <v>2040</v>
      </c>
      <c r="C285" s="9" t="s">
        <v>8</v>
      </c>
      <c r="D285" s="9" t="s">
        <v>101</v>
      </c>
      <c r="E285" s="9" t="s">
        <v>104</v>
      </c>
      <c r="F285" s="9"/>
      <c r="G285" s="9"/>
      <c r="H285" s="6">
        <f t="shared" si="37"/>
        <v>0</v>
      </c>
    </row>
    <row r="286" spans="1:8" hidden="1" x14ac:dyDescent="0.25">
      <c r="A286" s="9" t="s">
        <v>109</v>
      </c>
      <c r="B286" s="6">
        <v>2040</v>
      </c>
      <c r="C286" s="9" t="s">
        <v>14</v>
      </c>
      <c r="D286" s="9" t="s">
        <v>101</v>
      </c>
      <c r="E286" s="9" t="s">
        <v>104</v>
      </c>
      <c r="F286" s="9"/>
      <c r="G286" s="9"/>
      <c r="H286" s="9"/>
    </row>
    <row r="287" spans="1:8" hidden="1" x14ac:dyDescent="0.25">
      <c r="A287" s="9" t="s">
        <v>109</v>
      </c>
      <c r="B287" s="6">
        <v>2040</v>
      </c>
      <c r="C287" s="9" t="s">
        <v>13</v>
      </c>
      <c r="D287" s="9" t="s">
        <v>101</v>
      </c>
      <c r="E287" s="9" t="s">
        <v>104</v>
      </c>
      <c r="F287" s="9"/>
      <c r="G287" s="9"/>
      <c r="H287" s="9"/>
    </row>
    <row r="288" spans="1:8" hidden="1" x14ac:dyDescent="0.25">
      <c r="A288" s="9" t="s">
        <v>109</v>
      </c>
      <c r="B288" s="6">
        <v>2040</v>
      </c>
      <c r="C288" s="9" t="s">
        <v>12</v>
      </c>
      <c r="D288" s="9" t="s">
        <v>101</v>
      </c>
      <c r="E288" s="9" t="s">
        <v>104</v>
      </c>
      <c r="F288" s="9"/>
      <c r="G288" s="9"/>
      <c r="H288" s="9"/>
    </row>
    <row r="289" spans="1:8" x14ac:dyDescent="0.25">
      <c r="A289" s="9" t="s">
        <v>109</v>
      </c>
      <c r="B289" s="6">
        <v>2040</v>
      </c>
      <c r="C289" s="9" t="s">
        <v>9</v>
      </c>
      <c r="D289" s="9" t="s">
        <v>101</v>
      </c>
      <c r="E289" s="9" t="s">
        <v>104</v>
      </c>
      <c r="F289" s="9"/>
      <c r="G289" s="9"/>
      <c r="H289" s="6">
        <f>F289+G289</f>
        <v>0</v>
      </c>
    </row>
  </sheetData>
  <autoFilter ref="A1:H289" xr:uid="{9729DF36-0CB8-433F-8716-DDB7C1B25226}">
    <filterColumn colId="2">
      <filters>
        <filter val="Cobalt"/>
        <filter val="Copper"/>
        <filter val="Nickel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AFBFE-52D7-4854-B1DB-F3F68E98903A}">
  <dimension ref="A1:AC136"/>
  <sheetViews>
    <sheetView workbookViewId="0">
      <selection activeCell="AC1" sqref="AC1:AC1048576"/>
    </sheetView>
  </sheetViews>
  <sheetFormatPr baseColWidth="10" defaultColWidth="9.140625" defaultRowHeight="15" x14ac:dyDescent="0.25"/>
  <cols>
    <col min="1" max="1" width="12.85546875" bestFit="1" customWidth="1"/>
    <col min="2" max="2" width="5" bestFit="1" customWidth="1"/>
    <col min="3" max="3" width="17" bestFit="1" customWidth="1"/>
    <col min="4" max="6" width="17" customWidth="1"/>
    <col min="7" max="7" width="31" bestFit="1" customWidth="1"/>
    <col min="8" max="8" width="31.140625" bestFit="1" customWidth="1"/>
    <col min="9" max="9" width="26.7109375" bestFit="1" customWidth="1"/>
    <col min="10" max="10" width="33.7109375" bestFit="1" customWidth="1"/>
    <col min="11" max="11" width="34.85546875" bestFit="1" customWidth="1"/>
    <col min="12" max="12" width="35" bestFit="1" customWidth="1"/>
    <col min="13" max="13" width="36" bestFit="1" customWidth="1"/>
    <col min="14" max="14" width="31.5703125" bestFit="1" customWidth="1"/>
    <col min="15" max="15" width="37.85546875" bestFit="1" customWidth="1"/>
    <col min="16" max="16" width="41.42578125" bestFit="1" customWidth="1"/>
    <col min="17" max="17" width="32.42578125" bestFit="1" customWidth="1"/>
    <col min="18" max="18" width="32.5703125" bestFit="1" customWidth="1"/>
    <col min="19" max="19" width="31.140625" bestFit="1" customWidth="1"/>
    <col min="20" max="20" width="31.28515625" bestFit="1" customWidth="1"/>
    <col min="21" max="21" width="32.42578125" bestFit="1" customWidth="1"/>
    <col min="22" max="22" width="34.28515625" bestFit="1" customWidth="1"/>
    <col min="23" max="23" width="32.85546875" bestFit="1" customWidth="1"/>
    <col min="24" max="24" width="34" bestFit="1" customWidth="1"/>
    <col min="25" max="25" width="34.140625" bestFit="1" customWidth="1"/>
    <col min="26" max="26" width="34.85546875" bestFit="1" customWidth="1"/>
    <col min="27" max="27" width="38.42578125" bestFit="1" customWidth="1"/>
    <col min="28" max="28" width="37.5703125" bestFit="1" customWidth="1"/>
    <col min="29" max="29" width="9.140625" style="5"/>
  </cols>
  <sheetData>
    <row r="1" spans="1:29" x14ac:dyDescent="0.25">
      <c r="A1" s="2" t="s">
        <v>0</v>
      </c>
      <c r="B1" s="2" t="s">
        <v>2</v>
      </c>
      <c r="C1" s="2" t="s">
        <v>22</v>
      </c>
      <c r="D1" s="2" t="s">
        <v>23</v>
      </c>
      <c r="E1" s="2" t="s">
        <v>3</v>
      </c>
      <c r="F1" s="2" t="s">
        <v>24</v>
      </c>
      <c r="G1" s="2" t="s">
        <v>25</v>
      </c>
      <c r="H1" s="2" t="s">
        <v>26</v>
      </c>
      <c r="I1" s="2" t="s">
        <v>27</v>
      </c>
      <c r="J1" s="2" t="s">
        <v>28</v>
      </c>
      <c r="K1" s="2" t="s">
        <v>29</v>
      </c>
      <c r="L1" s="2" t="s">
        <v>30</v>
      </c>
      <c r="M1" s="2" t="s">
        <v>31</v>
      </c>
      <c r="N1" s="2" t="s">
        <v>32</v>
      </c>
      <c r="O1" s="2" t="s">
        <v>33</v>
      </c>
      <c r="P1" s="2" t="s">
        <v>34</v>
      </c>
      <c r="Q1" s="2" t="s">
        <v>35</v>
      </c>
      <c r="R1" s="2" t="s">
        <v>36</v>
      </c>
      <c r="S1" s="2" t="s">
        <v>37</v>
      </c>
      <c r="T1" s="2" t="s">
        <v>38</v>
      </c>
      <c r="U1" s="2" t="s">
        <v>39</v>
      </c>
      <c r="V1" s="2" t="s">
        <v>40</v>
      </c>
      <c r="W1" s="2" t="s">
        <v>41</v>
      </c>
      <c r="X1" s="2" t="s">
        <v>42</v>
      </c>
      <c r="Y1" s="2" t="s">
        <v>43</v>
      </c>
      <c r="Z1" s="2" t="s">
        <v>44</v>
      </c>
      <c r="AA1" s="2" t="s">
        <v>45</v>
      </c>
      <c r="AB1" s="2" t="s">
        <v>46</v>
      </c>
      <c r="AC1" s="4" t="s">
        <v>105</v>
      </c>
    </row>
    <row r="2" spans="1:29" x14ac:dyDescent="0.25">
      <c r="A2" t="s">
        <v>47</v>
      </c>
      <c r="B2">
        <v>2020</v>
      </c>
      <c r="C2" t="s">
        <v>48</v>
      </c>
      <c r="D2" t="s">
        <v>6</v>
      </c>
      <c r="E2" t="s">
        <v>14</v>
      </c>
      <c r="F2" t="s">
        <v>49</v>
      </c>
      <c r="G2">
        <v>4.4140233165489984E-3</v>
      </c>
      <c r="H2">
        <v>1.3540926744453571E-3</v>
      </c>
      <c r="I2">
        <v>9.0255916812843487E-17</v>
      </c>
      <c r="J2">
        <v>9.159360684303699E-9</v>
      </c>
      <c r="K2">
        <v>3.0948318367017531E-4</v>
      </c>
      <c r="L2">
        <v>2.3297993637356109E-4</v>
      </c>
      <c r="M2">
        <v>1.3657046450360659E-10</v>
      </c>
      <c r="N2">
        <v>2.5607707521230641E-13</v>
      </c>
      <c r="O2">
        <v>1.6106544454662249E-8</v>
      </c>
      <c r="P2">
        <v>1.9561119467169889E-8</v>
      </c>
      <c r="Q2">
        <v>1.580598962019191E-3</v>
      </c>
      <c r="R2">
        <v>1.7157668954772599E-4</v>
      </c>
      <c r="S2">
        <v>2.8141913839166759E-10</v>
      </c>
      <c r="T2">
        <v>4.812451205433661E-10</v>
      </c>
      <c r="U2">
        <v>1.1808555886177321E-6</v>
      </c>
      <c r="V2">
        <v>1.6491283706157771E-6</v>
      </c>
      <c r="W2">
        <v>6.0190237535148042E-8</v>
      </c>
      <c r="X2">
        <v>1.0272339242882451E-5</v>
      </c>
      <c r="Y2">
        <v>1.7565446635591039E-5</v>
      </c>
      <c r="Z2">
        <v>6.652059716683784E-11</v>
      </c>
      <c r="AA2">
        <v>4.9920335164584656E-12</v>
      </c>
      <c r="AB2">
        <v>6.4150873934306912E-11</v>
      </c>
      <c r="AC2" s="5">
        <f>SUM(G2:AB2)</f>
        <v>8.0935285848592487E-3</v>
      </c>
    </row>
    <row r="3" spans="1:29" x14ac:dyDescent="0.25">
      <c r="A3" t="s">
        <v>47</v>
      </c>
      <c r="B3">
        <v>2025</v>
      </c>
      <c r="C3" t="s">
        <v>48</v>
      </c>
      <c r="D3" t="s">
        <v>6</v>
      </c>
      <c r="E3" t="s">
        <v>14</v>
      </c>
      <c r="F3" t="s">
        <v>49</v>
      </c>
      <c r="G3">
        <v>4.4140233165489984E-3</v>
      </c>
      <c r="H3">
        <v>1.3540926744453571E-3</v>
      </c>
      <c r="I3">
        <v>9.0255916812843487E-17</v>
      </c>
      <c r="J3">
        <v>9.159360684303699E-9</v>
      </c>
      <c r="K3">
        <v>3.0948318367017531E-4</v>
      </c>
      <c r="L3">
        <v>2.3297993637356109E-4</v>
      </c>
      <c r="M3">
        <v>1.3657046450360659E-10</v>
      </c>
      <c r="N3">
        <v>2.5607707521230641E-13</v>
      </c>
      <c r="O3">
        <v>1.6106544454662249E-8</v>
      </c>
      <c r="P3">
        <v>1.9561119467169889E-8</v>
      </c>
      <c r="Q3">
        <v>1.580598962019191E-3</v>
      </c>
      <c r="R3">
        <v>1.7157668954772599E-4</v>
      </c>
      <c r="S3">
        <v>2.8141913839166759E-10</v>
      </c>
      <c r="T3">
        <v>4.812451205433661E-10</v>
      </c>
      <c r="U3">
        <v>1.1808555886177321E-6</v>
      </c>
      <c r="V3">
        <v>1.6491283706157771E-6</v>
      </c>
      <c r="W3">
        <v>6.0190237535148042E-8</v>
      </c>
      <c r="X3">
        <v>1.0272339242882451E-5</v>
      </c>
      <c r="Y3">
        <v>1.7565446635591039E-5</v>
      </c>
      <c r="Z3">
        <v>6.652059716683784E-11</v>
      </c>
      <c r="AA3">
        <v>4.9920335164584656E-12</v>
      </c>
      <c r="AB3">
        <v>6.4150873934306912E-11</v>
      </c>
      <c r="AC3" s="5">
        <f t="shared" ref="AC3:AC66" si="0">SUM(G3:AB3)</f>
        <v>8.0935285848592487E-3</v>
      </c>
    </row>
    <row r="4" spans="1:29" x14ac:dyDescent="0.25">
      <c r="A4" t="s">
        <v>47</v>
      </c>
      <c r="B4">
        <v>2030</v>
      </c>
      <c r="C4" t="s">
        <v>48</v>
      </c>
      <c r="D4" t="s">
        <v>6</v>
      </c>
      <c r="E4" t="s">
        <v>14</v>
      </c>
      <c r="F4" t="s">
        <v>49</v>
      </c>
      <c r="G4">
        <v>4.4140233165489984E-3</v>
      </c>
      <c r="H4">
        <v>1.3540926744453571E-3</v>
      </c>
      <c r="I4">
        <v>9.0255916812843487E-17</v>
      </c>
      <c r="J4">
        <v>9.159360684303699E-9</v>
      </c>
      <c r="K4">
        <v>3.0948318367017531E-4</v>
      </c>
      <c r="L4">
        <v>2.3297993637356109E-4</v>
      </c>
      <c r="M4">
        <v>1.3657046450360659E-10</v>
      </c>
      <c r="N4">
        <v>2.5607707521230641E-13</v>
      </c>
      <c r="O4">
        <v>1.6106544454662249E-8</v>
      </c>
      <c r="P4">
        <v>1.9561119467169889E-8</v>
      </c>
      <c r="Q4">
        <v>1.580598962019191E-3</v>
      </c>
      <c r="R4">
        <v>1.7157668954772599E-4</v>
      </c>
      <c r="S4">
        <v>2.8141913839166759E-10</v>
      </c>
      <c r="T4">
        <v>4.812451205433661E-10</v>
      </c>
      <c r="U4">
        <v>1.1808555886177321E-6</v>
      </c>
      <c r="V4">
        <v>1.6491283706157771E-6</v>
      </c>
      <c r="W4">
        <v>6.0190237535148042E-8</v>
      </c>
      <c r="X4">
        <v>1.0272339242882451E-5</v>
      </c>
      <c r="Y4">
        <v>1.7565446635591039E-5</v>
      </c>
      <c r="Z4">
        <v>6.652059716683784E-11</v>
      </c>
      <c r="AA4">
        <v>4.9920335164584656E-12</v>
      </c>
      <c r="AB4">
        <v>6.4150873934306912E-11</v>
      </c>
      <c r="AC4" s="5">
        <f t="shared" si="0"/>
        <v>8.0935285848592487E-3</v>
      </c>
    </row>
    <row r="5" spans="1:29" x14ac:dyDescent="0.25">
      <c r="A5" t="s">
        <v>47</v>
      </c>
      <c r="B5">
        <v>2035</v>
      </c>
      <c r="C5" t="s">
        <v>48</v>
      </c>
      <c r="D5" t="s">
        <v>6</v>
      </c>
      <c r="E5" t="s">
        <v>14</v>
      </c>
      <c r="F5" t="s">
        <v>49</v>
      </c>
      <c r="G5">
        <v>4.4140233165489984E-3</v>
      </c>
      <c r="H5">
        <v>1.3540926744453571E-3</v>
      </c>
      <c r="I5">
        <v>9.0255916812843487E-17</v>
      </c>
      <c r="J5">
        <v>9.159360684303699E-9</v>
      </c>
      <c r="K5">
        <v>3.0948318367017531E-4</v>
      </c>
      <c r="L5">
        <v>2.3297993637356109E-4</v>
      </c>
      <c r="M5">
        <v>1.3657046450360659E-10</v>
      </c>
      <c r="N5">
        <v>2.5607707521230641E-13</v>
      </c>
      <c r="O5">
        <v>1.6106544454662249E-8</v>
      </c>
      <c r="P5">
        <v>1.9561119467169889E-8</v>
      </c>
      <c r="Q5">
        <v>1.580598962019191E-3</v>
      </c>
      <c r="R5">
        <v>1.7157668954772599E-4</v>
      </c>
      <c r="S5">
        <v>2.8141913839166759E-10</v>
      </c>
      <c r="T5">
        <v>4.812451205433661E-10</v>
      </c>
      <c r="U5">
        <v>1.1808555886177321E-6</v>
      </c>
      <c r="V5">
        <v>1.6491283706157771E-6</v>
      </c>
      <c r="W5">
        <v>6.0190237535148042E-8</v>
      </c>
      <c r="X5">
        <v>1.0272339242882451E-5</v>
      </c>
      <c r="Y5">
        <v>1.7565446635591039E-5</v>
      </c>
      <c r="Z5">
        <v>6.652059716683784E-11</v>
      </c>
      <c r="AA5">
        <v>4.9920335164584656E-12</v>
      </c>
      <c r="AB5">
        <v>6.4150873934306912E-11</v>
      </c>
      <c r="AC5" s="5">
        <f t="shared" si="0"/>
        <v>8.0935285848592487E-3</v>
      </c>
    </row>
    <row r="6" spans="1:29" x14ac:dyDescent="0.25">
      <c r="A6" t="s">
        <v>47</v>
      </c>
      <c r="B6">
        <v>2040</v>
      </c>
      <c r="C6" t="s">
        <v>48</v>
      </c>
      <c r="D6" t="s">
        <v>6</v>
      </c>
      <c r="E6" t="s">
        <v>14</v>
      </c>
      <c r="F6" t="s">
        <v>49</v>
      </c>
      <c r="G6">
        <v>4.4140233165489984E-3</v>
      </c>
      <c r="H6">
        <v>1.3540926744453571E-3</v>
      </c>
      <c r="I6">
        <v>9.0255916812843487E-17</v>
      </c>
      <c r="J6">
        <v>9.159360684303699E-9</v>
      </c>
      <c r="K6">
        <v>3.0948318367017531E-4</v>
      </c>
      <c r="L6">
        <v>2.3297993637356109E-4</v>
      </c>
      <c r="M6">
        <v>1.3657046450360659E-10</v>
      </c>
      <c r="N6">
        <v>2.5607707521230641E-13</v>
      </c>
      <c r="O6">
        <v>1.6106544454662249E-8</v>
      </c>
      <c r="P6">
        <v>1.9561119467169889E-8</v>
      </c>
      <c r="Q6">
        <v>1.580598962019191E-3</v>
      </c>
      <c r="R6">
        <v>1.7157668954772599E-4</v>
      </c>
      <c r="S6">
        <v>2.8141913839166759E-10</v>
      </c>
      <c r="T6">
        <v>4.812451205433661E-10</v>
      </c>
      <c r="U6">
        <v>1.1808555886177321E-6</v>
      </c>
      <c r="V6">
        <v>1.6491283706157771E-6</v>
      </c>
      <c r="W6">
        <v>6.0190237535148042E-8</v>
      </c>
      <c r="X6">
        <v>1.0272339242882451E-5</v>
      </c>
      <c r="Y6">
        <v>1.7565446635591039E-5</v>
      </c>
      <c r="Z6">
        <v>6.652059716683784E-11</v>
      </c>
      <c r="AA6">
        <v>4.9920335164584656E-12</v>
      </c>
      <c r="AB6">
        <v>6.4150873934306912E-11</v>
      </c>
      <c r="AC6" s="5">
        <f t="shared" si="0"/>
        <v>8.0935285848592487E-3</v>
      </c>
    </row>
    <row r="7" spans="1:29" x14ac:dyDescent="0.25">
      <c r="A7" t="s">
        <v>47</v>
      </c>
      <c r="B7">
        <v>2020</v>
      </c>
      <c r="C7" t="s">
        <v>50</v>
      </c>
      <c r="D7" t="s">
        <v>51</v>
      </c>
      <c r="E7" t="s">
        <v>14</v>
      </c>
      <c r="F7" t="s">
        <v>49</v>
      </c>
      <c r="G7">
        <v>5.6765328499652733E-2</v>
      </c>
      <c r="H7">
        <v>1.720460131384393E-2</v>
      </c>
      <c r="I7">
        <v>9.6444357608516051E-16</v>
      </c>
      <c r="J7">
        <v>2.81225558425113E-8</v>
      </c>
      <c r="K7">
        <v>3.288820083947742E-3</v>
      </c>
      <c r="L7">
        <v>2.8802482736370741E-3</v>
      </c>
      <c r="M7">
        <v>6.3805586875125007E-10</v>
      </c>
      <c r="N7">
        <v>4.752804746182266E-13</v>
      </c>
      <c r="O7">
        <v>9.5448627923591114E-8</v>
      </c>
      <c r="P7">
        <v>1.7547760513714501E-7</v>
      </c>
      <c r="Q7">
        <v>2.0512608713484131E-2</v>
      </c>
      <c r="R7">
        <v>2.2266888514372689E-3</v>
      </c>
      <c r="S7">
        <v>3.674224965325275E-9</v>
      </c>
      <c r="T7">
        <v>6.5616287560105849E-9</v>
      </c>
      <c r="U7">
        <v>1.0162529889972519E-5</v>
      </c>
      <c r="V7">
        <v>2.157002742592063E-5</v>
      </c>
      <c r="W7">
        <v>1.850375003251362E-7</v>
      </c>
      <c r="X7">
        <v>1.3411561112459171E-4</v>
      </c>
      <c r="Y7">
        <v>2.3949944482104589E-4</v>
      </c>
      <c r="Z7">
        <v>3.3357018022645542E-10</v>
      </c>
      <c r="AA7">
        <v>1.5215424268054649E-11</v>
      </c>
      <c r="AB7">
        <v>7.6637922888368179E-10</v>
      </c>
      <c r="AC7" s="5">
        <f t="shared" si="0"/>
        <v>0.1032841394251043</v>
      </c>
    </row>
    <row r="8" spans="1:29" x14ac:dyDescent="0.25">
      <c r="A8" t="s">
        <v>47</v>
      </c>
      <c r="B8">
        <v>2025</v>
      </c>
      <c r="C8" t="s">
        <v>50</v>
      </c>
      <c r="D8" t="s">
        <v>51</v>
      </c>
      <c r="E8" t="s">
        <v>14</v>
      </c>
      <c r="F8" t="s">
        <v>49</v>
      </c>
      <c r="G8">
        <v>5.6765328499652733E-2</v>
      </c>
      <c r="H8">
        <v>1.720460131384393E-2</v>
      </c>
      <c r="I8">
        <v>9.6444357608516051E-16</v>
      </c>
      <c r="J8">
        <v>2.81225558425113E-8</v>
      </c>
      <c r="K8">
        <v>3.288820083947742E-3</v>
      </c>
      <c r="L8">
        <v>2.8802482736370741E-3</v>
      </c>
      <c r="M8">
        <v>6.3805586875125007E-10</v>
      </c>
      <c r="N8">
        <v>4.752804746182266E-13</v>
      </c>
      <c r="O8">
        <v>9.5448627923591114E-8</v>
      </c>
      <c r="P8">
        <v>1.7547760513714501E-7</v>
      </c>
      <c r="Q8">
        <v>2.0512608713484131E-2</v>
      </c>
      <c r="R8">
        <v>2.2266888514372689E-3</v>
      </c>
      <c r="S8">
        <v>3.674224965325275E-9</v>
      </c>
      <c r="T8">
        <v>6.5616287560105849E-9</v>
      </c>
      <c r="U8">
        <v>1.0162529889972519E-5</v>
      </c>
      <c r="V8">
        <v>2.157002742592063E-5</v>
      </c>
      <c r="W8">
        <v>1.850375003251362E-7</v>
      </c>
      <c r="X8">
        <v>1.3411561112459171E-4</v>
      </c>
      <c r="Y8">
        <v>2.3949944482104589E-4</v>
      </c>
      <c r="Z8">
        <v>3.3357018022645542E-10</v>
      </c>
      <c r="AA8">
        <v>1.5215424268054649E-11</v>
      </c>
      <c r="AB8">
        <v>7.6637922888368179E-10</v>
      </c>
      <c r="AC8" s="5">
        <f t="shared" si="0"/>
        <v>0.1032841394251043</v>
      </c>
    </row>
    <row r="9" spans="1:29" x14ac:dyDescent="0.25">
      <c r="A9" t="s">
        <v>47</v>
      </c>
      <c r="B9">
        <v>2030</v>
      </c>
      <c r="C9" t="s">
        <v>50</v>
      </c>
      <c r="D9" t="s">
        <v>51</v>
      </c>
      <c r="E9" t="s">
        <v>14</v>
      </c>
      <c r="F9" t="s">
        <v>49</v>
      </c>
      <c r="G9">
        <v>5.6765328499652733E-2</v>
      </c>
      <c r="H9">
        <v>1.720460131384393E-2</v>
      </c>
      <c r="I9">
        <v>9.6444357608516051E-16</v>
      </c>
      <c r="J9">
        <v>2.81225558425113E-8</v>
      </c>
      <c r="K9">
        <v>3.288820083947742E-3</v>
      </c>
      <c r="L9">
        <v>2.8802482736370741E-3</v>
      </c>
      <c r="M9">
        <v>6.3805586875125007E-10</v>
      </c>
      <c r="N9">
        <v>4.752804746182266E-13</v>
      </c>
      <c r="O9">
        <v>9.5448627923591114E-8</v>
      </c>
      <c r="P9">
        <v>1.7547760513714501E-7</v>
      </c>
      <c r="Q9">
        <v>2.0512608713484131E-2</v>
      </c>
      <c r="R9">
        <v>2.2266888514372689E-3</v>
      </c>
      <c r="S9">
        <v>3.674224965325275E-9</v>
      </c>
      <c r="T9">
        <v>6.5616287560105849E-9</v>
      </c>
      <c r="U9">
        <v>1.0162529889972519E-5</v>
      </c>
      <c r="V9">
        <v>2.157002742592063E-5</v>
      </c>
      <c r="W9">
        <v>1.850375003251362E-7</v>
      </c>
      <c r="X9">
        <v>1.3411561112459171E-4</v>
      </c>
      <c r="Y9">
        <v>2.3949944482104589E-4</v>
      </c>
      <c r="Z9">
        <v>3.3357018022645542E-10</v>
      </c>
      <c r="AA9">
        <v>1.5215424268054649E-11</v>
      </c>
      <c r="AB9">
        <v>7.6637922888368179E-10</v>
      </c>
      <c r="AC9" s="5">
        <f t="shared" si="0"/>
        <v>0.1032841394251043</v>
      </c>
    </row>
    <row r="10" spans="1:29" x14ac:dyDescent="0.25">
      <c r="A10" t="s">
        <v>47</v>
      </c>
      <c r="B10">
        <v>2035</v>
      </c>
      <c r="C10" t="s">
        <v>50</v>
      </c>
      <c r="D10" t="s">
        <v>51</v>
      </c>
      <c r="E10" t="s">
        <v>14</v>
      </c>
      <c r="F10" t="s">
        <v>49</v>
      </c>
      <c r="G10">
        <v>5.6765328499652733E-2</v>
      </c>
      <c r="H10">
        <v>1.720460131384393E-2</v>
      </c>
      <c r="I10">
        <v>9.6444357608516051E-16</v>
      </c>
      <c r="J10">
        <v>2.81225558425113E-8</v>
      </c>
      <c r="K10">
        <v>3.288820083947742E-3</v>
      </c>
      <c r="L10">
        <v>2.8802482736370741E-3</v>
      </c>
      <c r="M10">
        <v>6.3805586875125007E-10</v>
      </c>
      <c r="N10">
        <v>4.752804746182266E-13</v>
      </c>
      <c r="O10">
        <v>9.5448627923591114E-8</v>
      </c>
      <c r="P10">
        <v>1.7547760513714501E-7</v>
      </c>
      <c r="Q10">
        <v>2.0512608713484131E-2</v>
      </c>
      <c r="R10">
        <v>2.2266888514372689E-3</v>
      </c>
      <c r="S10">
        <v>3.674224965325275E-9</v>
      </c>
      <c r="T10">
        <v>6.5616287560105849E-9</v>
      </c>
      <c r="U10">
        <v>1.0162529889972519E-5</v>
      </c>
      <c r="V10">
        <v>2.157002742592063E-5</v>
      </c>
      <c r="W10">
        <v>1.850375003251362E-7</v>
      </c>
      <c r="X10">
        <v>1.3411561112459171E-4</v>
      </c>
      <c r="Y10">
        <v>2.3949944482104589E-4</v>
      </c>
      <c r="Z10">
        <v>3.3357018022645542E-10</v>
      </c>
      <c r="AA10">
        <v>1.5215424268054649E-11</v>
      </c>
      <c r="AB10">
        <v>7.6637922888368179E-10</v>
      </c>
      <c r="AC10" s="5">
        <f t="shared" si="0"/>
        <v>0.1032841394251043</v>
      </c>
    </row>
    <row r="11" spans="1:29" x14ac:dyDescent="0.25">
      <c r="A11" t="s">
        <v>47</v>
      </c>
      <c r="B11">
        <v>2040</v>
      </c>
      <c r="C11" t="s">
        <v>50</v>
      </c>
      <c r="D11" t="s">
        <v>51</v>
      </c>
      <c r="E11" t="s">
        <v>14</v>
      </c>
      <c r="F11" t="s">
        <v>49</v>
      </c>
      <c r="G11">
        <v>5.6765328499652733E-2</v>
      </c>
      <c r="H11">
        <v>1.720460131384393E-2</v>
      </c>
      <c r="I11">
        <v>9.6444357608516051E-16</v>
      </c>
      <c r="J11">
        <v>2.81225558425113E-8</v>
      </c>
      <c r="K11">
        <v>3.288820083947742E-3</v>
      </c>
      <c r="L11">
        <v>2.8802482736370741E-3</v>
      </c>
      <c r="M11">
        <v>6.3805586875125007E-10</v>
      </c>
      <c r="N11">
        <v>4.752804746182266E-13</v>
      </c>
      <c r="O11">
        <v>9.5448627923591114E-8</v>
      </c>
      <c r="P11">
        <v>1.7547760513714501E-7</v>
      </c>
      <c r="Q11">
        <v>2.0512608713484131E-2</v>
      </c>
      <c r="R11">
        <v>2.2266888514372689E-3</v>
      </c>
      <c r="S11">
        <v>3.674224965325275E-9</v>
      </c>
      <c r="T11">
        <v>6.5616287560105849E-9</v>
      </c>
      <c r="U11">
        <v>1.0162529889972519E-5</v>
      </c>
      <c r="V11">
        <v>2.157002742592063E-5</v>
      </c>
      <c r="W11">
        <v>1.850375003251362E-7</v>
      </c>
      <c r="X11">
        <v>1.3411561112459171E-4</v>
      </c>
      <c r="Y11">
        <v>2.3949944482104589E-4</v>
      </c>
      <c r="Z11">
        <v>3.3357018022645542E-10</v>
      </c>
      <c r="AA11">
        <v>1.5215424268054649E-11</v>
      </c>
      <c r="AB11">
        <v>7.6637922888368179E-10</v>
      </c>
      <c r="AC11" s="5">
        <f t="shared" si="0"/>
        <v>0.1032841394251043</v>
      </c>
    </row>
    <row r="12" spans="1:29" s="3" customFormat="1" x14ac:dyDescent="0.25">
      <c r="A12" s="3" t="s">
        <v>47</v>
      </c>
      <c r="B12" s="3">
        <v>2020</v>
      </c>
      <c r="C12" s="3" t="s">
        <v>52</v>
      </c>
      <c r="D12" s="3" t="s">
        <v>6</v>
      </c>
      <c r="E12" s="3" t="s">
        <v>14</v>
      </c>
      <c r="F12" s="3" t="s">
        <v>53</v>
      </c>
      <c r="G12" s="3">
        <f>G22-G2</f>
        <v>1.3184625362039391</v>
      </c>
      <c r="H12" s="3">
        <f t="shared" ref="H12:AB21" si="1">H22-H2</f>
        <v>0.42122001924962826</v>
      </c>
      <c r="I12" s="3">
        <f t="shared" si="1"/>
        <v>3.3981579553387323E-14</v>
      </c>
      <c r="J12" s="3">
        <f t="shared" si="1"/>
        <v>5.4856624658088025E-7</v>
      </c>
      <c r="K12" s="3">
        <f t="shared" si="1"/>
        <v>0.40464908382304532</v>
      </c>
      <c r="L12" s="3">
        <f t="shared" si="1"/>
        <v>0.25797191649303336</v>
      </c>
      <c r="M12" s="3">
        <f t="shared" si="1"/>
        <v>2.8698002104629444E-8</v>
      </c>
      <c r="N12" s="3">
        <f t="shared" si="1"/>
        <v>1.5321352020638629E-10</v>
      </c>
      <c r="O12" s="3">
        <f t="shared" si="1"/>
        <v>5.1644513292841527E-6</v>
      </c>
      <c r="P12" s="3">
        <f t="shared" si="1"/>
        <v>6.6506615145415679E-6</v>
      </c>
      <c r="Q12" s="3">
        <f t="shared" si="1"/>
        <v>0.4729091865787165</v>
      </c>
      <c r="R12" s="3">
        <f t="shared" si="1"/>
        <v>5.1335428722064078E-2</v>
      </c>
      <c r="S12" s="3">
        <f t="shared" si="1"/>
        <v>5.4984744273232558E-7</v>
      </c>
      <c r="T12" s="3">
        <f t="shared" si="1"/>
        <v>5.6800896123994411E-7</v>
      </c>
      <c r="U12" s="3">
        <f t="shared" si="1"/>
        <v>3.4485746130663824E-4</v>
      </c>
      <c r="V12" s="3">
        <f t="shared" si="1"/>
        <v>6.2276793574979979E-4</v>
      </c>
      <c r="W12" s="3">
        <f t="shared" si="1"/>
        <v>3.6686190509570987E-6</v>
      </c>
      <c r="X12" s="3">
        <f t="shared" si="1"/>
        <v>2.0069998840908997E-2</v>
      </c>
      <c r="Y12" s="3">
        <f t="shared" si="1"/>
        <v>2.0732327096050839E-2</v>
      </c>
      <c r="Z12" s="3">
        <f t="shared" si="1"/>
        <v>6.5589458058795521E-9</v>
      </c>
      <c r="AA12" s="3">
        <f t="shared" si="1"/>
        <v>2.9526665471646455E-10</v>
      </c>
      <c r="AB12" s="3">
        <f t="shared" si="1"/>
        <v>1.6253585467935941E-8</v>
      </c>
      <c r="AC12" s="5">
        <f t="shared" si="0"/>
        <v>2.9683353245180353</v>
      </c>
    </row>
    <row r="13" spans="1:29" s="3" customFormat="1" x14ac:dyDescent="0.25">
      <c r="A13" s="3" t="s">
        <v>47</v>
      </c>
      <c r="B13" s="3">
        <v>2025</v>
      </c>
      <c r="C13" s="3" t="s">
        <v>52</v>
      </c>
      <c r="D13" s="3" t="s">
        <v>6</v>
      </c>
      <c r="E13" s="3" t="s">
        <v>14</v>
      </c>
      <c r="F13" s="3" t="s">
        <v>53</v>
      </c>
      <c r="G13" s="3">
        <f t="shared" ref="G13:V21" si="2">G23-G3</f>
        <v>1.3184625362039391</v>
      </c>
      <c r="H13" s="3">
        <f t="shared" si="2"/>
        <v>0.42122001924962826</v>
      </c>
      <c r="I13" s="3">
        <f t="shared" si="2"/>
        <v>3.3981579553387323E-14</v>
      </c>
      <c r="J13" s="3">
        <f t="shared" si="2"/>
        <v>5.4856624658088025E-7</v>
      </c>
      <c r="K13" s="3">
        <f t="shared" si="2"/>
        <v>0.40464908382304532</v>
      </c>
      <c r="L13" s="3">
        <f t="shared" si="2"/>
        <v>0.25797191649303336</v>
      </c>
      <c r="M13" s="3">
        <f t="shared" si="2"/>
        <v>2.8698002104629444E-8</v>
      </c>
      <c r="N13" s="3">
        <f t="shared" si="2"/>
        <v>1.5321352020638629E-10</v>
      </c>
      <c r="O13" s="3">
        <f t="shared" si="2"/>
        <v>5.1644513292841527E-6</v>
      </c>
      <c r="P13" s="3">
        <f t="shared" si="2"/>
        <v>6.6506615145415679E-6</v>
      </c>
      <c r="Q13" s="3">
        <f t="shared" si="2"/>
        <v>0.4729091865787165</v>
      </c>
      <c r="R13" s="3">
        <f t="shared" si="2"/>
        <v>5.1335428722064078E-2</v>
      </c>
      <c r="S13" s="3">
        <f t="shared" si="2"/>
        <v>5.4984744273232558E-7</v>
      </c>
      <c r="T13" s="3">
        <f t="shared" si="2"/>
        <v>5.6800896123994411E-7</v>
      </c>
      <c r="U13" s="3">
        <f t="shared" si="2"/>
        <v>3.4485746130663824E-4</v>
      </c>
      <c r="V13" s="3">
        <f t="shared" si="2"/>
        <v>6.2276793574979979E-4</v>
      </c>
      <c r="W13" s="3">
        <f t="shared" si="1"/>
        <v>3.6686190509570987E-6</v>
      </c>
      <c r="X13" s="3">
        <f t="shared" si="1"/>
        <v>2.0069998840908997E-2</v>
      </c>
      <c r="Y13" s="3">
        <f t="shared" si="1"/>
        <v>2.0732327096050839E-2</v>
      </c>
      <c r="Z13" s="3">
        <f t="shared" si="1"/>
        <v>6.5589458058795521E-9</v>
      </c>
      <c r="AA13" s="3">
        <f t="shared" si="1"/>
        <v>2.9526665471646455E-10</v>
      </c>
      <c r="AB13" s="3">
        <f t="shared" si="1"/>
        <v>1.6253585467935941E-8</v>
      </c>
      <c r="AC13" s="5">
        <f t="shared" si="0"/>
        <v>2.9683353245180353</v>
      </c>
    </row>
    <row r="14" spans="1:29" s="3" customFormat="1" x14ac:dyDescent="0.25">
      <c r="A14" s="3" t="s">
        <v>47</v>
      </c>
      <c r="B14" s="3">
        <v>2030</v>
      </c>
      <c r="C14" s="3" t="s">
        <v>52</v>
      </c>
      <c r="D14" s="3" t="s">
        <v>6</v>
      </c>
      <c r="E14" s="3" t="s">
        <v>14</v>
      </c>
      <c r="F14" s="3" t="s">
        <v>53</v>
      </c>
      <c r="G14" s="3">
        <f t="shared" si="2"/>
        <v>1.3184625362039391</v>
      </c>
      <c r="H14" s="3">
        <f t="shared" si="1"/>
        <v>0.42122001924962826</v>
      </c>
      <c r="I14" s="3">
        <f t="shared" si="1"/>
        <v>3.3981579553387323E-14</v>
      </c>
      <c r="J14" s="3">
        <f t="shared" si="1"/>
        <v>5.4856624658088025E-7</v>
      </c>
      <c r="K14" s="3">
        <f t="shared" si="1"/>
        <v>0.40464908382304532</v>
      </c>
      <c r="L14" s="3">
        <f t="shared" si="1"/>
        <v>0.25797191649303336</v>
      </c>
      <c r="M14" s="3">
        <f t="shared" si="1"/>
        <v>2.8698002104629444E-8</v>
      </c>
      <c r="N14" s="3">
        <f t="shared" si="1"/>
        <v>1.5321352020638629E-10</v>
      </c>
      <c r="O14" s="3">
        <f t="shared" si="1"/>
        <v>5.1644513292841527E-6</v>
      </c>
      <c r="P14" s="3">
        <f t="shared" si="1"/>
        <v>6.6506615145415679E-6</v>
      </c>
      <c r="Q14" s="3">
        <f t="shared" si="1"/>
        <v>0.4729091865787165</v>
      </c>
      <c r="R14" s="3">
        <f t="shared" si="1"/>
        <v>5.1335428722064078E-2</v>
      </c>
      <c r="S14" s="3">
        <f t="shared" si="1"/>
        <v>5.4984744273232558E-7</v>
      </c>
      <c r="T14" s="3">
        <f t="shared" si="1"/>
        <v>5.6800896123994411E-7</v>
      </c>
      <c r="U14" s="3">
        <f t="shared" si="1"/>
        <v>3.4485746130663824E-4</v>
      </c>
      <c r="V14" s="3">
        <f t="shared" si="1"/>
        <v>6.2276793574979979E-4</v>
      </c>
      <c r="W14" s="3">
        <f t="shared" si="1"/>
        <v>3.6686190509570987E-6</v>
      </c>
      <c r="X14" s="3">
        <f t="shared" si="1"/>
        <v>2.0069998840908997E-2</v>
      </c>
      <c r="Y14" s="3">
        <f t="shared" si="1"/>
        <v>2.0732327096050839E-2</v>
      </c>
      <c r="Z14" s="3">
        <f t="shared" si="1"/>
        <v>6.5589458058795521E-9</v>
      </c>
      <c r="AA14" s="3">
        <f t="shared" si="1"/>
        <v>2.9526665471646455E-10</v>
      </c>
      <c r="AB14" s="3">
        <f t="shared" si="1"/>
        <v>1.6253585467935941E-8</v>
      </c>
      <c r="AC14" s="5">
        <f t="shared" si="0"/>
        <v>2.9683353245180353</v>
      </c>
    </row>
    <row r="15" spans="1:29" s="3" customFormat="1" x14ac:dyDescent="0.25">
      <c r="A15" s="3" t="s">
        <v>47</v>
      </c>
      <c r="B15" s="3">
        <v>2035</v>
      </c>
      <c r="C15" s="3" t="s">
        <v>52</v>
      </c>
      <c r="D15" s="3" t="s">
        <v>6</v>
      </c>
      <c r="E15" s="3" t="s">
        <v>14</v>
      </c>
      <c r="F15" s="3" t="s">
        <v>53</v>
      </c>
      <c r="G15" s="3">
        <f t="shared" si="2"/>
        <v>1.3184625362039391</v>
      </c>
      <c r="H15" s="3">
        <f t="shared" si="1"/>
        <v>0.42122001924962826</v>
      </c>
      <c r="I15" s="3">
        <f t="shared" si="1"/>
        <v>3.3981579553387323E-14</v>
      </c>
      <c r="J15" s="3">
        <f t="shared" si="1"/>
        <v>5.4856624658088025E-7</v>
      </c>
      <c r="K15" s="3">
        <f t="shared" si="1"/>
        <v>0.40464908382304532</v>
      </c>
      <c r="L15" s="3">
        <f t="shared" si="1"/>
        <v>0.25797191649303336</v>
      </c>
      <c r="M15" s="3">
        <f t="shared" si="1"/>
        <v>2.8698002104629444E-8</v>
      </c>
      <c r="N15" s="3">
        <f t="shared" si="1"/>
        <v>1.5321352020638629E-10</v>
      </c>
      <c r="O15" s="3">
        <f t="shared" si="1"/>
        <v>5.1644513292841527E-6</v>
      </c>
      <c r="P15" s="3">
        <f t="shared" si="1"/>
        <v>6.6506615145415679E-6</v>
      </c>
      <c r="Q15" s="3">
        <f t="shared" si="1"/>
        <v>0.4729091865787165</v>
      </c>
      <c r="R15" s="3">
        <f t="shared" si="1"/>
        <v>5.1335428722064078E-2</v>
      </c>
      <c r="S15" s="3">
        <f t="shared" si="1"/>
        <v>5.4984744273232558E-7</v>
      </c>
      <c r="T15" s="3">
        <f t="shared" si="1"/>
        <v>5.6800896123994411E-7</v>
      </c>
      <c r="U15" s="3">
        <f t="shared" si="1"/>
        <v>3.4485746130663824E-4</v>
      </c>
      <c r="V15" s="3">
        <f t="shared" si="1"/>
        <v>6.2276793574979979E-4</v>
      </c>
      <c r="W15" s="3">
        <f t="shared" si="1"/>
        <v>3.6686190509570987E-6</v>
      </c>
      <c r="X15" s="3">
        <f t="shared" si="1"/>
        <v>2.0069998840908997E-2</v>
      </c>
      <c r="Y15" s="3">
        <f t="shared" si="1"/>
        <v>2.0732327096050839E-2</v>
      </c>
      <c r="Z15" s="3">
        <f t="shared" si="1"/>
        <v>6.5589458058795521E-9</v>
      </c>
      <c r="AA15" s="3">
        <f t="shared" si="1"/>
        <v>2.9526665471646455E-10</v>
      </c>
      <c r="AB15" s="3">
        <f t="shared" si="1"/>
        <v>1.6253585467935941E-8</v>
      </c>
      <c r="AC15" s="5">
        <f t="shared" si="0"/>
        <v>2.9683353245180353</v>
      </c>
    </row>
    <row r="16" spans="1:29" s="3" customFormat="1" x14ac:dyDescent="0.25">
      <c r="A16" s="3" t="s">
        <v>47</v>
      </c>
      <c r="B16" s="3">
        <v>2040</v>
      </c>
      <c r="C16" s="3" t="s">
        <v>52</v>
      </c>
      <c r="D16" s="3" t="s">
        <v>6</v>
      </c>
      <c r="E16" s="3" t="s">
        <v>14</v>
      </c>
      <c r="F16" s="3" t="s">
        <v>53</v>
      </c>
      <c r="G16" s="3">
        <f t="shared" si="2"/>
        <v>1.3184625362039391</v>
      </c>
      <c r="H16" s="3">
        <f t="shared" si="1"/>
        <v>0.42122001924962826</v>
      </c>
      <c r="I16" s="3">
        <f t="shared" si="1"/>
        <v>3.3981579553387323E-14</v>
      </c>
      <c r="J16" s="3">
        <f t="shared" si="1"/>
        <v>5.4856624658088025E-7</v>
      </c>
      <c r="K16" s="3">
        <f t="shared" si="1"/>
        <v>0.40464908382304532</v>
      </c>
      <c r="L16" s="3">
        <f t="shared" si="1"/>
        <v>0.25797191649303336</v>
      </c>
      <c r="M16" s="3">
        <f t="shared" si="1"/>
        <v>2.8698002104629444E-8</v>
      </c>
      <c r="N16" s="3">
        <f t="shared" si="1"/>
        <v>1.5321352020638629E-10</v>
      </c>
      <c r="O16" s="3">
        <f t="shared" si="1"/>
        <v>5.1644513292841527E-6</v>
      </c>
      <c r="P16" s="3">
        <f t="shared" si="1"/>
        <v>6.6506615145415679E-6</v>
      </c>
      <c r="Q16" s="3">
        <f t="shared" si="1"/>
        <v>0.4729091865787165</v>
      </c>
      <c r="R16" s="3">
        <f t="shared" si="1"/>
        <v>5.1335428722064078E-2</v>
      </c>
      <c r="S16" s="3">
        <f t="shared" si="1"/>
        <v>5.4984744273232558E-7</v>
      </c>
      <c r="T16" s="3">
        <f t="shared" si="1"/>
        <v>5.6800896123994411E-7</v>
      </c>
      <c r="U16" s="3">
        <f t="shared" si="1"/>
        <v>3.4485746130663824E-4</v>
      </c>
      <c r="V16" s="3">
        <f t="shared" si="1"/>
        <v>6.2276793574979979E-4</v>
      </c>
      <c r="W16" s="3">
        <f t="shared" si="1"/>
        <v>3.6686190509570987E-6</v>
      </c>
      <c r="X16" s="3">
        <f t="shared" si="1"/>
        <v>2.0069998840908997E-2</v>
      </c>
      <c r="Y16" s="3">
        <f t="shared" si="1"/>
        <v>2.0732327096050839E-2</v>
      </c>
      <c r="Z16" s="3">
        <f t="shared" si="1"/>
        <v>6.5589458058795521E-9</v>
      </c>
      <c r="AA16" s="3">
        <f t="shared" si="1"/>
        <v>2.9526665471646455E-10</v>
      </c>
      <c r="AB16" s="3">
        <f t="shared" si="1"/>
        <v>1.6253585467935941E-8</v>
      </c>
      <c r="AC16" s="5">
        <f t="shared" si="0"/>
        <v>2.9683353245180353</v>
      </c>
    </row>
    <row r="17" spans="1:29" s="3" customFormat="1" x14ac:dyDescent="0.25">
      <c r="A17" s="3" t="s">
        <v>47</v>
      </c>
      <c r="B17" s="3">
        <v>2020</v>
      </c>
      <c r="C17" s="3" t="s">
        <v>54</v>
      </c>
      <c r="D17" s="3" t="s">
        <v>51</v>
      </c>
      <c r="E17" s="3" t="s">
        <v>14</v>
      </c>
      <c r="F17" s="3" t="s">
        <v>53</v>
      </c>
      <c r="G17" s="3">
        <f t="shared" si="2"/>
        <v>2.1329130789753572</v>
      </c>
      <c r="H17" s="3">
        <f t="shared" si="1"/>
        <v>0.67892309384467575</v>
      </c>
      <c r="I17" s="3">
        <f t="shared" si="1"/>
        <v>3.9908260214864716E-14</v>
      </c>
      <c r="J17" s="3">
        <f t="shared" si="1"/>
        <v>6.2171808494805938E-7</v>
      </c>
      <c r="K17" s="3">
        <f t="shared" si="1"/>
        <v>0.60186421005431912</v>
      </c>
      <c r="L17" s="3">
        <f t="shared" si="1"/>
        <v>0.3921386496014142</v>
      </c>
      <c r="M17" s="3">
        <f t="shared" si="1"/>
        <v>3.3582930860517541E-8</v>
      </c>
      <c r="N17" s="3">
        <f t="shared" si="1"/>
        <v>1.0031657542074218E-10</v>
      </c>
      <c r="O17" s="3">
        <f t="shared" si="1"/>
        <v>6.1534242065030852E-6</v>
      </c>
      <c r="P17" s="3">
        <f t="shared" si="1"/>
        <v>7.5493596041280626E-6</v>
      </c>
      <c r="Q17" s="3">
        <f t="shared" si="1"/>
        <v>0.76605400636035326</v>
      </c>
      <c r="R17" s="3">
        <f t="shared" si="1"/>
        <v>8.3157046060347906E-2</v>
      </c>
      <c r="S17" s="3">
        <f t="shared" si="1"/>
        <v>5.9278350104131164E-7</v>
      </c>
      <c r="T17" s="3">
        <f t="shared" si="1"/>
        <v>6.0769846617444873E-7</v>
      </c>
      <c r="U17" s="3">
        <f t="shared" si="1"/>
        <v>4.2305709898206968E-4</v>
      </c>
      <c r="V17" s="3">
        <f t="shared" si="1"/>
        <v>6.3730167875452551E-4</v>
      </c>
      <c r="W17" s="3">
        <f t="shared" si="1"/>
        <v>4.1667787665616607E-6</v>
      </c>
      <c r="X17" s="3">
        <f t="shared" si="1"/>
        <v>2.1638105446900889E-2</v>
      </c>
      <c r="Y17" s="3">
        <f t="shared" si="1"/>
        <v>2.2180994022036413E-2</v>
      </c>
      <c r="Z17" s="3">
        <f t="shared" si="1"/>
        <v>7.1333838134963178E-9</v>
      </c>
      <c r="AA17" s="3">
        <f t="shared" si="1"/>
        <v>3.4234854656696871E-10</v>
      </c>
      <c r="AB17" s="3">
        <f t="shared" si="1"/>
        <v>1.9057730434565559E-8</v>
      </c>
      <c r="AC17" s="5">
        <f t="shared" si="0"/>
        <v>4.6999492951225212</v>
      </c>
    </row>
    <row r="18" spans="1:29" s="3" customFormat="1" x14ac:dyDescent="0.25">
      <c r="A18" s="3" t="s">
        <v>47</v>
      </c>
      <c r="B18" s="3">
        <v>2025</v>
      </c>
      <c r="C18" s="3" t="s">
        <v>54</v>
      </c>
      <c r="D18" s="3" t="s">
        <v>51</v>
      </c>
      <c r="E18" s="3" t="s">
        <v>14</v>
      </c>
      <c r="F18" s="3" t="s">
        <v>53</v>
      </c>
      <c r="G18" s="3">
        <f t="shared" si="2"/>
        <v>2.1329130789753572</v>
      </c>
      <c r="H18" s="3">
        <f t="shared" si="1"/>
        <v>0.67892309384467575</v>
      </c>
      <c r="I18" s="3">
        <f t="shared" si="1"/>
        <v>3.9908260214864716E-14</v>
      </c>
      <c r="J18" s="3">
        <f t="shared" si="1"/>
        <v>6.2171808494805938E-7</v>
      </c>
      <c r="K18" s="3">
        <f t="shared" si="1"/>
        <v>0.60186421005431912</v>
      </c>
      <c r="L18" s="3">
        <f t="shared" si="1"/>
        <v>0.3921386496014142</v>
      </c>
      <c r="M18" s="3">
        <f t="shared" si="1"/>
        <v>3.3582930860517541E-8</v>
      </c>
      <c r="N18" s="3">
        <f t="shared" si="1"/>
        <v>1.0031657542074218E-10</v>
      </c>
      <c r="O18" s="3">
        <f t="shared" si="1"/>
        <v>6.1534242065030852E-6</v>
      </c>
      <c r="P18" s="3">
        <f t="shared" si="1"/>
        <v>7.5493596041280626E-6</v>
      </c>
      <c r="Q18" s="3">
        <f t="shared" si="1"/>
        <v>0.76605400636035326</v>
      </c>
      <c r="R18" s="3">
        <f t="shared" si="1"/>
        <v>8.3157046060347906E-2</v>
      </c>
      <c r="S18" s="3">
        <f t="shared" si="1"/>
        <v>5.9278350104131164E-7</v>
      </c>
      <c r="T18" s="3">
        <f t="shared" si="1"/>
        <v>6.0769846617444873E-7</v>
      </c>
      <c r="U18" s="3">
        <f t="shared" si="1"/>
        <v>4.2305709898206968E-4</v>
      </c>
      <c r="V18" s="3">
        <f t="shared" si="1"/>
        <v>6.3730167875452551E-4</v>
      </c>
      <c r="W18" s="3">
        <f t="shared" si="1"/>
        <v>4.1667787665616607E-6</v>
      </c>
      <c r="X18" s="3">
        <f t="shared" si="1"/>
        <v>2.1638105446900889E-2</v>
      </c>
      <c r="Y18" s="3">
        <f t="shared" si="1"/>
        <v>2.2180994022036413E-2</v>
      </c>
      <c r="Z18" s="3">
        <f t="shared" si="1"/>
        <v>7.1333838134963178E-9</v>
      </c>
      <c r="AA18" s="3">
        <f t="shared" si="1"/>
        <v>3.4234854656696871E-10</v>
      </c>
      <c r="AB18" s="3">
        <f t="shared" si="1"/>
        <v>1.9057730434565559E-8</v>
      </c>
      <c r="AC18" s="5">
        <f t="shared" si="0"/>
        <v>4.6999492951225212</v>
      </c>
    </row>
    <row r="19" spans="1:29" s="3" customFormat="1" x14ac:dyDescent="0.25">
      <c r="A19" s="3" t="s">
        <v>47</v>
      </c>
      <c r="B19" s="3">
        <v>2030</v>
      </c>
      <c r="C19" s="3" t="s">
        <v>54</v>
      </c>
      <c r="D19" s="3" t="s">
        <v>51</v>
      </c>
      <c r="E19" s="3" t="s">
        <v>14</v>
      </c>
      <c r="F19" s="3" t="s">
        <v>53</v>
      </c>
      <c r="G19" s="3">
        <f t="shared" si="2"/>
        <v>2.1329130789753572</v>
      </c>
      <c r="H19" s="3">
        <f t="shared" si="1"/>
        <v>0.67892309384467575</v>
      </c>
      <c r="I19" s="3">
        <f t="shared" si="1"/>
        <v>3.9908260214864716E-14</v>
      </c>
      <c r="J19" s="3">
        <f t="shared" si="1"/>
        <v>6.2171808494805938E-7</v>
      </c>
      <c r="K19" s="3">
        <f t="shared" si="1"/>
        <v>0.60186421005431912</v>
      </c>
      <c r="L19" s="3">
        <f t="shared" si="1"/>
        <v>0.3921386496014142</v>
      </c>
      <c r="M19" s="3">
        <f t="shared" si="1"/>
        <v>3.3582930860517541E-8</v>
      </c>
      <c r="N19" s="3">
        <f t="shared" si="1"/>
        <v>1.0031657542074218E-10</v>
      </c>
      <c r="O19" s="3">
        <f t="shared" si="1"/>
        <v>6.1534242065030852E-6</v>
      </c>
      <c r="P19" s="3">
        <f t="shared" si="1"/>
        <v>7.5493596041280626E-6</v>
      </c>
      <c r="Q19" s="3">
        <f t="shared" si="1"/>
        <v>0.76605400636035326</v>
      </c>
      <c r="R19" s="3">
        <f t="shared" si="1"/>
        <v>8.3157046060347906E-2</v>
      </c>
      <c r="S19" s="3">
        <f t="shared" si="1"/>
        <v>5.9278350104131164E-7</v>
      </c>
      <c r="T19" s="3">
        <f t="shared" si="1"/>
        <v>6.0769846617444873E-7</v>
      </c>
      <c r="U19" s="3">
        <f t="shared" si="1"/>
        <v>4.2305709898206968E-4</v>
      </c>
      <c r="V19" s="3">
        <f t="shared" si="1"/>
        <v>6.3730167875452551E-4</v>
      </c>
      <c r="W19" s="3">
        <f t="shared" si="1"/>
        <v>4.1667787665616607E-6</v>
      </c>
      <c r="X19" s="3">
        <f t="shared" si="1"/>
        <v>2.1638105446900889E-2</v>
      </c>
      <c r="Y19" s="3">
        <f t="shared" si="1"/>
        <v>2.2180994022036413E-2</v>
      </c>
      <c r="Z19" s="3">
        <f t="shared" si="1"/>
        <v>7.1333838134963178E-9</v>
      </c>
      <c r="AA19" s="3">
        <f t="shared" si="1"/>
        <v>3.4234854656696871E-10</v>
      </c>
      <c r="AB19" s="3">
        <f t="shared" si="1"/>
        <v>1.9057730434565559E-8</v>
      </c>
      <c r="AC19" s="5">
        <f t="shared" si="0"/>
        <v>4.6999492951225212</v>
      </c>
    </row>
    <row r="20" spans="1:29" s="3" customFormat="1" x14ac:dyDescent="0.25">
      <c r="A20" s="3" t="s">
        <v>47</v>
      </c>
      <c r="B20" s="3">
        <v>2035</v>
      </c>
      <c r="C20" s="3" t="s">
        <v>54</v>
      </c>
      <c r="D20" s="3" t="s">
        <v>51</v>
      </c>
      <c r="E20" s="3" t="s">
        <v>14</v>
      </c>
      <c r="F20" s="3" t="s">
        <v>53</v>
      </c>
      <c r="G20" s="3">
        <f t="shared" si="2"/>
        <v>2.1329130789753572</v>
      </c>
      <c r="H20" s="3">
        <f t="shared" si="1"/>
        <v>0.67892309384467575</v>
      </c>
      <c r="I20" s="3">
        <f t="shared" si="1"/>
        <v>3.9908260214864716E-14</v>
      </c>
      <c r="J20" s="3">
        <f t="shared" si="1"/>
        <v>6.2171808494805938E-7</v>
      </c>
      <c r="K20" s="3">
        <f t="shared" si="1"/>
        <v>0.60186421005431912</v>
      </c>
      <c r="L20" s="3">
        <f t="shared" si="1"/>
        <v>0.3921386496014142</v>
      </c>
      <c r="M20" s="3">
        <f t="shared" si="1"/>
        <v>3.3582930860517541E-8</v>
      </c>
      <c r="N20" s="3">
        <f t="shared" si="1"/>
        <v>1.0031657542074218E-10</v>
      </c>
      <c r="O20" s="3">
        <f t="shared" si="1"/>
        <v>6.1534242065030852E-6</v>
      </c>
      <c r="P20" s="3">
        <f t="shared" si="1"/>
        <v>7.5493596041280626E-6</v>
      </c>
      <c r="Q20" s="3">
        <f t="shared" si="1"/>
        <v>0.76605400636035326</v>
      </c>
      <c r="R20" s="3">
        <f t="shared" si="1"/>
        <v>8.3157046060347906E-2</v>
      </c>
      <c r="S20" s="3">
        <f t="shared" si="1"/>
        <v>5.9278350104131164E-7</v>
      </c>
      <c r="T20" s="3">
        <f t="shared" si="1"/>
        <v>6.0769846617444873E-7</v>
      </c>
      <c r="U20" s="3">
        <f t="shared" si="1"/>
        <v>4.2305709898206968E-4</v>
      </c>
      <c r="V20" s="3">
        <f t="shared" si="1"/>
        <v>6.3730167875452551E-4</v>
      </c>
      <c r="W20" s="3">
        <f t="shared" si="1"/>
        <v>4.1667787665616607E-6</v>
      </c>
      <c r="X20" s="3">
        <f t="shared" si="1"/>
        <v>2.1638105446900889E-2</v>
      </c>
      <c r="Y20" s="3">
        <f t="shared" si="1"/>
        <v>2.2180994022036413E-2</v>
      </c>
      <c r="Z20" s="3">
        <f t="shared" si="1"/>
        <v>7.1333838134963178E-9</v>
      </c>
      <c r="AA20" s="3">
        <f t="shared" si="1"/>
        <v>3.4234854656696871E-10</v>
      </c>
      <c r="AB20" s="3">
        <f t="shared" si="1"/>
        <v>1.9057730434565559E-8</v>
      </c>
      <c r="AC20" s="5">
        <f t="shared" si="0"/>
        <v>4.6999492951225212</v>
      </c>
    </row>
    <row r="21" spans="1:29" s="3" customFormat="1" x14ac:dyDescent="0.25">
      <c r="A21" s="3" t="s">
        <v>47</v>
      </c>
      <c r="B21" s="3">
        <v>2040</v>
      </c>
      <c r="C21" s="3" t="s">
        <v>54</v>
      </c>
      <c r="D21" s="3" t="s">
        <v>51</v>
      </c>
      <c r="E21" s="3" t="s">
        <v>14</v>
      </c>
      <c r="F21" s="3" t="s">
        <v>53</v>
      </c>
      <c r="G21" s="3">
        <f t="shared" si="2"/>
        <v>2.1329130789753572</v>
      </c>
      <c r="H21" s="3">
        <f t="shared" si="1"/>
        <v>0.67892309384467575</v>
      </c>
      <c r="I21" s="3">
        <f t="shared" si="1"/>
        <v>3.9908260214864716E-14</v>
      </c>
      <c r="J21" s="3">
        <f t="shared" si="1"/>
        <v>6.2171808494805938E-7</v>
      </c>
      <c r="K21" s="3">
        <f t="shared" si="1"/>
        <v>0.60186421005431912</v>
      </c>
      <c r="L21" s="3">
        <f t="shared" si="1"/>
        <v>0.3921386496014142</v>
      </c>
      <c r="M21" s="3">
        <f t="shared" si="1"/>
        <v>3.3582930860517541E-8</v>
      </c>
      <c r="N21" s="3">
        <f t="shared" si="1"/>
        <v>1.0031657542074218E-10</v>
      </c>
      <c r="O21" s="3">
        <f t="shared" si="1"/>
        <v>6.1534242065030852E-6</v>
      </c>
      <c r="P21" s="3">
        <f t="shared" si="1"/>
        <v>7.5493596041280626E-6</v>
      </c>
      <c r="Q21" s="3">
        <f t="shared" si="1"/>
        <v>0.76605400636035326</v>
      </c>
      <c r="R21" s="3">
        <f t="shared" si="1"/>
        <v>8.3157046060347906E-2</v>
      </c>
      <c r="S21" s="3">
        <f t="shared" si="1"/>
        <v>5.9278350104131164E-7</v>
      </c>
      <c r="T21" s="3">
        <f t="shared" si="1"/>
        <v>6.0769846617444873E-7</v>
      </c>
      <c r="U21" s="3">
        <f t="shared" si="1"/>
        <v>4.2305709898206968E-4</v>
      </c>
      <c r="V21" s="3">
        <f t="shared" si="1"/>
        <v>6.3730167875452551E-4</v>
      </c>
      <c r="W21" s="3">
        <f t="shared" si="1"/>
        <v>4.1667787665616607E-6</v>
      </c>
      <c r="X21" s="3">
        <f t="shared" si="1"/>
        <v>2.1638105446900889E-2</v>
      </c>
      <c r="Y21" s="3">
        <f t="shared" si="1"/>
        <v>2.2180994022036413E-2</v>
      </c>
      <c r="Z21" s="3">
        <f t="shared" si="1"/>
        <v>7.1333838134963178E-9</v>
      </c>
      <c r="AA21" s="3">
        <f t="shared" si="1"/>
        <v>3.4234854656696871E-10</v>
      </c>
      <c r="AB21" s="3">
        <f t="shared" si="1"/>
        <v>1.9057730434565559E-8</v>
      </c>
      <c r="AC21" s="5">
        <f t="shared" si="0"/>
        <v>4.6999492951225212</v>
      </c>
    </row>
    <row r="22" spans="1:29" x14ac:dyDescent="0.25">
      <c r="A22" t="s">
        <v>47</v>
      </c>
      <c r="B22">
        <v>2020</v>
      </c>
      <c r="C22" t="s">
        <v>52</v>
      </c>
      <c r="D22" t="s">
        <v>6</v>
      </c>
      <c r="E22" t="s">
        <v>14</v>
      </c>
      <c r="F22" t="s">
        <v>55</v>
      </c>
      <c r="G22">
        <v>1.3228765595204881</v>
      </c>
      <c r="H22">
        <v>0.42257411192407363</v>
      </c>
      <c r="I22">
        <v>3.4071835470200168E-14</v>
      </c>
      <c r="J22">
        <v>5.57725607265184E-7</v>
      </c>
      <c r="K22">
        <v>0.40495856700671551</v>
      </c>
      <c r="L22">
        <v>0.25820489642940692</v>
      </c>
      <c r="M22">
        <v>2.883457256913305E-8</v>
      </c>
      <c r="N22">
        <v>1.534695972815986E-10</v>
      </c>
      <c r="O22">
        <v>5.1805578737388151E-6</v>
      </c>
      <c r="P22">
        <v>6.6702226340087378E-6</v>
      </c>
      <c r="Q22">
        <v>0.47448978554073568</v>
      </c>
      <c r="R22">
        <v>5.1507005411611802E-2</v>
      </c>
      <c r="S22">
        <v>5.5012886187071727E-7</v>
      </c>
      <c r="T22">
        <v>5.6849020636048746E-7</v>
      </c>
      <c r="U22">
        <v>3.4603831689525598E-4</v>
      </c>
      <c r="V22">
        <v>6.2441706412041552E-4</v>
      </c>
      <c r="W22">
        <v>3.7288092884922469E-6</v>
      </c>
      <c r="X22">
        <v>2.008027118015188E-2</v>
      </c>
      <c r="Y22">
        <v>2.0749892542686429E-2</v>
      </c>
      <c r="Z22">
        <v>6.6254664030463899E-9</v>
      </c>
      <c r="AA22">
        <v>3.0025868823292302E-10</v>
      </c>
      <c r="AB22">
        <v>1.6317736341870249E-8</v>
      </c>
      <c r="AC22" s="5">
        <f t="shared" si="0"/>
        <v>2.9764288531028953</v>
      </c>
    </row>
    <row r="23" spans="1:29" x14ac:dyDescent="0.25">
      <c r="A23" t="s">
        <v>47</v>
      </c>
      <c r="B23">
        <v>2025</v>
      </c>
      <c r="C23" t="s">
        <v>52</v>
      </c>
      <c r="D23" t="s">
        <v>6</v>
      </c>
      <c r="E23" t="s">
        <v>14</v>
      </c>
      <c r="F23" t="s">
        <v>55</v>
      </c>
      <c r="G23">
        <v>1.3228765595204881</v>
      </c>
      <c r="H23">
        <v>0.42257411192407363</v>
      </c>
      <c r="I23">
        <v>3.4071835470200168E-14</v>
      </c>
      <c r="J23">
        <v>5.57725607265184E-7</v>
      </c>
      <c r="K23">
        <v>0.40495856700671551</v>
      </c>
      <c r="L23">
        <v>0.25820489642940692</v>
      </c>
      <c r="M23">
        <v>2.883457256913305E-8</v>
      </c>
      <c r="N23">
        <v>1.534695972815986E-10</v>
      </c>
      <c r="O23">
        <v>5.1805578737388151E-6</v>
      </c>
      <c r="P23">
        <v>6.6702226340087378E-6</v>
      </c>
      <c r="Q23">
        <v>0.47448978554073568</v>
      </c>
      <c r="R23">
        <v>5.1507005411611802E-2</v>
      </c>
      <c r="S23">
        <v>5.5012886187071727E-7</v>
      </c>
      <c r="T23">
        <v>5.6849020636048746E-7</v>
      </c>
      <c r="U23">
        <v>3.4603831689525598E-4</v>
      </c>
      <c r="V23">
        <v>6.2441706412041552E-4</v>
      </c>
      <c r="W23">
        <v>3.7288092884922469E-6</v>
      </c>
      <c r="X23">
        <v>2.008027118015188E-2</v>
      </c>
      <c r="Y23">
        <v>2.0749892542686429E-2</v>
      </c>
      <c r="Z23">
        <v>6.6254664030463899E-9</v>
      </c>
      <c r="AA23">
        <v>3.0025868823292302E-10</v>
      </c>
      <c r="AB23">
        <v>1.6317736341870249E-8</v>
      </c>
      <c r="AC23" s="5">
        <f t="shared" si="0"/>
        <v>2.9764288531028953</v>
      </c>
    </row>
    <row r="24" spans="1:29" x14ac:dyDescent="0.25">
      <c r="A24" t="s">
        <v>47</v>
      </c>
      <c r="B24">
        <v>2030</v>
      </c>
      <c r="C24" t="s">
        <v>52</v>
      </c>
      <c r="D24" t="s">
        <v>6</v>
      </c>
      <c r="E24" t="s">
        <v>14</v>
      </c>
      <c r="F24" t="s">
        <v>55</v>
      </c>
      <c r="G24">
        <v>1.3228765595204881</v>
      </c>
      <c r="H24">
        <v>0.42257411192407363</v>
      </c>
      <c r="I24">
        <v>3.4071835470200168E-14</v>
      </c>
      <c r="J24">
        <v>5.57725607265184E-7</v>
      </c>
      <c r="K24">
        <v>0.40495856700671551</v>
      </c>
      <c r="L24">
        <v>0.25820489642940692</v>
      </c>
      <c r="M24">
        <v>2.883457256913305E-8</v>
      </c>
      <c r="N24">
        <v>1.534695972815986E-10</v>
      </c>
      <c r="O24">
        <v>5.1805578737388151E-6</v>
      </c>
      <c r="P24">
        <v>6.6702226340087378E-6</v>
      </c>
      <c r="Q24">
        <v>0.47448978554073568</v>
      </c>
      <c r="R24">
        <v>5.1507005411611802E-2</v>
      </c>
      <c r="S24">
        <v>5.5012886187071727E-7</v>
      </c>
      <c r="T24">
        <v>5.6849020636048746E-7</v>
      </c>
      <c r="U24">
        <v>3.4603831689525598E-4</v>
      </c>
      <c r="V24">
        <v>6.2441706412041552E-4</v>
      </c>
      <c r="W24">
        <v>3.7288092884922469E-6</v>
      </c>
      <c r="X24">
        <v>2.008027118015188E-2</v>
      </c>
      <c r="Y24">
        <v>2.0749892542686429E-2</v>
      </c>
      <c r="Z24">
        <v>6.6254664030463899E-9</v>
      </c>
      <c r="AA24">
        <v>3.0025868823292302E-10</v>
      </c>
      <c r="AB24">
        <v>1.6317736341870249E-8</v>
      </c>
      <c r="AC24" s="5">
        <f t="shared" si="0"/>
        <v>2.9764288531028953</v>
      </c>
    </row>
    <row r="25" spans="1:29" x14ac:dyDescent="0.25">
      <c r="A25" t="s">
        <v>47</v>
      </c>
      <c r="B25">
        <v>2035</v>
      </c>
      <c r="C25" t="s">
        <v>52</v>
      </c>
      <c r="D25" t="s">
        <v>6</v>
      </c>
      <c r="E25" t="s">
        <v>14</v>
      </c>
      <c r="F25" t="s">
        <v>55</v>
      </c>
      <c r="G25">
        <v>1.3228765595204881</v>
      </c>
      <c r="H25">
        <v>0.42257411192407363</v>
      </c>
      <c r="I25">
        <v>3.4071835470200168E-14</v>
      </c>
      <c r="J25">
        <v>5.57725607265184E-7</v>
      </c>
      <c r="K25">
        <v>0.40495856700671551</v>
      </c>
      <c r="L25">
        <v>0.25820489642940692</v>
      </c>
      <c r="M25">
        <v>2.883457256913305E-8</v>
      </c>
      <c r="N25">
        <v>1.534695972815986E-10</v>
      </c>
      <c r="O25">
        <v>5.1805578737388151E-6</v>
      </c>
      <c r="P25">
        <v>6.6702226340087378E-6</v>
      </c>
      <c r="Q25">
        <v>0.47448978554073568</v>
      </c>
      <c r="R25">
        <v>5.1507005411611802E-2</v>
      </c>
      <c r="S25">
        <v>5.5012886187071727E-7</v>
      </c>
      <c r="T25">
        <v>5.6849020636048746E-7</v>
      </c>
      <c r="U25">
        <v>3.4603831689525598E-4</v>
      </c>
      <c r="V25">
        <v>6.2441706412041552E-4</v>
      </c>
      <c r="W25">
        <v>3.7288092884922469E-6</v>
      </c>
      <c r="X25">
        <v>2.008027118015188E-2</v>
      </c>
      <c r="Y25">
        <v>2.0749892542686429E-2</v>
      </c>
      <c r="Z25">
        <v>6.6254664030463899E-9</v>
      </c>
      <c r="AA25">
        <v>3.0025868823292302E-10</v>
      </c>
      <c r="AB25">
        <v>1.6317736341870249E-8</v>
      </c>
      <c r="AC25" s="5">
        <f t="shared" si="0"/>
        <v>2.9764288531028953</v>
      </c>
    </row>
    <row r="26" spans="1:29" x14ac:dyDescent="0.25">
      <c r="A26" t="s">
        <v>47</v>
      </c>
      <c r="B26">
        <v>2040</v>
      </c>
      <c r="C26" t="s">
        <v>52</v>
      </c>
      <c r="D26" t="s">
        <v>6</v>
      </c>
      <c r="E26" t="s">
        <v>14</v>
      </c>
      <c r="F26" t="s">
        <v>55</v>
      </c>
      <c r="G26">
        <v>1.3228765595204881</v>
      </c>
      <c r="H26">
        <v>0.42257411192407363</v>
      </c>
      <c r="I26">
        <v>3.4071835470200168E-14</v>
      </c>
      <c r="J26">
        <v>5.57725607265184E-7</v>
      </c>
      <c r="K26">
        <v>0.40495856700671551</v>
      </c>
      <c r="L26">
        <v>0.25820489642940692</v>
      </c>
      <c r="M26">
        <v>2.883457256913305E-8</v>
      </c>
      <c r="N26">
        <v>1.534695972815986E-10</v>
      </c>
      <c r="O26">
        <v>5.1805578737388151E-6</v>
      </c>
      <c r="P26">
        <v>6.6702226340087378E-6</v>
      </c>
      <c r="Q26">
        <v>0.47448978554073568</v>
      </c>
      <c r="R26">
        <v>5.1507005411611802E-2</v>
      </c>
      <c r="S26">
        <v>5.5012886187071727E-7</v>
      </c>
      <c r="T26">
        <v>5.6849020636048746E-7</v>
      </c>
      <c r="U26">
        <v>3.4603831689525598E-4</v>
      </c>
      <c r="V26">
        <v>6.2441706412041552E-4</v>
      </c>
      <c r="W26">
        <v>3.7288092884922469E-6</v>
      </c>
      <c r="X26">
        <v>2.008027118015188E-2</v>
      </c>
      <c r="Y26">
        <v>2.0749892542686429E-2</v>
      </c>
      <c r="Z26">
        <v>6.6254664030463899E-9</v>
      </c>
      <c r="AA26">
        <v>3.0025868823292302E-10</v>
      </c>
      <c r="AB26">
        <v>1.6317736341870249E-8</v>
      </c>
      <c r="AC26" s="5">
        <f t="shared" si="0"/>
        <v>2.9764288531028953</v>
      </c>
    </row>
    <row r="27" spans="1:29" x14ac:dyDescent="0.25">
      <c r="A27" t="s">
        <v>47</v>
      </c>
      <c r="B27">
        <v>2020</v>
      </c>
      <c r="C27" t="s">
        <v>54</v>
      </c>
      <c r="D27" t="s">
        <v>51</v>
      </c>
      <c r="E27" t="s">
        <v>14</v>
      </c>
      <c r="F27" t="s">
        <v>55</v>
      </c>
      <c r="G27">
        <v>2.18967840747501</v>
      </c>
      <c r="H27">
        <v>0.69612769515851969</v>
      </c>
      <c r="I27">
        <v>4.0872703790949878E-14</v>
      </c>
      <c r="J27">
        <v>6.4984064079057073E-7</v>
      </c>
      <c r="K27">
        <v>0.60515303013826682</v>
      </c>
      <c r="L27">
        <v>0.39501889787505129</v>
      </c>
      <c r="M27">
        <v>3.4220986729268793E-8</v>
      </c>
      <c r="N27">
        <v>1.0079185589536041E-10</v>
      </c>
      <c r="O27">
        <v>6.2488728344266767E-6</v>
      </c>
      <c r="P27">
        <v>7.7248372092652076E-6</v>
      </c>
      <c r="Q27">
        <v>0.78656661507383741</v>
      </c>
      <c r="R27">
        <v>8.5383734911785178E-2</v>
      </c>
      <c r="S27">
        <v>5.9645772600663692E-7</v>
      </c>
      <c r="T27">
        <v>6.1426009493045931E-7</v>
      </c>
      <c r="U27">
        <v>4.3321962887204221E-4</v>
      </c>
      <c r="V27">
        <v>6.5887170618044615E-4</v>
      </c>
      <c r="W27">
        <v>4.3518162668867968E-6</v>
      </c>
      <c r="X27">
        <v>2.1772221058025482E-2</v>
      </c>
      <c r="Y27">
        <v>2.2420493466857459E-2</v>
      </c>
      <c r="Z27">
        <v>7.466953993722773E-9</v>
      </c>
      <c r="AA27">
        <v>3.5756397083502338E-10</v>
      </c>
      <c r="AB27">
        <v>1.9824109663449241E-8</v>
      </c>
      <c r="AC27" s="5">
        <f t="shared" si="0"/>
        <v>4.8032334345476242</v>
      </c>
    </row>
    <row r="28" spans="1:29" x14ac:dyDescent="0.25">
      <c r="A28" t="s">
        <v>47</v>
      </c>
      <c r="B28">
        <v>2025</v>
      </c>
      <c r="C28" t="s">
        <v>54</v>
      </c>
      <c r="D28" t="s">
        <v>51</v>
      </c>
      <c r="E28" t="s">
        <v>14</v>
      </c>
      <c r="F28" t="s">
        <v>55</v>
      </c>
      <c r="G28">
        <v>2.18967840747501</v>
      </c>
      <c r="H28">
        <v>0.69612769515851969</v>
      </c>
      <c r="I28">
        <v>4.0872703790949878E-14</v>
      </c>
      <c r="J28">
        <v>6.4984064079057073E-7</v>
      </c>
      <c r="K28">
        <v>0.60515303013826682</v>
      </c>
      <c r="L28">
        <v>0.39501889787505129</v>
      </c>
      <c r="M28">
        <v>3.4220986729268793E-8</v>
      </c>
      <c r="N28">
        <v>1.0079185589536041E-10</v>
      </c>
      <c r="O28">
        <v>6.2488728344266767E-6</v>
      </c>
      <c r="P28">
        <v>7.7248372092652076E-6</v>
      </c>
      <c r="Q28">
        <v>0.78656661507383741</v>
      </c>
      <c r="R28">
        <v>8.5383734911785178E-2</v>
      </c>
      <c r="S28">
        <v>5.9645772600663692E-7</v>
      </c>
      <c r="T28">
        <v>6.1426009493045931E-7</v>
      </c>
      <c r="U28">
        <v>4.3321962887204221E-4</v>
      </c>
      <c r="V28">
        <v>6.5887170618044615E-4</v>
      </c>
      <c r="W28">
        <v>4.3518162668867968E-6</v>
      </c>
      <c r="X28">
        <v>2.1772221058025482E-2</v>
      </c>
      <c r="Y28">
        <v>2.2420493466857459E-2</v>
      </c>
      <c r="Z28">
        <v>7.466953993722773E-9</v>
      </c>
      <c r="AA28">
        <v>3.5756397083502338E-10</v>
      </c>
      <c r="AB28">
        <v>1.9824109663449241E-8</v>
      </c>
      <c r="AC28" s="5">
        <f t="shared" si="0"/>
        <v>4.8032334345476242</v>
      </c>
    </row>
    <row r="29" spans="1:29" x14ac:dyDescent="0.25">
      <c r="A29" t="s">
        <v>47</v>
      </c>
      <c r="B29">
        <v>2030</v>
      </c>
      <c r="C29" t="s">
        <v>54</v>
      </c>
      <c r="D29" t="s">
        <v>51</v>
      </c>
      <c r="E29" t="s">
        <v>14</v>
      </c>
      <c r="F29" t="s">
        <v>55</v>
      </c>
      <c r="G29">
        <v>2.18967840747501</v>
      </c>
      <c r="H29">
        <v>0.69612769515851969</v>
      </c>
      <c r="I29">
        <v>4.0872703790949878E-14</v>
      </c>
      <c r="J29">
        <v>6.4984064079057073E-7</v>
      </c>
      <c r="K29">
        <v>0.60515303013826682</v>
      </c>
      <c r="L29">
        <v>0.39501889787505129</v>
      </c>
      <c r="M29">
        <v>3.4220986729268793E-8</v>
      </c>
      <c r="N29">
        <v>1.0079185589536041E-10</v>
      </c>
      <c r="O29">
        <v>6.2488728344266767E-6</v>
      </c>
      <c r="P29">
        <v>7.7248372092652076E-6</v>
      </c>
      <c r="Q29">
        <v>0.78656661507383741</v>
      </c>
      <c r="R29">
        <v>8.5383734911785178E-2</v>
      </c>
      <c r="S29">
        <v>5.9645772600663692E-7</v>
      </c>
      <c r="T29">
        <v>6.1426009493045931E-7</v>
      </c>
      <c r="U29">
        <v>4.3321962887204221E-4</v>
      </c>
      <c r="V29">
        <v>6.5887170618044615E-4</v>
      </c>
      <c r="W29">
        <v>4.3518162668867968E-6</v>
      </c>
      <c r="X29">
        <v>2.1772221058025482E-2</v>
      </c>
      <c r="Y29">
        <v>2.2420493466857459E-2</v>
      </c>
      <c r="Z29">
        <v>7.466953993722773E-9</v>
      </c>
      <c r="AA29">
        <v>3.5756397083502338E-10</v>
      </c>
      <c r="AB29">
        <v>1.9824109663449241E-8</v>
      </c>
      <c r="AC29" s="5">
        <f t="shared" si="0"/>
        <v>4.8032334345476242</v>
      </c>
    </row>
    <row r="30" spans="1:29" x14ac:dyDescent="0.25">
      <c r="A30" t="s">
        <v>47</v>
      </c>
      <c r="B30">
        <v>2035</v>
      </c>
      <c r="C30" t="s">
        <v>54</v>
      </c>
      <c r="D30" t="s">
        <v>51</v>
      </c>
      <c r="E30" t="s">
        <v>14</v>
      </c>
      <c r="F30" t="s">
        <v>55</v>
      </c>
      <c r="G30">
        <v>2.18967840747501</v>
      </c>
      <c r="H30">
        <v>0.69612769515851969</v>
      </c>
      <c r="I30">
        <v>4.0872703790949878E-14</v>
      </c>
      <c r="J30">
        <v>6.4984064079057073E-7</v>
      </c>
      <c r="K30">
        <v>0.60515303013826682</v>
      </c>
      <c r="L30">
        <v>0.39501889787505129</v>
      </c>
      <c r="M30">
        <v>3.4220986729268793E-8</v>
      </c>
      <c r="N30">
        <v>1.0079185589536041E-10</v>
      </c>
      <c r="O30">
        <v>6.2488728344266767E-6</v>
      </c>
      <c r="P30">
        <v>7.7248372092652076E-6</v>
      </c>
      <c r="Q30">
        <v>0.78656661507383741</v>
      </c>
      <c r="R30">
        <v>8.5383734911785178E-2</v>
      </c>
      <c r="S30">
        <v>5.9645772600663692E-7</v>
      </c>
      <c r="T30">
        <v>6.1426009493045931E-7</v>
      </c>
      <c r="U30">
        <v>4.3321962887204221E-4</v>
      </c>
      <c r="V30">
        <v>6.5887170618044615E-4</v>
      </c>
      <c r="W30">
        <v>4.3518162668867968E-6</v>
      </c>
      <c r="X30">
        <v>2.1772221058025482E-2</v>
      </c>
      <c r="Y30">
        <v>2.2420493466857459E-2</v>
      </c>
      <c r="Z30">
        <v>7.466953993722773E-9</v>
      </c>
      <c r="AA30">
        <v>3.5756397083502338E-10</v>
      </c>
      <c r="AB30">
        <v>1.9824109663449241E-8</v>
      </c>
      <c r="AC30" s="5">
        <f t="shared" si="0"/>
        <v>4.8032334345476242</v>
      </c>
    </row>
    <row r="31" spans="1:29" x14ac:dyDescent="0.25">
      <c r="A31" t="s">
        <v>47</v>
      </c>
      <c r="B31">
        <v>2040</v>
      </c>
      <c r="C31" t="s">
        <v>54</v>
      </c>
      <c r="D31" t="s">
        <v>51</v>
      </c>
      <c r="E31" t="s">
        <v>14</v>
      </c>
      <c r="F31" t="s">
        <v>55</v>
      </c>
      <c r="G31">
        <v>2.18967840747501</v>
      </c>
      <c r="H31">
        <v>0.69612769515851969</v>
      </c>
      <c r="I31">
        <v>4.0872703790949878E-14</v>
      </c>
      <c r="J31">
        <v>6.4984064079057073E-7</v>
      </c>
      <c r="K31">
        <v>0.60515303013826682</v>
      </c>
      <c r="L31">
        <v>0.39501889787505129</v>
      </c>
      <c r="M31">
        <v>3.4220986729268793E-8</v>
      </c>
      <c r="N31">
        <v>1.0079185589536041E-10</v>
      </c>
      <c r="O31">
        <v>6.2488728344266767E-6</v>
      </c>
      <c r="P31">
        <v>7.7248372092652076E-6</v>
      </c>
      <c r="Q31">
        <v>0.78656661507383741</v>
      </c>
      <c r="R31">
        <v>8.5383734911785178E-2</v>
      </c>
      <c r="S31">
        <v>5.9645772600663692E-7</v>
      </c>
      <c r="T31">
        <v>6.1426009493045931E-7</v>
      </c>
      <c r="U31">
        <v>4.3321962887204221E-4</v>
      </c>
      <c r="V31">
        <v>6.5887170618044615E-4</v>
      </c>
      <c r="W31">
        <v>4.3518162668867968E-6</v>
      </c>
      <c r="X31">
        <v>2.1772221058025482E-2</v>
      </c>
      <c r="Y31">
        <v>2.2420493466857459E-2</v>
      </c>
      <c r="Z31">
        <v>7.466953993722773E-9</v>
      </c>
      <c r="AA31">
        <v>3.5756397083502338E-10</v>
      </c>
      <c r="AB31">
        <v>1.9824109663449241E-8</v>
      </c>
      <c r="AC31" s="5">
        <f t="shared" si="0"/>
        <v>4.8032334345476242</v>
      </c>
    </row>
    <row r="32" spans="1:29" x14ac:dyDescent="0.25">
      <c r="A32" t="s">
        <v>47</v>
      </c>
      <c r="B32">
        <v>2020</v>
      </c>
      <c r="C32" t="s">
        <v>56</v>
      </c>
      <c r="D32" t="s">
        <v>6</v>
      </c>
      <c r="E32" t="s">
        <v>7</v>
      </c>
      <c r="F32" t="s">
        <v>49</v>
      </c>
      <c r="G32">
        <v>1.3181433665086799E-2</v>
      </c>
      <c r="H32">
        <v>3.993012295909636E-3</v>
      </c>
      <c r="I32">
        <v>7.2038109976661837E-17</v>
      </c>
      <c r="J32">
        <v>1.5490258074411541E-8</v>
      </c>
      <c r="K32">
        <v>6.8311664095103031E-4</v>
      </c>
      <c r="L32">
        <v>6.6585495122714253E-4</v>
      </c>
      <c r="M32">
        <v>2.6505495675042148E-10</v>
      </c>
      <c r="N32">
        <v>8.211663084599402E-14</v>
      </c>
      <c r="O32">
        <v>3.7798042815535291E-8</v>
      </c>
      <c r="P32">
        <v>4.673871670983834E-8</v>
      </c>
      <c r="Q32">
        <v>4.7862556275202984E-3</v>
      </c>
      <c r="R32">
        <v>5.1955576611977547E-4</v>
      </c>
      <c r="S32">
        <v>4.1086658203040018E-10</v>
      </c>
      <c r="T32">
        <v>5.0712603150274127E-10</v>
      </c>
      <c r="U32">
        <v>2.3909561080539688E-6</v>
      </c>
      <c r="V32">
        <v>5.3903474253607677E-6</v>
      </c>
      <c r="W32">
        <v>1.008942017432146E-7</v>
      </c>
      <c r="X32">
        <v>1.4997641386704539E-5</v>
      </c>
      <c r="Y32">
        <v>1.8510100082819061E-5</v>
      </c>
      <c r="Z32">
        <v>2.2016032753776951E-10</v>
      </c>
      <c r="AA32">
        <v>5.9452408238247649E-12</v>
      </c>
      <c r="AB32">
        <v>1.706589238254643E-10</v>
      </c>
      <c r="AC32" s="5">
        <f t="shared" si="0"/>
        <v>2.3870720492931218E-2</v>
      </c>
    </row>
    <row r="33" spans="1:29" x14ac:dyDescent="0.25">
      <c r="A33" t="s">
        <v>47</v>
      </c>
      <c r="B33">
        <v>2025</v>
      </c>
      <c r="C33" t="s">
        <v>56</v>
      </c>
      <c r="D33" t="s">
        <v>6</v>
      </c>
      <c r="E33" t="s">
        <v>7</v>
      </c>
      <c r="F33" t="s">
        <v>49</v>
      </c>
      <c r="G33">
        <v>1.3181433665086799E-2</v>
      </c>
      <c r="H33">
        <v>3.993012295909636E-3</v>
      </c>
      <c r="I33">
        <v>7.2038109976661837E-17</v>
      </c>
      <c r="J33">
        <v>1.5490258074411541E-8</v>
      </c>
      <c r="K33">
        <v>6.8311664095103031E-4</v>
      </c>
      <c r="L33">
        <v>6.6585495122714253E-4</v>
      </c>
      <c r="M33">
        <v>2.6505495675042148E-10</v>
      </c>
      <c r="N33">
        <v>8.211663084599402E-14</v>
      </c>
      <c r="O33">
        <v>3.7798042815535291E-8</v>
      </c>
      <c r="P33">
        <v>4.673871670983834E-8</v>
      </c>
      <c r="Q33">
        <v>4.7862556275202984E-3</v>
      </c>
      <c r="R33">
        <v>5.1955576611977547E-4</v>
      </c>
      <c r="S33">
        <v>4.1086658203040018E-10</v>
      </c>
      <c r="T33">
        <v>5.0712603150274127E-10</v>
      </c>
      <c r="U33">
        <v>2.3909561080539688E-6</v>
      </c>
      <c r="V33">
        <v>5.3903474253607677E-6</v>
      </c>
      <c r="W33">
        <v>1.008942017432146E-7</v>
      </c>
      <c r="X33">
        <v>1.4997641386704539E-5</v>
      </c>
      <c r="Y33">
        <v>1.8510100082819061E-5</v>
      </c>
      <c r="Z33">
        <v>2.2016032753776951E-10</v>
      </c>
      <c r="AA33">
        <v>5.9452408238247649E-12</v>
      </c>
      <c r="AB33">
        <v>1.706589238254643E-10</v>
      </c>
      <c r="AC33" s="5">
        <f t="shared" si="0"/>
        <v>2.3870720492931218E-2</v>
      </c>
    </row>
    <row r="34" spans="1:29" x14ac:dyDescent="0.25">
      <c r="A34" t="s">
        <v>47</v>
      </c>
      <c r="B34">
        <v>2030</v>
      </c>
      <c r="C34" t="s">
        <v>56</v>
      </c>
      <c r="D34" t="s">
        <v>6</v>
      </c>
      <c r="E34" t="s">
        <v>7</v>
      </c>
      <c r="F34" t="s">
        <v>49</v>
      </c>
      <c r="G34">
        <v>1.3181433665086799E-2</v>
      </c>
      <c r="H34">
        <v>3.993012295909636E-3</v>
      </c>
      <c r="I34">
        <v>7.2038109976661837E-17</v>
      </c>
      <c r="J34">
        <v>1.5490258074411541E-8</v>
      </c>
      <c r="K34">
        <v>6.8311664095103031E-4</v>
      </c>
      <c r="L34">
        <v>6.6585495122714253E-4</v>
      </c>
      <c r="M34">
        <v>2.6505495675042148E-10</v>
      </c>
      <c r="N34">
        <v>8.211663084599402E-14</v>
      </c>
      <c r="O34">
        <v>3.7798042815535291E-8</v>
      </c>
      <c r="P34">
        <v>4.673871670983834E-8</v>
      </c>
      <c r="Q34">
        <v>4.7862556275202984E-3</v>
      </c>
      <c r="R34">
        <v>5.1955576611977547E-4</v>
      </c>
      <c r="S34">
        <v>4.1086658203040018E-10</v>
      </c>
      <c r="T34">
        <v>5.0712603150274127E-10</v>
      </c>
      <c r="U34">
        <v>2.3909561080539688E-6</v>
      </c>
      <c r="V34">
        <v>5.3903474253607677E-6</v>
      </c>
      <c r="W34">
        <v>1.008942017432146E-7</v>
      </c>
      <c r="X34">
        <v>1.4997641386704539E-5</v>
      </c>
      <c r="Y34">
        <v>1.8510100082819061E-5</v>
      </c>
      <c r="Z34">
        <v>2.2016032753776951E-10</v>
      </c>
      <c r="AA34">
        <v>5.9452408238247649E-12</v>
      </c>
      <c r="AB34">
        <v>1.706589238254643E-10</v>
      </c>
      <c r="AC34" s="5">
        <f t="shared" si="0"/>
        <v>2.3870720492931218E-2</v>
      </c>
    </row>
    <row r="35" spans="1:29" x14ac:dyDescent="0.25">
      <c r="A35" t="s">
        <v>47</v>
      </c>
      <c r="B35">
        <v>2035</v>
      </c>
      <c r="C35" t="s">
        <v>56</v>
      </c>
      <c r="D35" t="s">
        <v>6</v>
      </c>
      <c r="E35" t="s">
        <v>7</v>
      </c>
      <c r="F35" t="s">
        <v>49</v>
      </c>
      <c r="G35">
        <v>1.3181433665086799E-2</v>
      </c>
      <c r="H35">
        <v>3.993012295909636E-3</v>
      </c>
      <c r="I35">
        <v>7.2038109976661837E-17</v>
      </c>
      <c r="J35">
        <v>1.5490258074411541E-8</v>
      </c>
      <c r="K35">
        <v>6.8311664095103031E-4</v>
      </c>
      <c r="L35">
        <v>6.6585495122714253E-4</v>
      </c>
      <c r="M35">
        <v>2.6505495675042148E-10</v>
      </c>
      <c r="N35">
        <v>8.211663084599402E-14</v>
      </c>
      <c r="O35">
        <v>3.7798042815535291E-8</v>
      </c>
      <c r="P35">
        <v>4.673871670983834E-8</v>
      </c>
      <c r="Q35">
        <v>4.7862556275202984E-3</v>
      </c>
      <c r="R35">
        <v>5.1955576611977547E-4</v>
      </c>
      <c r="S35">
        <v>4.1086658203040018E-10</v>
      </c>
      <c r="T35">
        <v>5.0712603150274127E-10</v>
      </c>
      <c r="U35">
        <v>2.3909561080539688E-6</v>
      </c>
      <c r="V35">
        <v>5.3903474253607677E-6</v>
      </c>
      <c r="W35">
        <v>1.008942017432146E-7</v>
      </c>
      <c r="X35">
        <v>1.4997641386704539E-5</v>
      </c>
      <c r="Y35">
        <v>1.8510100082819061E-5</v>
      </c>
      <c r="Z35">
        <v>2.2016032753776951E-10</v>
      </c>
      <c r="AA35">
        <v>5.9452408238247649E-12</v>
      </c>
      <c r="AB35">
        <v>1.706589238254643E-10</v>
      </c>
      <c r="AC35" s="5">
        <f t="shared" si="0"/>
        <v>2.3870720492931218E-2</v>
      </c>
    </row>
    <row r="36" spans="1:29" x14ac:dyDescent="0.25">
      <c r="A36" t="s">
        <v>47</v>
      </c>
      <c r="B36">
        <v>2040</v>
      </c>
      <c r="C36" t="s">
        <v>56</v>
      </c>
      <c r="D36" t="s">
        <v>6</v>
      </c>
      <c r="E36" t="s">
        <v>7</v>
      </c>
      <c r="F36" t="s">
        <v>49</v>
      </c>
      <c r="G36">
        <v>1.3181433665086799E-2</v>
      </c>
      <c r="H36">
        <v>3.993012295909636E-3</v>
      </c>
      <c r="I36">
        <v>7.2038109976661837E-17</v>
      </c>
      <c r="J36">
        <v>1.5490258074411541E-8</v>
      </c>
      <c r="K36">
        <v>6.8311664095103031E-4</v>
      </c>
      <c r="L36">
        <v>6.6585495122714253E-4</v>
      </c>
      <c r="M36">
        <v>2.6505495675042148E-10</v>
      </c>
      <c r="N36">
        <v>8.211663084599402E-14</v>
      </c>
      <c r="O36">
        <v>3.7798042815535291E-8</v>
      </c>
      <c r="P36">
        <v>4.673871670983834E-8</v>
      </c>
      <c r="Q36">
        <v>4.7862556275202984E-3</v>
      </c>
      <c r="R36">
        <v>5.1955576611977547E-4</v>
      </c>
      <c r="S36">
        <v>4.1086658203040018E-10</v>
      </c>
      <c r="T36">
        <v>5.0712603150274127E-10</v>
      </c>
      <c r="U36">
        <v>2.3909561080539688E-6</v>
      </c>
      <c r="V36">
        <v>5.3903474253607677E-6</v>
      </c>
      <c r="W36">
        <v>1.008942017432146E-7</v>
      </c>
      <c r="X36">
        <v>1.4997641386704539E-5</v>
      </c>
      <c r="Y36">
        <v>1.8510100082819061E-5</v>
      </c>
      <c r="Z36">
        <v>2.2016032753776951E-10</v>
      </c>
      <c r="AA36">
        <v>5.9452408238247649E-12</v>
      </c>
      <c r="AB36">
        <v>1.706589238254643E-10</v>
      </c>
      <c r="AC36" s="5">
        <f t="shared" si="0"/>
        <v>2.3870720492931218E-2</v>
      </c>
    </row>
    <row r="37" spans="1:29" x14ac:dyDescent="0.25">
      <c r="A37" t="s">
        <v>47</v>
      </c>
      <c r="B37">
        <v>2020</v>
      </c>
      <c r="C37" t="s">
        <v>57</v>
      </c>
      <c r="D37" t="s">
        <v>51</v>
      </c>
      <c r="E37" t="s">
        <v>7</v>
      </c>
      <c r="F37" t="s">
        <v>49</v>
      </c>
      <c r="G37">
        <v>4.1630757137417547E-2</v>
      </c>
      <c r="H37">
        <v>1.259572354045531E-2</v>
      </c>
      <c r="I37">
        <v>5.6966790533313826E-16</v>
      </c>
      <c r="J37">
        <v>2.4897232351194331E-8</v>
      </c>
      <c r="K37">
        <v>2.1581295940575171E-3</v>
      </c>
      <c r="L37">
        <v>2.0229846350541258E-3</v>
      </c>
      <c r="M37">
        <v>5.2584969498749632E-10</v>
      </c>
      <c r="N37">
        <v>2.6014118666281019E-13</v>
      </c>
      <c r="O37">
        <v>7.9287043523357184E-8</v>
      </c>
      <c r="P37">
        <v>1.3211087929618561E-7</v>
      </c>
      <c r="Q37">
        <v>1.507397704553208E-2</v>
      </c>
      <c r="R37">
        <v>1.636311254892567E-3</v>
      </c>
      <c r="S37">
        <v>2.2934816100357319E-9</v>
      </c>
      <c r="T37">
        <v>3.9494097022240871E-9</v>
      </c>
      <c r="U37">
        <v>7.3154325131612742E-6</v>
      </c>
      <c r="V37">
        <v>1.6454355980755319E-5</v>
      </c>
      <c r="W37">
        <v>1.6292274191300551E-7</v>
      </c>
      <c r="X37">
        <v>8.3715536652446488E-5</v>
      </c>
      <c r="Y37">
        <v>1.441534514426629E-4</v>
      </c>
      <c r="Z37">
        <v>3.5287060768290748E-10</v>
      </c>
      <c r="AA37">
        <v>1.125689805907213E-11</v>
      </c>
      <c r="AB37">
        <v>5.6050315836443438E-10</v>
      </c>
      <c r="AC37" s="5">
        <f t="shared" si="0"/>
        <v>7.5369928895527641E-2</v>
      </c>
    </row>
    <row r="38" spans="1:29" x14ac:dyDescent="0.25">
      <c r="A38" t="s">
        <v>47</v>
      </c>
      <c r="B38">
        <v>2025</v>
      </c>
      <c r="C38" t="s">
        <v>57</v>
      </c>
      <c r="D38" t="s">
        <v>51</v>
      </c>
      <c r="E38" t="s">
        <v>7</v>
      </c>
      <c r="F38" t="s">
        <v>49</v>
      </c>
      <c r="G38">
        <v>4.1630757137417547E-2</v>
      </c>
      <c r="H38">
        <v>1.259572354045531E-2</v>
      </c>
      <c r="I38">
        <v>5.6966790533313826E-16</v>
      </c>
      <c r="J38">
        <v>2.4897232351194331E-8</v>
      </c>
      <c r="K38">
        <v>2.1581295940575171E-3</v>
      </c>
      <c r="L38">
        <v>2.0229846350541258E-3</v>
      </c>
      <c r="M38">
        <v>5.2584969498749632E-10</v>
      </c>
      <c r="N38">
        <v>2.6014118666281019E-13</v>
      </c>
      <c r="O38">
        <v>7.9287043523357184E-8</v>
      </c>
      <c r="P38">
        <v>1.3211087929618561E-7</v>
      </c>
      <c r="Q38">
        <v>1.507397704553208E-2</v>
      </c>
      <c r="R38">
        <v>1.636311254892567E-3</v>
      </c>
      <c r="S38">
        <v>2.2934816100357319E-9</v>
      </c>
      <c r="T38">
        <v>3.9494097022240871E-9</v>
      </c>
      <c r="U38">
        <v>7.3154325131612742E-6</v>
      </c>
      <c r="V38">
        <v>1.6454355980755319E-5</v>
      </c>
      <c r="W38">
        <v>1.6292274191300551E-7</v>
      </c>
      <c r="X38">
        <v>8.3715536652446488E-5</v>
      </c>
      <c r="Y38">
        <v>1.441534514426629E-4</v>
      </c>
      <c r="Z38">
        <v>3.5287060768290748E-10</v>
      </c>
      <c r="AA38">
        <v>1.125689805907213E-11</v>
      </c>
      <c r="AB38">
        <v>5.6050315836443438E-10</v>
      </c>
      <c r="AC38" s="5">
        <f t="shared" si="0"/>
        <v>7.5369928895527641E-2</v>
      </c>
    </row>
    <row r="39" spans="1:29" x14ac:dyDescent="0.25">
      <c r="A39" t="s">
        <v>47</v>
      </c>
      <c r="B39">
        <v>2030</v>
      </c>
      <c r="C39" t="s">
        <v>57</v>
      </c>
      <c r="D39" t="s">
        <v>51</v>
      </c>
      <c r="E39" t="s">
        <v>7</v>
      </c>
      <c r="F39" t="s">
        <v>49</v>
      </c>
      <c r="G39">
        <v>4.1630757137417547E-2</v>
      </c>
      <c r="H39">
        <v>1.259572354045531E-2</v>
      </c>
      <c r="I39">
        <v>5.6966790533313826E-16</v>
      </c>
      <c r="J39">
        <v>2.4897232351194331E-8</v>
      </c>
      <c r="K39">
        <v>2.1581295940575171E-3</v>
      </c>
      <c r="L39">
        <v>2.0229846350541258E-3</v>
      </c>
      <c r="M39">
        <v>5.2584969498749632E-10</v>
      </c>
      <c r="N39">
        <v>2.6014118666281019E-13</v>
      </c>
      <c r="O39">
        <v>7.9287043523357184E-8</v>
      </c>
      <c r="P39">
        <v>1.3211087929618561E-7</v>
      </c>
      <c r="Q39">
        <v>1.507397704553208E-2</v>
      </c>
      <c r="R39">
        <v>1.636311254892567E-3</v>
      </c>
      <c r="S39">
        <v>2.2934816100357319E-9</v>
      </c>
      <c r="T39">
        <v>3.9494097022240871E-9</v>
      </c>
      <c r="U39">
        <v>7.3154325131612742E-6</v>
      </c>
      <c r="V39">
        <v>1.6454355980755319E-5</v>
      </c>
      <c r="W39">
        <v>1.6292274191300551E-7</v>
      </c>
      <c r="X39">
        <v>8.3715536652446488E-5</v>
      </c>
      <c r="Y39">
        <v>1.441534514426629E-4</v>
      </c>
      <c r="Z39">
        <v>3.5287060768290748E-10</v>
      </c>
      <c r="AA39">
        <v>1.125689805907213E-11</v>
      </c>
      <c r="AB39">
        <v>5.6050315836443438E-10</v>
      </c>
      <c r="AC39" s="5">
        <f t="shared" si="0"/>
        <v>7.5369928895527641E-2</v>
      </c>
    </row>
    <row r="40" spans="1:29" x14ac:dyDescent="0.25">
      <c r="A40" t="s">
        <v>47</v>
      </c>
      <c r="B40">
        <v>2035</v>
      </c>
      <c r="C40" t="s">
        <v>57</v>
      </c>
      <c r="D40" t="s">
        <v>51</v>
      </c>
      <c r="E40" t="s">
        <v>7</v>
      </c>
      <c r="F40" t="s">
        <v>49</v>
      </c>
      <c r="G40">
        <v>4.1630757137417547E-2</v>
      </c>
      <c r="H40">
        <v>1.259572354045531E-2</v>
      </c>
      <c r="I40">
        <v>5.6966790533313826E-16</v>
      </c>
      <c r="J40">
        <v>2.4897232351194331E-8</v>
      </c>
      <c r="K40">
        <v>2.1581295940575171E-3</v>
      </c>
      <c r="L40">
        <v>2.0229846350541258E-3</v>
      </c>
      <c r="M40">
        <v>5.2584969498749632E-10</v>
      </c>
      <c r="N40">
        <v>2.6014118666281019E-13</v>
      </c>
      <c r="O40">
        <v>7.9287043523357184E-8</v>
      </c>
      <c r="P40">
        <v>1.3211087929618561E-7</v>
      </c>
      <c r="Q40">
        <v>1.507397704553208E-2</v>
      </c>
      <c r="R40">
        <v>1.636311254892567E-3</v>
      </c>
      <c r="S40">
        <v>2.2934816100357319E-9</v>
      </c>
      <c r="T40">
        <v>3.9494097022240871E-9</v>
      </c>
      <c r="U40">
        <v>7.3154325131612742E-6</v>
      </c>
      <c r="V40">
        <v>1.6454355980755319E-5</v>
      </c>
      <c r="W40">
        <v>1.6292274191300551E-7</v>
      </c>
      <c r="X40">
        <v>8.3715536652446488E-5</v>
      </c>
      <c r="Y40">
        <v>1.441534514426629E-4</v>
      </c>
      <c r="Z40">
        <v>3.5287060768290748E-10</v>
      </c>
      <c r="AA40">
        <v>1.125689805907213E-11</v>
      </c>
      <c r="AB40">
        <v>5.6050315836443438E-10</v>
      </c>
      <c r="AC40" s="5">
        <f t="shared" si="0"/>
        <v>7.5369928895527641E-2</v>
      </c>
    </row>
    <row r="41" spans="1:29" x14ac:dyDescent="0.25">
      <c r="A41" t="s">
        <v>47</v>
      </c>
      <c r="B41">
        <v>2040</v>
      </c>
      <c r="C41" t="s">
        <v>57</v>
      </c>
      <c r="D41" t="s">
        <v>51</v>
      </c>
      <c r="E41" t="s">
        <v>7</v>
      </c>
      <c r="F41" t="s">
        <v>49</v>
      </c>
      <c r="G41">
        <v>4.1630757137417547E-2</v>
      </c>
      <c r="H41">
        <v>1.259572354045531E-2</v>
      </c>
      <c r="I41">
        <v>5.6966790533313826E-16</v>
      </c>
      <c r="J41">
        <v>2.4897232351194331E-8</v>
      </c>
      <c r="K41">
        <v>2.1581295940575171E-3</v>
      </c>
      <c r="L41">
        <v>2.0229846350541258E-3</v>
      </c>
      <c r="M41">
        <v>5.2584969498749632E-10</v>
      </c>
      <c r="N41">
        <v>2.6014118666281019E-13</v>
      </c>
      <c r="O41">
        <v>7.9287043523357184E-8</v>
      </c>
      <c r="P41">
        <v>1.3211087929618561E-7</v>
      </c>
      <c r="Q41">
        <v>1.507397704553208E-2</v>
      </c>
      <c r="R41">
        <v>1.636311254892567E-3</v>
      </c>
      <c r="S41">
        <v>2.2934816100357319E-9</v>
      </c>
      <c r="T41">
        <v>3.9494097022240871E-9</v>
      </c>
      <c r="U41">
        <v>7.3154325131612742E-6</v>
      </c>
      <c r="V41">
        <v>1.6454355980755319E-5</v>
      </c>
      <c r="W41">
        <v>1.6292274191300551E-7</v>
      </c>
      <c r="X41">
        <v>8.3715536652446488E-5</v>
      </c>
      <c r="Y41">
        <v>1.441534514426629E-4</v>
      </c>
      <c r="Z41">
        <v>3.5287060768290748E-10</v>
      </c>
      <c r="AA41">
        <v>1.125689805907213E-11</v>
      </c>
      <c r="AB41">
        <v>5.6050315836443438E-10</v>
      </c>
      <c r="AC41" s="5">
        <f t="shared" si="0"/>
        <v>7.5369928895527641E-2</v>
      </c>
    </row>
    <row r="42" spans="1:29" s="3" customFormat="1" x14ac:dyDescent="0.25">
      <c r="A42" s="3" t="s">
        <v>47</v>
      </c>
      <c r="B42" s="3">
        <v>2020</v>
      </c>
      <c r="C42" s="3" t="s">
        <v>58</v>
      </c>
      <c r="D42" s="3" t="s">
        <v>6</v>
      </c>
      <c r="E42" s="3" t="s">
        <v>7</v>
      </c>
      <c r="F42" s="3" t="s">
        <v>53</v>
      </c>
      <c r="G42" s="3">
        <f>G52-G32</f>
        <v>4.0001552897997126</v>
      </c>
      <c r="H42" s="3">
        <f t="shared" ref="H42:AB51" si="3">H52-H32</f>
        <v>1.2000559762453735</v>
      </c>
      <c r="I42" s="3">
        <f t="shared" si="3"/>
        <v>7.6578605410108095E-13</v>
      </c>
      <c r="J42" s="3">
        <f t="shared" si="3"/>
        <v>6.3631621220671646E-6</v>
      </c>
      <c r="K42" s="3">
        <f t="shared" si="3"/>
        <v>1.1610115080712968</v>
      </c>
      <c r="L42" s="3">
        <f t="shared" si="3"/>
        <v>0.22373535517473456</v>
      </c>
      <c r="M42" s="3">
        <f t="shared" si="3"/>
        <v>3.7574043806742907E-7</v>
      </c>
      <c r="N42" s="3">
        <f t="shared" si="3"/>
        <v>8.3539846907043784E-10</v>
      </c>
      <c r="O42" s="3">
        <f t="shared" si="3"/>
        <v>7.1137088990011046E-5</v>
      </c>
      <c r="P42" s="3">
        <f t="shared" si="3"/>
        <v>7.0343612797874999E-5</v>
      </c>
      <c r="Q42" s="3">
        <f t="shared" si="3"/>
        <v>1.4453857131107708</v>
      </c>
      <c r="R42" s="3">
        <f t="shared" si="3"/>
        <v>0.15689924346411183</v>
      </c>
      <c r="S42" s="3">
        <f t="shared" si="3"/>
        <v>1.2679391597514135E-6</v>
      </c>
      <c r="T42" s="3">
        <f t="shared" si="3"/>
        <v>1.5344461642694052E-6</v>
      </c>
      <c r="U42" s="3">
        <f t="shared" si="3"/>
        <v>4.0913036697779164E-3</v>
      </c>
      <c r="V42" s="3">
        <f t="shared" si="3"/>
        <v>1.0952962490447242E-3</v>
      </c>
      <c r="W42" s="3">
        <f t="shared" si="3"/>
        <v>4.2799260605079401E-5</v>
      </c>
      <c r="X42" s="3">
        <f t="shared" si="3"/>
        <v>4.628232989591851E-2</v>
      </c>
      <c r="Y42" s="3">
        <f t="shared" si="3"/>
        <v>5.6007284326392966E-2</v>
      </c>
      <c r="Z42" s="3">
        <f t="shared" si="3"/>
        <v>7.1064129298896498E-8</v>
      </c>
      <c r="AA42" s="3">
        <f t="shared" si="3"/>
        <v>3.728344142461382E-9</v>
      </c>
      <c r="AB42" s="3">
        <f t="shared" si="3"/>
        <v>2.2084374718818102E-7</v>
      </c>
      <c r="AC42" s="5">
        <f t="shared" si="0"/>
        <v>8.294913417729795</v>
      </c>
    </row>
    <row r="43" spans="1:29" s="3" customFormat="1" x14ac:dyDescent="0.25">
      <c r="A43" s="3" t="s">
        <v>47</v>
      </c>
      <c r="B43" s="3">
        <v>2025</v>
      </c>
      <c r="C43" s="3" t="s">
        <v>58</v>
      </c>
      <c r="D43" s="3" t="s">
        <v>6</v>
      </c>
      <c r="E43" s="3" t="s">
        <v>7</v>
      </c>
      <c r="F43" s="3" t="s">
        <v>53</v>
      </c>
      <c r="G43" s="3">
        <f t="shared" ref="G43:V51" si="4">G53-G33</f>
        <v>4.0001552897997126</v>
      </c>
      <c r="H43" s="3">
        <f t="shared" si="4"/>
        <v>1.2000559762453735</v>
      </c>
      <c r="I43" s="3">
        <f t="shared" si="4"/>
        <v>7.6578605410108095E-13</v>
      </c>
      <c r="J43" s="3">
        <f t="shared" si="4"/>
        <v>6.3631621220671646E-6</v>
      </c>
      <c r="K43" s="3">
        <f t="shared" si="4"/>
        <v>1.1610115080712968</v>
      </c>
      <c r="L43" s="3">
        <f t="shared" si="4"/>
        <v>0.22373535517473456</v>
      </c>
      <c r="M43" s="3">
        <f t="shared" si="4"/>
        <v>3.7574043806742907E-7</v>
      </c>
      <c r="N43" s="3">
        <f t="shared" si="4"/>
        <v>8.3539846907043784E-10</v>
      </c>
      <c r="O43" s="3">
        <f t="shared" si="4"/>
        <v>7.1137088990011046E-5</v>
      </c>
      <c r="P43" s="3">
        <f t="shared" si="4"/>
        <v>7.0343612797874999E-5</v>
      </c>
      <c r="Q43" s="3">
        <f t="shared" si="4"/>
        <v>1.4453857131107708</v>
      </c>
      <c r="R43" s="3">
        <f t="shared" si="4"/>
        <v>0.15689924346411183</v>
      </c>
      <c r="S43" s="3">
        <f t="shared" si="4"/>
        <v>1.2679391597514135E-6</v>
      </c>
      <c r="T43" s="3">
        <f t="shared" si="4"/>
        <v>1.5344461642694052E-6</v>
      </c>
      <c r="U43" s="3">
        <f t="shared" si="4"/>
        <v>4.0913036697779164E-3</v>
      </c>
      <c r="V43" s="3">
        <f t="shared" si="4"/>
        <v>1.0952962490447242E-3</v>
      </c>
      <c r="W43" s="3">
        <f t="shared" si="3"/>
        <v>4.2799260605079401E-5</v>
      </c>
      <c r="X43" s="3">
        <f t="shared" si="3"/>
        <v>4.628232989591851E-2</v>
      </c>
      <c r="Y43" s="3">
        <f t="shared" si="3"/>
        <v>5.6007284326392966E-2</v>
      </c>
      <c r="Z43" s="3">
        <f t="shared" si="3"/>
        <v>7.1064129298896498E-8</v>
      </c>
      <c r="AA43" s="3">
        <f t="shared" si="3"/>
        <v>3.728344142461382E-9</v>
      </c>
      <c r="AB43" s="3">
        <f t="shared" si="3"/>
        <v>2.2084374718818102E-7</v>
      </c>
      <c r="AC43" s="5">
        <f t="shared" si="0"/>
        <v>8.294913417729795</v>
      </c>
    </row>
    <row r="44" spans="1:29" s="3" customFormat="1" x14ac:dyDescent="0.25">
      <c r="A44" s="3" t="s">
        <v>47</v>
      </c>
      <c r="B44" s="3">
        <v>2030</v>
      </c>
      <c r="C44" s="3" t="s">
        <v>58</v>
      </c>
      <c r="D44" s="3" t="s">
        <v>6</v>
      </c>
      <c r="E44" s="3" t="s">
        <v>7</v>
      </c>
      <c r="F44" s="3" t="s">
        <v>53</v>
      </c>
      <c r="G44" s="3">
        <f t="shared" si="4"/>
        <v>4.0001552897997126</v>
      </c>
      <c r="H44" s="3">
        <f t="shared" si="3"/>
        <v>1.2000559762453735</v>
      </c>
      <c r="I44" s="3">
        <f t="shared" si="3"/>
        <v>7.6578605410108095E-13</v>
      </c>
      <c r="J44" s="3">
        <f t="shared" si="3"/>
        <v>6.3631621220671646E-6</v>
      </c>
      <c r="K44" s="3">
        <f t="shared" si="3"/>
        <v>1.1610115080712968</v>
      </c>
      <c r="L44" s="3">
        <f t="shared" si="3"/>
        <v>0.22373535517473456</v>
      </c>
      <c r="M44" s="3">
        <f t="shared" si="3"/>
        <v>3.7574043806742907E-7</v>
      </c>
      <c r="N44" s="3">
        <f t="shared" si="3"/>
        <v>8.3539846907043784E-10</v>
      </c>
      <c r="O44" s="3">
        <f t="shared" si="3"/>
        <v>7.1137088990011046E-5</v>
      </c>
      <c r="P44" s="3">
        <f t="shared" si="3"/>
        <v>7.0343612797874999E-5</v>
      </c>
      <c r="Q44" s="3">
        <f t="shared" si="3"/>
        <v>1.4453857131107708</v>
      </c>
      <c r="R44" s="3">
        <f t="shared" si="3"/>
        <v>0.15689924346411183</v>
      </c>
      <c r="S44" s="3">
        <f t="shared" si="3"/>
        <v>1.2679391597514135E-6</v>
      </c>
      <c r="T44" s="3">
        <f t="shared" si="3"/>
        <v>1.5344461642694052E-6</v>
      </c>
      <c r="U44" s="3">
        <f t="shared" si="3"/>
        <v>4.0913036697779164E-3</v>
      </c>
      <c r="V44" s="3">
        <f t="shared" si="3"/>
        <v>1.0952962490447242E-3</v>
      </c>
      <c r="W44" s="3">
        <f t="shared" si="3"/>
        <v>4.2799260605079401E-5</v>
      </c>
      <c r="X44" s="3">
        <f t="shared" si="3"/>
        <v>4.628232989591851E-2</v>
      </c>
      <c r="Y44" s="3">
        <f t="shared" si="3"/>
        <v>5.6007284326392966E-2</v>
      </c>
      <c r="Z44" s="3">
        <f t="shared" si="3"/>
        <v>7.1064129298896498E-8</v>
      </c>
      <c r="AA44" s="3">
        <f t="shared" si="3"/>
        <v>3.728344142461382E-9</v>
      </c>
      <c r="AB44" s="3">
        <f t="shared" si="3"/>
        <v>2.2084374718818102E-7</v>
      </c>
      <c r="AC44" s="5">
        <f t="shared" si="0"/>
        <v>8.294913417729795</v>
      </c>
    </row>
    <row r="45" spans="1:29" s="3" customFormat="1" x14ac:dyDescent="0.25">
      <c r="A45" s="3" t="s">
        <v>47</v>
      </c>
      <c r="B45" s="3">
        <v>2035</v>
      </c>
      <c r="C45" s="3" t="s">
        <v>58</v>
      </c>
      <c r="D45" s="3" t="s">
        <v>6</v>
      </c>
      <c r="E45" s="3" t="s">
        <v>7</v>
      </c>
      <c r="F45" s="3" t="s">
        <v>53</v>
      </c>
      <c r="G45" s="3">
        <f t="shared" si="4"/>
        <v>4.0001552897997126</v>
      </c>
      <c r="H45" s="3">
        <f t="shared" si="3"/>
        <v>1.2000559762453735</v>
      </c>
      <c r="I45" s="3">
        <f t="shared" si="3"/>
        <v>7.6578605410108095E-13</v>
      </c>
      <c r="J45" s="3">
        <f t="shared" si="3"/>
        <v>6.3631621220671646E-6</v>
      </c>
      <c r="K45" s="3">
        <f t="shared" si="3"/>
        <v>1.1610115080712968</v>
      </c>
      <c r="L45" s="3">
        <f t="shared" si="3"/>
        <v>0.22373535517473456</v>
      </c>
      <c r="M45" s="3">
        <f t="shared" si="3"/>
        <v>3.7574043806742907E-7</v>
      </c>
      <c r="N45" s="3">
        <f t="shared" si="3"/>
        <v>8.3539846907043784E-10</v>
      </c>
      <c r="O45" s="3">
        <f t="shared" si="3"/>
        <v>7.1137088990011046E-5</v>
      </c>
      <c r="P45" s="3">
        <f t="shared" si="3"/>
        <v>7.0343612797874999E-5</v>
      </c>
      <c r="Q45" s="3">
        <f t="shared" si="3"/>
        <v>1.4453857131107708</v>
      </c>
      <c r="R45" s="3">
        <f t="shared" si="3"/>
        <v>0.15689924346411183</v>
      </c>
      <c r="S45" s="3">
        <f t="shared" si="3"/>
        <v>1.2679391597514135E-6</v>
      </c>
      <c r="T45" s="3">
        <f t="shared" si="3"/>
        <v>1.5344461642694052E-6</v>
      </c>
      <c r="U45" s="3">
        <f t="shared" si="3"/>
        <v>4.0913036697779164E-3</v>
      </c>
      <c r="V45" s="3">
        <f t="shared" si="3"/>
        <v>1.0952962490447242E-3</v>
      </c>
      <c r="W45" s="3">
        <f t="shared" si="3"/>
        <v>4.2799260605079401E-5</v>
      </c>
      <c r="X45" s="3">
        <f t="shared" si="3"/>
        <v>4.628232989591851E-2</v>
      </c>
      <c r="Y45" s="3">
        <f t="shared" si="3"/>
        <v>5.6007284326392966E-2</v>
      </c>
      <c r="Z45" s="3">
        <f t="shared" si="3"/>
        <v>7.1064129298896498E-8</v>
      </c>
      <c r="AA45" s="3">
        <f t="shared" si="3"/>
        <v>3.728344142461382E-9</v>
      </c>
      <c r="AB45" s="3">
        <f t="shared" si="3"/>
        <v>2.2084374718818102E-7</v>
      </c>
      <c r="AC45" s="5">
        <f t="shared" si="0"/>
        <v>8.294913417729795</v>
      </c>
    </row>
    <row r="46" spans="1:29" s="3" customFormat="1" x14ac:dyDescent="0.25">
      <c r="A46" s="3" t="s">
        <v>47</v>
      </c>
      <c r="B46" s="3">
        <v>2040</v>
      </c>
      <c r="C46" s="3" t="s">
        <v>58</v>
      </c>
      <c r="D46" s="3" t="s">
        <v>6</v>
      </c>
      <c r="E46" s="3" t="s">
        <v>7</v>
      </c>
      <c r="F46" s="3" t="s">
        <v>53</v>
      </c>
      <c r="G46" s="3">
        <f t="shared" si="4"/>
        <v>4.0001552897997126</v>
      </c>
      <c r="H46" s="3">
        <f t="shared" si="3"/>
        <v>1.2000559762453735</v>
      </c>
      <c r="I46" s="3">
        <f t="shared" si="3"/>
        <v>7.6578605410108095E-13</v>
      </c>
      <c r="J46" s="3">
        <f t="shared" si="3"/>
        <v>6.3631621220671646E-6</v>
      </c>
      <c r="K46" s="3">
        <f t="shared" si="3"/>
        <v>1.1610115080712968</v>
      </c>
      <c r="L46" s="3">
        <f t="shared" si="3"/>
        <v>0.22373535517473456</v>
      </c>
      <c r="M46" s="3">
        <f t="shared" si="3"/>
        <v>3.7574043806742907E-7</v>
      </c>
      <c r="N46" s="3">
        <f t="shared" si="3"/>
        <v>8.3539846907043784E-10</v>
      </c>
      <c r="O46" s="3">
        <f t="shared" si="3"/>
        <v>7.1137088990011046E-5</v>
      </c>
      <c r="P46" s="3">
        <f t="shared" si="3"/>
        <v>7.0343612797874999E-5</v>
      </c>
      <c r="Q46" s="3">
        <f t="shared" si="3"/>
        <v>1.4453857131107708</v>
      </c>
      <c r="R46" s="3">
        <f t="shared" si="3"/>
        <v>0.15689924346411183</v>
      </c>
      <c r="S46" s="3">
        <f t="shared" si="3"/>
        <v>1.2679391597514135E-6</v>
      </c>
      <c r="T46" s="3">
        <f t="shared" si="3"/>
        <v>1.5344461642694052E-6</v>
      </c>
      <c r="U46" s="3">
        <f t="shared" si="3"/>
        <v>4.0913036697779164E-3</v>
      </c>
      <c r="V46" s="3">
        <f t="shared" si="3"/>
        <v>1.0952962490447242E-3</v>
      </c>
      <c r="W46" s="3">
        <f t="shared" si="3"/>
        <v>4.2799260605079401E-5</v>
      </c>
      <c r="X46" s="3">
        <f t="shared" si="3"/>
        <v>4.628232989591851E-2</v>
      </c>
      <c r="Y46" s="3">
        <f t="shared" si="3"/>
        <v>5.6007284326392966E-2</v>
      </c>
      <c r="Z46" s="3">
        <f t="shared" si="3"/>
        <v>7.1064129298896498E-8</v>
      </c>
      <c r="AA46" s="3">
        <f t="shared" si="3"/>
        <v>3.728344142461382E-9</v>
      </c>
      <c r="AB46" s="3">
        <f t="shared" si="3"/>
        <v>2.2084374718818102E-7</v>
      </c>
      <c r="AC46" s="5">
        <f t="shared" si="0"/>
        <v>8.294913417729795</v>
      </c>
    </row>
    <row r="47" spans="1:29" s="3" customFormat="1" x14ac:dyDescent="0.25">
      <c r="A47" s="3" t="s">
        <v>47</v>
      </c>
      <c r="B47" s="3">
        <v>2020</v>
      </c>
      <c r="C47" s="3" t="s">
        <v>59</v>
      </c>
      <c r="D47" s="3" t="s">
        <v>51</v>
      </c>
      <c r="E47" s="3" t="s">
        <v>7</v>
      </c>
      <c r="F47" s="3" t="s">
        <v>53</v>
      </c>
      <c r="G47" s="3">
        <f t="shared" si="4"/>
        <v>4.2395122506244869</v>
      </c>
      <c r="H47" s="3">
        <f t="shared" si="3"/>
        <v>1.2748940910961317</v>
      </c>
      <c r="I47" s="3">
        <f t="shared" si="3"/>
        <v>4.6594443137843642E-13</v>
      </c>
      <c r="J47" s="3">
        <f t="shared" si="3"/>
        <v>6.2856871171700372E-6</v>
      </c>
      <c r="K47" s="3">
        <f t="shared" si="3"/>
        <v>1.2042246672149695</v>
      </c>
      <c r="L47" s="3">
        <f t="shared" si="3"/>
        <v>0.25572658751088695</v>
      </c>
      <c r="M47" s="3">
        <f t="shared" si="3"/>
        <v>3.7002488874139928E-7</v>
      </c>
      <c r="N47" s="3">
        <f t="shared" si="3"/>
        <v>8.2419653769871168E-10</v>
      </c>
      <c r="O47" s="3">
        <f t="shared" si="3"/>
        <v>6.9371442071708853E-5</v>
      </c>
      <c r="P47" s="3">
        <f t="shared" si="3"/>
        <v>6.9050952414470313E-5</v>
      </c>
      <c r="Q47" s="3">
        <f t="shared" si="3"/>
        <v>1.5317538705801108</v>
      </c>
      <c r="R47" s="3">
        <f t="shared" si="3"/>
        <v>0.16627469516474713</v>
      </c>
      <c r="S47" s="3">
        <f t="shared" si="3"/>
        <v>1.2840410447706693E-6</v>
      </c>
      <c r="T47" s="3">
        <f t="shared" si="3"/>
        <v>1.5503989805542199E-6</v>
      </c>
      <c r="U47" s="3">
        <f t="shared" si="3"/>
        <v>4.1288394401491251E-3</v>
      </c>
      <c r="V47" s="3">
        <f t="shared" si="3"/>
        <v>1.1200659917319907E-3</v>
      </c>
      <c r="W47" s="3">
        <f t="shared" si="3"/>
        <v>4.2260828282406772E-5</v>
      </c>
      <c r="X47" s="3">
        <f t="shared" si="3"/>
        <v>4.6870257396783702E-2</v>
      </c>
      <c r="Y47" s="3">
        <f t="shared" si="3"/>
        <v>5.6589562117010335E-2</v>
      </c>
      <c r="Z47" s="3">
        <f t="shared" si="3"/>
        <v>7.0437133432134653E-8</v>
      </c>
      <c r="AA47" s="3">
        <f t="shared" si="3"/>
        <v>3.6814503707149001E-9</v>
      </c>
      <c r="AB47" s="3">
        <f t="shared" si="3"/>
        <v>2.1602479949503198E-7</v>
      </c>
      <c r="AC47" s="5">
        <f t="shared" si="0"/>
        <v>8.7812853514798519</v>
      </c>
    </row>
    <row r="48" spans="1:29" s="3" customFormat="1" x14ac:dyDescent="0.25">
      <c r="A48" s="3" t="s">
        <v>47</v>
      </c>
      <c r="B48" s="3">
        <v>2025</v>
      </c>
      <c r="C48" s="3" t="s">
        <v>59</v>
      </c>
      <c r="D48" s="3" t="s">
        <v>51</v>
      </c>
      <c r="E48" s="3" t="s">
        <v>7</v>
      </c>
      <c r="F48" s="3" t="s">
        <v>53</v>
      </c>
      <c r="G48" s="3">
        <f t="shared" si="4"/>
        <v>4.2395122506244869</v>
      </c>
      <c r="H48" s="3">
        <f t="shared" si="3"/>
        <v>1.2748940910961317</v>
      </c>
      <c r="I48" s="3">
        <f t="shared" si="3"/>
        <v>4.6594443137843642E-13</v>
      </c>
      <c r="J48" s="3">
        <f t="shared" si="3"/>
        <v>6.2856871171700372E-6</v>
      </c>
      <c r="K48" s="3">
        <f t="shared" si="3"/>
        <v>1.2042246672149695</v>
      </c>
      <c r="L48" s="3">
        <f t="shared" si="3"/>
        <v>0.25572658751088695</v>
      </c>
      <c r="M48" s="3">
        <f t="shared" si="3"/>
        <v>3.7002488874139928E-7</v>
      </c>
      <c r="N48" s="3">
        <f t="shared" si="3"/>
        <v>8.2419653769871168E-10</v>
      </c>
      <c r="O48" s="3">
        <f t="shared" si="3"/>
        <v>6.9371442071708853E-5</v>
      </c>
      <c r="P48" s="3">
        <f t="shared" si="3"/>
        <v>6.9050952414470313E-5</v>
      </c>
      <c r="Q48" s="3">
        <f t="shared" si="3"/>
        <v>1.5317538705801108</v>
      </c>
      <c r="R48" s="3">
        <f t="shared" si="3"/>
        <v>0.16627469516474713</v>
      </c>
      <c r="S48" s="3">
        <f t="shared" si="3"/>
        <v>1.2840410447706693E-6</v>
      </c>
      <c r="T48" s="3">
        <f t="shared" si="3"/>
        <v>1.5503989805542199E-6</v>
      </c>
      <c r="U48" s="3">
        <f t="shared" si="3"/>
        <v>4.1288394401491251E-3</v>
      </c>
      <c r="V48" s="3">
        <f t="shared" si="3"/>
        <v>1.1200659917319907E-3</v>
      </c>
      <c r="W48" s="3">
        <f t="shared" si="3"/>
        <v>4.2260828282406772E-5</v>
      </c>
      <c r="X48" s="3">
        <f t="shared" si="3"/>
        <v>4.6870257396783702E-2</v>
      </c>
      <c r="Y48" s="3">
        <f t="shared" si="3"/>
        <v>5.6589562117010335E-2</v>
      </c>
      <c r="Z48" s="3">
        <f t="shared" si="3"/>
        <v>7.0437133432134653E-8</v>
      </c>
      <c r="AA48" s="3">
        <f t="shared" si="3"/>
        <v>3.6814503707149001E-9</v>
      </c>
      <c r="AB48" s="3">
        <f t="shared" si="3"/>
        <v>2.1602479949503198E-7</v>
      </c>
      <c r="AC48" s="5">
        <f t="shared" si="0"/>
        <v>8.7812853514798519</v>
      </c>
    </row>
    <row r="49" spans="1:29" s="3" customFormat="1" x14ac:dyDescent="0.25">
      <c r="A49" s="3" t="s">
        <v>47</v>
      </c>
      <c r="B49" s="3">
        <v>2030</v>
      </c>
      <c r="C49" s="3" t="s">
        <v>59</v>
      </c>
      <c r="D49" s="3" t="s">
        <v>51</v>
      </c>
      <c r="E49" s="3" t="s">
        <v>7</v>
      </c>
      <c r="F49" s="3" t="s">
        <v>53</v>
      </c>
      <c r="G49" s="3">
        <f t="shared" si="4"/>
        <v>4.2395122506244869</v>
      </c>
      <c r="H49" s="3">
        <f t="shared" si="3"/>
        <v>1.2748940910961317</v>
      </c>
      <c r="I49" s="3">
        <f t="shared" si="3"/>
        <v>4.6594443137843642E-13</v>
      </c>
      <c r="J49" s="3">
        <f t="shared" si="3"/>
        <v>6.2856871171700372E-6</v>
      </c>
      <c r="K49" s="3">
        <f t="shared" si="3"/>
        <v>1.2042246672149695</v>
      </c>
      <c r="L49" s="3">
        <f t="shared" si="3"/>
        <v>0.25572658751088695</v>
      </c>
      <c r="M49" s="3">
        <f t="shared" si="3"/>
        <v>3.7002488874139928E-7</v>
      </c>
      <c r="N49" s="3">
        <f t="shared" si="3"/>
        <v>8.2419653769871168E-10</v>
      </c>
      <c r="O49" s="3">
        <f t="shared" si="3"/>
        <v>6.9371442071708853E-5</v>
      </c>
      <c r="P49" s="3">
        <f t="shared" si="3"/>
        <v>6.9050952414470313E-5</v>
      </c>
      <c r="Q49" s="3">
        <f t="shared" si="3"/>
        <v>1.5317538705801108</v>
      </c>
      <c r="R49" s="3">
        <f t="shared" si="3"/>
        <v>0.16627469516474713</v>
      </c>
      <c r="S49" s="3">
        <f t="shared" si="3"/>
        <v>1.2840410447706693E-6</v>
      </c>
      <c r="T49" s="3">
        <f t="shared" si="3"/>
        <v>1.5503989805542199E-6</v>
      </c>
      <c r="U49" s="3">
        <f t="shared" si="3"/>
        <v>4.1288394401491251E-3</v>
      </c>
      <c r="V49" s="3">
        <f t="shared" si="3"/>
        <v>1.1200659917319907E-3</v>
      </c>
      <c r="W49" s="3">
        <f t="shared" si="3"/>
        <v>4.2260828282406772E-5</v>
      </c>
      <c r="X49" s="3">
        <f t="shared" si="3"/>
        <v>4.6870257396783702E-2</v>
      </c>
      <c r="Y49" s="3">
        <f t="shared" si="3"/>
        <v>5.6589562117010335E-2</v>
      </c>
      <c r="Z49" s="3">
        <f t="shared" si="3"/>
        <v>7.0437133432134653E-8</v>
      </c>
      <c r="AA49" s="3">
        <f t="shared" si="3"/>
        <v>3.6814503707149001E-9</v>
      </c>
      <c r="AB49" s="3">
        <f t="shared" si="3"/>
        <v>2.1602479949503198E-7</v>
      </c>
      <c r="AC49" s="5">
        <f t="shared" si="0"/>
        <v>8.7812853514798519</v>
      </c>
    </row>
    <row r="50" spans="1:29" s="3" customFormat="1" x14ac:dyDescent="0.25">
      <c r="A50" s="3" t="s">
        <v>47</v>
      </c>
      <c r="B50" s="3">
        <v>2035</v>
      </c>
      <c r="C50" s="3" t="s">
        <v>59</v>
      </c>
      <c r="D50" s="3" t="s">
        <v>51</v>
      </c>
      <c r="E50" s="3" t="s">
        <v>7</v>
      </c>
      <c r="F50" s="3" t="s">
        <v>53</v>
      </c>
      <c r="G50" s="3">
        <f t="shared" si="4"/>
        <v>4.2395122506244869</v>
      </c>
      <c r="H50" s="3">
        <f t="shared" si="3"/>
        <v>1.2748940910961317</v>
      </c>
      <c r="I50" s="3">
        <f t="shared" si="3"/>
        <v>4.6594443137843642E-13</v>
      </c>
      <c r="J50" s="3">
        <f t="shared" si="3"/>
        <v>6.2856871171700372E-6</v>
      </c>
      <c r="K50" s="3">
        <f t="shared" si="3"/>
        <v>1.2042246672149695</v>
      </c>
      <c r="L50" s="3">
        <f t="shared" si="3"/>
        <v>0.25572658751088695</v>
      </c>
      <c r="M50" s="3">
        <f t="shared" si="3"/>
        <v>3.7002488874139928E-7</v>
      </c>
      <c r="N50" s="3">
        <f t="shared" si="3"/>
        <v>8.2419653769871168E-10</v>
      </c>
      <c r="O50" s="3">
        <f t="shared" si="3"/>
        <v>6.9371442071708853E-5</v>
      </c>
      <c r="P50" s="3">
        <f t="shared" si="3"/>
        <v>6.9050952414470313E-5</v>
      </c>
      <c r="Q50" s="3">
        <f t="shared" si="3"/>
        <v>1.5317538705801108</v>
      </c>
      <c r="R50" s="3">
        <f t="shared" si="3"/>
        <v>0.16627469516474713</v>
      </c>
      <c r="S50" s="3">
        <f t="shared" si="3"/>
        <v>1.2840410447706693E-6</v>
      </c>
      <c r="T50" s="3">
        <f t="shared" si="3"/>
        <v>1.5503989805542199E-6</v>
      </c>
      <c r="U50" s="3">
        <f t="shared" si="3"/>
        <v>4.1288394401491251E-3</v>
      </c>
      <c r="V50" s="3">
        <f t="shared" si="3"/>
        <v>1.1200659917319907E-3</v>
      </c>
      <c r="W50" s="3">
        <f t="shared" si="3"/>
        <v>4.2260828282406772E-5</v>
      </c>
      <c r="X50" s="3">
        <f t="shared" si="3"/>
        <v>4.6870257396783702E-2</v>
      </c>
      <c r="Y50" s="3">
        <f t="shared" si="3"/>
        <v>5.6589562117010335E-2</v>
      </c>
      <c r="Z50" s="3">
        <f t="shared" si="3"/>
        <v>7.0437133432134653E-8</v>
      </c>
      <c r="AA50" s="3">
        <f t="shared" si="3"/>
        <v>3.6814503707149001E-9</v>
      </c>
      <c r="AB50" s="3">
        <f t="shared" si="3"/>
        <v>2.1602479949503198E-7</v>
      </c>
      <c r="AC50" s="5">
        <f t="shared" si="0"/>
        <v>8.7812853514798519</v>
      </c>
    </row>
    <row r="51" spans="1:29" s="3" customFormat="1" x14ac:dyDescent="0.25">
      <c r="A51" s="3" t="s">
        <v>47</v>
      </c>
      <c r="B51" s="3">
        <v>2040</v>
      </c>
      <c r="C51" s="3" t="s">
        <v>59</v>
      </c>
      <c r="D51" s="3" t="s">
        <v>51</v>
      </c>
      <c r="E51" s="3" t="s">
        <v>7</v>
      </c>
      <c r="F51" s="3" t="s">
        <v>53</v>
      </c>
      <c r="G51" s="3">
        <f t="shared" si="4"/>
        <v>4.2395122506244869</v>
      </c>
      <c r="H51" s="3">
        <f t="shared" si="3"/>
        <v>1.2748940910961317</v>
      </c>
      <c r="I51" s="3">
        <f t="shared" si="3"/>
        <v>4.6594443137843642E-13</v>
      </c>
      <c r="J51" s="3">
        <f t="shared" si="3"/>
        <v>6.2856871171700372E-6</v>
      </c>
      <c r="K51" s="3">
        <f t="shared" si="3"/>
        <v>1.2042246672149695</v>
      </c>
      <c r="L51" s="3">
        <f t="shared" si="3"/>
        <v>0.25572658751088695</v>
      </c>
      <c r="M51" s="3">
        <f t="shared" si="3"/>
        <v>3.7002488874139928E-7</v>
      </c>
      <c r="N51" s="3">
        <f t="shared" si="3"/>
        <v>8.2419653769871168E-10</v>
      </c>
      <c r="O51" s="3">
        <f t="shared" si="3"/>
        <v>6.9371442071708853E-5</v>
      </c>
      <c r="P51" s="3">
        <f t="shared" si="3"/>
        <v>6.9050952414470313E-5</v>
      </c>
      <c r="Q51" s="3">
        <f t="shared" si="3"/>
        <v>1.5317538705801108</v>
      </c>
      <c r="R51" s="3">
        <f t="shared" si="3"/>
        <v>0.16627469516474713</v>
      </c>
      <c r="S51" s="3">
        <f t="shared" si="3"/>
        <v>1.2840410447706693E-6</v>
      </c>
      <c r="T51" s="3">
        <f t="shared" si="3"/>
        <v>1.5503989805542199E-6</v>
      </c>
      <c r="U51" s="3">
        <f t="shared" si="3"/>
        <v>4.1288394401491251E-3</v>
      </c>
      <c r="V51" s="3">
        <f t="shared" si="3"/>
        <v>1.1200659917319907E-3</v>
      </c>
      <c r="W51" s="3">
        <f t="shared" si="3"/>
        <v>4.2260828282406772E-5</v>
      </c>
      <c r="X51" s="3">
        <f t="shared" si="3"/>
        <v>4.6870257396783702E-2</v>
      </c>
      <c r="Y51" s="3">
        <f t="shared" si="3"/>
        <v>5.6589562117010335E-2</v>
      </c>
      <c r="Z51" s="3">
        <f t="shared" si="3"/>
        <v>7.0437133432134653E-8</v>
      </c>
      <c r="AA51" s="3">
        <f t="shared" si="3"/>
        <v>3.6814503707149001E-9</v>
      </c>
      <c r="AB51" s="3">
        <f t="shared" si="3"/>
        <v>2.1602479949503198E-7</v>
      </c>
      <c r="AC51" s="5">
        <f t="shared" si="0"/>
        <v>8.7812853514798519</v>
      </c>
    </row>
    <row r="52" spans="1:29" x14ac:dyDescent="0.25">
      <c r="A52" t="s">
        <v>47</v>
      </c>
      <c r="B52">
        <v>2020</v>
      </c>
      <c r="C52" t="s">
        <v>58</v>
      </c>
      <c r="D52" t="s">
        <v>6</v>
      </c>
      <c r="E52" t="s">
        <v>7</v>
      </c>
      <c r="F52" t="s">
        <v>55</v>
      </c>
      <c r="G52">
        <v>4.013336723464799</v>
      </c>
      <c r="H52">
        <v>1.2040489885412831</v>
      </c>
      <c r="I52">
        <v>7.6585809221105757E-13</v>
      </c>
      <c r="J52">
        <v>6.3786523801415757E-6</v>
      </c>
      <c r="K52">
        <v>1.1616946247122479</v>
      </c>
      <c r="L52">
        <v>0.2244012101259617</v>
      </c>
      <c r="M52">
        <v>3.7600549302417951E-7</v>
      </c>
      <c r="N52">
        <v>8.3548058570128384E-10</v>
      </c>
      <c r="O52">
        <v>7.1174887032826579E-5</v>
      </c>
      <c r="P52">
        <v>7.0390351514584837E-5</v>
      </c>
      <c r="Q52">
        <v>1.450171968738291</v>
      </c>
      <c r="R52">
        <v>0.15741879923023161</v>
      </c>
      <c r="S52">
        <v>1.268350026333444E-6</v>
      </c>
      <c r="T52">
        <v>1.5349532903009079E-6</v>
      </c>
      <c r="U52">
        <v>4.0936946258859708E-3</v>
      </c>
      <c r="V52">
        <v>1.1006865964700849E-3</v>
      </c>
      <c r="W52">
        <v>4.2900154806822613E-5</v>
      </c>
      <c r="X52">
        <v>4.6297327537305213E-2</v>
      </c>
      <c r="Y52">
        <v>5.6025794426475782E-2</v>
      </c>
      <c r="Z52">
        <v>7.1284289626434262E-8</v>
      </c>
      <c r="AA52">
        <v>3.734289383285207E-9</v>
      </c>
      <c r="AB52">
        <v>2.2101440611200649E-7</v>
      </c>
      <c r="AC52" s="5">
        <f t="shared" si="0"/>
        <v>8.3187841382227283</v>
      </c>
    </row>
    <row r="53" spans="1:29" x14ac:dyDescent="0.25">
      <c r="A53" t="s">
        <v>47</v>
      </c>
      <c r="B53">
        <v>2025</v>
      </c>
      <c r="C53" t="s">
        <v>58</v>
      </c>
      <c r="D53" t="s">
        <v>6</v>
      </c>
      <c r="E53" t="s">
        <v>7</v>
      </c>
      <c r="F53" t="s">
        <v>55</v>
      </c>
      <c r="G53">
        <v>4.013336723464799</v>
      </c>
      <c r="H53">
        <v>1.2040489885412831</v>
      </c>
      <c r="I53">
        <v>7.6585809221105757E-13</v>
      </c>
      <c r="J53">
        <v>6.3786523801415757E-6</v>
      </c>
      <c r="K53">
        <v>1.1616946247122479</v>
      </c>
      <c r="L53">
        <v>0.2244012101259617</v>
      </c>
      <c r="M53">
        <v>3.7600549302417951E-7</v>
      </c>
      <c r="N53">
        <v>8.3548058570128384E-10</v>
      </c>
      <c r="O53">
        <v>7.1174887032826579E-5</v>
      </c>
      <c r="P53">
        <v>7.0390351514584837E-5</v>
      </c>
      <c r="Q53">
        <v>1.450171968738291</v>
      </c>
      <c r="R53">
        <v>0.15741879923023161</v>
      </c>
      <c r="S53">
        <v>1.268350026333444E-6</v>
      </c>
      <c r="T53">
        <v>1.5349532903009079E-6</v>
      </c>
      <c r="U53">
        <v>4.0936946258859708E-3</v>
      </c>
      <c r="V53">
        <v>1.1006865964700849E-3</v>
      </c>
      <c r="W53">
        <v>4.2900154806822613E-5</v>
      </c>
      <c r="X53">
        <v>4.6297327537305213E-2</v>
      </c>
      <c r="Y53">
        <v>5.6025794426475782E-2</v>
      </c>
      <c r="Z53">
        <v>7.1284289626434262E-8</v>
      </c>
      <c r="AA53">
        <v>3.734289383285207E-9</v>
      </c>
      <c r="AB53">
        <v>2.2101440611200649E-7</v>
      </c>
      <c r="AC53" s="5">
        <f t="shared" si="0"/>
        <v>8.3187841382227283</v>
      </c>
    </row>
    <row r="54" spans="1:29" x14ac:dyDescent="0.25">
      <c r="A54" t="s">
        <v>47</v>
      </c>
      <c r="B54">
        <v>2030</v>
      </c>
      <c r="C54" t="s">
        <v>58</v>
      </c>
      <c r="D54" t="s">
        <v>6</v>
      </c>
      <c r="E54" t="s">
        <v>7</v>
      </c>
      <c r="F54" t="s">
        <v>55</v>
      </c>
      <c r="G54">
        <v>4.013336723464799</v>
      </c>
      <c r="H54">
        <v>1.2040489885412831</v>
      </c>
      <c r="I54">
        <v>7.6585809221105757E-13</v>
      </c>
      <c r="J54">
        <v>6.3786523801415757E-6</v>
      </c>
      <c r="K54">
        <v>1.1616946247122479</v>
      </c>
      <c r="L54">
        <v>0.2244012101259617</v>
      </c>
      <c r="M54">
        <v>3.7600549302417951E-7</v>
      </c>
      <c r="N54">
        <v>8.3548058570128384E-10</v>
      </c>
      <c r="O54">
        <v>7.1174887032826579E-5</v>
      </c>
      <c r="P54">
        <v>7.0390351514584837E-5</v>
      </c>
      <c r="Q54">
        <v>1.450171968738291</v>
      </c>
      <c r="R54">
        <v>0.15741879923023161</v>
      </c>
      <c r="S54">
        <v>1.268350026333444E-6</v>
      </c>
      <c r="T54">
        <v>1.5349532903009079E-6</v>
      </c>
      <c r="U54">
        <v>4.0936946258859708E-3</v>
      </c>
      <c r="V54">
        <v>1.1006865964700849E-3</v>
      </c>
      <c r="W54">
        <v>4.2900154806822613E-5</v>
      </c>
      <c r="X54">
        <v>4.6297327537305213E-2</v>
      </c>
      <c r="Y54">
        <v>5.6025794426475782E-2</v>
      </c>
      <c r="Z54">
        <v>7.1284289626434262E-8</v>
      </c>
      <c r="AA54">
        <v>3.734289383285207E-9</v>
      </c>
      <c r="AB54">
        <v>2.2101440611200649E-7</v>
      </c>
      <c r="AC54" s="5">
        <f t="shared" si="0"/>
        <v>8.3187841382227283</v>
      </c>
    </row>
    <row r="55" spans="1:29" x14ac:dyDescent="0.25">
      <c r="A55" t="s">
        <v>47</v>
      </c>
      <c r="B55">
        <v>2035</v>
      </c>
      <c r="C55" t="s">
        <v>58</v>
      </c>
      <c r="D55" t="s">
        <v>6</v>
      </c>
      <c r="E55" t="s">
        <v>7</v>
      </c>
      <c r="F55" t="s">
        <v>55</v>
      </c>
      <c r="G55">
        <v>4.013336723464799</v>
      </c>
      <c r="H55">
        <v>1.2040489885412831</v>
      </c>
      <c r="I55">
        <v>7.6585809221105757E-13</v>
      </c>
      <c r="J55">
        <v>6.3786523801415757E-6</v>
      </c>
      <c r="K55">
        <v>1.1616946247122479</v>
      </c>
      <c r="L55">
        <v>0.2244012101259617</v>
      </c>
      <c r="M55">
        <v>3.7600549302417951E-7</v>
      </c>
      <c r="N55">
        <v>8.3548058570128384E-10</v>
      </c>
      <c r="O55">
        <v>7.1174887032826579E-5</v>
      </c>
      <c r="P55">
        <v>7.0390351514584837E-5</v>
      </c>
      <c r="Q55">
        <v>1.450171968738291</v>
      </c>
      <c r="R55">
        <v>0.15741879923023161</v>
      </c>
      <c r="S55">
        <v>1.268350026333444E-6</v>
      </c>
      <c r="T55">
        <v>1.5349532903009079E-6</v>
      </c>
      <c r="U55">
        <v>4.0936946258859708E-3</v>
      </c>
      <c r="V55">
        <v>1.1006865964700849E-3</v>
      </c>
      <c r="W55">
        <v>4.2900154806822613E-5</v>
      </c>
      <c r="X55">
        <v>4.6297327537305213E-2</v>
      </c>
      <c r="Y55">
        <v>5.6025794426475782E-2</v>
      </c>
      <c r="Z55">
        <v>7.1284289626434262E-8</v>
      </c>
      <c r="AA55">
        <v>3.734289383285207E-9</v>
      </c>
      <c r="AB55">
        <v>2.2101440611200649E-7</v>
      </c>
      <c r="AC55" s="5">
        <f t="shared" si="0"/>
        <v>8.3187841382227283</v>
      </c>
    </row>
    <row r="56" spans="1:29" x14ac:dyDescent="0.25">
      <c r="A56" t="s">
        <v>47</v>
      </c>
      <c r="B56">
        <v>2040</v>
      </c>
      <c r="C56" t="s">
        <v>58</v>
      </c>
      <c r="D56" t="s">
        <v>6</v>
      </c>
      <c r="E56" t="s">
        <v>7</v>
      </c>
      <c r="F56" t="s">
        <v>55</v>
      </c>
      <c r="G56">
        <v>4.013336723464799</v>
      </c>
      <c r="H56">
        <v>1.2040489885412831</v>
      </c>
      <c r="I56">
        <v>7.6585809221105757E-13</v>
      </c>
      <c r="J56">
        <v>6.3786523801415757E-6</v>
      </c>
      <c r="K56">
        <v>1.1616946247122479</v>
      </c>
      <c r="L56">
        <v>0.2244012101259617</v>
      </c>
      <c r="M56">
        <v>3.7600549302417951E-7</v>
      </c>
      <c r="N56">
        <v>8.3548058570128384E-10</v>
      </c>
      <c r="O56">
        <v>7.1174887032826579E-5</v>
      </c>
      <c r="P56">
        <v>7.0390351514584837E-5</v>
      </c>
      <c r="Q56">
        <v>1.450171968738291</v>
      </c>
      <c r="R56">
        <v>0.15741879923023161</v>
      </c>
      <c r="S56">
        <v>1.268350026333444E-6</v>
      </c>
      <c r="T56">
        <v>1.5349532903009079E-6</v>
      </c>
      <c r="U56">
        <v>4.0936946258859708E-3</v>
      </c>
      <c r="V56">
        <v>1.1006865964700849E-3</v>
      </c>
      <c r="W56">
        <v>4.2900154806822613E-5</v>
      </c>
      <c r="X56">
        <v>4.6297327537305213E-2</v>
      </c>
      <c r="Y56">
        <v>5.6025794426475782E-2</v>
      </c>
      <c r="Z56">
        <v>7.1284289626434262E-8</v>
      </c>
      <c r="AA56">
        <v>3.734289383285207E-9</v>
      </c>
      <c r="AB56">
        <v>2.2101440611200649E-7</v>
      </c>
      <c r="AC56" s="5">
        <f t="shared" si="0"/>
        <v>8.3187841382227283</v>
      </c>
    </row>
    <row r="57" spans="1:29" x14ac:dyDescent="0.25">
      <c r="A57" t="s">
        <v>47</v>
      </c>
      <c r="B57">
        <v>2020</v>
      </c>
      <c r="C57" t="s">
        <v>59</v>
      </c>
      <c r="D57" t="s">
        <v>51</v>
      </c>
      <c r="E57" t="s">
        <v>7</v>
      </c>
      <c r="F57" t="s">
        <v>55</v>
      </c>
      <c r="G57">
        <v>4.2811430077619042</v>
      </c>
      <c r="H57">
        <v>1.287489814636587</v>
      </c>
      <c r="I57">
        <v>4.6651409928376957E-13</v>
      </c>
      <c r="J57">
        <v>6.3105843495212311E-6</v>
      </c>
      <c r="K57">
        <v>1.206382796809027</v>
      </c>
      <c r="L57">
        <v>0.25774957214594107</v>
      </c>
      <c r="M57">
        <v>3.7055073843638679E-7</v>
      </c>
      <c r="N57">
        <v>8.244566788853745E-10</v>
      </c>
      <c r="O57">
        <v>6.9450729115232214E-5</v>
      </c>
      <c r="P57">
        <v>6.91830632937665E-5</v>
      </c>
      <c r="Q57">
        <v>1.546827847625643</v>
      </c>
      <c r="R57">
        <v>0.16791100641963971</v>
      </c>
      <c r="S57">
        <v>1.2863345263807051E-6</v>
      </c>
      <c r="T57">
        <v>1.554348390256444E-6</v>
      </c>
      <c r="U57">
        <v>4.1361548726622866E-3</v>
      </c>
      <c r="V57">
        <v>1.136520347712746E-3</v>
      </c>
      <c r="W57">
        <v>4.2423751024319777E-5</v>
      </c>
      <c r="X57">
        <v>4.6953972933436151E-2</v>
      </c>
      <c r="Y57">
        <v>5.6733715568452997E-2</v>
      </c>
      <c r="Z57">
        <v>7.0790004039817565E-8</v>
      </c>
      <c r="AA57">
        <v>3.6927072687739721E-9</v>
      </c>
      <c r="AB57">
        <v>2.1658530265339641E-7</v>
      </c>
      <c r="AC57" s="5">
        <f t="shared" si="0"/>
        <v>8.8566552803753815</v>
      </c>
    </row>
    <row r="58" spans="1:29" x14ac:dyDescent="0.25">
      <c r="A58" t="s">
        <v>47</v>
      </c>
      <c r="B58">
        <v>2025</v>
      </c>
      <c r="C58" t="s">
        <v>59</v>
      </c>
      <c r="D58" t="s">
        <v>51</v>
      </c>
      <c r="E58" t="s">
        <v>7</v>
      </c>
      <c r="F58" t="s">
        <v>55</v>
      </c>
      <c r="G58">
        <v>4.2811430077619042</v>
      </c>
      <c r="H58">
        <v>1.287489814636587</v>
      </c>
      <c r="I58">
        <v>4.6651409928376957E-13</v>
      </c>
      <c r="J58">
        <v>6.3105843495212311E-6</v>
      </c>
      <c r="K58">
        <v>1.206382796809027</v>
      </c>
      <c r="L58">
        <v>0.25774957214594107</v>
      </c>
      <c r="M58">
        <v>3.7055073843638679E-7</v>
      </c>
      <c r="N58">
        <v>8.244566788853745E-10</v>
      </c>
      <c r="O58">
        <v>6.9450729115232214E-5</v>
      </c>
      <c r="P58">
        <v>6.91830632937665E-5</v>
      </c>
      <c r="Q58">
        <v>1.546827847625643</v>
      </c>
      <c r="R58">
        <v>0.16791100641963971</v>
      </c>
      <c r="S58">
        <v>1.2863345263807051E-6</v>
      </c>
      <c r="T58">
        <v>1.554348390256444E-6</v>
      </c>
      <c r="U58">
        <v>4.1361548726622866E-3</v>
      </c>
      <c r="V58">
        <v>1.136520347712746E-3</v>
      </c>
      <c r="W58">
        <v>4.2423751024319777E-5</v>
      </c>
      <c r="X58">
        <v>4.6953972933436151E-2</v>
      </c>
      <c r="Y58">
        <v>5.6733715568452997E-2</v>
      </c>
      <c r="Z58">
        <v>7.0790004039817565E-8</v>
      </c>
      <c r="AA58">
        <v>3.6927072687739721E-9</v>
      </c>
      <c r="AB58">
        <v>2.1658530265339641E-7</v>
      </c>
      <c r="AC58" s="5">
        <f t="shared" si="0"/>
        <v>8.8566552803753815</v>
      </c>
    </row>
    <row r="59" spans="1:29" x14ac:dyDescent="0.25">
      <c r="A59" t="s">
        <v>47</v>
      </c>
      <c r="B59">
        <v>2030</v>
      </c>
      <c r="C59" t="s">
        <v>59</v>
      </c>
      <c r="D59" t="s">
        <v>51</v>
      </c>
      <c r="E59" t="s">
        <v>7</v>
      </c>
      <c r="F59" t="s">
        <v>55</v>
      </c>
      <c r="G59">
        <v>4.2811430077619042</v>
      </c>
      <c r="H59">
        <v>1.287489814636587</v>
      </c>
      <c r="I59">
        <v>4.6651409928376957E-13</v>
      </c>
      <c r="J59">
        <v>6.3105843495212311E-6</v>
      </c>
      <c r="K59">
        <v>1.206382796809027</v>
      </c>
      <c r="L59">
        <v>0.25774957214594107</v>
      </c>
      <c r="M59">
        <v>3.7055073843638679E-7</v>
      </c>
      <c r="N59">
        <v>8.244566788853745E-10</v>
      </c>
      <c r="O59">
        <v>6.9450729115232214E-5</v>
      </c>
      <c r="P59">
        <v>6.91830632937665E-5</v>
      </c>
      <c r="Q59">
        <v>1.546827847625643</v>
      </c>
      <c r="R59">
        <v>0.16791100641963971</v>
      </c>
      <c r="S59">
        <v>1.2863345263807051E-6</v>
      </c>
      <c r="T59">
        <v>1.554348390256444E-6</v>
      </c>
      <c r="U59">
        <v>4.1361548726622866E-3</v>
      </c>
      <c r="V59">
        <v>1.136520347712746E-3</v>
      </c>
      <c r="W59">
        <v>4.2423751024319777E-5</v>
      </c>
      <c r="X59">
        <v>4.6953972933436151E-2</v>
      </c>
      <c r="Y59">
        <v>5.6733715568452997E-2</v>
      </c>
      <c r="Z59">
        <v>7.0790004039817565E-8</v>
      </c>
      <c r="AA59">
        <v>3.6927072687739721E-9</v>
      </c>
      <c r="AB59">
        <v>2.1658530265339641E-7</v>
      </c>
      <c r="AC59" s="5">
        <f t="shared" si="0"/>
        <v>8.8566552803753815</v>
      </c>
    </row>
    <row r="60" spans="1:29" x14ac:dyDescent="0.25">
      <c r="A60" t="s">
        <v>47</v>
      </c>
      <c r="B60">
        <v>2035</v>
      </c>
      <c r="C60" t="s">
        <v>59</v>
      </c>
      <c r="D60" t="s">
        <v>51</v>
      </c>
      <c r="E60" t="s">
        <v>7</v>
      </c>
      <c r="F60" t="s">
        <v>55</v>
      </c>
      <c r="G60">
        <v>4.2811430077619042</v>
      </c>
      <c r="H60">
        <v>1.287489814636587</v>
      </c>
      <c r="I60">
        <v>4.6651409928376957E-13</v>
      </c>
      <c r="J60">
        <v>6.3105843495212311E-6</v>
      </c>
      <c r="K60">
        <v>1.206382796809027</v>
      </c>
      <c r="L60">
        <v>0.25774957214594107</v>
      </c>
      <c r="M60">
        <v>3.7055073843638679E-7</v>
      </c>
      <c r="N60">
        <v>8.244566788853745E-10</v>
      </c>
      <c r="O60">
        <v>6.9450729115232214E-5</v>
      </c>
      <c r="P60">
        <v>6.91830632937665E-5</v>
      </c>
      <c r="Q60">
        <v>1.546827847625643</v>
      </c>
      <c r="R60">
        <v>0.16791100641963971</v>
      </c>
      <c r="S60">
        <v>1.2863345263807051E-6</v>
      </c>
      <c r="T60">
        <v>1.554348390256444E-6</v>
      </c>
      <c r="U60">
        <v>4.1361548726622866E-3</v>
      </c>
      <c r="V60">
        <v>1.136520347712746E-3</v>
      </c>
      <c r="W60">
        <v>4.2423751024319777E-5</v>
      </c>
      <c r="X60">
        <v>4.6953972933436151E-2</v>
      </c>
      <c r="Y60">
        <v>5.6733715568452997E-2</v>
      </c>
      <c r="Z60">
        <v>7.0790004039817565E-8</v>
      </c>
      <c r="AA60">
        <v>3.6927072687739721E-9</v>
      </c>
      <c r="AB60">
        <v>2.1658530265339641E-7</v>
      </c>
      <c r="AC60" s="5">
        <f t="shared" si="0"/>
        <v>8.8566552803753815</v>
      </c>
    </row>
    <row r="61" spans="1:29" x14ac:dyDescent="0.25">
      <c r="A61" t="s">
        <v>47</v>
      </c>
      <c r="B61">
        <v>2040</v>
      </c>
      <c r="C61" t="s">
        <v>59</v>
      </c>
      <c r="D61" t="s">
        <v>51</v>
      </c>
      <c r="E61" t="s">
        <v>7</v>
      </c>
      <c r="F61" t="s">
        <v>55</v>
      </c>
      <c r="G61">
        <v>4.2811430077619042</v>
      </c>
      <c r="H61">
        <v>1.287489814636587</v>
      </c>
      <c r="I61">
        <v>4.6651409928376957E-13</v>
      </c>
      <c r="J61">
        <v>6.3105843495212311E-6</v>
      </c>
      <c r="K61">
        <v>1.206382796809027</v>
      </c>
      <c r="L61">
        <v>0.25774957214594107</v>
      </c>
      <c r="M61">
        <v>3.7055073843638679E-7</v>
      </c>
      <c r="N61">
        <v>8.244566788853745E-10</v>
      </c>
      <c r="O61">
        <v>6.9450729115232214E-5</v>
      </c>
      <c r="P61">
        <v>6.91830632937665E-5</v>
      </c>
      <c r="Q61">
        <v>1.546827847625643</v>
      </c>
      <c r="R61">
        <v>0.16791100641963971</v>
      </c>
      <c r="S61">
        <v>1.2863345263807051E-6</v>
      </c>
      <c r="T61">
        <v>1.554348390256444E-6</v>
      </c>
      <c r="U61">
        <v>4.1361548726622866E-3</v>
      </c>
      <c r="V61">
        <v>1.136520347712746E-3</v>
      </c>
      <c r="W61">
        <v>4.2423751024319777E-5</v>
      </c>
      <c r="X61">
        <v>4.6953972933436151E-2</v>
      </c>
      <c r="Y61">
        <v>5.6733715568452997E-2</v>
      </c>
      <c r="Z61">
        <v>7.0790004039817565E-8</v>
      </c>
      <c r="AA61">
        <v>3.6927072687739721E-9</v>
      </c>
      <c r="AB61">
        <v>2.1658530265339641E-7</v>
      </c>
      <c r="AC61" s="5">
        <f t="shared" si="0"/>
        <v>8.8566552803753815</v>
      </c>
    </row>
    <row r="62" spans="1:29" x14ac:dyDescent="0.25">
      <c r="A62" t="s">
        <v>47</v>
      </c>
      <c r="B62">
        <v>2020</v>
      </c>
      <c r="C62" t="s">
        <v>60</v>
      </c>
      <c r="D62" t="s">
        <v>6</v>
      </c>
      <c r="E62" t="s">
        <v>8</v>
      </c>
      <c r="F62" t="s">
        <v>49</v>
      </c>
      <c r="G62">
        <v>0.3577041772093501</v>
      </c>
      <c r="H62">
        <v>0.11275367763283919</v>
      </c>
      <c r="I62">
        <v>5.522630630701322E-14</v>
      </c>
      <c r="J62">
        <v>1.412385916089763E-6</v>
      </c>
      <c r="K62">
        <v>8.1758098045540439</v>
      </c>
      <c r="L62">
        <v>3.2972112603458281E-2</v>
      </c>
      <c r="M62">
        <v>7.1739272288763113E-8</v>
      </c>
      <c r="N62">
        <v>6.4685274317547112E-11</v>
      </c>
      <c r="O62">
        <v>3.467967815356525E-6</v>
      </c>
      <c r="P62">
        <v>3.8937253306727329E-6</v>
      </c>
      <c r="Q62">
        <v>0.12559854279625679</v>
      </c>
      <c r="R62">
        <v>1.3633769713216519E-2</v>
      </c>
      <c r="S62">
        <v>7.1335478357634208E-7</v>
      </c>
      <c r="T62">
        <v>7.0830207225396407E-6</v>
      </c>
      <c r="U62">
        <v>3.635631092642878E-3</v>
      </c>
      <c r="V62">
        <v>1.3648927971551179E-4</v>
      </c>
      <c r="W62">
        <v>9.4067957907270343E-6</v>
      </c>
      <c r="X62">
        <v>2.6038837615065789E-2</v>
      </c>
      <c r="Y62">
        <v>0.25853024754091519</v>
      </c>
      <c r="Z62">
        <v>7.0219470649267914E-9</v>
      </c>
      <c r="AA62">
        <v>1.1485585405356469E-9</v>
      </c>
      <c r="AB62">
        <v>1.0796840951071629E-8</v>
      </c>
      <c r="AC62" s="5">
        <f t="shared" si="0"/>
        <v>9.1068393580592204</v>
      </c>
    </row>
    <row r="63" spans="1:29" x14ac:dyDescent="0.25">
      <c r="A63" t="s">
        <v>47</v>
      </c>
      <c r="B63">
        <v>2025</v>
      </c>
      <c r="C63" t="s">
        <v>60</v>
      </c>
      <c r="D63" t="s">
        <v>6</v>
      </c>
      <c r="E63" t="s">
        <v>8</v>
      </c>
      <c r="F63" t="s">
        <v>49</v>
      </c>
      <c r="G63">
        <v>0.3577041772093501</v>
      </c>
      <c r="H63">
        <v>0.11275367763283919</v>
      </c>
      <c r="I63">
        <v>5.522630630701322E-14</v>
      </c>
      <c r="J63">
        <v>1.412385916089763E-6</v>
      </c>
      <c r="K63">
        <v>8.1758098045540439</v>
      </c>
      <c r="L63">
        <v>3.2972112603458281E-2</v>
      </c>
      <c r="M63">
        <v>7.1739272288763113E-8</v>
      </c>
      <c r="N63">
        <v>6.4685274317547112E-11</v>
      </c>
      <c r="O63">
        <v>3.467967815356525E-6</v>
      </c>
      <c r="P63">
        <v>3.8937253306727329E-6</v>
      </c>
      <c r="Q63">
        <v>0.12559854279625679</v>
      </c>
      <c r="R63">
        <v>1.3633769713216519E-2</v>
      </c>
      <c r="S63">
        <v>7.1335478357634208E-7</v>
      </c>
      <c r="T63">
        <v>7.0830207225396407E-6</v>
      </c>
      <c r="U63">
        <v>3.635631092642878E-3</v>
      </c>
      <c r="V63">
        <v>1.3648927971551179E-4</v>
      </c>
      <c r="W63">
        <v>9.4067957907270343E-6</v>
      </c>
      <c r="X63">
        <v>2.6038837615065789E-2</v>
      </c>
      <c r="Y63">
        <v>0.25853024754091519</v>
      </c>
      <c r="Z63">
        <v>7.0219470649267914E-9</v>
      </c>
      <c r="AA63">
        <v>1.1485585405356469E-9</v>
      </c>
      <c r="AB63">
        <v>1.0796840951071629E-8</v>
      </c>
      <c r="AC63" s="5">
        <f t="shared" si="0"/>
        <v>9.1068393580592204</v>
      </c>
    </row>
    <row r="64" spans="1:29" x14ac:dyDescent="0.25">
      <c r="A64" t="s">
        <v>47</v>
      </c>
      <c r="B64">
        <v>2030</v>
      </c>
      <c r="C64" t="s">
        <v>60</v>
      </c>
      <c r="D64" t="s">
        <v>6</v>
      </c>
      <c r="E64" t="s">
        <v>8</v>
      </c>
      <c r="F64" t="s">
        <v>49</v>
      </c>
      <c r="G64">
        <v>0.3577041772093501</v>
      </c>
      <c r="H64">
        <v>0.11275367763283919</v>
      </c>
      <c r="I64">
        <v>5.522630630701322E-14</v>
      </c>
      <c r="J64">
        <v>1.412385916089763E-6</v>
      </c>
      <c r="K64">
        <v>8.1758098045540439</v>
      </c>
      <c r="L64">
        <v>3.2972112603458281E-2</v>
      </c>
      <c r="M64">
        <v>7.1739272288763113E-8</v>
      </c>
      <c r="N64">
        <v>6.4685274317547112E-11</v>
      </c>
      <c r="O64">
        <v>3.467967815356525E-6</v>
      </c>
      <c r="P64">
        <v>3.8937253306727329E-6</v>
      </c>
      <c r="Q64">
        <v>0.12559854279625679</v>
      </c>
      <c r="R64">
        <v>1.3633769713216519E-2</v>
      </c>
      <c r="S64">
        <v>7.1335478357634208E-7</v>
      </c>
      <c r="T64">
        <v>7.0830207225396407E-6</v>
      </c>
      <c r="U64">
        <v>3.635631092642878E-3</v>
      </c>
      <c r="V64">
        <v>1.3648927971551179E-4</v>
      </c>
      <c r="W64">
        <v>9.4067957907270343E-6</v>
      </c>
      <c r="X64">
        <v>2.6038837615065789E-2</v>
      </c>
      <c r="Y64">
        <v>0.25853024754091519</v>
      </c>
      <c r="Z64">
        <v>7.0219470649267914E-9</v>
      </c>
      <c r="AA64">
        <v>1.1485585405356469E-9</v>
      </c>
      <c r="AB64">
        <v>1.0796840951071629E-8</v>
      </c>
      <c r="AC64" s="5">
        <f t="shared" si="0"/>
        <v>9.1068393580592204</v>
      </c>
    </row>
    <row r="65" spans="1:29" x14ac:dyDescent="0.25">
      <c r="A65" t="s">
        <v>47</v>
      </c>
      <c r="B65">
        <v>2035</v>
      </c>
      <c r="C65" t="s">
        <v>60</v>
      </c>
      <c r="D65" t="s">
        <v>6</v>
      </c>
      <c r="E65" t="s">
        <v>8</v>
      </c>
      <c r="F65" t="s">
        <v>49</v>
      </c>
      <c r="G65">
        <v>0.3577041772093501</v>
      </c>
      <c r="H65">
        <v>0.11275367763283919</v>
      </c>
      <c r="I65">
        <v>5.522630630701322E-14</v>
      </c>
      <c r="J65">
        <v>1.412385916089763E-6</v>
      </c>
      <c r="K65">
        <v>8.1758098045540439</v>
      </c>
      <c r="L65">
        <v>3.2972112603458281E-2</v>
      </c>
      <c r="M65">
        <v>7.1739272288763113E-8</v>
      </c>
      <c r="N65">
        <v>6.4685274317547112E-11</v>
      </c>
      <c r="O65">
        <v>3.467967815356525E-6</v>
      </c>
      <c r="P65">
        <v>3.8937253306727329E-6</v>
      </c>
      <c r="Q65">
        <v>0.12559854279625679</v>
      </c>
      <c r="R65">
        <v>1.3633769713216519E-2</v>
      </c>
      <c r="S65">
        <v>7.1335478357634208E-7</v>
      </c>
      <c r="T65">
        <v>7.0830207225396407E-6</v>
      </c>
      <c r="U65">
        <v>3.635631092642878E-3</v>
      </c>
      <c r="V65">
        <v>1.3648927971551179E-4</v>
      </c>
      <c r="W65">
        <v>9.4067957907270343E-6</v>
      </c>
      <c r="X65">
        <v>2.6038837615065789E-2</v>
      </c>
      <c r="Y65">
        <v>0.25853024754091519</v>
      </c>
      <c r="Z65">
        <v>7.0219470649267914E-9</v>
      </c>
      <c r="AA65">
        <v>1.1485585405356469E-9</v>
      </c>
      <c r="AB65">
        <v>1.0796840951071629E-8</v>
      </c>
      <c r="AC65" s="5">
        <f t="shared" si="0"/>
        <v>9.1068393580592204</v>
      </c>
    </row>
    <row r="66" spans="1:29" x14ac:dyDescent="0.25">
      <c r="A66" t="s">
        <v>47</v>
      </c>
      <c r="B66">
        <v>2040</v>
      </c>
      <c r="C66" t="s">
        <v>60</v>
      </c>
      <c r="D66" t="s">
        <v>6</v>
      </c>
      <c r="E66" t="s">
        <v>8</v>
      </c>
      <c r="F66" t="s">
        <v>49</v>
      </c>
      <c r="G66">
        <v>0.3577041772093501</v>
      </c>
      <c r="H66">
        <v>0.11275367763283919</v>
      </c>
      <c r="I66">
        <v>5.522630630701322E-14</v>
      </c>
      <c r="J66">
        <v>1.412385916089763E-6</v>
      </c>
      <c r="K66">
        <v>8.1758098045540439</v>
      </c>
      <c r="L66">
        <v>3.2972112603458281E-2</v>
      </c>
      <c r="M66">
        <v>7.1739272288763113E-8</v>
      </c>
      <c r="N66">
        <v>6.4685274317547112E-11</v>
      </c>
      <c r="O66">
        <v>3.467967815356525E-6</v>
      </c>
      <c r="P66">
        <v>3.8937253306727329E-6</v>
      </c>
      <c r="Q66">
        <v>0.12559854279625679</v>
      </c>
      <c r="R66">
        <v>1.3633769713216519E-2</v>
      </c>
      <c r="S66">
        <v>7.1335478357634208E-7</v>
      </c>
      <c r="T66">
        <v>7.0830207225396407E-6</v>
      </c>
      <c r="U66">
        <v>3.635631092642878E-3</v>
      </c>
      <c r="V66">
        <v>1.3648927971551179E-4</v>
      </c>
      <c r="W66">
        <v>9.4067957907270343E-6</v>
      </c>
      <c r="X66">
        <v>2.6038837615065789E-2</v>
      </c>
      <c r="Y66">
        <v>0.25853024754091519</v>
      </c>
      <c r="Z66">
        <v>7.0219470649267914E-9</v>
      </c>
      <c r="AA66">
        <v>1.1485585405356469E-9</v>
      </c>
      <c r="AB66">
        <v>1.0796840951071629E-8</v>
      </c>
      <c r="AC66" s="5">
        <f t="shared" si="0"/>
        <v>9.1068393580592204</v>
      </c>
    </row>
    <row r="67" spans="1:29" x14ac:dyDescent="0.25">
      <c r="A67" t="s">
        <v>47</v>
      </c>
      <c r="B67">
        <v>2020</v>
      </c>
      <c r="C67" t="s">
        <v>61</v>
      </c>
      <c r="D67" t="s">
        <v>51</v>
      </c>
      <c r="E67" t="s">
        <v>8</v>
      </c>
      <c r="F67" t="s">
        <v>49</v>
      </c>
      <c r="G67">
        <v>0.36443035705621463</v>
      </c>
      <c r="H67">
        <v>0.1139184986061829</v>
      </c>
      <c r="I67">
        <v>3.997668746677274E-14</v>
      </c>
      <c r="J67">
        <v>7.7083338947279705E-6</v>
      </c>
      <c r="K67">
        <v>5.7028694490192233</v>
      </c>
      <c r="L67">
        <v>2.889166227973072E-2</v>
      </c>
      <c r="M67">
        <v>1.590203378249166E-6</v>
      </c>
      <c r="N67">
        <v>2.10126924253061E-10</v>
      </c>
      <c r="O67">
        <v>1.362644225944469E-5</v>
      </c>
      <c r="P67">
        <v>1.7797915918182399E-5</v>
      </c>
      <c r="Q67">
        <v>0.12837563768199051</v>
      </c>
      <c r="R67">
        <v>1.3935308574993199E-2</v>
      </c>
      <c r="S67">
        <v>3.8118851852815481E-7</v>
      </c>
      <c r="T67">
        <v>3.0814556930305268E-6</v>
      </c>
      <c r="U67">
        <v>2.8855868356644E-3</v>
      </c>
      <c r="V67">
        <v>1.4087460603237211E-4</v>
      </c>
      <c r="W67">
        <v>5.2316870964391183E-5</v>
      </c>
      <c r="X67">
        <v>1.3914273259608411E-2</v>
      </c>
      <c r="Y67">
        <v>0.11247312901235421</v>
      </c>
      <c r="Z67">
        <v>1.1398642781370861E-7</v>
      </c>
      <c r="AA67">
        <v>1.1858057503595011E-8</v>
      </c>
      <c r="AB67">
        <v>4.3071861432481029E-8</v>
      </c>
      <c r="AC67" s="5">
        <f t="shared" ref="AC67:AC130" si="5">SUM(G67:AB67)</f>
        <v>6.481931448469135</v>
      </c>
    </row>
    <row r="68" spans="1:29" x14ac:dyDescent="0.25">
      <c r="A68" t="s">
        <v>47</v>
      </c>
      <c r="B68">
        <v>2025</v>
      </c>
      <c r="C68" t="s">
        <v>61</v>
      </c>
      <c r="D68" t="s">
        <v>51</v>
      </c>
      <c r="E68" t="s">
        <v>8</v>
      </c>
      <c r="F68" t="s">
        <v>49</v>
      </c>
      <c r="G68">
        <v>0.36443035705621463</v>
      </c>
      <c r="H68">
        <v>0.1139184986061829</v>
      </c>
      <c r="I68">
        <v>3.997668746677274E-14</v>
      </c>
      <c r="J68">
        <v>7.7083338947279705E-6</v>
      </c>
      <c r="K68">
        <v>5.7028694490192233</v>
      </c>
      <c r="L68">
        <v>2.889166227973072E-2</v>
      </c>
      <c r="M68">
        <v>1.590203378249166E-6</v>
      </c>
      <c r="N68">
        <v>2.10126924253061E-10</v>
      </c>
      <c r="O68">
        <v>1.362644225944469E-5</v>
      </c>
      <c r="P68">
        <v>1.7797915918182399E-5</v>
      </c>
      <c r="Q68">
        <v>0.12837563768199051</v>
      </c>
      <c r="R68">
        <v>1.3935308574993199E-2</v>
      </c>
      <c r="S68">
        <v>3.8118851852815481E-7</v>
      </c>
      <c r="T68">
        <v>3.0814556930305268E-6</v>
      </c>
      <c r="U68">
        <v>2.8855868356644E-3</v>
      </c>
      <c r="V68">
        <v>1.4087460603237211E-4</v>
      </c>
      <c r="W68">
        <v>5.2316870964391183E-5</v>
      </c>
      <c r="X68">
        <v>1.3914273259608411E-2</v>
      </c>
      <c r="Y68">
        <v>0.11247312901235421</v>
      </c>
      <c r="Z68">
        <v>1.1398642781370861E-7</v>
      </c>
      <c r="AA68">
        <v>1.1858057503595011E-8</v>
      </c>
      <c r="AB68">
        <v>4.3071861432481029E-8</v>
      </c>
      <c r="AC68" s="5">
        <f t="shared" si="5"/>
        <v>6.481931448469135</v>
      </c>
    </row>
    <row r="69" spans="1:29" x14ac:dyDescent="0.25">
      <c r="A69" t="s">
        <v>47</v>
      </c>
      <c r="B69">
        <v>2030</v>
      </c>
      <c r="C69" t="s">
        <v>61</v>
      </c>
      <c r="D69" t="s">
        <v>51</v>
      </c>
      <c r="E69" t="s">
        <v>8</v>
      </c>
      <c r="F69" t="s">
        <v>49</v>
      </c>
      <c r="G69">
        <v>0.36443035705621463</v>
      </c>
      <c r="H69">
        <v>0.1139184986061829</v>
      </c>
      <c r="I69">
        <v>3.997668746677274E-14</v>
      </c>
      <c r="J69">
        <v>7.7083338947279705E-6</v>
      </c>
      <c r="K69">
        <v>5.7028694490192233</v>
      </c>
      <c r="L69">
        <v>2.889166227973072E-2</v>
      </c>
      <c r="M69">
        <v>1.590203378249166E-6</v>
      </c>
      <c r="N69">
        <v>2.10126924253061E-10</v>
      </c>
      <c r="O69">
        <v>1.362644225944469E-5</v>
      </c>
      <c r="P69">
        <v>1.7797915918182399E-5</v>
      </c>
      <c r="Q69">
        <v>0.12837563768199051</v>
      </c>
      <c r="R69">
        <v>1.3935308574993199E-2</v>
      </c>
      <c r="S69">
        <v>3.8118851852815481E-7</v>
      </c>
      <c r="T69">
        <v>3.0814556930305268E-6</v>
      </c>
      <c r="U69">
        <v>2.8855868356644E-3</v>
      </c>
      <c r="V69">
        <v>1.4087460603237211E-4</v>
      </c>
      <c r="W69">
        <v>5.2316870964391183E-5</v>
      </c>
      <c r="X69">
        <v>1.3914273259608411E-2</v>
      </c>
      <c r="Y69">
        <v>0.11247312901235421</v>
      </c>
      <c r="Z69">
        <v>1.1398642781370861E-7</v>
      </c>
      <c r="AA69">
        <v>1.1858057503595011E-8</v>
      </c>
      <c r="AB69">
        <v>4.3071861432481029E-8</v>
      </c>
      <c r="AC69" s="5">
        <f t="shared" si="5"/>
        <v>6.481931448469135</v>
      </c>
    </row>
    <row r="70" spans="1:29" x14ac:dyDescent="0.25">
      <c r="A70" t="s">
        <v>47</v>
      </c>
      <c r="B70">
        <v>2035</v>
      </c>
      <c r="C70" t="s">
        <v>61</v>
      </c>
      <c r="D70" t="s">
        <v>51</v>
      </c>
      <c r="E70" t="s">
        <v>8</v>
      </c>
      <c r="F70" t="s">
        <v>49</v>
      </c>
      <c r="G70">
        <v>0.36443035705621463</v>
      </c>
      <c r="H70">
        <v>0.1139184986061829</v>
      </c>
      <c r="I70">
        <v>3.997668746677274E-14</v>
      </c>
      <c r="J70">
        <v>7.7083338947279705E-6</v>
      </c>
      <c r="K70">
        <v>5.7028694490192233</v>
      </c>
      <c r="L70">
        <v>2.889166227973072E-2</v>
      </c>
      <c r="M70">
        <v>1.590203378249166E-6</v>
      </c>
      <c r="N70">
        <v>2.10126924253061E-10</v>
      </c>
      <c r="O70">
        <v>1.362644225944469E-5</v>
      </c>
      <c r="P70">
        <v>1.7797915918182399E-5</v>
      </c>
      <c r="Q70">
        <v>0.12837563768199051</v>
      </c>
      <c r="R70">
        <v>1.3935308574993199E-2</v>
      </c>
      <c r="S70">
        <v>3.8118851852815481E-7</v>
      </c>
      <c r="T70">
        <v>3.0814556930305268E-6</v>
      </c>
      <c r="U70">
        <v>2.8855868356644E-3</v>
      </c>
      <c r="V70">
        <v>1.4087460603237211E-4</v>
      </c>
      <c r="W70">
        <v>5.2316870964391183E-5</v>
      </c>
      <c r="X70">
        <v>1.3914273259608411E-2</v>
      </c>
      <c r="Y70">
        <v>0.11247312901235421</v>
      </c>
      <c r="Z70">
        <v>1.1398642781370861E-7</v>
      </c>
      <c r="AA70">
        <v>1.1858057503595011E-8</v>
      </c>
      <c r="AB70">
        <v>4.3071861432481029E-8</v>
      </c>
      <c r="AC70" s="5">
        <f t="shared" si="5"/>
        <v>6.481931448469135</v>
      </c>
    </row>
    <row r="71" spans="1:29" x14ac:dyDescent="0.25">
      <c r="A71" t="s">
        <v>47</v>
      </c>
      <c r="B71">
        <v>2040</v>
      </c>
      <c r="C71" t="s">
        <v>61</v>
      </c>
      <c r="D71" t="s">
        <v>51</v>
      </c>
      <c r="E71" t="s">
        <v>8</v>
      </c>
      <c r="F71" t="s">
        <v>49</v>
      </c>
      <c r="G71">
        <v>0.36443035705621463</v>
      </c>
      <c r="H71">
        <v>0.1139184986061829</v>
      </c>
      <c r="I71">
        <v>3.997668746677274E-14</v>
      </c>
      <c r="J71">
        <v>7.7083338947279705E-6</v>
      </c>
      <c r="K71">
        <v>5.7028694490192233</v>
      </c>
      <c r="L71">
        <v>2.889166227973072E-2</v>
      </c>
      <c r="M71">
        <v>1.590203378249166E-6</v>
      </c>
      <c r="N71">
        <v>2.10126924253061E-10</v>
      </c>
      <c r="O71">
        <v>1.362644225944469E-5</v>
      </c>
      <c r="P71">
        <v>1.7797915918182399E-5</v>
      </c>
      <c r="Q71">
        <v>0.12837563768199051</v>
      </c>
      <c r="R71">
        <v>1.3935308574993199E-2</v>
      </c>
      <c r="S71">
        <v>3.8118851852815481E-7</v>
      </c>
      <c r="T71">
        <v>3.0814556930305268E-6</v>
      </c>
      <c r="U71">
        <v>2.8855868356644E-3</v>
      </c>
      <c r="V71">
        <v>1.4087460603237211E-4</v>
      </c>
      <c r="W71">
        <v>5.2316870964391183E-5</v>
      </c>
      <c r="X71">
        <v>1.3914273259608411E-2</v>
      </c>
      <c r="Y71">
        <v>0.11247312901235421</v>
      </c>
      <c r="Z71">
        <v>1.1398642781370861E-7</v>
      </c>
      <c r="AA71">
        <v>1.1858057503595011E-8</v>
      </c>
      <c r="AB71">
        <v>4.3071861432481029E-8</v>
      </c>
      <c r="AC71" s="5">
        <f t="shared" si="5"/>
        <v>6.481931448469135</v>
      </c>
    </row>
    <row r="72" spans="1:29" s="3" customFormat="1" x14ac:dyDescent="0.25">
      <c r="A72" s="3" t="s">
        <v>47</v>
      </c>
      <c r="B72" s="3">
        <v>2020</v>
      </c>
      <c r="C72" s="3" t="s">
        <v>62</v>
      </c>
      <c r="D72" s="3" t="s">
        <v>6</v>
      </c>
      <c r="E72" s="3" t="s">
        <v>8</v>
      </c>
      <c r="F72" s="3" t="s">
        <v>53</v>
      </c>
      <c r="G72" s="3">
        <f>G82-G62</f>
        <v>1.2248571103588288</v>
      </c>
      <c r="H72" s="3">
        <f t="shared" ref="H72:AB81" si="6">H82-H62</f>
        <v>0.38769581666103414</v>
      </c>
      <c r="I72" s="3">
        <f t="shared" si="6"/>
        <v>2.5582567741723249E-13</v>
      </c>
      <c r="J72" s="3">
        <f t="shared" si="6"/>
        <v>6.2844265196628148E-6</v>
      </c>
      <c r="K72" s="3">
        <f t="shared" si="6"/>
        <v>35.492430818090526</v>
      </c>
      <c r="L72" s="3">
        <f t="shared" si="6"/>
        <v>0.10012355496984421</v>
      </c>
      <c r="M72" s="3">
        <f t="shared" si="6"/>
        <v>2.8370054846794172E-7</v>
      </c>
      <c r="N72" s="3">
        <f t="shared" si="6"/>
        <v>1.1652852145382528E-10</v>
      </c>
      <c r="O72" s="3">
        <f t="shared" si="6"/>
        <v>1.3056311101335565E-5</v>
      </c>
      <c r="P72" s="3">
        <f t="shared" si="6"/>
        <v>1.6639155143110748E-5</v>
      </c>
      <c r="Q72" s="3">
        <f t="shared" si="6"/>
        <v>0.42724654559611364</v>
      </c>
      <c r="R72" s="3">
        <f t="shared" si="6"/>
        <v>4.6377376772819452E-2</v>
      </c>
      <c r="S72" s="3">
        <f t="shared" si="6"/>
        <v>1.1527194686604408E-6</v>
      </c>
      <c r="T72" s="3">
        <f t="shared" si="6"/>
        <v>1.1635020318287261E-5</v>
      </c>
      <c r="U72" s="3">
        <f t="shared" si="6"/>
        <v>-2.3801381025966573E-3</v>
      </c>
      <c r="V72" s="3">
        <f t="shared" si="6"/>
        <v>4.5751204801340291E-4</v>
      </c>
      <c r="W72" s="3">
        <f t="shared" si="6"/>
        <v>4.1762912743764715E-5</v>
      </c>
      <c r="X72" s="3">
        <f t="shared" si="6"/>
        <v>4.2074659090822794E-2</v>
      </c>
      <c r="Y72" s="3">
        <f t="shared" si="6"/>
        <v>0.42467822706448205</v>
      </c>
      <c r="Z72" s="3">
        <f t="shared" si="6"/>
        <v>3.3309661815709046E-8</v>
      </c>
      <c r="AA72" s="3">
        <f t="shared" si="6"/>
        <v>4.8535835946170366E-9</v>
      </c>
      <c r="AB72" s="3">
        <f t="shared" si="6"/>
        <v>4.2393526492819469E-8</v>
      </c>
      <c r="AC72" s="5">
        <f t="shared" si="5"/>
        <v>38.143652377469287</v>
      </c>
    </row>
    <row r="73" spans="1:29" s="3" customFormat="1" x14ac:dyDescent="0.25">
      <c r="A73" s="3" t="s">
        <v>47</v>
      </c>
      <c r="B73" s="3">
        <v>2025</v>
      </c>
      <c r="C73" s="3" t="s">
        <v>62</v>
      </c>
      <c r="D73" s="3" t="s">
        <v>6</v>
      </c>
      <c r="E73" s="3" t="s">
        <v>8</v>
      </c>
      <c r="F73" s="3" t="s">
        <v>53</v>
      </c>
      <c r="G73" s="3">
        <f t="shared" ref="G73:V81" si="7">G83-G63</f>
        <v>1.2248571103588288</v>
      </c>
      <c r="H73" s="3">
        <f t="shared" si="7"/>
        <v>0.38769581666103414</v>
      </c>
      <c r="I73" s="3">
        <f t="shared" si="7"/>
        <v>2.5582567741723249E-13</v>
      </c>
      <c r="J73" s="3">
        <f t="shared" si="7"/>
        <v>6.2844265196628148E-6</v>
      </c>
      <c r="K73" s="3">
        <f t="shared" si="7"/>
        <v>35.492430818090526</v>
      </c>
      <c r="L73" s="3">
        <f t="shared" si="7"/>
        <v>0.10012355496984421</v>
      </c>
      <c r="M73" s="3">
        <f t="shared" si="7"/>
        <v>2.8370054846794172E-7</v>
      </c>
      <c r="N73" s="3">
        <f t="shared" si="7"/>
        <v>1.1652852145382528E-10</v>
      </c>
      <c r="O73" s="3">
        <f t="shared" si="7"/>
        <v>1.3056311101335565E-5</v>
      </c>
      <c r="P73" s="3">
        <f t="shared" si="7"/>
        <v>1.6639155143110748E-5</v>
      </c>
      <c r="Q73" s="3">
        <f t="shared" si="7"/>
        <v>0.42724654559611364</v>
      </c>
      <c r="R73" s="3">
        <f t="shared" si="7"/>
        <v>4.6377376772819452E-2</v>
      </c>
      <c r="S73" s="3">
        <f t="shared" si="7"/>
        <v>1.1527194686604408E-6</v>
      </c>
      <c r="T73" s="3">
        <f t="shared" si="7"/>
        <v>1.1635020318287261E-5</v>
      </c>
      <c r="U73" s="3">
        <f t="shared" si="7"/>
        <v>-2.3801381025966573E-3</v>
      </c>
      <c r="V73" s="3">
        <f t="shared" si="7"/>
        <v>4.5751204801340291E-4</v>
      </c>
      <c r="W73" s="3">
        <f t="shared" si="6"/>
        <v>4.1762912743764715E-5</v>
      </c>
      <c r="X73" s="3">
        <f t="shared" si="6"/>
        <v>4.2074659090822794E-2</v>
      </c>
      <c r="Y73" s="3">
        <f t="shared" si="6"/>
        <v>0.42467822706448205</v>
      </c>
      <c r="Z73" s="3">
        <f t="shared" si="6"/>
        <v>3.3309661815709046E-8</v>
      </c>
      <c r="AA73" s="3">
        <f t="shared" si="6"/>
        <v>4.8535835946170366E-9</v>
      </c>
      <c r="AB73" s="3">
        <f t="shared" si="6"/>
        <v>4.2393526492819469E-8</v>
      </c>
      <c r="AC73" s="5">
        <f t="shared" si="5"/>
        <v>38.143652377469287</v>
      </c>
    </row>
    <row r="74" spans="1:29" s="3" customFormat="1" x14ac:dyDescent="0.25">
      <c r="A74" s="3" t="s">
        <v>47</v>
      </c>
      <c r="B74" s="3">
        <v>2030</v>
      </c>
      <c r="C74" s="3" t="s">
        <v>62</v>
      </c>
      <c r="D74" s="3" t="s">
        <v>6</v>
      </c>
      <c r="E74" s="3" t="s">
        <v>8</v>
      </c>
      <c r="F74" s="3" t="s">
        <v>53</v>
      </c>
      <c r="G74" s="3">
        <f t="shared" si="7"/>
        <v>1.2248571103588288</v>
      </c>
      <c r="H74" s="3">
        <f t="shared" si="6"/>
        <v>0.38769581666103414</v>
      </c>
      <c r="I74" s="3">
        <f t="shared" si="6"/>
        <v>2.5582567741723249E-13</v>
      </c>
      <c r="J74" s="3">
        <f t="shared" si="6"/>
        <v>6.2844265196628148E-6</v>
      </c>
      <c r="K74" s="3">
        <f t="shared" si="6"/>
        <v>35.492430818090526</v>
      </c>
      <c r="L74" s="3">
        <f t="shared" si="6"/>
        <v>0.10012355496984421</v>
      </c>
      <c r="M74" s="3">
        <f t="shared" si="6"/>
        <v>2.8370054846794172E-7</v>
      </c>
      <c r="N74" s="3">
        <f t="shared" si="6"/>
        <v>1.1652852145382528E-10</v>
      </c>
      <c r="O74" s="3">
        <f t="shared" si="6"/>
        <v>1.3056311101335565E-5</v>
      </c>
      <c r="P74" s="3">
        <f t="shared" si="6"/>
        <v>1.6639155143110748E-5</v>
      </c>
      <c r="Q74" s="3">
        <f t="shared" si="6"/>
        <v>0.42724654559611364</v>
      </c>
      <c r="R74" s="3">
        <f t="shared" si="6"/>
        <v>4.6377376772819452E-2</v>
      </c>
      <c r="S74" s="3">
        <f t="shared" si="6"/>
        <v>1.1527194686604408E-6</v>
      </c>
      <c r="T74" s="3">
        <f t="shared" si="6"/>
        <v>1.1635020318287261E-5</v>
      </c>
      <c r="U74" s="3">
        <f t="shared" si="6"/>
        <v>-2.3801381025966573E-3</v>
      </c>
      <c r="V74" s="3">
        <f t="shared" si="6"/>
        <v>4.5751204801340291E-4</v>
      </c>
      <c r="W74" s="3">
        <f t="shared" si="6"/>
        <v>4.1762912743764715E-5</v>
      </c>
      <c r="X74" s="3">
        <f t="shared" si="6"/>
        <v>4.2074659090822794E-2</v>
      </c>
      <c r="Y74" s="3">
        <f t="shared" si="6"/>
        <v>0.42467822706448205</v>
      </c>
      <c r="Z74" s="3">
        <f t="shared" si="6"/>
        <v>3.3309661815709046E-8</v>
      </c>
      <c r="AA74" s="3">
        <f t="shared" si="6"/>
        <v>4.8535835946170366E-9</v>
      </c>
      <c r="AB74" s="3">
        <f t="shared" si="6"/>
        <v>4.2393526492819469E-8</v>
      </c>
      <c r="AC74" s="5">
        <f t="shared" si="5"/>
        <v>38.143652377469287</v>
      </c>
    </row>
    <row r="75" spans="1:29" s="3" customFormat="1" x14ac:dyDescent="0.25">
      <c r="A75" s="3" t="s">
        <v>47</v>
      </c>
      <c r="B75" s="3">
        <v>2035</v>
      </c>
      <c r="C75" s="3" t="s">
        <v>62</v>
      </c>
      <c r="D75" s="3" t="s">
        <v>6</v>
      </c>
      <c r="E75" s="3" t="s">
        <v>8</v>
      </c>
      <c r="F75" s="3" t="s">
        <v>53</v>
      </c>
      <c r="G75" s="3">
        <f t="shared" si="7"/>
        <v>1.2248571103588288</v>
      </c>
      <c r="H75" s="3">
        <f t="shared" si="6"/>
        <v>0.38769581666103414</v>
      </c>
      <c r="I75" s="3">
        <f t="shared" si="6"/>
        <v>2.5582567741723249E-13</v>
      </c>
      <c r="J75" s="3">
        <f t="shared" si="6"/>
        <v>6.2844265196628148E-6</v>
      </c>
      <c r="K75" s="3">
        <f t="shared" si="6"/>
        <v>35.492430818090526</v>
      </c>
      <c r="L75" s="3">
        <f t="shared" si="6"/>
        <v>0.10012355496984421</v>
      </c>
      <c r="M75" s="3">
        <f t="shared" si="6"/>
        <v>2.8370054846794172E-7</v>
      </c>
      <c r="N75" s="3">
        <f t="shared" si="6"/>
        <v>1.1652852145382528E-10</v>
      </c>
      <c r="O75" s="3">
        <f t="shared" si="6"/>
        <v>1.3056311101335565E-5</v>
      </c>
      <c r="P75" s="3">
        <f t="shared" si="6"/>
        <v>1.6639155143110748E-5</v>
      </c>
      <c r="Q75" s="3">
        <f t="shared" si="6"/>
        <v>0.42724654559611364</v>
      </c>
      <c r="R75" s="3">
        <f t="shared" si="6"/>
        <v>4.6377376772819452E-2</v>
      </c>
      <c r="S75" s="3">
        <f t="shared" si="6"/>
        <v>1.1527194686604408E-6</v>
      </c>
      <c r="T75" s="3">
        <f t="shared" si="6"/>
        <v>1.1635020318287261E-5</v>
      </c>
      <c r="U75" s="3">
        <f t="shared" si="6"/>
        <v>-2.3801381025966573E-3</v>
      </c>
      <c r="V75" s="3">
        <f t="shared" si="6"/>
        <v>4.5751204801340291E-4</v>
      </c>
      <c r="W75" s="3">
        <f t="shared" si="6"/>
        <v>4.1762912743764715E-5</v>
      </c>
      <c r="X75" s="3">
        <f t="shared" si="6"/>
        <v>4.2074659090822794E-2</v>
      </c>
      <c r="Y75" s="3">
        <f t="shared" si="6"/>
        <v>0.42467822706448205</v>
      </c>
      <c r="Z75" s="3">
        <f t="shared" si="6"/>
        <v>3.3309661815709046E-8</v>
      </c>
      <c r="AA75" s="3">
        <f t="shared" si="6"/>
        <v>4.8535835946170366E-9</v>
      </c>
      <c r="AB75" s="3">
        <f t="shared" si="6"/>
        <v>4.2393526492819469E-8</v>
      </c>
      <c r="AC75" s="5">
        <f t="shared" si="5"/>
        <v>38.143652377469287</v>
      </c>
    </row>
    <row r="76" spans="1:29" s="3" customFormat="1" x14ac:dyDescent="0.25">
      <c r="A76" s="3" t="s">
        <v>47</v>
      </c>
      <c r="B76" s="3">
        <v>2040</v>
      </c>
      <c r="C76" s="3" t="s">
        <v>62</v>
      </c>
      <c r="D76" s="3" t="s">
        <v>6</v>
      </c>
      <c r="E76" s="3" t="s">
        <v>8</v>
      </c>
      <c r="F76" s="3" t="s">
        <v>53</v>
      </c>
      <c r="G76" s="3">
        <f t="shared" si="7"/>
        <v>1.2248571103588288</v>
      </c>
      <c r="H76" s="3">
        <f t="shared" si="6"/>
        <v>0.38769581666103414</v>
      </c>
      <c r="I76" s="3">
        <f t="shared" si="6"/>
        <v>2.5582567741723249E-13</v>
      </c>
      <c r="J76" s="3">
        <f t="shared" si="6"/>
        <v>6.2844265196628148E-6</v>
      </c>
      <c r="K76" s="3">
        <f t="shared" si="6"/>
        <v>35.492430818090526</v>
      </c>
      <c r="L76" s="3">
        <f t="shared" si="6"/>
        <v>0.10012355496984421</v>
      </c>
      <c r="M76" s="3">
        <f t="shared" si="6"/>
        <v>2.8370054846794172E-7</v>
      </c>
      <c r="N76" s="3">
        <f t="shared" si="6"/>
        <v>1.1652852145382528E-10</v>
      </c>
      <c r="O76" s="3">
        <f t="shared" si="6"/>
        <v>1.3056311101335565E-5</v>
      </c>
      <c r="P76" s="3">
        <f t="shared" si="6"/>
        <v>1.6639155143110748E-5</v>
      </c>
      <c r="Q76" s="3">
        <f t="shared" si="6"/>
        <v>0.42724654559611364</v>
      </c>
      <c r="R76" s="3">
        <f t="shared" si="6"/>
        <v>4.6377376772819452E-2</v>
      </c>
      <c r="S76" s="3">
        <f t="shared" si="6"/>
        <v>1.1527194686604408E-6</v>
      </c>
      <c r="T76" s="3">
        <f t="shared" si="6"/>
        <v>1.1635020318287261E-5</v>
      </c>
      <c r="U76" s="3">
        <f t="shared" si="6"/>
        <v>-2.3801381025966573E-3</v>
      </c>
      <c r="V76" s="3">
        <f t="shared" si="6"/>
        <v>4.5751204801340291E-4</v>
      </c>
      <c r="W76" s="3">
        <f t="shared" si="6"/>
        <v>4.1762912743764715E-5</v>
      </c>
      <c r="X76" s="3">
        <f t="shared" si="6"/>
        <v>4.2074659090822794E-2</v>
      </c>
      <c r="Y76" s="3">
        <f t="shared" si="6"/>
        <v>0.42467822706448205</v>
      </c>
      <c r="Z76" s="3">
        <f t="shared" si="6"/>
        <v>3.3309661815709046E-8</v>
      </c>
      <c r="AA76" s="3">
        <f t="shared" si="6"/>
        <v>4.8535835946170366E-9</v>
      </c>
      <c r="AB76" s="3">
        <f t="shared" si="6"/>
        <v>4.2393526492819469E-8</v>
      </c>
      <c r="AC76" s="5">
        <f t="shared" si="5"/>
        <v>38.143652377469287</v>
      </c>
    </row>
    <row r="77" spans="1:29" s="3" customFormat="1" x14ac:dyDescent="0.25">
      <c r="A77" s="3" t="s">
        <v>47</v>
      </c>
      <c r="B77" s="3">
        <v>2020</v>
      </c>
      <c r="C77" s="3" t="s">
        <v>63</v>
      </c>
      <c r="D77" s="3" t="s">
        <v>51</v>
      </c>
      <c r="E77" s="3" t="s">
        <v>8</v>
      </c>
      <c r="F77" s="3" t="s">
        <v>53</v>
      </c>
      <c r="G77" s="3">
        <f t="shared" si="7"/>
        <v>1.6481449164929292</v>
      </c>
      <c r="H77" s="3">
        <f t="shared" si="6"/>
        <v>0.50949485423870378</v>
      </c>
      <c r="I77" s="3">
        <f t="shared" si="6"/>
        <v>1.6313099208262396E-13</v>
      </c>
      <c r="J77" s="3">
        <f t="shared" si="6"/>
        <v>1.4770561557656408E-5</v>
      </c>
      <c r="K77" s="3">
        <f t="shared" si="6"/>
        <v>14.176851128438296</v>
      </c>
      <c r="L77" s="3">
        <f t="shared" si="6"/>
        <v>0.23954229256627096</v>
      </c>
      <c r="M77" s="3">
        <f t="shared" si="6"/>
        <v>2.9332145661549844E-6</v>
      </c>
      <c r="N77" s="3">
        <f t="shared" si="6"/>
        <v>4.8477738847154395E-10</v>
      </c>
      <c r="O77" s="3">
        <f t="shared" si="6"/>
        <v>3.024048871145891E-5</v>
      </c>
      <c r="P77" s="3">
        <f t="shared" si="6"/>
        <v>3.8908410815220195E-5</v>
      </c>
      <c r="Q77" s="3">
        <f t="shared" si="6"/>
        <v>0.58827594892089374</v>
      </c>
      <c r="R77" s="3">
        <f t="shared" si="6"/>
        <v>6.3858275975284581E-2</v>
      </c>
      <c r="S77" s="3">
        <f t="shared" si="6"/>
        <v>2.0723732242683766E-5</v>
      </c>
      <c r="T77" s="3">
        <f t="shared" si="6"/>
        <v>2.1238641860851462E-5</v>
      </c>
      <c r="U77" s="3">
        <f t="shared" si="6"/>
        <v>4.7409018770446162E-3</v>
      </c>
      <c r="V77" s="3">
        <f t="shared" si="6"/>
        <v>4.5730937000740312E-4</v>
      </c>
      <c r="W77" s="3">
        <f t="shared" si="6"/>
        <v>1.001869259082205E-4</v>
      </c>
      <c r="X77" s="3">
        <f t="shared" si="6"/>
        <v>0.75644190188789506</v>
      </c>
      <c r="Y77" s="3">
        <f t="shared" si="6"/>
        <v>0.77521042362979964</v>
      </c>
      <c r="Z77" s="3">
        <f t="shared" si="6"/>
        <v>2.1387702674742242E-7</v>
      </c>
      <c r="AA77" s="3">
        <f t="shared" si="6"/>
        <v>2.2219112365825183E-8</v>
      </c>
      <c r="AB77" s="3">
        <f t="shared" si="6"/>
        <v>9.4653494218035875E-8</v>
      </c>
      <c r="AC77" s="5">
        <f t="shared" si="5"/>
        <v>18.763247286607363</v>
      </c>
    </row>
    <row r="78" spans="1:29" s="3" customFormat="1" x14ac:dyDescent="0.25">
      <c r="A78" s="3" t="s">
        <v>47</v>
      </c>
      <c r="B78" s="3">
        <v>2025</v>
      </c>
      <c r="C78" s="3" t="s">
        <v>63</v>
      </c>
      <c r="D78" s="3" t="s">
        <v>51</v>
      </c>
      <c r="E78" s="3" t="s">
        <v>8</v>
      </c>
      <c r="F78" s="3" t="s">
        <v>53</v>
      </c>
      <c r="G78" s="3">
        <f t="shared" si="7"/>
        <v>1.6481449164929292</v>
      </c>
      <c r="H78" s="3">
        <f t="shared" si="6"/>
        <v>0.50949485423870378</v>
      </c>
      <c r="I78" s="3">
        <f t="shared" si="6"/>
        <v>1.6313099208262396E-13</v>
      </c>
      <c r="J78" s="3">
        <f t="shared" si="6"/>
        <v>1.4770561557656408E-5</v>
      </c>
      <c r="K78" s="3">
        <f t="shared" si="6"/>
        <v>14.176851128438296</v>
      </c>
      <c r="L78" s="3">
        <f t="shared" si="6"/>
        <v>0.23954229256627096</v>
      </c>
      <c r="M78" s="3">
        <f t="shared" si="6"/>
        <v>2.9332145661549844E-6</v>
      </c>
      <c r="N78" s="3">
        <f t="shared" si="6"/>
        <v>4.8477738847154395E-10</v>
      </c>
      <c r="O78" s="3">
        <f t="shared" si="6"/>
        <v>3.024048871145891E-5</v>
      </c>
      <c r="P78" s="3">
        <f t="shared" si="6"/>
        <v>3.8908410815220195E-5</v>
      </c>
      <c r="Q78" s="3">
        <f t="shared" si="6"/>
        <v>0.58827594892089374</v>
      </c>
      <c r="R78" s="3">
        <f t="shared" si="6"/>
        <v>6.3858275975284581E-2</v>
      </c>
      <c r="S78" s="3">
        <f t="shared" si="6"/>
        <v>2.0723732242683766E-5</v>
      </c>
      <c r="T78" s="3">
        <f t="shared" si="6"/>
        <v>2.1238641860851462E-5</v>
      </c>
      <c r="U78" s="3">
        <f t="shared" si="6"/>
        <v>4.7409018770446162E-3</v>
      </c>
      <c r="V78" s="3">
        <f t="shared" si="6"/>
        <v>4.5730937000740312E-4</v>
      </c>
      <c r="W78" s="3">
        <f t="shared" si="6"/>
        <v>1.001869259082205E-4</v>
      </c>
      <c r="X78" s="3">
        <f t="shared" si="6"/>
        <v>0.75644190188789506</v>
      </c>
      <c r="Y78" s="3">
        <f t="shared" si="6"/>
        <v>0.77521042362979964</v>
      </c>
      <c r="Z78" s="3">
        <f t="shared" si="6"/>
        <v>2.1387702674742242E-7</v>
      </c>
      <c r="AA78" s="3">
        <f t="shared" si="6"/>
        <v>2.2219112365825183E-8</v>
      </c>
      <c r="AB78" s="3">
        <f t="shared" si="6"/>
        <v>9.4653494218035875E-8</v>
      </c>
      <c r="AC78" s="5">
        <f t="shared" si="5"/>
        <v>18.763247286607363</v>
      </c>
    </row>
    <row r="79" spans="1:29" s="3" customFormat="1" x14ac:dyDescent="0.25">
      <c r="A79" s="3" t="s">
        <v>47</v>
      </c>
      <c r="B79" s="3">
        <v>2030</v>
      </c>
      <c r="C79" s="3" t="s">
        <v>63</v>
      </c>
      <c r="D79" s="3" t="s">
        <v>51</v>
      </c>
      <c r="E79" s="3" t="s">
        <v>8</v>
      </c>
      <c r="F79" s="3" t="s">
        <v>53</v>
      </c>
      <c r="G79" s="3">
        <f t="shared" si="7"/>
        <v>1.6481449164929292</v>
      </c>
      <c r="H79" s="3">
        <f t="shared" si="6"/>
        <v>0.50949485423870378</v>
      </c>
      <c r="I79" s="3">
        <f t="shared" si="6"/>
        <v>1.6313099208262396E-13</v>
      </c>
      <c r="J79" s="3">
        <f t="shared" si="6"/>
        <v>1.4770561557656408E-5</v>
      </c>
      <c r="K79" s="3">
        <f t="shared" si="6"/>
        <v>14.176851128438296</v>
      </c>
      <c r="L79" s="3">
        <f t="shared" si="6"/>
        <v>0.23954229256627096</v>
      </c>
      <c r="M79" s="3">
        <f t="shared" si="6"/>
        <v>2.9332145661549844E-6</v>
      </c>
      <c r="N79" s="3">
        <f t="shared" si="6"/>
        <v>4.8477738847154395E-10</v>
      </c>
      <c r="O79" s="3">
        <f t="shared" si="6"/>
        <v>3.024048871145891E-5</v>
      </c>
      <c r="P79" s="3">
        <f t="shared" si="6"/>
        <v>3.8908410815220195E-5</v>
      </c>
      <c r="Q79" s="3">
        <f t="shared" si="6"/>
        <v>0.58827594892089374</v>
      </c>
      <c r="R79" s="3">
        <f t="shared" si="6"/>
        <v>6.3858275975284581E-2</v>
      </c>
      <c r="S79" s="3">
        <f t="shared" si="6"/>
        <v>2.0723732242683766E-5</v>
      </c>
      <c r="T79" s="3">
        <f t="shared" si="6"/>
        <v>2.1238641860851462E-5</v>
      </c>
      <c r="U79" s="3">
        <f t="shared" si="6"/>
        <v>4.7409018770446162E-3</v>
      </c>
      <c r="V79" s="3">
        <f t="shared" si="6"/>
        <v>4.5730937000740312E-4</v>
      </c>
      <c r="W79" s="3">
        <f t="shared" si="6"/>
        <v>1.001869259082205E-4</v>
      </c>
      <c r="X79" s="3">
        <f t="shared" si="6"/>
        <v>0.75644190188789506</v>
      </c>
      <c r="Y79" s="3">
        <f t="shared" si="6"/>
        <v>0.77521042362979964</v>
      </c>
      <c r="Z79" s="3">
        <f t="shared" si="6"/>
        <v>2.1387702674742242E-7</v>
      </c>
      <c r="AA79" s="3">
        <f t="shared" si="6"/>
        <v>2.2219112365825183E-8</v>
      </c>
      <c r="AB79" s="3">
        <f t="shared" si="6"/>
        <v>9.4653494218035875E-8</v>
      </c>
      <c r="AC79" s="5">
        <f t="shared" si="5"/>
        <v>18.763247286607363</v>
      </c>
    </row>
    <row r="80" spans="1:29" s="3" customFormat="1" x14ac:dyDescent="0.25">
      <c r="A80" s="3" t="s">
        <v>47</v>
      </c>
      <c r="B80" s="3">
        <v>2035</v>
      </c>
      <c r="C80" s="3" t="s">
        <v>63</v>
      </c>
      <c r="D80" s="3" t="s">
        <v>51</v>
      </c>
      <c r="E80" s="3" t="s">
        <v>8</v>
      </c>
      <c r="F80" s="3" t="s">
        <v>53</v>
      </c>
      <c r="G80" s="3">
        <f t="shared" si="7"/>
        <v>1.6481449164929292</v>
      </c>
      <c r="H80" s="3">
        <f t="shared" si="6"/>
        <v>0.50949485423870378</v>
      </c>
      <c r="I80" s="3">
        <f t="shared" si="6"/>
        <v>1.6313099208262396E-13</v>
      </c>
      <c r="J80" s="3">
        <f t="shared" si="6"/>
        <v>1.4770561557656408E-5</v>
      </c>
      <c r="K80" s="3">
        <f t="shared" si="6"/>
        <v>14.176851128438296</v>
      </c>
      <c r="L80" s="3">
        <f t="shared" si="6"/>
        <v>0.23954229256627096</v>
      </c>
      <c r="M80" s="3">
        <f t="shared" si="6"/>
        <v>2.9332145661549844E-6</v>
      </c>
      <c r="N80" s="3">
        <f t="shared" si="6"/>
        <v>4.8477738847154395E-10</v>
      </c>
      <c r="O80" s="3">
        <f t="shared" si="6"/>
        <v>3.024048871145891E-5</v>
      </c>
      <c r="P80" s="3">
        <f t="shared" si="6"/>
        <v>3.8908410815220195E-5</v>
      </c>
      <c r="Q80" s="3">
        <f t="shared" si="6"/>
        <v>0.58827594892089374</v>
      </c>
      <c r="R80" s="3">
        <f t="shared" si="6"/>
        <v>6.3858275975284581E-2</v>
      </c>
      <c r="S80" s="3">
        <f t="shared" si="6"/>
        <v>2.0723732242683766E-5</v>
      </c>
      <c r="T80" s="3">
        <f t="shared" si="6"/>
        <v>2.1238641860851462E-5</v>
      </c>
      <c r="U80" s="3">
        <f t="shared" si="6"/>
        <v>4.7409018770446162E-3</v>
      </c>
      <c r="V80" s="3">
        <f t="shared" si="6"/>
        <v>4.5730937000740312E-4</v>
      </c>
      <c r="W80" s="3">
        <f t="shared" si="6"/>
        <v>1.001869259082205E-4</v>
      </c>
      <c r="X80" s="3">
        <f t="shared" si="6"/>
        <v>0.75644190188789506</v>
      </c>
      <c r="Y80" s="3">
        <f t="shared" si="6"/>
        <v>0.77521042362979964</v>
      </c>
      <c r="Z80" s="3">
        <f t="shared" si="6"/>
        <v>2.1387702674742242E-7</v>
      </c>
      <c r="AA80" s="3">
        <f t="shared" si="6"/>
        <v>2.2219112365825183E-8</v>
      </c>
      <c r="AB80" s="3">
        <f t="shared" si="6"/>
        <v>9.4653494218035875E-8</v>
      </c>
      <c r="AC80" s="5">
        <f t="shared" si="5"/>
        <v>18.763247286607363</v>
      </c>
    </row>
    <row r="81" spans="1:29" s="3" customFormat="1" x14ac:dyDescent="0.25">
      <c r="A81" s="3" t="s">
        <v>47</v>
      </c>
      <c r="B81" s="3">
        <v>2040</v>
      </c>
      <c r="C81" s="3" t="s">
        <v>63</v>
      </c>
      <c r="D81" s="3" t="s">
        <v>51</v>
      </c>
      <c r="E81" s="3" t="s">
        <v>8</v>
      </c>
      <c r="F81" s="3" t="s">
        <v>53</v>
      </c>
      <c r="G81" s="3">
        <f t="shared" si="7"/>
        <v>1.6481449164929292</v>
      </c>
      <c r="H81" s="3">
        <f t="shared" si="6"/>
        <v>0.50949485423870378</v>
      </c>
      <c r="I81" s="3">
        <f t="shared" si="6"/>
        <v>1.6313099208262396E-13</v>
      </c>
      <c r="J81" s="3">
        <f t="shared" si="6"/>
        <v>1.4770561557656408E-5</v>
      </c>
      <c r="K81" s="3">
        <f t="shared" si="6"/>
        <v>14.176851128438296</v>
      </c>
      <c r="L81" s="3">
        <f t="shared" si="6"/>
        <v>0.23954229256627096</v>
      </c>
      <c r="M81" s="3">
        <f t="shared" si="6"/>
        <v>2.9332145661549844E-6</v>
      </c>
      <c r="N81" s="3">
        <f t="shared" si="6"/>
        <v>4.8477738847154395E-10</v>
      </c>
      <c r="O81" s="3">
        <f t="shared" si="6"/>
        <v>3.024048871145891E-5</v>
      </c>
      <c r="P81" s="3">
        <f t="shared" si="6"/>
        <v>3.8908410815220195E-5</v>
      </c>
      <c r="Q81" s="3">
        <f t="shared" si="6"/>
        <v>0.58827594892089374</v>
      </c>
      <c r="R81" s="3">
        <f t="shared" si="6"/>
        <v>6.3858275975284581E-2</v>
      </c>
      <c r="S81" s="3">
        <f t="shared" si="6"/>
        <v>2.0723732242683766E-5</v>
      </c>
      <c r="T81" s="3">
        <f t="shared" si="6"/>
        <v>2.1238641860851462E-5</v>
      </c>
      <c r="U81" s="3">
        <f t="shared" si="6"/>
        <v>4.7409018770446162E-3</v>
      </c>
      <c r="V81" s="3">
        <f t="shared" si="6"/>
        <v>4.5730937000740312E-4</v>
      </c>
      <c r="W81" s="3">
        <f t="shared" si="6"/>
        <v>1.001869259082205E-4</v>
      </c>
      <c r="X81" s="3">
        <f t="shared" si="6"/>
        <v>0.75644190188789506</v>
      </c>
      <c r="Y81" s="3">
        <f t="shared" si="6"/>
        <v>0.77521042362979964</v>
      </c>
      <c r="Z81" s="3">
        <f t="shared" si="6"/>
        <v>2.1387702674742242E-7</v>
      </c>
      <c r="AA81" s="3">
        <f t="shared" si="6"/>
        <v>2.2219112365825183E-8</v>
      </c>
      <c r="AB81" s="3">
        <f t="shared" si="6"/>
        <v>9.4653494218035875E-8</v>
      </c>
      <c r="AC81" s="5">
        <f t="shared" si="5"/>
        <v>18.763247286607363</v>
      </c>
    </row>
    <row r="82" spans="1:29" x14ac:dyDescent="0.25">
      <c r="A82" t="s">
        <v>47</v>
      </c>
      <c r="B82">
        <v>2020</v>
      </c>
      <c r="C82" t="s">
        <v>62</v>
      </c>
      <c r="D82" t="s">
        <v>6</v>
      </c>
      <c r="E82" t="s">
        <v>8</v>
      </c>
      <c r="F82" t="s">
        <v>55</v>
      </c>
      <c r="G82">
        <v>1.5825612875681789</v>
      </c>
      <c r="H82">
        <v>0.50044949429387331</v>
      </c>
      <c r="I82">
        <v>3.110519837242457E-13</v>
      </c>
      <c r="J82">
        <v>7.6968124357525778E-6</v>
      </c>
      <c r="K82">
        <v>43.668240622644568</v>
      </c>
      <c r="L82">
        <v>0.13309566757330249</v>
      </c>
      <c r="M82">
        <v>3.5543982075670482E-7</v>
      </c>
      <c r="N82">
        <v>1.812137957713724E-10</v>
      </c>
      <c r="O82">
        <v>1.652427891669209E-5</v>
      </c>
      <c r="P82">
        <v>2.0532880473783481E-5</v>
      </c>
      <c r="Q82">
        <v>0.55284508839237045</v>
      </c>
      <c r="R82">
        <v>6.001114648603597E-2</v>
      </c>
      <c r="S82">
        <v>1.866074252236783E-6</v>
      </c>
      <c r="T82">
        <v>1.8718041040826901E-5</v>
      </c>
      <c r="U82">
        <v>1.255492990046221E-3</v>
      </c>
      <c r="V82">
        <v>5.9400132772891468E-4</v>
      </c>
      <c r="W82">
        <v>5.116970853449175E-5</v>
      </c>
      <c r="X82">
        <v>6.8113496705888579E-2</v>
      </c>
      <c r="Y82">
        <v>0.68320847460539724</v>
      </c>
      <c r="Z82">
        <v>4.0331608880635837E-8</v>
      </c>
      <c r="AA82">
        <v>6.0021421351526833E-9</v>
      </c>
      <c r="AB82">
        <v>5.31903674438911E-8</v>
      </c>
      <c r="AC82" s="5">
        <f t="shared" si="5"/>
        <v>47.250491735528513</v>
      </c>
    </row>
    <row r="83" spans="1:29" x14ac:dyDescent="0.25">
      <c r="A83" t="s">
        <v>47</v>
      </c>
      <c r="B83">
        <v>2025</v>
      </c>
      <c r="C83" t="s">
        <v>62</v>
      </c>
      <c r="D83" t="s">
        <v>6</v>
      </c>
      <c r="E83" t="s">
        <v>8</v>
      </c>
      <c r="F83" t="s">
        <v>55</v>
      </c>
      <c r="G83">
        <v>1.5825612875681789</v>
      </c>
      <c r="H83">
        <v>0.50044949429387331</v>
      </c>
      <c r="I83">
        <v>3.110519837242457E-13</v>
      </c>
      <c r="J83">
        <v>7.6968124357525778E-6</v>
      </c>
      <c r="K83">
        <v>43.668240622644568</v>
      </c>
      <c r="L83">
        <v>0.13309566757330249</v>
      </c>
      <c r="M83">
        <v>3.5543982075670482E-7</v>
      </c>
      <c r="N83">
        <v>1.812137957713724E-10</v>
      </c>
      <c r="O83">
        <v>1.652427891669209E-5</v>
      </c>
      <c r="P83">
        <v>2.0532880473783481E-5</v>
      </c>
      <c r="Q83">
        <v>0.55284508839237045</v>
      </c>
      <c r="R83">
        <v>6.001114648603597E-2</v>
      </c>
      <c r="S83">
        <v>1.866074252236783E-6</v>
      </c>
      <c r="T83">
        <v>1.8718041040826901E-5</v>
      </c>
      <c r="U83">
        <v>1.255492990046221E-3</v>
      </c>
      <c r="V83">
        <v>5.9400132772891468E-4</v>
      </c>
      <c r="W83">
        <v>5.116970853449175E-5</v>
      </c>
      <c r="X83">
        <v>6.8113496705888579E-2</v>
      </c>
      <c r="Y83">
        <v>0.68320847460539724</v>
      </c>
      <c r="Z83">
        <v>4.0331608880635837E-8</v>
      </c>
      <c r="AA83">
        <v>6.0021421351526833E-9</v>
      </c>
      <c r="AB83">
        <v>5.31903674438911E-8</v>
      </c>
      <c r="AC83" s="5">
        <f t="shared" si="5"/>
        <v>47.250491735528513</v>
      </c>
    </row>
    <row r="84" spans="1:29" x14ac:dyDescent="0.25">
      <c r="A84" t="s">
        <v>47</v>
      </c>
      <c r="B84">
        <v>2030</v>
      </c>
      <c r="C84" t="s">
        <v>62</v>
      </c>
      <c r="D84" t="s">
        <v>6</v>
      </c>
      <c r="E84" t="s">
        <v>8</v>
      </c>
      <c r="F84" t="s">
        <v>55</v>
      </c>
      <c r="G84">
        <v>1.5825612875681789</v>
      </c>
      <c r="H84">
        <v>0.50044949429387331</v>
      </c>
      <c r="I84">
        <v>3.110519837242457E-13</v>
      </c>
      <c r="J84">
        <v>7.6968124357525778E-6</v>
      </c>
      <c r="K84">
        <v>43.668240622644568</v>
      </c>
      <c r="L84">
        <v>0.13309566757330249</v>
      </c>
      <c r="M84">
        <v>3.5543982075670482E-7</v>
      </c>
      <c r="N84">
        <v>1.812137957713724E-10</v>
      </c>
      <c r="O84">
        <v>1.652427891669209E-5</v>
      </c>
      <c r="P84">
        <v>2.0532880473783481E-5</v>
      </c>
      <c r="Q84">
        <v>0.55284508839237045</v>
      </c>
      <c r="R84">
        <v>6.001114648603597E-2</v>
      </c>
      <c r="S84">
        <v>1.866074252236783E-6</v>
      </c>
      <c r="T84">
        <v>1.8718041040826901E-5</v>
      </c>
      <c r="U84">
        <v>1.255492990046221E-3</v>
      </c>
      <c r="V84">
        <v>5.9400132772891468E-4</v>
      </c>
      <c r="W84">
        <v>5.116970853449175E-5</v>
      </c>
      <c r="X84">
        <v>6.8113496705888579E-2</v>
      </c>
      <c r="Y84">
        <v>0.68320847460539724</v>
      </c>
      <c r="Z84">
        <v>4.0331608880635837E-8</v>
      </c>
      <c r="AA84">
        <v>6.0021421351526833E-9</v>
      </c>
      <c r="AB84">
        <v>5.31903674438911E-8</v>
      </c>
      <c r="AC84" s="5">
        <f t="shared" si="5"/>
        <v>47.250491735528513</v>
      </c>
    </row>
    <row r="85" spans="1:29" x14ac:dyDescent="0.25">
      <c r="A85" t="s">
        <v>47</v>
      </c>
      <c r="B85">
        <v>2035</v>
      </c>
      <c r="C85" t="s">
        <v>62</v>
      </c>
      <c r="D85" t="s">
        <v>6</v>
      </c>
      <c r="E85" t="s">
        <v>8</v>
      </c>
      <c r="F85" t="s">
        <v>55</v>
      </c>
      <c r="G85">
        <v>1.5825612875681789</v>
      </c>
      <c r="H85">
        <v>0.50044949429387331</v>
      </c>
      <c r="I85">
        <v>3.110519837242457E-13</v>
      </c>
      <c r="J85">
        <v>7.6968124357525778E-6</v>
      </c>
      <c r="K85">
        <v>43.668240622644568</v>
      </c>
      <c r="L85">
        <v>0.13309566757330249</v>
      </c>
      <c r="M85">
        <v>3.5543982075670482E-7</v>
      </c>
      <c r="N85">
        <v>1.812137957713724E-10</v>
      </c>
      <c r="O85">
        <v>1.652427891669209E-5</v>
      </c>
      <c r="P85">
        <v>2.0532880473783481E-5</v>
      </c>
      <c r="Q85">
        <v>0.55284508839237045</v>
      </c>
      <c r="R85">
        <v>6.001114648603597E-2</v>
      </c>
      <c r="S85">
        <v>1.866074252236783E-6</v>
      </c>
      <c r="T85">
        <v>1.8718041040826901E-5</v>
      </c>
      <c r="U85">
        <v>1.255492990046221E-3</v>
      </c>
      <c r="V85">
        <v>5.9400132772891468E-4</v>
      </c>
      <c r="W85">
        <v>5.116970853449175E-5</v>
      </c>
      <c r="X85">
        <v>6.8113496705888579E-2</v>
      </c>
      <c r="Y85">
        <v>0.68320847460539724</v>
      </c>
      <c r="Z85">
        <v>4.0331608880635837E-8</v>
      </c>
      <c r="AA85">
        <v>6.0021421351526833E-9</v>
      </c>
      <c r="AB85">
        <v>5.31903674438911E-8</v>
      </c>
      <c r="AC85" s="5">
        <f t="shared" si="5"/>
        <v>47.250491735528513</v>
      </c>
    </row>
    <row r="86" spans="1:29" x14ac:dyDescent="0.25">
      <c r="A86" t="s">
        <v>47</v>
      </c>
      <c r="B86">
        <v>2040</v>
      </c>
      <c r="C86" t="s">
        <v>62</v>
      </c>
      <c r="D86" t="s">
        <v>6</v>
      </c>
      <c r="E86" t="s">
        <v>8</v>
      </c>
      <c r="F86" t="s">
        <v>55</v>
      </c>
      <c r="G86">
        <v>1.5825612875681789</v>
      </c>
      <c r="H86">
        <v>0.50044949429387331</v>
      </c>
      <c r="I86">
        <v>3.110519837242457E-13</v>
      </c>
      <c r="J86">
        <v>7.6968124357525778E-6</v>
      </c>
      <c r="K86">
        <v>43.668240622644568</v>
      </c>
      <c r="L86">
        <v>0.13309566757330249</v>
      </c>
      <c r="M86">
        <v>3.5543982075670482E-7</v>
      </c>
      <c r="N86">
        <v>1.812137957713724E-10</v>
      </c>
      <c r="O86">
        <v>1.652427891669209E-5</v>
      </c>
      <c r="P86">
        <v>2.0532880473783481E-5</v>
      </c>
      <c r="Q86">
        <v>0.55284508839237045</v>
      </c>
      <c r="R86">
        <v>6.001114648603597E-2</v>
      </c>
      <c r="S86">
        <v>1.866074252236783E-6</v>
      </c>
      <c r="T86">
        <v>1.8718041040826901E-5</v>
      </c>
      <c r="U86">
        <v>1.255492990046221E-3</v>
      </c>
      <c r="V86">
        <v>5.9400132772891468E-4</v>
      </c>
      <c r="W86">
        <v>5.116970853449175E-5</v>
      </c>
      <c r="X86">
        <v>6.8113496705888579E-2</v>
      </c>
      <c r="Y86">
        <v>0.68320847460539724</v>
      </c>
      <c r="Z86">
        <v>4.0331608880635837E-8</v>
      </c>
      <c r="AA86">
        <v>6.0021421351526833E-9</v>
      </c>
      <c r="AB86">
        <v>5.31903674438911E-8</v>
      </c>
      <c r="AC86" s="5">
        <f t="shared" si="5"/>
        <v>47.250491735528513</v>
      </c>
    </row>
    <row r="87" spans="1:29" x14ac:dyDescent="0.25">
      <c r="A87" t="s">
        <v>47</v>
      </c>
      <c r="B87">
        <v>2020</v>
      </c>
      <c r="C87" t="s">
        <v>63</v>
      </c>
      <c r="D87" t="s">
        <v>51</v>
      </c>
      <c r="E87" t="s">
        <v>8</v>
      </c>
      <c r="F87" t="s">
        <v>55</v>
      </c>
      <c r="G87">
        <v>2.0125752735491438</v>
      </c>
      <c r="H87">
        <v>0.62341335284488664</v>
      </c>
      <c r="I87">
        <v>2.0310767954939671E-13</v>
      </c>
      <c r="J87">
        <v>2.2478895452384379E-5</v>
      </c>
      <c r="K87">
        <v>19.879720577457519</v>
      </c>
      <c r="L87">
        <v>0.26843395484600169</v>
      </c>
      <c r="M87">
        <v>4.5234179444041504E-6</v>
      </c>
      <c r="N87">
        <v>6.9490431272460495E-10</v>
      </c>
      <c r="O87">
        <v>4.3866930970903602E-5</v>
      </c>
      <c r="P87">
        <v>5.6706326733402597E-5</v>
      </c>
      <c r="Q87">
        <v>0.71665158660288431</v>
      </c>
      <c r="R87">
        <v>7.7793584550277781E-2</v>
      </c>
      <c r="S87">
        <v>2.1104920761211921E-5</v>
      </c>
      <c r="T87">
        <v>2.4320097553881989E-5</v>
      </c>
      <c r="U87">
        <v>7.6264887127090166E-3</v>
      </c>
      <c r="V87">
        <v>5.9818397603977522E-4</v>
      </c>
      <c r="W87">
        <v>1.5250379687261169E-4</v>
      </c>
      <c r="X87">
        <v>0.77035617514750343</v>
      </c>
      <c r="Y87">
        <v>0.88768355264215382</v>
      </c>
      <c r="Z87">
        <v>3.2786345456113101E-7</v>
      </c>
      <c r="AA87">
        <v>3.4077169869420192E-8</v>
      </c>
      <c r="AB87">
        <v>1.377253556505169E-7</v>
      </c>
      <c r="AC87" s="5">
        <f t="shared" si="5"/>
        <v>25.245178735076504</v>
      </c>
    </row>
    <row r="88" spans="1:29" x14ac:dyDescent="0.25">
      <c r="A88" t="s">
        <v>47</v>
      </c>
      <c r="B88">
        <v>2025</v>
      </c>
      <c r="C88" t="s">
        <v>63</v>
      </c>
      <c r="D88" t="s">
        <v>51</v>
      </c>
      <c r="E88" t="s">
        <v>8</v>
      </c>
      <c r="F88" t="s">
        <v>55</v>
      </c>
      <c r="G88">
        <v>2.0125752735491438</v>
      </c>
      <c r="H88">
        <v>0.62341335284488664</v>
      </c>
      <c r="I88">
        <v>2.0310767954939671E-13</v>
      </c>
      <c r="J88">
        <v>2.2478895452384379E-5</v>
      </c>
      <c r="K88">
        <v>19.879720577457519</v>
      </c>
      <c r="L88">
        <v>0.26843395484600169</v>
      </c>
      <c r="M88">
        <v>4.5234179444041504E-6</v>
      </c>
      <c r="N88">
        <v>6.9490431272460495E-10</v>
      </c>
      <c r="O88">
        <v>4.3866930970903602E-5</v>
      </c>
      <c r="P88">
        <v>5.6706326733402597E-5</v>
      </c>
      <c r="Q88">
        <v>0.71665158660288431</v>
      </c>
      <c r="R88">
        <v>7.7793584550277781E-2</v>
      </c>
      <c r="S88">
        <v>2.1104920761211921E-5</v>
      </c>
      <c r="T88">
        <v>2.4320097553881989E-5</v>
      </c>
      <c r="U88">
        <v>7.6264887127090166E-3</v>
      </c>
      <c r="V88">
        <v>5.9818397603977522E-4</v>
      </c>
      <c r="W88">
        <v>1.5250379687261169E-4</v>
      </c>
      <c r="X88">
        <v>0.77035617514750343</v>
      </c>
      <c r="Y88">
        <v>0.88768355264215382</v>
      </c>
      <c r="Z88">
        <v>3.2786345456113101E-7</v>
      </c>
      <c r="AA88">
        <v>3.4077169869420192E-8</v>
      </c>
      <c r="AB88">
        <v>1.377253556505169E-7</v>
      </c>
      <c r="AC88" s="5">
        <f t="shared" si="5"/>
        <v>25.245178735076504</v>
      </c>
    </row>
    <row r="89" spans="1:29" x14ac:dyDescent="0.25">
      <c r="A89" t="s">
        <v>47</v>
      </c>
      <c r="B89">
        <v>2030</v>
      </c>
      <c r="C89" t="s">
        <v>63</v>
      </c>
      <c r="D89" t="s">
        <v>51</v>
      </c>
      <c r="E89" t="s">
        <v>8</v>
      </c>
      <c r="F89" t="s">
        <v>55</v>
      </c>
      <c r="G89">
        <v>2.0125752735491438</v>
      </c>
      <c r="H89">
        <v>0.62341335284488664</v>
      </c>
      <c r="I89">
        <v>2.0310767954939671E-13</v>
      </c>
      <c r="J89">
        <v>2.2478895452384379E-5</v>
      </c>
      <c r="K89">
        <v>19.879720577457519</v>
      </c>
      <c r="L89">
        <v>0.26843395484600169</v>
      </c>
      <c r="M89">
        <v>4.5234179444041504E-6</v>
      </c>
      <c r="N89">
        <v>6.9490431272460495E-10</v>
      </c>
      <c r="O89">
        <v>4.3866930970903602E-5</v>
      </c>
      <c r="P89">
        <v>5.6706326733402597E-5</v>
      </c>
      <c r="Q89">
        <v>0.71665158660288431</v>
      </c>
      <c r="R89">
        <v>7.7793584550277781E-2</v>
      </c>
      <c r="S89">
        <v>2.1104920761211921E-5</v>
      </c>
      <c r="T89">
        <v>2.4320097553881989E-5</v>
      </c>
      <c r="U89">
        <v>7.6264887127090166E-3</v>
      </c>
      <c r="V89">
        <v>5.9818397603977522E-4</v>
      </c>
      <c r="W89">
        <v>1.5250379687261169E-4</v>
      </c>
      <c r="X89">
        <v>0.77035617514750343</v>
      </c>
      <c r="Y89">
        <v>0.88768355264215382</v>
      </c>
      <c r="Z89">
        <v>3.2786345456113101E-7</v>
      </c>
      <c r="AA89">
        <v>3.4077169869420192E-8</v>
      </c>
      <c r="AB89">
        <v>1.377253556505169E-7</v>
      </c>
      <c r="AC89" s="5">
        <f t="shared" si="5"/>
        <v>25.245178735076504</v>
      </c>
    </row>
    <row r="90" spans="1:29" x14ac:dyDescent="0.25">
      <c r="A90" t="s">
        <v>47</v>
      </c>
      <c r="B90">
        <v>2035</v>
      </c>
      <c r="C90" t="s">
        <v>63</v>
      </c>
      <c r="D90" t="s">
        <v>51</v>
      </c>
      <c r="E90" t="s">
        <v>8</v>
      </c>
      <c r="F90" t="s">
        <v>55</v>
      </c>
      <c r="G90">
        <v>2.0125752735491438</v>
      </c>
      <c r="H90">
        <v>0.62341335284488664</v>
      </c>
      <c r="I90">
        <v>2.0310767954939671E-13</v>
      </c>
      <c r="J90">
        <v>2.2478895452384379E-5</v>
      </c>
      <c r="K90">
        <v>19.879720577457519</v>
      </c>
      <c r="L90">
        <v>0.26843395484600169</v>
      </c>
      <c r="M90">
        <v>4.5234179444041504E-6</v>
      </c>
      <c r="N90">
        <v>6.9490431272460495E-10</v>
      </c>
      <c r="O90">
        <v>4.3866930970903602E-5</v>
      </c>
      <c r="P90">
        <v>5.6706326733402597E-5</v>
      </c>
      <c r="Q90">
        <v>0.71665158660288431</v>
      </c>
      <c r="R90">
        <v>7.7793584550277781E-2</v>
      </c>
      <c r="S90">
        <v>2.1104920761211921E-5</v>
      </c>
      <c r="T90">
        <v>2.4320097553881989E-5</v>
      </c>
      <c r="U90">
        <v>7.6264887127090166E-3</v>
      </c>
      <c r="V90">
        <v>5.9818397603977522E-4</v>
      </c>
      <c r="W90">
        <v>1.5250379687261169E-4</v>
      </c>
      <c r="X90">
        <v>0.77035617514750343</v>
      </c>
      <c r="Y90">
        <v>0.88768355264215382</v>
      </c>
      <c r="Z90">
        <v>3.2786345456113101E-7</v>
      </c>
      <c r="AA90">
        <v>3.4077169869420192E-8</v>
      </c>
      <c r="AB90">
        <v>1.377253556505169E-7</v>
      </c>
      <c r="AC90" s="5">
        <f t="shared" si="5"/>
        <v>25.245178735076504</v>
      </c>
    </row>
    <row r="91" spans="1:29" x14ac:dyDescent="0.25">
      <c r="A91" t="s">
        <v>47</v>
      </c>
      <c r="B91">
        <v>2040</v>
      </c>
      <c r="C91" t="s">
        <v>63</v>
      </c>
      <c r="D91" t="s">
        <v>51</v>
      </c>
      <c r="E91" t="s">
        <v>8</v>
      </c>
      <c r="F91" t="s">
        <v>55</v>
      </c>
      <c r="G91">
        <v>2.0125752735491438</v>
      </c>
      <c r="H91">
        <v>0.62341335284488664</v>
      </c>
      <c r="I91">
        <v>2.0310767954939671E-13</v>
      </c>
      <c r="J91">
        <v>2.2478895452384379E-5</v>
      </c>
      <c r="K91">
        <v>19.879720577457519</v>
      </c>
      <c r="L91">
        <v>0.26843395484600169</v>
      </c>
      <c r="M91">
        <v>4.5234179444041504E-6</v>
      </c>
      <c r="N91">
        <v>6.9490431272460495E-10</v>
      </c>
      <c r="O91">
        <v>4.3866930970903602E-5</v>
      </c>
      <c r="P91">
        <v>5.6706326733402597E-5</v>
      </c>
      <c r="Q91">
        <v>0.71665158660288431</v>
      </c>
      <c r="R91">
        <v>7.7793584550277781E-2</v>
      </c>
      <c r="S91">
        <v>2.1104920761211921E-5</v>
      </c>
      <c r="T91">
        <v>2.4320097553881989E-5</v>
      </c>
      <c r="U91">
        <v>7.6264887127090166E-3</v>
      </c>
      <c r="V91">
        <v>5.9818397603977522E-4</v>
      </c>
      <c r="W91">
        <v>1.5250379687261169E-4</v>
      </c>
      <c r="X91">
        <v>0.77035617514750343</v>
      </c>
      <c r="Y91">
        <v>0.88768355264215382</v>
      </c>
      <c r="Z91">
        <v>3.2786345456113101E-7</v>
      </c>
      <c r="AA91">
        <v>3.4077169869420192E-8</v>
      </c>
      <c r="AB91">
        <v>1.377253556505169E-7</v>
      </c>
      <c r="AC91" s="5">
        <f t="shared" si="5"/>
        <v>25.245178735076504</v>
      </c>
    </row>
    <row r="92" spans="1:29" x14ac:dyDescent="0.25">
      <c r="A92" t="s">
        <v>47</v>
      </c>
      <c r="B92">
        <v>2020</v>
      </c>
      <c r="C92" t="s">
        <v>64</v>
      </c>
      <c r="D92" t="s">
        <v>6</v>
      </c>
      <c r="E92" t="s">
        <v>13</v>
      </c>
      <c r="F92" t="s">
        <v>55</v>
      </c>
      <c r="G92">
        <v>1.9702471077024331</v>
      </c>
      <c r="H92">
        <v>0.59515954381513858</v>
      </c>
      <c r="I92">
        <v>5.1634307638788755E-13</v>
      </c>
      <c r="J92">
        <v>4.5432129252479387E-5</v>
      </c>
      <c r="K92">
        <v>1.2009227664720801</v>
      </c>
      <c r="L92">
        <v>0.18982119624934971</v>
      </c>
      <c r="M92">
        <v>5.126069424181869E-7</v>
      </c>
      <c r="N92">
        <v>2.5245761323754431E-10</v>
      </c>
      <c r="O92">
        <v>6.3935818073388074E-5</v>
      </c>
      <c r="P92">
        <v>8.3360156634681992E-5</v>
      </c>
      <c r="Q92">
        <v>0.71140932804315626</v>
      </c>
      <c r="R92">
        <v>7.7224712665960663E-2</v>
      </c>
      <c r="S92">
        <v>1.813999164674427E-6</v>
      </c>
      <c r="T92">
        <v>2.084866667555779E-6</v>
      </c>
      <c r="U92">
        <v>0.23909124390411141</v>
      </c>
      <c r="V92">
        <v>6.8508088163747648E-4</v>
      </c>
      <c r="W92">
        <v>2.8455205945437738E-4</v>
      </c>
      <c r="X92">
        <v>6.6212584540326344E-2</v>
      </c>
      <c r="Y92">
        <v>7.6097632709594812E-2</v>
      </c>
      <c r="Z92">
        <v>4.3833610183017608E-7</v>
      </c>
      <c r="AA92">
        <v>1.471456485560837E-8</v>
      </c>
      <c r="AB92">
        <v>2.0511439781055749E-7</v>
      </c>
      <c r="AC92" s="5">
        <f t="shared" si="5"/>
        <v>5.1273535470380169</v>
      </c>
    </row>
    <row r="93" spans="1:29" x14ac:dyDescent="0.25">
      <c r="A93" t="s">
        <v>47</v>
      </c>
      <c r="B93">
        <v>2025</v>
      </c>
      <c r="C93" t="s">
        <v>64</v>
      </c>
      <c r="D93" t="s">
        <v>6</v>
      </c>
      <c r="E93" t="s">
        <v>13</v>
      </c>
      <c r="F93" t="s">
        <v>55</v>
      </c>
      <c r="G93">
        <v>1.9702471077024331</v>
      </c>
      <c r="H93">
        <v>0.59515954381513858</v>
      </c>
      <c r="I93">
        <v>5.1634307638788755E-13</v>
      </c>
      <c r="J93">
        <v>4.5432129252479387E-5</v>
      </c>
      <c r="K93">
        <v>1.2009227664720801</v>
      </c>
      <c r="L93">
        <v>0.18982119624934971</v>
      </c>
      <c r="M93">
        <v>5.126069424181869E-7</v>
      </c>
      <c r="N93">
        <v>2.5245761323754431E-10</v>
      </c>
      <c r="O93">
        <v>6.3935818073388074E-5</v>
      </c>
      <c r="P93">
        <v>8.3360156634681992E-5</v>
      </c>
      <c r="Q93">
        <v>0.71140932804315626</v>
      </c>
      <c r="R93">
        <v>7.7224712665960663E-2</v>
      </c>
      <c r="S93">
        <v>1.813999164674427E-6</v>
      </c>
      <c r="T93">
        <v>2.084866667555779E-6</v>
      </c>
      <c r="U93">
        <v>0.23909124390411141</v>
      </c>
      <c r="V93">
        <v>6.8508088163747648E-4</v>
      </c>
      <c r="W93">
        <v>2.8455205945437738E-4</v>
      </c>
      <c r="X93">
        <v>6.6212584540326344E-2</v>
      </c>
      <c r="Y93">
        <v>7.6097632709594812E-2</v>
      </c>
      <c r="Z93">
        <v>4.3833610183017608E-7</v>
      </c>
      <c r="AA93">
        <v>1.471456485560837E-8</v>
      </c>
      <c r="AB93">
        <v>2.0511439781055749E-7</v>
      </c>
      <c r="AC93" s="5">
        <f t="shared" si="5"/>
        <v>5.1273535470380169</v>
      </c>
    </row>
    <row r="94" spans="1:29" x14ac:dyDescent="0.25">
      <c r="A94" t="s">
        <v>47</v>
      </c>
      <c r="B94">
        <v>2030</v>
      </c>
      <c r="C94" t="s">
        <v>64</v>
      </c>
      <c r="D94" t="s">
        <v>6</v>
      </c>
      <c r="E94" t="s">
        <v>13</v>
      </c>
      <c r="F94" t="s">
        <v>55</v>
      </c>
      <c r="G94">
        <v>1.9702471077024331</v>
      </c>
      <c r="H94">
        <v>0.59515954381513858</v>
      </c>
      <c r="I94">
        <v>5.1634307638788755E-13</v>
      </c>
      <c r="J94">
        <v>4.5432129252479387E-5</v>
      </c>
      <c r="K94">
        <v>1.2009227664720801</v>
      </c>
      <c r="L94">
        <v>0.18982119624934971</v>
      </c>
      <c r="M94">
        <v>5.126069424181869E-7</v>
      </c>
      <c r="N94">
        <v>2.5245761323754431E-10</v>
      </c>
      <c r="O94">
        <v>6.3935818073388074E-5</v>
      </c>
      <c r="P94">
        <v>8.3360156634681992E-5</v>
      </c>
      <c r="Q94">
        <v>0.71140932804315626</v>
      </c>
      <c r="R94">
        <v>7.7224712665960663E-2</v>
      </c>
      <c r="S94">
        <v>1.813999164674427E-6</v>
      </c>
      <c r="T94">
        <v>2.084866667555779E-6</v>
      </c>
      <c r="U94">
        <v>0.23909124390411141</v>
      </c>
      <c r="V94">
        <v>6.8508088163747648E-4</v>
      </c>
      <c r="W94">
        <v>2.8455205945437738E-4</v>
      </c>
      <c r="X94">
        <v>6.6212584540326344E-2</v>
      </c>
      <c r="Y94">
        <v>7.6097632709594812E-2</v>
      </c>
      <c r="Z94">
        <v>4.3833610183017608E-7</v>
      </c>
      <c r="AA94">
        <v>1.471456485560837E-8</v>
      </c>
      <c r="AB94">
        <v>2.0511439781055749E-7</v>
      </c>
      <c r="AC94" s="5">
        <f t="shared" si="5"/>
        <v>5.1273535470380169</v>
      </c>
    </row>
    <row r="95" spans="1:29" x14ac:dyDescent="0.25">
      <c r="A95" t="s">
        <v>47</v>
      </c>
      <c r="B95">
        <v>2035</v>
      </c>
      <c r="C95" t="s">
        <v>64</v>
      </c>
      <c r="D95" t="s">
        <v>6</v>
      </c>
      <c r="E95" t="s">
        <v>13</v>
      </c>
      <c r="F95" t="s">
        <v>55</v>
      </c>
      <c r="G95">
        <v>1.9702471077024331</v>
      </c>
      <c r="H95">
        <v>0.59515954381513858</v>
      </c>
      <c r="I95">
        <v>5.1634307638788755E-13</v>
      </c>
      <c r="J95">
        <v>4.5432129252479387E-5</v>
      </c>
      <c r="K95">
        <v>1.2009227664720801</v>
      </c>
      <c r="L95">
        <v>0.18982119624934971</v>
      </c>
      <c r="M95">
        <v>5.126069424181869E-7</v>
      </c>
      <c r="N95">
        <v>2.5245761323754431E-10</v>
      </c>
      <c r="O95">
        <v>6.3935818073388074E-5</v>
      </c>
      <c r="P95">
        <v>8.3360156634681992E-5</v>
      </c>
      <c r="Q95">
        <v>0.71140932804315626</v>
      </c>
      <c r="R95">
        <v>7.7224712665960663E-2</v>
      </c>
      <c r="S95">
        <v>1.813999164674427E-6</v>
      </c>
      <c r="T95">
        <v>2.084866667555779E-6</v>
      </c>
      <c r="U95">
        <v>0.23909124390411141</v>
      </c>
      <c r="V95">
        <v>6.8508088163747648E-4</v>
      </c>
      <c r="W95">
        <v>2.8455205945437738E-4</v>
      </c>
      <c r="X95">
        <v>6.6212584540326344E-2</v>
      </c>
      <c r="Y95">
        <v>7.6097632709594812E-2</v>
      </c>
      <c r="Z95">
        <v>4.3833610183017608E-7</v>
      </c>
      <c r="AA95">
        <v>1.471456485560837E-8</v>
      </c>
      <c r="AB95">
        <v>2.0511439781055749E-7</v>
      </c>
      <c r="AC95" s="5">
        <f t="shared" si="5"/>
        <v>5.1273535470380169</v>
      </c>
    </row>
    <row r="96" spans="1:29" x14ac:dyDescent="0.25">
      <c r="A96" t="s">
        <v>47</v>
      </c>
      <c r="B96">
        <v>2040</v>
      </c>
      <c r="C96" t="s">
        <v>64</v>
      </c>
      <c r="D96" t="s">
        <v>6</v>
      </c>
      <c r="E96" t="s">
        <v>13</v>
      </c>
      <c r="F96" t="s">
        <v>55</v>
      </c>
      <c r="G96">
        <v>1.9702471077024331</v>
      </c>
      <c r="H96">
        <v>0.59515954381513858</v>
      </c>
      <c r="I96">
        <v>5.1634307638788755E-13</v>
      </c>
      <c r="J96">
        <v>4.5432129252479387E-5</v>
      </c>
      <c r="K96">
        <v>1.2009227664720801</v>
      </c>
      <c r="L96">
        <v>0.18982119624934971</v>
      </c>
      <c r="M96">
        <v>5.126069424181869E-7</v>
      </c>
      <c r="N96">
        <v>2.5245761323754431E-10</v>
      </c>
      <c r="O96">
        <v>6.3935818073388074E-5</v>
      </c>
      <c r="P96">
        <v>8.3360156634681992E-5</v>
      </c>
      <c r="Q96">
        <v>0.71140932804315626</v>
      </c>
      <c r="R96">
        <v>7.7224712665960663E-2</v>
      </c>
      <c r="S96">
        <v>1.813999164674427E-6</v>
      </c>
      <c r="T96">
        <v>2.084866667555779E-6</v>
      </c>
      <c r="U96">
        <v>0.23909124390411141</v>
      </c>
      <c r="V96">
        <v>6.8508088163747648E-4</v>
      </c>
      <c r="W96">
        <v>2.8455205945437738E-4</v>
      </c>
      <c r="X96">
        <v>6.6212584540326344E-2</v>
      </c>
      <c r="Y96">
        <v>7.6097632709594812E-2</v>
      </c>
      <c r="Z96">
        <v>4.3833610183017608E-7</v>
      </c>
      <c r="AA96">
        <v>1.471456485560837E-8</v>
      </c>
      <c r="AB96">
        <v>2.0511439781055749E-7</v>
      </c>
      <c r="AC96" s="5">
        <f t="shared" si="5"/>
        <v>5.1273535470380169</v>
      </c>
    </row>
    <row r="97" spans="1:29" x14ac:dyDescent="0.25">
      <c r="A97" t="s">
        <v>47</v>
      </c>
      <c r="B97">
        <v>2020</v>
      </c>
      <c r="C97" t="s">
        <v>65</v>
      </c>
      <c r="D97" t="s">
        <v>51</v>
      </c>
      <c r="E97" t="s">
        <v>13</v>
      </c>
      <c r="F97" t="s">
        <v>55</v>
      </c>
      <c r="G97">
        <v>6.0728638236709482</v>
      </c>
      <c r="H97">
        <v>1.839784296596777</v>
      </c>
      <c r="I97">
        <v>3.6553872709185732E-13</v>
      </c>
      <c r="J97">
        <v>1.3226806770998371E-5</v>
      </c>
      <c r="K97">
        <v>1.759923779502031</v>
      </c>
      <c r="L97">
        <v>0.46788074274688818</v>
      </c>
      <c r="M97">
        <v>3.0213253530685341E-7</v>
      </c>
      <c r="N97">
        <v>1.6796054688498611E-10</v>
      </c>
      <c r="O97">
        <v>4.9765647665335563E-5</v>
      </c>
      <c r="P97">
        <v>5.460000345684779E-5</v>
      </c>
      <c r="Q97">
        <v>2.1968294943589548</v>
      </c>
      <c r="R97">
        <v>0.23847084481431691</v>
      </c>
      <c r="S97">
        <v>1.56996073970132E-6</v>
      </c>
      <c r="T97">
        <v>1.6481322831311911E-6</v>
      </c>
      <c r="U97">
        <v>9.3266969131886049E-2</v>
      </c>
      <c r="V97">
        <v>1.471879161693414E-3</v>
      </c>
      <c r="W97">
        <v>8.4247679090548519E-5</v>
      </c>
      <c r="X97">
        <v>5.7306410037919517E-2</v>
      </c>
      <c r="Y97">
        <v>6.0156827548492199E-2</v>
      </c>
      <c r="Z97">
        <v>1.302764822567805E-7</v>
      </c>
      <c r="AA97">
        <v>5.1382471817468797E-9</v>
      </c>
      <c r="AB97">
        <v>1.5416967705979841E-7</v>
      </c>
      <c r="AC97" s="5">
        <f t="shared" si="5"/>
        <v>12.788160717685184</v>
      </c>
    </row>
    <row r="98" spans="1:29" x14ac:dyDescent="0.25">
      <c r="A98" t="s">
        <v>47</v>
      </c>
      <c r="B98">
        <v>2025</v>
      </c>
      <c r="C98" t="s">
        <v>65</v>
      </c>
      <c r="D98" t="s">
        <v>51</v>
      </c>
      <c r="E98" t="s">
        <v>13</v>
      </c>
      <c r="F98" t="s">
        <v>55</v>
      </c>
      <c r="G98">
        <v>6.0728638236709482</v>
      </c>
      <c r="H98">
        <v>1.839784296596777</v>
      </c>
      <c r="I98">
        <v>3.6553872709185732E-13</v>
      </c>
      <c r="J98">
        <v>1.3226806770998371E-5</v>
      </c>
      <c r="K98">
        <v>1.759923779502031</v>
      </c>
      <c r="L98">
        <v>0.46788074274688818</v>
      </c>
      <c r="M98">
        <v>3.0213253530685341E-7</v>
      </c>
      <c r="N98">
        <v>1.6796054688498611E-10</v>
      </c>
      <c r="O98">
        <v>4.9765647665335563E-5</v>
      </c>
      <c r="P98">
        <v>5.460000345684779E-5</v>
      </c>
      <c r="Q98">
        <v>2.1968294943589548</v>
      </c>
      <c r="R98">
        <v>0.23847084481431691</v>
      </c>
      <c r="S98">
        <v>1.56996073970132E-6</v>
      </c>
      <c r="T98">
        <v>1.6481322831311911E-6</v>
      </c>
      <c r="U98">
        <v>9.3266969131886049E-2</v>
      </c>
      <c r="V98">
        <v>1.471879161693414E-3</v>
      </c>
      <c r="W98">
        <v>8.4247679090548519E-5</v>
      </c>
      <c r="X98">
        <v>5.7306410037919517E-2</v>
      </c>
      <c r="Y98">
        <v>6.0156827548492199E-2</v>
      </c>
      <c r="Z98">
        <v>1.302764822567805E-7</v>
      </c>
      <c r="AA98">
        <v>5.1382471817468797E-9</v>
      </c>
      <c r="AB98">
        <v>1.5416967705979841E-7</v>
      </c>
      <c r="AC98" s="5">
        <f t="shared" si="5"/>
        <v>12.788160717685184</v>
      </c>
    </row>
    <row r="99" spans="1:29" x14ac:dyDescent="0.25">
      <c r="A99" t="s">
        <v>47</v>
      </c>
      <c r="B99">
        <v>2030</v>
      </c>
      <c r="C99" t="s">
        <v>65</v>
      </c>
      <c r="D99" t="s">
        <v>51</v>
      </c>
      <c r="E99" t="s">
        <v>13</v>
      </c>
      <c r="F99" t="s">
        <v>55</v>
      </c>
      <c r="G99">
        <v>6.0728638236709482</v>
      </c>
      <c r="H99">
        <v>1.839784296596777</v>
      </c>
      <c r="I99">
        <v>3.6553872709185732E-13</v>
      </c>
      <c r="J99">
        <v>1.3226806770998371E-5</v>
      </c>
      <c r="K99">
        <v>1.759923779502031</v>
      </c>
      <c r="L99">
        <v>0.46788074274688818</v>
      </c>
      <c r="M99">
        <v>3.0213253530685341E-7</v>
      </c>
      <c r="N99">
        <v>1.6796054688498611E-10</v>
      </c>
      <c r="O99">
        <v>4.9765647665335563E-5</v>
      </c>
      <c r="P99">
        <v>5.460000345684779E-5</v>
      </c>
      <c r="Q99">
        <v>2.1968294943589548</v>
      </c>
      <c r="R99">
        <v>0.23847084481431691</v>
      </c>
      <c r="S99">
        <v>1.56996073970132E-6</v>
      </c>
      <c r="T99">
        <v>1.6481322831311911E-6</v>
      </c>
      <c r="U99">
        <v>9.3266969131886049E-2</v>
      </c>
      <c r="V99">
        <v>1.471879161693414E-3</v>
      </c>
      <c r="W99">
        <v>8.4247679090548519E-5</v>
      </c>
      <c r="X99">
        <v>5.7306410037919517E-2</v>
      </c>
      <c r="Y99">
        <v>6.0156827548492199E-2</v>
      </c>
      <c r="Z99">
        <v>1.302764822567805E-7</v>
      </c>
      <c r="AA99">
        <v>5.1382471817468797E-9</v>
      </c>
      <c r="AB99">
        <v>1.5416967705979841E-7</v>
      </c>
      <c r="AC99" s="5">
        <f t="shared" si="5"/>
        <v>12.788160717685184</v>
      </c>
    </row>
    <row r="100" spans="1:29" x14ac:dyDescent="0.25">
      <c r="A100" t="s">
        <v>47</v>
      </c>
      <c r="B100">
        <v>2035</v>
      </c>
      <c r="C100" t="s">
        <v>65</v>
      </c>
      <c r="D100" t="s">
        <v>51</v>
      </c>
      <c r="E100" t="s">
        <v>13</v>
      </c>
      <c r="F100" t="s">
        <v>55</v>
      </c>
      <c r="G100">
        <v>6.0728638236709482</v>
      </c>
      <c r="H100">
        <v>1.839784296596777</v>
      </c>
      <c r="I100">
        <v>3.6553872709185732E-13</v>
      </c>
      <c r="J100">
        <v>1.3226806770998371E-5</v>
      </c>
      <c r="K100">
        <v>1.759923779502031</v>
      </c>
      <c r="L100">
        <v>0.46788074274688818</v>
      </c>
      <c r="M100">
        <v>3.0213253530685341E-7</v>
      </c>
      <c r="N100">
        <v>1.6796054688498611E-10</v>
      </c>
      <c r="O100">
        <v>4.9765647665335563E-5</v>
      </c>
      <c r="P100">
        <v>5.460000345684779E-5</v>
      </c>
      <c r="Q100">
        <v>2.1968294943589548</v>
      </c>
      <c r="R100">
        <v>0.23847084481431691</v>
      </c>
      <c r="S100">
        <v>1.56996073970132E-6</v>
      </c>
      <c r="T100">
        <v>1.6481322831311911E-6</v>
      </c>
      <c r="U100">
        <v>9.3266969131886049E-2</v>
      </c>
      <c r="V100">
        <v>1.471879161693414E-3</v>
      </c>
      <c r="W100">
        <v>8.4247679090548519E-5</v>
      </c>
      <c r="X100">
        <v>5.7306410037919517E-2</v>
      </c>
      <c r="Y100">
        <v>6.0156827548492199E-2</v>
      </c>
      <c r="Z100">
        <v>1.302764822567805E-7</v>
      </c>
      <c r="AA100">
        <v>5.1382471817468797E-9</v>
      </c>
      <c r="AB100">
        <v>1.5416967705979841E-7</v>
      </c>
      <c r="AC100" s="5">
        <f t="shared" si="5"/>
        <v>12.788160717685184</v>
      </c>
    </row>
    <row r="101" spans="1:29" x14ac:dyDescent="0.25">
      <c r="A101" t="s">
        <v>47</v>
      </c>
      <c r="B101">
        <v>2040</v>
      </c>
      <c r="C101" t="s">
        <v>65</v>
      </c>
      <c r="D101" t="s">
        <v>51</v>
      </c>
      <c r="E101" t="s">
        <v>13</v>
      </c>
      <c r="F101" t="s">
        <v>55</v>
      </c>
      <c r="G101">
        <v>6.0728638236709482</v>
      </c>
      <c r="H101">
        <v>1.839784296596777</v>
      </c>
      <c r="I101">
        <v>3.6553872709185732E-13</v>
      </c>
      <c r="J101">
        <v>1.3226806770998371E-5</v>
      </c>
      <c r="K101">
        <v>1.759923779502031</v>
      </c>
      <c r="L101">
        <v>0.46788074274688818</v>
      </c>
      <c r="M101">
        <v>3.0213253530685341E-7</v>
      </c>
      <c r="N101">
        <v>1.6796054688498611E-10</v>
      </c>
      <c r="O101">
        <v>4.9765647665335563E-5</v>
      </c>
      <c r="P101">
        <v>5.460000345684779E-5</v>
      </c>
      <c r="Q101">
        <v>2.1968294943589548</v>
      </c>
      <c r="R101">
        <v>0.23847084481431691</v>
      </c>
      <c r="S101">
        <v>1.56996073970132E-6</v>
      </c>
      <c r="T101">
        <v>1.6481322831311911E-6</v>
      </c>
      <c r="U101">
        <v>9.3266969131886049E-2</v>
      </c>
      <c r="V101">
        <v>1.471879161693414E-3</v>
      </c>
      <c r="W101">
        <v>8.4247679090548519E-5</v>
      </c>
      <c r="X101">
        <v>5.7306410037919517E-2</v>
      </c>
      <c r="Y101">
        <v>6.0156827548492199E-2</v>
      </c>
      <c r="Z101">
        <v>1.302764822567805E-7</v>
      </c>
      <c r="AA101">
        <v>5.1382471817468797E-9</v>
      </c>
      <c r="AB101">
        <v>1.5416967705979841E-7</v>
      </c>
      <c r="AC101" s="5">
        <f t="shared" si="5"/>
        <v>12.788160717685184</v>
      </c>
    </row>
    <row r="102" spans="1:29" x14ac:dyDescent="0.25">
      <c r="A102" t="s">
        <v>47</v>
      </c>
      <c r="B102">
        <v>2020</v>
      </c>
      <c r="C102" t="s">
        <v>66</v>
      </c>
      <c r="D102" t="s">
        <v>51</v>
      </c>
      <c r="E102" t="s">
        <v>12</v>
      </c>
      <c r="F102" t="s">
        <v>55</v>
      </c>
      <c r="G102">
        <v>18.44560425998284</v>
      </c>
      <c r="H102">
        <v>5.7259603955816276</v>
      </c>
      <c r="I102">
        <v>1.753107996931084E-12</v>
      </c>
      <c r="J102">
        <v>0.16465028359516179</v>
      </c>
      <c r="K102">
        <v>19.076674454010188</v>
      </c>
      <c r="L102">
        <v>1.899071691926987</v>
      </c>
      <c r="M102">
        <v>1.108112126246315E-2</v>
      </c>
      <c r="N102">
        <v>2.2617908298640069E-7</v>
      </c>
      <c r="O102">
        <v>3.1371875898687511</v>
      </c>
      <c r="P102">
        <v>2.562776085192354</v>
      </c>
      <c r="Q102">
        <v>6.6285654201323974</v>
      </c>
      <c r="R102">
        <v>0.71954133411549659</v>
      </c>
      <c r="S102">
        <v>4.4470995394722722E-5</v>
      </c>
      <c r="T102">
        <v>3.468881275743359E-5</v>
      </c>
      <c r="U102">
        <v>23.764187473814619</v>
      </c>
      <c r="V102">
        <v>0.2824038883744987</v>
      </c>
      <c r="W102">
        <v>1.133649883378695</v>
      </c>
      <c r="X102">
        <v>1.623335077587426</v>
      </c>
      <c r="Y102">
        <v>1.2661416598055379</v>
      </c>
      <c r="Z102">
        <v>1.455239940283628E-3</v>
      </c>
      <c r="AA102">
        <v>1.0040563951095701E-4</v>
      </c>
      <c r="AB102">
        <v>9.3398915281159376E-3</v>
      </c>
      <c r="AC102" s="5">
        <f t="shared" si="5"/>
        <v>86.45180554172596</v>
      </c>
    </row>
    <row r="103" spans="1:29" x14ac:dyDescent="0.25">
      <c r="A103" t="s">
        <v>47</v>
      </c>
      <c r="B103">
        <v>2025</v>
      </c>
      <c r="C103" t="s">
        <v>66</v>
      </c>
      <c r="D103" t="s">
        <v>51</v>
      </c>
      <c r="E103" t="s">
        <v>12</v>
      </c>
      <c r="F103" t="s">
        <v>55</v>
      </c>
      <c r="G103">
        <v>18.44560425998284</v>
      </c>
      <c r="H103">
        <v>5.7259603955816276</v>
      </c>
      <c r="I103">
        <v>1.753107996931084E-12</v>
      </c>
      <c r="J103">
        <v>0.16465028359516179</v>
      </c>
      <c r="K103">
        <v>19.076674454010188</v>
      </c>
      <c r="L103">
        <v>1.899071691926987</v>
      </c>
      <c r="M103">
        <v>1.108112126246315E-2</v>
      </c>
      <c r="N103">
        <v>2.2617908298640069E-7</v>
      </c>
      <c r="O103">
        <v>3.1371875898687511</v>
      </c>
      <c r="P103">
        <v>2.562776085192354</v>
      </c>
      <c r="Q103">
        <v>6.6285654201323974</v>
      </c>
      <c r="R103">
        <v>0.71954133411549659</v>
      </c>
      <c r="S103">
        <v>4.4470995394722722E-5</v>
      </c>
      <c r="T103">
        <v>3.468881275743359E-5</v>
      </c>
      <c r="U103">
        <v>23.764187473814619</v>
      </c>
      <c r="V103">
        <v>0.2824038883744987</v>
      </c>
      <c r="W103">
        <v>1.133649883378695</v>
      </c>
      <c r="X103">
        <v>1.623335077587426</v>
      </c>
      <c r="Y103">
        <v>1.2661416598055379</v>
      </c>
      <c r="Z103">
        <v>1.455239940283628E-3</v>
      </c>
      <c r="AA103">
        <v>1.0040563951095701E-4</v>
      </c>
      <c r="AB103">
        <v>9.3398915281159376E-3</v>
      </c>
      <c r="AC103" s="5">
        <f t="shared" si="5"/>
        <v>86.45180554172596</v>
      </c>
    </row>
    <row r="104" spans="1:29" x14ac:dyDescent="0.25">
      <c r="A104" t="s">
        <v>47</v>
      </c>
      <c r="B104">
        <v>2030</v>
      </c>
      <c r="C104" t="s">
        <v>66</v>
      </c>
      <c r="D104" t="s">
        <v>51</v>
      </c>
      <c r="E104" t="s">
        <v>12</v>
      </c>
      <c r="F104" t="s">
        <v>55</v>
      </c>
      <c r="G104">
        <v>18.44560425998284</v>
      </c>
      <c r="H104">
        <v>5.7259603955816276</v>
      </c>
      <c r="I104">
        <v>1.753107996931084E-12</v>
      </c>
      <c r="J104">
        <v>0.16465028359516179</v>
      </c>
      <c r="K104">
        <v>19.076674454010188</v>
      </c>
      <c r="L104">
        <v>1.899071691926987</v>
      </c>
      <c r="M104">
        <v>1.108112126246315E-2</v>
      </c>
      <c r="N104">
        <v>2.2617908298640069E-7</v>
      </c>
      <c r="O104">
        <v>3.1371875898687511</v>
      </c>
      <c r="P104">
        <v>2.562776085192354</v>
      </c>
      <c r="Q104">
        <v>6.6285654201323974</v>
      </c>
      <c r="R104">
        <v>0.71954133411549659</v>
      </c>
      <c r="S104">
        <v>4.4470995394722722E-5</v>
      </c>
      <c r="T104">
        <v>3.468881275743359E-5</v>
      </c>
      <c r="U104">
        <v>23.764187473814619</v>
      </c>
      <c r="V104">
        <v>0.2824038883744987</v>
      </c>
      <c r="W104">
        <v>1.133649883378695</v>
      </c>
      <c r="X104">
        <v>1.623335077587426</v>
      </c>
      <c r="Y104">
        <v>1.2661416598055379</v>
      </c>
      <c r="Z104">
        <v>1.455239940283628E-3</v>
      </c>
      <c r="AA104">
        <v>1.0040563951095701E-4</v>
      </c>
      <c r="AB104">
        <v>9.3398915281159376E-3</v>
      </c>
      <c r="AC104" s="5">
        <f t="shared" si="5"/>
        <v>86.45180554172596</v>
      </c>
    </row>
    <row r="105" spans="1:29" x14ac:dyDescent="0.25">
      <c r="A105" t="s">
        <v>47</v>
      </c>
      <c r="B105">
        <v>2035</v>
      </c>
      <c r="C105" t="s">
        <v>66</v>
      </c>
      <c r="D105" t="s">
        <v>51</v>
      </c>
      <c r="E105" t="s">
        <v>12</v>
      </c>
      <c r="F105" t="s">
        <v>55</v>
      </c>
      <c r="G105">
        <v>18.44560425998284</v>
      </c>
      <c r="H105">
        <v>5.7259603955816276</v>
      </c>
      <c r="I105">
        <v>1.753107996931084E-12</v>
      </c>
      <c r="J105">
        <v>0.16465028359516179</v>
      </c>
      <c r="K105">
        <v>19.076674454010188</v>
      </c>
      <c r="L105">
        <v>1.899071691926987</v>
      </c>
      <c r="M105">
        <v>1.108112126246315E-2</v>
      </c>
      <c r="N105">
        <v>2.2617908298640069E-7</v>
      </c>
      <c r="O105">
        <v>3.1371875898687511</v>
      </c>
      <c r="P105">
        <v>2.562776085192354</v>
      </c>
      <c r="Q105">
        <v>6.6285654201323974</v>
      </c>
      <c r="R105">
        <v>0.71954133411549659</v>
      </c>
      <c r="S105">
        <v>4.4470995394722722E-5</v>
      </c>
      <c r="T105">
        <v>3.468881275743359E-5</v>
      </c>
      <c r="U105">
        <v>23.764187473814619</v>
      </c>
      <c r="V105">
        <v>0.2824038883744987</v>
      </c>
      <c r="W105">
        <v>1.133649883378695</v>
      </c>
      <c r="X105">
        <v>1.623335077587426</v>
      </c>
      <c r="Y105">
        <v>1.2661416598055379</v>
      </c>
      <c r="Z105">
        <v>1.455239940283628E-3</v>
      </c>
      <c r="AA105">
        <v>1.0040563951095701E-4</v>
      </c>
      <c r="AB105">
        <v>9.3398915281159376E-3</v>
      </c>
      <c r="AC105" s="5">
        <f t="shared" si="5"/>
        <v>86.45180554172596</v>
      </c>
    </row>
    <row r="106" spans="1:29" x14ac:dyDescent="0.25">
      <c r="A106" t="s">
        <v>47</v>
      </c>
      <c r="B106">
        <v>2040</v>
      </c>
      <c r="C106" t="s">
        <v>66</v>
      </c>
      <c r="D106" t="s">
        <v>51</v>
      </c>
      <c r="E106" t="s">
        <v>12</v>
      </c>
      <c r="F106" t="s">
        <v>55</v>
      </c>
      <c r="G106">
        <v>18.44560425998284</v>
      </c>
      <c r="H106">
        <v>5.7259603955816276</v>
      </c>
      <c r="I106">
        <v>1.753107996931084E-12</v>
      </c>
      <c r="J106">
        <v>0.16465028359516179</v>
      </c>
      <c r="K106">
        <v>19.076674454010188</v>
      </c>
      <c r="L106">
        <v>1.899071691926987</v>
      </c>
      <c r="M106">
        <v>1.108112126246315E-2</v>
      </c>
      <c r="N106">
        <v>2.2617908298640069E-7</v>
      </c>
      <c r="O106">
        <v>3.1371875898687511</v>
      </c>
      <c r="P106">
        <v>2.562776085192354</v>
      </c>
      <c r="Q106">
        <v>6.6285654201323974</v>
      </c>
      <c r="R106">
        <v>0.71954133411549659</v>
      </c>
      <c r="S106">
        <v>4.4470995394722722E-5</v>
      </c>
      <c r="T106">
        <v>3.468881275743359E-5</v>
      </c>
      <c r="U106">
        <v>23.764187473814619</v>
      </c>
      <c r="V106">
        <v>0.2824038883744987</v>
      </c>
      <c r="W106">
        <v>1.133649883378695</v>
      </c>
      <c r="X106">
        <v>1.623335077587426</v>
      </c>
      <c r="Y106">
        <v>1.2661416598055379</v>
      </c>
      <c r="Z106">
        <v>1.455239940283628E-3</v>
      </c>
      <c r="AA106">
        <v>1.0040563951095701E-4</v>
      </c>
      <c r="AB106">
        <v>9.3398915281159376E-3</v>
      </c>
      <c r="AC106" s="5">
        <f t="shared" si="5"/>
        <v>86.45180554172596</v>
      </c>
    </row>
    <row r="107" spans="1:29" x14ac:dyDescent="0.25">
      <c r="A107" t="s">
        <v>47</v>
      </c>
      <c r="B107">
        <v>2020</v>
      </c>
      <c r="C107" t="s">
        <v>67</v>
      </c>
      <c r="D107" t="s">
        <v>6</v>
      </c>
      <c r="E107" t="s">
        <v>9</v>
      </c>
      <c r="F107" t="s">
        <v>49</v>
      </c>
      <c r="G107">
        <v>0.1874709749576482</v>
      </c>
      <c r="H107">
        <v>5.7852688487956931E-2</v>
      </c>
      <c r="I107">
        <v>1.8435659431724471E-14</v>
      </c>
      <c r="J107">
        <v>1.485944278647851E-6</v>
      </c>
      <c r="K107">
        <v>2.533402221234202E-2</v>
      </c>
      <c r="L107">
        <v>8.7135801874259466E-3</v>
      </c>
      <c r="M107">
        <v>7.3240760701335052E-9</v>
      </c>
      <c r="N107">
        <v>4.2499961375491676E-12</v>
      </c>
      <c r="O107">
        <v>1.2456183054873499E-6</v>
      </c>
      <c r="P107">
        <v>1.337377649243872E-6</v>
      </c>
      <c r="Q107">
        <v>6.6767079897248754E-2</v>
      </c>
      <c r="R107">
        <v>7.2476877129035383E-3</v>
      </c>
      <c r="S107">
        <v>2.2890495289425259E-8</v>
      </c>
      <c r="T107">
        <v>3.1110323175153859E-8</v>
      </c>
      <c r="U107">
        <v>9.3456717413765923E-4</v>
      </c>
      <c r="V107">
        <v>5.7542217717448161E-5</v>
      </c>
      <c r="W107">
        <v>9.8058409556079289E-6</v>
      </c>
      <c r="X107">
        <v>8.3555489568449279E-4</v>
      </c>
      <c r="Y107">
        <v>1.135526779402657E-3</v>
      </c>
      <c r="Z107">
        <v>2.4361451357914899E-9</v>
      </c>
      <c r="AA107">
        <v>1.9270426944093661E-10</v>
      </c>
      <c r="AB107">
        <v>1.5037177448680411E-8</v>
      </c>
      <c r="AC107" s="5">
        <f t="shared" si="5"/>
        <v>0.35636317829884634</v>
      </c>
    </row>
    <row r="108" spans="1:29" x14ac:dyDescent="0.25">
      <c r="A108" t="s">
        <v>47</v>
      </c>
      <c r="B108">
        <v>2025</v>
      </c>
      <c r="C108" t="s">
        <v>67</v>
      </c>
      <c r="D108" t="s">
        <v>6</v>
      </c>
      <c r="E108" t="s">
        <v>9</v>
      </c>
      <c r="F108" t="s">
        <v>49</v>
      </c>
      <c r="G108">
        <v>0.1874709749576482</v>
      </c>
      <c r="H108">
        <v>5.7852688487956931E-2</v>
      </c>
      <c r="I108">
        <v>1.8435659431724471E-14</v>
      </c>
      <c r="J108">
        <v>1.485944278647851E-6</v>
      </c>
      <c r="K108">
        <v>2.533402221234202E-2</v>
      </c>
      <c r="L108">
        <v>8.7135801874259466E-3</v>
      </c>
      <c r="M108">
        <v>7.3240760701335052E-9</v>
      </c>
      <c r="N108">
        <v>4.2499961375491676E-12</v>
      </c>
      <c r="O108">
        <v>1.2456183054873499E-6</v>
      </c>
      <c r="P108">
        <v>1.337377649243872E-6</v>
      </c>
      <c r="Q108">
        <v>6.6767079897248754E-2</v>
      </c>
      <c r="R108">
        <v>7.2476877129035383E-3</v>
      </c>
      <c r="S108">
        <v>2.2890495289425259E-8</v>
      </c>
      <c r="T108">
        <v>3.1110323175153859E-8</v>
      </c>
      <c r="U108">
        <v>9.3456717413765923E-4</v>
      </c>
      <c r="V108">
        <v>5.7542217717448161E-5</v>
      </c>
      <c r="W108">
        <v>9.8058409556079289E-6</v>
      </c>
      <c r="X108">
        <v>8.3555489568449279E-4</v>
      </c>
      <c r="Y108">
        <v>1.135526779402657E-3</v>
      </c>
      <c r="Z108">
        <v>2.4361451357914899E-9</v>
      </c>
      <c r="AA108">
        <v>1.9270426944093661E-10</v>
      </c>
      <c r="AB108">
        <v>1.5037177448680411E-8</v>
      </c>
      <c r="AC108" s="5">
        <f t="shared" si="5"/>
        <v>0.35636317829884634</v>
      </c>
    </row>
    <row r="109" spans="1:29" x14ac:dyDescent="0.25">
      <c r="A109" t="s">
        <v>47</v>
      </c>
      <c r="B109">
        <v>2030</v>
      </c>
      <c r="C109" t="s">
        <v>67</v>
      </c>
      <c r="D109" t="s">
        <v>6</v>
      </c>
      <c r="E109" t="s">
        <v>9</v>
      </c>
      <c r="F109" t="s">
        <v>49</v>
      </c>
      <c r="G109">
        <v>0.1874709749576482</v>
      </c>
      <c r="H109">
        <v>5.7852688487956931E-2</v>
      </c>
      <c r="I109">
        <v>1.8435659431724471E-14</v>
      </c>
      <c r="J109">
        <v>1.485944278647851E-6</v>
      </c>
      <c r="K109">
        <v>2.533402221234202E-2</v>
      </c>
      <c r="L109">
        <v>8.7135801874259466E-3</v>
      </c>
      <c r="M109">
        <v>7.3240760701335052E-9</v>
      </c>
      <c r="N109">
        <v>4.2499961375491676E-12</v>
      </c>
      <c r="O109">
        <v>1.2456183054873499E-6</v>
      </c>
      <c r="P109">
        <v>1.337377649243872E-6</v>
      </c>
      <c r="Q109">
        <v>6.6767079897248754E-2</v>
      </c>
      <c r="R109">
        <v>7.2476877129035383E-3</v>
      </c>
      <c r="S109">
        <v>2.2890495289425259E-8</v>
      </c>
      <c r="T109">
        <v>3.1110323175153859E-8</v>
      </c>
      <c r="U109">
        <v>9.3456717413765923E-4</v>
      </c>
      <c r="V109">
        <v>5.7542217717448161E-5</v>
      </c>
      <c r="W109">
        <v>9.8058409556079289E-6</v>
      </c>
      <c r="X109">
        <v>8.3555489568449279E-4</v>
      </c>
      <c r="Y109">
        <v>1.135526779402657E-3</v>
      </c>
      <c r="Z109">
        <v>2.4361451357914899E-9</v>
      </c>
      <c r="AA109">
        <v>1.9270426944093661E-10</v>
      </c>
      <c r="AB109">
        <v>1.5037177448680411E-8</v>
      </c>
      <c r="AC109" s="5">
        <f t="shared" si="5"/>
        <v>0.35636317829884634</v>
      </c>
    </row>
    <row r="110" spans="1:29" x14ac:dyDescent="0.25">
      <c r="A110" t="s">
        <v>47</v>
      </c>
      <c r="B110">
        <v>2035</v>
      </c>
      <c r="C110" t="s">
        <v>67</v>
      </c>
      <c r="D110" t="s">
        <v>6</v>
      </c>
      <c r="E110" t="s">
        <v>9</v>
      </c>
      <c r="F110" t="s">
        <v>49</v>
      </c>
      <c r="G110">
        <v>0.1874709749576482</v>
      </c>
      <c r="H110">
        <v>5.7852688487956931E-2</v>
      </c>
      <c r="I110">
        <v>1.8435659431724471E-14</v>
      </c>
      <c r="J110">
        <v>1.485944278647851E-6</v>
      </c>
      <c r="K110">
        <v>2.533402221234202E-2</v>
      </c>
      <c r="L110">
        <v>8.7135801874259466E-3</v>
      </c>
      <c r="M110">
        <v>7.3240760701335052E-9</v>
      </c>
      <c r="N110">
        <v>4.2499961375491676E-12</v>
      </c>
      <c r="O110">
        <v>1.2456183054873499E-6</v>
      </c>
      <c r="P110">
        <v>1.337377649243872E-6</v>
      </c>
      <c r="Q110">
        <v>6.6767079897248754E-2</v>
      </c>
      <c r="R110">
        <v>7.2476877129035383E-3</v>
      </c>
      <c r="S110">
        <v>2.2890495289425259E-8</v>
      </c>
      <c r="T110">
        <v>3.1110323175153859E-8</v>
      </c>
      <c r="U110">
        <v>9.3456717413765923E-4</v>
      </c>
      <c r="V110">
        <v>5.7542217717448161E-5</v>
      </c>
      <c r="W110">
        <v>9.8058409556079289E-6</v>
      </c>
      <c r="X110">
        <v>8.3555489568449279E-4</v>
      </c>
      <c r="Y110">
        <v>1.135526779402657E-3</v>
      </c>
      <c r="Z110">
        <v>2.4361451357914899E-9</v>
      </c>
      <c r="AA110">
        <v>1.9270426944093661E-10</v>
      </c>
      <c r="AB110">
        <v>1.5037177448680411E-8</v>
      </c>
      <c r="AC110" s="5">
        <f t="shared" si="5"/>
        <v>0.35636317829884634</v>
      </c>
    </row>
    <row r="111" spans="1:29" x14ac:dyDescent="0.25">
      <c r="A111" t="s">
        <v>47</v>
      </c>
      <c r="B111">
        <v>2040</v>
      </c>
      <c r="C111" t="s">
        <v>67</v>
      </c>
      <c r="D111" t="s">
        <v>6</v>
      </c>
      <c r="E111" t="s">
        <v>9</v>
      </c>
      <c r="F111" t="s">
        <v>49</v>
      </c>
      <c r="G111">
        <v>0.1874709749576482</v>
      </c>
      <c r="H111">
        <v>5.7852688487956931E-2</v>
      </c>
      <c r="I111">
        <v>1.8435659431724471E-14</v>
      </c>
      <c r="J111">
        <v>1.485944278647851E-6</v>
      </c>
      <c r="K111">
        <v>2.533402221234202E-2</v>
      </c>
      <c r="L111">
        <v>8.7135801874259466E-3</v>
      </c>
      <c r="M111">
        <v>7.3240760701335052E-9</v>
      </c>
      <c r="N111">
        <v>4.2499961375491676E-12</v>
      </c>
      <c r="O111">
        <v>1.2456183054873499E-6</v>
      </c>
      <c r="P111">
        <v>1.337377649243872E-6</v>
      </c>
      <c r="Q111">
        <v>6.6767079897248754E-2</v>
      </c>
      <c r="R111">
        <v>7.2476877129035383E-3</v>
      </c>
      <c r="S111">
        <v>2.2890495289425259E-8</v>
      </c>
      <c r="T111">
        <v>3.1110323175153859E-8</v>
      </c>
      <c r="U111">
        <v>9.3456717413765923E-4</v>
      </c>
      <c r="V111">
        <v>5.7542217717448161E-5</v>
      </c>
      <c r="W111">
        <v>9.8058409556079289E-6</v>
      </c>
      <c r="X111">
        <v>8.3555489568449279E-4</v>
      </c>
      <c r="Y111">
        <v>1.135526779402657E-3</v>
      </c>
      <c r="Z111">
        <v>2.4361451357914899E-9</v>
      </c>
      <c r="AA111">
        <v>1.9270426944093661E-10</v>
      </c>
      <c r="AB111">
        <v>1.5037177448680411E-8</v>
      </c>
      <c r="AC111" s="5">
        <f t="shared" si="5"/>
        <v>0.35636317829884634</v>
      </c>
    </row>
    <row r="112" spans="1:29" x14ac:dyDescent="0.25">
      <c r="A112" t="s">
        <v>47</v>
      </c>
      <c r="B112">
        <v>2020</v>
      </c>
      <c r="C112" t="s">
        <v>68</v>
      </c>
      <c r="D112" t="s">
        <v>51</v>
      </c>
      <c r="E112" t="s">
        <v>9</v>
      </c>
      <c r="F112" t="s">
        <v>49</v>
      </c>
      <c r="G112">
        <v>0.24074408521117749</v>
      </c>
      <c r="H112">
        <v>7.3995084518743856E-2</v>
      </c>
      <c r="I112">
        <v>2.043181381047516E-14</v>
      </c>
      <c r="J112">
        <v>3.7168229925325141E-6</v>
      </c>
      <c r="K112">
        <v>3.7527836589564469E-2</v>
      </c>
      <c r="L112">
        <v>1.178613588928611E-2</v>
      </c>
      <c r="M112">
        <v>5.1745666283511947E-7</v>
      </c>
      <c r="N112">
        <v>6.3700217416492624E-11</v>
      </c>
      <c r="O112">
        <v>5.2071218987550656E-6</v>
      </c>
      <c r="P112">
        <v>6.5926542628998597E-6</v>
      </c>
      <c r="Q112">
        <v>8.581092854469799E-2</v>
      </c>
      <c r="R112">
        <v>9.3149366774688998E-3</v>
      </c>
      <c r="S112">
        <v>3.9302082096596097E-8</v>
      </c>
      <c r="T112">
        <v>4.7406867634192761E-8</v>
      </c>
      <c r="U112">
        <v>9.8962224956959709E-4</v>
      </c>
      <c r="V112">
        <v>8.4992563874059155E-5</v>
      </c>
      <c r="W112">
        <v>2.4989556773881629E-5</v>
      </c>
      <c r="X112">
        <v>1.434642597162169E-3</v>
      </c>
      <c r="Y112">
        <v>1.730350642463909E-3</v>
      </c>
      <c r="Z112">
        <v>3.8772938976569642E-8</v>
      </c>
      <c r="AA112">
        <v>3.8602749484019816E-9</v>
      </c>
      <c r="AB112">
        <v>2.764195535760419E-8</v>
      </c>
      <c r="AC112" s="5">
        <f t="shared" si="5"/>
        <v>0.46345979614443922</v>
      </c>
    </row>
    <row r="113" spans="1:29" x14ac:dyDescent="0.25">
      <c r="A113" t="s">
        <v>47</v>
      </c>
      <c r="B113">
        <v>2025</v>
      </c>
      <c r="C113" t="s">
        <v>68</v>
      </c>
      <c r="D113" t="s">
        <v>51</v>
      </c>
      <c r="E113" t="s">
        <v>9</v>
      </c>
      <c r="F113" t="s">
        <v>49</v>
      </c>
      <c r="G113">
        <v>0.24074408521117749</v>
      </c>
      <c r="H113">
        <v>7.3995084518743856E-2</v>
      </c>
      <c r="I113">
        <v>2.043181381047516E-14</v>
      </c>
      <c r="J113">
        <v>3.7168229925325141E-6</v>
      </c>
      <c r="K113">
        <v>3.7527836589564469E-2</v>
      </c>
      <c r="L113">
        <v>1.178613588928611E-2</v>
      </c>
      <c r="M113">
        <v>5.1745666283511947E-7</v>
      </c>
      <c r="N113">
        <v>6.3700217416492624E-11</v>
      </c>
      <c r="O113">
        <v>5.2071218987550656E-6</v>
      </c>
      <c r="P113">
        <v>6.5926542628998597E-6</v>
      </c>
      <c r="Q113">
        <v>8.581092854469799E-2</v>
      </c>
      <c r="R113">
        <v>9.3149366774688998E-3</v>
      </c>
      <c r="S113">
        <v>3.9302082096596097E-8</v>
      </c>
      <c r="T113">
        <v>4.7406867634192761E-8</v>
      </c>
      <c r="U113">
        <v>9.8962224956959709E-4</v>
      </c>
      <c r="V113">
        <v>8.4992563874059155E-5</v>
      </c>
      <c r="W113">
        <v>2.4989556773881629E-5</v>
      </c>
      <c r="X113">
        <v>1.434642597162169E-3</v>
      </c>
      <c r="Y113">
        <v>1.730350642463909E-3</v>
      </c>
      <c r="Z113">
        <v>3.8772938976569642E-8</v>
      </c>
      <c r="AA113">
        <v>3.8602749484019816E-9</v>
      </c>
      <c r="AB113">
        <v>2.764195535760419E-8</v>
      </c>
      <c r="AC113" s="5">
        <f t="shared" si="5"/>
        <v>0.46345979614443922</v>
      </c>
    </row>
    <row r="114" spans="1:29" x14ac:dyDescent="0.25">
      <c r="A114" t="s">
        <v>47</v>
      </c>
      <c r="B114">
        <v>2030</v>
      </c>
      <c r="C114" t="s">
        <v>68</v>
      </c>
      <c r="D114" t="s">
        <v>51</v>
      </c>
      <c r="E114" t="s">
        <v>9</v>
      </c>
      <c r="F114" t="s">
        <v>49</v>
      </c>
      <c r="G114">
        <v>0.24074408521117749</v>
      </c>
      <c r="H114">
        <v>7.3995084518743856E-2</v>
      </c>
      <c r="I114">
        <v>2.043181381047516E-14</v>
      </c>
      <c r="J114">
        <v>3.7168229925325141E-6</v>
      </c>
      <c r="K114">
        <v>3.7527836589564469E-2</v>
      </c>
      <c r="L114">
        <v>1.178613588928611E-2</v>
      </c>
      <c r="M114">
        <v>5.1745666283511947E-7</v>
      </c>
      <c r="N114">
        <v>6.3700217416492624E-11</v>
      </c>
      <c r="O114">
        <v>5.2071218987550656E-6</v>
      </c>
      <c r="P114">
        <v>6.5926542628998597E-6</v>
      </c>
      <c r="Q114">
        <v>8.581092854469799E-2</v>
      </c>
      <c r="R114">
        <v>9.3149366774688998E-3</v>
      </c>
      <c r="S114">
        <v>3.9302082096596097E-8</v>
      </c>
      <c r="T114">
        <v>4.7406867634192761E-8</v>
      </c>
      <c r="U114">
        <v>9.8962224956959709E-4</v>
      </c>
      <c r="V114">
        <v>8.4992563874059155E-5</v>
      </c>
      <c r="W114">
        <v>2.4989556773881629E-5</v>
      </c>
      <c r="X114">
        <v>1.434642597162169E-3</v>
      </c>
      <c r="Y114">
        <v>1.730350642463909E-3</v>
      </c>
      <c r="Z114">
        <v>3.8772938976569642E-8</v>
      </c>
      <c r="AA114">
        <v>3.8602749484019816E-9</v>
      </c>
      <c r="AB114">
        <v>2.764195535760419E-8</v>
      </c>
      <c r="AC114" s="5">
        <f t="shared" si="5"/>
        <v>0.46345979614443922</v>
      </c>
    </row>
    <row r="115" spans="1:29" x14ac:dyDescent="0.25">
      <c r="A115" t="s">
        <v>47</v>
      </c>
      <c r="B115">
        <v>2035</v>
      </c>
      <c r="C115" t="s">
        <v>68</v>
      </c>
      <c r="D115" t="s">
        <v>51</v>
      </c>
      <c r="E115" t="s">
        <v>9</v>
      </c>
      <c r="F115" t="s">
        <v>49</v>
      </c>
      <c r="G115">
        <v>0.24074408521117749</v>
      </c>
      <c r="H115">
        <v>7.3995084518743856E-2</v>
      </c>
      <c r="I115">
        <v>2.043181381047516E-14</v>
      </c>
      <c r="J115">
        <v>3.7168229925325141E-6</v>
      </c>
      <c r="K115">
        <v>3.7527836589564469E-2</v>
      </c>
      <c r="L115">
        <v>1.178613588928611E-2</v>
      </c>
      <c r="M115">
        <v>5.1745666283511947E-7</v>
      </c>
      <c r="N115">
        <v>6.3700217416492624E-11</v>
      </c>
      <c r="O115">
        <v>5.2071218987550656E-6</v>
      </c>
      <c r="P115">
        <v>6.5926542628998597E-6</v>
      </c>
      <c r="Q115">
        <v>8.581092854469799E-2</v>
      </c>
      <c r="R115">
        <v>9.3149366774688998E-3</v>
      </c>
      <c r="S115">
        <v>3.9302082096596097E-8</v>
      </c>
      <c r="T115">
        <v>4.7406867634192761E-8</v>
      </c>
      <c r="U115">
        <v>9.8962224956959709E-4</v>
      </c>
      <c r="V115">
        <v>8.4992563874059155E-5</v>
      </c>
      <c r="W115">
        <v>2.4989556773881629E-5</v>
      </c>
      <c r="X115">
        <v>1.434642597162169E-3</v>
      </c>
      <c r="Y115">
        <v>1.730350642463909E-3</v>
      </c>
      <c r="Z115">
        <v>3.8772938976569642E-8</v>
      </c>
      <c r="AA115">
        <v>3.8602749484019816E-9</v>
      </c>
      <c r="AB115">
        <v>2.764195535760419E-8</v>
      </c>
      <c r="AC115" s="5">
        <f t="shared" si="5"/>
        <v>0.46345979614443922</v>
      </c>
    </row>
    <row r="116" spans="1:29" x14ac:dyDescent="0.25">
      <c r="A116" t="s">
        <v>47</v>
      </c>
      <c r="B116">
        <v>2040</v>
      </c>
      <c r="C116" t="s">
        <v>68</v>
      </c>
      <c r="D116" t="s">
        <v>51</v>
      </c>
      <c r="E116" t="s">
        <v>9</v>
      </c>
      <c r="F116" t="s">
        <v>49</v>
      </c>
      <c r="G116">
        <v>0.24074408521117749</v>
      </c>
      <c r="H116">
        <v>7.3995084518743856E-2</v>
      </c>
      <c r="I116">
        <v>2.043181381047516E-14</v>
      </c>
      <c r="J116">
        <v>3.7168229925325141E-6</v>
      </c>
      <c r="K116">
        <v>3.7527836589564469E-2</v>
      </c>
      <c r="L116">
        <v>1.178613588928611E-2</v>
      </c>
      <c r="M116">
        <v>5.1745666283511947E-7</v>
      </c>
      <c r="N116">
        <v>6.3700217416492624E-11</v>
      </c>
      <c r="O116">
        <v>5.2071218987550656E-6</v>
      </c>
      <c r="P116">
        <v>6.5926542628998597E-6</v>
      </c>
      <c r="Q116">
        <v>8.581092854469799E-2</v>
      </c>
      <c r="R116">
        <v>9.3149366774688998E-3</v>
      </c>
      <c r="S116">
        <v>3.9302082096596097E-8</v>
      </c>
      <c r="T116">
        <v>4.7406867634192761E-8</v>
      </c>
      <c r="U116">
        <v>9.8962224956959709E-4</v>
      </c>
      <c r="V116">
        <v>8.4992563874059155E-5</v>
      </c>
      <c r="W116">
        <v>2.4989556773881629E-5</v>
      </c>
      <c r="X116">
        <v>1.434642597162169E-3</v>
      </c>
      <c r="Y116">
        <v>1.730350642463909E-3</v>
      </c>
      <c r="Z116">
        <v>3.8772938976569642E-8</v>
      </c>
      <c r="AA116">
        <v>3.8602749484019816E-9</v>
      </c>
      <c r="AB116">
        <v>2.764195535760419E-8</v>
      </c>
      <c r="AC116" s="5">
        <f t="shared" si="5"/>
        <v>0.46345979614443922</v>
      </c>
    </row>
    <row r="117" spans="1:29" s="3" customFormat="1" x14ac:dyDescent="0.25">
      <c r="A117" s="3" t="s">
        <v>47</v>
      </c>
      <c r="B117" s="3">
        <v>2020</v>
      </c>
      <c r="C117" s="3" t="s">
        <v>69</v>
      </c>
      <c r="D117" s="3" t="s">
        <v>6</v>
      </c>
      <c r="E117" s="3" t="s">
        <v>9</v>
      </c>
      <c r="F117" s="3" t="s">
        <v>53</v>
      </c>
      <c r="G117" s="3">
        <f>G127-G107</f>
        <v>1.5595644436983498</v>
      </c>
      <c r="H117" s="3">
        <f t="shared" ref="H117:AB126" si="8">H127-H107</f>
        <v>0.47810985819305757</v>
      </c>
      <c r="I117" s="3">
        <f t="shared" si="8"/>
        <v>1.3112250492183703E-13</v>
      </c>
      <c r="J117" s="3">
        <f t="shared" si="8"/>
        <v>2.6367450405238557E-5</v>
      </c>
      <c r="K117" s="3">
        <f t="shared" si="8"/>
        <v>0.26950263759059068</v>
      </c>
      <c r="L117" s="3">
        <f t="shared" si="8"/>
        <v>8.0666915314791324E-2</v>
      </c>
      <c r="M117" s="3">
        <f t="shared" si="8"/>
        <v>4.2217652878966063E-6</v>
      </c>
      <c r="N117" s="3">
        <f t="shared" si="8"/>
        <v>5.5252055116117333E-10</v>
      </c>
      <c r="O117" s="3">
        <f t="shared" si="8"/>
        <v>4.0177753129776423E-5</v>
      </c>
      <c r="P117" s="3">
        <f t="shared" si="8"/>
        <v>5.1977559206403928E-5</v>
      </c>
      <c r="Q117" s="3">
        <f t="shared" si="8"/>
        <v>0.55639958799562661</v>
      </c>
      <c r="R117" s="3">
        <f t="shared" si="8"/>
        <v>6.0398232154511879E-2</v>
      </c>
      <c r="S117" s="3">
        <f t="shared" si="8"/>
        <v>3.4983602210781447E-7</v>
      </c>
      <c r="T117" s="3">
        <f t="shared" si="8"/>
        <v>4.5977239286553605E-7</v>
      </c>
      <c r="U117" s="3">
        <f t="shared" si="8"/>
        <v>5.7779891322982772E-3</v>
      </c>
      <c r="V117" s="3">
        <f t="shared" si="8"/>
        <v>5.5846913047837975E-4</v>
      </c>
      <c r="W117" s="3">
        <f t="shared" si="8"/>
        <v>1.7781653616306278E-4</v>
      </c>
      <c r="X117" s="3">
        <f t="shared" si="8"/>
        <v>1.2769876566366087E-2</v>
      </c>
      <c r="Y117" s="3">
        <f t="shared" si="8"/>
        <v>1.678169208113605E-2</v>
      </c>
      <c r="Z117" s="3">
        <f t="shared" si="8"/>
        <v>3.1053186309420457E-7</v>
      </c>
      <c r="AA117" s="3">
        <f t="shared" si="8"/>
        <v>3.1192014446087728E-8</v>
      </c>
      <c r="AB117" s="3">
        <f t="shared" si="8"/>
        <v>1.875876091671171E-7</v>
      </c>
      <c r="AC117" s="5">
        <f t="shared" si="5"/>
        <v>3.0408316023939523</v>
      </c>
    </row>
    <row r="118" spans="1:29" s="3" customFormat="1" x14ac:dyDescent="0.25">
      <c r="A118" s="3" t="s">
        <v>47</v>
      </c>
      <c r="B118" s="3">
        <v>2025</v>
      </c>
      <c r="C118" s="3" t="s">
        <v>69</v>
      </c>
      <c r="D118" s="3" t="s">
        <v>6</v>
      </c>
      <c r="E118" s="3" t="s">
        <v>9</v>
      </c>
      <c r="F118" s="3" t="s">
        <v>53</v>
      </c>
      <c r="G118" s="3">
        <f t="shared" ref="G118:V126" si="9">G128-G108</f>
        <v>1.5595644436983498</v>
      </c>
      <c r="H118" s="3">
        <f t="shared" si="9"/>
        <v>0.47810985819305757</v>
      </c>
      <c r="I118" s="3">
        <f t="shared" si="9"/>
        <v>1.3112250492183703E-13</v>
      </c>
      <c r="J118" s="3">
        <f t="shared" si="9"/>
        <v>2.6367450405238557E-5</v>
      </c>
      <c r="K118" s="3">
        <f t="shared" si="9"/>
        <v>0.26950263759059068</v>
      </c>
      <c r="L118" s="3">
        <f t="shared" si="9"/>
        <v>8.0666915314791324E-2</v>
      </c>
      <c r="M118" s="3">
        <f t="shared" si="9"/>
        <v>4.2217652878966063E-6</v>
      </c>
      <c r="N118" s="3">
        <f t="shared" si="9"/>
        <v>5.5252055116117333E-10</v>
      </c>
      <c r="O118" s="3">
        <f t="shared" si="9"/>
        <v>4.0177753129776423E-5</v>
      </c>
      <c r="P118" s="3">
        <f t="shared" si="9"/>
        <v>5.1977559206403928E-5</v>
      </c>
      <c r="Q118" s="3">
        <f t="shared" si="9"/>
        <v>0.55639958799562661</v>
      </c>
      <c r="R118" s="3">
        <f t="shared" si="9"/>
        <v>6.0398232154511879E-2</v>
      </c>
      <c r="S118" s="3">
        <f t="shared" si="9"/>
        <v>3.4983602210781447E-7</v>
      </c>
      <c r="T118" s="3">
        <f t="shared" si="9"/>
        <v>4.5977239286553605E-7</v>
      </c>
      <c r="U118" s="3">
        <f t="shared" si="9"/>
        <v>5.7779891322982772E-3</v>
      </c>
      <c r="V118" s="3">
        <f t="shared" si="9"/>
        <v>5.5846913047837975E-4</v>
      </c>
      <c r="W118" s="3">
        <f t="shared" si="8"/>
        <v>1.7781653616306278E-4</v>
      </c>
      <c r="X118" s="3">
        <f t="shared" si="8"/>
        <v>1.2769876566366087E-2</v>
      </c>
      <c r="Y118" s="3">
        <f t="shared" si="8"/>
        <v>1.678169208113605E-2</v>
      </c>
      <c r="Z118" s="3">
        <f t="shared" si="8"/>
        <v>3.1053186309420457E-7</v>
      </c>
      <c r="AA118" s="3">
        <f t="shared" si="8"/>
        <v>3.1192014446087728E-8</v>
      </c>
      <c r="AB118" s="3">
        <f t="shared" si="8"/>
        <v>1.875876091671171E-7</v>
      </c>
      <c r="AC118" s="5">
        <f t="shared" si="5"/>
        <v>3.0408316023939523</v>
      </c>
    </row>
    <row r="119" spans="1:29" s="3" customFormat="1" x14ac:dyDescent="0.25">
      <c r="A119" s="3" t="s">
        <v>47</v>
      </c>
      <c r="B119" s="3">
        <v>2030</v>
      </c>
      <c r="C119" s="3" t="s">
        <v>69</v>
      </c>
      <c r="D119" s="3" t="s">
        <v>6</v>
      </c>
      <c r="E119" s="3" t="s">
        <v>9</v>
      </c>
      <c r="F119" s="3" t="s">
        <v>53</v>
      </c>
      <c r="G119" s="3">
        <f t="shared" si="9"/>
        <v>1.5595644436983498</v>
      </c>
      <c r="H119" s="3">
        <f t="shared" si="8"/>
        <v>0.47810985819305757</v>
      </c>
      <c r="I119" s="3">
        <f t="shared" si="8"/>
        <v>1.3112250492183703E-13</v>
      </c>
      <c r="J119" s="3">
        <f t="shared" si="8"/>
        <v>2.6367450405238557E-5</v>
      </c>
      <c r="K119" s="3">
        <f t="shared" si="8"/>
        <v>0.26950263759059068</v>
      </c>
      <c r="L119" s="3">
        <f t="shared" si="8"/>
        <v>8.0666915314791324E-2</v>
      </c>
      <c r="M119" s="3">
        <f t="shared" si="8"/>
        <v>4.2217652878966063E-6</v>
      </c>
      <c r="N119" s="3">
        <f t="shared" si="8"/>
        <v>5.5252055116117333E-10</v>
      </c>
      <c r="O119" s="3">
        <f t="shared" si="8"/>
        <v>4.0177753129776423E-5</v>
      </c>
      <c r="P119" s="3">
        <f t="shared" si="8"/>
        <v>5.1977559206403928E-5</v>
      </c>
      <c r="Q119" s="3">
        <f t="shared" si="8"/>
        <v>0.55639958799562661</v>
      </c>
      <c r="R119" s="3">
        <f t="shared" si="8"/>
        <v>6.0398232154511879E-2</v>
      </c>
      <c r="S119" s="3">
        <f t="shared" si="8"/>
        <v>3.4983602210781447E-7</v>
      </c>
      <c r="T119" s="3">
        <f t="shared" si="8"/>
        <v>4.5977239286553605E-7</v>
      </c>
      <c r="U119" s="3">
        <f t="shared" si="8"/>
        <v>5.7779891322982772E-3</v>
      </c>
      <c r="V119" s="3">
        <f t="shared" si="8"/>
        <v>5.5846913047837975E-4</v>
      </c>
      <c r="W119" s="3">
        <f t="shared" si="8"/>
        <v>1.7781653616306278E-4</v>
      </c>
      <c r="X119" s="3">
        <f t="shared" si="8"/>
        <v>1.2769876566366087E-2</v>
      </c>
      <c r="Y119" s="3">
        <f t="shared" si="8"/>
        <v>1.678169208113605E-2</v>
      </c>
      <c r="Z119" s="3">
        <f t="shared" si="8"/>
        <v>3.1053186309420457E-7</v>
      </c>
      <c r="AA119" s="3">
        <f t="shared" si="8"/>
        <v>3.1192014446087728E-8</v>
      </c>
      <c r="AB119" s="3">
        <f t="shared" si="8"/>
        <v>1.875876091671171E-7</v>
      </c>
      <c r="AC119" s="5">
        <f t="shared" si="5"/>
        <v>3.0408316023939523</v>
      </c>
    </row>
    <row r="120" spans="1:29" s="3" customFormat="1" x14ac:dyDescent="0.25">
      <c r="A120" s="3" t="s">
        <v>47</v>
      </c>
      <c r="B120" s="3">
        <v>2035</v>
      </c>
      <c r="C120" s="3" t="s">
        <v>69</v>
      </c>
      <c r="D120" s="3" t="s">
        <v>6</v>
      </c>
      <c r="E120" s="3" t="s">
        <v>9</v>
      </c>
      <c r="F120" s="3" t="s">
        <v>53</v>
      </c>
      <c r="G120" s="3">
        <f t="shared" si="9"/>
        <v>1.5595644436983498</v>
      </c>
      <c r="H120" s="3">
        <f t="shared" si="8"/>
        <v>0.47810985819305757</v>
      </c>
      <c r="I120" s="3">
        <f t="shared" si="8"/>
        <v>1.3112250492183703E-13</v>
      </c>
      <c r="J120" s="3">
        <f t="shared" si="8"/>
        <v>2.6367450405238557E-5</v>
      </c>
      <c r="K120" s="3">
        <f t="shared" si="8"/>
        <v>0.26950263759059068</v>
      </c>
      <c r="L120" s="3">
        <f t="shared" si="8"/>
        <v>8.0666915314791324E-2</v>
      </c>
      <c r="M120" s="3">
        <f t="shared" si="8"/>
        <v>4.2217652878966063E-6</v>
      </c>
      <c r="N120" s="3">
        <f t="shared" si="8"/>
        <v>5.5252055116117333E-10</v>
      </c>
      <c r="O120" s="3">
        <f t="shared" si="8"/>
        <v>4.0177753129776423E-5</v>
      </c>
      <c r="P120" s="3">
        <f t="shared" si="8"/>
        <v>5.1977559206403928E-5</v>
      </c>
      <c r="Q120" s="3">
        <f t="shared" si="8"/>
        <v>0.55639958799562661</v>
      </c>
      <c r="R120" s="3">
        <f t="shared" si="8"/>
        <v>6.0398232154511879E-2</v>
      </c>
      <c r="S120" s="3">
        <f t="shared" si="8"/>
        <v>3.4983602210781447E-7</v>
      </c>
      <c r="T120" s="3">
        <f t="shared" si="8"/>
        <v>4.5977239286553605E-7</v>
      </c>
      <c r="U120" s="3">
        <f t="shared" si="8"/>
        <v>5.7779891322982772E-3</v>
      </c>
      <c r="V120" s="3">
        <f t="shared" si="8"/>
        <v>5.5846913047837975E-4</v>
      </c>
      <c r="W120" s="3">
        <f t="shared" si="8"/>
        <v>1.7781653616306278E-4</v>
      </c>
      <c r="X120" s="3">
        <f t="shared" si="8"/>
        <v>1.2769876566366087E-2</v>
      </c>
      <c r="Y120" s="3">
        <f t="shared" si="8"/>
        <v>1.678169208113605E-2</v>
      </c>
      <c r="Z120" s="3">
        <f t="shared" si="8"/>
        <v>3.1053186309420457E-7</v>
      </c>
      <c r="AA120" s="3">
        <f t="shared" si="8"/>
        <v>3.1192014446087728E-8</v>
      </c>
      <c r="AB120" s="3">
        <f t="shared" si="8"/>
        <v>1.875876091671171E-7</v>
      </c>
      <c r="AC120" s="5">
        <f t="shared" si="5"/>
        <v>3.0408316023939523</v>
      </c>
    </row>
    <row r="121" spans="1:29" s="3" customFormat="1" x14ac:dyDescent="0.25">
      <c r="A121" s="3" t="s">
        <v>47</v>
      </c>
      <c r="B121" s="3">
        <v>2040</v>
      </c>
      <c r="C121" s="3" t="s">
        <v>69</v>
      </c>
      <c r="D121" s="3" t="s">
        <v>6</v>
      </c>
      <c r="E121" s="3" t="s">
        <v>9</v>
      </c>
      <c r="F121" s="3" t="s">
        <v>53</v>
      </c>
      <c r="G121" s="3">
        <f t="shared" si="9"/>
        <v>1.5595644436983498</v>
      </c>
      <c r="H121" s="3">
        <f t="shared" si="8"/>
        <v>0.47810985819305757</v>
      </c>
      <c r="I121" s="3">
        <f t="shared" si="8"/>
        <v>1.3112250492183703E-13</v>
      </c>
      <c r="J121" s="3">
        <f t="shared" si="8"/>
        <v>2.6367450405238557E-5</v>
      </c>
      <c r="K121" s="3">
        <f t="shared" si="8"/>
        <v>0.26950263759059068</v>
      </c>
      <c r="L121" s="3">
        <f t="shared" si="8"/>
        <v>8.0666915314791324E-2</v>
      </c>
      <c r="M121" s="3">
        <f t="shared" si="8"/>
        <v>4.2217652878966063E-6</v>
      </c>
      <c r="N121" s="3">
        <f t="shared" si="8"/>
        <v>5.5252055116117333E-10</v>
      </c>
      <c r="O121" s="3">
        <f t="shared" si="8"/>
        <v>4.0177753129776423E-5</v>
      </c>
      <c r="P121" s="3">
        <f t="shared" si="8"/>
        <v>5.1977559206403928E-5</v>
      </c>
      <c r="Q121" s="3">
        <f t="shared" si="8"/>
        <v>0.55639958799562661</v>
      </c>
      <c r="R121" s="3">
        <f t="shared" si="8"/>
        <v>6.0398232154511879E-2</v>
      </c>
      <c r="S121" s="3">
        <f t="shared" si="8"/>
        <v>3.4983602210781447E-7</v>
      </c>
      <c r="T121" s="3">
        <f t="shared" si="8"/>
        <v>4.5977239286553605E-7</v>
      </c>
      <c r="U121" s="3">
        <f t="shared" si="8"/>
        <v>5.7779891322982772E-3</v>
      </c>
      <c r="V121" s="3">
        <f t="shared" si="8"/>
        <v>5.5846913047837975E-4</v>
      </c>
      <c r="W121" s="3">
        <f t="shared" si="8"/>
        <v>1.7781653616306278E-4</v>
      </c>
      <c r="X121" s="3">
        <f t="shared" si="8"/>
        <v>1.2769876566366087E-2</v>
      </c>
      <c r="Y121" s="3">
        <f t="shared" si="8"/>
        <v>1.678169208113605E-2</v>
      </c>
      <c r="Z121" s="3">
        <f t="shared" si="8"/>
        <v>3.1053186309420457E-7</v>
      </c>
      <c r="AA121" s="3">
        <f t="shared" si="8"/>
        <v>3.1192014446087728E-8</v>
      </c>
      <c r="AB121" s="3">
        <f t="shared" si="8"/>
        <v>1.875876091671171E-7</v>
      </c>
      <c r="AC121" s="5">
        <f t="shared" si="5"/>
        <v>3.0408316023939523</v>
      </c>
    </row>
    <row r="122" spans="1:29" s="3" customFormat="1" x14ac:dyDescent="0.25">
      <c r="A122" s="3" t="s">
        <v>47</v>
      </c>
      <c r="B122" s="3">
        <v>2020</v>
      </c>
      <c r="C122" s="3" t="s">
        <v>70</v>
      </c>
      <c r="D122" s="3" t="s">
        <v>51</v>
      </c>
      <c r="E122" s="3" t="s">
        <v>9</v>
      </c>
      <c r="F122" s="3" t="s">
        <v>53</v>
      </c>
      <c r="G122" s="3">
        <f t="shared" si="9"/>
        <v>5.031047747112785</v>
      </c>
      <c r="H122" s="3">
        <f t="shared" si="8"/>
        <v>1.5712871643396451</v>
      </c>
      <c r="I122" s="3">
        <f t="shared" si="8"/>
        <v>2.4481860058465994E-13</v>
      </c>
      <c r="J122" s="3">
        <f t="shared" si="8"/>
        <v>1.6915407254121397E-5</v>
      </c>
      <c r="K122" s="3">
        <f t="shared" si="8"/>
        <v>15.318665955086585</v>
      </c>
      <c r="L122" s="3">
        <f t="shared" si="8"/>
        <v>1.4527211742329469</v>
      </c>
      <c r="M122" s="3">
        <f t="shared" si="8"/>
        <v>2.4776669329371724E-6</v>
      </c>
      <c r="N122" s="3">
        <f t="shared" si="8"/>
        <v>3.4819626601022654E-10</v>
      </c>
      <c r="O122" s="3">
        <f t="shared" si="8"/>
        <v>4.4142785476160966E-5</v>
      </c>
      <c r="P122" s="3">
        <f t="shared" si="8"/>
        <v>4.8785681412179911E-5</v>
      </c>
      <c r="Q122" s="3">
        <f t="shared" si="8"/>
        <v>2.0008124687011222</v>
      </c>
      <c r="R122" s="3">
        <f t="shared" si="8"/>
        <v>0.21715732081775729</v>
      </c>
      <c r="S122" s="3">
        <f t="shared" si="8"/>
        <v>2.6273446717854301E-4</v>
      </c>
      <c r="T122" s="3">
        <f t="shared" si="8"/>
        <v>1.8667372249127581E-4</v>
      </c>
      <c r="U122" s="3">
        <f t="shared" si="8"/>
        <v>1.5337826176895174E-2</v>
      </c>
      <c r="V122" s="3">
        <f t="shared" si="8"/>
        <v>8.8213247031060274E-4</v>
      </c>
      <c r="W122" s="3">
        <f t="shared" si="8"/>
        <v>1.1406503936933978E-4</v>
      </c>
      <c r="X122" s="3">
        <f t="shared" si="8"/>
        <v>9.589808968788418</v>
      </c>
      <c r="Y122" s="3">
        <f t="shared" si="8"/>
        <v>6.8135909268675832</v>
      </c>
      <c r="Z122" s="3">
        <f t="shared" si="8"/>
        <v>1.9146978623639718E-7</v>
      </c>
      <c r="AA122" s="3">
        <f t="shared" si="8"/>
        <v>1.8582859085623669E-8</v>
      </c>
      <c r="AB122" s="3">
        <f t="shared" si="8"/>
        <v>1.7605527440444591E-7</v>
      </c>
      <c r="AC122" s="5">
        <f t="shared" si="5"/>
        <v>42.011987865820529</v>
      </c>
    </row>
    <row r="123" spans="1:29" s="3" customFormat="1" x14ac:dyDescent="0.25">
      <c r="A123" s="3" t="s">
        <v>47</v>
      </c>
      <c r="B123" s="3">
        <v>2025</v>
      </c>
      <c r="C123" s="3" t="s">
        <v>70</v>
      </c>
      <c r="D123" s="3" t="s">
        <v>51</v>
      </c>
      <c r="E123" s="3" t="s">
        <v>9</v>
      </c>
      <c r="F123" s="3" t="s">
        <v>53</v>
      </c>
      <c r="G123" s="3">
        <f t="shared" si="9"/>
        <v>5.031047747112785</v>
      </c>
      <c r="H123" s="3">
        <f t="shared" si="8"/>
        <v>1.5712871643396451</v>
      </c>
      <c r="I123" s="3">
        <f t="shared" si="8"/>
        <v>2.4481860058465994E-13</v>
      </c>
      <c r="J123" s="3">
        <f t="shared" si="8"/>
        <v>1.6915407254121397E-5</v>
      </c>
      <c r="K123" s="3">
        <f t="shared" si="8"/>
        <v>15.318665955086585</v>
      </c>
      <c r="L123" s="3">
        <f t="shared" si="8"/>
        <v>1.4527211742329469</v>
      </c>
      <c r="M123" s="3">
        <f t="shared" si="8"/>
        <v>2.4776669329371724E-6</v>
      </c>
      <c r="N123" s="3">
        <f t="shared" si="8"/>
        <v>3.4819626601022654E-10</v>
      </c>
      <c r="O123" s="3">
        <f t="shared" si="8"/>
        <v>4.4142785476160966E-5</v>
      </c>
      <c r="P123" s="3">
        <f t="shared" si="8"/>
        <v>4.8785681412179911E-5</v>
      </c>
      <c r="Q123" s="3">
        <f t="shared" si="8"/>
        <v>2.0008124687011222</v>
      </c>
      <c r="R123" s="3">
        <f t="shared" si="8"/>
        <v>0.21715732081775729</v>
      </c>
      <c r="S123" s="3">
        <f t="shared" si="8"/>
        <v>2.6273446717854301E-4</v>
      </c>
      <c r="T123" s="3">
        <f t="shared" si="8"/>
        <v>1.8667372249127581E-4</v>
      </c>
      <c r="U123" s="3">
        <f t="shared" si="8"/>
        <v>1.5337826176895174E-2</v>
      </c>
      <c r="V123" s="3">
        <f t="shared" si="8"/>
        <v>8.8213247031060274E-4</v>
      </c>
      <c r="W123" s="3">
        <f t="shared" si="8"/>
        <v>1.1406503936933978E-4</v>
      </c>
      <c r="X123" s="3">
        <f t="shared" si="8"/>
        <v>9.589808968788418</v>
      </c>
      <c r="Y123" s="3">
        <f t="shared" si="8"/>
        <v>6.8135909268675832</v>
      </c>
      <c r="Z123" s="3">
        <f t="shared" si="8"/>
        <v>1.9146978623639718E-7</v>
      </c>
      <c r="AA123" s="3">
        <f t="shared" si="8"/>
        <v>1.8582859085623669E-8</v>
      </c>
      <c r="AB123" s="3">
        <f t="shared" si="8"/>
        <v>1.7605527440444591E-7</v>
      </c>
      <c r="AC123" s="5">
        <f t="shared" si="5"/>
        <v>42.011987865820529</v>
      </c>
    </row>
    <row r="124" spans="1:29" s="3" customFormat="1" x14ac:dyDescent="0.25">
      <c r="A124" s="3" t="s">
        <v>47</v>
      </c>
      <c r="B124" s="3">
        <v>2030</v>
      </c>
      <c r="C124" s="3" t="s">
        <v>70</v>
      </c>
      <c r="D124" s="3" t="s">
        <v>51</v>
      </c>
      <c r="E124" s="3" t="s">
        <v>9</v>
      </c>
      <c r="F124" s="3" t="s">
        <v>53</v>
      </c>
      <c r="G124" s="3">
        <f t="shared" si="9"/>
        <v>5.031047747112785</v>
      </c>
      <c r="H124" s="3">
        <f t="shared" si="8"/>
        <v>1.5712871643396451</v>
      </c>
      <c r="I124" s="3">
        <f t="shared" si="8"/>
        <v>2.4481860058465994E-13</v>
      </c>
      <c r="J124" s="3">
        <f t="shared" si="8"/>
        <v>1.6915407254121397E-5</v>
      </c>
      <c r="K124" s="3">
        <f t="shared" si="8"/>
        <v>15.318665955086585</v>
      </c>
      <c r="L124" s="3">
        <f t="shared" si="8"/>
        <v>1.4527211742329469</v>
      </c>
      <c r="M124" s="3">
        <f t="shared" si="8"/>
        <v>2.4776669329371724E-6</v>
      </c>
      <c r="N124" s="3">
        <f t="shared" si="8"/>
        <v>3.4819626601022654E-10</v>
      </c>
      <c r="O124" s="3">
        <f t="shared" si="8"/>
        <v>4.4142785476160966E-5</v>
      </c>
      <c r="P124" s="3">
        <f t="shared" si="8"/>
        <v>4.8785681412179911E-5</v>
      </c>
      <c r="Q124" s="3">
        <f t="shared" si="8"/>
        <v>2.0008124687011222</v>
      </c>
      <c r="R124" s="3">
        <f t="shared" si="8"/>
        <v>0.21715732081775729</v>
      </c>
      <c r="S124" s="3">
        <f t="shared" si="8"/>
        <v>2.6273446717854301E-4</v>
      </c>
      <c r="T124" s="3">
        <f t="shared" si="8"/>
        <v>1.8667372249127581E-4</v>
      </c>
      <c r="U124" s="3">
        <f t="shared" si="8"/>
        <v>1.5337826176895174E-2</v>
      </c>
      <c r="V124" s="3">
        <f t="shared" si="8"/>
        <v>8.8213247031060274E-4</v>
      </c>
      <c r="W124" s="3">
        <f t="shared" si="8"/>
        <v>1.1406503936933978E-4</v>
      </c>
      <c r="X124" s="3">
        <f t="shared" si="8"/>
        <v>9.589808968788418</v>
      </c>
      <c r="Y124" s="3">
        <f t="shared" si="8"/>
        <v>6.8135909268675832</v>
      </c>
      <c r="Z124" s="3">
        <f t="shared" si="8"/>
        <v>1.9146978623639718E-7</v>
      </c>
      <c r="AA124" s="3">
        <f t="shared" si="8"/>
        <v>1.8582859085623669E-8</v>
      </c>
      <c r="AB124" s="3">
        <f t="shared" si="8"/>
        <v>1.7605527440444591E-7</v>
      </c>
      <c r="AC124" s="5">
        <f t="shared" si="5"/>
        <v>42.011987865820529</v>
      </c>
    </row>
    <row r="125" spans="1:29" s="3" customFormat="1" x14ac:dyDescent="0.25">
      <c r="A125" s="3" t="s">
        <v>47</v>
      </c>
      <c r="B125" s="3">
        <v>2035</v>
      </c>
      <c r="C125" s="3" t="s">
        <v>70</v>
      </c>
      <c r="D125" s="3" t="s">
        <v>51</v>
      </c>
      <c r="E125" s="3" t="s">
        <v>9</v>
      </c>
      <c r="F125" s="3" t="s">
        <v>53</v>
      </c>
      <c r="G125" s="3">
        <f t="shared" si="9"/>
        <v>5.031047747112785</v>
      </c>
      <c r="H125" s="3">
        <f t="shared" si="8"/>
        <v>1.5712871643396451</v>
      </c>
      <c r="I125" s="3">
        <f t="shared" si="8"/>
        <v>2.4481860058465994E-13</v>
      </c>
      <c r="J125" s="3">
        <f t="shared" si="8"/>
        <v>1.6915407254121397E-5</v>
      </c>
      <c r="K125" s="3">
        <f t="shared" si="8"/>
        <v>15.318665955086585</v>
      </c>
      <c r="L125" s="3">
        <f t="shared" si="8"/>
        <v>1.4527211742329469</v>
      </c>
      <c r="M125" s="3">
        <f t="shared" si="8"/>
        <v>2.4776669329371724E-6</v>
      </c>
      <c r="N125" s="3">
        <f t="shared" si="8"/>
        <v>3.4819626601022654E-10</v>
      </c>
      <c r="O125" s="3">
        <f t="shared" si="8"/>
        <v>4.4142785476160966E-5</v>
      </c>
      <c r="P125" s="3">
        <f t="shared" si="8"/>
        <v>4.8785681412179911E-5</v>
      </c>
      <c r="Q125" s="3">
        <f t="shared" si="8"/>
        <v>2.0008124687011222</v>
      </c>
      <c r="R125" s="3">
        <f t="shared" si="8"/>
        <v>0.21715732081775729</v>
      </c>
      <c r="S125" s="3">
        <f t="shared" si="8"/>
        <v>2.6273446717854301E-4</v>
      </c>
      <c r="T125" s="3">
        <f t="shared" si="8"/>
        <v>1.8667372249127581E-4</v>
      </c>
      <c r="U125" s="3">
        <f t="shared" si="8"/>
        <v>1.5337826176895174E-2</v>
      </c>
      <c r="V125" s="3">
        <f t="shared" si="8"/>
        <v>8.8213247031060274E-4</v>
      </c>
      <c r="W125" s="3">
        <f t="shared" si="8"/>
        <v>1.1406503936933978E-4</v>
      </c>
      <c r="X125" s="3">
        <f t="shared" si="8"/>
        <v>9.589808968788418</v>
      </c>
      <c r="Y125" s="3">
        <f t="shared" si="8"/>
        <v>6.8135909268675832</v>
      </c>
      <c r="Z125" s="3">
        <f t="shared" si="8"/>
        <v>1.9146978623639718E-7</v>
      </c>
      <c r="AA125" s="3">
        <f t="shared" si="8"/>
        <v>1.8582859085623669E-8</v>
      </c>
      <c r="AB125" s="3">
        <f t="shared" si="8"/>
        <v>1.7605527440444591E-7</v>
      </c>
      <c r="AC125" s="5">
        <f t="shared" si="5"/>
        <v>42.011987865820529</v>
      </c>
    </row>
    <row r="126" spans="1:29" s="3" customFormat="1" x14ac:dyDescent="0.25">
      <c r="A126" s="3" t="s">
        <v>47</v>
      </c>
      <c r="B126" s="3">
        <v>2040</v>
      </c>
      <c r="C126" s="3" t="s">
        <v>70</v>
      </c>
      <c r="D126" s="3" t="s">
        <v>51</v>
      </c>
      <c r="E126" s="3" t="s">
        <v>9</v>
      </c>
      <c r="F126" s="3" t="s">
        <v>53</v>
      </c>
      <c r="G126" s="3">
        <f t="shared" si="9"/>
        <v>5.031047747112785</v>
      </c>
      <c r="H126" s="3">
        <f t="shared" si="8"/>
        <v>1.5712871643396451</v>
      </c>
      <c r="I126" s="3">
        <f t="shared" si="8"/>
        <v>2.4481860058465994E-13</v>
      </c>
      <c r="J126" s="3">
        <f t="shared" si="8"/>
        <v>1.6915407254121397E-5</v>
      </c>
      <c r="K126" s="3">
        <f t="shared" si="8"/>
        <v>15.318665955086585</v>
      </c>
      <c r="L126" s="3">
        <f t="shared" si="8"/>
        <v>1.4527211742329469</v>
      </c>
      <c r="M126" s="3">
        <f t="shared" si="8"/>
        <v>2.4776669329371724E-6</v>
      </c>
      <c r="N126" s="3">
        <f t="shared" si="8"/>
        <v>3.4819626601022654E-10</v>
      </c>
      <c r="O126" s="3">
        <f t="shared" si="8"/>
        <v>4.4142785476160966E-5</v>
      </c>
      <c r="P126" s="3">
        <f t="shared" si="8"/>
        <v>4.8785681412179911E-5</v>
      </c>
      <c r="Q126" s="3">
        <f t="shared" si="8"/>
        <v>2.0008124687011222</v>
      </c>
      <c r="R126" s="3">
        <f t="shared" si="8"/>
        <v>0.21715732081775729</v>
      </c>
      <c r="S126" s="3">
        <f t="shared" si="8"/>
        <v>2.6273446717854301E-4</v>
      </c>
      <c r="T126" s="3">
        <f t="shared" si="8"/>
        <v>1.8667372249127581E-4</v>
      </c>
      <c r="U126" s="3">
        <f t="shared" si="8"/>
        <v>1.5337826176895174E-2</v>
      </c>
      <c r="V126" s="3">
        <f t="shared" si="8"/>
        <v>8.8213247031060274E-4</v>
      </c>
      <c r="W126" s="3">
        <f t="shared" si="8"/>
        <v>1.1406503936933978E-4</v>
      </c>
      <c r="X126" s="3">
        <f t="shared" si="8"/>
        <v>9.589808968788418</v>
      </c>
      <c r="Y126" s="3">
        <f t="shared" si="8"/>
        <v>6.8135909268675832</v>
      </c>
      <c r="Z126" s="3">
        <f t="shared" si="8"/>
        <v>1.9146978623639718E-7</v>
      </c>
      <c r="AA126" s="3">
        <f t="shared" si="8"/>
        <v>1.8582859085623669E-8</v>
      </c>
      <c r="AB126" s="3">
        <f t="shared" si="8"/>
        <v>1.7605527440444591E-7</v>
      </c>
      <c r="AC126" s="5">
        <f t="shared" si="5"/>
        <v>42.011987865820529</v>
      </c>
    </row>
    <row r="127" spans="1:29" x14ac:dyDescent="0.25">
      <c r="A127" t="s">
        <v>47</v>
      </c>
      <c r="B127">
        <v>2020</v>
      </c>
      <c r="C127" t="s">
        <v>69</v>
      </c>
      <c r="D127" t="s">
        <v>6</v>
      </c>
      <c r="E127" t="s">
        <v>9</v>
      </c>
      <c r="F127" t="s">
        <v>55</v>
      </c>
      <c r="G127">
        <v>1.747035418655998</v>
      </c>
      <c r="H127">
        <v>0.53596254668101451</v>
      </c>
      <c r="I127">
        <v>1.495581643535615E-13</v>
      </c>
      <c r="J127">
        <v>2.7853394683886409E-5</v>
      </c>
      <c r="K127">
        <v>0.29483665980293272</v>
      </c>
      <c r="L127">
        <v>8.9380495502217272E-2</v>
      </c>
      <c r="M127">
        <v>4.2290893639667402E-6</v>
      </c>
      <c r="N127">
        <v>5.5677054729872249E-10</v>
      </c>
      <c r="O127">
        <v>4.1423371435263771E-5</v>
      </c>
      <c r="P127">
        <v>5.3314936855647799E-5</v>
      </c>
      <c r="Q127">
        <v>0.62316666789287534</v>
      </c>
      <c r="R127">
        <v>6.7645919867415416E-2</v>
      </c>
      <c r="S127">
        <v>3.7272651739723971E-7</v>
      </c>
      <c r="T127">
        <v>4.9088271604068989E-7</v>
      </c>
      <c r="U127">
        <v>6.7125563064359363E-3</v>
      </c>
      <c r="V127">
        <v>6.1601134819582793E-4</v>
      </c>
      <c r="W127">
        <v>1.8762237711867071E-4</v>
      </c>
      <c r="X127">
        <v>1.360543146205058E-2</v>
      </c>
      <c r="Y127">
        <v>1.7917218860538708E-2</v>
      </c>
      <c r="Z127">
        <v>3.1296800822999608E-7</v>
      </c>
      <c r="AA127">
        <v>3.1384718715528662E-8</v>
      </c>
      <c r="AB127">
        <v>2.026247866157975E-7</v>
      </c>
      <c r="AC127" s="5">
        <f t="shared" si="5"/>
        <v>3.3971947806927991</v>
      </c>
    </row>
    <row r="128" spans="1:29" x14ac:dyDescent="0.25">
      <c r="A128" t="s">
        <v>47</v>
      </c>
      <c r="B128">
        <v>2025</v>
      </c>
      <c r="C128" t="s">
        <v>69</v>
      </c>
      <c r="D128" t="s">
        <v>6</v>
      </c>
      <c r="E128" t="s">
        <v>9</v>
      </c>
      <c r="F128" t="s">
        <v>55</v>
      </c>
      <c r="G128">
        <v>1.747035418655998</v>
      </c>
      <c r="H128">
        <v>0.53596254668101451</v>
      </c>
      <c r="I128">
        <v>1.495581643535615E-13</v>
      </c>
      <c r="J128">
        <v>2.7853394683886409E-5</v>
      </c>
      <c r="K128">
        <v>0.29483665980293272</v>
      </c>
      <c r="L128">
        <v>8.9380495502217272E-2</v>
      </c>
      <c r="M128">
        <v>4.2290893639667402E-6</v>
      </c>
      <c r="N128">
        <v>5.5677054729872249E-10</v>
      </c>
      <c r="O128">
        <v>4.1423371435263771E-5</v>
      </c>
      <c r="P128">
        <v>5.3314936855647799E-5</v>
      </c>
      <c r="Q128">
        <v>0.62316666789287534</v>
      </c>
      <c r="R128">
        <v>6.7645919867415416E-2</v>
      </c>
      <c r="S128">
        <v>3.7272651739723971E-7</v>
      </c>
      <c r="T128">
        <v>4.9088271604068989E-7</v>
      </c>
      <c r="U128">
        <v>6.7125563064359363E-3</v>
      </c>
      <c r="V128">
        <v>6.1601134819582793E-4</v>
      </c>
      <c r="W128">
        <v>1.8762237711867071E-4</v>
      </c>
      <c r="X128">
        <v>1.360543146205058E-2</v>
      </c>
      <c r="Y128">
        <v>1.7917218860538708E-2</v>
      </c>
      <c r="Z128">
        <v>3.1296800822999608E-7</v>
      </c>
      <c r="AA128">
        <v>3.1384718715528662E-8</v>
      </c>
      <c r="AB128">
        <v>2.026247866157975E-7</v>
      </c>
      <c r="AC128" s="5">
        <f t="shared" si="5"/>
        <v>3.3971947806927991</v>
      </c>
    </row>
    <row r="129" spans="1:29" x14ac:dyDescent="0.25">
      <c r="A129" t="s">
        <v>47</v>
      </c>
      <c r="B129">
        <v>2030</v>
      </c>
      <c r="C129" t="s">
        <v>69</v>
      </c>
      <c r="D129" t="s">
        <v>6</v>
      </c>
      <c r="E129" t="s">
        <v>9</v>
      </c>
      <c r="F129" t="s">
        <v>55</v>
      </c>
      <c r="G129">
        <v>1.747035418655998</v>
      </c>
      <c r="H129">
        <v>0.53596254668101451</v>
      </c>
      <c r="I129">
        <v>1.495581643535615E-13</v>
      </c>
      <c r="J129">
        <v>2.7853394683886409E-5</v>
      </c>
      <c r="K129">
        <v>0.29483665980293272</v>
      </c>
      <c r="L129">
        <v>8.9380495502217272E-2</v>
      </c>
      <c r="M129">
        <v>4.2290893639667402E-6</v>
      </c>
      <c r="N129">
        <v>5.5677054729872249E-10</v>
      </c>
      <c r="O129">
        <v>4.1423371435263771E-5</v>
      </c>
      <c r="P129">
        <v>5.3314936855647799E-5</v>
      </c>
      <c r="Q129">
        <v>0.62316666789287534</v>
      </c>
      <c r="R129">
        <v>6.7645919867415416E-2</v>
      </c>
      <c r="S129">
        <v>3.7272651739723971E-7</v>
      </c>
      <c r="T129">
        <v>4.9088271604068989E-7</v>
      </c>
      <c r="U129">
        <v>6.7125563064359363E-3</v>
      </c>
      <c r="V129">
        <v>6.1601134819582793E-4</v>
      </c>
      <c r="W129">
        <v>1.8762237711867071E-4</v>
      </c>
      <c r="X129">
        <v>1.360543146205058E-2</v>
      </c>
      <c r="Y129">
        <v>1.7917218860538708E-2</v>
      </c>
      <c r="Z129">
        <v>3.1296800822999608E-7</v>
      </c>
      <c r="AA129">
        <v>3.1384718715528662E-8</v>
      </c>
      <c r="AB129">
        <v>2.026247866157975E-7</v>
      </c>
      <c r="AC129" s="5">
        <f t="shared" si="5"/>
        <v>3.3971947806927991</v>
      </c>
    </row>
    <row r="130" spans="1:29" x14ac:dyDescent="0.25">
      <c r="A130" t="s">
        <v>47</v>
      </c>
      <c r="B130">
        <v>2035</v>
      </c>
      <c r="C130" t="s">
        <v>69</v>
      </c>
      <c r="D130" t="s">
        <v>6</v>
      </c>
      <c r="E130" t="s">
        <v>9</v>
      </c>
      <c r="F130" t="s">
        <v>55</v>
      </c>
      <c r="G130">
        <v>1.747035418655998</v>
      </c>
      <c r="H130">
        <v>0.53596254668101451</v>
      </c>
      <c r="I130">
        <v>1.495581643535615E-13</v>
      </c>
      <c r="J130">
        <v>2.7853394683886409E-5</v>
      </c>
      <c r="K130">
        <v>0.29483665980293272</v>
      </c>
      <c r="L130">
        <v>8.9380495502217272E-2</v>
      </c>
      <c r="M130">
        <v>4.2290893639667402E-6</v>
      </c>
      <c r="N130">
        <v>5.5677054729872249E-10</v>
      </c>
      <c r="O130">
        <v>4.1423371435263771E-5</v>
      </c>
      <c r="P130">
        <v>5.3314936855647799E-5</v>
      </c>
      <c r="Q130">
        <v>0.62316666789287534</v>
      </c>
      <c r="R130">
        <v>6.7645919867415416E-2</v>
      </c>
      <c r="S130">
        <v>3.7272651739723971E-7</v>
      </c>
      <c r="T130">
        <v>4.9088271604068989E-7</v>
      </c>
      <c r="U130">
        <v>6.7125563064359363E-3</v>
      </c>
      <c r="V130">
        <v>6.1601134819582793E-4</v>
      </c>
      <c r="W130">
        <v>1.8762237711867071E-4</v>
      </c>
      <c r="X130">
        <v>1.360543146205058E-2</v>
      </c>
      <c r="Y130">
        <v>1.7917218860538708E-2</v>
      </c>
      <c r="Z130">
        <v>3.1296800822999608E-7</v>
      </c>
      <c r="AA130">
        <v>3.1384718715528662E-8</v>
      </c>
      <c r="AB130">
        <v>2.026247866157975E-7</v>
      </c>
      <c r="AC130" s="5">
        <f t="shared" si="5"/>
        <v>3.3971947806927991</v>
      </c>
    </row>
    <row r="131" spans="1:29" x14ac:dyDescent="0.25">
      <c r="A131" t="s">
        <v>47</v>
      </c>
      <c r="B131">
        <v>2040</v>
      </c>
      <c r="C131" t="s">
        <v>69</v>
      </c>
      <c r="D131" t="s">
        <v>6</v>
      </c>
      <c r="E131" t="s">
        <v>9</v>
      </c>
      <c r="F131" t="s">
        <v>55</v>
      </c>
      <c r="G131">
        <v>1.747035418655998</v>
      </c>
      <c r="H131">
        <v>0.53596254668101451</v>
      </c>
      <c r="I131">
        <v>1.495581643535615E-13</v>
      </c>
      <c r="J131">
        <v>2.7853394683886409E-5</v>
      </c>
      <c r="K131">
        <v>0.29483665980293272</v>
      </c>
      <c r="L131">
        <v>8.9380495502217272E-2</v>
      </c>
      <c r="M131">
        <v>4.2290893639667402E-6</v>
      </c>
      <c r="N131">
        <v>5.5677054729872249E-10</v>
      </c>
      <c r="O131">
        <v>4.1423371435263771E-5</v>
      </c>
      <c r="P131">
        <v>5.3314936855647799E-5</v>
      </c>
      <c r="Q131">
        <v>0.62316666789287534</v>
      </c>
      <c r="R131">
        <v>6.7645919867415416E-2</v>
      </c>
      <c r="S131">
        <v>3.7272651739723971E-7</v>
      </c>
      <c r="T131">
        <v>4.9088271604068989E-7</v>
      </c>
      <c r="U131">
        <v>6.7125563064359363E-3</v>
      </c>
      <c r="V131">
        <v>6.1601134819582793E-4</v>
      </c>
      <c r="W131">
        <v>1.8762237711867071E-4</v>
      </c>
      <c r="X131">
        <v>1.360543146205058E-2</v>
      </c>
      <c r="Y131">
        <v>1.7917218860538708E-2</v>
      </c>
      <c r="Z131">
        <v>3.1296800822999608E-7</v>
      </c>
      <c r="AA131">
        <v>3.1384718715528662E-8</v>
      </c>
      <c r="AB131">
        <v>2.026247866157975E-7</v>
      </c>
      <c r="AC131" s="5">
        <f t="shared" ref="AC131:AC136" si="10">SUM(G131:AB131)</f>
        <v>3.3971947806927991</v>
      </c>
    </row>
    <row r="132" spans="1:29" x14ac:dyDescent="0.25">
      <c r="A132" t="s">
        <v>47</v>
      </c>
      <c r="B132">
        <v>2020</v>
      </c>
      <c r="C132" t="s">
        <v>70</v>
      </c>
      <c r="D132" t="s">
        <v>51</v>
      </c>
      <c r="E132" t="s">
        <v>9</v>
      </c>
      <c r="F132" t="s">
        <v>55</v>
      </c>
      <c r="G132">
        <v>5.2717918323239621</v>
      </c>
      <c r="H132">
        <v>1.6452822488583889</v>
      </c>
      <c r="I132">
        <v>2.652504143951351E-13</v>
      </c>
      <c r="J132">
        <v>2.0632230246653911E-5</v>
      </c>
      <c r="K132">
        <v>15.35619379167615</v>
      </c>
      <c r="L132">
        <v>1.464507310122233</v>
      </c>
      <c r="M132">
        <v>2.9951235957722921E-6</v>
      </c>
      <c r="N132">
        <v>4.1189648342671917E-10</v>
      </c>
      <c r="O132">
        <v>4.9349907374916033E-5</v>
      </c>
      <c r="P132">
        <v>5.5378335675079771E-5</v>
      </c>
      <c r="Q132">
        <v>2.0866233972458201</v>
      </c>
      <c r="R132">
        <v>0.2264722574952262</v>
      </c>
      <c r="S132">
        <v>2.6277376926063962E-4</v>
      </c>
      <c r="T132">
        <v>1.8672112935890999E-4</v>
      </c>
      <c r="U132">
        <v>1.6327448426464771E-2</v>
      </c>
      <c r="V132">
        <v>9.6712503418466193E-4</v>
      </c>
      <c r="W132">
        <v>1.390545961432214E-4</v>
      </c>
      <c r="X132">
        <v>9.5912436113855808</v>
      </c>
      <c r="Y132">
        <v>6.8153212775100469</v>
      </c>
      <c r="Z132">
        <v>2.3024272521296681E-7</v>
      </c>
      <c r="AA132">
        <v>2.2443134034025649E-8</v>
      </c>
      <c r="AB132">
        <v>2.0369722976205009E-7</v>
      </c>
      <c r="AC132" s="5">
        <f t="shared" si="10"/>
        <v>42.475447661964964</v>
      </c>
    </row>
    <row r="133" spans="1:29" x14ac:dyDescent="0.25">
      <c r="A133" t="s">
        <v>47</v>
      </c>
      <c r="B133">
        <v>2025</v>
      </c>
      <c r="C133" t="s">
        <v>70</v>
      </c>
      <c r="D133" t="s">
        <v>51</v>
      </c>
      <c r="E133" t="s">
        <v>9</v>
      </c>
      <c r="F133" t="s">
        <v>55</v>
      </c>
      <c r="G133">
        <v>5.2717918323239621</v>
      </c>
      <c r="H133">
        <v>1.6452822488583889</v>
      </c>
      <c r="I133">
        <v>2.652504143951351E-13</v>
      </c>
      <c r="J133">
        <v>2.0632230246653911E-5</v>
      </c>
      <c r="K133">
        <v>15.35619379167615</v>
      </c>
      <c r="L133">
        <v>1.464507310122233</v>
      </c>
      <c r="M133">
        <v>2.9951235957722921E-6</v>
      </c>
      <c r="N133">
        <v>4.1189648342671917E-10</v>
      </c>
      <c r="O133">
        <v>4.9349907374916033E-5</v>
      </c>
      <c r="P133">
        <v>5.5378335675079771E-5</v>
      </c>
      <c r="Q133">
        <v>2.0866233972458201</v>
      </c>
      <c r="R133">
        <v>0.2264722574952262</v>
      </c>
      <c r="S133">
        <v>2.6277376926063962E-4</v>
      </c>
      <c r="T133">
        <v>1.8672112935890999E-4</v>
      </c>
      <c r="U133">
        <v>1.6327448426464771E-2</v>
      </c>
      <c r="V133">
        <v>9.6712503418466193E-4</v>
      </c>
      <c r="W133">
        <v>1.390545961432214E-4</v>
      </c>
      <c r="X133">
        <v>9.5912436113855808</v>
      </c>
      <c r="Y133">
        <v>6.8153212775100469</v>
      </c>
      <c r="Z133">
        <v>2.3024272521296681E-7</v>
      </c>
      <c r="AA133">
        <v>2.2443134034025649E-8</v>
      </c>
      <c r="AB133">
        <v>2.0369722976205009E-7</v>
      </c>
      <c r="AC133" s="5">
        <f t="shared" si="10"/>
        <v>42.475447661964964</v>
      </c>
    </row>
    <row r="134" spans="1:29" x14ac:dyDescent="0.25">
      <c r="A134" t="s">
        <v>47</v>
      </c>
      <c r="B134">
        <v>2030</v>
      </c>
      <c r="C134" t="s">
        <v>70</v>
      </c>
      <c r="D134" t="s">
        <v>51</v>
      </c>
      <c r="E134" t="s">
        <v>9</v>
      </c>
      <c r="F134" t="s">
        <v>55</v>
      </c>
      <c r="G134">
        <v>5.2717918323239621</v>
      </c>
      <c r="H134">
        <v>1.6452822488583889</v>
      </c>
      <c r="I134">
        <v>2.652504143951351E-13</v>
      </c>
      <c r="J134">
        <v>2.0632230246653911E-5</v>
      </c>
      <c r="K134">
        <v>15.35619379167615</v>
      </c>
      <c r="L134">
        <v>1.464507310122233</v>
      </c>
      <c r="M134">
        <v>2.9951235957722921E-6</v>
      </c>
      <c r="N134">
        <v>4.1189648342671917E-10</v>
      </c>
      <c r="O134">
        <v>4.9349907374916033E-5</v>
      </c>
      <c r="P134">
        <v>5.5378335675079771E-5</v>
      </c>
      <c r="Q134">
        <v>2.0866233972458201</v>
      </c>
      <c r="R134">
        <v>0.2264722574952262</v>
      </c>
      <c r="S134">
        <v>2.6277376926063962E-4</v>
      </c>
      <c r="T134">
        <v>1.8672112935890999E-4</v>
      </c>
      <c r="U134">
        <v>1.6327448426464771E-2</v>
      </c>
      <c r="V134">
        <v>9.6712503418466193E-4</v>
      </c>
      <c r="W134">
        <v>1.390545961432214E-4</v>
      </c>
      <c r="X134">
        <v>9.5912436113855808</v>
      </c>
      <c r="Y134">
        <v>6.8153212775100469</v>
      </c>
      <c r="Z134">
        <v>2.3024272521296681E-7</v>
      </c>
      <c r="AA134">
        <v>2.2443134034025649E-8</v>
      </c>
      <c r="AB134">
        <v>2.0369722976205009E-7</v>
      </c>
      <c r="AC134" s="5">
        <f t="shared" si="10"/>
        <v>42.475447661964964</v>
      </c>
    </row>
    <row r="135" spans="1:29" x14ac:dyDescent="0.25">
      <c r="A135" t="s">
        <v>47</v>
      </c>
      <c r="B135">
        <v>2035</v>
      </c>
      <c r="C135" t="s">
        <v>70</v>
      </c>
      <c r="D135" t="s">
        <v>51</v>
      </c>
      <c r="E135" t="s">
        <v>9</v>
      </c>
      <c r="F135" t="s">
        <v>55</v>
      </c>
      <c r="G135">
        <v>5.2717918323239621</v>
      </c>
      <c r="H135">
        <v>1.6452822488583889</v>
      </c>
      <c r="I135">
        <v>2.652504143951351E-13</v>
      </c>
      <c r="J135">
        <v>2.0632230246653911E-5</v>
      </c>
      <c r="K135">
        <v>15.35619379167615</v>
      </c>
      <c r="L135">
        <v>1.464507310122233</v>
      </c>
      <c r="M135">
        <v>2.9951235957722921E-6</v>
      </c>
      <c r="N135">
        <v>4.1189648342671917E-10</v>
      </c>
      <c r="O135">
        <v>4.9349907374916033E-5</v>
      </c>
      <c r="P135">
        <v>5.5378335675079771E-5</v>
      </c>
      <c r="Q135">
        <v>2.0866233972458201</v>
      </c>
      <c r="R135">
        <v>0.2264722574952262</v>
      </c>
      <c r="S135">
        <v>2.6277376926063962E-4</v>
      </c>
      <c r="T135">
        <v>1.8672112935890999E-4</v>
      </c>
      <c r="U135">
        <v>1.6327448426464771E-2</v>
      </c>
      <c r="V135">
        <v>9.6712503418466193E-4</v>
      </c>
      <c r="W135">
        <v>1.390545961432214E-4</v>
      </c>
      <c r="X135">
        <v>9.5912436113855808</v>
      </c>
      <c r="Y135">
        <v>6.8153212775100469</v>
      </c>
      <c r="Z135">
        <v>2.3024272521296681E-7</v>
      </c>
      <c r="AA135">
        <v>2.2443134034025649E-8</v>
      </c>
      <c r="AB135">
        <v>2.0369722976205009E-7</v>
      </c>
      <c r="AC135" s="5">
        <f t="shared" si="10"/>
        <v>42.475447661964964</v>
      </c>
    </row>
    <row r="136" spans="1:29" x14ac:dyDescent="0.25">
      <c r="A136" t="s">
        <v>47</v>
      </c>
      <c r="B136">
        <v>2040</v>
      </c>
      <c r="C136" t="s">
        <v>70</v>
      </c>
      <c r="D136" t="s">
        <v>51</v>
      </c>
      <c r="E136" t="s">
        <v>9</v>
      </c>
      <c r="F136" t="s">
        <v>55</v>
      </c>
      <c r="G136">
        <v>5.2717918323239621</v>
      </c>
      <c r="H136">
        <v>1.6452822488583889</v>
      </c>
      <c r="I136">
        <v>2.652504143951351E-13</v>
      </c>
      <c r="J136">
        <v>2.0632230246653911E-5</v>
      </c>
      <c r="K136">
        <v>15.35619379167615</v>
      </c>
      <c r="L136">
        <v>1.464507310122233</v>
      </c>
      <c r="M136">
        <v>2.9951235957722921E-6</v>
      </c>
      <c r="N136">
        <v>4.1189648342671917E-10</v>
      </c>
      <c r="O136">
        <v>4.9349907374916033E-5</v>
      </c>
      <c r="P136">
        <v>5.5378335675079771E-5</v>
      </c>
      <c r="Q136">
        <v>2.0866233972458201</v>
      </c>
      <c r="R136">
        <v>0.2264722574952262</v>
      </c>
      <c r="S136">
        <v>2.6277376926063962E-4</v>
      </c>
      <c r="T136">
        <v>1.8672112935890999E-4</v>
      </c>
      <c r="U136">
        <v>1.6327448426464771E-2</v>
      </c>
      <c r="V136">
        <v>9.6712503418466193E-4</v>
      </c>
      <c r="W136">
        <v>1.390545961432214E-4</v>
      </c>
      <c r="X136">
        <v>9.5912436113855808</v>
      </c>
      <c r="Y136">
        <v>6.8153212775100469</v>
      </c>
      <c r="Z136">
        <v>2.3024272521296681E-7</v>
      </c>
      <c r="AA136">
        <v>2.2443134034025649E-8</v>
      </c>
      <c r="AB136">
        <v>2.0369722976205009E-7</v>
      </c>
      <c r="AC136" s="5">
        <f t="shared" si="10"/>
        <v>42.475447661964964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A4578-3F31-4083-BDC6-E0721FEF61DB}">
  <dimension ref="A1:R136"/>
  <sheetViews>
    <sheetView workbookViewId="0">
      <selection activeCell="A18" sqref="A18"/>
    </sheetView>
  </sheetViews>
  <sheetFormatPr baseColWidth="10" defaultColWidth="9.140625" defaultRowHeight="15" x14ac:dyDescent="0.25"/>
  <cols>
    <col min="1" max="1" width="12.85546875" bestFit="1" customWidth="1"/>
    <col min="2" max="2" width="9.5703125" bestFit="1" customWidth="1"/>
    <col min="3" max="3" width="17" bestFit="1" customWidth="1"/>
    <col min="4" max="6" width="17" customWidth="1"/>
    <col min="7" max="7" width="26.7109375" bestFit="1" customWidth="1"/>
    <col min="8" max="8" width="26.85546875" bestFit="1" customWidth="1"/>
    <col min="9" max="9" width="29.5703125" bestFit="1" customWidth="1"/>
    <col min="10" max="10" width="29.7109375" bestFit="1" customWidth="1"/>
    <col min="11" max="11" width="33.85546875" bestFit="1" customWidth="1"/>
    <col min="12" max="12" width="34" bestFit="1" customWidth="1"/>
    <col min="13" max="13" width="27.140625" bestFit="1" customWidth="1"/>
    <col min="14" max="14" width="27.5703125" bestFit="1" customWidth="1"/>
    <col min="15" max="15" width="33.28515625" bestFit="1" customWidth="1"/>
    <col min="16" max="16" width="29.85546875" bestFit="1" customWidth="1"/>
    <col min="17" max="17" width="26.5703125" bestFit="1" customWidth="1"/>
    <col min="18" max="18" width="12" style="5" bestFit="1" customWidth="1"/>
  </cols>
  <sheetData>
    <row r="1" spans="1:18" x14ac:dyDescent="0.25">
      <c r="A1" s="2" t="s">
        <v>0</v>
      </c>
      <c r="B1" s="2" t="s">
        <v>2</v>
      </c>
      <c r="C1" s="2" t="s">
        <v>22</v>
      </c>
      <c r="D1" s="2" t="s">
        <v>23</v>
      </c>
      <c r="E1" s="2" t="s">
        <v>3</v>
      </c>
      <c r="F1" s="2" t="s">
        <v>24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  <c r="M1" s="2" t="s">
        <v>77</v>
      </c>
      <c r="N1" s="2" t="s">
        <v>78</v>
      </c>
      <c r="O1" s="2" t="s">
        <v>79</v>
      </c>
      <c r="P1" s="2" t="s">
        <v>80</v>
      </c>
      <c r="Q1" s="2" t="s">
        <v>81</v>
      </c>
      <c r="R1" s="4" t="s">
        <v>101</v>
      </c>
    </row>
    <row r="2" spans="1:18" x14ac:dyDescent="0.25">
      <c r="A2" t="s">
        <v>47</v>
      </c>
      <c r="B2">
        <v>2020</v>
      </c>
      <c r="C2" t="s">
        <v>48</v>
      </c>
      <c r="D2" t="s">
        <v>6</v>
      </c>
      <c r="E2" t="s">
        <v>14</v>
      </c>
      <c r="F2" t="s">
        <v>49</v>
      </c>
      <c r="G2">
        <v>5.9487670419752283E-8</v>
      </c>
      <c r="H2">
        <v>1.8249069685677071E-8</v>
      </c>
      <c r="I2">
        <v>1.8888777909911121E-11</v>
      </c>
      <c r="J2">
        <v>8.2769114209200261E-10</v>
      </c>
      <c r="K2">
        <v>5.1755960205809267E-10</v>
      </c>
      <c r="L2">
        <v>2.0597785203696189E-10</v>
      </c>
      <c r="M2">
        <v>2.7419534854960609E-12</v>
      </c>
      <c r="N2">
        <v>2.3950328582001422E-13</v>
      </c>
      <c r="O2">
        <v>9.902577152430587E-13</v>
      </c>
      <c r="P2">
        <v>1.078013536529022E-13</v>
      </c>
      <c r="Q2">
        <v>6.0973891777731705E-13</v>
      </c>
      <c r="R2" s="5">
        <f>SUM(G2:Q2)</f>
        <v>7.9311546734284322E-8</v>
      </c>
    </row>
    <row r="3" spans="1:18" x14ac:dyDescent="0.25">
      <c r="A3" t="s">
        <v>47</v>
      </c>
      <c r="B3">
        <v>2025</v>
      </c>
      <c r="C3" t="s">
        <v>48</v>
      </c>
      <c r="D3" t="s">
        <v>6</v>
      </c>
      <c r="E3" t="s">
        <v>14</v>
      </c>
      <c r="F3" t="s">
        <v>49</v>
      </c>
      <c r="G3">
        <v>5.9487670419752283E-8</v>
      </c>
      <c r="H3">
        <v>1.8249069685677071E-8</v>
      </c>
      <c r="I3">
        <v>1.8888777909911121E-11</v>
      </c>
      <c r="J3">
        <v>8.2769114209200261E-10</v>
      </c>
      <c r="K3">
        <v>5.1755960205809267E-10</v>
      </c>
      <c r="L3">
        <v>2.0597785203696189E-10</v>
      </c>
      <c r="M3">
        <v>2.7419534854960609E-12</v>
      </c>
      <c r="N3">
        <v>2.3950328582001422E-13</v>
      </c>
      <c r="O3">
        <v>9.902577152430587E-13</v>
      </c>
      <c r="P3">
        <v>1.078013536529022E-13</v>
      </c>
      <c r="Q3">
        <v>6.0973891777731705E-13</v>
      </c>
      <c r="R3" s="5">
        <f t="shared" ref="R3:R66" si="0">SUM(G3:Q3)</f>
        <v>7.9311546734284322E-8</v>
      </c>
    </row>
    <row r="4" spans="1:18" x14ac:dyDescent="0.25">
      <c r="A4" t="s">
        <v>47</v>
      </c>
      <c r="B4">
        <v>2030</v>
      </c>
      <c r="C4" t="s">
        <v>48</v>
      </c>
      <c r="D4" t="s">
        <v>6</v>
      </c>
      <c r="E4" t="s">
        <v>14</v>
      </c>
      <c r="F4" t="s">
        <v>49</v>
      </c>
      <c r="G4">
        <v>5.9487670419752283E-8</v>
      </c>
      <c r="H4">
        <v>1.8249069685677071E-8</v>
      </c>
      <c r="I4">
        <v>1.8888777909911121E-11</v>
      </c>
      <c r="J4">
        <v>8.2769114209200261E-10</v>
      </c>
      <c r="K4">
        <v>5.1755960205809267E-10</v>
      </c>
      <c r="L4">
        <v>2.0597785203696189E-10</v>
      </c>
      <c r="M4">
        <v>2.7419534854960609E-12</v>
      </c>
      <c r="N4">
        <v>2.3950328582001422E-13</v>
      </c>
      <c r="O4">
        <v>9.902577152430587E-13</v>
      </c>
      <c r="P4">
        <v>1.078013536529022E-13</v>
      </c>
      <c r="Q4">
        <v>6.0973891777731705E-13</v>
      </c>
      <c r="R4" s="5">
        <f t="shared" si="0"/>
        <v>7.9311546734284322E-8</v>
      </c>
    </row>
    <row r="5" spans="1:18" x14ac:dyDescent="0.25">
      <c r="A5" t="s">
        <v>47</v>
      </c>
      <c r="B5">
        <v>2035</v>
      </c>
      <c r="C5" t="s">
        <v>48</v>
      </c>
      <c r="D5" t="s">
        <v>6</v>
      </c>
      <c r="E5" t="s">
        <v>14</v>
      </c>
      <c r="F5" t="s">
        <v>49</v>
      </c>
      <c r="G5">
        <v>5.9487670419752283E-8</v>
      </c>
      <c r="H5">
        <v>1.8249069685677071E-8</v>
      </c>
      <c r="I5">
        <v>1.8888777909911121E-11</v>
      </c>
      <c r="J5">
        <v>8.2769114209200261E-10</v>
      </c>
      <c r="K5">
        <v>5.1755960205809267E-10</v>
      </c>
      <c r="L5">
        <v>2.0597785203696189E-10</v>
      </c>
      <c r="M5">
        <v>2.7419534854960609E-12</v>
      </c>
      <c r="N5">
        <v>2.3950328582001422E-13</v>
      </c>
      <c r="O5">
        <v>9.902577152430587E-13</v>
      </c>
      <c r="P5">
        <v>1.078013536529022E-13</v>
      </c>
      <c r="Q5">
        <v>6.0973891777731705E-13</v>
      </c>
      <c r="R5" s="5">
        <f t="shared" si="0"/>
        <v>7.9311546734284322E-8</v>
      </c>
    </row>
    <row r="6" spans="1:18" x14ac:dyDescent="0.25">
      <c r="A6" t="s">
        <v>47</v>
      </c>
      <c r="B6">
        <v>2040</v>
      </c>
      <c r="C6" t="s">
        <v>48</v>
      </c>
      <c r="D6" t="s">
        <v>6</v>
      </c>
      <c r="E6" t="s">
        <v>14</v>
      </c>
      <c r="F6" t="s">
        <v>49</v>
      </c>
      <c r="G6">
        <v>5.9487670419752283E-8</v>
      </c>
      <c r="H6">
        <v>1.8249069685677071E-8</v>
      </c>
      <c r="I6">
        <v>1.8888777909911121E-11</v>
      </c>
      <c r="J6">
        <v>8.2769114209200261E-10</v>
      </c>
      <c r="K6">
        <v>5.1755960205809267E-10</v>
      </c>
      <c r="L6">
        <v>2.0597785203696189E-10</v>
      </c>
      <c r="M6">
        <v>2.7419534854960609E-12</v>
      </c>
      <c r="N6">
        <v>2.3950328582001422E-13</v>
      </c>
      <c r="O6">
        <v>9.902577152430587E-13</v>
      </c>
      <c r="P6">
        <v>1.078013536529022E-13</v>
      </c>
      <c r="Q6">
        <v>6.0973891777731705E-13</v>
      </c>
      <c r="R6" s="5">
        <f t="shared" si="0"/>
        <v>7.9311546734284322E-8</v>
      </c>
    </row>
    <row r="7" spans="1:18" x14ac:dyDescent="0.25">
      <c r="A7" t="s">
        <v>47</v>
      </c>
      <c r="B7">
        <v>2020</v>
      </c>
      <c r="C7" t="s">
        <v>50</v>
      </c>
      <c r="D7" t="s">
        <v>51</v>
      </c>
      <c r="E7" t="s">
        <v>14</v>
      </c>
      <c r="F7" t="s">
        <v>49</v>
      </c>
      <c r="G7">
        <v>7.650247655225588E-7</v>
      </c>
      <c r="H7">
        <v>2.318659383026989E-7</v>
      </c>
      <c r="I7">
        <v>6.7313254291288776E-10</v>
      </c>
      <c r="J7">
        <v>1.163116565243528E-8</v>
      </c>
      <c r="K7">
        <v>8.8395954791518988E-9</v>
      </c>
      <c r="L7">
        <v>2.382062897886097E-9</v>
      </c>
      <c r="M7">
        <v>8.5281172976189112E-12</v>
      </c>
      <c r="N7">
        <v>3.174128174410833E-12</v>
      </c>
      <c r="O7">
        <v>3.0655232792166298E-12</v>
      </c>
      <c r="P7">
        <v>1.400022991734791E-12</v>
      </c>
      <c r="Q7">
        <v>1.8584483249440311E-12</v>
      </c>
      <c r="R7" s="5">
        <f t="shared" si="0"/>
        <v>1.0204346866377117E-6</v>
      </c>
    </row>
    <row r="8" spans="1:18" x14ac:dyDescent="0.25">
      <c r="A8" t="s">
        <v>47</v>
      </c>
      <c r="B8">
        <v>2025</v>
      </c>
      <c r="C8" t="s">
        <v>50</v>
      </c>
      <c r="D8" t="s">
        <v>51</v>
      </c>
      <c r="E8" t="s">
        <v>14</v>
      </c>
      <c r="F8" t="s">
        <v>49</v>
      </c>
      <c r="G8">
        <v>7.650247655225588E-7</v>
      </c>
      <c r="H8">
        <v>2.318659383026989E-7</v>
      </c>
      <c r="I8">
        <v>6.7313254291288776E-10</v>
      </c>
      <c r="J8">
        <v>1.163116565243528E-8</v>
      </c>
      <c r="K8">
        <v>8.8395954791518988E-9</v>
      </c>
      <c r="L8">
        <v>2.382062897886097E-9</v>
      </c>
      <c r="M8">
        <v>8.5281172976189112E-12</v>
      </c>
      <c r="N8">
        <v>3.174128174410833E-12</v>
      </c>
      <c r="O8">
        <v>3.0655232792166298E-12</v>
      </c>
      <c r="P8">
        <v>1.400022991734791E-12</v>
      </c>
      <c r="Q8">
        <v>1.8584483249440311E-12</v>
      </c>
      <c r="R8" s="5">
        <f t="shared" si="0"/>
        <v>1.0204346866377117E-6</v>
      </c>
    </row>
    <row r="9" spans="1:18" x14ac:dyDescent="0.25">
      <c r="A9" t="s">
        <v>47</v>
      </c>
      <c r="B9">
        <v>2030</v>
      </c>
      <c r="C9" t="s">
        <v>50</v>
      </c>
      <c r="D9" t="s">
        <v>51</v>
      </c>
      <c r="E9" t="s">
        <v>14</v>
      </c>
      <c r="F9" t="s">
        <v>49</v>
      </c>
      <c r="G9">
        <v>7.650247655225588E-7</v>
      </c>
      <c r="H9">
        <v>2.318659383026989E-7</v>
      </c>
      <c r="I9">
        <v>6.7313254291288776E-10</v>
      </c>
      <c r="J9">
        <v>1.163116565243528E-8</v>
      </c>
      <c r="K9">
        <v>8.8395954791518988E-9</v>
      </c>
      <c r="L9">
        <v>2.382062897886097E-9</v>
      </c>
      <c r="M9">
        <v>8.5281172976189112E-12</v>
      </c>
      <c r="N9">
        <v>3.174128174410833E-12</v>
      </c>
      <c r="O9">
        <v>3.0655232792166298E-12</v>
      </c>
      <c r="P9">
        <v>1.400022991734791E-12</v>
      </c>
      <c r="Q9">
        <v>1.8584483249440311E-12</v>
      </c>
      <c r="R9" s="5">
        <f t="shared" si="0"/>
        <v>1.0204346866377117E-6</v>
      </c>
    </row>
    <row r="10" spans="1:18" x14ac:dyDescent="0.25">
      <c r="A10" t="s">
        <v>47</v>
      </c>
      <c r="B10">
        <v>2035</v>
      </c>
      <c r="C10" t="s">
        <v>50</v>
      </c>
      <c r="D10" t="s">
        <v>51</v>
      </c>
      <c r="E10" t="s">
        <v>14</v>
      </c>
      <c r="F10" t="s">
        <v>49</v>
      </c>
      <c r="G10">
        <v>7.650247655225588E-7</v>
      </c>
      <c r="H10">
        <v>2.318659383026989E-7</v>
      </c>
      <c r="I10">
        <v>6.7313254291288776E-10</v>
      </c>
      <c r="J10">
        <v>1.163116565243528E-8</v>
      </c>
      <c r="K10">
        <v>8.8395954791518988E-9</v>
      </c>
      <c r="L10">
        <v>2.382062897886097E-9</v>
      </c>
      <c r="M10">
        <v>8.5281172976189112E-12</v>
      </c>
      <c r="N10">
        <v>3.174128174410833E-12</v>
      </c>
      <c r="O10">
        <v>3.0655232792166298E-12</v>
      </c>
      <c r="P10">
        <v>1.400022991734791E-12</v>
      </c>
      <c r="Q10">
        <v>1.8584483249440311E-12</v>
      </c>
      <c r="R10" s="5">
        <f t="shared" si="0"/>
        <v>1.0204346866377117E-6</v>
      </c>
    </row>
    <row r="11" spans="1:18" x14ac:dyDescent="0.25">
      <c r="A11" t="s">
        <v>47</v>
      </c>
      <c r="B11">
        <v>2040</v>
      </c>
      <c r="C11" t="s">
        <v>50</v>
      </c>
      <c r="D11" t="s">
        <v>51</v>
      </c>
      <c r="E11" t="s">
        <v>14</v>
      </c>
      <c r="F11" t="s">
        <v>49</v>
      </c>
      <c r="G11">
        <v>7.650247655225588E-7</v>
      </c>
      <c r="H11">
        <v>2.318659383026989E-7</v>
      </c>
      <c r="I11">
        <v>6.7313254291288776E-10</v>
      </c>
      <c r="J11">
        <v>1.163116565243528E-8</v>
      </c>
      <c r="K11">
        <v>8.8395954791518988E-9</v>
      </c>
      <c r="L11">
        <v>2.382062897886097E-9</v>
      </c>
      <c r="M11">
        <v>8.5281172976189112E-12</v>
      </c>
      <c r="N11">
        <v>3.174128174410833E-12</v>
      </c>
      <c r="O11">
        <v>3.0655232792166298E-12</v>
      </c>
      <c r="P11">
        <v>1.400022991734791E-12</v>
      </c>
      <c r="Q11">
        <v>1.8584483249440311E-12</v>
      </c>
      <c r="R11" s="5">
        <f t="shared" si="0"/>
        <v>1.0204346866377117E-6</v>
      </c>
    </row>
    <row r="12" spans="1:18" s="3" customFormat="1" x14ac:dyDescent="0.25">
      <c r="A12" s="3" t="s">
        <v>47</v>
      </c>
      <c r="B12" s="3">
        <v>2020</v>
      </c>
      <c r="C12" s="3" t="s">
        <v>52</v>
      </c>
      <c r="D12" s="3" t="s">
        <v>6</v>
      </c>
      <c r="E12" s="3" t="s">
        <v>14</v>
      </c>
      <c r="F12" s="3" t="s">
        <v>53</v>
      </c>
      <c r="G12" s="3">
        <f>G22-G2</f>
        <v>1.7768883211206065E-5</v>
      </c>
      <c r="H12" s="3">
        <f t="shared" ref="H12:Q12" si="1">H22-H2</f>
        <v>5.6767705961193826E-6</v>
      </c>
      <c r="I12" s="3">
        <f t="shared" si="1"/>
        <v>1.1553475603657899E-8</v>
      </c>
      <c r="J12" s="3">
        <f t="shared" si="1"/>
        <v>2.809106870455661E-6</v>
      </c>
      <c r="K12" s="3">
        <f t="shared" si="1"/>
        <v>3.3653621770593331E-7</v>
      </c>
      <c r="L12" s="3">
        <f t="shared" si="1"/>
        <v>1.1701744188144674E-7</v>
      </c>
      <c r="M12" s="3">
        <f t="shared" si="1"/>
        <v>1.729139887546407E-9</v>
      </c>
      <c r="N12" s="3">
        <f t="shared" si="1"/>
        <v>1.1266970439760239E-10</v>
      </c>
      <c r="O12" s="3">
        <f t="shared" si="1"/>
        <v>6.0438496802191303E-11</v>
      </c>
      <c r="P12" s="3">
        <f t="shared" si="1"/>
        <v>4.0385131278861729E-11</v>
      </c>
      <c r="Q12" s="3">
        <f t="shared" si="1"/>
        <v>3.6064575670213308E-11</v>
      </c>
      <c r="R12" s="5">
        <f t="shared" si="0"/>
        <v>2.6721846510767838E-5</v>
      </c>
    </row>
    <row r="13" spans="1:18" s="3" customFormat="1" x14ac:dyDescent="0.25">
      <c r="A13" s="3" t="s">
        <v>47</v>
      </c>
      <c r="B13" s="3">
        <v>2025</v>
      </c>
      <c r="C13" s="3" t="s">
        <v>52</v>
      </c>
      <c r="D13" s="3" t="s">
        <v>6</v>
      </c>
      <c r="E13" s="3" t="s">
        <v>14</v>
      </c>
      <c r="F13" s="3" t="s">
        <v>53</v>
      </c>
      <c r="G13" s="3">
        <f t="shared" ref="G13:Q21" si="2">G23-G3</f>
        <v>1.7768883211206065E-5</v>
      </c>
      <c r="H13" s="3">
        <f t="shared" si="2"/>
        <v>5.6767705961193826E-6</v>
      </c>
      <c r="I13" s="3">
        <f t="shared" si="2"/>
        <v>1.1553475603657899E-8</v>
      </c>
      <c r="J13" s="3">
        <f t="shared" si="2"/>
        <v>2.809106870455661E-6</v>
      </c>
      <c r="K13" s="3">
        <f t="shared" si="2"/>
        <v>3.3653621770593331E-7</v>
      </c>
      <c r="L13" s="3">
        <f t="shared" si="2"/>
        <v>1.1701744188144674E-7</v>
      </c>
      <c r="M13" s="3">
        <f t="shared" si="2"/>
        <v>1.729139887546407E-9</v>
      </c>
      <c r="N13" s="3">
        <f t="shared" si="2"/>
        <v>1.1266970439760239E-10</v>
      </c>
      <c r="O13" s="3">
        <f t="shared" si="2"/>
        <v>6.0438496802191303E-11</v>
      </c>
      <c r="P13" s="3">
        <f t="shared" si="2"/>
        <v>4.0385131278861729E-11</v>
      </c>
      <c r="Q13" s="3">
        <f t="shared" si="2"/>
        <v>3.6064575670213308E-11</v>
      </c>
      <c r="R13" s="5">
        <f t="shared" si="0"/>
        <v>2.6721846510767838E-5</v>
      </c>
    </row>
    <row r="14" spans="1:18" s="3" customFormat="1" x14ac:dyDescent="0.25">
      <c r="A14" s="3" t="s">
        <v>47</v>
      </c>
      <c r="B14" s="3">
        <v>2030</v>
      </c>
      <c r="C14" s="3" t="s">
        <v>52</v>
      </c>
      <c r="D14" s="3" t="s">
        <v>6</v>
      </c>
      <c r="E14" s="3" t="s">
        <v>14</v>
      </c>
      <c r="F14" s="3" t="s">
        <v>53</v>
      </c>
      <c r="G14" s="3">
        <f t="shared" si="2"/>
        <v>1.7768883211206065E-5</v>
      </c>
      <c r="H14" s="3">
        <f t="shared" si="2"/>
        <v>5.6767705961193826E-6</v>
      </c>
      <c r="I14" s="3">
        <f t="shared" si="2"/>
        <v>1.1553475603657899E-8</v>
      </c>
      <c r="J14" s="3">
        <f t="shared" si="2"/>
        <v>2.809106870455661E-6</v>
      </c>
      <c r="K14" s="3">
        <f t="shared" si="2"/>
        <v>3.3653621770593331E-7</v>
      </c>
      <c r="L14" s="3">
        <f t="shared" si="2"/>
        <v>1.1701744188144674E-7</v>
      </c>
      <c r="M14" s="3">
        <f t="shared" si="2"/>
        <v>1.729139887546407E-9</v>
      </c>
      <c r="N14" s="3">
        <f t="shared" si="2"/>
        <v>1.1266970439760239E-10</v>
      </c>
      <c r="O14" s="3">
        <f t="shared" si="2"/>
        <v>6.0438496802191303E-11</v>
      </c>
      <c r="P14" s="3">
        <f t="shared" si="2"/>
        <v>4.0385131278861729E-11</v>
      </c>
      <c r="Q14" s="3">
        <f t="shared" si="2"/>
        <v>3.6064575670213308E-11</v>
      </c>
      <c r="R14" s="5">
        <f t="shared" si="0"/>
        <v>2.6721846510767838E-5</v>
      </c>
    </row>
    <row r="15" spans="1:18" s="3" customFormat="1" x14ac:dyDescent="0.25">
      <c r="A15" s="3" t="s">
        <v>47</v>
      </c>
      <c r="B15" s="3">
        <v>2035</v>
      </c>
      <c r="C15" s="3" t="s">
        <v>52</v>
      </c>
      <c r="D15" s="3" t="s">
        <v>6</v>
      </c>
      <c r="E15" s="3" t="s">
        <v>14</v>
      </c>
      <c r="F15" s="3" t="s">
        <v>53</v>
      </c>
      <c r="G15" s="3">
        <f t="shared" si="2"/>
        <v>1.7768883211206065E-5</v>
      </c>
      <c r="H15" s="3">
        <f t="shared" si="2"/>
        <v>5.6767705961193826E-6</v>
      </c>
      <c r="I15" s="3">
        <f t="shared" si="2"/>
        <v>1.1553475603657899E-8</v>
      </c>
      <c r="J15" s="3">
        <f t="shared" si="2"/>
        <v>2.809106870455661E-6</v>
      </c>
      <c r="K15" s="3">
        <f t="shared" si="2"/>
        <v>3.3653621770593331E-7</v>
      </c>
      <c r="L15" s="3">
        <f t="shared" si="2"/>
        <v>1.1701744188144674E-7</v>
      </c>
      <c r="M15" s="3">
        <f t="shared" si="2"/>
        <v>1.729139887546407E-9</v>
      </c>
      <c r="N15" s="3">
        <f t="shared" si="2"/>
        <v>1.1266970439760239E-10</v>
      </c>
      <c r="O15" s="3">
        <f t="shared" si="2"/>
        <v>6.0438496802191303E-11</v>
      </c>
      <c r="P15" s="3">
        <f t="shared" si="2"/>
        <v>4.0385131278861729E-11</v>
      </c>
      <c r="Q15" s="3">
        <f t="shared" si="2"/>
        <v>3.6064575670213308E-11</v>
      </c>
      <c r="R15" s="5">
        <f t="shared" si="0"/>
        <v>2.6721846510767838E-5</v>
      </c>
    </row>
    <row r="16" spans="1:18" s="3" customFormat="1" x14ac:dyDescent="0.25">
      <c r="A16" s="3" t="s">
        <v>47</v>
      </c>
      <c r="B16" s="3">
        <v>2040</v>
      </c>
      <c r="C16" s="3" t="s">
        <v>52</v>
      </c>
      <c r="D16" s="3" t="s">
        <v>6</v>
      </c>
      <c r="E16" s="3" t="s">
        <v>14</v>
      </c>
      <c r="F16" s="3" t="s">
        <v>53</v>
      </c>
      <c r="G16" s="3">
        <f t="shared" si="2"/>
        <v>1.7768883211206065E-5</v>
      </c>
      <c r="H16" s="3">
        <f t="shared" si="2"/>
        <v>5.6767705961193826E-6</v>
      </c>
      <c r="I16" s="3">
        <f t="shared" si="2"/>
        <v>1.1553475603657899E-8</v>
      </c>
      <c r="J16" s="3">
        <f t="shared" si="2"/>
        <v>2.809106870455661E-6</v>
      </c>
      <c r="K16" s="3">
        <f t="shared" si="2"/>
        <v>3.3653621770593331E-7</v>
      </c>
      <c r="L16" s="3">
        <f t="shared" si="2"/>
        <v>1.1701744188144674E-7</v>
      </c>
      <c r="M16" s="3">
        <f t="shared" si="2"/>
        <v>1.729139887546407E-9</v>
      </c>
      <c r="N16" s="3">
        <f t="shared" si="2"/>
        <v>1.1266970439760239E-10</v>
      </c>
      <c r="O16" s="3">
        <f t="shared" si="2"/>
        <v>6.0438496802191303E-11</v>
      </c>
      <c r="P16" s="3">
        <f t="shared" si="2"/>
        <v>4.0385131278861729E-11</v>
      </c>
      <c r="Q16" s="3">
        <f t="shared" si="2"/>
        <v>3.6064575670213308E-11</v>
      </c>
      <c r="R16" s="5">
        <f t="shared" si="0"/>
        <v>2.6721846510767838E-5</v>
      </c>
    </row>
    <row r="17" spans="1:18" s="3" customFormat="1" x14ac:dyDescent="0.25">
      <c r="A17" s="3" t="s">
        <v>47</v>
      </c>
      <c r="B17" s="3">
        <v>2020</v>
      </c>
      <c r="C17" s="3" t="s">
        <v>54</v>
      </c>
      <c r="D17" s="3" t="s">
        <v>51</v>
      </c>
      <c r="E17" s="3" t="s">
        <v>14</v>
      </c>
      <c r="F17" s="3" t="s">
        <v>53</v>
      </c>
      <c r="G17" s="3">
        <f t="shared" si="2"/>
        <v>2.8745210697298862E-5</v>
      </c>
      <c r="H17" s="3">
        <f t="shared" si="2"/>
        <v>9.1498278339924148E-6</v>
      </c>
      <c r="I17" s="3">
        <f t="shared" si="2"/>
        <v>1.98723684366684E-8</v>
      </c>
      <c r="J17" s="3">
        <f t="shared" si="2"/>
        <v>2.8465184662090317E-6</v>
      </c>
      <c r="K17" s="3">
        <f t="shared" si="2"/>
        <v>5.934108091292831E-7</v>
      </c>
      <c r="L17" s="3">
        <f t="shared" si="2"/>
        <v>1.7629436523628641E-7</v>
      </c>
      <c r="M17" s="3">
        <f t="shared" si="2"/>
        <v>1.9908056384782831E-9</v>
      </c>
      <c r="N17" s="3">
        <f t="shared" si="2"/>
        <v>1.1993704870498156E-10</v>
      </c>
      <c r="O17" s="3">
        <f t="shared" si="2"/>
        <v>6.8310629065614114E-11</v>
      </c>
      <c r="P17" s="3">
        <f t="shared" si="2"/>
        <v>4.1332128679434104E-11</v>
      </c>
      <c r="Q17" s="3">
        <f t="shared" si="2"/>
        <v>4.1815270590270625E-11</v>
      </c>
      <c r="R17" s="5">
        <f t="shared" si="0"/>
        <v>4.153339674101806E-5</v>
      </c>
    </row>
    <row r="18" spans="1:18" s="3" customFormat="1" x14ac:dyDescent="0.25">
      <c r="A18" s="3" t="s">
        <v>47</v>
      </c>
      <c r="B18" s="3">
        <v>2025</v>
      </c>
      <c r="C18" s="3" t="s">
        <v>54</v>
      </c>
      <c r="D18" s="3" t="s">
        <v>51</v>
      </c>
      <c r="E18" s="3" t="s">
        <v>14</v>
      </c>
      <c r="F18" s="3" t="s">
        <v>53</v>
      </c>
      <c r="G18" s="3">
        <f t="shared" si="2"/>
        <v>2.8745210697298862E-5</v>
      </c>
      <c r="H18" s="3">
        <f t="shared" si="2"/>
        <v>9.1498278339924148E-6</v>
      </c>
      <c r="I18" s="3">
        <f t="shared" si="2"/>
        <v>1.98723684366684E-8</v>
      </c>
      <c r="J18" s="3">
        <f t="shared" si="2"/>
        <v>2.8465184662090317E-6</v>
      </c>
      <c r="K18" s="3">
        <f t="shared" si="2"/>
        <v>5.934108091292831E-7</v>
      </c>
      <c r="L18" s="3">
        <f t="shared" si="2"/>
        <v>1.7629436523628641E-7</v>
      </c>
      <c r="M18" s="3">
        <f t="shared" si="2"/>
        <v>1.9908056384782831E-9</v>
      </c>
      <c r="N18" s="3">
        <f t="shared" si="2"/>
        <v>1.1993704870498156E-10</v>
      </c>
      <c r="O18" s="3">
        <f t="shared" si="2"/>
        <v>6.8310629065614114E-11</v>
      </c>
      <c r="P18" s="3">
        <f t="shared" si="2"/>
        <v>4.1332128679434104E-11</v>
      </c>
      <c r="Q18" s="3">
        <f t="shared" si="2"/>
        <v>4.1815270590270625E-11</v>
      </c>
      <c r="R18" s="5">
        <f t="shared" si="0"/>
        <v>4.153339674101806E-5</v>
      </c>
    </row>
    <row r="19" spans="1:18" s="3" customFormat="1" x14ac:dyDescent="0.25">
      <c r="A19" s="3" t="s">
        <v>47</v>
      </c>
      <c r="B19" s="3">
        <v>2030</v>
      </c>
      <c r="C19" s="3" t="s">
        <v>54</v>
      </c>
      <c r="D19" s="3" t="s">
        <v>51</v>
      </c>
      <c r="E19" s="3" t="s">
        <v>14</v>
      </c>
      <c r="F19" s="3" t="s">
        <v>53</v>
      </c>
      <c r="G19" s="3">
        <f t="shared" si="2"/>
        <v>2.8745210697298862E-5</v>
      </c>
      <c r="H19" s="3">
        <f t="shared" si="2"/>
        <v>9.1498278339924148E-6</v>
      </c>
      <c r="I19" s="3">
        <f t="shared" si="2"/>
        <v>1.98723684366684E-8</v>
      </c>
      <c r="J19" s="3">
        <f t="shared" si="2"/>
        <v>2.8465184662090317E-6</v>
      </c>
      <c r="K19" s="3">
        <f t="shared" si="2"/>
        <v>5.934108091292831E-7</v>
      </c>
      <c r="L19" s="3">
        <f t="shared" si="2"/>
        <v>1.7629436523628641E-7</v>
      </c>
      <c r="M19" s="3">
        <f t="shared" si="2"/>
        <v>1.9908056384782831E-9</v>
      </c>
      <c r="N19" s="3">
        <f t="shared" si="2"/>
        <v>1.1993704870498156E-10</v>
      </c>
      <c r="O19" s="3">
        <f t="shared" si="2"/>
        <v>6.8310629065614114E-11</v>
      </c>
      <c r="P19" s="3">
        <f t="shared" si="2"/>
        <v>4.1332128679434104E-11</v>
      </c>
      <c r="Q19" s="3">
        <f t="shared" si="2"/>
        <v>4.1815270590270625E-11</v>
      </c>
      <c r="R19" s="5">
        <f t="shared" si="0"/>
        <v>4.153339674101806E-5</v>
      </c>
    </row>
    <row r="20" spans="1:18" s="3" customFormat="1" x14ac:dyDescent="0.25">
      <c r="A20" s="3" t="s">
        <v>47</v>
      </c>
      <c r="B20" s="3">
        <v>2035</v>
      </c>
      <c r="C20" s="3" t="s">
        <v>54</v>
      </c>
      <c r="D20" s="3" t="s">
        <v>51</v>
      </c>
      <c r="E20" s="3" t="s">
        <v>14</v>
      </c>
      <c r="F20" s="3" t="s">
        <v>53</v>
      </c>
      <c r="G20" s="3">
        <f t="shared" si="2"/>
        <v>2.8745210697298862E-5</v>
      </c>
      <c r="H20" s="3">
        <f t="shared" si="2"/>
        <v>9.1498278339924148E-6</v>
      </c>
      <c r="I20" s="3">
        <f t="shared" si="2"/>
        <v>1.98723684366684E-8</v>
      </c>
      <c r="J20" s="3">
        <f t="shared" si="2"/>
        <v>2.8465184662090317E-6</v>
      </c>
      <c r="K20" s="3">
        <f t="shared" si="2"/>
        <v>5.934108091292831E-7</v>
      </c>
      <c r="L20" s="3">
        <f t="shared" si="2"/>
        <v>1.7629436523628641E-7</v>
      </c>
      <c r="M20" s="3">
        <f t="shared" si="2"/>
        <v>1.9908056384782831E-9</v>
      </c>
      <c r="N20" s="3">
        <f t="shared" si="2"/>
        <v>1.1993704870498156E-10</v>
      </c>
      <c r="O20" s="3">
        <f t="shared" si="2"/>
        <v>6.8310629065614114E-11</v>
      </c>
      <c r="P20" s="3">
        <f t="shared" si="2"/>
        <v>4.1332128679434104E-11</v>
      </c>
      <c r="Q20" s="3">
        <f t="shared" si="2"/>
        <v>4.1815270590270625E-11</v>
      </c>
      <c r="R20" s="5">
        <f t="shared" si="0"/>
        <v>4.153339674101806E-5</v>
      </c>
    </row>
    <row r="21" spans="1:18" s="3" customFormat="1" x14ac:dyDescent="0.25">
      <c r="A21" s="3" t="s">
        <v>47</v>
      </c>
      <c r="B21" s="3">
        <v>2040</v>
      </c>
      <c r="C21" s="3" t="s">
        <v>54</v>
      </c>
      <c r="D21" s="3" t="s">
        <v>51</v>
      </c>
      <c r="E21" s="3" t="s">
        <v>14</v>
      </c>
      <c r="F21" s="3" t="s">
        <v>53</v>
      </c>
      <c r="G21" s="3">
        <f t="shared" si="2"/>
        <v>2.8745210697298862E-5</v>
      </c>
      <c r="H21" s="3">
        <f t="shared" si="2"/>
        <v>9.1498278339924148E-6</v>
      </c>
      <c r="I21" s="3">
        <f t="shared" si="2"/>
        <v>1.98723684366684E-8</v>
      </c>
      <c r="J21" s="3">
        <f t="shared" si="2"/>
        <v>2.8465184662090317E-6</v>
      </c>
      <c r="K21" s="3">
        <f t="shared" si="2"/>
        <v>5.934108091292831E-7</v>
      </c>
      <c r="L21" s="3">
        <f t="shared" si="2"/>
        <v>1.7629436523628641E-7</v>
      </c>
      <c r="M21" s="3">
        <f t="shared" si="2"/>
        <v>1.9908056384782831E-9</v>
      </c>
      <c r="N21" s="3">
        <f t="shared" si="2"/>
        <v>1.1993704870498156E-10</v>
      </c>
      <c r="O21" s="3">
        <f t="shared" si="2"/>
        <v>6.8310629065614114E-11</v>
      </c>
      <c r="P21" s="3">
        <f t="shared" si="2"/>
        <v>4.1332128679434104E-11</v>
      </c>
      <c r="Q21" s="3">
        <f t="shared" si="2"/>
        <v>4.1815270590270625E-11</v>
      </c>
      <c r="R21" s="5">
        <f t="shared" si="0"/>
        <v>4.153339674101806E-5</v>
      </c>
    </row>
    <row r="22" spans="1:18" x14ac:dyDescent="0.25">
      <c r="A22" t="s">
        <v>47</v>
      </c>
      <c r="B22">
        <v>2020</v>
      </c>
      <c r="C22" t="s">
        <v>52</v>
      </c>
      <c r="D22" t="s">
        <v>6</v>
      </c>
      <c r="E22" t="s">
        <v>14</v>
      </c>
      <c r="F22" t="s">
        <v>55</v>
      </c>
      <c r="G22">
        <v>1.7828370881625818E-5</v>
      </c>
      <c r="H22">
        <v>5.6950196658050593E-6</v>
      </c>
      <c r="I22">
        <v>1.157236438156781E-8</v>
      </c>
      <c r="J22">
        <v>2.8099345615977532E-6</v>
      </c>
      <c r="K22">
        <v>3.370537773079914E-7</v>
      </c>
      <c r="L22">
        <v>1.172234197334837E-7</v>
      </c>
      <c r="M22">
        <v>1.731881841031903E-9</v>
      </c>
      <c r="N22">
        <v>1.129092076834224E-10</v>
      </c>
      <c r="O22">
        <v>6.1428754517434359E-11</v>
      </c>
      <c r="P22">
        <v>4.0492932632514628E-11</v>
      </c>
      <c r="Q22">
        <v>3.6674314587990627E-11</v>
      </c>
      <c r="R22" s="5">
        <f t="shared" si="0"/>
        <v>2.6801158057502131E-5</v>
      </c>
    </row>
    <row r="23" spans="1:18" x14ac:dyDescent="0.25">
      <c r="A23" t="s">
        <v>47</v>
      </c>
      <c r="B23">
        <v>2025</v>
      </c>
      <c r="C23" t="s">
        <v>52</v>
      </c>
      <c r="D23" t="s">
        <v>6</v>
      </c>
      <c r="E23" t="s">
        <v>14</v>
      </c>
      <c r="F23" t="s">
        <v>55</v>
      </c>
      <c r="G23">
        <v>1.7828370881625818E-5</v>
      </c>
      <c r="H23">
        <v>5.6950196658050593E-6</v>
      </c>
      <c r="I23">
        <v>1.157236438156781E-8</v>
      </c>
      <c r="J23">
        <v>2.8099345615977532E-6</v>
      </c>
      <c r="K23">
        <v>3.370537773079914E-7</v>
      </c>
      <c r="L23">
        <v>1.172234197334837E-7</v>
      </c>
      <c r="M23">
        <v>1.731881841031903E-9</v>
      </c>
      <c r="N23">
        <v>1.129092076834224E-10</v>
      </c>
      <c r="O23">
        <v>6.1428754517434359E-11</v>
      </c>
      <c r="P23">
        <v>4.0492932632514628E-11</v>
      </c>
      <c r="Q23">
        <v>3.6674314587990627E-11</v>
      </c>
      <c r="R23" s="5">
        <f t="shared" si="0"/>
        <v>2.6801158057502131E-5</v>
      </c>
    </row>
    <row r="24" spans="1:18" x14ac:dyDescent="0.25">
      <c r="A24" t="s">
        <v>47</v>
      </c>
      <c r="B24">
        <v>2030</v>
      </c>
      <c r="C24" t="s">
        <v>52</v>
      </c>
      <c r="D24" t="s">
        <v>6</v>
      </c>
      <c r="E24" t="s">
        <v>14</v>
      </c>
      <c r="F24" t="s">
        <v>55</v>
      </c>
      <c r="G24">
        <v>1.7828370881625818E-5</v>
      </c>
      <c r="H24">
        <v>5.6950196658050593E-6</v>
      </c>
      <c r="I24">
        <v>1.157236438156781E-8</v>
      </c>
      <c r="J24">
        <v>2.8099345615977532E-6</v>
      </c>
      <c r="K24">
        <v>3.370537773079914E-7</v>
      </c>
      <c r="L24">
        <v>1.172234197334837E-7</v>
      </c>
      <c r="M24">
        <v>1.731881841031903E-9</v>
      </c>
      <c r="N24">
        <v>1.129092076834224E-10</v>
      </c>
      <c r="O24">
        <v>6.1428754517434359E-11</v>
      </c>
      <c r="P24">
        <v>4.0492932632514628E-11</v>
      </c>
      <c r="Q24">
        <v>3.6674314587990627E-11</v>
      </c>
      <c r="R24" s="5">
        <f t="shared" si="0"/>
        <v>2.6801158057502131E-5</v>
      </c>
    </row>
    <row r="25" spans="1:18" x14ac:dyDescent="0.25">
      <c r="A25" t="s">
        <v>47</v>
      </c>
      <c r="B25">
        <v>2035</v>
      </c>
      <c r="C25" t="s">
        <v>52</v>
      </c>
      <c r="D25" t="s">
        <v>6</v>
      </c>
      <c r="E25" t="s">
        <v>14</v>
      </c>
      <c r="F25" t="s">
        <v>55</v>
      </c>
      <c r="G25">
        <v>1.7828370881625818E-5</v>
      </c>
      <c r="H25">
        <v>5.6950196658050593E-6</v>
      </c>
      <c r="I25">
        <v>1.157236438156781E-8</v>
      </c>
      <c r="J25">
        <v>2.8099345615977532E-6</v>
      </c>
      <c r="K25">
        <v>3.370537773079914E-7</v>
      </c>
      <c r="L25">
        <v>1.172234197334837E-7</v>
      </c>
      <c r="M25">
        <v>1.731881841031903E-9</v>
      </c>
      <c r="N25">
        <v>1.129092076834224E-10</v>
      </c>
      <c r="O25">
        <v>6.1428754517434359E-11</v>
      </c>
      <c r="P25">
        <v>4.0492932632514628E-11</v>
      </c>
      <c r="Q25">
        <v>3.6674314587990627E-11</v>
      </c>
      <c r="R25" s="5">
        <f t="shared" si="0"/>
        <v>2.6801158057502131E-5</v>
      </c>
    </row>
    <row r="26" spans="1:18" x14ac:dyDescent="0.25">
      <c r="A26" t="s">
        <v>47</v>
      </c>
      <c r="B26">
        <v>2040</v>
      </c>
      <c r="C26" t="s">
        <v>52</v>
      </c>
      <c r="D26" t="s">
        <v>6</v>
      </c>
      <c r="E26" t="s">
        <v>14</v>
      </c>
      <c r="F26" t="s">
        <v>55</v>
      </c>
      <c r="G26">
        <v>1.7828370881625818E-5</v>
      </c>
      <c r="H26">
        <v>5.6950196658050593E-6</v>
      </c>
      <c r="I26">
        <v>1.157236438156781E-8</v>
      </c>
      <c r="J26">
        <v>2.8099345615977532E-6</v>
      </c>
      <c r="K26">
        <v>3.370537773079914E-7</v>
      </c>
      <c r="L26">
        <v>1.172234197334837E-7</v>
      </c>
      <c r="M26">
        <v>1.731881841031903E-9</v>
      </c>
      <c r="N26">
        <v>1.129092076834224E-10</v>
      </c>
      <c r="O26">
        <v>6.1428754517434359E-11</v>
      </c>
      <c r="P26">
        <v>4.0492932632514628E-11</v>
      </c>
      <c r="Q26">
        <v>3.6674314587990627E-11</v>
      </c>
      <c r="R26" s="5">
        <f t="shared" si="0"/>
        <v>2.6801158057502131E-5</v>
      </c>
    </row>
    <row r="27" spans="1:18" x14ac:dyDescent="0.25">
      <c r="A27" t="s">
        <v>47</v>
      </c>
      <c r="B27">
        <v>2020</v>
      </c>
      <c r="C27" t="s">
        <v>54</v>
      </c>
      <c r="D27" t="s">
        <v>51</v>
      </c>
      <c r="E27" t="s">
        <v>14</v>
      </c>
      <c r="F27" t="s">
        <v>55</v>
      </c>
      <c r="G27">
        <v>2.9510235462821421E-5</v>
      </c>
      <c r="H27">
        <v>9.3816937722951132E-6</v>
      </c>
      <c r="I27">
        <v>2.0545500979581289E-8</v>
      </c>
      <c r="J27">
        <v>2.8581496318614672E-6</v>
      </c>
      <c r="K27">
        <v>6.0225040460843501E-7</v>
      </c>
      <c r="L27">
        <v>1.786764281341725E-7</v>
      </c>
      <c r="M27">
        <v>1.9993337557759019E-9</v>
      </c>
      <c r="N27">
        <v>1.2311117687939239E-10</v>
      </c>
      <c r="O27">
        <v>7.1376152344830742E-11</v>
      </c>
      <c r="P27">
        <v>4.2732151671168893E-11</v>
      </c>
      <c r="Q27">
        <v>4.3673718915214657E-11</v>
      </c>
      <c r="R27" s="5">
        <f t="shared" si="0"/>
        <v>4.2553831427655785E-5</v>
      </c>
    </row>
    <row r="28" spans="1:18" x14ac:dyDescent="0.25">
      <c r="A28" t="s">
        <v>47</v>
      </c>
      <c r="B28">
        <v>2025</v>
      </c>
      <c r="C28" t="s">
        <v>54</v>
      </c>
      <c r="D28" t="s">
        <v>51</v>
      </c>
      <c r="E28" t="s">
        <v>14</v>
      </c>
      <c r="F28" t="s">
        <v>55</v>
      </c>
      <c r="G28">
        <v>2.9510235462821421E-5</v>
      </c>
      <c r="H28">
        <v>9.3816937722951132E-6</v>
      </c>
      <c r="I28">
        <v>2.0545500979581289E-8</v>
      </c>
      <c r="J28">
        <v>2.8581496318614672E-6</v>
      </c>
      <c r="K28">
        <v>6.0225040460843501E-7</v>
      </c>
      <c r="L28">
        <v>1.786764281341725E-7</v>
      </c>
      <c r="M28">
        <v>1.9993337557759019E-9</v>
      </c>
      <c r="N28">
        <v>1.2311117687939239E-10</v>
      </c>
      <c r="O28">
        <v>7.1376152344830742E-11</v>
      </c>
      <c r="P28">
        <v>4.2732151671168893E-11</v>
      </c>
      <c r="Q28">
        <v>4.3673718915214657E-11</v>
      </c>
      <c r="R28" s="5">
        <f t="shared" si="0"/>
        <v>4.2553831427655785E-5</v>
      </c>
    </row>
    <row r="29" spans="1:18" x14ac:dyDescent="0.25">
      <c r="A29" t="s">
        <v>47</v>
      </c>
      <c r="B29">
        <v>2030</v>
      </c>
      <c r="C29" t="s">
        <v>54</v>
      </c>
      <c r="D29" t="s">
        <v>51</v>
      </c>
      <c r="E29" t="s">
        <v>14</v>
      </c>
      <c r="F29" t="s">
        <v>55</v>
      </c>
      <c r="G29">
        <v>2.9510235462821421E-5</v>
      </c>
      <c r="H29">
        <v>9.3816937722951132E-6</v>
      </c>
      <c r="I29">
        <v>2.0545500979581289E-8</v>
      </c>
      <c r="J29">
        <v>2.8581496318614672E-6</v>
      </c>
      <c r="K29">
        <v>6.0225040460843501E-7</v>
      </c>
      <c r="L29">
        <v>1.786764281341725E-7</v>
      </c>
      <c r="M29">
        <v>1.9993337557759019E-9</v>
      </c>
      <c r="N29">
        <v>1.2311117687939239E-10</v>
      </c>
      <c r="O29">
        <v>7.1376152344830742E-11</v>
      </c>
      <c r="P29">
        <v>4.2732151671168893E-11</v>
      </c>
      <c r="Q29">
        <v>4.3673718915214657E-11</v>
      </c>
      <c r="R29" s="5">
        <f t="shared" si="0"/>
        <v>4.2553831427655785E-5</v>
      </c>
    </row>
    <row r="30" spans="1:18" x14ac:dyDescent="0.25">
      <c r="A30" t="s">
        <v>47</v>
      </c>
      <c r="B30">
        <v>2035</v>
      </c>
      <c r="C30" t="s">
        <v>54</v>
      </c>
      <c r="D30" t="s">
        <v>51</v>
      </c>
      <c r="E30" t="s">
        <v>14</v>
      </c>
      <c r="F30" t="s">
        <v>55</v>
      </c>
      <c r="G30">
        <v>2.9510235462821421E-5</v>
      </c>
      <c r="H30">
        <v>9.3816937722951132E-6</v>
      </c>
      <c r="I30">
        <v>2.0545500979581289E-8</v>
      </c>
      <c r="J30">
        <v>2.8581496318614672E-6</v>
      </c>
      <c r="K30">
        <v>6.0225040460843501E-7</v>
      </c>
      <c r="L30">
        <v>1.786764281341725E-7</v>
      </c>
      <c r="M30">
        <v>1.9993337557759019E-9</v>
      </c>
      <c r="N30">
        <v>1.2311117687939239E-10</v>
      </c>
      <c r="O30">
        <v>7.1376152344830742E-11</v>
      </c>
      <c r="P30">
        <v>4.2732151671168893E-11</v>
      </c>
      <c r="Q30">
        <v>4.3673718915214657E-11</v>
      </c>
      <c r="R30" s="5">
        <f t="shared" si="0"/>
        <v>4.2553831427655785E-5</v>
      </c>
    </row>
    <row r="31" spans="1:18" x14ac:dyDescent="0.25">
      <c r="A31" t="s">
        <v>47</v>
      </c>
      <c r="B31">
        <v>2040</v>
      </c>
      <c r="C31" t="s">
        <v>54</v>
      </c>
      <c r="D31" t="s">
        <v>51</v>
      </c>
      <c r="E31" t="s">
        <v>14</v>
      </c>
      <c r="F31" t="s">
        <v>55</v>
      </c>
      <c r="G31">
        <v>2.9510235462821421E-5</v>
      </c>
      <c r="H31">
        <v>9.3816937722951132E-6</v>
      </c>
      <c r="I31">
        <v>2.0545500979581289E-8</v>
      </c>
      <c r="J31">
        <v>2.8581496318614672E-6</v>
      </c>
      <c r="K31">
        <v>6.0225040460843501E-7</v>
      </c>
      <c r="L31">
        <v>1.786764281341725E-7</v>
      </c>
      <c r="M31">
        <v>1.9993337557759019E-9</v>
      </c>
      <c r="N31">
        <v>1.2311117687939239E-10</v>
      </c>
      <c r="O31">
        <v>7.1376152344830742E-11</v>
      </c>
      <c r="P31">
        <v>4.2732151671168893E-11</v>
      </c>
      <c r="Q31">
        <v>4.3673718915214657E-11</v>
      </c>
      <c r="R31" s="5">
        <f t="shared" si="0"/>
        <v>4.2553831427655785E-5</v>
      </c>
    </row>
    <row r="32" spans="1:18" x14ac:dyDescent="0.25">
      <c r="A32" t="s">
        <v>47</v>
      </c>
      <c r="B32">
        <v>2020</v>
      </c>
      <c r="C32" t="s">
        <v>56</v>
      </c>
      <c r="D32" t="s">
        <v>6</v>
      </c>
      <c r="E32" t="s">
        <v>7</v>
      </c>
      <c r="F32" t="s">
        <v>49</v>
      </c>
      <c r="G32">
        <v>1.776458177069454E-7</v>
      </c>
      <c r="H32">
        <v>5.3813716796846222E-8</v>
      </c>
      <c r="I32">
        <v>3.7909546481737837E-11</v>
      </c>
      <c r="J32">
        <v>2.3803895497257009E-9</v>
      </c>
      <c r="K32">
        <v>9.4756707628995277E-10</v>
      </c>
      <c r="L32">
        <v>4.0846561184268262E-10</v>
      </c>
      <c r="M32">
        <v>1.438268577675722E-12</v>
      </c>
      <c r="N32">
        <v>7.9917180020874592E-13</v>
      </c>
      <c r="O32">
        <v>1.689912923444346E-12</v>
      </c>
      <c r="P32">
        <v>3.5057454616357852E-13</v>
      </c>
      <c r="Q32">
        <v>7.2616593896911296E-13</v>
      </c>
      <c r="R32" s="5">
        <f t="shared" si="0"/>
        <v>2.3523887038191819E-7</v>
      </c>
    </row>
    <row r="33" spans="1:18" x14ac:dyDescent="0.25">
      <c r="A33" t="s">
        <v>47</v>
      </c>
      <c r="B33">
        <v>2025</v>
      </c>
      <c r="C33" t="s">
        <v>56</v>
      </c>
      <c r="D33" t="s">
        <v>6</v>
      </c>
      <c r="E33" t="s">
        <v>7</v>
      </c>
      <c r="F33" t="s">
        <v>49</v>
      </c>
      <c r="G33">
        <v>1.776458177069454E-7</v>
      </c>
      <c r="H33">
        <v>5.3813716796846222E-8</v>
      </c>
      <c r="I33">
        <v>3.7909546481737837E-11</v>
      </c>
      <c r="J33">
        <v>2.3803895497257009E-9</v>
      </c>
      <c r="K33">
        <v>9.4756707628995277E-10</v>
      </c>
      <c r="L33">
        <v>4.0846561184268262E-10</v>
      </c>
      <c r="M33">
        <v>1.438268577675722E-12</v>
      </c>
      <c r="N33">
        <v>7.9917180020874592E-13</v>
      </c>
      <c r="O33">
        <v>1.689912923444346E-12</v>
      </c>
      <c r="P33">
        <v>3.5057454616357852E-13</v>
      </c>
      <c r="Q33">
        <v>7.2616593896911296E-13</v>
      </c>
      <c r="R33" s="5">
        <f t="shared" si="0"/>
        <v>2.3523887038191819E-7</v>
      </c>
    </row>
    <row r="34" spans="1:18" x14ac:dyDescent="0.25">
      <c r="A34" t="s">
        <v>47</v>
      </c>
      <c r="B34">
        <v>2030</v>
      </c>
      <c r="C34" t="s">
        <v>56</v>
      </c>
      <c r="D34" t="s">
        <v>6</v>
      </c>
      <c r="E34" t="s">
        <v>7</v>
      </c>
      <c r="F34" t="s">
        <v>49</v>
      </c>
      <c r="G34">
        <v>1.776458177069454E-7</v>
      </c>
      <c r="H34">
        <v>5.3813716796846222E-8</v>
      </c>
      <c r="I34">
        <v>3.7909546481737837E-11</v>
      </c>
      <c r="J34">
        <v>2.3803895497257009E-9</v>
      </c>
      <c r="K34">
        <v>9.4756707628995277E-10</v>
      </c>
      <c r="L34">
        <v>4.0846561184268262E-10</v>
      </c>
      <c r="M34">
        <v>1.438268577675722E-12</v>
      </c>
      <c r="N34">
        <v>7.9917180020874592E-13</v>
      </c>
      <c r="O34">
        <v>1.689912923444346E-12</v>
      </c>
      <c r="P34">
        <v>3.5057454616357852E-13</v>
      </c>
      <c r="Q34">
        <v>7.2616593896911296E-13</v>
      </c>
      <c r="R34" s="5">
        <f t="shared" si="0"/>
        <v>2.3523887038191819E-7</v>
      </c>
    </row>
    <row r="35" spans="1:18" x14ac:dyDescent="0.25">
      <c r="A35" t="s">
        <v>47</v>
      </c>
      <c r="B35">
        <v>2035</v>
      </c>
      <c r="C35" t="s">
        <v>56</v>
      </c>
      <c r="D35" t="s">
        <v>6</v>
      </c>
      <c r="E35" t="s">
        <v>7</v>
      </c>
      <c r="F35" t="s">
        <v>49</v>
      </c>
      <c r="G35">
        <v>1.776458177069454E-7</v>
      </c>
      <c r="H35">
        <v>5.3813716796846222E-8</v>
      </c>
      <c r="I35">
        <v>3.7909546481737837E-11</v>
      </c>
      <c r="J35">
        <v>2.3803895497257009E-9</v>
      </c>
      <c r="K35">
        <v>9.4756707628995277E-10</v>
      </c>
      <c r="L35">
        <v>4.0846561184268262E-10</v>
      </c>
      <c r="M35">
        <v>1.438268577675722E-12</v>
      </c>
      <c r="N35">
        <v>7.9917180020874592E-13</v>
      </c>
      <c r="O35">
        <v>1.689912923444346E-12</v>
      </c>
      <c r="P35">
        <v>3.5057454616357852E-13</v>
      </c>
      <c r="Q35">
        <v>7.2616593896911296E-13</v>
      </c>
      <c r="R35" s="5">
        <f t="shared" si="0"/>
        <v>2.3523887038191819E-7</v>
      </c>
    </row>
    <row r="36" spans="1:18" x14ac:dyDescent="0.25">
      <c r="A36" t="s">
        <v>47</v>
      </c>
      <c r="B36">
        <v>2040</v>
      </c>
      <c r="C36" t="s">
        <v>56</v>
      </c>
      <c r="D36" t="s">
        <v>6</v>
      </c>
      <c r="E36" t="s">
        <v>7</v>
      </c>
      <c r="F36" t="s">
        <v>49</v>
      </c>
      <c r="G36">
        <v>1.776458177069454E-7</v>
      </c>
      <c r="H36">
        <v>5.3813716796846222E-8</v>
      </c>
      <c r="I36">
        <v>3.7909546481737837E-11</v>
      </c>
      <c r="J36">
        <v>2.3803895497257009E-9</v>
      </c>
      <c r="K36">
        <v>9.4756707628995277E-10</v>
      </c>
      <c r="L36">
        <v>4.0846561184268262E-10</v>
      </c>
      <c r="M36">
        <v>1.438268577675722E-12</v>
      </c>
      <c r="N36">
        <v>7.9917180020874592E-13</v>
      </c>
      <c r="O36">
        <v>1.689912923444346E-12</v>
      </c>
      <c r="P36">
        <v>3.5057454616357852E-13</v>
      </c>
      <c r="Q36">
        <v>7.2616593896911296E-13</v>
      </c>
      <c r="R36" s="5">
        <f t="shared" si="0"/>
        <v>2.3523887038191819E-7</v>
      </c>
    </row>
    <row r="37" spans="1:18" x14ac:dyDescent="0.25">
      <c r="A37" t="s">
        <v>47</v>
      </c>
      <c r="B37">
        <v>2020</v>
      </c>
      <c r="C37" t="s">
        <v>57</v>
      </c>
      <c r="D37" t="s">
        <v>51</v>
      </c>
      <c r="E37" t="s">
        <v>7</v>
      </c>
      <c r="F37" t="s">
        <v>49</v>
      </c>
      <c r="G37">
        <v>5.6105656496781667E-7</v>
      </c>
      <c r="H37">
        <v>1.697522194370514E-7</v>
      </c>
      <c r="I37">
        <v>4.0818944602351351E-10</v>
      </c>
      <c r="J37">
        <v>8.4098534050182733E-9</v>
      </c>
      <c r="K37">
        <v>5.4649894707483041E-9</v>
      </c>
      <c r="L37">
        <v>1.5795785512313729E-9</v>
      </c>
      <c r="M37">
        <v>4.5003089909334983E-12</v>
      </c>
      <c r="N37">
        <v>2.42218498118649E-12</v>
      </c>
      <c r="O37">
        <v>2.7200291214595769E-12</v>
      </c>
      <c r="P37">
        <v>1.06817215736987E-12</v>
      </c>
      <c r="Q37">
        <v>1.3749444624998709E-12</v>
      </c>
      <c r="R37" s="5">
        <f t="shared" si="0"/>
        <v>7.4668348091760306E-7</v>
      </c>
    </row>
    <row r="38" spans="1:18" x14ac:dyDescent="0.25">
      <c r="A38" t="s">
        <v>47</v>
      </c>
      <c r="B38">
        <v>2025</v>
      </c>
      <c r="C38" t="s">
        <v>57</v>
      </c>
      <c r="D38" t="s">
        <v>51</v>
      </c>
      <c r="E38" t="s">
        <v>7</v>
      </c>
      <c r="F38" t="s">
        <v>49</v>
      </c>
      <c r="G38">
        <v>5.6105656496781667E-7</v>
      </c>
      <c r="H38">
        <v>1.697522194370514E-7</v>
      </c>
      <c r="I38">
        <v>4.0818944602351351E-10</v>
      </c>
      <c r="J38">
        <v>8.4098534050182733E-9</v>
      </c>
      <c r="K38">
        <v>5.4649894707483041E-9</v>
      </c>
      <c r="L38">
        <v>1.5795785512313729E-9</v>
      </c>
      <c r="M38">
        <v>4.5003089909334983E-12</v>
      </c>
      <c r="N38">
        <v>2.42218498118649E-12</v>
      </c>
      <c r="O38">
        <v>2.7200291214595769E-12</v>
      </c>
      <c r="P38">
        <v>1.06817215736987E-12</v>
      </c>
      <c r="Q38">
        <v>1.3749444624998709E-12</v>
      </c>
      <c r="R38" s="5">
        <f t="shared" si="0"/>
        <v>7.4668348091760306E-7</v>
      </c>
    </row>
    <row r="39" spans="1:18" x14ac:dyDescent="0.25">
      <c r="A39" t="s">
        <v>47</v>
      </c>
      <c r="B39">
        <v>2030</v>
      </c>
      <c r="C39" t="s">
        <v>57</v>
      </c>
      <c r="D39" t="s">
        <v>51</v>
      </c>
      <c r="E39" t="s">
        <v>7</v>
      </c>
      <c r="F39" t="s">
        <v>49</v>
      </c>
      <c r="G39">
        <v>5.6105656496781667E-7</v>
      </c>
      <c r="H39">
        <v>1.697522194370514E-7</v>
      </c>
      <c r="I39">
        <v>4.0818944602351351E-10</v>
      </c>
      <c r="J39">
        <v>8.4098534050182733E-9</v>
      </c>
      <c r="K39">
        <v>5.4649894707483041E-9</v>
      </c>
      <c r="L39">
        <v>1.5795785512313729E-9</v>
      </c>
      <c r="M39">
        <v>4.5003089909334983E-12</v>
      </c>
      <c r="N39">
        <v>2.42218498118649E-12</v>
      </c>
      <c r="O39">
        <v>2.7200291214595769E-12</v>
      </c>
      <c r="P39">
        <v>1.06817215736987E-12</v>
      </c>
      <c r="Q39">
        <v>1.3749444624998709E-12</v>
      </c>
      <c r="R39" s="5">
        <f t="shared" si="0"/>
        <v>7.4668348091760306E-7</v>
      </c>
    </row>
    <row r="40" spans="1:18" x14ac:dyDescent="0.25">
      <c r="A40" t="s">
        <v>47</v>
      </c>
      <c r="B40">
        <v>2035</v>
      </c>
      <c r="C40" t="s">
        <v>57</v>
      </c>
      <c r="D40" t="s">
        <v>51</v>
      </c>
      <c r="E40" t="s">
        <v>7</v>
      </c>
      <c r="F40" t="s">
        <v>49</v>
      </c>
      <c r="G40">
        <v>5.6105656496781667E-7</v>
      </c>
      <c r="H40">
        <v>1.697522194370514E-7</v>
      </c>
      <c r="I40">
        <v>4.0818944602351351E-10</v>
      </c>
      <c r="J40">
        <v>8.4098534050182733E-9</v>
      </c>
      <c r="K40">
        <v>5.4649894707483041E-9</v>
      </c>
      <c r="L40">
        <v>1.5795785512313729E-9</v>
      </c>
      <c r="M40">
        <v>4.5003089909334983E-12</v>
      </c>
      <c r="N40">
        <v>2.42218498118649E-12</v>
      </c>
      <c r="O40">
        <v>2.7200291214595769E-12</v>
      </c>
      <c r="P40">
        <v>1.06817215736987E-12</v>
      </c>
      <c r="Q40">
        <v>1.3749444624998709E-12</v>
      </c>
      <c r="R40" s="5">
        <f t="shared" si="0"/>
        <v>7.4668348091760306E-7</v>
      </c>
    </row>
    <row r="41" spans="1:18" x14ac:dyDescent="0.25">
      <c r="A41" t="s">
        <v>47</v>
      </c>
      <c r="B41">
        <v>2040</v>
      </c>
      <c r="C41" t="s">
        <v>57</v>
      </c>
      <c r="D41" t="s">
        <v>51</v>
      </c>
      <c r="E41" t="s">
        <v>7</v>
      </c>
      <c r="F41" t="s">
        <v>49</v>
      </c>
      <c r="G41">
        <v>5.6105656496781667E-7</v>
      </c>
      <c r="H41">
        <v>1.697522194370514E-7</v>
      </c>
      <c r="I41">
        <v>4.0818944602351351E-10</v>
      </c>
      <c r="J41">
        <v>8.4098534050182733E-9</v>
      </c>
      <c r="K41">
        <v>5.4649894707483041E-9</v>
      </c>
      <c r="L41">
        <v>1.5795785512313729E-9</v>
      </c>
      <c r="M41">
        <v>4.5003089909334983E-12</v>
      </c>
      <c r="N41">
        <v>2.42218498118649E-12</v>
      </c>
      <c r="O41">
        <v>2.7200291214595769E-12</v>
      </c>
      <c r="P41">
        <v>1.06817215736987E-12</v>
      </c>
      <c r="Q41">
        <v>1.3749444624998709E-12</v>
      </c>
      <c r="R41" s="5">
        <f t="shared" si="0"/>
        <v>7.4668348091760306E-7</v>
      </c>
    </row>
    <row r="42" spans="1:18" s="3" customFormat="1" x14ac:dyDescent="0.25">
      <c r="A42" s="3" t="s">
        <v>47</v>
      </c>
      <c r="B42" s="3">
        <v>2020</v>
      </c>
      <c r="C42" s="3" t="s">
        <v>58</v>
      </c>
      <c r="D42" s="3" t="s">
        <v>6</v>
      </c>
      <c r="E42" s="3" t="s">
        <v>7</v>
      </c>
      <c r="F42" s="3" t="s">
        <v>53</v>
      </c>
      <c r="G42" s="3">
        <f>G52-G32</f>
        <v>5.3909982438774134E-5</v>
      </c>
      <c r="H42" s="3">
        <f t="shared" ref="H42:Q42" si="3">H52-H32</f>
        <v>1.6173121364577143E-5</v>
      </c>
      <c r="I42" s="3">
        <f t="shared" si="3"/>
        <v>5.7670926361054574E-8</v>
      </c>
      <c r="J42" s="3">
        <f t="shared" si="3"/>
        <v>2.9949620838667281E-6</v>
      </c>
      <c r="K42" s="3">
        <f t="shared" si="3"/>
        <v>1.953462442210048E-6</v>
      </c>
      <c r="L42" s="3">
        <f t="shared" si="3"/>
        <v>1.5874871214204593E-6</v>
      </c>
      <c r="M42" s="3">
        <f t="shared" si="3"/>
        <v>8.9631898838070874E-9</v>
      </c>
      <c r="N42" s="3">
        <f t="shared" si="3"/>
        <v>5.204520355738744E-10</v>
      </c>
      <c r="O42" s="3">
        <f t="shared" si="3"/>
        <v>6.9758873263215178E-10</v>
      </c>
      <c r="P42" s="3">
        <f t="shared" si="3"/>
        <v>7.1427453183288001E-11</v>
      </c>
      <c r="Q42" s="3">
        <f t="shared" si="3"/>
        <v>4.5538887409933749E-10</v>
      </c>
      <c r="R42" s="5">
        <f t="shared" si="0"/>
        <v>7.6687394424188859E-5</v>
      </c>
    </row>
    <row r="43" spans="1:18" s="3" customFormat="1" x14ac:dyDescent="0.25">
      <c r="A43" s="3" t="s">
        <v>47</v>
      </c>
      <c r="B43" s="3">
        <v>2025</v>
      </c>
      <c r="C43" s="3" t="s">
        <v>58</v>
      </c>
      <c r="D43" s="3" t="s">
        <v>6</v>
      </c>
      <c r="E43" s="3" t="s">
        <v>7</v>
      </c>
      <c r="F43" s="3" t="s">
        <v>53</v>
      </c>
      <c r="G43" s="3">
        <f t="shared" ref="G43:Q51" si="4">G53-G33</f>
        <v>5.3909982438774134E-5</v>
      </c>
      <c r="H43" s="3">
        <f t="shared" si="4"/>
        <v>1.6173121364577143E-5</v>
      </c>
      <c r="I43" s="3">
        <f t="shared" si="4"/>
        <v>5.7670926361054574E-8</v>
      </c>
      <c r="J43" s="3">
        <f t="shared" si="4"/>
        <v>2.9949620838667281E-6</v>
      </c>
      <c r="K43" s="3">
        <f t="shared" si="4"/>
        <v>1.953462442210048E-6</v>
      </c>
      <c r="L43" s="3">
        <f t="shared" si="4"/>
        <v>1.5874871214204593E-6</v>
      </c>
      <c r="M43" s="3">
        <f t="shared" si="4"/>
        <v>8.9631898838070874E-9</v>
      </c>
      <c r="N43" s="3">
        <f t="shared" si="4"/>
        <v>5.204520355738744E-10</v>
      </c>
      <c r="O43" s="3">
        <f t="shared" si="4"/>
        <v>6.9758873263215178E-10</v>
      </c>
      <c r="P43" s="3">
        <f t="shared" si="4"/>
        <v>7.1427453183288001E-11</v>
      </c>
      <c r="Q43" s="3">
        <f t="shared" si="4"/>
        <v>4.5538887409933749E-10</v>
      </c>
      <c r="R43" s="5">
        <f t="shared" si="0"/>
        <v>7.6687394424188859E-5</v>
      </c>
    </row>
    <row r="44" spans="1:18" s="3" customFormat="1" x14ac:dyDescent="0.25">
      <c r="A44" s="3" t="s">
        <v>47</v>
      </c>
      <c r="B44" s="3">
        <v>2030</v>
      </c>
      <c r="C44" s="3" t="s">
        <v>58</v>
      </c>
      <c r="D44" s="3" t="s">
        <v>6</v>
      </c>
      <c r="E44" s="3" t="s">
        <v>7</v>
      </c>
      <c r="F44" s="3" t="s">
        <v>53</v>
      </c>
      <c r="G44" s="3">
        <f t="shared" si="4"/>
        <v>5.3909982438774134E-5</v>
      </c>
      <c r="H44" s="3">
        <f t="shared" si="4"/>
        <v>1.6173121364577143E-5</v>
      </c>
      <c r="I44" s="3">
        <f t="shared" si="4"/>
        <v>5.7670926361054574E-8</v>
      </c>
      <c r="J44" s="3">
        <f t="shared" si="4"/>
        <v>2.9949620838667281E-6</v>
      </c>
      <c r="K44" s="3">
        <f t="shared" si="4"/>
        <v>1.953462442210048E-6</v>
      </c>
      <c r="L44" s="3">
        <f t="shared" si="4"/>
        <v>1.5874871214204593E-6</v>
      </c>
      <c r="M44" s="3">
        <f t="shared" si="4"/>
        <v>8.9631898838070874E-9</v>
      </c>
      <c r="N44" s="3">
        <f t="shared" si="4"/>
        <v>5.204520355738744E-10</v>
      </c>
      <c r="O44" s="3">
        <f t="shared" si="4"/>
        <v>6.9758873263215178E-10</v>
      </c>
      <c r="P44" s="3">
        <f t="shared" si="4"/>
        <v>7.1427453183288001E-11</v>
      </c>
      <c r="Q44" s="3">
        <f t="shared" si="4"/>
        <v>4.5538887409933749E-10</v>
      </c>
      <c r="R44" s="5">
        <f t="shared" si="0"/>
        <v>7.6687394424188859E-5</v>
      </c>
    </row>
    <row r="45" spans="1:18" s="3" customFormat="1" x14ac:dyDescent="0.25">
      <c r="A45" s="3" t="s">
        <v>47</v>
      </c>
      <c r="B45" s="3">
        <v>2035</v>
      </c>
      <c r="C45" s="3" t="s">
        <v>58</v>
      </c>
      <c r="D45" s="3" t="s">
        <v>6</v>
      </c>
      <c r="E45" s="3" t="s">
        <v>7</v>
      </c>
      <c r="F45" s="3" t="s">
        <v>53</v>
      </c>
      <c r="G45" s="3">
        <f t="shared" si="4"/>
        <v>5.3909982438774134E-5</v>
      </c>
      <c r="H45" s="3">
        <f t="shared" si="4"/>
        <v>1.6173121364577143E-5</v>
      </c>
      <c r="I45" s="3">
        <f t="shared" si="4"/>
        <v>5.7670926361054574E-8</v>
      </c>
      <c r="J45" s="3">
        <f t="shared" si="4"/>
        <v>2.9949620838667281E-6</v>
      </c>
      <c r="K45" s="3">
        <f t="shared" si="4"/>
        <v>1.953462442210048E-6</v>
      </c>
      <c r="L45" s="3">
        <f t="shared" si="4"/>
        <v>1.5874871214204593E-6</v>
      </c>
      <c r="M45" s="3">
        <f t="shared" si="4"/>
        <v>8.9631898838070874E-9</v>
      </c>
      <c r="N45" s="3">
        <f t="shared" si="4"/>
        <v>5.204520355738744E-10</v>
      </c>
      <c r="O45" s="3">
        <f t="shared" si="4"/>
        <v>6.9758873263215178E-10</v>
      </c>
      <c r="P45" s="3">
        <f t="shared" si="4"/>
        <v>7.1427453183288001E-11</v>
      </c>
      <c r="Q45" s="3">
        <f t="shared" si="4"/>
        <v>4.5538887409933749E-10</v>
      </c>
      <c r="R45" s="5">
        <f t="shared" si="0"/>
        <v>7.6687394424188859E-5</v>
      </c>
    </row>
    <row r="46" spans="1:18" s="3" customFormat="1" x14ac:dyDescent="0.25">
      <c r="A46" s="3" t="s">
        <v>47</v>
      </c>
      <c r="B46" s="3">
        <v>2040</v>
      </c>
      <c r="C46" s="3" t="s">
        <v>58</v>
      </c>
      <c r="D46" s="3" t="s">
        <v>6</v>
      </c>
      <c r="E46" s="3" t="s">
        <v>7</v>
      </c>
      <c r="F46" s="3" t="s">
        <v>53</v>
      </c>
      <c r="G46" s="3">
        <f t="shared" si="4"/>
        <v>5.3909982438774134E-5</v>
      </c>
      <c r="H46" s="3">
        <f t="shared" si="4"/>
        <v>1.6173121364577143E-5</v>
      </c>
      <c r="I46" s="3">
        <f t="shared" si="4"/>
        <v>5.7670926361054574E-8</v>
      </c>
      <c r="J46" s="3">
        <f t="shared" si="4"/>
        <v>2.9949620838667281E-6</v>
      </c>
      <c r="K46" s="3">
        <f t="shared" si="4"/>
        <v>1.953462442210048E-6</v>
      </c>
      <c r="L46" s="3">
        <f t="shared" si="4"/>
        <v>1.5874871214204593E-6</v>
      </c>
      <c r="M46" s="3">
        <f t="shared" si="4"/>
        <v>8.9631898838070874E-9</v>
      </c>
      <c r="N46" s="3">
        <f t="shared" si="4"/>
        <v>5.204520355738744E-10</v>
      </c>
      <c r="O46" s="3">
        <f t="shared" si="4"/>
        <v>6.9758873263215178E-10</v>
      </c>
      <c r="P46" s="3">
        <f t="shared" si="4"/>
        <v>7.1427453183288001E-11</v>
      </c>
      <c r="Q46" s="3">
        <f t="shared" si="4"/>
        <v>4.5538887409933749E-10</v>
      </c>
      <c r="R46" s="5">
        <f t="shared" si="0"/>
        <v>7.6687394424188859E-5</v>
      </c>
    </row>
    <row r="47" spans="1:18" s="3" customFormat="1" x14ac:dyDescent="0.25">
      <c r="A47" s="3" t="s">
        <v>47</v>
      </c>
      <c r="B47" s="3">
        <v>2020</v>
      </c>
      <c r="C47" s="3" t="s">
        <v>59</v>
      </c>
      <c r="D47" s="3" t="s">
        <v>51</v>
      </c>
      <c r="E47" s="3" t="s">
        <v>7</v>
      </c>
      <c r="F47" s="3" t="s">
        <v>53</v>
      </c>
      <c r="G47" s="3">
        <f t="shared" si="4"/>
        <v>5.7135789593632307E-5</v>
      </c>
      <c r="H47" s="3">
        <f t="shared" si="4"/>
        <v>1.7181712577391618E-5</v>
      </c>
      <c r="I47" s="3">
        <f t="shared" si="4"/>
        <v>5.9992934692517235E-8</v>
      </c>
      <c r="J47" s="3">
        <f t="shared" si="4"/>
        <v>3.0126481038010118E-6</v>
      </c>
      <c r="K47" s="3">
        <f t="shared" si="4"/>
        <v>2.0135007354764705E-6</v>
      </c>
      <c r="L47" s="3">
        <f t="shared" si="4"/>
        <v>1.6006058076450405E-6</v>
      </c>
      <c r="M47" s="3">
        <f t="shared" si="4"/>
        <v>9.0382470515280571E-9</v>
      </c>
      <c r="N47" s="3">
        <f t="shared" si="4"/>
        <v>5.2550279198173255E-10</v>
      </c>
      <c r="O47" s="3">
        <f t="shared" si="4"/>
        <v>6.8861873319620301E-10</v>
      </c>
      <c r="P47" s="3">
        <f t="shared" si="4"/>
        <v>7.3027789900120716E-11</v>
      </c>
      <c r="Q47" s="3">
        <f t="shared" si="4"/>
        <v>4.4966115661883284E-10</v>
      </c>
      <c r="R47" s="5">
        <f t="shared" si="0"/>
        <v>8.1015024810162208E-5</v>
      </c>
    </row>
    <row r="48" spans="1:18" s="3" customFormat="1" x14ac:dyDescent="0.25">
      <c r="A48" s="3" t="s">
        <v>47</v>
      </c>
      <c r="B48" s="3">
        <v>2025</v>
      </c>
      <c r="C48" s="3" t="s">
        <v>59</v>
      </c>
      <c r="D48" s="3" t="s">
        <v>51</v>
      </c>
      <c r="E48" s="3" t="s">
        <v>7</v>
      </c>
      <c r="F48" s="3" t="s">
        <v>53</v>
      </c>
      <c r="G48" s="3">
        <f t="shared" si="4"/>
        <v>5.7135789593632307E-5</v>
      </c>
      <c r="H48" s="3">
        <f t="shared" si="4"/>
        <v>1.7181712577391618E-5</v>
      </c>
      <c r="I48" s="3">
        <f t="shared" si="4"/>
        <v>5.9992934692517235E-8</v>
      </c>
      <c r="J48" s="3">
        <f t="shared" si="4"/>
        <v>3.0126481038010118E-6</v>
      </c>
      <c r="K48" s="3">
        <f t="shared" si="4"/>
        <v>2.0135007354764705E-6</v>
      </c>
      <c r="L48" s="3">
        <f t="shared" si="4"/>
        <v>1.6006058076450405E-6</v>
      </c>
      <c r="M48" s="3">
        <f t="shared" si="4"/>
        <v>9.0382470515280571E-9</v>
      </c>
      <c r="N48" s="3">
        <f t="shared" si="4"/>
        <v>5.2550279198173255E-10</v>
      </c>
      <c r="O48" s="3">
        <f t="shared" si="4"/>
        <v>6.8861873319620301E-10</v>
      </c>
      <c r="P48" s="3">
        <f t="shared" si="4"/>
        <v>7.3027789900120716E-11</v>
      </c>
      <c r="Q48" s="3">
        <f t="shared" si="4"/>
        <v>4.4966115661883284E-10</v>
      </c>
      <c r="R48" s="5">
        <f t="shared" si="0"/>
        <v>8.1015024810162208E-5</v>
      </c>
    </row>
    <row r="49" spans="1:18" s="3" customFormat="1" x14ac:dyDescent="0.25">
      <c r="A49" s="3" t="s">
        <v>47</v>
      </c>
      <c r="B49" s="3">
        <v>2030</v>
      </c>
      <c r="C49" s="3" t="s">
        <v>59</v>
      </c>
      <c r="D49" s="3" t="s">
        <v>51</v>
      </c>
      <c r="E49" s="3" t="s">
        <v>7</v>
      </c>
      <c r="F49" s="3" t="s">
        <v>53</v>
      </c>
      <c r="G49" s="3">
        <f t="shared" si="4"/>
        <v>5.7135789593632307E-5</v>
      </c>
      <c r="H49" s="3">
        <f t="shared" si="4"/>
        <v>1.7181712577391618E-5</v>
      </c>
      <c r="I49" s="3">
        <f t="shared" si="4"/>
        <v>5.9992934692517235E-8</v>
      </c>
      <c r="J49" s="3">
        <f t="shared" si="4"/>
        <v>3.0126481038010118E-6</v>
      </c>
      <c r="K49" s="3">
        <f t="shared" si="4"/>
        <v>2.0135007354764705E-6</v>
      </c>
      <c r="L49" s="3">
        <f t="shared" si="4"/>
        <v>1.6006058076450405E-6</v>
      </c>
      <c r="M49" s="3">
        <f t="shared" si="4"/>
        <v>9.0382470515280571E-9</v>
      </c>
      <c r="N49" s="3">
        <f t="shared" si="4"/>
        <v>5.2550279198173255E-10</v>
      </c>
      <c r="O49" s="3">
        <f t="shared" si="4"/>
        <v>6.8861873319620301E-10</v>
      </c>
      <c r="P49" s="3">
        <f t="shared" si="4"/>
        <v>7.3027789900120716E-11</v>
      </c>
      <c r="Q49" s="3">
        <f t="shared" si="4"/>
        <v>4.4966115661883284E-10</v>
      </c>
      <c r="R49" s="5">
        <f t="shared" si="0"/>
        <v>8.1015024810162208E-5</v>
      </c>
    </row>
    <row r="50" spans="1:18" s="3" customFormat="1" x14ac:dyDescent="0.25">
      <c r="A50" s="3" t="s">
        <v>47</v>
      </c>
      <c r="B50" s="3">
        <v>2035</v>
      </c>
      <c r="C50" s="3" t="s">
        <v>59</v>
      </c>
      <c r="D50" s="3" t="s">
        <v>51</v>
      </c>
      <c r="E50" s="3" t="s">
        <v>7</v>
      </c>
      <c r="F50" s="3" t="s">
        <v>53</v>
      </c>
      <c r="G50" s="3">
        <f t="shared" si="4"/>
        <v>5.7135789593632307E-5</v>
      </c>
      <c r="H50" s="3">
        <f t="shared" si="4"/>
        <v>1.7181712577391618E-5</v>
      </c>
      <c r="I50" s="3">
        <f t="shared" si="4"/>
        <v>5.9992934692517235E-8</v>
      </c>
      <c r="J50" s="3">
        <f t="shared" si="4"/>
        <v>3.0126481038010118E-6</v>
      </c>
      <c r="K50" s="3">
        <f t="shared" si="4"/>
        <v>2.0135007354764705E-6</v>
      </c>
      <c r="L50" s="3">
        <f t="shared" si="4"/>
        <v>1.6006058076450405E-6</v>
      </c>
      <c r="M50" s="3">
        <f t="shared" si="4"/>
        <v>9.0382470515280571E-9</v>
      </c>
      <c r="N50" s="3">
        <f t="shared" si="4"/>
        <v>5.2550279198173255E-10</v>
      </c>
      <c r="O50" s="3">
        <f t="shared" si="4"/>
        <v>6.8861873319620301E-10</v>
      </c>
      <c r="P50" s="3">
        <f t="shared" si="4"/>
        <v>7.3027789900120716E-11</v>
      </c>
      <c r="Q50" s="3">
        <f t="shared" si="4"/>
        <v>4.4966115661883284E-10</v>
      </c>
      <c r="R50" s="5">
        <f t="shared" si="0"/>
        <v>8.1015024810162208E-5</v>
      </c>
    </row>
    <row r="51" spans="1:18" s="3" customFormat="1" x14ac:dyDescent="0.25">
      <c r="A51" s="3" t="s">
        <v>47</v>
      </c>
      <c r="B51" s="3">
        <v>2040</v>
      </c>
      <c r="C51" s="3" t="s">
        <v>59</v>
      </c>
      <c r="D51" s="3" t="s">
        <v>51</v>
      </c>
      <c r="E51" s="3" t="s">
        <v>7</v>
      </c>
      <c r="F51" s="3" t="s">
        <v>53</v>
      </c>
      <c r="G51" s="3">
        <f t="shared" si="4"/>
        <v>5.7135789593632307E-5</v>
      </c>
      <c r="H51" s="3">
        <f t="shared" si="4"/>
        <v>1.7181712577391618E-5</v>
      </c>
      <c r="I51" s="3">
        <f t="shared" si="4"/>
        <v>5.9992934692517235E-8</v>
      </c>
      <c r="J51" s="3">
        <f t="shared" si="4"/>
        <v>3.0126481038010118E-6</v>
      </c>
      <c r="K51" s="3">
        <f t="shared" si="4"/>
        <v>2.0135007354764705E-6</v>
      </c>
      <c r="L51" s="3">
        <f t="shared" si="4"/>
        <v>1.6006058076450405E-6</v>
      </c>
      <c r="M51" s="3">
        <f t="shared" si="4"/>
        <v>9.0382470515280571E-9</v>
      </c>
      <c r="N51" s="3">
        <f t="shared" si="4"/>
        <v>5.2550279198173255E-10</v>
      </c>
      <c r="O51" s="3">
        <f t="shared" si="4"/>
        <v>6.8861873319620301E-10</v>
      </c>
      <c r="P51" s="3">
        <f t="shared" si="4"/>
        <v>7.3027789900120716E-11</v>
      </c>
      <c r="Q51" s="3">
        <f t="shared" si="4"/>
        <v>4.4966115661883284E-10</v>
      </c>
      <c r="R51" s="5">
        <f t="shared" si="0"/>
        <v>8.1015024810162208E-5</v>
      </c>
    </row>
    <row r="52" spans="1:18" x14ac:dyDescent="0.25">
      <c r="A52" t="s">
        <v>47</v>
      </c>
      <c r="B52">
        <v>2020</v>
      </c>
      <c r="C52" t="s">
        <v>58</v>
      </c>
      <c r="D52" t="s">
        <v>6</v>
      </c>
      <c r="E52" t="s">
        <v>7</v>
      </c>
      <c r="F52" t="s">
        <v>55</v>
      </c>
      <c r="G52">
        <v>5.4087628256481079E-5</v>
      </c>
      <c r="H52">
        <v>1.6226935081373989E-5</v>
      </c>
      <c r="I52">
        <v>5.7708835907536313E-8</v>
      </c>
      <c r="J52">
        <v>2.9973424734164538E-6</v>
      </c>
      <c r="K52">
        <v>1.9544100092863379E-6</v>
      </c>
      <c r="L52">
        <v>1.5878955870323021E-6</v>
      </c>
      <c r="M52">
        <v>8.9646281523847627E-9</v>
      </c>
      <c r="N52">
        <v>5.2125120737408314E-10</v>
      </c>
      <c r="O52">
        <v>6.9927864555559607E-10</v>
      </c>
      <c r="P52">
        <v>7.1778027729451577E-11</v>
      </c>
      <c r="Q52">
        <v>4.5611504003830658E-10</v>
      </c>
      <c r="R52" s="5">
        <f t="shared" si="0"/>
        <v>7.6922633294570803E-5</v>
      </c>
    </row>
    <row r="53" spans="1:18" x14ac:dyDescent="0.25">
      <c r="A53" t="s">
        <v>47</v>
      </c>
      <c r="B53">
        <v>2025</v>
      </c>
      <c r="C53" t="s">
        <v>58</v>
      </c>
      <c r="D53" t="s">
        <v>6</v>
      </c>
      <c r="E53" t="s">
        <v>7</v>
      </c>
      <c r="F53" t="s">
        <v>55</v>
      </c>
      <c r="G53">
        <v>5.4087628256481079E-5</v>
      </c>
      <c r="H53">
        <v>1.6226935081373989E-5</v>
      </c>
      <c r="I53">
        <v>5.7708835907536313E-8</v>
      </c>
      <c r="J53">
        <v>2.9973424734164538E-6</v>
      </c>
      <c r="K53">
        <v>1.9544100092863379E-6</v>
      </c>
      <c r="L53">
        <v>1.5878955870323021E-6</v>
      </c>
      <c r="M53">
        <v>8.9646281523847627E-9</v>
      </c>
      <c r="N53">
        <v>5.2125120737408314E-10</v>
      </c>
      <c r="O53">
        <v>6.9927864555559607E-10</v>
      </c>
      <c r="P53">
        <v>7.1778027729451577E-11</v>
      </c>
      <c r="Q53">
        <v>4.5611504003830658E-10</v>
      </c>
      <c r="R53" s="5">
        <f t="shared" si="0"/>
        <v>7.6922633294570803E-5</v>
      </c>
    </row>
    <row r="54" spans="1:18" x14ac:dyDescent="0.25">
      <c r="A54" t="s">
        <v>47</v>
      </c>
      <c r="B54">
        <v>2030</v>
      </c>
      <c r="C54" t="s">
        <v>58</v>
      </c>
      <c r="D54" t="s">
        <v>6</v>
      </c>
      <c r="E54" t="s">
        <v>7</v>
      </c>
      <c r="F54" t="s">
        <v>55</v>
      </c>
      <c r="G54">
        <v>5.4087628256481079E-5</v>
      </c>
      <c r="H54">
        <v>1.6226935081373989E-5</v>
      </c>
      <c r="I54">
        <v>5.7708835907536313E-8</v>
      </c>
      <c r="J54">
        <v>2.9973424734164538E-6</v>
      </c>
      <c r="K54">
        <v>1.9544100092863379E-6</v>
      </c>
      <c r="L54">
        <v>1.5878955870323021E-6</v>
      </c>
      <c r="M54">
        <v>8.9646281523847627E-9</v>
      </c>
      <c r="N54">
        <v>5.2125120737408314E-10</v>
      </c>
      <c r="O54">
        <v>6.9927864555559607E-10</v>
      </c>
      <c r="P54">
        <v>7.1778027729451577E-11</v>
      </c>
      <c r="Q54">
        <v>4.5611504003830658E-10</v>
      </c>
      <c r="R54" s="5">
        <f t="shared" si="0"/>
        <v>7.6922633294570803E-5</v>
      </c>
    </row>
    <row r="55" spans="1:18" x14ac:dyDescent="0.25">
      <c r="A55" t="s">
        <v>47</v>
      </c>
      <c r="B55">
        <v>2035</v>
      </c>
      <c r="C55" t="s">
        <v>58</v>
      </c>
      <c r="D55" t="s">
        <v>6</v>
      </c>
      <c r="E55" t="s">
        <v>7</v>
      </c>
      <c r="F55" t="s">
        <v>55</v>
      </c>
      <c r="G55">
        <v>5.4087628256481079E-5</v>
      </c>
      <c r="H55">
        <v>1.6226935081373989E-5</v>
      </c>
      <c r="I55">
        <v>5.7708835907536313E-8</v>
      </c>
      <c r="J55">
        <v>2.9973424734164538E-6</v>
      </c>
      <c r="K55">
        <v>1.9544100092863379E-6</v>
      </c>
      <c r="L55">
        <v>1.5878955870323021E-6</v>
      </c>
      <c r="M55">
        <v>8.9646281523847627E-9</v>
      </c>
      <c r="N55">
        <v>5.2125120737408314E-10</v>
      </c>
      <c r="O55">
        <v>6.9927864555559607E-10</v>
      </c>
      <c r="P55">
        <v>7.1778027729451577E-11</v>
      </c>
      <c r="Q55">
        <v>4.5611504003830658E-10</v>
      </c>
      <c r="R55" s="5">
        <f t="shared" si="0"/>
        <v>7.6922633294570803E-5</v>
      </c>
    </row>
    <row r="56" spans="1:18" x14ac:dyDescent="0.25">
      <c r="A56" t="s">
        <v>47</v>
      </c>
      <c r="B56">
        <v>2040</v>
      </c>
      <c r="C56" t="s">
        <v>58</v>
      </c>
      <c r="D56" t="s">
        <v>6</v>
      </c>
      <c r="E56" t="s">
        <v>7</v>
      </c>
      <c r="F56" t="s">
        <v>55</v>
      </c>
      <c r="G56">
        <v>5.4087628256481079E-5</v>
      </c>
      <c r="H56">
        <v>1.6226935081373989E-5</v>
      </c>
      <c r="I56">
        <v>5.7708835907536313E-8</v>
      </c>
      <c r="J56">
        <v>2.9973424734164538E-6</v>
      </c>
      <c r="K56">
        <v>1.9544100092863379E-6</v>
      </c>
      <c r="L56">
        <v>1.5878955870323021E-6</v>
      </c>
      <c r="M56">
        <v>8.9646281523847627E-9</v>
      </c>
      <c r="N56">
        <v>5.2125120737408314E-10</v>
      </c>
      <c r="O56">
        <v>6.9927864555559607E-10</v>
      </c>
      <c r="P56">
        <v>7.1778027729451577E-11</v>
      </c>
      <c r="Q56">
        <v>4.5611504003830658E-10</v>
      </c>
      <c r="R56" s="5">
        <f t="shared" si="0"/>
        <v>7.6922633294570803E-5</v>
      </c>
    </row>
    <row r="57" spans="1:18" x14ac:dyDescent="0.25">
      <c r="A57" t="s">
        <v>47</v>
      </c>
      <c r="B57">
        <v>2020</v>
      </c>
      <c r="C57" t="s">
        <v>59</v>
      </c>
      <c r="D57" t="s">
        <v>51</v>
      </c>
      <c r="E57" t="s">
        <v>7</v>
      </c>
      <c r="F57" t="s">
        <v>55</v>
      </c>
      <c r="G57">
        <v>5.7696846158600122E-5</v>
      </c>
      <c r="H57">
        <v>1.7351464796828671E-5</v>
      </c>
      <c r="I57">
        <v>6.0401124138540748E-8</v>
      </c>
      <c r="J57">
        <v>3.0210579572060302E-6</v>
      </c>
      <c r="K57">
        <v>2.018965724947219E-6</v>
      </c>
      <c r="L57">
        <v>1.602185386196272E-6</v>
      </c>
      <c r="M57">
        <v>9.0427473605189912E-9</v>
      </c>
      <c r="N57">
        <v>5.2792497696291904E-10</v>
      </c>
      <c r="O57">
        <v>6.9133876231766254E-10</v>
      </c>
      <c r="P57">
        <v>7.4095962057490581E-11</v>
      </c>
      <c r="Q57">
        <v>4.5103610108133271E-10</v>
      </c>
      <c r="R57" s="5">
        <f t="shared" si="0"/>
        <v>8.1761708291079818E-5</v>
      </c>
    </row>
    <row r="58" spans="1:18" x14ac:dyDescent="0.25">
      <c r="A58" t="s">
        <v>47</v>
      </c>
      <c r="B58">
        <v>2025</v>
      </c>
      <c r="C58" t="s">
        <v>59</v>
      </c>
      <c r="D58" t="s">
        <v>51</v>
      </c>
      <c r="E58" t="s">
        <v>7</v>
      </c>
      <c r="F58" t="s">
        <v>55</v>
      </c>
      <c r="G58">
        <v>5.7696846158600122E-5</v>
      </c>
      <c r="H58">
        <v>1.7351464796828671E-5</v>
      </c>
      <c r="I58">
        <v>6.0401124138540748E-8</v>
      </c>
      <c r="J58">
        <v>3.0210579572060302E-6</v>
      </c>
      <c r="K58">
        <v>2.018965724947219E-6</v>
      </c>
      <c r="L58">
        <v>1.602185386196272E-6</v>
      </c>
      <c r="M58">
        <v>9.0427473605189912E-9</v>
      </c>
      <c r="N58">
        <v>5.2792497696291904E-10</v>
      </c>
      <c r="O58">
        <v>6.9133876231766254E-10</v>
      </c>
      <c r="P58">
        <v>7.4095962057490581E-11</v>
      </c>
      <c r="Q58">
        <v>4.5103610108133271E-10</v>
      </c>
      <c r="R58" s="5">
        <f t="shared" si="0"/>
        <v>8.1761708291079818E-5</v>
      </c>
    </row>
    <row r="59" spans="1:18" x14ac:dyDescent="0.25">
      <c r="A59" t="s">
        <v>47</v>
      </c>
      <c r="B59">
        <v>2030</v>
      </c>
      <c r="C59" t="s">
        <v>59</v>
      </c>
      <c r="D59" t="s">
        <v>51</v>
      </c>
      <c r="E59" t="s">
        <v>7</v>
      </c>
      <c r="F59" t="s">
        <v>55</v>
      </c>
      <c r="G59">
        <v>5.7696846158600122E-5</v>
      </c>
      <c r="H59">
        <v>1.7351464796828671E-5</v>
      </c>
      <c r="I59">
        <v>6.0401124138540748E-8</v>
      </c>
      <c r="J59">
        <v>3.0210579572060302E-6</v>
      </c>
      <c r="K59">
        <v>2.018965724947219E-6</v>
      </c>
      <c r="L59">
        <v>1.602185386196272E-6</v>
      </c>
      <c r="M59">
        <v>9.0427473605189912E-9</v>
      </c>
      <c r="N59">
        <v>5.2792497696291904E-10</v>
      </c>
      <c r="O59">
        <v>6.9133876231766254E-10</v>
      </c>
      <c r="P59">
        <v>7.4095962057490581E-11</v>
      </c>
      <c r="Q59">
        <v>4.5103610108133271E-10</v>
      </c>
      <c r="R59" s="5">
        <f t="shared" si="0"/>
        <v>8.1761708291079818E-5</v>
      </c>
    </row>
    <row r="60" spans="1:18" x14ac:dyDescent="0.25">
      <c r="A60" t="s">
        <v>47</v>
      </c>
      <c r="B60">
        <v>2035</v>
      </c>
      <c r="C60" t="s">
        <v>59</v>
      </c>
      <c r="D60" t="s">
        <v>51</v>
      </c>
      <c r="E60" t="s">
        <v>7</v>
      </c>
      <c r="F60" t="s">
        <v>55</v>
      </c>
      <c r="G60">
        <v>5.7696846158600122E-5</v>
      </c>
      <c r="H60">
        <v>1.7351464796828671E-5</v>
      </c>
      <c r="I60">
        <v>6.0401124138540748E-8</v>
      </c>
      <c r="J60">
        <v>3.0210579572060302E-6</v>
      </c>
      <c r="K60">
        <v>2.018965724947219E-6</v>
      </c>
      <c r="L60">
        <v>1.602185386196272E-6</v>
      </c>
      <c r="M60">
        <v>9.0427473605189912E-9</v>
      </c>
      <c r="N60">
        <v>5.2792497696291904E-10</v>
      </c>
      <c r="O60">
        <v>6.9133876231766254E-10</v>
      </c>
      <c r="P60">
        <v>7.4095962057490581E-11</v>
      </c>
      <c r="Q60">
        <v>4.5103610108133271E-10</v>
      </c>
      <c r="R60" s="5">
        <f t="shared" si="0"/>
        <v>8.1761708291079818E-5</v>
      </c>
    </row>
    <row r="61" spans="1:18" x14ac:dyDescent="0.25">
      <c r="A61" t="s">
        <v>47</v>
      </c>
      <c r="B61">
        <v>2040</v>
      </c>
      <c r="C61" t="s">
        <v>59</v>
      </c>
      <c r="D61" t="s">
        <v>51</v>
      </c>
      <c r="E61" t="s">
        <v>7</v>
      </c>
      <c r="F61" t="s">
        <v>55</v>
      </c>
      <c r="G61">
        <v>5.7696846158600122E-5</v>
      </c>
      <c r="H61">
        <v>1.7351464796828671E-5</v>
      </c>
      <c r="I61">
        <v>6.0401124138540748E-8</v>
      </c>
      <c r="J61">
        <v>3.0210579572060302E-6</v>
      </c>
      <c r="K61">
        <v>2.018965724947219E-6</v>
      </c>
      <c r="L61">
        <v>1.602185386196272E-6</v>
      </c>
      <c r="M61">
        <v>9.0427473605189912E-9</v>
      </c>
      <c r="N61">
        <v>5.2792497696291904E-10</v>
      </c>
      <c r="O61">
        <v>6.9133876231766254E-10</v>
      </c>
      <c r="P61">
        <v>7.4095962057490581E-11</v>
      </c>
      <c r="Q61">
        <v>4.5103610108133271E-10</v>
      </c>
      <c r="R61" s="5">
        <f t="shared" si="0"/>
        <v>8.1761708291079818E-5</v>
      </c>
    </row>
    <row r="62" spans="1:18" x14ac:dyDescent="0.25">
      <c r="A62" t="s">
        <v>47</v>
      </c>
      <c r="B62">
        <v>2020</v>
      </c>
      <c r="C62" t="s">
        <v>60</v>
      </c>
      <c r="D62" t="s">
        <v>6</v>
      </c>
      <c r="E62" t="s">
        <v>8</v>
      </c>
      <c r="F62" t="s">
        <v>49</v>
      </c>
      <c r="G62">
        <v>4.8207693249932128E-6</v>
      </c>
      <c r="H62">
        <v>1.519578206508783E-6</v>
      </c>
      <c r="I62">
        <v>1.576080140144851E-8</v>
      </c>
      <c r="J62">
        <v>5.2997623535909558E-7</v>
      </c>
      <c r="K62">
        <v>5.0405469874976758E-7</v>
      </c>
      <c r="L62">
        <v>3.1652826886368869E-7</v>
      </c>
      <c r="M62">
        <v>7.5182325534768047E-10</v>
      </c>
      <c r="N62">
        <v>1.634617325227222E-11</v>
      </c>
      <c r="O62">
        <v>1.5230729355292301E-10</v>
      </c>
      <c r="P62">
        <v>8.994354622371881E-12</v>
      </c>
      <c r="Q62">
        <v>1.402876882138739E-10</v>
      </c>
      <c r="R62" s="5">
        <f t="shared" si="0"/>
        <v>7.7077372946409836E-6</v>
      </c>
    </row>
    <row r="63" spans="1:18" x14ac:dyDescent="0.25">
      <c r="A63" t="s">
        <v>47</v>
      </c>
      <c r="B63">
        <v>2025</v>
      </c>
      <c r="C63" t="s">
        <v>60</v>
      </c>
      <c r="D63" t="s">
        <v>6</v>
      </c>
      <c r="E63" t="s">
        <v>8</v>
      </c>
      <c r="F63" t="s">
        <v>49</v>
      </c>
      <c r="G63">
        <v>4.8207693249932128E-6</v>
      </c>
      <c r="H63">
        <v>1.519578206508783E-6</v>
      </c>
      <c r="I63">
        <v>1.576080140144851E-8</v>
      </c>
      <c r="J63">
        <v>5.2997623535909558E-7</v>
      </c>
      <c r="K63">
        <v>5.0405469874976758E-7</v>
      </c>
      <c r="L63">
        <v>3.1652826886368869E-7</v>
      </c>
      <c r="M63">
        <v>7.5182325534768047E-10</v>
      </c>
      <c r="N63">
        <v>1.634617325227222E-11</v>
      </c>
      <c r="O63">
        <v>1.5230729355292301E-10</v>
      </c>
      <c r="P63">
        <v>8.994354622371881E-12</v>
      </c>
      <c r="Q63">
        <v>1.402876882138739E-10</v>
      </c>
      <c r="R63" s="5">
        <f t="shared" si="0"/>
        <v>7.7077372946409836E-6</v>
      </c>
    </row>
    <row r="64" spans="1:18" x14ac:dyDescent="0.25">
      <c r="A64" t="s">
        <v>47</v>
      </c>
      <c r="B64">
        <v>2030</v>
      </c>
      <c r="C64" t="s">
        <v>60</v>
      </c>
      <c r="D64" t="s">
        <v>6</v>
      </c>
      <c r="E64" t="s">
        <v>8</v>
      </c>
      <c r="F64" t="s">
        <v>49</v>
      </c>
      <c r="G64">
        <v>4.8207693249932128E-6</v>
      </c>
      <c r="H64">
        <v>1.519578206508783E-6</v>
      </c>
      <c r="I64">
        <v>1.576080140144851E-8</v>
      </c>
      <c r="J64">
        <v>5.2997623535909558E-7</v>
      </c>
      <c r="K64">
        <v>5.0405469874976758E-7</v>
      </c>
      <c r="L64">
        <v>3.1652826886368869E-7</v>
      </c>
      <c r="M64">
        <v>7.5182325534768047E-10</v>
      </c>
      <c r="N64">
        <v>1.634617325227222E-11</v>
      </c>
      <c r="O64">
        <v>1.5230729355292301E-10</v>
      </c>
      <c r="P64">
        <v>8.994354622371881E-12</v>
      </c>
      <c r="Q64">
        <v>1.402876882138739E-10</v>
      </c>
      <c r="R64" s="5">
        <f t="shared" si="0"/>
        <v>7.7077372946409836E-6</v>
      </c>
    </row>
    <row r="65" spans="1:18" x14ac:dyDescent="0.25">
      <c r="A65" t="s">
        <v>47</v>
      </c>
      <c r="B65">
        <v>2035</v>
      </c>
      <c r="C65" t="s">
        <v>60</v>
      </c>
      <c r="D65" t="s">
        <v>6</v>
      </c>
      <c r="E65" t="s">
        <v>8</v>
      </c>
      <c r="F65" t="s">
        <v>49</v>
      </c>
      <c r="G65">
        <v>4.8207693249932128E-6</v>
      </c>
      <c r="H65">
        <v>1.519578206508783E-6</v>
      </c>
      <c r="I65">
        <v>1.576080140144851E-8</v>
      </c>
      <c r="J65">
        <v>5.2997623535909558E-7</v>
      </c>
      <c r="K65">
        <v>5.0405469874976758E-7</v>
      </c>
      <c r="L65">
        <v>3.1652826886368869E-7</v>
      </c>
      <c r="M65">
        <v>7.5182325534768047E-10</v>
      </c>
      <c r="N65">
        <v>1.634617325227222E-11</v>
      </c>
      <c r="O65">
        <v>1.5230729355292301E-10</v>
      </c>
      <c r="P65">
        <v>8.994354622371881E-12</v>
      </c>
      <c r="Q65">
        <v>1.402876882138739E-10</v>
      </c>
      <c r="R65" s="5">
        <f t="shared" si="0"/>
        <v>7.7077372946409836E-6</v>
      </c>
    </row>
    <row r="66" spans="1:18" x14ac:dyDescent="0.25">
      <c r="A66" t="s">
        <v>47</v>
      </c>
      <c r="B66">
        <v>2040</v>
      </c>
      <c r="C66" t="s">
        <v>60</v>
      </c>
      <c r="D66" t="s">
        <v>6</v>
      </c>
      <c r="E66" t="s">
        <v>8</v>
      </c>
      <c r="F66" t="s">
        <v>49</v>
      </c>
      <c r="G66">
        <v>4.8207693249932128E-6</v>
      </c>
      <c r="H66">
        <v>1.519578206508783E-6</v>
      </c>
      <c r="I66">
        <v>1.576080140144851E-8</v>
      </c>
      <c r="J66">
        <v>5.2997623535909558E-7</v>
      </c>
      <c r="K66">
        <v>5.0405469874976758E-7</v>
      </c>
      <c r="L66">
        <v>3.1652826886368869E-7</v>
      </c>
      <c r="M66">
        <v>7.5182325534768047E-10</v>
      </c>
      <c r="N66">
        <v>1.634617325227222E-11</v>
      </c>
      <c r="O66">
        <v>1.5230729355292301E-10</v>
      </c>
      <c r="P66">
        <v>8.994354622371881E-12</v>
      </c>
      <c r="Q66">
        <v>1.402876882138739E-10</v>
      </c>
      <c r="R66" s="5">
        <f t="shared" si="0"/>
        <v>7.7077372946409836E-6</v>
      </c>
    </row>
    <row r="67" spans="1:18" x14ac:dyDescent="0.25">
      <c r="A67" t="s">
        <v>47</v>
      </c>
      <c r="B67">
        <v>2020</v>
      </c>
      <c r="C67" t="s">
        <v>61</v>
      </c>
      <c r="D67" t="s">
        <v>51</v>
      </c>
      <c r="E67" t="s">
        <v>8</v>
      </c>
      <c r="F67" t="s">
        <v>49</v>
      </c>
      <c r="G67">
        <v>4.9114178650986048E-6</v>
      </c>
      <c r="H67">
        <v>1.5352764676494181E-6</v>
      </c>
      <c r="I67">
        <v>1.479230121771813E-8</v>
      </c>
      <c r="J67">
        <v>8.3619434825239249E-7</v>
      </c>
      <c r="K67">
        <v>4.9726583881655739E-7</v>
      </c>
      <c r="L67">
        <v>2.9242680155459601E-7</v>
      </c>
      <c r="M67">
        <v>2.1749885661190569E-9</v>
      </c>
      <c r="N67">
        <v>1.967398091920659E-11</v>
      </c>
      <c r="O67">
        <v>9.3605838748853225E-10</v>
      </c>
      <c r="P67">
        <v>9.796529238852225E-12</v>
      </c>
      <c r="Q67">
        <v>1.448371515404638E-9</v>
      </c>
      <c r="R67" s="5">
        <f t="shared" ref="R67:R130" si="5">SUM(G67:Q67)</f>
        <v>8.091962511568458E-6</v>
      </c>
    </row>
    <row r="68" spans="1:18" x14ac:dyDescent="0.25">
      <c r="A68" t="s">
        <v>47</v>
      </c>
      <c r="B68">
        <v>2025</v>
      </c>
      <c r="C68" t="s">
        <v>61</v>
      </c>
      <c r="D68" t="s">
        <v>51</v>
      </c>
      <c r="E68" t="s">
        <v>8</v>
      </c>
      <c r="F68" t="s">
        <v>49</v>
      </c>
      <c r="G68">
        <v>4.9114178650986048E-6</v>
      </c>
      <c r="H68">
        <v>1.5352764676494181E-6</v>
      </c>
      <c r="I68">
        <v>1.479230121771813E-8</v>
      </c>
      <c r="J68">
        <v>8.3619434825239249E-7</v>
      </c>
      <c r="K68">
        <v>4.9726583881655739E-7</v>
      </c>
      <c r="L68">
        <v>2.9242680155459601E-7</v>
      </c>
      <c r="M68">
        <v>2.1749885661190569E-9</v>
      </c>
      <c r="N68">
        <v>1.967398091920659E-11</v>
      </c>
      <c r="O68">
        <v>9.3605838748853225E-10</v>
      </c>
      <c r="P68">
        <v>9.796529238852225E-12</v>
      </c>
      <c r="Q68">
        <v>1.448371515404638E-9</v>
      </c>
      <c r="R68" s="5">
        <f t="shared" si="5"/>
        <v>8.091962511568458E-6</v>
      </c>
    </row>
    <row r="69" spans="1:18" x14ac:dyDescent="0.25">
      <c r="A69" t="s">
        <v>47</v>
      </c>
      <c r="B69">
        <v>2030</v>
      </c>
      <c r="C69" t="s">
        <v>61</v>
      </c>
      <c r="D69" t="s">
        <v>51</v>
      </c>
      <c r="E69" t="s">
        <v>8</v>
      </c>
      <c r="F69" t="s">
        <v>49</v>
      </c>
      <c r="G69">
        <v>4.9114178650986048E-6</v>
      </c>
      <c r="H69">
        <v>1.5352764676494181E-6</v>
      </c>
      <c r="I69">
        <v>1.479230121771813E-8</v>
      </c>
      <c r="J69">
        <v>8.3619434825239249E-7</v>
      </c>
      <c r="K69">
        <v>4.9726583881655739E-7</v>
      </c>
      <c r="L69">
        <v>2.9242680155459601E-7</v>
      </c>
      <c r="M69">
        <v>2.1749885661190569E-9</v>
      </c>
      <c r="N69">
        <v>1.967398091920659E-11</v>
      </c>
      <c r="O69">
        <v>9.3605838748853225E-10</v>
      </c>
      <c r="P69">
        <v>9.796529238852225E-12</v>
      </c>
      <c r="Q69">
        <v>1.448371515404638E-9</v>
      </c>
      <c r="R69" s="5">
        <f t="shared" si="5"/>
        <v>8.091962511568458E-6</v>
      </c>
    </row>
    <row r="70" spans="1:18" x14ac:dyDescent="0.25">
      <c r="A70" t="s">
        <v>47</v>
      </c>
      <c r="B70">
        <v>2035</v>
      </c>
      <c r="C70" t="s">
        <v>61</v>
      </c>
      <c r="D70" t="s">
        <v>51</v>
      </c>
      <c r="E70" t="s">
        <v>8</v>
      </c>
      <c r="F70" t="s">
        <v>49</v>
      </c>
      <c r="G70">
        <v>4.9114178650986048E-6</v>
      </c>
      <c r="H70">
        <v>1.5352764676494181E-6</v>
      </c>
      <c r="I70">
        <v>1.479230121771813E-8</v>
      </c>
      <c r="J70">
        <v>8.3619434825239249E-7</v>
      </c>
      <c r="K70">
        <v>4.9726583881655739E-7</v>
      </c>
      <c r="L70">
        <v>2.9242680155459601E-7</v>
      </c>
      <c r="M70">
        <v>2.1749885661190569E-9</v>
      </c>
      <c r="N70">
        <v>1.967398091920659E-11</v>
      </c>
      <c r="O70">
        <v>9.3605838748853225E-10</v>
      </c>
      <c r="P70">
        <v>9.796529238852225E-12</v>
      </c>
      <c r="Q70">
        <v>1.448371515404638E-9</v>
      </c>
      <c r="R70" s="5">
        <f t="shared" si="5"/>
        <v>8.091962511568458E-6</v>
      </c>
    </row>
    <row r="71" spans="1:18" x14ac:dyDescent="0.25">
      <c r="A71" t="s">
        <v>47</v>
      </c>
      <c r="B71">
        <v>2040</v>
      </c>
      <c r="C71" t="s">
        <v>61</v>
      </c>
      <c r="D71" t="s">
        <v>51</v>
      </c>
      <c r="E71" t="s">
        <v>8</v>
      </c>
      <c r="F71" t="s">
        <v>49</v>
      </c>
      <c r="G71">
        <v>4.9114178650986048E-6</v>
      </c>
      <c r="H71">
        <v>1.5352764676494181E-6</v>
      </c>
      <c r="I71">
        <v>1.479230121771813E-8</v>
      </c>
      <c r="J71">
        <v>8.3619434825239249E-7</v>
      </c>
      <c r="K71">
        <v>4.9726583881655739E-7</v>
      </c>
      <c r="L71">
        <v>2.9242680155459601E-7</v>
      </c>
      <c r="M71">
        <v>2.1749885661190569E-9</v>
      </c>
      <c r="N71">
        <v>1.967398091920659E-11</v>
      </c>
      <c r="O71">
        <v>9.3605838748853225E-10</v>
      </c>
      <c r="P71">
        <v>9.796529238852225E-12</v>
      </c>
      <c r="Q71">
        <v>1.448371515404638E-9</v>
      </c>
      <c r="R71" s="5">
        <f t="shared" si="5"/>
        <v>8.091962511568458E-6</v>
      </c>
    </row>
    <row r="72" spans="1:18" s="3" customFormat="1" x14ac:dyDescent="0.25">
      <c r="A72" s="3" t="s">
        <v>47</v>
      </c>
      <c r="B72" s="3">
        <v>2020</v>
      </c>
      <c r="C72" s="3" t="s">
        <v>62</v>
      </c>
      <c r="D72" s="3" t="s">
        <v>6</v>
      </c>
      <c r="E72" s="3" t="s">
        <v>8</v>
      </c>
      <c r="F72" s="3" t="s">
        <v>53</v>
      </c>
      <c r="G72" s="3">
        <f>G82-G62</f>
        <v>1.6507365473981939E-5</v>
      </c>
      <c r="H72" s="3">
        <f t="shared" ref="H72:Q72" si="6">H82-H62</f>
        <v>5.2249658366965034E-6</v>
      </c>
      <c r="I72" s="3">
        <f t="shared" si="6"/>
        <v>8.4852858810909189E-8</v>
      </c>
      <c r="J72" s="3">
        <f t="shared" si="6"/>
        <v>1.4017936111600982E-6</v>
      </c>
      <c r="K72" s="3">
        <f t="shared" si="6"/>
        <v>2.9490434710641186E-6</v>
      </c>
      <c r="L72" s="3">
        <f t="shared" si="6"/>
        <v>1.8085878572452893E-6</v>
      </c>
      <c r="M72" s="3">
        <f t="shared" si="6"/>
        <v>1.4853381597343295E-9</v>
      </c>
      <c r="N72" s="3">
        <f t="shared" si="6"/>
        <v>5.1590706089857296E-11</v>
      </c>
      <c r="O72" s="3">
        <f t="shared" si="6"/>
        <v>6.7904041242392026E-10</v>
      </c>
      <c r="P72" s="3">
        <f t="shared" si="6"/>
        <v>3.0327138155742331E-11</v>
      </c>
      <c r="Q72" s="3">
        <f t="shared" si="6"/>
        <v>5.9282831306452284E-10</v>
      </c>
      <c r="R72" s="5">
        <f t="shared" si="5"/>
        <v>2.797944823368833E-5</v>
      </c>
    </row>
    <row r="73" spans="1:18" s="3" customFormat="1" x14ac:dyDescent="0.25">
      <c r="A73" s="3" t="s">
        <v>47</v>
      </c>
      <c r="B73" s="3">
        <v>2025</v>
      </c>
      <c r="C73" s="3" t="s">
        <v>62</v>
      </c>
      <c r="D73" s="3" t="s">
        <v>6</v>
      </c>
      <c r="E73" s="3" t="s">
        <v>8</v>
      </c>
      <c r="F73" s="3" t="s">
        <v>53</v>
      </c>
      <c r="G73" s="3">
        <f t="shared" ref="G73:Q81" si="7">G83-G63</f>
        <v>1.6507365473981939E-5</v>
      </c>
      <c r="H73" s="3">
        <f t="shared" si="7"/>
        <v>5.2249658366965034E-6</v>
      </c>
      <c r="I73" s="3">
        <f t="shared" si="7"/>
        <v>8.4852858810909189E-8</v>
      </c>
      <c r="J73" s="3">
        <f t="shared" si="7"/>
        <v>1.4017936111600982E-6</v>
      </c>
      <c r="K73" s="3">
        <f t="shared" si="7"/>
        <v>2.9490434710641186E-6</v>
      </c>
      <c r="L73" s="3">
        <f t="shared" si="7"/>
        <v>1.8085878572452893E-6</v>
      </c>
      <c r="M73" s="3">
        <f t="shared" si="7"/>
        <v>1.4853381597343295E-9</v>
      </c>
      <c r="N73" s="3">
        <f t="shared" si="7"/>
        <v>5.1590706089857296E-11</v>
      </c>
      <c r="O73" s="3">
        <f t="shared" si="7"/>
        <v>6.7904041242392026E-10</v>
      </c>
      <c r="P73" s="3">
        <f t="shared" si="7"/>
        <v>3.0327138155742331E-11</v>
      </c>
      <c r="Q73" s="3">
        <f t="shared" si="7"/>
        <v>5.9282831306452284E-10</v>
      </c>
      <c r="R73" s="5">
        <f t="shared" si="5"/>
        <v>2.797944823368833E-5</v>
      </c>
    </row>
    <row r="74" spans="1:18" s="3" customFormat="1" x14ac:dyDescent="0.25">
      <c r="A74" s="3" t="s">
        <v>47</v>
      </c>
      <c r="B74" s="3">
        <v>2030</v>
      </c>
      <c r="C74" s="3" t="s">
        <v>62</v>
      </c>
      <c r="D74" s="3" t="s">
        <v>6</v>
      </c>
      <c r="E74" s="3" t="s">
        <v>8</v>
      </c>
      <c r="F74" s="3" t="s">
        <v>53</v>
      </c>
      <c r="G74" s="3">
        <f t="shared" si="7"/>
        <v>1.6507365473981939E-5</v>
      </c>
      <c r="H74" s="3">
        <f t="shared" si="7"/>
        <v>5.2249658366965034E-6</v>
      </c>
      <c r="I74" s="3">
        <f t="shared" si="7"/>
        <v>8.4852858810909189E-8</v>
      </c>
      <c r="J74" s="3">
        <f t="shared" si="7"/>
        <v>1.4017936111600982E-6</v>
      </c>
      <c r="K74" s="3">
        <f t="shared" si="7"/>
        <v>2.9490434710641186E-6</v>
      </c>
      <c r="L74" s="3">
        <f t="shared" si="7"/>
        <v>1.8085878572452893E-6</v>
      </c>
      <c r="M74" s="3">
        <f t="shared" si="7"/>
        <v>1.4853381597343295E-9</v>
      </c>
      <c r="N74" s="3">
        <f t="shared" si="7"/>
        <v>5.1590706089857296E-11</v>
      </c>
      <c r="O74" s="3">
        <f t="shared" si="7"/>
        <v>6.7904041242392026E-10</v>
      </c>
      <c r="P74" s="3">
        <f t="shared" si="7"/>
        <v>3.0327138155742331E-11</v>
      </c>
      <c r="Q74" s="3">
        <f t="shared" si="7"/>
        <v>5.9282831306452284E-10</v>
      </c>
      <c r="R74" s="5">
        <f t="shared" si="5"/>
        <v>2.797944823368833E-5</v>
      </c>
    </row>
    <row r="75" spans="1:18" s="3" customFormat="1" x14ac:dyDescent="0.25">
      <c r="A75" s="3" t="s">
        <v>47</v>
      </c>
      <c r="B75" s="3">
        <v>2035</v>
      </c>
      <c r="C75" s="3" t="s">
        <v>62</v>
      </c>
      <c r="D75" s="3" t="s">
        <v>6</v>
      </c>
      <c r="E75" s="3" t="s">
        <v>8</v>
      </c>
      <c r="F75" s="3" t="s">
        <v>53</v>
      </c>
      <c r="G75" s="3">
        <f t="shared" si="7"/>
        <v>1.6507365473981939E-5</v>
      </c>
      <c r="H75" s="3">
        <f t="shared" si="7"/>
        <v>5.2249658366965034E-6</v>
      </c>
      <c r="I75" s="3">
        <f t="shared" si="7"/>
        <v>8.4852858810909189E-8</v>
      </c>
      <c r="J75" s="3">
        <f t="shared" si="7"/>
        <v>1.4017936111600982E-6</v>
      </c>
      <c r="K75" s="3">
        <f t="shared" si="7"/>
        <v>2.9490434710641186E-6</v>
      </c>
      <c r="L75" s="3">
        <f t="shared" si="7"/>
        <v>1.8085878572452893E-6</v>
      </c>
      <c r="M75" s="3">
        <f t="shared" si="7"/>
        <v>1.4853381597343295E-9</v>
      </c>
      <c r="N75" s="3">
        <f t="shared" si="7"/>
        <v>5.1590706089857296E-11</v>
      </c>
      <c r="O75" s="3">
        <f t="shared" si="7"/>
        <v>6.7904041242392026E-10</v>
      </c>
      <c r="P75" s="3">
        <f t="shared" si="7"/>
        <v>3.0327138155742331E-11</v>
      </c>
      <c r="Q75" s="3">
        <f t="shared" si="7"/>
        <v>5.9282831306452284E-10</v>
      </c>
      <c r="R75" s="5">
        <f t="shared" si="5"/>
        <v>2.797944823368833E-5</v>
      </c>
    </row>
    <row r="76" spans="1:18" s="3" customFormat="1" x14ac:dyDescent="0.25">
      <c r="A76" s="3" t="s">
        <v>47</v>
      </c>
      <c r="B76" s="3">
        <v>2040</v>
      </c>
      <c r="C76" s="3" t="s">
        <v>62</v>
      </c>
      <c r="D76" s="3" t="s">
        <v>6</v>
      </c>
      <c r="E76" s="3" t="s">
        <v>8</v>
      </c>
      <c r="F76" s="3" t="s">
        <v>53</v>
      </c>
      <c r="G76" s="3">
        <f t="shared" si="7"/>
        <v>1.6507365473981939E-5</v>
      </c>
      <c r="H76" s="3">
        <f t="shared" si="7"/>
        <v>5.2249658366965034E-6</v>
      </c>
      <c r="I76" s="3">
        <f t="shared" si="7"/>
        <v>8.4852858810909189E-8</v>
      </c>
      <c r="J76" s="3">
        <f t="shared" si="7"/>
        <v>1.4017936111600982E-6</v>
      </c>
      <c r="K76" s="3">
        <f t="shared" si="7"/>
        <v>2.9490434710641186E-6</v>
      </c>
      <c r="L76" s="3">
        <f t="shared" si="7"/>
        <v>1.8085878572452893E-6</v>
      </c>
      <c r="M76" s="3">
        <f t="shared" si="7"/>
        <v>1.4853381597343295E-9</v>
      </c>
      <c r="N76" s="3">
        <f t="shared" si="7"/>
        <v>5.1590706089857296E-11</v>
      </c>
      <c r="O76" s="3">
        <f t="shared" si="7"/>
        <v>6.7904041242392026E-10</v>
      </c>
      <c r="P76" s="3">
        <f t="shared" si="7"/>
        <v>3.0327138155742331E-11</v>
      </c>
      <c r="Q76" s="3">
        <f t="shared" si="7"/>
        <v>5.9282831306452284E-10</v>
      </c>
      <c r="R76" s="5">
        <f t="shared" si="5"/>
        <v>2.797944823368833E-5</v>
      </c>
    </row>
    <row r="77" spans="1:18" s="3" customFormat="1" x14ac:dyDescent="0.25">
      <c r="A77" s="3" t="s">
        <v>47</v>
      </c>
      <c r="B77" s="3">
        <v>2020</v>
      </c>
      <c r="C77" s="3" t="s">
        <v>63</v>
      </c>
      <c r="D77" s="3" t="s">
        <v>51</v>
      </c>
      <c r="E77" s="3" t="s">
        <v>8</v>
      </c>
      <c r="F77" s="3" t="s">
        <v>53</v>
      </c>
      <c r="G77" s="3">
        <f t="shared" si="7"/>
        <v>2.2212003553850976E-5</v>
      </c>
      <c r="H77" s="3">
        <f t="shared" si="7"/>
        <v>6.866448120214966E-6</v>
      </c>
      <c r="I77" s="3">
        <f t="shared" si="7"/>
        <v>2.399219945106074E-6</v>
      </c>
      <c r="J77" s="3">
        <f t="shared" si="7"/>
        <v>4.3445772883412768E-6</v>
      </c>
      <c r="K77" s="3">
        <f t="shared" si="7"/>
        <v>8.3583963533461299E-5</v>
      </c>
      <c r="L77" s="3">
        <f t="shared" si="7"/>
        <v>5.8060102993445379E-5</v>
      </c>
      <c r="M77" s="3">
        <f t="shared" si="7"/>
        <v>5.708744697404661E-9</v>
      </c>
      <c r="N77" s="3">
        <f t="shared" si="7"/>
        <v>7.1870878848550316E-11</v>
      </c>
      <c r="O77" s="3">
        <f t="shared" si="7"/>
        <v>1.7594853660685929E-9</v>
      </c>
      <c r="P77" s="3">
        <f t="shared" si="7"/>
        <v>3.0913889901714719E-11</v>
      </c>
      <c r="Q77" s="3">
        <f t="shared" si="7"/>
        <v>2.7138955464230052E-9</v>
      </c>
      <c r="R77" s="5">
        <f t="shared" si="5"/>
        <v>1.7747660034479862E-4</v>
      </c>
    </row>
    <row r="78" spans="1:18" s="3" customFormat="1" x14ac:dyDescent="0.25">
      <c r="A78" s="3" t="s">
        <v>47</v>
      </c>
      <c r="B78" s="3">
        <v>2025</v>
      </c>
      <c r="C78" s="3" t="s">
        <v>63</v>
      </c>
      <c r="D78" s="3" t="s">
        <v>51</v>
      </c>
      <c r="E78" s="3" t="s">
        <v>8</v>
      </c>
      <c r="F78" s="3" t="s">
        <v>53</v>
      </c>
      <c r="G78" s="3">
        <f t="shared" si="7"/>
        <v>2.2212003553850976E-5</v>
      </c>
      <c r="H78" s="3">
        <f t="shared" si="7"/>
        <v>6.866448120214966E-6</v>
      </c>
      <c r="I78" s="3">
        <f t="shared" si="7"/>
        <v>2.399219945106074E-6</v>
      </c>
      <c r="J78" s="3">
        <f t="shared" si="7"/>
        <v>4.3445772883412768E-6</v>
      </c>
      <c r="K78" s="3">
        <f t="shared" si="7"/>
        <v>8.3583963533461299E-5</v>
      </c>
      <c r="L78" s="3">
        <f t="shared" si="7"/>
        <v>5.8060102993445379E-5</v>
      </c>
      <c r="M78" s="3">
        <f t="shared" si="7"/>
        <v>5.708744697404661E-9</v>
      </c>
      <c r="N78" s="3">
        <f t="shared" si="7"/>
        <v>7.1870878848550316E-11</v>
      </c>
      <c r="O78" s="3">
        <f t="shared" si="7"/>
        <v>1.7594853660685929E-9</v>
      </c>
      <c r="P78" s="3">
        <f t="shared" si="7"/>
        <v>3.0913889901714719E-11</v>
      </c>
      <c r="Q78" s="3">
        <f t="shared" si="7"/>
        <v>2.7138955464230052E-9</v>
      </c>
      <c r="R78" s="5">
        <f t="shared" si="5"/>
        <v>1.7747660034479862E-4</v>
      </c>
    </row>
    <row r="79" spans="1:18" s="3" customFormat="1" x14ac:dyDescent="0.25">
      <c r="A79" s="3" t="s">
        <v>47</v>
      </c>
      <c r="B79" s="3">
        <v>2030</v>
      </c>
      <c r="C79" s="3" t="s">
        <v>63</v>
      </c>
      <c r="D79" s="3" t="s">
        <v>51</v>
      </c>
      <c r="E79" s="3" t="s">
        <v>8</v>
      </c>
      <c r="F79" s="3" t="s">
        <v>53</v>
      </c>
      <c r="G79" s="3">
        <f t="shared" si="7"/>
        <v>2.2212003553850976E-5</v>
      </c>
      <c r="H79" s="3">
        <f t="shared" si="7"/>
        <v>6.866448120214966E-6</v>
      </c>
      <c r="I79" s="3">
        <f t="shared" si="7"/>
        <v>2.399219945106074E-6</v>
      </c>
      <c r="J79" s="3">
        <f t="shared" si="7"/>
        <v>4.3445772883412768E-6</v>
      </c>
      <c r="K79" s="3">
        <f t="shared" si="7"/>
        <v>8.3583963533461299E-5</v>
      </c>
      <c r="L79" s="3">
        <f t="shared" si="7"/>
        <v>5.8060102993445379E-5</v>
      </c>
      <c r="M79" s="3">
        <f t="shared" si="7"/>
        <v>5.708744697404661E-9</v>
      </c>
      <c r="N79" s="3">
        <f t="shared" si="7"/>
        <v>7.1870878848550316E-11</v>
      </c>
      <c r="O79" s="3">
        <f t="shared" si="7"/>
        <v>1.7594853660685929E-9</v>
      </c>
      <c r="P79" s="3">
        <f t="shared" si="7"/>
        <v>3.0913889901714719E-11</v>
      </c>
      <c r="Q79" s="3">
        <f t="shared" si="7"/>
        <v>2.7138955464230052E-9</v>
      </c>
      <c r="R79" s="5">
        <f t="shared" si="5"/>
        <v>1.7747660034479862E-4</v>
      </c>
    </row>
    <row r="80" spans="1:18" s="3" customFormat="1" x14ac:dyDescent="0.25">
      <c r="A80" s="3" t="s">
        <v>47</v>
      </c>
      <c r="B80" s="3">
        <v>2035</v>
      </c>
      <c r="C80" s="3" t="s">
        <v>63</v>
      </c>
      <c r="D80" s="3" t="s">
        <v>51</v>
      </c>
      <c r="E80" s="3" t="s">
        <v>8</v>
      </c>
      <c r="F80" s="3" t="s">
        <v>53</v>
      </c>
      <c r="G80" s="3">
        <f t="shared" si="7"/>
        <v>2.2212003553850976E-5</v>
      </c>
      <c r="H80" s="3">
        <f t="shared" si="7"/>
        <v>6.866448120214966E-6</v>
      </c>
      <c r="I80" s="3">
        <f t="shared" si="7"/>
        <v>2.399219945106074E-6</v>
      </c>
      <c r="J80" s="3">
        <f t="shared" si="7"/>
        <v>4.3445772883412768E-6</v>
      </c>
      <c r="K80" s="3">
        <f t="shared" si="7"/>
        <v>8.3583963533461299E-5</v>
      </c>
      <c r="L80" s="3">
        <f t="shared" si="7"/>
        <v>5.8060102993445379E-5</v>
      </c>
      <c r="M80" s="3">
        <f t="shared" si="7"/>
        <v>5.708744697404661E-9</v>
      </c>
      <c r="N80" s="3">
        <f t="shared" si="7"/>
        <v>7.1870878848550316E-11</v>
      </c>
      <c r="O80" s="3">
        <f t="shared" si="7"/>
        <v>1.7594853660685929E-9</v>
      </c>
      <c r="P80" s="3">
        <f t="shared" si="7"/>
        <v>3.0913889901714719E-11</v>
      </c>
      <c r="Q80" s="3">
        <f t="shared" si="7"/>
        <v>2.7138955464230052E-9</v>
      </c>
      <c r="R80" s="5">
        <f t="shared" si="5"/>
        <v>1.7747660034479862E-4</v>
      </c>
    </row>
    <row r="81" spans="1:18" s="3" customFormat="1" x14ac:dyDescent="0.25">
      <c r="A81" s="3" t="s">
        <v>47</v>
      </c>
      <c r="B81" s="3">
        <v>2040</v>
      </c>
      <c r="C81" s="3" t="s">
        <v>63</v>
      </c>
      <c r="D81" s="3" t="s">
        <v>51</v>
      </c>
      <c r="E81" s="3" t="s">
        <v>8</v>
      </c>
      <c r="F81" s="3" t="s">
        <v>53</v>
      </c>
      <c r="G81" s="3">
        <f t="shared" si="7"/>
        <v>2.2212003553850976E-5</v>
      </c>
      <c r="H81" s="3">
        <f t="shared" si="7"/>
        <v>6.866448120214966E-6</v>
      </c>
      <c r="I81" s="3">
        <f t="shared" si="7"/>
        <v>2.399219945106074E-6</v>
      </c>
      <c r="J81" s="3">
        <f t="shared" si="7"/>
        <v>4.3445772883412768E-6</v>
      </c>
      <c r="K81" s="3">
        <f t="shared" si="7"/>
        <v>8.3583963533461299E-5</v>
      </c>
      <c r="L81" s="3">
        <f t="shared" si="7"/>
        <v>5.8060102993445379E-5</v>
      </c>
      <c r="M81" s="3">
        <f t="shared" si="7"/>
        <v>5.708744697404661E-9</v>
      </c>
      <c r="N81" s="3">
        <f t="shared" si="7"/>
        <v>7.1870878848550316E-11</v>
      </c>
      <c r="O81" s="3">
        <f t="shared" si="7"/>
        <v>1.7594853660685929E-9</v>
      </c>
      <c r="P81" s="3">
        <f t="shared" si="7"/>
        <v>3.0913889901714719E-11</v>
      </c>
      <c r="Q81" s="3">
        <f t="shared" si="7"/>
        <v>2.7138955464230052E-9</v>
      </c>
      <c r="R81" s="5">
        <f t="shared" si="5"/>
        <v>1.7747660034479862E-4</v>
      </c>
    </row>
    <row r="82" spans="1:18" x14ac:dyDescent="0.25">
      <c r="A82" t="s">
        <v>47</v>
      </c>
      <c r="B82">
        <v>2020</v>
      </c>
      <c r="C82" t="s">
        <v>62</v>
      </c>
      <c r="D82" t="s">
        <v>6</v>
      </c>
      <c r="E82" t="s">
        <v>8</v>
      </c>
      <c r="F82" t="s">
        <v>55</v>
      </c>
      <c r="G82">
        <v>2.132813479897515E-5</v>
      </c>
      <c r="H82">
        <v>6.7445440432052862E-6</v>
      </c>
      <c r="I82">
        <v>1.006136602123577E-7</v>
      </c>
      <c r="J82">
        <v>1.9317698465191939E-6</v>
      </c>
      <c r="K82">
        <v>3.4530981698138861E-6</v>
      </c>
      <c r="L82">
        <v>2.125116126108978E-6</v>
      </c>
      <c r="M82">
        <v>2.2371614150820099E-9</v>
      </c>
      <c r="N82">
        <v>6.7936879342129515E-11</v>
      </c>
      <c r="O82">
        <v>8.3134770597684327E-10</v>
      </c>
      <c r="P82">
        <v>3.9321492778114212E-11</v>
      </c>
      <c r="Q82">
        <v>7.3311600127839679E-10</v>
      </c>
      <c r="R82" s="5">
        <f t="shared" si="5"/>
        <v>3.5687185528329305E-5</v>
      </c>
    </row>
    <row r="83" spans="1:18" x14ac:dyDescent="0.25">
      <c r="A83" t="s">
        <v>47</v>
      </c>
      <c r="B83">
        <v>2025</v>
      </c>
      <c r="C83" t="s">
        <v>62</v>
      </c>
      <c r="D83" t="s">
        <v>6</v>
      </c>
      <c r="E83" t="s">
        <v>8</v>
      </c>
      <c r="F83" t="s">
        <v>55</v>
      </c>
      <c r="G83">
        <v>2.132813479897515E-5</v>
      </c>
      <c r="H83">
        <v>6.7445440432052862E-6</v>
      </c>
      <c r="I83">
        <v>1.006136602123577E-7</v>
      </c>
      <c r="J83">
        <v>1.9317698465191939E-6</v>
      </c>
      <c r="K83">
        <v>3.4530981698138861E-6</v>
      </c>
      <c r="L83">
        <v>2.125116126108978E-6</v>
      </c>
      <c r="M83">
        <v>2.2371614150820099E-9</v>
      </c>
      <c r="N83">
        <v>6.7936879342129515E-11</v>
      </c>
      <c r="O83">
        <v>8.3134770597684327E-10</v>
      </c>
      <c r="P83">
        <v>3.9321492778114212E-11</v>
      </c>
      <c r="Q83">
        <v>7.3311600127839679E-10</v>
      </c>
      <c r="R83" s="5">
        <f t="shared" si="5"/>
        <v>3.5687185528329305E-5</v>
      </c>
    </row>
    <row r="84" spans="1:18" x14ac:dyDescent="0.25">
      <c r="A84" t="s">
        <v>47</v>
      </c>
      <c r="B84">
        <v>2030</v>
      </c>
      <c r="C84" t="s">
        <v>62</v>
      </c>
      <c r="D84" t="s">
        <v>6</v>
      </c>
      <c r="E84" t="s">
        <v>8</v>
      </c>
      <c r="F84" t="s">
        <v>55</v>
      </c>
      <c r="G84">
        <v>2.132813479897515E-5</v>
      </c>
      <c r="H84">
        <v>6.7445440432052862E-6</v>
      </c>
      <c r="I84">
        <v>1.006136602123577E-7</v>
      </c>
      <c r="J84">
        <v>1.9317698465191939E-6</v>
      </c>
      <c r="K84">
        <v>3.4530981698138861E-6</v>
      </c>
      <c r="L84">
        <v>2.125116126108978E-6</v>
      </c>
      <c r="M84">
        <v>2.2371614150820099E-9</v>
      </c>
      <c r="N84">
        <v>6.7936879342129515E-11</v>
      </c>
      <c r="O84">
        <v>8.3134770597684327E-10</v>
      </c>
      <c r="P84">
        <v>3.9321492778114212E-11</v>
      </c>
      <c r="Q84">
        <v>7.3311600127839679E-10</v>
      </c>
      <c r="R84" s="5">
        <f t="shared" si="5"/>
        <v>3.5687185528329305E-5</v>
      </c>
    </row>
    <row r="85" spans="1:18" x14ac:dyDescent="0.25">
      <c r="A85" t="s">
        <v>47</v>
      </c>
      <c r="B85">
        <v>2035</v>
      </c>
      <c r="C85" t="s">
        <v>62</v>
      </c>
      <c r="D85" t="s">
        <v>6</v>
      </c>
      <c r="E85" t="s">
        <v>8</v>
      </c>
      <c r="F85" t="s">
        <v>55</v>
      </c>
      <c r="G85">
        <v>2.132813479897515E-5</v>
      </c>
      <c r="H85">
        <v>6.7445440432052862E-6</v>
      </c>
      <c r="I85">
        <v>1.006136602123577E-7</v>
      </c>
      <c r="J85">
        <v>1.9317698465191939E-6</v>
      </c>
      <c r="K85">
        <v>3.4530981698138861E-6</v>
      </c>
      <c r="L85">
        <v>2.125116126108978E-6</v>
      </c>
      <c r="M85">
        <v>2.2371614150820099E-9</v>
      </c>
      <c r="N85">
        <v>6.7936879342129515E-11</v>
      </c>
      <c r="O85">
        <v>8.3134770597684327E-10</v>
      </c>
      <c r="P85">
        <v>3.9321492778114212E-11</v>
      </c>
      <c r="Q85">
        <v>7.3311600127839679E-10</v>
      </c>
      <c r="R85" s="5">
        <f t="shared" si="5"/>
        <v>3.5687185528329305E-5</v>
      </c>
    </row>
    <row r="86" spans="1:18" x14ac:dyDescent="0.25">
      <c r="A86" t="s">
        <v>47</v>
      </c>
      <c r="B86">
        <v>2040</v>
      </c>
      <c r="C86" t="s">
        <v>62</v>
      </c>
      <c r="D86" t="s">
        <v>6</v>
      </c>
      <c r="E86" t="s">
        <v>8</v>
      </c>
      <c r="F86" t="s">
        <v>55</v>
      </c>
      <c r="G86">
        <v>2.132813479897515E-5</v>
      </c>
      <c r="H86">
        <v>6.7445440432052862E-6</v>
      </c>
      <c r="I86">
        <v>1.006136602123577E-7</v>
      </c>
      <c r="J86">
        <v>1.9317698465191939E-6</v>
      </c>
      <c r="K86">
        <v>3.4530981698138861E-6</v>
      </c>
      <c r="L86">
        <v>2.125116126108978E-6</v>
      </c>
      <c r="M86">
        <v>2.2371614150820099E-9</v>
      </c>
      <c r="N86">
        <v>6.7936879342129515E-11</v>
      </c>
      <c r="O86">
        <v>8.3134770597684327E-10</v>
      </c>
      <c r="P86">
        <v>3.9321492778114212E-11</v>
      </c>
      <c r="Q86">
        <v>7.3311600127839679E-10</v>
      </c>
      <c r="R86" s="5">
        <f t="shared" si="5"/>
        <v>3.5687185528329305E-5</v>
      </c>
    </row>
    <row r="87" spans="1:18" x14ac:dyDescent="0.25">
      <c r="A87" t="s">
        <v>47</v>
      </c>
      <c r="B87">
        <v>2020</v>
      </c>
      <c r="C87" t="s">
        <v>63</v>
      </c>
      <c r="D87" t="s">
        <v>51</v>
      </c>
      <c r="E87" t="s">
        <v>8</v>
      </c>
      <c r="F87" t="s">
        <v>55</v>
      </c>
      <c r="G87">
        <v>2.712342141894958E-5</v>
      </c>
      <c r="H87">
        <v>8.4017245878643843E-6</v>
      </c>
      <c r="I87">
        <v>2.4140122463237922E-6</v>
      </c>
      <c r="J87">
        <v>5.1807716365936698E-6</v>
      </c>
      <c r="K87">
        <v>8.4081229372277855E-5</v>
      </c>
      <c r="L87">
        <v>5.8352529794999978E-5</v>
      </c>
      <c r="M87">
        <v>7.8837332635237179E-9</v>
      </c>
      <c r="N87">
        <v>9.1544859767756909E-11</v>
      </c>
      <c r="O87">
        <v>2.6955437535571251E-9</v>
      </c>
      <c r="P87">
        <v>4.0710419140566947E-11</v>
      </c>
      <c r="Q87">
        <v>4.1622670618276432E-9</v>
      </c>
      <c r="R87" s="5">
        <f t="shared" si="5"/>
        <v>1.8556856285636709E-4</v>
      </c>
    </row>
    <row r="88" spans="1:18" x14ac:dyDescent="0.25">
      <c r="A88" t="s">
        <v>47</v>
      </c>
      <c r="B88">
        <v>2025</v>
      </c>
      <c r="C88" t="s">
        <v>63</v>
      </c>
      <c r="D88" t="s">
        <v>51</v>
      </c>
      <c r="E88" t="s">
        <v>8</v>
      </c>
      <c r="F88" t="s">
        <v>55</v>
      </c>
      <c r="G88">
        <v>2.712342141894958E-5</v>
      </c>
      <c r="H88">
        <v>8.4017245878643843E-6</v>
      </c>
      <c r="I88">
        <v>2.4140122463237922E-6</v>
      </c>
      <c r="J88">
        <v>5.1807716365936698E-6</v>
      </c>
      <c r="K88">
        <v>8.4081229372277855E-5</v>
      </c>
      <c r="L88">
        <v>5.8352529794999978E-5</v>
      </c>
      <c r="M88">
        <v>7.8837332635237179E-9</v>
      </c>
      <c r="N88">
        <v>9.1544859767756909E-11</v>
      </c>
      <c r="O88">
        <v>2.6955437535571251E-9</v>
      </c>
      <c r="P88">
        <v>4.0710419140566947E-11</v>
      </c>
      <c r="Q88">
        <v>4.1622670618276432E-9</v>
      </c>
      <c r="R88" s="5">
        <f t="shared" si="5"/>
        <v>1.8556856285636709E-4</v>
      </c>
    </row>
    <row r="89" spans="1:18" x14ac:dyDescent="0.25">
      <c r="A89" t="s">
        <v>47</v>
      </c>
      <c r="B89">
        <v>2030</v>
      </c>
      <c r="C89" t="s">
        <v>63</v>
      </c>
      <c r="D89" t="s">
        <v>51</v>
      </c>
      <c r="E89" t="s">
        <v>8</v>
      </c>
      <c r="F89" t="s">
        <v>55</v>
      </c>
      <c r="G89">
        <v>2.712342141894958E-5</v>
      </c>
      <c r="H89">
        <v>8.4017245878643843E-6</v>
      </c>
      <c r="I89">
        <v>2.4140122463237922E-6</v>
      </c>
      <c r="J89">
        <v>5.1807716365936698E-6</v>
      </c>
      <c r="K89">
        <v>8.4081229372277855E-5</v>
      </c>
      <c r="L89">
        <v>5.8352529794999978E-5</v>
      </c>
      <c r="M89">
        <v>7.8837332635237179E-9</v>
      </c>
      <c r="N89">
        <v>9.1544859767756909E-11</v>
      </c>
      <c r="O89">
        <v>2.6955437535571251E-9</v>
      </c>
      <c r="P89">
        <v>4.0710419140566947E-11</v>
      </c>
      <c r="Q89">
        <v>4.1622670618276432E-9</v>
      </c>
      <c r="R89" s="5">
        <f t="shared" si="5"/>
        <v>1.8556856285636709E-4</v>
      </c>
    </row>
    <row r="90" spans="1:18" x14ac:dyDescent="0.25">
      <c r="A90" t="s">
        <v>47</v>
      </c>
      <c r="B90">
        <v>2035</v>
      </c>
      <c r="C90" t="s">
        <v>63</v>
      </c>
      <c r="D90" t="s">
        <v>51</v>
      </c>
      <c r="E90" t="s">
        <v>8</v>
      </c>
      <c r="F90" t="s">
        <v>55</v>
      </c>
      <c r="G90">
        <v>2.712342141894958E-5</v>
      </c>
      <c r="H90">
        <v>8.4017245878643843E-6</v>
      </c>
      <c r="I90">
        <v>2.4140122463237922E-6</v>
      </c>
      <c r="J90">
        <v>5.1807716365936698E-6</v>
      </c>
      <c r="K90">
        <v>8.4081229372277855E-5</v>
      </c>
      <c r="L90">
        <v>5.8352529794999978E-5</v>
      </c>
      <c r="M90">
        <v>7.8837332635237179E-9</v>
      </c>
      <c r="N90">
        <v>9.1544859767756909E-11</v>
      </c>
      <c r="O90">
        <v>2.6955437535571251E-9</v>
      </c>
      <c r="P90">
        <v>4.0710419140566947E-11</v>
      </c>
      <c r="Q90">
        <v>4.1622670618276432E-9</v>
      </c>
      <c r="R90" s="5">
        <f t="shared" si="5"/>
        <v>1.8556856285636709E-4</v>
      </c>
    </row>
    <row r="91" spans="1:18" x14ac:dyDescent="0.25">
      <c r="A91" t="s">
        <v>47</v>
      </c>
      <c r="B91">
        <v>2040</v>
      </c>
      <c r="C91" t="s">
        <v>63</v>
      </c>
      <c r="D91" t="s">
        <v>51</v>
      </c>
      <c r="E91" t="s">
        <v>8</v>
      </c>
      <c r="F91" t="s">
        <v>55</v>
      </c>
      <c r="G91">
        <v>2.712342141894958E-5</v>
      </c>
      <c r="H91">
        <v>8.4017245878643843E-6</v>
      </c>
      <c r="I91">
        <v>2.4140122463237922E-6</v>
      </c>
      <c r="J91">
        <v>5.1807716365936698E-6</v>
      </c>
      <c r="K91">
        <v>8.4081229372277855E-5</v>
      </c>
      <c r="L91">
        <v>5.8352529794999978E-5</v>
      </c>
      <c r="M91">
        <v>7.8837332635237179E-9</v>
      </c>
      <c r="N91">
        <v>9.1544859767756909E-11</v>
      </c>
      <c r="O91">
        <v>2.6955437535571251E-9</v>
      </c>
      <c r="P91">
        <v>4.0710419140566947E-11</v>
      </c>
      <c r="Q91">
        <v>4.1622670618276432E-9</v>
      </c>
      <c r="R91" s="5">
        <f t="shared" si="5"/>
        <v>1.8556856285636709E-4</v>
      </c>
    </row>
    <row r="92" spans="1:18" x14ac:dyDescent="0.25">
      <c r="A92" t="s">
        <v>47</v>
      </c>
      <c r="B92">
        <v>2020</v>
      </c>
      <c r="C92" t="s">
        <v>64</v>
      </c>
      <c r="D92" t="s">
        <v>6</v>
      </c>
      <c r="E92" t="s">
        <v>13</v>
      </c>
      <c r="F92" t="s">
        <v>55</v>
      </c>
      <c r="G92">
        <v>2.6552965893012039E-5</v>
      </c>
      <c r="H92">
        <v>8.0209487922277499E-6</v>
      </c>
      <c r="I92">
        <v>7.61887512120704E-8</v>
      </c>
      <c r="J92">
        <v>8.6514049627100155E-7</v>
      </c>
      <c r="K92">
        <v>2.79054008767548E-6</v>
      </c>
      <c r="L92">
        <v>1.553812172474392E-6</v>
      </c>
      <c r="M92">
        <v>3.02865820075898E-9</v>
      </c>
      <c r="N92">
        <v>2.7611072488099509E-10</v>
      </c>
      <c r="O92">
        <v>3.0355092310452871E-9</v>
      </c>
      <c r="P92">
        <v>4.6269009041915273E-11</v>
      </c>
      <c r="Q92">
        <v>1.797272157937871E-9</v>
      </c>
      <c r="R92" s="5">
        <f t="shared" si="5"/>
        <v>3.9867780012196404E-5</v>
      </c>
    </row>
    <row r="93" spans="1:18" x14ac:dyDescent="0.25">
      <c r="A93" t="s">
        <v>47</v>
      </c>
      <c r="B93">
        <v>2025</v>
      </c>
      <c r="C93" t="s">
        <v>64</v>
      </c>
      <c r="D93" t="s">
        <v>6</v>
      </c>
      <c r="E93" t="s">
        <v>13</v>
      </c>
      <c r="F93" t="s">
        <v>55</v>
      </c>
      <c r="G93">
        <v>2.6552965893012039E-5</v>
      </c>
      <c r="H93">
        <v>8.0209487922277499E-6</v>
      </c>
      <c r="I93">
        <v>7.61887512120704E-8</v>
      </c>
      <c r="J93">
        <v>8.6514049627100155E-7</v>
      </c>
      <c r="K93">
        <v>2.79054008767548E-6</v>
      </c>
      <c r="L93">
        <v>1.553812172474392E-6</v>
      </c>
      <c r="M93">
        <v>3.02865820075898E-9</v>
      </c>
      <c r="N93">
        <v>2.7611072488099509E-10</v>
      </c>
      <c r="O93">
        <v>3.0355092310452871E-9</v>
      </c>
      <c r="P93">
        <v>4.6269009041915273E-11</v>
      </c>
      <c r="Q93">
        <v>1.797272157937871E-9</v>
      </c>
      <c r="R93" s="5">
        <f t="shared" si="5"/>
        <v>3.9867780012196404E-5</v>
      </c>
    </row>
    <row r="94" spans="1:18" x14ac:dyDescent="0.25">
      <c r="A94" t="s">
        <v>47</v>
      </c>
      <c r="B94">
        <v>2030</v>
      </c>
      <c r="C94" t="s">
        <v>64</v>
      </c>
      <c r="D94" t="s">
        <v>6</v>
      </c>
      <c r="E94" t="s">
        <v>13</v>
      </c>
      <c r="F94" t="s">
        <v>55</v>
      </c>
      <c r="G94">
        <v>2.6552965893012039E-5</v>
      </c>
      <c r="H94">
        <v>8.0209487922277499E-6</v>
      </c>
      <c r="I94">
        <v>7.61887512120704E-8</v>
      </c>
      <c r="J94">
        <v>8.6514049627100155E-7</v>
      </c>
      <c r="K94">
        <v>2.79054008767548E-6</v>
      </c>
      <c r="L94">
        <v>1.553812172474392E-6</v>
      </c>
      <c r="M94">
        <v>3.02865820075898E-9</v>
      </c>
      <c r="N94">
        <v>2.7611072488099509E-10</v>
      </c>
      <c r="O94">
        <v>3.0355092310452871E-9</v>
      </c>
      <c r="P94">
        <v>4.6269009041915273E-11</v>
      </c>
      <c r="Q94">
        <v>1.797272157937871E-9</v>
      </c>
      <c r="R94" s="5">
        <f t="shared" si="5"/>
        <v>3.9867780012196404E-5</v>
      </c>
    </row>
    <row r="95" spans="1:18" x14ac:dyDescent="0.25">
      <c r="A95" t="s">
        <v>47</v>
      </c>
      <c r="B95">
        <v>2035</v>
      </c>
      <c r="C95" t="s">
        <v>64</v>
      </c>
      <c r="D95" t="s">
        <v>6</v>
      </c>
      <c r="E95" t="s">
        <v>13</v>
      </c>
      <c r="F95" t="s">
        <v>55</v>
      </c>
      <c r="G95">
        <v>2.6552965893012039E-5</v>
      </c>
      <c r="H95">
        <v>8.0209487922277499E-6</v>
      </c>
      <c r="I95">
        <v>7.61887512120704E-8</v>
      </c>
      <c r="J95">
        <v>8.6514049627100155E-7</v>
      </c>
      <c r="K95">
        <v>2.79054008767548E-6</v>
      </c>
      <c r="L95">
        <v>1.553812172474392E-6</v>
      </c>
      <c r="M95">
        <v>3.02865820075898E-9</v>
      </c>
      <c r="N95">
        <v>2.7611072488099509E-10</v>
      </c>
      <c r="O95">
        <v>3.0355092310452871E-9</v>
      </c>
      <c r="P95">
        <v>4.6269009041915273E-11</v>
      </c>
      <c r="Q95">
        <v>1.797272157937871E-9</v>
      </c>
      <c r="R95" s="5">
        <f t="shared" si="5"/>
        <v>3.9867780012196404E-5</v>
      </c>
    </row>
    <row r="96" spans="1:18" x14ac:dyDescent="0.25">
      <c r="A96" t="s">
        <v>47</v>
      </c>
      <c r="B96">
        <v>2040</v>
      </c>
      <c r="C96" t="s">
        <v>64</v>
      </c>
      <c r="D96" t="s">
        <v>6</v>
      </c>
      <c r="E96" t="s">
        <v>13</v>
      </c>
      <c r="F96" t="s">
        <v>55</v>
      </c>
      <c r="G96">
        <v>2.6552965893012039E-5</v>
      </c>
      <c r="H96">
        <v>8.0209487922277499E-6</v>
      </c>
      <c r="I96">
        <v>7.61887512120704E-8</v>
      </c>
      <c r="J96">
        <v>8.6514049627100155E-7</v>
      </c>
      <c r="K96">
        <v>2.79054008767548E-6</v>
      </c>
      <c r="L96">
        <v>1.553812172474392E-6</v>
      </c>
      <c r="M96">
        <v>3.02865820075898E-9</v>
      </c>
      <c r="N96">
        <v>2.7611072488099509E-10</v>
      </c>
      <c r="O96">
        <v>3.0355092310452871E-9</v>
      </c>
      <c r="P96">
        <v>4.6269009041915273E-11</v>
      </c>
      <c r="Q96">
        <v>1.797272157937871E-9</v>
      </c>
      <c r="R96" s="5">
        <f t="shared" si="5"/>
        <v>3.9867780012196404E-5</v>
      </c>
    </row>
    <row r="97" spans="1:18" x14ac:dyDescent="0.25">
      <c r="A97" t="s">
        <v>47</v>
      </c>
      <c r="B97">
        <v>2020</v>
      </c>
      <c r="C97" t="s">
        <v>65</v>
      </c>
      <c r="D97" t="s">
        <v>51</v>
      </c>
      <c r="E97" t="s">
        <v>13</v>
      </c>
      <c r="F97" t="s">
        <v>55</v>
      </c>
      <c r="G97">
        <v>8.1843818143221718E-5</v>
      </c>
      <c r="H97">
        <v>2.4794722326218841E-5</v>
      </c>
      <c r="I97">
        <v>8.8029626154669071E-8</v>
      </c>
      <c r="J97">
        <v>8.5155283130279217E-7</v>
      </c>
      <c r="K97">
        <v>2.816290043548697E-6</v>
      </c>
      <c r="L97">
        <v>1.2783908811785009E-6</v>
      </c>
      <c r="M97">
        <v>2.9144861088633432E-9</v>
      </c>
      <c r="N97">
        <v>3.120874260977269E-10</v>
      </c>
      <c r="O97">
        <v>1.0077534621360459E-9</v>
      </c>
      <c r="P97">
        <v>9.5985291945961744E-11</v>
      </c>
      <c r="Q97">
        <v>6.2759780469048197E-10</v>
      </c>
      <c r="R97" s="5">
        <f t="shared" si="5"/>
        <v>1.1167776176171892E-4</v>
      </c>
    </row>
    <row r="98" spans="1:18" x14ac:dyDescent="0.25">
      <c r="A98" t="s">
        <v>47</v>
      </c>
      <c r="B98">
        <v>2025</v>
      </c>
      <c r="C98" t="s">
        <v>65</v>
      </c>
      <c r="D98" t="s">
        <v>51</v>
      </c>
      <c r="E98" t="s">
        <v>13</v>
      </c>
      <c r="F98" t="s">
        <v>55</v>
      </c>
      <c r="G98">
        <v>8.1843818143221718E-5</v>
      </c>
      <c r="H98">
        <v>2.4794722326218841E-5</v>
      </c>
      <c r="I98">
        <v>8.8029626154669071E-8</v>
      </c>
      <c r="J98">
        <v>8.5155283130279217E-7</v>
      </c>
      <c r="K98">
        <v>2.816290043548697E-6</v>
      </c>
      <c r="L98">
        <v>1.2783908811785009E-6</v>
      </c>
      <c r="M98">
        <v>2.9144861088633432E-9</v>
      </c>
      <c r="N98">
        <v>3.120874260977269E-10</v>
      </c>
      <c r="O98">
        <v>1.0077534621360459E-9</v>
      </c>
      <c r="P98">
        <v>9.5985291945961744E-11</v>
      </c>
      <c r="Q98">
        <v>6.2759780469048197E-10</v>
      </c>
      <c r="R98" s="5">
        <f t="shared" si="5"/>
        <v>1.1167776176171892E-4</v>
      </c>
    </row>
    <row r="99" spans="1:18" x14ac:dyDescent="0.25">
      <c r="A99" t="s">
        <v>47</v>
      </c>
      <c r="B99">
        <v>2030</v>
      </c>
      <c r="C99" t="s">
        <v>65</v>
      </c>
      <c r="D99" t="s">
        <v>51</v>
      </c>
      <c r="E99" t="s">
        <v>13</v>
      </c>
      <c r="F99" t="s">
        <v>55</v>
      </c>
      <c r="G99">
        <v>8.1843818143221718E-5</v>
      </c>
      <c r="H99">
        <v>2.4794722326218841E-5</v>
      </c>
      <c r="I99">
        <v>8.8029626154669071E-8</v>
      </c>
      <c r="J99">
        <v>8.5155283130279217E-7</v>
      </c>
      <c r="K99">
        <v>2.816290043548697E-6</v>
      </c>
      <c r="L99">
        <v>1.2783908811785009E-6</v>
      </c>
      <c r="M99">
        <v>2.9144861088633432E-9</v>
      </c>
      <c r="N99">
        <v>3.120874260977269E-10</v>
      </c>
      <c r="O99">
        <v>1.0077534621360459E-9</v>
      </c>
      <c r="P99">
        <v>9.5985291945961744E-11</v>
      </c>
      <c r="Q99">
        <v>6.2759780469048197E-10</v>
      </c>
      <c r="R99" s="5">
        <f t="shared" si="5"/>
        <v>1.1167776176171892E-4</v>
      </c>
    </row>
    <row r="100" spans="1:18" x14ac:dyDescent="0.25">
      <c r="A100" t="s">
        <v>47</v>
      </c>
      <c r="B100">
        <v>2035</v>
      </c>
      <c r="C100" t="s">
        <v>65</v>
      </c>
      <c r="D100" t="s">
        <v>51</v>
      </c>
      <c r="E100" t="s">
        <v>13</v>
      </c>
      <c r="F100" t="s">
        <v>55</v>
      </c>
      <c r="G100">
        <v>8.1843818143221718E-5</v>
      </c>
      <c r="H100">
        <v>2.4794722326218841E-5</v>
      </c>
      <c r="I100">
        <v>8.8029626154669071E-8</v>
      </c>
      <c r="J100">
        <v>8.5155283130279217E-7</v>
      </c>
      <c r="K100">
        <v>2.816290043548697E-6</v>
      </c>
      <c r="L100">
        <v>1.2783908811785009E-6</v>
      </c>
      <c r="M100">
        <v>2.9144861088633432E-9</v>
      </c>
      <c r="N100">
        <v>3.120874260977269E-10</v>
      </c>
      <c r="O100">
        <v>1.0077534621360459E-9</v>
      </c>
      <c r="P100">
        <v>9.5985291945961744E-11</v>
      </c>
      <c r="Q100">
        <v>6.2759780469048197E-10</v>
      </c>
      <c r="R100" s="5">
        <f t="shared" si="5"/>
        <v>1.1167776176171892E-4</v>
      </c>
    </row>
    <row r="101" spans="1:18" x14ac:dyDescent="0.25">
      <c r="A101" t="s">
        <v>47</v>
      </c>
      <c r="B101">
        <v>2040</v>
      </c>
      <c r="C101" t="s">
        <v>65</v>
      </c>
      <c r="D101" t="s">
        <v>51</v>
      </c>
      <c r="E101" t="s">
        <v>13</v>
      </c>
      <c r="F101" t="s">
        <v>55</v>
      </c>
      <c r="G101">
        <v>8.1843818143221718E-5</v>
      </c>
      <c r="H101">
        <v>2.4794722326218841E-5</v>
      </c>
      <c r="I101">
        <v>8.8029626154669071E-8</v>
      </c>
      <c r="J101">
        <v>8.5155283130279217E-7</v>
      </c>
      <c r="K101">
        <v>2.816290043548697E-6</v>
      </c>
      <c r="L101">
        <v>1.2783908811785009E-6</v>
      </c>
      <c r="M101">
        <v>2.9144861088633432E-9</v>
      </c>
      <c r="N101">
        <v>3.120874260977269E-10</v>
      </c>
      <c r="O101">
        <v>1.0077534621360459E-9</v>
      </c>
      <c r="P101">
        <v>9.5985291945961744E-11</v>
      </c>
      <c r="Q101">
        <v>6.2759780469048197E-10</v>
      </c>
      <c r="R101" s="5">
        <f t="shared" si="5"/>
        <v>1.1167776176171892E-4</v>
      </c>
    </row>
    <row r="102" spans="1:18" x14ac:dyDescent="0.25">
      <c r="A102" t="s">
        <v>47</v>
      </c>
      <c r="B102">
        <v>2020</v>
      </c>
      <c r="C102" t="s">
        <v>66</v>
      </c>
      <c r="D102" t="s">
        <v>51</v>
      </c>
      <c r="E102" t="s">
        <v>12</v>
      </c>
      <c r="F102" t="s">
        <v>55</v>
      </c>
      <c r="G102">
        <v>2.4859089953859929E-4</v>
      </c>
      <c r="H102">
        <v>7.7168610569532247E-5</v>
      </c>
      <c r="I102">
        <v>6.4803383041661939E-7</v>
      </c>
      <c r="J102">
        <v>1.9419276808532532E-5</v>
      </c>
      <c r="K102">
        <v>3.1152717243599443E-5</v>
      </c>
      <c r="L102">
        <v>2.1367347782572019E-5</v>
      </c>
      <c r="M102">
        <v>1.2456755645344921E-6</v>
      </c>
      <c r="N102">
        <v>2.331767855041549E-9</v>
      </c>
      <c r="O102">
        <v>1.873616596040129E-5</v>
      </c>
      <c r="P102">
        <v>2.8622147794775611E-8</v>
      </c>
      <c r="Q102">
        <v>1.226378504317178E-5</v>
      </c>
      <c r="R102" s="5">
        <f t="shared" si="5"/>
        <v>4.3062346625700944E-4</v>
      </c>
    </row>
    <row r="103" spans="1:18" x14ac:dyDescent="0.25">
      <c r="A103" t="s">
        <v>47</v>
      </c>
      <c r="B103">
        <v>2025</v>
      </c>
      <c r="C103" t="s">
        <v>66</v>
      </c>
      <c r="D103" t="s">
        <v>51</v>
      </c>
      <c r="E103" t="s">
        <v>12</v>
      </c>
      <c r="F103" t="s">
        <v>55</v>
      </c>
      <c r="G103">
        <v>2.4859089953859929E-4</v>
      </c>
      <c r="H103">
        <v>7.7168610569532247E-5</v>
      </c>
      <c r="I103">
        <v>6.4803383041661939E-7</v>
      </c>
      <c r="J103">
        <v>1.9419276808532532E-5</v>
      </c>
      <c r="K103">
        <v>3.1152717243599443E-5</v>
      </c>
      <c r="L103">
        <v>2.1367347782572019E-5</v>
      </c>
      <c r="M103">
        <v>1.2456755645344921E-6</v>
      </c>
      <c r="N103">
        <v>2.331767855041549E-9</v>
      </c>
      <c r="O103">
        <v>1.873616596040129E-5</v>
      </c>
      <c r="P103">
        <v>2.8622147794775611E-8</v>
      </c>
      <c r="Q103">
        <v>1.226378504317178E-5</v>
      </c>
      <c r="R103" s="5">
        <f t="shared" si="5"/>
        <v>4.3062346625700944E-4</v>
      </c>
    </row>
    <row r="104" spans="1:18" x14ac:dyDescent="0.25">
      <c r="A104" t="s">
        <v>47</v>
      </c>
      <c r="B104">
        <v>2030</v>
      </c>
      <c r="C104" t="s">
        <v>66</v>
      </c>
      <c r="D104" t="s">
        <v>51</v>
      </c>
      <c r="E104" t="s">
        <v>12</v>
      </c>
      <c r="F104" t="s">
        <v>55</v>
      </c>
      <c r="G104">
        <v>2.4859089953859929E-4</v>
      </c>
      <c r="H104">
        <v>7.7168610569532247E-5</v>
      </c>
      <c r="I104">
        <v>6.4803383041661939E-7</v>
      </c>
      <c r="J104">
        <v>1.9419276808532532E-5</v>
      </c>
      <c r="K104">
        <v>3.1152717243599443E-5</v>
      </c>
      <c r="L104">
        <v>2.1367347782572019E-5</v>
      </c>
      <c r="M104">
        <v>1.2456755645344921E-6</v>
      </c>
      <c r="N104">
        <v>2.331767855041549E-9</v>
      </c>
      <c r="O104">
        <v>1.873616596040129E-5</v>
      </c>
      <c r="P104">
        <v>2.8622147794775611E-8</v>
      </c>
      <c r="Q104">
        <v>1.226378504317178E-5</v>
      </c>
      <c r="R104" s="5">
        <f t="shared" si="5"/>
        <v>4.3062346625700944E-4</v>
      </c>
    </row>
    <row r="105" spans="1:18" x14ac:dyDescent="0.25">
      <c r="A105" t="s">
        <v>47</v>
      </c>
      <c r="B105">
        <v>2035</v>
      </c>
      <c r="C105" t="s">
        <v>66</v>
      </c>
      <c r="D105" t="s">
        <v>51</v>
      </c>
      <c r="E105" t="s">
        <v>12</v>
      </c>
      <c r="F105" t="s">
        <v>55</v>
      </c>
      <c r="G105">
        <v>2.4859089953859929E-4</v>
      </c>
      <c r="H105">
        <v>7.7168610569532247E-5</v>
      </c>
      <c r="I105">
        <v>6.4803383041661939E-7</v>
      </c>
      <c r="J105">
        <v>1.9419276808532532E-5</v>
      </c>
      <c r="K105">
        <v>3.1152717243599443E-5</v>
      </c>
      <c r="L105">
        <v>2.1367347782572019E-5</v>
      </c>
      <c r="M105">
        <v>1.2456755645344921E-6</v>
      </c>
      <c r="N105">
        <v>2.331767855041549E-9</v>
      </c>
      <c r="O105">
        <v>1.873616596040129E-5</v>
      </c>
      <c r="P105">
        <v>2.8622147794775611E-8</v>
      </c>
      <c r="Q105">
        <v>1.226378504317178E-5</v>
      </c>
      <c r="R105" s="5">
        <f t="shared" si="5"/>
        <v>4.3062346625700944E-4</v>
      </c>
    </row>
    <row r="106" spans="1:18" x14ac:dyDescent="0.25">
      <c r="A106" t="s">
        <v>47</v>
      </c>
      <c r="B106">
        <v>2040</v>
      </c>
      <c r="C106" t="s">
        <v>66</v>
      </c>
      <c r="D106" t="s">
        <v>51</v>
      </c>
      <c r="E106" t="s">
        <v>12</v>
      </c>
      <c r="F106" t="s">
        <v>55</v>
      </c>
      <c r="G106">
        <v>2.4859089953859929E-4</v>
      </c>
      <c r="H106">
        <v>7.7168610569532247E-5</v>
      </c>
      <c r="I106">
        <v>6.4803383041661939E-7</v>
      </c>
      <c r="J106">
        <v>1.9419276808532532E-5</v>
      </c>
      <c r="K106">
        <v>3.1152717243599443E-5</v>
      </c>
      <c r="L106">
        <v>2.1367347782572019E-5</v>
      </c>
      <c r="M106">
        <v>1.2456755645344921E-6</v>
      </c>
      <c r="N106">
        <v>2.331767855041549E-9</v>
      </c>
      <c r="O106">
        <v>1.873616596040129E-5</v>
      </c>
      <c r="P106">
        <v>2.8622147794775611E-8</v>
      </c>
      <c r="Q106">
        <v>1.226378504317178E-5</v>
      </c>
      <c r="R106" s="5">
        <f t="shared" si="5"/>
        <v>4.3062346625700944E-4</v>
      </c>
    </row>
    <row r="107" spans="1:18" x14ac:dyDescent="0.25">
      <c r="A107" t="s">
        <v>47</v>
      </c>
      <c r="B107">
        <v>2020</v>
      </c>
      <c r="C107" t="s">
        <v>67</v>
      </c>
      <c r="D107" t="s">
        <v>6</v>
      </c>
      <c r="E107" t="s">
        <v>9</v>
      </c>
      <c r="F107" t="s">
        <v>49</v>
      </c>
      <c r="G107">
        <v>2.5265411559155632E-6</v>
      </c>
      <c r="H107">
        <v>7.7967908930444776E-7</v>
      </c>
      <c r="I107">
        <v>2.1052152697744631E-9</v>
      </c>
      <c r="J107">
        <v>3.7577809895441591E-8</v>
      </c>
      <c r="K107">
        <v>6.3751626811547806E-8</v>
      </c>
      <c r="L107">
        <v>3.0751443072694122E-8</v>
      </c>
      <c r="M107">
        <v>6.6139181181497375E-11</v>
      </c>
      <c r="N107">
        <v>7.4673835017401146E-12</v>
      </c>
      <c r="O107">
        <v>6.7827749934325937E-11</v>
      </c>
      <c r="P107">
        <v>3.9022978319968607E-12</v>
      </c>
      <c r="Q107">
        <v>2.3537360539067361E-11</v>
      </c>
      <c r="R107" s="5">
        <f t="shared" si="5"/>
        <v>3.4405752142424575E-6</v>
      </c>
    </row>
    <row r="108" spans="1:18" x14ac:dyDescent="0.25">
      <c r="A108" t="s">
        <v>47</v>
      </c>
      <c r="B108">
        <v>2025</v>
      </c>
      <c r="C108" t="s">
        <v>67</v>
      </c>
      <c r="D108" t="s">
        <v>6</v>
      </c>
      <c r="E108" t="s">
        <v>9</v>
      </c>
      <c r="F108" t="s">
        <v>49</v>
      </c>
      <c r="G108">
        <v>2.5265411559155632E-6</v>
      </c>
      <c r="H108">
        <v>7.7967908930444776E-7</v>
      </c>
      <c r="I108">
        <v>2.1052152697744631E-9</v>
      </c>
      <c r="J108">
        <v>3.7577809895441591E-8</v>
      </c>
      <c r="K108">
        <v>6.3751626811547806E-8</v>
      </c>
      <c r="L108">
        <v>3.0751443072694122E-8</v>
      </c>
      <c r="M108">
        <v>6.6139181181497375E-11</v>
      </c>
      <c r="N108">
        <v>7.4673835017401146E-12</v>
      </c>
      <c r="O108">
        <v>6.7827749934325937E-11</v>
      </c>
      <c r="P108">
        <v>3.9022978319968607E-12</v>
      </c>
      <c r="Q108">
        <v>2.3537360539067361E-11</v>
      </c>
      <c r="R108" s="5">
        <f t="shared" si="5"/>
        <v>3.4405752142424575E-6</v>
      </c>
    </row>
    <row r="109" spans="1:18" x14ac:dyDescent="0.25">
      <c r="A109" t="s">
        <v>47</v>
      </c>
      <c r="B109">
        <v>2030</v>
      </c>
      <c r="C109" t="s">
        <v>67</v>
      </c>
      <c r="D109" t="s">
        <v>6</v>
      </c>
      <c r="E109" t="s">
        <v>9</v>
      </c>
      <c r="F109" t="s">
        <v>49</v>
      </c>
      <c r="G109">
        <v>2.5265411559155632E-6</v>
      </c>
      <c r="H109">
        <v>7.7967908930444776E-7</v>
      </c>
      <c r="I109">
        <v>2.1052152697744631E-9</v>
      </c>
      <c r="J109">
        <v>3.7577809895441591E-8</v>
      </c>
      <c r="K109">
        <v>6.3751626811547806E-8</v>
      </c>
      <c r="L109">
        <v>3.0751443072694122E-8</v>
      </c>
      <c r="M109">
        <v>6.6139181181497375E-11</v>
      </c>
      <c r="N109">
        <v>7.4673835017401146E-12</v>
      </c>
      <c r="O109">
        <v>6.7827749934325937E-11</v>
      </c>
      <c r="P109">
        <v>3.9022978319968607E-12</v>
      </c>
      <c r="Q109">
        <v>2.3537360539067361E-11</v>
      </c>
      <c r="R109" s="5">
        <f t="shared" si="5"/>
        <v>3.4405752142424575E-6</v>
      </c>
    </row>
    <row r="110" spans="1:18" x14ac:dyDescent="0.25">
      <c r="A110" t="s">
        <v>47</v>
      </c>
      <c r="B110">
        <v>2035</v>
      </c>
      <c r="C110" t="s">
        <v>67</v>
      </c>
      <c r="D110" t="s">
        <v>6</v>
      </c>
      <c r="E110" t="s">
        <v>9</v>
      </c>
      <c r="F110" t="s">
        <v>49</v>
      </c>
      <c r="G110">
        <v>2.5265411559155632E-6</v>
      </c>
      <c r="H110">
        <v>7.7967908930444776E-7</v>
      </c>
      <c r="I110">
        <v>2.1052152697744631E-9</v>
      </c>
      <c r="J110">
        <v>3.7577809895441591E-8</v>
      </c>
      <c r="K110">
        <v>6.3751626811547806E-8</v>
      </c>
      <c r="L110">
        <v>3.0751443072694122E-8</v>
      </c>
      <c r="M110">
        <v>6.6139181181497375E-11</v>
      </c>
      <c r="N110">
        <v>7.4673835017401146E-12</v>
      </c>
      <c r="O110">
        <v>6.7827749934325937E-11</v>
      </c>
      <c r="P110">
        <v>3.9022978319968607E-12</v>
      </c>
      <c r="Q110">
        <v>2.3537360539067361E-11</v>
      </c>
      <c r="R110" s="5">
        <f t="shared" si="5"/>
        <v>3.4405752142424575E-6</v>
      </c>
    </row>
    <row r="111" spans="1:18" x14ac:dyDescent="0.25">
      <c r="A111" t="s">
        <v>47</v>
      </c>
      <c r="B111">
        <v>2040</v>
      </c>
      <c r="C111" t="s">
        <v>67</v>
      </c>
      <c r="D111" t="s">
        <v>6</v>
      </c>
      <c r="E111" t="s">
        <v>9</v>
      </c>
      <c r="F111" t="s">
        <v>49</v>
      </c>
      <c r="G111">
        <v>2.5265411559155632E-6</v>
      </c>
      <c r="H111">
        <v>7.7967908930444776E-7</v>
      </c>
      <c r="I111">
        <v>2.1052152697744631E-9</v>
      </c>
      <c r="J111">
        <v>3.7577809895441591E-8</v>
      </c>
      <c r="K111">
        <v>6.3751626811547806E-8</v>
      </c>
      <c r="L111">
        <v>3.0751443072694122E-8</v>
      </c>
      <c r="M111">
        <v>6.6139181181497375E-11</v>
      </c>
      <c r="N111">
        <v>7.4673835017401146E-12</v>
      </c>
      <c r="O111">
        <v>6.7827749934325937E-11</v>
      </c>
      <c r="P111">
        <v>3.9022978319968607E-12</v>
      </c>
      <c r="Q111">
        <v>2.3537360539067361E-11</v>
      </c>
      <c r="R111" s="5">
        <f t="shared" si="5"/>
        <v>3.4405752142424575E-6</v>
      </c>
    </row>
    <row r="112" spans="1:18" x14ac:dyDescent="0.25">
      <c r="A112" t="s">
        <v>47</v>
      </c>
      <c r="B112">
        <v>2020</v>
      </c>
      <c r="C112" t="s">
        <v>68</v>
      </c>
      <c r="D112" t="s">
        <v>51</v>
      </c>
      <c r="E112" t="s">
        <v>9</v>
      </c>
      <c r="F112" t="s">
        <v>49</v>
      </c>
      <c r="G112">
        <v>3.2445013925385372E-6</v>
      </c>
      <c r="H112">
        <v>9.9722971629260729E-7</v>
      </c>
      <c r="I112">
        <v>4.0474860176568336E-9</v>
      </c>
      <c r="J112">
        <v>5.2002449797005083E-8</v>
      </c>
      <c r="K112">
        <v>1.108943264345902E-7</v>
      </c>
      <c r="L112">
        <v>4.1708579790073457E-8</v>
      </c>
      <c r="M112">
        <v>6.4302308740171354E-10</v>
      </c>
      <c r="N112">
        <v>1.1386344460155529E-11</v>
      </c>
      <c r="O112">
        <v>3.4401329176845891E-10</v>
      </c>
      <c r="P112">
        <v>5.8669779510712386E-12</v>
      </c>
      <c r="Q112">
        <v>4.7150321839815435E-10</v>
      </c>
      <c r="R112" s="5">
        <f t="shared" si="5"/>
        <v>4.4518597437904493E-6</v>
      </c>
    </row>
    <row r="113" spans="1:18" x14ac:dyDescent="0.25">
      <c r="A113" t="s">
        <v>47</v>
      </c>
      <c r="B113">
        <v>2025</v>
      </c>
      <c r="C113" t="s">
        <v>68</v>
      </c>
      <c r="D113" t="s">
        <v>51</v>
      </c>
      <c r="E113" t="s">
        <v>9</v>
      </c>
      <c r="F113" t="s">
        <v>49</v>
      </c>
      <c r="G113">
        <v>3.2445013925385372E-6</v>
      </c>
      <c r="H113">
        <v>9.9722971629260729E-7</v>
      </c>
      <c r="I113">
        <v>4.0474860176568336E-9</v>
      </c>
      <c r="J113">
        <v>5.2002449797005083E-8</v>
      </c>
      <c r="K113">
        <v>1.108943264345902E-7</v>
      </c>
      <c r="L113">
        <v>4.1708579790073457E-8</v>
      </c>
      <c r="M113">
        <v>6.4302308740171354E-10</v>
      </c>
      <c r="N113">
        <v>1.1386344460155529E-11</v>
      </c>
      <c r="O113">
        <v>3.4401329176845891E-10</v>
      </c>
      <c r="P113">
        <v>5.8669779510712386E-12</v>
      </c>
      <c r="Q113">
        <v>4.7150321839815435E-10</v>
      </c>
      <c r="R113" s="5">
        <f t="shared" si="5"/>
        <v>4.4518597437904493E-6</v>
      </c>
    </row>
    <row r="114" spans="1:18" x14ac:dyDescent="0.25">
      <c r="A114" t="s">
        <v>47</v>
      </c>
      <c r="B114">
        <v>2030</v>
      </c>
      <c r="C114" t="s">
        <v>68</v>
      </c>
      <c r="D114" t="s">
        <v>51</v>
      </c>
      <c r="E114" t="s">
        <v>9</v>
      </c>
      <c r="F114" t="s">
        <v>49</v>
      </c>
      <c r="G114">
        <v>3.2445013925385372E-6</v>
      </c>
      <c r="H114">
        <v>9.9722971629260729E-7</v>
      </c>
      <c r="I114">
        <v>4.0474860176568336E-9</v>
      </c>
      <c r="J114">
        <v>5.2002449797005083E-8</v>
      </c>
      <c r="K114">
        <v>1.108943264345902E-7</v>
      </c>
      <c r="L114">
        <v>4.1708579790073457E-8</v>
      </c>
      <c r="M114">
        <v>6.4302308740171354E-10</v>
      </c>
      <c r="N114">
        <v>1.1386344460155529E-11</v>
      </c>
      <c r="O114">
        <v>3.4401329176845891E-10</v>
      </c>
      <c r="P114">
        <v>5.8669779510712386E-12</v>
      </c>
      <c r="Q114">
        <v>4.7150321839815435E-10</v>
      </c>
      <c r="R114" s="5">
        <f t="shared" si="5"/>
        <v>4.4518597437904493E-6</v>
      </c>
    </row>
    <row r="115" spans="1:18" x14ac:dyDescent="0.25">
      <c r="A115" t="s">
        <v>47</v>
      </c>
      <c r="B115">
        <v>2035</v>
      </c>
      <c r="C115" t="s">
        <v>68</v>
      </c>
      <c r="D115" t="s">
        <v>51</v>
      </c>
      <c r="E115" t="s">
        <v>9</v>
      </c>
      <c r="F115" t="s">
        <v>49</v>
      </c>
      <c r="G115">
        <v>3.2445013925385372E-6</v>
      </c>
      <c r="H115">
        <v>9.9722971629260729E-7</v>
      </c>
      <c r="I115">
        <v>4.0474860176568336E-9</v>
      </c>
      <c r="J115">
        <v>5.2002449797005083E-8</v>
      </c>
      <c r="K115">
        <v>1.108943264345902E-7</v>
      </c>
      <c r="L115">
        <v>4.1708579790073457E-8</v>
      </c>
      <c r="M115">
        <v>6.4302308740171354E-10</v>
      </c>
      <c r="N115">
        <v>1.1386344460155529E-11</v>
      </c>
      <c r="O115">
        <v>3.4401329176845891E-10</v>
      </c>
      <c r="P115">
        <v>5.8669779510712386E-12</v>
      </c>
      <c r="Q115">
        <v>4.7150321839815435E-10</v>
      </c>
      <c r="R115" s="5">
        <f t="shared" si="5"/>
        <v>4.4518597437904493E-6</v>
      </c>
    </row>
    <row r="116" spans="1:18" x14ac:dyDescent="0.25">
      <c r="A116" t="s">
        <v>47</v>
      </c>
      <c r="B116">
        <v>2040</v>
      </c>
      <c r="C116" t="s">
        <v>68</v>
      </c>
      <c r="D116" t="s">
        <v>51</v>
      </c>
      <c r="E116" t="s">
        <v>9</v>
      </c>
      <c r="F116" t="s">
        <v>49</v>
      </c>
      <c r="G116">
        <v>3.2445013925385372E-6</v>
      </c>
      <c r="H116">
        <v>9.9722971629260729E-7</v>
      </c>
      <c r="I116">
        <v>4.0474860176568336E-9</v>
      </c>
      <c r="J116">
        <v>5.2002449797005083E-8</v>
      </c>
      <c r="K116">
        <v>1.108943264345902E-7</v>
      </c>
      <c r="L116">
        <v>4.1708579790073457E-8</v>
      </c>
      <c r="M116">
        <v>6.4302308740171354E-10</v>
      </c>
      <c r="N116">
        <v>1.1386344460155529E-11</v>
      </c>
      <c r="O116">
        <v>3.4401329176845891E-10</v>
      </c>
      <c r="P116">
        <v>5.8669779510712386E-12</v>
      </c>
      <c r="Q116">
        <v>4.7150321839815435E-10</v>
      </c>
      <c r="R116" s="5">
        <f t="shared" si="5"/>
        <v>4.4518597437904493E-6</v>
      </c>
    </row>
    <row r="117" spans="1:18" s="3" customFormat="1" x14ac:dyDescent="0.25">
      <c r="A117" s="3" t="s">
        <v>47</v>
      </c>
      <c r="B117" s="3">
        <v>2020</v>
      </c>
      <c r="C117" s="3" t="s">
        <v>69</v>
      </c>
      <c r="D117" s="3" t="s">
        <v>6</v>
      </c>
      <c r="E117" s="3" t="s">
        <v>9</v>
      </c>
      <c r="F117" s="3" t="s">
        <v>53</v>
      </c>
      <c r="G117" s="3">
        <f>G127-G107</f>
        <v>2.1018206967823428E-5</v>
      </c>
      <c r="H117" s="3">
        <f t="shared" ref="H117:Q117" si="8">H127-H107</f>
        <v>6.4434733932067037E-6</v>
      </c>
      <c r="I117" s="3">
        <f t="shared" si="8"/>
        <v>2.9342176287735165E-8</v>
      </c>
      <c r="J117" s="3">
        <f t="shared" si="8"/>
        <v>3.7495476335403788E-7</v>
      </c>
      <c r="K117" s="3">
        <f t="shared" si="8"/>
        <v>8.1499899914196929E-7</v>
      </c>
      <c r="L117" s="3">
        <f t="shared" si="8"/>
        <v>2.9972945407308484E-7</v>
      </c>
      <c r="M117" s="3">
        <f t="shared" si="8"/>
        <v>5.5148996423641067E-9</v>
      </c>
      <c r="N117" s="3">
        <f t="shared" si="8"/>
        <v>7.6711262050962808E-11</v>
      </c>
      <c r="O117" s="3">
        <f t="shared" si="8"/>
        <v>2.5766689290814299E-9</v>
      </c>
      <c r="P117" s="3">
        <f t="shared" si="8"/>
        <v>3.8657416631156249E-11</v>
      </c>
      <c r="Q117" s="3">
        <f t="shared" si="8"/>
        <v>3.8098672753193663E-9</v>
      </c>
      <c r="R117" s="5">
        <f t="shared" si="5"/>
        <v>2.8992722558412401E-5</v>
      </c>
    </row>
    <row r="118" spans="1:18" s="3" customFormat="1" x14ac:dyDescent="0.25">
      <c r="A118" s="3" t="s">
        <v>47</v>
      </c>
      <c r="B118" s="3">
        <v>2025</v>
      </c>
      <c r="C118" s="3" t="s">
        <v>69</v>
      </c>
      <c r="D118" s="3" t="s">
        <v>6</v>
      </c>
      <c r="E118" s="3" t="s">
        <v>9</v>
      </c>
      <c r="F118" s="3" t="s">
        <v>53</v>
      </c>
      <c r="G118" s="3">
        <f t="shared" ref="G118:Q126" si="9">G128-G108</f>
        <v>2.1018206967823428E-5</v>
      </c>
      <c r="H118" s="3">
        <f t="shared" si="9"/>
        <v>6.4434733932067037E-6</v>
      </c>
      <c r="I118" s="3">
        <f t="shared" si="9"/>
        <v>2.9342176287735165E-8</v>
      </c>
      <c r="J118" s="3">
        <f t="shared" si="9"/>
        <v>3.7495476335403788E-7</v>
      </c>
      <c r="K118" s="3">
        <f t="shared" si="9"/>
        <v>8.1499899914196929E-7</v>
      </c>
      <c r="L118" s="3">
        <f t="shared" si="9"/>
        <v>2.9972945407308484E-7</v>
      </c>
      <c r="M118" s="3">
        <f t="shared" si="9"/>
        <v>5.5148996423641067E-9</v>
      </c>
      <c r="N118" s="3">
        <f t="shared" si="9"/>
        <v>7.6711262050962808E-11</v>
      </c>
      <c r="O118" s="3">
        <f t="shared" si="9"/>
        <v>2.5766689290814299E-9</v>
      </c>
      <c r="P118" s="3">
        <f t="shared" si="9"/>
        <v>3.8657416631156249E-11</v>
      </c>
      <c r="Q118" s="3">
        <f t="shared" si="9"/>
        <v>3.8098672753193663E-9</v>
      </c>
      <c r="R118" s="5">
        <f t="shared" si="5"/>
        <v>2.8992722558412401E-5</v>
      </c>
    </row>
    <row r="119" spans="1:18" s="3" customFormat="1" x14ac:dyDescent="0.25">
      <c r="A119" s="3" t="s">
        <v>47</v>
      </c>
      <c r="B119" s="3">
        <v>2030</v>
      </c>
      <c r="C119" s="3" t="s">
        <v>69</v>
      </c>
      <c r="D119" s="3" t="s">
        <v>6</v>
      </c>
      <c r="E119" s="3" t="s">
        <v>9</v>
      </c>
      <c r="F119" s="3" t="s">
        <v>53</v>
      </c>
      <c r="G119" s="3">
        <f t="shared" si="9"/>
        <v>2.1018206967823428E-5</v>
      </c>
      <c r="H119" s="3">
        <f t="shared" si="9"/>
        <v>6.4434733932067037E-6</v>
      </c>
      <c r="I119" s="3">
        <f t="shared" si="9"/>
        <v>2.9342176287735165E-8</v>
      </c>
      <c r="J119" s="3">
        <f t="shared" si="9"/>
        <v>3.7495476335403788E-7</v>
      </c>
      <c r="K119" s="3">
        <f t="shared" si="9"/>
        <v>8.1499899914196929E-7</v>
      </c>
      <c r="L119" s="3">
        <f t="shared" si="9"/>
        <v>2.9972945407308484E-7</v>
      </c>
      <c r="M119" s="3">
        <f t="shared" si="9"/>
        <v>5.5148996423641067E-9</v>
      </c>
      <c r="N119" s="3">
        <f t="shared" si="9"/>
        <v>7.6711262050962808E-11</v>
      </c>
      <c r="O119" s="3">
        <f t="shared" si="9"/>
        <v>2.5766689290814299E-9</v>
      </c>
      <c r="P119" s="3">
        <f t="shared" si="9"/>
        <v>3.8657416631156249E-11</v>
      </c>
      <c r="Q119" s="3">
        <f t="shared" si="9"/>
        <v>3.8098672753193663E-9</v>
      </c>
      <c r="R119" s="5">
        <f t="shared" si="5"/>
        <v>2.8992722558412401E-5</v>
      </c>
    </row>
    <row r="120" spans="1:18" s="3" customFormat="1" x14ac:dyDescent="0.25">
      <c r="A120" s="3" t="s">
        <v>47</v>
      </c>
      <c r="B120" s="3">
        <v>2035</v>
      </c>
      <c r="C120" s="3" t="s">
        <v>69</v>
      </c>
      <c r="D120" s="3" t="s">
        <v>6</v>
      </c>
      <c r="E120" s="3" t="s">
        <v>9</v>
      </c>
      <c r="F120" s="3" t="s">
        <v>53</v>
      </c>
      <c r="G120" s="3">
        <f t="shared" si="9"/>
        <v>2.1018206967823428E-5</v>
      </c>
      <c r="H120" s="3">
        <f t="shared" si="9"/>
        <v>6.4434733932067037E-6</v>
      </c>
      <c r="I120" s="3">
        <f t="shared" si="9"/>
        <v>2.9342176287735165E-8</v>
      </c>
      <c r="J120" s="3">
        <f t="shared" si="9"/>
        <v>3.7495476335403788E-7</v>
      </c>
      <c r="K120" s="3">
        <f t="shared" si="9"/>
        <v>8.1499899914196929E-7</v>
      </c>
      <c r="L120" s="3">
        <f t="shared" si="9"/>
        <v>2.9972945407308484E-7</v>
      </c>
      <c r="M120" s="3">
        <f t="shared" si="9"/>
        <v>5.5148996423641067E-9</v>
      </c>
      <c r="N120" s="3">
        <f t="shared" si="9"/>
        <v>7.6711262050962808E-11</v>
      </c>
      <c r="O120" s="3">
        <f t="shared" si="9"/>
        <v>2.5766689290814299E-9</v>
      </c>
      <c r="P120" s="3">
        <f t="shared" si="9"/>
        <v>3.8657416631156249E-11</v>
      </c>
      <c r="Q120" s="3">
        <f t="shared" si="9"/>
        <v>3.8098672753193663E-9</v>
      </c>
      <c r="R120" s="5">
        <f t="shared" si="5"/>
        <v>2.8992722558412401E-5</v>
      </c>
    </row>
    <row r="121" spans="1:18" s="3" customFormat="1" x14ac:dyDescent="0.25">
      <c r="A121" s="3" t="s">
        <v>47</v>
      </c>
      <c r="B121" s="3">
        <v>2040</v>
      </c>
      <c r="C121" s="3" t="s">
        <v>69</v>
      </c>
      <c r="D121" s="3" t="s">
        <v>6</v>
      </c>
      <c r="E121" s="3" t="s">
        <v>9</v>
      </c>
      <c r="F121" s="3" t="s">
        <v>53</v>
      </c>
      <c r="G121" s="3">
        <f t="shared" si="9"/>
        <v>2.1018206967823428E-5</v>
      </c>
      <c r="H121" s="3">
        <f t="shared" si="9"/>
        <v>6.4434733932067037E-6</v>
      </c>
      <c r="I121" s="3">
        <f t="shared" si="9"/>
        <v>2.9342176287735165E-8</v>
      </c>
      <c r="J121" s="3">
        <f t="shared" si="9"/>
        <v>3.7495476335403788E-7</v>
      </c>
      <c r="K121" s="3">
        <f t="shared" si="9"/>
        <v>8.1499899914196929E-7</v>
      </c>
      <c r="L121" s="3">
        <f t="shared" si="9"/>
        <v>2.9972945407308484E-7</v>
      </c>
      <c r="M121" s="3">
        <f t="shared" si="9"/>
        <v>5.5148996423641067E-9</v>
      </c>
      <c r="N121" s="3">
        <f t="shared" si="9"/>
        <v>7.6711262050962808E-11</v>
      </c>
      <c r="O121" s="3">
        <f t="shared" si="9"/>
        <v>2.5766689290814299E-9</v>
      </c>
      <c r="P121" s="3">
        <f t="shared" si="9"/>
        <v>3.8657416631156249E-11</v>
      </c>
      <c r="Q121" s="3">
        <f t="shared" si="9"/>
        <v>3.8098672753193663E-9</v>
      </c>
      <c r="R121" s="5">
        <f t="shared" si="5"/>
        <v>2.8992722558412401E-5</v>
      </c>
    </row>
    <row r="122" spans="1:18" s="3" customFormat="1" x14ac:dyDescent="0.25">
      <c r="A122" s="3" t="s">
        <v>47</v>
      </c>
      <c r="B122" s="3">
        <v>2020</v>
      </c>
      <c r="C122" s="3" t="s">
        <v>70</v>
      </c>
      <c r="D122" s="3" t="s">
        <v>51</v>
      </c>
      <c r="E122" s="3" t="s">
        <v>9</v>
      </c>
      <c r="F122" s="3" t="s">
        <v>53</v>
      </c>
      <c r="G122" s="3">
        <f t="shared" si="9"/>
        <v>6.7803291634190987E-5</v>
      </c>
      <c r="H122" s="3">
        <f t="shared" si="9"/>
        <v>2.1176193841713573E-5</v>
      </c>
      <c r="I122" s="3">
        <f t="shared" si="9"/>
        <v>1.1731839109361871E-6</v>
      </c>
      <c r="J122" s="3">
        <f t="shared" si="9"/>
        <v>2.5119221186502011E-6</v>
      </c>
      <c r="K122" s="3">
        <f t="shared" si="9"/>
        <v>1.3658832663490288E-6</v>
      </c>
      <c r="L122" s="3">
        <f t="shared" si="9"/>
        <v>7.0401265974996268E-7</v>
      </c>
      <c r="M122" s="3">
        <f t="shared" si="9"/>
        <v>3.8141949115509035E-9</v>
      </c>
      <c r="N122" s="3">
        <f t="shared" si="9"/>
        <v>1.4496251209425339E-10</v>
      </c>
      <c r="O122" s="3">
        <f t="shared" si="9"/>
        <v>1.6387470455548232E-9</v>
      </c>
      <c r="P122" s="3">
        <f t="shared" si="9"/>
        <v>5.8713176101981335E-11</v>
      </c>
      <c r="Q122" s="3">
        <f t="shared" si="9"/>
        <v>2.2697548705795045E-9</v>
      </c>
      <c r="R122" s="5">
        <f t="shared" si="5"/>
        <v>9.4742413804105817E-5</v>
      </c>
    </row>
    <row r="123" spans="1:18" s="3" customFormat="1" x14ac:dyDescent="0.25">
      <c r="A123" s="3" t="s">
        <v>47</v>
      </c>
      <c r="B123" s="3">
        <v>2025</v>
      </c>
      <c r="C123" s="3" t="s">
        <v>70</v>
      </c>
      <c r="D123" s="3" t="s">
        <v>51</v>
      </c>
      <c r="E123" s="3" t="s">
        <v>9</v>
      </c>
      <c r="F123" s="3" t="s">
        <v>53</v>
      </c>
      <c r="G123" s="3">
        <f t="shared" si="9"/>
        <v>6.7803291634190987E-5</v>
      </c>
      <c r="H123" s="3">
        <f t="shared" si="9"/>
        <v>2.1176193841713573E-5</v>
      </c>
      <c r="I123" s="3">
        <f t="shared" si="9"/>
        <v>1.1731839109361871E-6</v>
      </c>
      <c r="J123" s="3">
        <f t="shared" si="9"/>
        <v>2.5119221186502011E-6</v>
      </c>
      <c r="K123" s="3">
        <f t="shared" si="9"/>
        <v>1.3658832663490288E-6</v>
      </c>
      <c r="L123" s="3">
        <f t="shared" si="9"/>
        <v>7.0401265974996268E-7</v>
      </c>
      <c r="M123" s="3">
        <f t="shared" si="9"/>
        <v>3.8141949115509035E-9</v>
      </c>
      <c r="N123" s="3">
        <f t="shared" si="9"/>
        <v>1.4496251209425339E-10</v>
      </c>
      <c r="O123" s="3">
        <f t="shared" si="9"/>
        <v>1.6387470455548232E-9</v>
      </c>
      <c r="P123" s="3">
        <f t="shared" si="9"/>
        <v>5.8713176101981335E-11</v>
      </c>
      <c r="Q123" s="3">
        <f t="shared" si="9"/>
        <v>2.2697548705795045E-9</v>
      </c>
      <c r="R123" s="5">
        <f t="shared" si="5"/>
        <v>9.4742413804105817E-5</v>
      </c>
    </row>
    <row r="124" spans="1:18" s="3" customFormat="1" x14ac:dyDescent="0.25">
      <c r="A124" s="3" t="s">
        <v>47</v>
      </c>
      <c r="B124" s="3">
        <v>2030</v>
      </c>
      <c r="C124" s="3" t="s">
        <v>70</v>
      </c>
      <c r="D124" s="3" t="s">
        <v>51</v>
      </c>
      <c r="E124" s="3" t="s">
        <v>9</v>
      </c>
      <c r="F124" s="3" t="s">
        <v>53</v>
      </c>
      <c r="G124" s="3">
        <f t="shared" si="9"/>
        <v>6.7803291634190987E-5</v>
      </c>
      <c r="H124" s="3">
        <f t="shared" si="9"/>
        <v>2.1176193841713573E-5</v>
      </c>
      <c r="I124" s="3">
        <f t="shared" si="9"/>
        <v>1.1731839109361871E-6</v>
      </c>
      <c r="J124" s="3">
        <f t="shared" si="9"/>
        <v>2.5119221186502011E-6</v>
      </c>
      <c r="K124" s="3">
        <f t="shared" si="9"/>
        <v>1.3658832663490288E-6</v>
      </c>
      <c r="L124" s="3">
        <f t="shared" si="9"/>
        <v>7.0401265974996268E-7</v>
      </c>
      <c r="M124" s="3">
        <f t="shared" si="9"/>
        <v>3.8141949115509035E-9</v>
      </c>
      <c r="N124" s="3">
        <f t="shared" si="9"/>
        <v>1.4496251209425339E-10</v>
      </c>
      <c r="O124" s="3">
        <f t="shared" si="9"/>
        <v>1.6387470455548232E-9</v>
      </c>
      <c r="P124" s="3">
        <f t="shared" si="9"/>
        <v>5.8713176101981335E-11</v>
      </c>
      <c r="Q124" s="3">
        <f t="shared" si="9"/>
        <v>2.2697548705795045E-9</v>
      </c>
      <c r="R124" s="5">
        <f t="shared" si="5"/>
        <v>9.4742413804105817E-5</v>
      </c>
    </row>
    <row r="125" spans="1:18" s="3" customFormat="1" x14ac:dyDescent="0.25">
      <c r="A125" s="3" t="s">
        <v>47</v>
      </c>
      <c r="B125" s="3">
        <v>2035</v>
      </c>
      <c r="C125" s="3" t="s">
        <v>70</v>
      </c>
      <c r="D125" s="3" t="s">
        <v>51</v>
      </c>
      <c r="E125" s="3" t="s">
        <v>9</v>
      </c>
      <c r="F125" s="3" t="s">
        <v>53</v>
      </c>
      <c r="G125" s="3">
        <f t="shared" si="9"/>
        <v>6.7803291634190987E-5</v>
      </c>
      <c r="H125" s="3">
        <f t="shared" si="9"/>
        <v>2.1176193841713573E-5</v>
      </c>
      <c r="I125" s="3">
        <f t="shared" si="9"/>
        <v>1.1731839109361871E-6</v>
      </c>
      <c r="J125" s="3">
        <f t="shared" si="9"/>
        <v>2.5119221186502011E-6</v>
      </c>
      <c r="K125" s="3">
        <f t="shared" si="9"/>
        <v>1.3658832663490288E-6</v>
      </c>
      <c r="L125" s="3">
        <f t="shared" si="9"/>
        <v>7.0401265974996268E-7</v>
      </c>
      <c r="M125" s="3">
        <f t="shared" si="9"/>
        <v>3.8141949115509035E-9</v>
      </c>
      <c r="N125" s="3">
        <f t="shared" si="9"/>
        <v>1.4496251209425339E-10</v>
      </c>
      <c r="O125" s="3">
        <f t="shared" si="9"/>
        <v>1.6387470455548232E-9</v>
      </c>
      <c r="P125" s="3">
        <f t="shared" si="9"/>
        <v>5.8713176101981335E-11</v>
      </c>
      <c r="Q125" s="3">
        <f t="shared" si="9"/>
        <v>2.2697548705795045E-9</v>
      </c>
      <c r="R125" s="5">
        <f t="shared" si="5"/>
        <v>9.4742413804105817E-5</v>
      </c>
    </row>
    <row r="126" spans="1:18" s="3" customFormat="1" x14ac:dyDescent="0.25">
      <c r="A126" s="3" t="s">
        <v>47</v>
      </c>
      <c r="B126" s="3">
        <v>2040</v>
      </c>
      <c r="C126" s="3" t="s">
        <v>70</v>
      </c>
      <c r="D126" s="3" t="s">
        <v>51</v>
      </c>
      <c r="E126" s="3" t="s">
        <v>9</v>
      </c>
      <c r="F126" s="3" t="s">
        <v>53</v>
      </c>
      <c r="G126" s="3">
        <f t="shared" si="9"/>
        <v>6.7803291634190987E-5</v>
      </c>
      <c r="H126" s="3">
        <f t="shared" si="9"/>
        <v>2.1176193841713573E-5</v>
      </c>
      <c r="I126" s="3">
        <f t="shared" si="9"/>
        <v>1.1731839109361871E-6</v>
      </c>
      <c r="J126" s="3">
        <f t="shared" si="9"/>
        <v>2.5119221186502011E-6</v>
      </c>
      <c r="K126" s="3">
        <f t="shared" si="9"/>
        <v>1.3658832663490288E-6</v>
      </c>
      <c r="L126" s="3">
        <f t="shared" si="9"/>
        <v>7.0401265974996268E-7</v>
      </c>
      <c r="M126" s="3">
        <f t="shared" si="9"/>
        <v>3.8141949115509035E-9</v>
      </c>
      <c r="N126" s="3">
        <f t="shared" si="9"/>
        <v>1.4496251209425339E-10</v>
      </c>
      <c r="O126" s="3">
        <f t="shared" si="9"/>
        <v>1.6387470455548232E-9</v>
      </c>
      <c r="P126" s="3">
        <f t="shared" si="9"/>
        <v>5.8713176101981335E-11</v>
      </c>
      <c r="Q126" s="3">
        <f t="shared" si="9"/>
        <v>2.2697548705795045E-9</v>
      </c>
      <c r="R126" s="5">
        <f t="shared" si="5"/>
        <v>9.4742413804105817E-5</v>
      </c>
    </row>
    <row r="127" spans="1:18" x14ac:dyDescent="0.25">
      <c r="A127" t="s">
        <v>47</v>
      </c>
      <c r="B127">
        <v>2020</v>
      </c>
      <c r="C127" t="s">
        <v>69</v>
      </c>
      <c r="D127" t="s">
        <v>6</v>
      </c>
      <c r="E127" t="s">
        <v>9</v>
      </c>
      <c r="F127" t="s">
        <v>55</v>
      </c>
      <c r="G127">
        <v>2.3544748123738991E-5</v>
      </c>
      <c r="H127">
        <v>7.2231524825111513E-6</v>
      </c>
      <c r="I127">
        <v>3.1447391557509627E-8</v>
      </c>
      <c r="J127">
        <v>4.1253257324947949E-7</v>
      </c>
      <c r="K127">
        <v>8.7875062595351705E-7</v>
      </c>
      <c r="L127">
        <v>3.3048089714577898E-7</v>
      </c>
      <c r="M127">
        <v>5.5810388235456039E-9</v>
      </c>
      <c r="N127">
        <v>8.4178645552702918E-11</v>
      </c>
      <c r="O127">
        <v>2.6444966790157558E-9</v>
      </c>
      <c r="P127">
        <v>4.255971446315311E-11</v>
      </c>
      <c r="Q127">
        <v>3.8334046358584337E-9</v>
      </c>
      <c r="R127" s="5">
        <f t="shared" si="5"/>
        <v>3.2433297772654867E-5</v>
      </c>
    </row>
    <row r="128" spans="1:18" x14ac:dyDescent="0.25">
      <c r="A128" t="s">
        <v>47</v>
      </c>
      <c r="B128">
        <v>2025</v>
      </c>
      <c r="C128" t="s">
        <v>69</v>
      </c>
      <c r="D128" t="s">
        <v>6</v>
      </c>
      <c r="E128" t="s">
        <v>9</v>
      </c>
      <c r="F128" t="s">
        <v>55</v>
      </c>
      <c r="G128">
        <v>2.3544748123738991E-5</v>
      </c>
      <c r="H128">
        <v>7.2231524825111513E-6</v>
      </c>
      <c r="I128">
        <v>3.1447391557509627E-8</v>
      </c>
      <c r="J128">
        <v>4.1253257324947949E-7</v>
      </c>
      <c r="K128">
        <v>8.7875062595351705E-7</v>
      </c>
      <c r="L128">
        <v>3.3048089714577898E-7</v>
      </c>
      <c r="M128">
        <v>5.5810388235456039E-9</v>
      </c>
      <c r="N128">
        <v>8.4178645552702918E-11</v>
      </c>
      <c r="O128">
        <v>2.6444966790157558E-9</v>
      </c>
      <c r="P128">
        <v>4.255971446315311E-11</v>
      </c>
      <c r="Q128">
        <v>3.8334046358584337E-9</v>
      </c>
      <c r="R128" s="5">
        <f t="shared" si="5"/>
        <v>3.2433297772654867E-5</v>
      </c>
    </row>
    <row r="129" spans="1:18" x14ac:dyDescent="0.25">
      <c r="A129" t="s">
        <v>47</v>
      </c>
      <c r="B129">
        <v>2030</v>
      </c>
      <c r="C129" t="s">
        <v>69</v>
      </c>
      <c r="D129" t="s">
        <v>6</v>
      </c>
      <c r="E129" t="s">
        <v>9</v>
      </c>
      <c r="F129" t="s">
        <v>55</v>
      </c>
      <c r="G129">
        <v>2.3544748123738991E-5</v>
      </c>
      <c r="H129">
        <v>7.2231524825111513E-6</v>
      </c>
      <c r="I129">
        <v>3.1447391557509627E-8</v>
      </c>
      <c r="J129">
        <v>4.1253257324947949E-7</v>
      </c>
      <c r="K129">
        <v>8.7875062595351705E-7</v>
      </c>
      <c r="L129">
        <v>3.3048089714577898E-7</v>
      </c>
      <c r="M129">
        <v>5.5810388235456039E-9</v>
      </c>
      <c r="N129">
        <v>8.4178645552702918E-11</v>
      </c>
      <c r="O129">
        <v>2.6444966790157558E-9</v>
      </c>
      <c r="P129">
        <v>4.255971446315311E-11</v>
      </c>
      <c r="Q129">
        <v>3.8334046358584337E-9</v>
      </c>
      <c r="R129" s="5">
        <f t="shared" si="5"/>
        <v>3.2433297772654867E-5</v>
      </c>
    </row>
    <row r="130" spans="1:18" x14ac:dyDescent="0.25">
      <c r="A130" t="s">
        <v>47</v>
      </c>
      <c r="B130">
        <v>2035</v>
      </c>
      <c r="C130" t="s">
        <v>69</v>
      </c>
      <c r="D130" t="s">
        <v>6</v>
      </c>
      <c r="E130" t="s">
        <v>9</v>
      </c>
      <c r="F130" t="s">
        <v>55</v>
      </c>
      <c r="G130">
        <v>2.3544748123738991E-5</v>
      </c>
      <c r="H130">
        <v>7.2231524825111513E-6</v>
      </c>
      <c r="I130">
        <v>3.1447391557509627E-8</v>
      </c>
      <c r="J130">
        <v>4.1253257324947949E-7</v>
      </c>
      <c r="K130">
        <v>8.7875062595351705E-7</v>
      </c>
      <c r="L130">
        <v>3.3048089714577898E-7</v>
      </c>
      <c r="M130">
        <v>5.5810388235456039E-9</v>
      </c>
      <c r="N130">
        <v>8.4178645552702918E-11</v>
      </c>
      <c r="O130">
        <v>2.6444966790157558E-9</v>
      </c>
      <c r="P130">
        <v>4.255971446315311E-11</v>
      </c>
      <c r="Q130">
        <v>3.8334046358584337E-9</v>
      </c>
      <c r="R130" s="5">
        <f t="shared" si="5"/>
        <v>3.2433297772654867E-5</v>
      </c>
    </row>
    <row r="131" spans="1:18" x14ac:dyDescent="0.25">
      <c r="A131" t="s">
        <v>47</v>
      </c>
      <c r="B131">
        <v>2040</v>
      </c>
      <c r="C131" t="s">
        <v>69</v>
      </c>
      <c r="D131" t="s">
        <v>6</v>
      </c>
      <c r="E131" t="s">
        <v>9</v>
      </c>
      <c r="F131" t="s">
        <v>55</v>
      </c>
      <c r="G131">
        <v>2.3544748123738991E-5</v>
      </c>
      <c r="H131">
        <v>7.2231524825111513E-6</v>
      </c>
      <c r="I131">
        <v>3.1447391557509627E-8</v>
      </c>
      <c r="J131">
        <v>4.1253257324947949E-7</v>
      </c>
      <c r="K131">
        <v>8.7875062595351705E-7</v>
      </c>
      <c r="L131">
        <v>3.3048089714577898E-7</v>
      </c>
      <c r="M131">
        <v>5.5810388235456039E-9</v>
      </c>
      <c r="N131">
        <v>8.4178645552702918E-11</v>
      </c>
      <c r="O131">
        <v>2.6444966790157558E-9</v>
      </c>
      <c r="P131">
        <v>4.255971446315311E-11</v>
      </c>
      <c r="Q131">
        <v>3.8334046358584337E-9</v>
      </c>
      <c r="R131" s="5">
        <f t="shared" ref="R131:R136" si="10">SUM(G131:Q131)</f>
        <v>3.2433297772654867E-5</v>
      </c>
    </row>
    <row r="132" spans="1:18" x14ac:dyDescent="0.25">
      <c r="A132" t="s">
        <v>47</v>
      </c>
      <c r="B132">
        <v>2020</v>
      </c>
      <c r="C132" t="s">
        <v>70</v>
      </c>
      <c r="D132" t="s">
        <v>51</v>
      </c>
      <c r="E132" t="s">
        <v>9</v>
      </c>
      <c r="F132" t="s">
        <v>55</v>
      </c>
      <c r="G132">
        <v>7.1047793026729529E-5</v>
      </c>
      <c r="H132">
        <v>2.2173423558006179E-5</v>
      </c>
      <c r="I132">
        <v>1.1772313969538439E-6</v>
      </c>
      <c r="J132">
        <v>2.5639245684472062E-6</v>
      </c>
      <c r="K132">
        <v>1.476777592783619E-6</v>
      </c>
      <c r="L132">
        <v>7.457212395400361E-7</v>
      </c>
      <c r="M132">
        <v>4.4572179989526171E-9</v>
      </c>
      <c r="N132">
        <v>1.5634885655440891E-10</v>
      </c>
      <c r="O132">
        <v>1.9827603373232822E-9</v>
      </c>
      <c r="P132">
        <v>6.4580154053052569E-11</v>
      </c>
      <c r="Q132">
        <v>2.741258088977659E-9</v>
      </c>
      <c r="R132" s="5">
        <f t="shared" si="10"/>
        <v>9.9194273547896261E-5</v>
      </c>
    </row>
    <row r="133" spans="1:18" x14ac:dyDescent="0.25">
      <c r="A133" t="s">
        <v>47</v>
      </c>
      <c r="B133">
        <v>2025</v>
      </c>
      <c r="C133" t="s">
        <v>70</v>
      </c>
      <c r="D133" t="s">
        <v>51</v>
      </c>
      <c r="E133" t="s">
        <v>9</v>
      </c>
      <c r="F133" t="s">
        <v>55</v>
      </c>
      <c r="G133">
        <v>7.1047793026729529E-5</v>
      </c>
      <c r="H133">
        <v>2.2173423558006179E-5</v>
      </c>
      <c r="I133">
        <v>1.1772313969538439E-6</v>
      </c>
      <c r="J133">
        <v>2.5639245684472062E-6</v>
      </c>
      <c r="K133">
        <v>1.476777592783619E-6</v>
      </c>
      <c r="L133">
        <v>7.457212395400361E-7</v>
      </c>
      <c r="M133">
        <v>4.4572179989526171E-9</v>
      </c>
      <c r="N133">
        <v>1.5634885655440891E-10</v>
      </c>
      <c r="O133">
        <v>1.9827603373232822E-9</v>
      </c>
      <c r="P133">
        <v>6.4580154053052569E-11</v>
      </c>
      <c r="Q133">
        <v>2.741258088977659E-9</v>
      </c>
      <c r="R133" s="5">
        <f t="shared" si="10"/>
        <v>9.9194273547896261E-5</v>
      </c>
    </row>
    <row r="134" spans="1:18" x14ac:dyDescent="0.25">
      <c r="A134" t="s">
        <v>47</v>
      </c>
      <c r="B134">
        <v>2030</v>
      </c>
      <c r="C134" t="s">
        <v>70</v>
      </c>
      <c r="D134" t="s">
        <v>51</v>
      </c>
      <c r="E134" t="s">
        <v>9</v>
      </c>
      <c r="F134" t="s">
        <v>55</v>
      </c>
      <c r="G134">
        <v>7.1047793026729529E-5</v>
      </c>
      <c r="H134">
        <v>2.2173423558006179E-5</v>
      </c>
      <c r="I134">
        <v>1.1772313969538439E-6</v>
      </c>
      <c r="J134">
        <v>2.5639245684472062E-6</v>
      </c>
      <c r="K134">
        <v>1.476777592783619E-6</v>
      </c>
      <c r="L134">
        <v>7.457212395400361E-7</v>
      </c>
      <c r="M134">
        <v>4.4572179989526171E-9</v>
      </c>
      <c r="N134">
        <v>1.5634885655440891E-10</v>
      </c>
      <c r="O134">
        <v>1.9827603373232822E-9</v>
      </c>
      <c r="P134">
        <v>6.4580154053052569E-11</v>
      </c>
      <c r="Q134">
        <v>2.741258088977659E-9</v>
      </c>
      <c r="R134" s="5">
        <f t="shared" si="10"/>
        <v>9.9194273547896261E-5</v>
      </c>
    </row>
    <row r="135" spans="1:18" x14ac:dyDescent="0.25">
      <c r="A135" t="s">
        <v>47</v>
      </c>
      <c r="B135">
        <v>2035</v>
      </c>
      <c r="C135" t="s">
        <v>70</v>
      </c>
      <c r="D135" t="s">
        <v>51</v>
      </c>
      <c r="E135" t="s">
        <v>9</v>
      </c>
      <c r="F135" t="s">
        <v>55</v>
      </c>
      <c r="G135">
        <v>7.1047793026729529E-5</v>
      </c>
      <c r="H135">
        <v>2.2173423558006179E-5</v>
      </c>
      <c r="I135">
        <v>1.1772313969538439E-6</v>
      </c>
      <c r="J135">
        <v>2.5639245684472062E-6</v>
      </c>
      <c r="K135">
        <v>1.476777592783619E-6</v>
      </c>
      <c r="L135">
        <v>7.457212395400361E-7</v>
      </c>
      <c r="M135">
        <v>4.4572179989526171E-9</v>
      </c>
      <c r="N135">
        <v>1.5634885655440891E-10</v>
      </c>
      <c r="O135">
        <v>1.9827603373232822E-9</v>
      </c>
      <c r="P135">
        <v>6.4580154053052569E-11</v>
      </c>
      <c r="Q135">
        <v>2.741258088977659E-9</v>
      </c>
      <c r="R135" s="5">
        <f t="shared" si="10"/>
        <v>9.9194273547896261E-5</v>
      </c>
    </row>
    <row r="136" spans="1:18" x14ac:dyDescent="0.25">
      <c r="A136" t="s">
        <v>47</v>
      </c>
      <c r="B136">
        <v>2040</v>
      </c>
      <c r="C136" t="s">
        <v>70</v>
      </c>
      <c r="D136" t="s">
        <v>51</v>
      </c>
      <c r="E136" t="s">
        <v>9</v>
      </c>
      <c r="F136" t="s">
        <v>55</v>
      </c>
      <c r="G136">
        <v>7.1047793026729529E-5</v>
      </c>
      <c r="H136">
        <v>2.2173423558006179E-5</v>
      </c>
      <c r="I136">
        <v>1.1772313969538439E-6</v>
      </c>
      <c r="J136">
        <v>2.5639245684472062E-6</v>
      </c>
      <c r="K136">
        <v>1.476777592783619E-6</v>
      </c>
      <c r="L136">
        <v>7.457212395400361E-7</v>
      </c>
      <c r="M136">
        <v>4.4572179989526171E-9</v>
      </c>
      <c r="N136">
        <v>1.5634885655440891E-10</v>
      </c>
      <c r="O136">
        <v>1.9827603373232822E-9</v>
      </c>
      <c r="P136">
        <v>6.4580154053052569E-11</v>
      </c>
      <c r="Q136">
        <v>2.741258088977659E-9</v>
      </c>
      <c r="R136" s="5">
        <f t="shared" si="10"/>
        <v>9.9194273547896261E-5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D3C2E-97E7-4085-8856-5A89B7629872}">
  <dimension ref="A1:G136"/>
  <sheetViews>
    <sheetView workbookViewId="0">
      <selection activeCell="G20" sqref="G20"/>
    </sheetView>
  </sheetViews>
  <sheetFormatPr baseColWidth="10" defaultColWidth="9.140625" defaultRowHeight="15" x14ac:dyDescent="0.25"/>
  <cols>
    <col min="1" max="1" width="13.140625" bestFit="1" customWidth="1"/>
    <col min="2" max="2" width="5" bestFit="1" customWidth="1"/>
    <col min="3" max="3" width="17" bestFit="1" customWidth="1"/>
    <col min="4" max="4" width="15.28515625" bestFit="1" customWidth="1"/>
    <col min="5" max="5" width="12" bestFit="1" customWidth="1"/>
    <col min="6" max="6" width="19.85546875" bestFit="1" customWidth="1"/>
    <col min="7" max="7" width="39.140625" bestFit="1" customWidth="1"/>
  </cols>
  <sheetData>
    <row r="1" spans="1:7" x14ac:dyDescent="0.25">
      <c r="A1" s="2" t="s">
        <v>0</v>
      </c>
      <c r="B1" s="2" t="s">
        <v>2</v>
      </c>
      <c r="C1" s="2" t="s">
        <v>22</v>
      </c>
      <c r="D1" s="2" t="s">
        <v>23</v>
      </c>
      <c r="E1" s="2" t="s">
        <v>3</v>
      </c>
      <c r="F1" s="2" t="s">
        <v>24</v>
      </c>
      <c r="G1" s="2" t="s">
        <v>82</v>
      </c>
    </row>
    <row r="2" spans="1:7" x14ac:dyDescent="0.25">
      <c r="A2" t="s">
        <v>47</v>
      </c>
      <c r="B2">
        <v>2020</v>
      </c>
      <c r="C2" t="s">
        <v>48</v>
      </c>
      <c r="D2" t="s">
        <v>6</v>
      </c>
      <c r="E2" t="s">
        <v>14</v>
      </c>
      <c r="F2" t="s">
        <v>49</v>
      </c>
      <c r="G2">
        <v>1.1672522258796411E-2</v>
      </c>
    </row>
    <row r="3" spans="1:7" x14ac:dyDescent="0.25">
      <c r="A3" t="s">
        <v>47</v>
      </c>
      <c r="B3">
        <v>2025</v>
      </c>
      <c r="C3" t="s">
        <v>48</v>
      </c>
      <c r="D3" t="s">
        <v>6</v>
      </c>
      <c r="E3" t="s">
        <v>14</v>
      </c>
      <c r="F3" t="s">
        <v>49</v>
      </c>
      <c r="G3">
        <v>1.1720649591720899E-2</v>
      </c>
    </row>
    <row r="4" spans="1:7" x14ac:dyDescent="0.25">
      <c r="A4" t="s">
        <v>47</v>
      </c>
      <c r="B4">
        <v>2030</v>
      </c>
      <c r="C4" t="s">
        <v>48</v>
      </c>
      <c r="D4" t="s">
        <v>6</v>
      </c>
      <c r="E4" t="s">
        <v>14</v>
      </c>
      <c r="F4" t="s">
        <v>49</v>
      </c>
      <c r="G4">
        <v>1.130498637678496E-2</v>
      </c>
    </row>
    <row r="5" spans="1:7" x14ac:dyDescent="0.25">
      <c r="A5" t="s">
        <v>47</v>
      </c>
      <c r="B5">
        <v>2035</v>
      </c>
      <c r="C5" t="s">
        <v>48</v>
      </c>
      <c r="D5" t="s">
        <v>6</v>
      </c>
      <c r="E5" t="s">
        <v>14</v>
      </c>
      <c r="F5" t="s">
        <v>49</v>
      </c>
      <c r="G5">
        <v>1.07937598295452E-2</v>
      </c>
    </row>
    <row r="6" spans="1:7" x14ac:dyDescent="0.25">
      <c r="A6" t="s">
        <v>47</v>
      </c>
      <c r="B6">
        <v>2040</v>
      </c>
      <c r="C6" t="s">
        <v>48</v>
      </c>
      <c r="D6" t="s">
        <v>6</v>
      </c>
      <c r="E6" t="s">
        <v>14</v>
      </c>
      <c r="F6" t="s">
        <v>49</v>
      </c>
      <c r="G6">
        <v>1.0266638450429679E-2</v>
      </c>
    </row>
    <row r="7" spans="1:7" x14ac:dyDescent="0.25">
      <c r="A7" t="s">
        <v>47</v>
      </c>
      <c r="B7">
        <v>2020</v>
      </c>
      <c r="C7" t="s">
        <v>50</v>
      </c>
      <c r="D7" t="s">
        <v>51</v>
      </c>
      <c r="E7" t="s">
        <v>14</v>
      </c>
      <c r="F7" t="s">
        <v>49</v>
      </c>
      <c r="G7">
        <v>0.1484814348993386</v>
      </c>
    </row>
    <row r="8" spans="1:7" x14ac:dyDescent="0.25">
      <c r="A8" t="s">
        <v>47</v>
      </c>
      <c r="B8">
        <v>2025</v>
      </c>
      <c r="C8" t="s">
        <v>50</v>
      </c>
      <c r="D8" t="s">
        <v>51</v>
      </c>
      <c r="E8" t="s">
        <v>14</v>
      </c>
      <c r="F8" t="s">
        <v>49</v>
      </c>
      <c r="G8">
        <v>0.14771957821773299</v>
      </c>
    </row>
    <row r="9" spans="1:7" x14ac:dyDescent="0.25">
      <c r="A9" t="s">
        <v>47</v>
      </c>
      <c r="B9">
        <v>2030</v>
      </c>
      <c r="C9" t="s">
        <v>50</v>
      </c>
      <c r="D9" t="s">
        <v>51</v>
      </c>
      <c r="E9" t="s">
        <v>14</v>
      </c>
      <c r="F9" t="s">
        <v>49</v>
      </c>
      <c r="G9">
        <v>0.1438067717221948</v>
      </c>
    </row>
    <row r="10" spans="1:7" x14ac:dyDescent="0.25">
      <c r="A10" t="s">
        <v>47</v>
      </c>
      <c r="B10">
        <v>2035</v>
      </c>
      <c r="C10" t="s">
        <v>50</v>
      </c>
      <c r="D10" t="s">
        <v>51</v>
      </c>
      <c r="E10" t="s">
        <v>14</v>
      </c>
      <c r="F10" t="s">
        <v>49</v>
      </c>
      <c r="G10">
        <v>0.1340491004117301</v>
      </c>
    </row>
    <row r="11" spans="1:7" x14ac:dyDescent="0.25">
      <c r="A11" t="s">
        <v>47</v>
      </c>
      <c r="B11">
        <v>2040</v>
      </c>
      <c r="C11" t="s">
        <v>50</v>
      </c>
      <c r="D11" t="s">
        <v>51</v>
      </c>
      <c r="E11" t="s">
        <v>14</v>
      </c>
      <c r="F11" t="s">
        <v>49</v>
      </c>
      <c r="G11">
        <v>0.1176779627146898</v>
      </c>
    </row>
    <row r="12" spans="1:7" s="3" customFormat="1" x14ac:dyDescent="0.25">
      <c r="A12" s="3" t="s">
        <v>47</v>
      </c>
      <c r="B12" s="3">
        <v>2020</v>
      </c>
      <c r="C12" s="3" t="s">
        <v>52</v>
      </c>
      <c r="D12" s="3" t="s">
        <v>6</v>
      </c>
      <c r="E12" s="3" t="s">
        <v>14</v>
      </c>
      <c r="F12" s="3" t="s">
        <v>53</v>
      </c>
    </row>
    <row r="13" spans="1:7" s="3" customFormat="1" x14ac:dyDescent="0.25">
      <c r="A13" s="3" t="s">
        <v>47</v>
      </c>
      <c r="B13" s="3">
        <v>2025</v>
      </c>
      <c r="C13" s="3" t="s">
        <v>52</v>
      </c>
      <c r="D13" s="3" t="s">
        <v>6</v>
      </c>
      <c r="E13" s="3" t="s">
        <v>14</v>
      </c>
      <c r="F13" s="3" t="s">
        <v>53</v>
      </c>
    </row>
    <row r="14" spans="1:7" s="3" customFormat="1" x14ac:dyDescent="0.25">
      <c r="A14" s="3" t="s">
        <v>47</v>
      </c>
      <c r="B14" s="3">
        <v>2030</v>
      </c>
      <c r="C14" s="3" t="s">
        <v>52</v>
      </c>
      <c r="D14" s="3" t="s">
        <v>6</v>
      </c>
      <c r="E14" s="3" t="s">
        <v>14</v>
      </c>
      <c r="F14" s="3" t="s">
        <v>53</v>
      </c>
    </row>
    <row r="15" spans="1:7" s="3" customFormat="1" x14ac:dyDescent="0.25">
      <c r="A15" s="3" t="s">
        <v>47</v>
      </c>
      <c r="B15" s="3">
        <v>2035</v>
      </c>
      <c r="C15" s="3" t="s">
        <v>52</v>
      </c>
      <c r="D15" s="3" t="s">
        <v>6</v>
      </c>
      <c r="E15" s="3" t="s">
        <v>14</v>
      </c>
      <c r="F15" s="3" t="s">
        <v>53</v>
      </c>
    </row>
    <row r="16" spans="1:7" s="3" customFormat="1" x14ac:dyDescent="0.25">
      <c r="A16" s="3" t="s">
        <v>47</v>
      </c>
      <c r="B16" s="3">
        <v>2040</v>
      </c>
      <c r="C16" s="3" t="s">
        <v>52</v>
      </c>
      <c r="D16" s="3" t="s">
        <v>6</v>
      </c>
      <c r="E16" s="3" t="s">
        <v>14</v>
      </c>
      <c r="F16" s="3" t="s">
        <v>53</v>
      </c>
    </row>
    <row r="17" spans="1:7" s="3" customFormat="1" x14ac:dyDescent="0.25">
      <c r="A17" s="3" t="s">
        <v>47</v>
      </c>
      <c r="B17" s="3">
        <v>2020</v>
      </c>
      <c r="C17" s="3" t="s">
        <v>54</v>
      </c>
      <c r="D17" s="3" t="s">
        <v>51</v>
      </c>
      <c r="E17" s="3" t="s">
        <v>14</v>
      </c>
      <c r="F17" s="3" t="s">
        <v>53</v>
      </c>
    </row>
    <row r="18" spans="1:7" s="3" customFormat="1" x14ac:dyDescent="0.25">
      <c r="A18" s="3" t="s">
        <v>47</v>
      </c>
      <c r="B18" s="3">
        <v>2025</v>
      </c>
      <c r="C18" s="3" t="s">
        <v>54</v>
      </c>
      <c r="D18" s="3" t="s">
        <v>51</v>
      </c>
      <c r="E18" s="3" t="s">
        <v>14</v>
      </c>
      <c r="F18" s="3" t="s">
        <v>53</v>
      </c>
    </row>
    <row r="19" spans="1:7" s="3" customFormat="1" x14ac:dyDescent="0.25">
      <c r="A19" s="3" t="s">
        <v>47</v>
      </c>
      <c r="B19" s="3">
        <v>2030</v>
      </c>
      <c r="C19" s="3" t="s">
        <v>54</v>
      </c>
      <c r="D19" s="3" t="s">
        <v>51</v>
      </c>
      <c r="E19" s="3" t="s">
        <v>14</v>
      </c>
      <c r="F19" s="3" t="s">
        <v>53</v>
      </c>
    </row>
    <row r="20" spans="1:7" s="3" customFormat="1" x14ac:dyDescent="0.25">
      <c r="A20" s="3" t="s">
        <v>47</v>
      </c>
      <c r="B20" s="3">
        <v>2035</v>
      </c>
      <c r="C20" s="3" t="s">
        <v>54</v>
      </c>
      <c r="D20" s="3" t="s">
        <v>51</v>
      </c>
      <c r="E20" s="3" t="s">
        <v>14</v>
      </c>
      <c r="F20" s="3" t="s">
        <v>53</v>
      </c>
    </row>
    <row r="21" spans="1:7" s="3" customFormat="1" x14ac:dyDescent="0.25">
      <c r="A21" s="3" t="s">
        <v>47</v>
      </c>
      <c r="B21" s="3">
        <v>2040</v>
      </c>
      <c r="C21" s="3" t="s">
        <v>54</v>
      </c>
      <c r="D21" s="3" t="s">
        <v>51</v>
      </c>
      <c r="E21" s="3" t="s">
        <v>14</v>
      </c>
      <c r="F21" s="3" t="s">
        <v>53</v>
      </c>
    </row>
    <row r="22" spans="1:7" x14ac:dyDescent="0.25">
      <c r="A22" t="s">
        <v>47</v>
      </c>
      <c r="B22">
        <v>2020</v>
      </c>
      <c r="C22" t="s">
        <v>52</v>
      </c>
      <c r="D22" t="s">
        <v>6</v>
      </c>
      <c r="E22" t="s">
        <v>14</v>
      </c>
      <c r="F22" t="s">
        <v>55</v>
      </c>
      <c r="G22">
        <v>3.7250373918088662</v>
      </c>
    </row>
    <row r="23" spans="1:7" x14ac:dyDescent="0.25">
      <c r="A23" t="s">
        <v>47</v>
      </c>
      <c r="B23">
        <v>2025</v>
      </c>
      <c r="C23" t="s">
        <v>52</v>
      </c>
      <c r="D23" t="s">
        <v>6</v>
      </c>
      <c r="E23" t="s">
        <v>14</v>
      </c>
      <c r="F23" t="s">
        <v>55</v>
      </c>
    </row>
    <row r="24" spans="1:7" x14ac:dyDescent="0.25">
      <c r="A24" t="s">
        <v>47</v>
      </c>
      <c r="B24">
        <v>2030</v>
      </c>
      <c r="C24" t="s">
        <v>52</v>
      </c>
      <c r="D24" t="s">
        <v>6</v>
      </c>
      <c r="E24" t="s">
        <v>14</v>
      </c>
      <c r="F24" t="s">
        <v>55</v>
      </c>
    </row>
    <row r="25" spans="1:7" x14ac:dyDescent="0.25">
      <c r="A25" t="s">
        <v>47</v>
      </c>
      <c r="B25">
        <v>2035</v>
      </c>
      <c r="C25" t="s">
        <v>52</v>
      </c>
      <c r="D25" t="s">
        <v>6</v>
      </c>
      <c r="E25" t="s">
        <v>14</v>
      </c>
      <c r="F25" t="s">
        <v>55</v>
      </c>
    </row>
    <row r="26" spans="1:7" x14ac:dyDescent="0.25">
      <c r="A26" t="s">
        <v>47</v>
      </c>
      <c r="B26">
        <v>2040</v>
      </c>
      <c r="C26" t="s">
        <v>52</v>
      </c>
      <c r="D26" t="s">
        <v>6</v>
      </c>
      <c r="E26" t="s">
        <v>14</v>
      </c>
      <c r="F26" t="s">
        <v>55</v>
      </c>
    </row>
    <row r="27" spans="1:7" x14ac:dyDescent="0.25">
      <c r="A27" t="s">
        <v>47</v>
      </c>
      <c r="B27">
        <v>2020</v>
      </c>
      <c r="C27" t="s">
        <v>54</v>
      </c>
      <c r="D27" t="s">
        <v>51</v>
      </c>
      <c r="E27" t="s">
        <v>14</v>
      </c>
      <c r="F27" t="s">
        <v>55</v>
      </c>
      <c r="G27">
        <v>6.1247289567723682</v>
      </c>
    </row>
    <row r="28" spans="1:7" x14ac:dyDescent="0.25">
      <c r="A28" t="s">
        <v>47</v>
      </c>
      <c r="B28">
        <v>2025</v>
      </c>
      <c r="C28" t="s">
        <v>54</v>
      </c>
      <c r="D28" t="s">
        <v>51</v>
      </c>
      <c r="E28" t="s">
        <v>14</v>
      </c>
      <c r="F28" t="s">
        <v>55</v>
      </c>
      <c r="G28">
        <v>5.7444008907244859</v>
      </c>
    </row>
    <row r="29" spans="1:7" x14ac:dyDescent="0.25">
      <c r="A29" t="s">
        <v>47</v>
      </c>
      <c r="B29">
        <v>2030</v>
      </c>
      <c r="C29" t="s">
        <v>54</v>
      </c>
      <c r="D29" t="s">
        <v>51</v>
      </c>
      <c r="E29" t="s">
        <v>14</v>
      </c>
      <c r="F29" t="s">
        <v>55</v>
      </c>
      <c r="G29">
        <v>5.3665488738997569</v>
      </c>
    </row>
    <row r="30" spans="1:7" x14ac:dyDescent="0.25">
      <c r="A30" t="s">
        <v>47</v>
      </c>
      <c r="B30">
        <v>2035</v>
      </c>
      <c r="C30" t="s">
        <v>54</v>
      </c>
      <c r="D30" t="s">
        <v>51</v>
      </c>
      <c r="E30" t="s">
        <v>14</v>
      </c>
      <c r="F30" t="s">
        <v>55</v>
      </c>
      <c r="G30">
        <v>4.9027168479598711</v>
      </c>
    </row>
    <row r="31" spans="1:7" x14ac:dyDescent="0.25">
      <c r="A31" t="s">
        <v>47</v>
      </c>
      <c r="B31">
        <v>2040</v>
      </c>
      <c r="C31" t="s">
        <v>54</v>
      </c>
      <c r="D31" t="s">
        <v>51</v>
      </c>
      <c r="E31" t="s">
        <v>14</v>
      </c>
      <c r="F31" t="s">
        <v>55</v>
      </c>
      <c r="G31">
        <v>3.679643228571063</v>
      </c>
    </row>
    <row r="32" spans="1:7" x14ac:dyDescent="0.25">
      <c r="A32" t="s">
        <v>47</v>
      </c>
      <c r="B32">
        <v>2020</v>
      </c>
      <c r="C32" t="s">
        <v>56</v>
      </c>
      <c r="D32" t="s">
        <v>6</v>
      </c>
      <c r="E32" t="s">
        <v>7</v>
      </c>
      <c r="F32" t="s">
        <v>49</v>
      </c>
      <c r="G32">
        <v>3.4599805615408631E-2</v>
      </c>
    </row>
    <row r="33" spans="1:7" x14ac:dyDescent="0.25">
      <c r="A33" t="s">
        <v>47</v>
      </c>
      <c r="B33">
        <v>2025</v>
      </c>
      <c r="C33" t="s">
        <v>56</v>
      </c>
      <c r="D33" t="s">
        <v>6</v>
      </c>
      <c r="E33" t="s">
        <v>7</v>
      </c>
      <c r="F33" t="s">
        <v>49</v>
      </c>
      <c r="G33">
        <v>3.4790589935713927E-2</v>
      </c>
    </row>
    <row r="34" spans="1:7" x14ac:dyDescent="0.25">
      <c r="A34" t="s">
        <v>47</v>
      </c>
      <c r="B34">
        <v>2030</v>
      </c>
      <c r="C34" t="s">
        <v>56</v>
      </c>
      <c r="D34" t="s">
        <v>6</v>
      </c>
      <c r="E34" t="s">
        <v>7</v>
      </c>
      <c r="F34" t="s">
        <v>49</v>
      </c>
      <c r="G34">
        <v>3.4392960186002082E-2</v>
      </c>
    </row>
    <row r="35" spans="1:7" x14ac:dyDescent="0.25">
      <c r="A35" t="s">
        <v>47</v>
      </c>
      <c r="B35">
        <v>2035</v>
      </c>
      <c r="C35" t="s">
        <v>56</v>
      </c>
      <c r="D35" t="s">
        <v>6</v>
      </c>
      <c r="E35" t="s">
        <v>7</v>
      </c>
      <c r="F35" t="s">
        <v>49</v>
      </c>
      <c r="G35">
        <v>3.3966841855206209E-2</v>
      </c>
    </row>
    <row r="36" spans="1:7" x14ac:dyDescent="0.25">
      <c r="A36" t="s">
        <v>47</v>
      </c>
      <c r="B36">
        <v>2040</v>
      </c>
      <c r="C36" t="s">
        <v>56</v>
      </c>
      <c r="D36" t="s">
        <v>6</v>
      </c>
      <c r="E36" t="s">
        <v>7</v>
      </c>
      <c r="F36" t="s">
        <v>49</v>
      </c>
      <c r="G36">
        <v>3.295070700510748E-2</v>
      </c>
    </row>
    <row r="37" spans="1:7" x14ac:dyDescent="0.25">
      <c r="A37" t="s">
        <v>47</v>
      </c>
      <c r="B37">
        <v>2020</v>
      </c>
      <c r="C37" t="s">
        <v>57</v>
      </c>
      <c r="D37" t="s">
        <v>51</v>
      </c>
      <c r="E37" t="s">
        <v>7</v>
      </c>
      <c r="F37" t="s">
        <v>49</v>
      </c>
      <c r="G37">
        <v>0.108801769692105</v>
      </c>
    </row>
    <row r="38" spans="1:7" x14ac:dyDescent="0.25">
      <c r="A38" t="s">
        <v>47</v>
      </c>
      <c r="B38">
        <v>2025</v>
      </c>
      <c r="C38" t="s">
        <v>57</v>
      </c>
      <c r="D38" t="s">
        <v>51</v>
      </c>
      <c r="E38" t="s">
        <v>7</v>
      </c>
      <c r="F38" t="s">
        <v>49</v>
      </c>
      <c r="G38">
        <v>0.12755567757005101</v>
      </c>
    </row>
    <row r="39" spans="1:7" x14ac:dyDescent="0.25">
      <c r="A39" t="s">
        <v>47</v>
      </c>
      <c r="B39">
        <v>2030</v>
      </c>
      <c r="C39" t="s">
        <v>57</v>
      </c>
      <c r="D39" t="s">
        <v>51</v>
      </c>
      <c r="E39" t="s">
        <v>7</v>
      </c>
      <c r="F39" t="s">
        <v>49</v>
      </c>
      <c r="G39">
        <v>0.13120772779156989</v>
      </c>
    </row>
    <row r="40" spans="1:7" x14ac:dyDescent="0.25">
      <c r="A40" t="s">
        <v>47</v>
      </c>
      <c r="B40">
        <v>2035</v>
      </c>
      <c r="C40" t="s">
        <v>57</v>
      </c>
      <c r="D40" t="s">
        <v>51</v>
      </c>
      <c r="E40" t="s">
        <v>7</v>
      </c>
      <c r="F40" t="s">
        <v>49</v>
      </c>
      <c r="G40">
        <v>0.1239175740579626</v>
      </c>
    </row>
    <row r="41" spans="1:7" x14ac:dyDescent="0.25">
      <c r="A41" t="s">
        <v>47</v>
      </c>
      <c r="B41">
        <v>2040</v>
      </c>
      <c r="C41" t="s">
        <v>57</v>
      </c>
      <c r="D41" t="s">
        <v>51</v>
      </c>
      <c r="E41" t="s">
        <v>7</v>
      </c>
      <c r="F41" t="s">
        <v>49</v>
      </c>
      <c r="G41">
        <v>0.1118969363486977</v>
      </c>
    </row>
    <row r="42" spans="1:7" s="3" customFormat="1" x14ac:dyDescent="0.25">
      <c r="A42" s="3" t="s">
        <v>47</v>
      </c>
      <c r="B42" s="3">
        <v>2020</v>
      </c>
      <c r="C42" s="3" t="s">
        <v>58</v>
      </c>
      <c r="D42" s="3" t="s">
        <v>6</v>
      </c>
      <c r="E42" s="3" t="s">
        <v>7</v>
      </c>
      <c r="F42" s="3" t="s">
        <v>53</v>
      </c>
      <c r="G42" s="3">
        <f>G52-G32</f>
        <v>10.360392211099612</v>
      </c>
    </row>
    <row r="43" spans="1:7" s="3" customFormat="1" x14ac:dyDescent="0.25">
      <c r="A43" s="3" t="s">
        <v>47</v>
      </c>
      <c r="B43" s="3">
        <v>2025</v>
      </c>
      <c r="C43" s="3" t="s">
        <v>58</v>
      </c>
      <c r="D43" s="3" t="s">
        <v>6</v>
      </c>
      <c r="E43" s="3" t="s">
        <v>7</v>
      </c>
      <c r="F43" s="3" t="s">
        <v>53</v>
      </c>
      <c r="G43" s="3">
        <f t="shared" ref="G43:G51" si="0">G53-G33</f>
        <v>10.263995665860516</v>
      </c>
    </row>
    <row r="44" spans="1:7" s="3" customFormat="1" x14ac:dyDescent="0.25">
      <c r="A44" s="3" t="s">
        <v>47</v>
      </c>
      <c r="B44" s="3">
        <v>2030</v>
      </c>
      <c r="C44" s="3" t="s">
        <v>58</v>
      </c>
      <c r="D44" s="3" t="s">
        <v>6</v>
      </c>
      <c r="E44" s="3" t="s">
        <v>7</v>
      </c>
      <c r="F44" s="3" t="s">
        <v>53</v>
      </c>
      <c r="G44" s="3">
        <f t="shared" si="0"/>
        <v>9.9522652063108499</v>
      </c>
    </row>
    <row r="45" spans="1:7" s="3" customFormat="1" x14ac:dyDescent="0.25">
      <c r="A45" s="3" t="s">
        <v>47</v>
      </c>
      <c r="B45" s="3">
        <v>2035</v>
      </c>
      <c r="C45" s="3" t="s">
        <v>58</v>
      </c>
      <c r="D45" s="3" t="s">
        <v>6</v>
      </c>
      <c r="E45" s="3" t="s">
        <v>7</v>
      </c>
      <c r="F45" s="3" t="s">
        <v>53</v>
      </c>
      <c r="G45" s="3">
        <f t="shared" si="0"/>
        <v>9.6086942718114265</v>
      </c>
    </row>
    <row r="46" spans="1:7" s="3" customFormat="1" x14ac:dyDescent="0.25">
      <c r="A46" s="3" t="s">
        <v>47</v>
      </c>
      <c r="B46" s="3">
        <v>2040</v>
      </c>
      <c r="C46" s="3" t="s">
        <v>58</v>
      </c>
      <c r="D46" s="3" t="s">
        <v>6</v>
      </c>
      <c r="E46" s="3" t="s">
        <v>7</v>
      </c>
      <c r="F46" s="3" t="s">
        <v>53</v>
      </c>
      <c r="G46" s="3">
        <f t="shared" si="0"/>
        <v>8.9591168707613438</v>
      </c>
    </row>
    <row r="47" spans="1:7" s="3" customFormat="1" x14ac:dyDescent="0.25">
      <c r="A47" s="3" t="s">
        <v>47</v>
      </c>
      <c r="B47" s="3">
        <v>2020</v>
      </c>
      <c r="C47" s="3" t="s">
        <v>59</v>
      </c>
      <c r="D47" s="3" t="s">
        <v>51</v>
      </c>
      <c r="E47" s="3" t="s">
        <v>7</v>
      </c>
      <c r="F47" s="3" t="s">
        <v>53</v>
      </c>
      <c r="G47" s="3">
        <f t="shared" si="0"/>
        <v>11.014117549437014</v>
      </c>
    </row>
    <row r="48" spans="1:7" s="3" customFormat="1" x14ac:dyDescent="0.25">
      <c r="A48" s="3" t="s">
        <v>47</v>
      </c>
      <c r="B48" s="3">
        <v>2025</v>
      </c>
      <c r="C48" s="3" t="s">
        <v>59</v>
      </c>
      <c r="D48" s="3" t="s">
        <v>51</v>
      </c>
      <c r="E48" s="3" t="s">
        <v>7</v>
      </c>
      <c r="F48" s="3" t="s">
        <v>53</v>
      </c>
      <c r="G48" s="3">
        <f t="shared" si="0"/>
        <v>10.841424597750828</v>
      </c>
    </row>
    <row r="49" spans="1:7" s="3" customFormat="1" x14ac:dyDescent="0.25">
      <c r="A49" s="3" t="s">
        <v>47</v>
      </c>
      <c r="B49" s="3">
        <v>2030</v>
      </c>
      <c r="C49" s="3" t="s">
        <v>59</v>
      </c>
      <c r="D49" s="3" t="s">
        <v>51</v>
      </c>
      <c r="E49" s="3" t="s">
        <v>7</v>
      </c>
      <c r="F49" s="3" t="s">
        <v>53</v>
      </c>
      <c r="G49" s="3">
        <f t="shared" si="0"/>
        <v>10.492810663594851</v>
      </c>
    </row>
    <row r="50" spans="1:7" s="3" customFormat="1" x14ac:dyDescent="0.25">
      <c r="A50" s="3" t="s">
        <v>47</v>
      </c>
      <c r="B50" s="3">
        <v>2035</v>
      </c>
      <c r="C50" s="3" t="s">
        <v>59</v>
      </c>
      <c r="D50" s="3" t="s">
        <v>51</v>
      </c>
      <c r="E50" s="3" t="s">
        <v>7</v>
      </c>
      <c r="F50" s="3" t="s">
        <v>53</v>
      </c>
      <c r="G50" s="3">
        <f t="shared" si="0"/>
        <v>10.128228462399157</v>
      </c>
    </row>
    <row r="51" spans="1:7" s="3" customFormat="1" x14ac:dyDescent="0.25">
      <c r="A51" s="3" t="s">
        <v>47</v>
      </c>
      <c r="B51" s="3">
        <v>2040</v>
      </c>
      <c r="C51" s="3" t="s">
        <v>59</v>
      </c>
      <c r="D51" s="3" t="s">
        <v>51</v>
      </c>
      <c r="E51" s="3" t="s">
        <v>7</v>
      </c>
      <c r="F51" s="3" t="s">
        <v>53</v>
      </c>
      <c r="G51" s="3">
        <f t="shared" si="0"/>
        <v>9.2998793181231996</v>
      </c>
    </row>
    <row r="52" spans="1:7" x14ac:dyDescent="0.25">
      <c r="A52" t="s">
        <v>47</v>
      </c>
      <c r="B52">
        <v>2020</v>
      </c>
      <c r="C52" t="s">
        <v>58</v>
      </c>
      <c r="D52" t="s">
        <v>6</v>
      </c>
      <c r="E52" t="s">
        <v>7</v>
      </c>
      <c r="F52" t="s">
        <v>55</v>
      </c>
      <c r="G52">
        <v>10.394992016715021</v>
      </c>
    </row>
    <row r="53" spans="1:7" x14ac:dyDescent="0.25">
      <c r="A53" t="s">
        <v>47</v>
      </c>
      <c r="B53">
        <v>2025</v>
      </c>
      <c r="C53" t="s">
        <v>58</v>
      </c>
      <c r="D53" t="s">
        <v>6</v>
      </c>
      <c r="E53" t="s">
        <v>7</v>
      </c>
      <c r="F53" t="s">
        <v>55</v>
      </c>
      <c r="G53">
        <v>10.29878625579623</v>
      </c>
    </row>
    <row r="54" spans="1:7" x14ac:dyDescent="0.25">
      <c r="A54" t="s">
        <v>47</v>
      </c>
      <c r="B54">
        <v>2030</v>
      </c>
      <c r="C54" t="s">
        <v>58</v>
      </c>
      <c r="D54" t="s">
        <v>6</v>
      </c>
      <c r="E54" t="s">
        <v>7</v>
      </c>
      <c r="F54" t="s">
        <v>55</v>
      </c>
      <c r="G54">
        <v>9.9866581664968521</v>
      </c>
    </row>
    <row r="55" spans="1:7" x14ac:dyDescent="0.25">
      <c r="A55" t="s">
        <v>47</v>
      </c>
      <c r="B55">
        <v>2035</v>
      </c>
      <c r="C55" t="s">
        <v>58</v>
      </c>
      <c r="D55" t="s">
        <v>6</v>
      </c>
      <c r="E55" t="s">
        <v>7</v>
      </c>
      <c r="F55" t="s">
        <v>55</v>
      </c>
      <c r="G55">
        <v>9.642661113666632</v>
      </c>
    </row>
    <row r="56" spans="1:7" x14ac:dyDescent="0.25">
      <c r="A56" t="s">
        <v>47</v>
      </c>
      <c r="B56">
        <v>2040</v>
      </c>
      <c r="C56" t="s">
        <v>58</v>
      </c>
      <c r="D56" t="s">
        <v>6</v>
      </c>
      <c r="E56" t="s">
        <v>7</v>
      </c>
      <c r="F56" t="s">
        <v>55</v>
      </c>
      <c r="G56">
        <v>8.992067577766452</v>
      </c>
    </row>
    <row r="57" spans="1:7" x14ac:dyDescent="0.25">
      <c r="A57" t="s">
        <v>47</v>
      </c>
      <c r="B57">
        <v>2020</v>
      </c>
      <c r="C57" t="s">
        <v>59</v>
      </c>
      <c r="D57" t="s">
        <v>51</v>
      </c>
      <c r="E57" t="s">
        <v>7</v>
      </c>
      <c r="F57" t="s">
        <v>55</v>
      </c>
      <c r="G57">
        <v>11.122919319129119</v>
      </c>
    </row>
    <row r="58" spans="1:7" x14ac:dyDescent="0.25">
      <c r="A58" t="s">
        <v>47</v>
      </c>
      <c r="B58">
        <v>2025</v>
      </c>
      <c r="C58" t="s">
        <v>59</v>
      </c>
      <c r="D58" t="s">
        <v>51</v>
      </c>
      <c r="E58" t="s">
        <v>7</v>
      </c>
      <c r="F58" t="s">
        <v>55</v>
      </c>
      <c r="G58">
        <v>10.968980275320879</v>
      </c>
    </row>
    <row r="59" spans="1:7" x14ac:dyDescent="0.25">
      <c r="A59" t="s">
        <v>47</v>
      </c>
      <c r="B59">
        <v>2030</v>
      </c>
      <c r="C59" t="s">
        <v>59</v>
      </c>
      <c r="D59" t="s">
        <v>51</v>
      </c>
      <c r="E59" t="s">
        <v>7</v>
      </c>
      <c r="F59" t="s">
        <v>55</v>
      </c>
      <c r="G59">
        <v>10.62401839138642</v>
      </c>
    </row>
    <row r="60" spans="1:7" x14ac:dyDescent="0.25">
      <c r="A60" t="s">
        <v>47</v>
      </c>
      <c r="B60">
        <v>2035</v>
      </c>
      <c r="C60" t="s">
        <v>59</v>
      </c>
      <c r="D60" t="s">
        <v>51</v>
      </c>
      <c r="E60" t="s">
        <v>7</v>
      </c>
      <c r="F60" t="s">
        <v>55</v>
      </c>
      <c r="G60">
        <v>10.25214603645712</v>
      </c>
    </row>
    <row r="61" spans="1:7" x14ac:dyDescent="0.25">
      <c r="A61" t="s">
        <v>47</v>
      </c>
      <c r="B61">
        <v>2040</v>
      </c>
      <c r="C61" t="s">
        <v>59</v>
      </c>
      <c r="D61" t="s">
        <v>51</v>
      </c>
      <c r="E61" t="s">
        <v>7</v>
      </c>
      <c r="F61" t="s">
        <v>55</v>
      </c>
      <c r="G61">
        <v>9.4117762544718975</v>
      </c>
    </row>
    <row r="62" spans="1:7" x14ac:dyDescent="0.25">
      <c r="A62" t="s">
        <v>47</v>
      </c>
      <c r="B62">
        <v>2020</v>
      </c>
      <c r="C62" t="s">
        <v>60</v>
      </c>
      <c r="D62" t="s">
        <v>6</v>
      </c>
      <c r="E62" t="s">
        <v>8</v>
      </c>
      <c r="F62" t="s">
        <v>49</v>
      </c>
      <c r="G62">
        <v>0.97167031836313478</v>
      </c>
    </row>
    <row r="63" spans="1:7" x14ac:dyDescent="0.25">
      <c r="A63" t="s">
        <v>47</v>
      </c>
      <c r="B63">
        <v>2025</v>
      </c>
      <c r="C63" t="s">
        <v>60</v>
      </c>
      <c r="D63" t="s">
        <v>6</v>
      </c>
      <c r="E63" t="s">
        <v>8</v>
      </c>
      <c r="F63" t="s">
        <v>49</v>
      </c>
      <c r="G63">
        <v>0.95853164076924013</v>
      </c>
    </row>
    <row r="64" spans="1:7" x14ac:dyDescent="0.25">
      <c r="A64" t="s">
        <v>47</v>
      </c>
      <c r="B64">
        <v>2030</v>
      </c>
      <c r="C64" t="s">
        <v>60</v>
      </c>
      <c r="D64" t="s">
        <v>6</v>
      </c>
      <c r="E64" t="s">
        <v>8</v>
      </c>
      <c r="F64" t="s">
        <v>49</v>
      </c>
      <c r="G64">
        <v>0.87023167628515585</v>
      </c>
    </row>
    <row r="65" spans="1:7" x14ac:dyDescent="0.25">
      <c r="A65" t="s">
        <v>47</v>
      </c>
      <c r="B65">
        <v>2035</v>
      </c>
      <c r="C65" t="s">
        <v>60</v>
      </c>
      <c r="D65" t="s">
        <v>6</v>
      </c>
      <c r="E65" t="s">
        <v>8</v>
      </c>
      <c r="F65" t="s">
        <v>49</v>
      </c>
      <c r="G65">
        <v>0.76276052222527335</v>
      </c>
    </row>
    <row r="66" spans="1:7" x14ac:dyDescent="0.25">
      <c r="A66" t="s">
        <v>47</v>
      </c>
      <c r="B66">
        <v>2040</v>
      </c>
      <c r="C66" t="s">
        <v>60</v>
      </c>
      <c r="D66" t="s">
        <v>6</v>
      </c>
      <c r="E66" t="s">
        <v>8</v>
      </c>
      <c r="F66" t="s">
        <v>49</v>
      </c>
      <c r="G66">
        <v>0.65439716101084933</v>
      </c>
    </row>
    <row r="67" spans="1:7" x14ac:dyDescent="0.25">
      <c r="A67" t="s">
        <v>47</v>
      </c>
      <c r="B67">
        <v>2020</v>
      </c>
      <c r="C67" t="s">
        <v>61</v>
      </c>
      <c r="D67" t="s">
        <v>51</v>
      </c>
      <c r="E67" t="s">
        <v>8</v>
      </c>
      <c r="F67" t="s">
        <v>49</v>
      </c>
      <c r="G67">
        <v>0.98327466366268701</v>
      </c>
    </row>
    <row r="68" spans="1:7" x14ac:dyDescent="0.25">
      <c r="A68" t="s">
        <v>47</v>
      </c>
      <c r="B68">
        <v>2025</v>
      </c>
      <c r="C68" t="s">
        <v>61</v>
      </c>
      <c r="D68" t="s">
        <v>51</v>
      </c>
      <c r="E68" t="s">
        <v>8</v>
      </c>
      <c r="F68" t="s">
        <v>49</v>
      </c>
      <c r="G68">
        <v>0.96646219204725781</v>
      </c>
    </row>
    <row r="69" spans="1:7" x14ac:dyDescent="0.25">
      <c r="A69" t="s">
        <v>47</v>
      </c>
      <c r="B69">
        <v>2030</v>
      </c>
      <c r="C69" t="s">
        <v>61</v>
      </c>
      <c r="D69" t="s">
        <v>51</v>
      </c>
      <c r="E69" t="s">
        <v>8</v>
      </c>
      <c r="F69" t="s">
        <v>49</v>
      </c>
      <c r="G69">
        <v>0.90100416616042223</v>
      </c>
    </row>
    <row r="70" spans="1:7" x14ac:dyDescent="0.25">
      <c r="A70" t="s">
        <v>47</v>
      </c>
      <c r="B70">
        <v>2035</v>
      </c>
      <c r="C70" t="s">
        <v>61</v>
      </c>
      <c r="D70" t="s">
        <v>51</v>
      </c>
      <c r="E70" t="s">
        <v>8</v>
      </c>
      <c r="F70" t="s">
        <v>49</v>
      </c>
      <c r="G70">
        <v>0.82770691470285063</v>
      </c>
    </row>
    <row r="71" spans="1:7" x14ac:dyDescent="0.25">
      <c r="A71" t="s">
        <v>47</v>
      </c>
      <c r="B71">
        <v>2040</v>
      </c>
      <c r="C71" t="s">
        <v>61</v>
      </c>
      <c r="D71" t="s">
        <v>51</v>
      </c>
      <c r="E71" t="s">
        <v>8</v>
      </c>
      <c r="F71" t="s">
        <v>49</v>
      </c>
      <c r="G71">
        <v>0.71240786065995199</v>
      </c>
    </row>
    <row r="72" spans="1:7" s="3" customFormat="1" x14ac:dyDescent="0.25">
      <c r="A72" s="3" t="s">
        <v>47</v>
      </c>
      <c r="B72" s="3">
        <v>2020</v>
      </c>
      <c r="C72" s="3" t="s">
        <v>62</v>
      </c>
      <c r="D72" s="3" t="s">
        <v>6</v>
      </c>
      <c r="E72" s="3" t="s">
        <v>8</v>
      </c>
      <c r="F72" s="3" t="s">
        <v>53</v>
      </c>
      <c r="G72" s="3">
        <f>G82-G62</f>
        <v>3.3488277553755825</v>
      </c>
    </row>
    <row r="73" spans="1:7" s="3" customFormat="1" x14ac:dyDescent="0.25">
      <c r="A73" s="3" t="s">
        <v>47</v>
      </c>
      <c r="B73" s="3">
        <v>2025</v>
      </c>
      <c r="C73" s="3" t="s">
        <v>62</v>
      </c>
      <c r="D73" s="3" t="s">
        <v>6</v>
      </c>
      <c r="E73" s="3" t="s">
        <v>8</v>
      </c>
      <c r="F73" s="3" t="s">
        <v>53</v>
      </c>
      <c r="G73" s="3">
        <f t="shared" ref="G73:G81" si="1">G83-G63</f>
        <v>3.3081251156863836</v>
      </c>
    </row>
    <row r="74" spans="1:7" s="3" customFormat="1" x14ac:dyDescent="0.25">
      <c r="A74" s="3" t="s">
        <v>47</v>
      </c>
      <c r="B74" s="3">
        <v>2030</v>
      </c>
      <c r="C74" s="3" t="s">
        <v>62</v>
      </c>
      <c r="D74" s="3" t="s">
        <v>6</v>
      </c>
      <c r="E74" s="3" t="s">
        <v>8</v>
      </c>
      <c r="F74" s="3" t="s">
        <v>53</v>
      </c>
      <c r="G74" s="3">
        <f t="shared" si="1"/>
        <v>3.1387211849851258</v>
      </c>
    </row>
    <row r="75" spans="1:7" s="3" customFormat="1" x14ac:dyDescent="0.25">
      <c r="A75" s="3" t="s">
        <v>47</v>
      </c>
      <c r="B75" s="3">
        <v>2035</v>
      </c>
      <c r="C75" s="3" t="s">
        <v>62</v>
      </c>
      <c r="D75" s="3" t="s">
        <v>6</v>
      </c>
      <c r="E75" s="3" t="s">
        <v>8</v>
      </c>
      <c r="F75" s="3" t="s">
        <v>53</v>
      </c>
      <c r="G75" s="3">
        <f t="shared" si="1"/>
        <v>2.9349673009842867</v>
      </c>
    </row>
    <row r="76" spans="1:7" s="3" customFormat="1" x14ac:dyDescent="0.25">
      <c r="A76" s="3" t="s">
        <v>47</v>
      </c>
      <c r="B76" s="3">
        <v>2040</v>
      </c>
      <c r="C76" s="3" t="s">
        <v>62</v>
      </c>
      <c r="D76" s="3" t="s">
        <v>6</v>
      </c>
      <c r="E76" s="3" t="s">
        <v>8</v>
      </c>
      <c r="F76" s="3" t="s">
        <v>53</v>
      </c>
      <c r="G76" s="3">
        <f t="shared" si="1"/>
        <v>2.6367402706190486</v>
      </c>
    </row>
    <row r="77" spans="1:7" s="3" customFormat="1" x14ac:dyDescent="0.25">
      <c r="A77" s="3" t="s">
        <v>47</v>
      </c>
      <c r="B77" s="3">
        <v>2020</v>
      </c>
      <c r="C77" s="3" t="s">
        <v>63</v>
      </c>
      <c r="D77" s="3" t="s">
        <v>51</v>
      </c>
      <c r="E77" s="3" t="s">
        <v>8</v>
      </c>
      <c r="F77" s="3" t="s">
        <v>53</v>
      </c>
      <c r="G77" s="3">
        <f t="shared" si="1"/>
        <v>4.4114965712518801</v>
      </c>
    </row>
    <row r="78" spans="1:7" s="3" customFormat="1" x14ac:dyDescent="0.25">
      <c r="A78" s="3" t="s">
        <v>47</v>
      </c>
      <c r="B78" s="3">
        <v>2025</v>
      </c>
      <c r="C78" s="3" t="s">
        <v>63</v>
      </c>
      <c r="D78" s="3" t="s">
        <v>51</v>
      </c>
      <c r="E78" s="3" t="s">
        <v>8</v>
      </c>
      <c r="F78" s="3" t="s">
        <v>53</v>
      </c>
      <c r="G78" s="3">
        <f t="shared" si="1"/>
        <v>4.277874819378467</v>
      </c>
    </row>
    <row r="79" spans="1:7" s="3" customFormat="1" x14ac:dyDescent="0.25">
      <c r="A79" s="3" t="s">
        <v>47</v>
      </c>
      <c r="B79" s="3">
        <v>2030</v>
      </c>
      <c r="C79" s="3" t="s">
        <v>63</v>
      </c>
      <c r="D79" s="3" t="s">
        <v>51</v>
      </c>
      <c r="E79" s="3" t="s">
        <v>8</v>
      </c>
      <c r="F79" s="3" t="s">
        <v>53</v>
      </c>
      <c r="G79" s="3">
        <f t="shared" si="1"/>
        <v>3.8993023359944039</v>
      </c>
    </row>
    <row r="80" spans="1:7" s="3" customFormat="1" x14ac:dyDescent="0.25">
      <c r="A80" s="3" t="s">
        <v>47</v>
      </c>
      <c r="B80" s="3">
        <v>2035</v>
      </c>
      <c r="C80" s="3" t="s">
        <v>63</v>
      </c>
      <c r="D80" s="3" t="s">
        <v>51</v>
      </c>
      <c r="E80" s="3" t="s">
        <v>8</v>
      </c>
      <c r="F80" s="3" t="s">
        <v>53</v>
      </c>
      <c r="G80" s="3">
        <f t="shared" si="1"/>
        <v>3.5227502628784118</v>
      </c>
    </row>
    <row r="81" spans="1:7" s="3" customFormat="1" x14ac:dyDescent="0.25">
      <c r="A81" s="3" t="s">
        <v>47</v>
      </c>
      <c r="B81" s="3">
        <v>2040</v>
      </c>
      <c r="C81" s="3" t="s">
        <v>63</v>
      </c>
      <c r="D81" s="3" t="s">
        <v>51</v>
      </c>
      <c r="E81" s="3" t="s">
        <v>8</v>
      </c>
      <c r="F81" s="3" t="s">
        <v>53</v>
      </c>
      <c r="G81" s="3">
        <f t="shared" si="1"/>
        <v>2.829110821088141</v>
      </c>
    </row>
    <row r="82" spans="1:7" x14ac:dyDescent="0.25">
      <c r="A82" t="s">
        <v>47</v>
      </c>
      <c r="B82">
        <v>2020</v>
      </c>
      <c r="C82" t="s">
        <v>62</v>
      </c>
      <c r="D82" t="s">
        <v>6</v>
      </c>
      <c r="E82" t="s">
        <v>8</v>
      </c>
      <c r="F82" t="s">
        <v>55</v>
      </c>
      <c r="G82">
        <v>4.3204980737387171</v>
      </c>
    </row>
    <row r="83" spans="1:7" x14ac:dyDescent="0.25">
      <c r="A83" t="s">
        <v>47</v>
      </c>
      <c r="B83">
        <v>2025</v>
      </c>
      <c r="C83" t="s">
        <v>62</v>
      </c>
      <c r="D83" t="s">
        <v>6</v>
      </c>
      <c r="E83" t="s">
        <v>8</v>
      </c>
      <c r="F83" t="s">
        <v>55</v>
      </c>
      <c r="G83">
        <v>4.2666567564556237</v>
      </c>
    </row>
    <row r="84" spans="1:7" x14ac:dyDescent="0.25">
      <c r="A84" t="s">
        <v>47</v>
      </c>
      <c r="B84">
        <v>2030</v>
      </c>
      <c r="C84" t="s">
        <v>62</v>
      </c>
      <c r="D84" t="s">
        <v>6</v>
      </c>
      <c r="E84" t="s">
        <v>8</v>
      </c>
      <c r="F84" t="s">
        <v>55</v>
      </c>
      <c r="G84">
        <v>4.0089528612702816</v>
      </c>
    </row>
    <row r="85" spans="1:7" x14ac:dyDescent="0.25">
      <c r="A85" t="s">
        <v>47</v>
      </c>
      <c r="B85">
        <v>2035</v>
      </c>
      <c r="C85" t="s">
        <v>62</v>
      </c>
      <c r="D85" t="s">
        <v>6</v>
      </c>
      <c r="E85" t="s">
        <v>8</v>
      </c>
      <c r="F85" t="s">
        <v>55</v>
      </c>
      <c r="G85">
        <v>3.6977278232095601</v>
      </c>
    </row>
    <row r="86" spans="1:7" x14ac:dyDescent="0.25">
      <c r="A86" t="s">
        <v>47</v>
      </c>
      <c r="B86">
        <v>2040</v>
      </c>
      <c r="C86" t="s">
        <v>62</v>
      </c>
      <c r="D86" t="s">
        <v>6</v>
      </c>
      <c r="E86" t="s">
        <v>8</v>
      </c>
      <c r="F86" t="s">
        <v>55</v>
      </c>
      <c r="G86">
        <v>3.291137431629898</v>
      </c>
    </row>
    <row r="87" spans="1:7" x14ac:dyDescent="0.25">
      <c r="A87" t="s">
        <v>47</v>
      </c>
      <c r="B87">
        <v>2020</v>
      </c>
      <c r="C87" t="s">
        <v>63</v>
      </c>
      <c r="D87" t="s">
        <v>51</v>
      </c>
      <c r="E87" t="s">
        <v>8</v>
      </c>
      <c r="F87" t="s">
        <v>55</v>
      </c>
      <c r="G87">
        <v>5.3947712349145673</v>
      </c>
    </row>
    <row r="88" spans="1:7" x14ac:dyDescent="0.25">
      <c r="A88" t="s">
        <v>47</v>
      </c>
      <c r="B88">
        <v>2025</v>
      </c>
      <c r="C88" t="s">
        <v>63</v>
      </c>
      <c r="D88" t="s">
        <v>51</v>
      </c>
      <c r="E88" t="s">
        <v>8</v>
      </c>
      <c r="F88" t="s">
        <v>55</v>
      </c>
      <c r="G88">
        <v>5.2443370114257251</v>
      </c>
    </row>
    <row r="89" spans="1:7" x14ac:dyDescent="0.25">
      <c r="A89" t="s">
        <v>47</v>
      </c>
      <c r="B89">
        <v>2030</v>
      </c>
      <c r="C89" t="s">
        <v>63</v>
      </c>
      <c r="D89" t="s">
        <v>51</v>
      </c>
      <c r="E89" t="s">
        <v>8</v>
      </c>
      <c r="F89" t="s">
        <v>55</v>
      </c>
      <c r="G89">
        <v>4.8003065021548261</v>
      </c>
    </row>
    <row r="90" spans="1:7" x14ac:dyDescent="0.25">
      <c r="A90" t="s">
        <v>47</v>
      </c>
      <c r="B90">
        <v>2035</v>
      </c>
      <c r="C90" t="s">
        <v>63</v>
      </c>
      <c r="D90" t="s">
        <v>51</v>
      </c>
      <c r="E90" t="s">
        <v>8</v>
      </c>
      <c r="F90" t="s">
        <v>55</v>
      </c>
      <c r="G90">
        <v>4.3504571775812622</v>
      </c>
    </row>
    <row r="91" spans="1:7" x14ac:dyDescent="0.25">
      <c r="A91" t="s">
        <v>47</v>
      </c>
      <c r="B91">
        <v>2040</v>
      </c>
      <c r="C91" t="s">
        <v>63</v>
      </c>
      <c r="D91" t="s">
        <v>51</v>
      </c>
      <c r="E91" t="s">
        <v>8</v>
      </c>
      <c r="F91" t="s">
        <v>55</v>
      </c>
      <c r="G91">
        <v>3.541518681748093</v>
      </c>
    </row>
    <row r="92" spans="1:7" x14ac:dyDescent="0.25">
      <c r="A92" t="s">
        <v>47</v>
      </c>
      <c r="B92">
        <v>2020</v>
      </c>
      <c r="C92" t="s">
        <v>64</v>
      </c>
      <c r="D92" t="s">
        <v>6</v>
      </c>
      <c r="E92" t="s">
        <v>13</v>
      </c>
      <c r="F92" t="s">
        <v>55</v>
      </c>
      <c r="G92">
        <v>5.1521373860920692</v>
      </c>
    </row>
    <row r="93" spans="1:7" x14ac:dyDescent="0.25">
      <c r="A93" t="s">
        <v>47</v>
      </c>
      <c r="B93">
        <v>2025</v>
      </c>
      <c r="C93" t="s">
        <v>64</v>
      </c>
      <c r="D93" t="s">
        <v>6</v>
      </c>
      <c r="E93" t="s">
        <v>13</v>
      </c>
      <c r="F93" t="s">
        <v>55</v>
      </c>
      <c r="G93">
        <v>5.0197176478844758</v>
      </c>
    </row>
    <row r="94" spans="1:7" x14ac:dyDescent="0.25">
      <c r="A94" t="s">
        <v>47</v>
      </c>
      <c r="B94">
        <v>2030</v>
      </c>
      <c r="C94" t="s">
        <v>64</v>
      </c>
      <c r="D94" t="s">
        <v>6</v>
      </c>
      <c r="E94" t="s">
        <v>13</v>
      </c>
      <c r="F94" t="s">
        <v>55</v>
      </c>
      <c r="G94">
        <v>4.574743775690453</v>
      </c>
    </row>
    <row r="95" spans="1:7" x14ac:dyDescent="0.25">
      <c r="A95" t="s">
        <v>47</v>
      </c>
      <c r="B95">
        <v>2035</v>
      </c>
      <c r="C95" t="s">
        <v>64</v>
      </c>
      <c r="D95" t="s">
        <v>6</v>
      </c>
      <c r="E95" t="s">
        <v>13</v>
      </c>
      <c r="F95" t="s">
        <v>55</v>
      </c>
      <c r="G95">
        <v>4.0883818959987783</v>
      </c>
    </row>
    <row r="96" spans="1:7" x14ac:dyDescent="0.25">
      <c r="A96" t="s">
        <v>47</v>
      </c>
      <c r="B96">
        <v>2040</v>
      </c>
      <c r="C96" t="s">
        <v>64</v>
      </c>
      <c r="D96" t="s">
        <v>6</v>
      </c>
      <c r="E96" t="s">
        <v>13</v>
      </c>
      <c r="F96" t="s">
        <v>55</v>
      </c>
      <c r="G96">
        <v>3.4786171848259539</v>
      </c>
    </row>
    <row r="97" spans="1:7" x14ac:dyDescent="0.25">
      <c r="A97" t="s">
        <v>47</v>
      </c>
      <c r="B97">
        <v>2020</v>
      </c>
      <c r="C97" t="s">
        <v>65</v>
      </c>
      <c r="D97" t="s">
        <v>51</v>
      </c>
      <c r="E97" t="s">
        <v>13</v>
      </c>
      <c r="F97" t="s">
        <v>55</v>
      </c>
      <c r="G97">
        <v>15.929338171658451</v>
      </c>
    </row>
    <row r="98" spans="1:7" x14ac:dyDescent="0.25">
      <c r="A98" t="s">
        <v>47</v>
      </c>
      <c r="B98">
        <v>2025</v>
      </c>
      <c r="C98" t="s">
        <v>65</v>
      </c>
      <c r="D98" t="s">
        <v>51</v>
      </c>
      <c r="E98" t="s">
        <v>13</v>
      </c>
      <c r="F98" t="s">
        <v>55</v>
      </c>
      <c r="G98">
        <v>15.2470599529707</v>
      </c>
    </row>
    <row r="99" spans="1:7" x14ac:dyDescent="0.25">
      <c r="A99" t="s">
        <v>47</v>
      </c>
      <c r="B99">
        <v>2030</v>
      </c>
      <c r="C99" t="s">
        <v>65</v>
      </c>
      <c r="D99" t="s">
        <v>51</v>
      </c>
      <c r="E99" t="s">
        <v>13</v>
      </c>
      <c r="F99" t="s">
        <v>55</v>
      </c>
      <c r="G99">
        <v>13.93985458175956</v>
      </c>
    </row>
    <row r="100" spans="1:7" x14ac:dyDescent="0.25">
      <c r="A100" t="s">
        <v>47</v>
      </c>
      <c r="B100">
        <v>2035</v>
      </c>
      <c r="C100" t="s">
        <v>65</v>
      </c>
      <c r="D100" t="s">
        <v>51</v>
      </c>
      <c r="E100" t="s">
        <v>13</v>
      </c>
      <c r="F100" t="s">
        <v>55</v>
      </c>
      <c r="G100">
        <v>12.68442518681328</v>
      </c>
    </row>
    <row r="101" spans="1:7" x14ac:dyDescent="0.25">
      <c r="A101" t="s">
        <v>47</v>
      </c>
      <c r="B101">
        <v>2040</v>
      </c>
      <c r="C101" t="s">
        <v>65</v>
      </c>
      <c r="D101" t="s">
        <v>51</v>
      </c>
      <c r="E101" t="s">
        <v>13</v>
      </c>
      <c r="F101" t="s">
        <v>55</v>
      </c>
      <c r="G101">
        <v>10.624279259789089</v>
      </c>
    </row>
    <row r="102" spans="1:7" x14ac:dyDescent="0.25">
      <c r="A102" t="s">
        <v>47</v>
      </c>
      <c r="B102">
        <v>2020</v>
      </c>
      <c r="C102" t="s">
        <v>66</v>
      </c>
      <c r="D102" t="s">
        <v>51</v>
      </c>
      <c r="E102" t="s">
        <v>12</v>
      </c>
      <c r="F102" t="s">
        <v>55</v>
      </c>
      <c r="G102">
        <v>49.847866396170687</v>
      </c>
    </row>
    <row r="103" spans="1:7" x14ac:dyDescent="0.25">
      <c r="A103" t="s">
        <v>47</v>
      </c>
      <c r="B103">
        <v>2025</v>
      </c>
      <c r="C103" t="s">
        <v>66</v>
      </c>
      <c r="D103" t="s">
        <v>51</v>
      </c>
      <c r="E103" t="s">
        <v>12</v>
      </c>
      <c r="F103" t="s">
        <v>55</v>
      </c>
      <c r="G103">
        <v>49.035825056430063</v>
      </c>
    </row>
    <row r="104" spans="1:7" x14ac:dyDescent="0.25">
      <c r="A104" t="s">
        <v>47</v>
      </c>
      <c r="B104">
        <v>2030</v>
      </c>
      <c r="C104" t="s">
        <v>66</v>
      </c>
      <c r="D104" t="s">
        <v>51</v>
      </c>
      <c r="E104" t="s">
        <v>12</v>
      </c>
      <c r="F104" t="s">
        <v>55</v>
      </c>
      <c r="G104">
        <v>47.199619710848737</v>
      </c>
    </row>
    <row r="105" spans="1:7" x14ac:dyDescent="0.25">
      <c r="A105" t="s">
        <v>47</v>
      </c>
      <c r="B105">
        <v>2035</v>
      </c>
      <c r="C105" t="s">
        <v>66</v>
      </c>
      <c r="D105" t="s">
        <v>51</v>
      </c>
      <c r="E105" t="s">
        <v>12</v>
      </c>
      <c r="F105" t="s">
        <v>55</v>
      </c>
      <c r="G105">
        <v>45.464301416836847</v>
      </c>
    </row>
    <row r="106" spans="1:7" x14ac:dyDescent="0.25">
      <c r="A106" t="s">
        <v>47</v>
      </c>
      <c r="B106">
        <v>2040</v>
      </c>
      <c r="C106" t="s">
        <v>66</v>
      </c>
      <c r="D106" t="s">
        <v>51</v>
      </c>
      <c r="E106" t="s">
        <v>12</v>
      </c>
      <c r="F106" t="s">
        <v>55</v>
      </c>
      <c r="G106">
        <v>41.602172455358151</v>
      </c>
    </row>
    <row r="107" spans="1:7" x14ac:dyDescent="0.25">
      <c r="A107" t="s">
        <v>47</v>
      </c>
      <c r="B107">
        <v>2020</v>
      </c>
      <c r="C107" t="s">
        <v>67</v>
      </c>
      <c r="D107" t="s">
        <v>6</v>
      </c>
      <c r="E107" t="s">
        <v>9</v>
      </c>
      <c r="F107" t="s">
        <v>49</v>
      </c>
      <c r="G107">
        <v>0.49644292870391998</v>
      </c>
    </row>
    <row r="108" spans="1:7" x14ac:dyDescent="0.25">
      <c r="A108" t="s">
        <v>47</v>
      </c>
      <c r="B108">
        <v>2025</v>
      </c>
      <c r="C108" t="s">
        <v>67</v>
      </c>
      <c r="D108" t="s">
        <v>6</v>
      </c>
      <c r="E108" t="s">
        <v>9</v>
      </c>
      <c r="F108" t="s">
        <v>49</v>
      </c>
      <c r="G108">
        <v>0.50044849607856146</v>
      </c>
    </row>
    <row r="109" spans="1:7" x14ac:dyDescent="0.25">
      <c r="A109" t="s">
        <v>47</v>
      </c>
      <c r="B109">
        <v>2030</v>
      </c>
      <c r="C109" t="s">
        <v>67</v>
      </c>
      <c r="D109" t="s">
        <v>6</v>
      </c>
      <c r="E109" t="s">
        <v>9</v>
      </c>
      <c r="F109" t="s">
        <v>49</v>
      </c>
      <c r="G109">
        <v>0.49621092020449131</v>
      </c>
    </row>
    <row r="110" spans="1:7" x14ac:dyDescent="0.25">
      <c r="A110" t="s">
        <v>47</v>
      </c>
      <c r="B110">
        <v>2035</v>
      </c>
      <c r="C110" t="s">
        <v>67</v>
      </c>
      <c r="D110" t="s">
        <v>6</v>
      </c>
      <c r="E110" t="s">
        <v>9</v>
      </c>
      <c r="F110" t="s">
        <v>49</v>
      </c>
      <c r="G110">
        <v>0.48552449201578818</v>
      </c>
    </row>
    <row r="111" spans="1:7" x14ac:dyDescent="0.25">
      <c r="A111" t="s">
        <v>47</v>
      </c>
      <c r="B111">
        <v>2040</v>
      </c>
      <c r="C111" t="s">
        <v>67</v>
      </c>
      <c r="D111" t="s">
        <v>6</v>
      </c>
      <c r="E111" t="s">
        <v>9</v>
      </c>
      <c r="F111" t="s">
        <v>49</v>
      </c>
      <c r="G111">
        <v>0.45672104436987909</v>
      </c>
    </row>
    <row r="112" spans="1:7" x14ac:dyDescent="0.25">
      <c r="A112" t="s">
        <v>47</v>
      </c>
      <c r="B112">
        <v>2020</v>
      </c>
      <c r="C112" t="s">
        <v>68</v>
      </c>
      <c r="D112" t="s">
        <v>51</v>
      </c>
      <c r="E112" t="s">
        <v>9</v>
      </c>
      <c r="F112" t="s">
        <v>49</v>
      </c>
      <c r="G112">
        <v>0.63623445139224821</v>
      </c>
    </row>
    <row r="113" spans="1:7" x14ac:dyDescent="0.25">
      <c r="A113" t="s">
        <v>47</v>
      </c>
      <c r="B113">
        <v>2025</v>
      </c>
      <c r="C113" t="s">
        <v>68</v>
      </c>
      <c r="D113" t="s">
        <v>51</v>
      </c>
      <c r="E113" t="s">
        <v>9</v>
      </c>
      <c r="F113" t="s">
        <v>49</v>
      </c>
      <c r="G113">
        <v>0.63772813833659914</v>
      </c>
    </row>
    <row r="114" spans="1:7" x14ac:dyDescent="0.25">
      <c r="A114" t="s">
        <v>47</v>
      </c>
      <c r="B114">
        <v>2030</v>
      </c>
      <c r="C114" t="s">
        <v>68</v>
      </c>
      <c r="D114" t="s">
        <v>51</v>
      </c>
      <c r="E114" t="s">
        <v>9</v>
      </c>
      <c r="F114" t="s">
        <v>49</v>
      </c>
      <c r="G114">
        <v>0.62829687186292515</v>
      </c>
    </row>
    <row r="115" spans="1:7" x14ac:dyDescent="0.25">
      <c r="A115" t="s">
        <v>47</v>
      </c>
      <c r="B115">
        <v>2035</v>
      </c>
      <c r="C115" t="s">
        <v>68</v>
      </c>
      <c r="D115" t="s">
        <v>51</v>
      </c>
      <c r="E115" t="s">
        <v>9</v>
      </c>
      <c r="F115" t="s">
        <v>49</v>
      </c>
      <c r="G115">
        <v>0.60760062084633393</v>
      </c>
    </row>
    <row r="116" spans="1:7" x14ac:dyDescent="0.25">
      <c r="A116" t="s">
        <v>47</v>
      </c>
      <c r="B116">
        <v>2040</v>
      </c>
      <c r="C116" t="s">
        <v>68</v>
      </c>
      <c r="D116" t="s">
        <v>51</v>
      </c>
      <c r="E116" t="s">
        <v>9</v>
      </c>
      <c r="F116" t="s">
        <v>49</v>
      </c>
      <c r="G116">
        <v>0.55989132462612057</v>
      </c>
    </row>
    <row r="117" spans="1:7" s="3" customFormat="1" x14ac:dyDescent="0.25">
      <c r="A117" s="3" t="s">
        <v>47</v>
      </c>
      <c r="B117" s="3">
        <v>2020</v>
      </c>
      <c r="C117" s="3" t="s">
        <v>69</v>
      </c>
      <c r="D117" s="3" t="s">
        <v>6</v>
      </c>
      <c r="E117" s="3" t="s">
        <v>9</v>
      </c>
      <c r="F117" s="3" t="s">
        <v>53</v>
      </c>
      <c r="G117" s="3">
        <f>G127-G107</f>
        <v>4.1135142923108061</v>
      </c>
    </row>
    <row r="118" spans="1:7" s="3" customFormat="1" x14ac:dyDescent="0.25">
      <c r="A118" s="3" t="s">
        <v>47</v>
      </c>
      <c r="B118" s="3">
        <v>2025</v>
      </c>
      <c r="C118" s="3" t="s">
        <v>69</v>
      </c>
      <c r="D118" s="3" t="s">
        <v>6</v>
      </c>
      <c r="E118" s="3" t="s">
        <v>9</v>
      </c>
      <c r="F118" s="3" t="s">
        <v>53</v>
      </c>
      <c r="G118" s="3">
        <f t="shared" ref="G118:G126" si="2">G128-G108</f>
        <v>4.1153045167114879</v>
      </c>
    </row>
    <row r="119" spans="1:7" s="3" customFormat="1" x14ac:dyDescent="0.25">
      <c r="A119" s="3" t="s">
        <v>47</v>
      </c>
      <c r="B119" s="3">
        <v>2030</v>
      </c>
      <c r="C119" s="3" t="s">
        <v>69</v>
      </c>
      <c r="D119" s="3" t="s">
        <v>6</v>
      </c>
      <c r="E119" s="3" t="s">
        <v>9</v>
      </c>
      <c r="F119" s="3" t="s">
        <v>53</v>
      </c>
      <c r="G119" s="3">
        <f t="shared" si="2"/>
        <v>3.996070899253557</v>
      </c>
    </row>
    <row r="120" spans="1:7" s="3" customFormat="1" x14ac:dyDescent="0.25">
      <c r="A120" s="3" t="s">
        <v>47</v>
      </c>
      <c r="B120" s="3">
        <v>2035</v>
      </c>
      <c r="C120" s="3" t="s">
        <v>69</v>
      </c>
      <c r="D120" s="3" t="s">
        <v>6</v>
      </c>
      <c r="E120" s="3" t="s">
        <v>9</v>
      </c>
      <c r="F120" s="3" t="s">
        <v>53</v>
      </c>
      <c r="G120" s="3">
        <f t="shared" si="2"/>
        <v>3.793602747168185</v>
      </c>
    </row>
    <row r="121" spans="1:7" s="3" customFormat="1" x14ac:dyDescent="0.25">
      <c r="A121" s="3" t="s">
        <v>47</v>
      </c>
      <c r="B121" s="3">
        <v>2040</v>
      </c>
      <c r="C121" s="3" t="s">
        <v>69</v>
      </c>
      <c r="D121" s="3" t="s">
        <v>6</v>
      </c>
      <c r="E121" s="3" t="s">
        <v>9</v>
      </c>
      <c r="F121" s="3" t="s">
        <v>53</v>
      </c>
      <c r="G121" s="3">
        <f t="shared" si="2"/>
        <v>3.4523420000454745</v>
      </c>
    </row>
    <row r="122" spans="1:7" s="3" customFormat="1" x14ac:dyDescent="0.25">
      <c r="A122" s="3" t="s">
        <v>47</v>
      </c>
      <c r="B122" s="3">
        <v>2020</v>
      </c>
      <c r="C122" s="3" t="s">
        <v>70</v>
      </c>
      <c r="D122" s="3" t="s">
        <v>51</v>
      </c>
      <c r="E122" s="3" t="s">
        <v>9</v>
      </c>
      <c r="F122" s="3" t="s">
        <v>53</v>
      </c>
      <c r="G122" s="3">
        <f t="shared" si="2"/>
        <v>14.966778310046642</v>
      </c>
    </row>
    <row r="123" spans="1:7" s="3" customFormat="1" x14ac:dyDescent="0.25">
      <c r="A123" s="3" t="s">
        <v>47</v>
      </c>
      <c r="B123" s="3">
        <v>2025</v>
      </c>
      <c r="C123" s="3" t="s">
        <v>70</v>
      </c>
      <c r="D123" s="3" t="s">
        <v>51</v>
      </c>
      <c r="E123" s="3" t="s">
        <v>9</v>
      </c>
      <c r="F123" s="3" t="s">
        <v>53</v>
      </c>
      <c r="G123" s="3">
        <f t="shared" si="2"/>
        <v>14.93170638533153</v>
      </c>
    </row>
    <row r="124" spans="1:7" s="3" customFormat="1" x14ac:dyDescent="0.25">
      <c r="A124" s="3" t="s">
        <v>47</v>
      </c>
      <c r="B124" s="3">
        <v>2030</v>
      </c>
      <c r="C124" s="3" t="s">
        <v>70</v>
      </c>
      <c r="D124" s="3" t="s">
        <v>51</v>
      </c>
      <c r="E124" s="3" t="s">
        <v>9</v>
      </c>
      <c r="F124" s="3" t="s">
        <v>53</v>
      </c>
      <c r="G124" s="3">
        <f t="shared" si="2"/>
        <v>14.767167293493364</v>
      </c>
    </row>
    <row r="125" spans="1:7" s="3" customFormat="1" x14ac:dyDescent="0.25">
      <c r="A125" s="3" t="s">
        <v>47</v>
      </c>
      <c r="B125" s="3">
        <v>2035</v>
      </c>
      <c r="C125" s="3" t="s">
        <v>70</v>
      </c>
      <c r="D125" s="3" t="s">
        <v>51</v>
      </c>
      <c r="E125" s="3" t="s">
        <v>9</v>
      </c>
      <c r="F125" s="3" t="s">
        <v>53</v>
      </c>
      <c r="G125" s="3">
        <f t="shared" si="2"/>
        <v>14.580141580644897</v>
      </c>
    </row>
    <row r="126" spans="1:7" s="3" customFormat="1" x14ac:dyDescent="0.25">
      <c r="A126" s="3" t="s">
        <v>47</v>
      </c>
      <c r="B126" s="3">
        <v>2040</v>
      </c>
      <c r="C126" s="3" t="s">
        <v>70</v>
      </c>
      <c r="D126" s="3" t="s">
        <v>51</v>
      </c>
      <c r="E126" s="3" t="s">
        <v>9</v>
      </c>
      <c r="F126" s="3" t="s">
        <v>53</v>
      </c>
      <c r="G126" s="3">
        <f t="shared" si="2"/>
        <v>14.111371797723971</v>
      </c>
    </row>
    <row r="127" spans="1:7" x14ac:dyDescent="0.25">
      <c r="A127" t="s">
        <v>47</v>
      </c>
      <c r="B127">
        <v>2020</v>
      </c>
      <c r="C127" t="s">
        <v>69</v>
      </c>
      <c r="D127" t="s">
        <v>6</v>
      </c>
      <c r="E127" t="s">
        <v>9</v>
      </c>
      <c r="F127" t="s">
        <v>55</v>
      </c>
      <c r="G127">
        <v>4.6099572210147262</v>
      </c>
    </row>
    <row r="128" spans="1:7" x14ac:dyDescent="0.25">
      <c r="A128" t="s">
        <v>47</v>
      </c>
      <c r="B128">
        <v>2025</v>
      </c>
      <c r="C128" t="s">
        <v>69</v>
      </c>
      <c r="D128" t="s">
        <v>6</v>
      </c>
      <c r="E128" t="s">
        <v>9</v>
      </c>
      <c r="F128" t="s">
        <v>55</v>
      </c>
      <c r="G128">
        <v>4.6157530127900497</v>
      </c>
    </row>
    <row r="129" spans="1:7" x14ac:dyDescent="0.25">
      <c r="A129" t="s">
        <v>47</v>
      </c>
      <c r="B129">
        <v>2030</v>
      </c>
      <c r="C129" t="s">
        <v>69</v>
      </c>
      <c r="D129" t="s">
        <v>6</v>
      </c>
      <c r="E129" t="s">
        <v>9</v>
      </c>
      <c r="F129" t="s">
        <v>55</v>
      </c>
      <c r="G129">
        <v>4.4922818194580483</v>
      </c>
    </row>
    <row r="130" spans="1:7" x14ac:dyDescent="0.25">
      <c r="A130" t="s">
        <v>47</v>
      </c>
      <c r="B130">
        <v>2035</v>
      </c>
      <c r="C130" t="s">
        <v>69</v>
      </c>
      <c r="D130" t="s">
        <v>6</v>
      </c>
      <c r="E130" t="s">
        <v>9</v>
      </c>
      <c r="F130" t="s">
        <v>55</v>
      </c>
      <c r="G130">
        <v>4.279127239183973</v>
      </c>
    </row>
    <row r="131" spans="1:7" x14ac:dyDescent="0.25">
      <c r="A131" t="s">
        <v>47</v>
      </c>
      <c r="B131">
        <v>2040</v>
      </c>
      <c r="C131" t="s">
        <v>69</v>
      </c>
      <c r="D131" t="s">
        <v>6</v>
      </c>
      <c r="E131" t="s">
        <v>9</v>
      </c>
      <c r="F131" t="s">
        <v>55</v>
      </c>
      <c r="G131">
        <v>3.9090630444153538</v>
      </c>
    </row>
    <row r="132" spans="1:7" x14ac:dyDescent="0.25">
      <c r="A132" t="s">
        <v>47</v>
      </c>
      <c r="B132">
        <v>2020</v>
      </c>
      <c r="C132" t="s">
        <v>70</v>
      </c>
      <c r="D132" t="s">
        <v>51</v>
      </c>
      <c r="E132" t="s">
        <v>9</v>
      </c>
      <c r="F132" t="s">
        <v>55</v>
      </c>
      <c r="G132">
        <v>15.60301276143889</v>
      </c>
    </row>
    <row r="133" spans="1:7" x14ac:dyDescent="0.25">
      <c r="A133" t="s">
        <v>47</v>
      </c>
      <c r="B133">
        <v>2025</v>
      </c>
      <c r="C133" t="s">
        <v>70</v>
      </c>
      <c r="D133" t="s">
        <v>51</v>
      </c>
      <c r="E133" t="s">
        <v>9</v>
      </c>
      <c r="F133" t="s">
        <v>55</v>
      </c>
      <c r="G133">
        <v>15.56943452366813</v>
      </c>
    </row>
    <row r="134" spans="1:7" x14ac:dyDescent="0.25">
      <c r="A134" t="s">
        <v>47</v>
      </c>
      <c r="B134">
        <v>2030</v>
      </c>
      <c r="C134" t="s">
        <v>70</v>
      </c>
      <c r="D134" t="s">
        <v>51</v>
      </c>
      <c r="E134" t="s">
        <v>9</v>
      </c>
      <c r="F134" t="s">
        <v>55</v>
      </c>
      <c r="G134">
        <v>15.395464165356289</v>
      </c>
    </row>
    <row r="135" spans="1:7" x14ac:dyDescent="0.25">
      <c r="A135" t="s">
        <v>47</v>
      </c>
      <c r="B135">
        <v>2035</v>
      </c>
      <c r="C135" t="s">
        <v>70</v>
      </c>
      <c r="D135" t="s">
        <v>51</v>
      </c>
      <c r="E135" t="s">
        <v>9</v>
      </c>
      <c r="F135" t="s">
        <v>55</v>
      </c>
      <c r="G135">
        <v>15.187742201491231</v>
      </c>
    </row>
    <row r="136" spans="1:7" x14ac:dyDescent="0.25">
      <c r="A136" t="s">
        <v>47</v>
      </c>
      <c r="B136">
        <v>2040</v>
      </c>
      <c r="C136" t="s">
        <v>70</v>
      </c>
      <c r="D136" t="s">
        <v>51</v>
      </c>
      <c r="E136" t="s">
        <v>9</v>
      </c>
      <c r="F136" t="s">
        <v>55</v>
      </c>
      <c r="G136">
        <v>14.671263122350091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531"/>
  <sheetViews>
    <sheetView workbookViewId="0">
      <selection activeCell="A2" sqref="A2:XFD5"/>
    </sheetView>
  </sheetViews>
  <sheetFormatPr baseColWidth="10" defaultColWidth="9.140625" defaultRowHeight="15" x14ac:dyDescent="0.25"/>
  <cols>
    <col min="1" max="1" width="16.85546875" bestFit="1" customWidth="1"/>
    <col min="2" max="2" width="12.5703125" bestFit="1" customWidth="1"/>
    <col min="3" max="3" width="9.5703125" bestFit="1" customWidth="1"/>
    <col min="4" max="4" width="12" bestFit="1" customWidth="1"/>
    <col min="5" max="5" width="21" bestFit="1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t="s">
        <v>5</v>
      </c>
      <c r="B2" t="s">
        <v>6</v>
      </c>
      <c r="C2">
        <v>2020</v>
      </c>
      <c r="D2" t="s">
        <v>7</v>
      </c>
      <c r="E2">
        <v>1093.0696459999999</v>
      </c>
    </row>
    <row r="3" spans="1:5" x14ac:dyDescent="0.25">
      <c r="A3" t="s">
        <v>5</v>
      </c>
      <c r="B3" t="s">
        <v>6</v>
      </c>
      <c r="C3">
        <v>2020</v>
      </c>
      <c r="D3" t="s">
        <v>8</v>
      </c>
      <c r="E3">
        <v>734456.94334690797</v>
      </c>
    </row>
    <row r="4" spans="1:5" x14ac:dyDescent="0.25">
      <c r="A4" t="s">
        <v>5</v>
      </c>
      <c r="B4" t="s">
        <v>6</v>
      </c>
      <c r="C4">
        <v>2020</v>
      </c>
      <c r="D4" t="s">
        <v>12</v>
      </c>
      <c r="E4">
        <v>0</v>
      </c>
    </row>
    <row r="5" spans="1:5" x14ac:dyDescent="0.25">
      <c r="A5" t="s">
        <v>5</v>
      </c>
      <c r="B5" t="s">
        <v>6</v>
      </c>
      <c r="C5">
        <v>2020</v>
      </c>
      <c r="D5" t="s">
        <v>9</v>
      </c>
      <c r="E5">
        <v>6803.3692930797688</v>
      </c>
    </row>
    <row r="6" spans="1:5" x14ac:dyDescent="0.25">
      <c r="A6" t="s">
        <v>5</v>
      </c>
      <c r="B6" t="s">
        <v>6</v>
      </c>
      <c r="C6">
        <v>2021</v>
      </c>
      <c r="D6" t="s">
        <v>7</v>
      </c>
      <c r="E6">
        <v>1169.535646</v>
      </c>
    </row>
    <row r="7" spans="1:5" x14ac:dyDescent="0.25">
      <c r="A7" t="s">
        <v>5</v>
      </c>
      <c r="B7" t="s">
        <v>6</v>
      </c>
      <c r="C7">
        <v>2021</v>
      </c>
      <c r="D7" t="s">
        <v>8</v>
      </c>
      <c r="E7">
        <v>738621.25516125129</v>
      </c>
    </row>
    <row r="8" spans="1:5" x14ac:dyDescent="0.25">
      <c r="A8" t="s">
        <v>5</v>
      </c>
      <c r="B8" t="s">
        <v>6</v>
      </c>
      <c r="C8">
        <v>2021</v>
      </c>
      <c r="D8" t="s">
        <v>12</v>
      </c>
      <c r="E8">
        <v>0</v>
      </c>
    </row>
    <row r="9" spans="1:5" x14ac:dyDescent="0.25">
      <c r="A9" t="s">
        <v>5</v>
      </c>
      <c r="B9" t="s">
        <v>6</v>
      </c>
      <c r="C9">
        <v>2021</v>
      </c>
      <c r="D9" t="s">
        <v>9</v>
      </c>
      <c r="E9">
        <v>6897.9909093748429</v>
      </c>
    </row>
    <row r="10" spans="1:5" x14ac:dyDescent="0.25">
      <c r="A10" t="s">
        <v>5</v>
      </c>
      <c r="B10" t="s">
        <v>6</v>
      </c>
      <c r="C10">
        <v>2022</v>
      </c>
      <c r="D10" t="s">
        <v>7</v>
      </c>
      <c r="E10">
        <v>1380.3796460000001</v>
      </c>
    </row>
    <row r="11" spans="1:5" x14ac:dyDescent="0.25">
      <c r="A11" t="s">
        <v>5</v>
      </c>
      <c r="B11" t="s">
        <v>6</v>
      </c>
      <c r="C11">
        <v>2022</v>
      </c>
      <c r="D11" t="s">
        <v>8</v>
      </c>
      <c r="E11">
        <v>750772.27466496895</v>
      </c>
    </row>
    <row r="12" spans="1:5" x14ac:dyDescent="0.25">
      <c r="A12" t="s">
        <v>5</v>
      </c>
      <c r="B12" t="s">
        <v>6</v>
      </c>
      <c r="C12">
        <v>2022</v>
      </c>
      <c r="D12" t="s">
        <v>12</v>
      </c>
      <c r="E12">
        <v>0</v>
      </c>
    </row>
    <row r="13" spans="1:5" x14ac:dyDescent="0.25">
      <c r="A13" t="s">
        <v>5</v>
      </c>
      <c r="B13" t="s">
        <v>6</v>
      </c>
      <c r="C13">
        <v>2022</v>
      </c>
      <c r="D13" t="s">
        <v>9</v>
      </c>
      <c r="E13">
        <v>7479.2097756699059</v>
      </c>
    </row>
    <row r="14" spans="1:5" x14ac:dyDescent="0.25">
      <c r="A14" t="s">
        <v>5</v>
      </c>
      <c r="B14" t="s">
        <v>6</v>
      </c>
      <c r="C14">
        <v>2023</v>
      </c>
      <c r="D14" t="s">
        <v>7</v>
      </c>
      <c r="E14">
        <v>1460.0596459999999</v>
      </c>
    </row>
    <row r="15" spans="1:5" x14ac:dyDescent="0.25">
      <c r="A15" t="s">
        <v>5</v>
      </c>
      <c r="B15" t="s">
        <v>6</v>
      </c>
      <c r="C15">
        <v>2023</v>
      </c>
      <c r="D15" t="s">
        <v>8</v>
      </c>
      <c r="E15">
        <v>760970.86997546419</v>
      </c>
    </row>
    <row r="16" spans="1:5" x14ac:dyDescent="0.25">
      <c r="A16" t="s">
        <v>5</v>
      </c>
      <c r="B16" t="s">
        <v>6</v>
      </c>
      <c r="C16">
        <v>2023</v>
      </c>
      <c r="D16" t="s">
        <v>12</v>
      </c>
      <c r="E16">
        <v>0</v>
      </c>
    </row>
    <row r="17" spans="1:5" x14ac:dyDescent="0.25">
      <c r="A17" t="s">
        <v>5</v>
      </c>
      <c r="B17" t="s">
        <v>6</v>
      </c>
      <c r="C17">
        <v>2023</v>
      </c>
      <c r="D17" t="s">
        <v>9</v>
      </c>
      <c r="E17">
        <v>7931.964641964988</v>
      </c>
    </row>
    <row r="18" spans="1:5" x14ac:dyDescent="0.25">
      <c r="A18" t="s">
        <v>5</v>
      </c>
      <c r="B18" t="s">
        <v>6</v>
      </c>
      <c r="C18">
        <v>2024</v>
      </c>
      <c r="D18" t="s">
        <v>7</v>
      </c>
      <c r="E18">
        <v>6136.1111540720722</v>
      </c>
    </row>
    <row r="19" spans="1:5" x14ac:dyDescent="0.25">
      <c r="A19" t="s">
        <v>5</v>
      </c>
      <c r="B19" t="s">
        <v>6</v>
      </c>
      <c r="C19">
        <v>2024</v>
      </c>
      <c r="D19" t="s">
        <v>8</v>
      </c>
      <c r="E19">
        <v>779608.36963413097</v>
      </c>
    </row>
    <row r="20" spans="1:5" x14ac:dyDescent="0.25">
      <c r="A20" t="s">
        <v>5</v>
      </c>
      <c r="B20" t="s">
        <v>6</v>
      </c>
      <c r="C20">
        <v>2024</v>
      </c>
      <c r="D20" t="s">
        <v>14</v>
      </c>
      <c r="E20">
        <v>269.56540533104919</v>
      </c>
    </row>
    <row r="21" spans="1:5" x14ac:dyDescent="0.25">
      <c r="A21" t="s">
        <v>5</v>
      </c>
      <c r="B21" t="s">
        <v>6</v>
      </c>
      <c r="C21">
        <v>2024</v>
      </c>
      <c r="D21" t="s">
        <v>13</v>
      </c>
      <c r="E21">
        <v>4081.9920784693568</v>
      </c>
    </row>
    <row r="22" spans="1:5" x14ac:dyDescent="0.25">
      <c r="A22" t="s">
        <v>5</v>
      </c>
      <c r="B22" t="s">
        <v>6</v>
      </c>
      <c r="C22">
        <v>2024</v>
      </c>
      <c r="D22" t="s">
        <v>12</v>
      </c>
      <c r="E22">
        <v>204.86362628923879</v>
      </c>
    </row>
    <row r="23" spans="1:5" x14ac:dyDescent="0.25">
      <c r="A23" t="s">
        <v>5</v>
      </c>
      <c r="B23" t="s">
        <v>6</v>
      </c>
      <c r="C23">
        <v>2024</v>
      </c>
      <c r="D23" t="s">
        <v>9</v>
      </c>
      <c r="E23">
        <v>17076.053898057198</v>
      </c>
    </row>
    <row r="24" spans="1:5" x14ac:dyDescent="0.25">
      <c r="A24" t="s">
        <v>5</v>
      </c>
      <c r="B24" t="s">
        <v>6</v>
      </c>
      <c r="C24">
        <v>2025</v>
      </c>
      <c r="D24" t="s">
        <v>7</v>
      </c>
      <c r="E24">
        <v>9556.3203859726327</v>
      </c>
    </row>
    <row r="25" spans="1:5" x14ac:dyDescent="0.25">
      <c r="A25" t="s">
        <v>5</v>
      </c>
      <c r="B25" t="s">
        <v>6</v>
      </c>
      <c r="C25">
        <v>2025</v>
      </c>
      <c r="D25" t="s">
        <v>8</v>
      </c>
      <c r="E25">
        <v>816152.33242339652</v>
      </c>
    </row>
    <row r="26" spans="1:5" x14ac:dyDescent="0.25">
      <c r="A26" t="s">
        <v>5</v>
      </c>
      <c r="B26" t="s">
        <v>6</v>
      </c>
      <c r="C26">
        <v>2025</v>
      </c>
      <c r="D26" t="s">
        <v>14</v>
      </c>
      <c r="E26">
        <v>413.38674287243032</v>
      </c>
    </row>
    <row r="27" spans="1:5" x14ac:dyDescent="0.25">
      <c r="A27" t="s">
        <v>5</v>
      </c>
      <c r="B27" t="s">
        <v>6</v>
      </c>
      <c r="C27">
        <v>2025</v>
      </c>
      <c r="D27" t="s">
        <v>13</v>
      </c>
      <c r="E27">
        <v>6247.3243664054053</v>
      </c>
    </row>
    <row r="28" spans="1:5" x14ac:dyDescent="0.25">
      <c r="A28" t="s">
        <v>5</v>
      </c>
      <c r="B28" t="s">
        <v>6</v>
      </c>
      <c r="C28">
        <v>2025</v>
      </c>
      <c r="D28" t="s">
        <v>12</v>
      </c>
      <c r="E28">
        <v>325.38476223044881</v>
      </c>
    </row>
    <row r="29" spans="1:5" x14ac:dyDescent="0.25">
      <c r="A29" t="s">
        <v>5</v>
      </c>
      <c r="B29" t="s">
        <v>6</v>
      </c>
      <c r="C29">
        <v>2025</v>
      </c>
      <c r="D29" t="s">
        <v>9</v>
      </c>
      <c r="E29">
        <v>22394.317081973011</v>
      </c>
    </row>
    <row r="30" spans="1:5" x14ac:dyDescent="0.25">
      <c r="A30" t="s">
        <v>5</v>
      </c>
      <c r="B30" t="s">
        <v>6</v>
      </c>
      <c r="C30">
        <v>2026</v>
      </c>
      <c r="D30" t="s">
        <v>7</v>
      </c>
      <c r="E30">
        <v>14666.70894328302</v>
      </c>
    </row>
    <row r="31" spans="1:5" x14ac:dyDescent="0.25">
      <c r="A31" t="s">
        <v>5</v>
      </c>
      <c r="B31" t="s">
        <v>6</v>
      </c>
      <c r="C31">
        <v>2026</v>
      </c>
      <c r="D31" t="s">
        <v>8</v>
      </c>
      <c r="E31">
        <v>845634.32805853861</v>
      </c>
    </row>
    <row r="32" spans="1:5" x14ac:dyDescent="0.25">
      <c r="A32" t="s">
        <v>5</v>
      </c>
      <c r="B32" t="s">
        <v>6</v>
      </c>
      <c r="C32">
        <v>2026</v>
      </c>
      <c r="D32" t="s">
        <v>14</v>
      </c>
      <c r="E32">
        <v>595.19964669675574</v>
      </c>
    </row>
    <row r="33" spans="1:5" x14ac:dyDescent="0.25">
      <c r="A33" t="s">
        <v>5</v>
      </c>
      <c r="B33" t="s">
        <v>6</v>
      </c>
      <c r="C33">
        <v>2026</v>
      </c>
      <c r="D33" t="s">
        <v>13</v>
      </c>
      <c r="E33">
        <v>9264.2962116299586</v>
      </c>
    </row>
    <row r="34" spans="1:5" x14ac:dyDescent="0.25">
      <c r="A34" t="s">
        <v>5</v>
      </c>
      <c r="B34" t="s">
        <v>6</v>
      </c>
      <c r="C34">
        <v>2026</v>
      </c>
      <c r="D34" t="s">
        <v>12</v>
      </c>
      <c r="E34">
        <v>563.7311840881448</v>
      </c>
    </row>
    <row r="35" spans="1:5" x14ac:dyDescent="0.25">
      <c r="A35" t="s">
        <v>5</v>
      </c>
      <c r="B35" t="s">
        <v>6</v>
      </c>
      <c r="C35">
        <v>2026</v>
      </c>
      <c r="D35" t="s">
        <v>9</v>
      </c>
      <c r="E35">
        <v>29818.531857293401</v>
      </c>
    </row>
    <row r="36" spans="1:5" x14ac:dyDescent="0.25">
      <c r="A36" t="s">
        <v>5</v>
      </c>
      <c r="B36" t="s">
        <v>6</v>
      </c>
      <c r="C36">
        <v>2027</v>
      </c>
      <c r="D36" t="s">
        <v>7</v>
      </c>
      <c r="E36">
        <v>22846.056566280731</v>
      </c>
    </row>
    <row r="37" spans="1:5" x14ac:dyDescent="0.25">
      <c r="A37" t="s">
        <v>5</v>
      </c>
      <c r="B37" t="s">
        <v>6</v>
      </c>
      <c r="C37">
        <v>2027</v>
      </c>
      <c r="D37" t="s">
        <v>8</v>
      </c>
      <c r="E37">
        <v>879225.45381998783</v>
      </c>
    </row>
    <row r="38" spans="1:5" x14ac:dyDescent="0.25">
      <c r="A38" t="s">
        <v>5</v>
      </c>
      <c r="B38" t="s">
        <v>6</v>
      </c>
      <c r="C38">
        <v>2027</v>
      </c>
      <c r="D38" t="s">
        <v>14</v>
      </c>
      <c r="E38">
        <v>870.72588738825675</v>
      </c>
    </row>
    <row r="39" spans="1:5" x14ac:dyDescent="0.25">
      <c r="A39" t="s">
        <v>5</v>
      </c>
      <c r="B39" t="s">
        <v>6</v>
      </c>
      <c r="C39">
        <v>2027</v>
      </c>
      <c r="D39" t="s">
        <v>13</v>
      </c>
      <c r="E39">
        <v>13737.544328976641</v>
      </c>
    </row>
    <row r="40" spans="1:5" x14ac:dyDescent="0.25">
      <c r="A40" t="s">
        <v>5</v>
      </c>
      <c r="B40" t="s">
        <v>6</v>
      </c>
      <c r="C40">
        <v>2027</v>
      </c>
      <c r="D40" t="s">
        <v>12</v>
      </c>
      <c r="E40">
        <v>886.00915439887626</v>
      </c>
    </row>
    <row r="41" spans="1:5" x14ac:dyDescent="0.25">
      <c r="A41" t="s">
        <v>5</v>
      </c>
      <c r="B41" t="s">
        <v>6</v>
      </c>
      <c r="C41">
        <v>2027</v>
      </c>
      <c r="D41" t="s">
        <v>9</v>
      </c>
      <c r="E41">
        <v>40022.174830153243</v>
      </c>
    </row>
    <row r="42" spans="1:5" x14ac:dyDescent="0.25">
      <c r="A42" t="s">
        <v>5</v>
      </c>
      <c r="B42" t="s">
        <v>6</v>
      </c>
      <c r="C42">
        <v>2028</v>
      </c>
      <c r="D42" t="s">
        <v>7</v>
      </c>
      <c r="E42">
        <v>33558.203893436563</v>
      </c>
    </row>
    <row r="43" spans="1:5" x14ac:dyDescent="0.25">
      <c r="A43" t="s">
        <v>5</v>
      </c>
      <c r="B43" t="s">
        <v>6</v>
      </c>
      <c r="C43">
        <v>2028</v>
      </c>
      <c r="D43" t="s">
        <v>8</v>
      </c>
      <c r="E43">
        <v>916409.46721627563</v>
      </c>
    </row>
    <row r="44" spans="1:5" x14ac:dyDescent="0.25">
      <c r="A44" t="s">
        <v>5</v>
      </c>
      <c r="B44" t="s">
        <v>6</v>
      </c>
      <c r="C44">
        <v>2028</v>
      </c>
      <c r="D44" t="s">
        <v>14</v>
      </c>
      <c r="E44">
        <v>1182.9561420443069</v>
      </c>
    </row>
    <row r="45" spans="1:5" x14ac:dyDescent="0.25">
      <c r="A45" t="s">
        <v>5</v>
      </c>
      <c r="B45" t="s">
        <v>6</v>
      </c>
      <c r="C45">
        <v>2028</v>
      </c>
      <c r="D45" t="s">
        <v>13</v>
      </c>
      <c r="E45">
        <v>18935.44383590906</v>
      </c>
    </row>
    <row r="46" spans="1:5" x14ac:dyDescent="0.25">
      <c r="A46" t="s">
        <v>5</v>
      </c>
      <c r="B46" t="s">
        <v>6</v>
      </c>
      <c r="C46">
        <v>2028</v>
      </c>
      <c r="D46" t="s">
        <v>12</v>
      </c>
      <c r="E46">
        <v>1263.9158077811819</v>
      </c>
    </row>
    <row r="47" spans="1:5" x14ac:dyDescent="0.25">
      <c r="A47" t="s">
        <v>5</v>
      </c>
      <c r="B47" t="s">
        <v>6</v>
      </c>
      <c r="C47">
        <v>2028</v>
      </c>
      <c r="D47" t="s">
        <v>9</v>
      </c>
      <c r="E47">
        <v>51389.307268411161</v>
      </c>
    </row>
    <row r="48" spans="1:5" x14ac:dyDescent="0.25">
      <c r="A48" t="s">
        <v>5</v>
      </c>
      <c r="B48" t="s">
        <v>6</v>
      </c>
      <c r="C48">
        <v>2029</v>
      </c>
      <c r="D48" t="s">
        <v>7</v>
      </c>
      <c r="E48">
        <v>45543.6522807039</v>
      </c>
    </row>
    <row r="49" spans="1:5" x14ac:dyDescent="0.25">
      <c r="A49" t="s">
        <v>5</v>
      </c>
      <c r="B49" t="s">
        <v>6</v>
      </c>
      <c r="C49">
        <v>2029</v>
      </c>
      <c r="D49" t="s">
        <v>8</v>
      </c>
      <c r="E49">
        <v>955177.18715425662</v>
      </c>
    </row>
    <row r="50" spans="1:5" x14ac:dyDescent="0.25">
      <c r="A50" t="s">
        <v>5</v>
      </c>
      <c r="B50" t="s">
        <v>6</v>
      </c>
      <c r="C50">
        <v>2029</v>
      </c>
      <c r="D50" t="s">
        <v>14</v>
      </c>
      <c r="E50">
        <v>1524.695210353849</v>
      </c>
    </row>
    <row r="51" spans="1:5" x14ac:dyDescent="0.25">
      <c r="A51" t="s">
        <v>5</v>
      </c>
      <c r="B51" t="s">
        <v>6</v>
      </c>
      <c r="C51">
        <v>2029</v>
      </c>
      <c r="D51" t="s">
        <v>13</v>
      </c>
      <c r="E51">
        <v>24655.859039949839</v>
      </c>
    </row>
    <row r="52" spans="1:5" x14ac:dyDescent="0.25">
      <c r="A52" t="s">
        <v>5</v>
      </c>
      <c r="B52" t="s">
        <v>6</v>
      </c>
      <c r="C52">
        <v>2029</v>
      </c>
      <c r="D52" t="s">
        <v>12</v>
      </c>
      <c r="E52">
        <v>1697.8123851929049</v>
      </c>
    </row>
    <row r="53" spans="1:5" x14ac:dyDescent="0.25">
      <c r="A53" t="s">
        <v>5</v>
      </c>
      <c r="B53" t="s">
        <v>6</v>
      </c>
      <c r="C53">
        <v>2029</v>
      </c>
      <c r="D53" t="s">
        <v>9</v>
      </c>
      <c r="E53">
        <v>64370.502916696467</v>
      </c>
    </row>
    <row r="54" spans="1:5" x14ac:dyDescent="0.25">
      <c r="A54" t="s">
        <v>5</v>
      </c>
      <c r="B54" t="s">
        <v>6</v>
      </c>
      <c r="C54">
        <v>2030</v>
      </c>
      <c r="D54" t="s">
        <v>7</v>
      </c>
      <c r="E54">
        <v>58753.881043988476</v>
      </c>
    </row>
    <row r="55" spans="1:5" x14ac:dyDescent="0.25">
      <c r="A55" t="s">
        <v>5</v>
      </c>
      <c r="B55" t="s">
        <v>6</v>
      </c>
      <c r="C55">
        <v>2030</v>
      </c>
      <c r="D55" t="s">
        <v>8</v>
      </c>
      <c r="E55">
        <v>999788.1668806962</v>
      </c>
    </row>
    <row r="56" spans="1:5" x14ac:dyDescent="0.25">
      <c r="A56" t="s">
        <v>5</v>
      </c>
      <c r="B56" t="s">
        <v>6</v>
      </c>
      <c r="C56">
        <v>2030</v>
      </c>
      <c r="D56" t="s">
        <v>14</v>
      </c>
      <c r="E56">
        <v>1855.5643647638899</v>
      </c>
    </row>
    <row r="57" spans="1:5" x14ac:dyDescent="0.25">
      <c r="A57" t="s">
        <v>5</v>
      </c>
      <c r="B57" t="s">
        <v>6</v>
      </c>
      <c r="C57">
        <v>2030</v>
      </c>
      <c r="D57" t="s">
        <v>13</v>
      </c>
      <c r="E57">
        <v>30338.572462274031</v>
      </c>
    </row>
    <row r="58" spans="1:5" x14ac:dyDescent="0.25">
      <c r="A58" t="s">
        <v>5</v>
      </c>
      <c r="B58" t="s">
        <v>6</v>
      </c>
      <c r="C58">
        <v>2030</v>
      </c>
      <c r="D58" t="s">
        <v>12</v>
      </c>
      <c r="E58">
        <v>2154.8829337155262</v>
      </c>
    </row>
    <row r="59" spans="1:5" x14ac:dyDescent="0.25">
      <c r="A59" t="s">
        <v>5</v>
      </c>
      <c r="B59" t="s">
        <v>6</v>
      </c>
      <c r="C59">
        <v>2030</v>
      </c>
      <c r="D59" t="s">
        <v>9</v>
      </c>
      <c r="E59">
        <v>78598.837813683815</v>
      </c>
    </row>
    <row r="60" spans="1:5" x14ac:dyDescent="0.25">
      <c r="A60" t="s">
        <v>5</v>
      </c>
      <c r="B60" t="s">
        <v>6</v>
      </c>
      <c r="C60">
        <v>2031</v>
      </c>
      <c r="D60" t="s">
        <v>7</v>
      </c>
      <c r="E60">
        <v>74634.661248827935</v>
      </c>
    </row>
    <row r="61" spans="1:5" x14ac:dyDescent="0.25">
      <c r="A61" t="s">
        <v>5</v>
      </c>
      <c r="B61" t="s">
        <v>6</v>
      </c>
      <c r="C61">
        <v>2031</v>
      </c>
      <c r="D61" t="s">
        <v>8</v>
      </c>
      <c r="E61">
        <v>1075624.1200135939</v>
      </c>
    </row>
    <row r="62" spans="1:5" x14ac:dyDescent="0.25">
      <c r="A62" t="s">
        <v>5</v>
      </c>
      <c r="B62" t="s">
        <v>6</v>
      </c>
      <c r="C62">
        <v>2031</v>
      </c>
      <c r="D62" t="s">
        <v>14</v>
      </c>
      <c r="E62">
        <v>2159.8800640851032</v>
      </c>
    </row>
    <row r="63" spans="1:5" x14ac:dyDescent="0.25">
      <c r="A63" t="s">
        <v>5</v>
      </c>
      <c r="B63" t="s">
        <v>6</v>
      </c>
      <c r="C63">
        <v>2031</v>
      </c>
      <c r="D63" t="s">
        <v>13</v>
      </c>
      <c r="E63">
        <v>36619.276210392578</v>
      </c>
    </row>
    <row r="64" spans="1:5" x14ac:dyDescent="0.25">
      <c r="A64" t="s">
        <v>5</v>
      </c>
      <c r="B64" t="s">
        <v>6</v>
      </c>
      <c r="C64">
        <v>2031</v>
      </c>
      <c r="D64" t="s">
        <v>12</v>
      </c>
      <c r="E64">
        <v>2673.374204195637</v>
      </c>
    </row>
    <row r="65" spans="1:5" x14ac:dyDescent="0.25">
      <c r="A65" t="s">
        <v>5</v>
      </c>
      <c r="B65" t="s">
        <v>6</v>
      </c>
      <c r="C65">
        <v>2031</v>
      </c>
      <c r="D65" t="s">
        <v>9</v>
      </c>
      <c r="E65">
        <v>93641.810348820844</v>
      </c>
    </row>
    <row r="66" spans="1:5" x14ac:dyDescent="0.25">
      <c r="A66" t="s">
        <v>5</v>
      </c>
      <c r="B66" t="s">
        <v>6</v>
      </c>
      <c r="C66">
        <v>2032</v>
      </c>
      <c r="D66" t="s">
        <v>7</v>
      </c>
      <c r="E66">
        <v>92402.4738250386</v>
      </c>
    </row>
    <row r="67" spans="1:5" x14ac:dyDescent="0.25">
      <c r="A67" t="s">
        <v>5</v>
      </c>
      <c r="B67" t="s">
        <v>6</v>
      </c>
      <c r="C67">
        <v>2032</v>
      </c>
      <c r="D67" t="s">
        <v>8</v>
      </c>
      <c r="E67">
        <v>1157294.299877228</v>
      </c>
    </row>
    <row r="68" spans="1:5" x14ac:dyDescent="0.25">
      <c r="A68" t="s">
        <v>5</v>
      </c>
      <c r="B68" t="s">
        <v>6</v>
      </c>
      <c r="C68">
        <v>2032</v>
      </c>
      <c r="D68" t="s">
        <v>14</v>
      </c>
      <c r="E68">
        <v>2450.943187437073</v>
      </c>
    </row>
    <row r="69" spans="1:5" x14ac:dyDescent="0.25">
      <c r="A69" t="s">
        <v>5</v>
      </c>
      <c r="B69" t="s">
        <v>6</v>
      </c>
      <c r="C69">
        <v>2032</v>
      </c>
      <c r="D69" t="s">
        <v>13</v>
      </c>
      <c r="E69">
        <v>43216.40196908595</v>
      </c>
    </row>
    <row r="70" spans="1:5" x14ac:dyDescent="0.25">
      <c r="A70" t="s">
        <v>5</v>
      </c>
      <c r="B70" t="s">
        <v>6</v>
      </c>
      <c r="C70">
        <v>2032</v>
      </c>
      <c r="D70" t="s">
        <v>12</v>
      </c>
      <c r="E70">
        <v>3229.5787882307568</v>
      </c>
    </row>
    <row r="71" spans="1:5" x14ac:dyDescent="0.25">
      <c r="A71" t="s">
        <v>5</v>
      </c>
      <c r="B71" t="s">
        <v>6</v>
      </c>
      <c r="C71">
        <v>2032</v>
      </c>
      <c r="D71" t="s">
        <v>9</v>
      </c>
      <c r="E71">
        <v>108954.6041363616</v>
      </c>
    </row>
    <row r="72" spans="1:5" x14ac:dyDescent="0.25">
      <c r="A72" t="s">
        <v>5</v>
      </c>
      <c r="B72" t="s">
        <v>6</v>
      </c>
      <c r="C72">
        <v>2033</v>
      </c>
      <c r="D72" t="s">
        <v>7</v>
      </c>
      <c r="E72">
        <v>111767.924194804</v>
      </c>
    </row>
    <row r="73" spans="1:5" x14ac:dyDescent="0.25">
      <c r="A73" t="s">
        <v>5</v>
      </c>
      <c r="B73" t="s">
        <v>6</v>
      </c>
      <c r="C73">
        <v>2033</v>
      </c>
      <c r="D73" t="s">
        <v>8</v>
      </c>
      <c r="E73">
        <v>1239302.9775620999</v>
      </c>
    </row>
    <row r="74" spans="1:5" x14ac:dyDescent="0.25">
      <c r="A74" t="s">
        <v>5</v>
      </c>
      <c r="B74" t="s">
        <v>6</v>
      </c>
      <c r="C74">
        <v>2033</v>
      </c>
      <c r="D74" t="s">
        <v>14</v>
      </c>
      <c r="E74">
        <v>2712.6977060483359</v>
      </c>
    </row>
    <row r="75" spans="1:5" x14ac:dyDescent="0.25">
      <c r="A75" t="s">
        <v>5</v>
      </c>
      <c r="B75" t="s">
        <v>6</v>
      </c>
      <c r="C75">
        <v>2033</v>
      </c>
      <c r="D75" t="s">
        <v>13</v>
      </c>
      <c r="E75">
        <v>49911.675533361398</v>
      </c>
    </row>
    <row r="76" spans="1:5" x14ac:dyDescent="0.25">
      <c r="A76" t="s">
        <v>5</v>
      </c>
      <c r="B76" t="s">
        <v>6</v>
      </c>
      <c r="C76">
        <v>2033</v>
      </c>
      <c r="D76" t="s">
        <v>12</v>
      </c>
      <c r="E76">
        <v>3811.6436184189829</v>
      </c>
    </row>
    <row r="77" spans="1:5" x14ac:dyDescent="0.25">
      <c r="A77" t="s">
        <v>5</v>
      </c>
      <c r="B77" t="s">
        <v>6</v>
      </c>
      <c r="C77">
        <v>2033</v>
      </c>
      <c r="D77" t="s">
        <v>9</v>
      </c>
      <c r="E77">
        <v>124090.4972141906</v>
      </c>
    </row>
    <row r="78" spans="1:5" x14ac:dyDescent="0.25">
      <c r="A78" t="s">
        <v>5</v>
      </c>
      <c r="B78" t="s">
        <v>6</v>
      </c>
      <c r="C78">
        <v>2034</v>
      </c>
      <c r="D78" t="s">
        <v>7</v>
      </c>
      <c r="E78">
        <v>132521.50263586891</v>
      </c>
    </row>
    <row r="79" spans="1:5" x14ac:dyDescent="0.25">
      <c r="A79" t="s">
        <v>5</v>
      </c>
      <c r="B79" t="s">
        <v>6</v>
      </c>
      <c r="C79">
        <v>2034</v>
      </c>
      <c r="D79" t="s">
        <v>8</v>
      </c>
      <c r="E79">
        <v>1323318.734939687</v>
      </c>
    </row>
    <row r="80" spans="1:5" x14ac:dyDescent="0.25">
      <c r="A80" t="s">
        <v>5</v>
      </c>
      <c r="B80" t="s">
        <v>6</v>
      </c>
      <c r="C80">
        <v>2034</v>
      </c>
      <c r="D80" t="s">
        <v>14</v>
      </c>
      <c r="E80">
        <v>2934.8364470711022</v>
      </c>
    </row>
    <row r="81" spans="1:5" x14ac:dyDescent="0.25">
      <c r="A81" t="s">
        <v>5</v>
      </c>
      <c r="B81" t="s">
        <v>6</v>
      </c>
      <c r="C81">
        <v>2034</v>
      </c>
      <c r="D81" t="s">
        <v>13</v>
      </c>
      <c r="E81">
        <v>56563.036479032307</v>
      </c>
    </row>
    <row r="82" spans="1:5" x14ac:dyDescent="0.25">
      <c r="A82" t="s">
        <v>5</v>
      </c>
      <c r="B82" t="s">
        <v>6</v>
      </c>
      <c r="C82">
        <v>2034</v>
      </c>
      <c r="D82" t="s">
        <v>12</v>
      </c>
      <c r="E82">
        <v>4411.7741331532143</v>
      </c>
    </row>
    <row r="83" spans="1:5" x14ac:dyDescent="0.25">
      <c r="A83" t="s">
        <v>5</v>
      </c>
      <c r="B83" t="s">
        <v>6</v>
      </c>
      <c r="C83">
        <v>2034</v>
      </c>
      <c r="D83" t="s">
        <v>9</v>
      </c>
      <c r="E83">
        <v>138718.89695700069</v>
      </c>
    </row>
    <row r="84" spans="1:5" x14ac:dyDescent="0.25">
      <c r="A84" t="s">
        <v>5</v>
      </c>
      <c r="B84" t="s">
        <v>6</v>
      </c>
      <c r="C84">
        <v>2035</v>
      </c>
      <c r="D84" t="s">
        <v>7</v>
      </c>
      <c r="E84">
        <v>152437.6873521794</v>
      </c>
    </row>
    <row r="85" spans="1:5" x14ac:dyDescent="0.25">
      <c r="A85" t="s">
        <v>5</v>
      </c>
      <c r="B85" t="s">
        <v>6</v>
      </c>
      <c r="C85">
        <v>2035</v>
      </c>
      <c r="D85" t="s">
        <v>8</v>
      </c>
      <c r="E85">
        <v>1380748.71092915</v>
      </c>
    </row>
    <row r="86" spans="1:5" x14ac:dyDescent="0.25">
      <c r="A86" t="s">
        <v>5</v>
      </c>
      <c r="B86" t="s">
        <v>6</v>
      </c>
      <c r="C86">
        <v>2035</v>
      </c>
      <c r="D86" t="s">
        <v>14</v>
      </c>
      <c r="E86">
        <v>3066.2923431360991</v>
      </c>
    </row>
    <row r="87" spans="1:5" x14ac:dyDescent="0.25">
      <c r="A87" t="s">
        <v>5</v>
      </c>
      <c r="B87" t="s">
        <v>6</v>
      </c>
      <c r="C87">
        <v>2035</v>
      </c>
      <c r="D87" t="s">
        <v>13</v>
      </c>
      <c r="E87">
        <v>62177.458189905767</v>
      </c>
    </row>
    <row r="88" spans="1:5" x14ac:dyDescent="0.25">
      <c r="A88" t="s">
        <v>5</v>
      </c>
      <c r="B88" t="s">
        <v>6</v>
      </c>
      <c r="C88">
        <v>2035</v>
      </c>
      <c r="D88" t="s">
        <v>12</v>
      </c>
      <c r="E88">
        <v>4963.692314413418</v>
      </c>
    </row>
    <row r="89" spans="1:5" x14ac:dyDescent="0.25">
      <c r="A89" t="s">
        <v>5</v>
      </c>
      <c r="B89" t="s">
        <v>6</v>
      </c>
      <c r="C89">
        <v>2035</v>
      </c>
      <c r="D89" t="s">
        <v>9</v>
      </c>
      <c r="E89">
        <v>152962.0504872179</v>
      </c>
    </row>
    <row r="90" spans="1:5" x14ac:dyDescent="0.25">
      <c r="A90" t="s">
        <v>5</v>
      </c>
      <c r="B90" t="s">
        <v>6</v>
      </c>
      <c r="C90">
        <v>2036</v>
      </c>
      <c r="D90" t="s">
        <v>7</v>
      </c>
      <c r="E90">
        <v>173899.7327411345</v>
      </c>
    </row>
    <row r="91" spans="1:5" x14ac:dyDescent="0.25">
      <c r="A91" t="s">
        <v>5</v>
      </c>
      <c r="B91" t="s">
        <v>6</v>
      </c>
      <c r="C91">
        <v>2036</v>
      </c>
      <c r="D91" t="s">
        <v>8</v>
      </c>
      <c r="E91">
        <v>1427841.619496794</v>
      </c>
    </row>
    <row r="92" spans="1:5" x14ac:dyDescent="0.25">
      <c r="A92" t="s">
        <v>5</v>
      </c>
      <c r="B92" t="s">
        <v>6</v>
      </c>
      <c r="C92">
        <v>2036</v>
      </c>
      <c r="D92" t="s">
        <v>14</v>
      </c>
      <c r="E92">
        <v>3178.982459798764</v>
      </c>
    </row>
    <row r="93" spans="1:5" x14ac:dyDescent="0.25">
      <c r="A93" t="s">
        <v>5</v>
      </c>
      <c r="B93" t="s">
        <v>6</v>
      </c>
      <c r="C93">
        <v>2036</v>
      </c>
      <c r="D93" t="s">
        <v>13</v>
      </c>
      <c r="E93">
        <v>68174.621934206763</v>
      </c>
    </row>
    <row r="94" spans="1:5" x14ac:dyDescent="0.25">
      <c r="A94" t="s">
        <v>5</v>
      </c>
      <c r="B94" t="s">
        <v>6</v>
      </c>
      <c r="C94">
        <v>2036</v>
      </c>
      <c r="D94" t="s">
        <v>12</v>
      </c>
      <c r="E94">
        <v>5473.9657750696551</v>
      </c>
    </row>
    <row r="95" spans="1:5" x14ac:dyDescent="0.25">
      <c r="A95" t="s">
        <v>5</v>
      </c>
      <c r="B95" t="s">
        <v>6</v>
      </c>
      <c r="C95">
        <v>2036</v>
      </c>
      <c r="D95" t="s">
        <v>9</v>
      </c>
      <c r="E95">
        <v>165843.46419653171</v>
      </c>
    </row>
    <row r="96" spans="1:5" x14ac:dyDescent="0.25">
      <c r="A96" t="s">
        <v>5</v>
      </c>
      <c r="B96" t="s">
        <v>6</v>
      </c>
      <c r="C96">
        <v>2037</v>
      </c>
      <c r="D96" t="s">
        <v>7</v>
      </c>
      <c r="E96">
        <v>195842.1780346538</v>
      </c>
    </row>
    <row r="97" spans="1:5" x14ac:dyDescent="0.25">
      <c r="A97" t="s">
        <v>5</v>
      </c>
      <c r="B97" t="s">
        <v>6</v>
      </c>
      <c r="C97">
        <v>2037</v>
      </c>
      <c r="D97" t="s">
        <v>8</v>
      </c>
      <c r="E97">
        <v>1478036.3950053221</v>
      </c>
    </row>
    <row r="98" spans="1:5" x14ac:dyDescent="0.25">
      <c r="A98" t="s">
        <v>5</v>
      </c>
      <c r="B98" t="s">
        <v>6</v>
      </c>
      <c r="C98">
        <v>2037</v>
      </c>
      <c r="D98" t="s">
        <v>14</v>
      </c>
      <c r="E98">
        <v>3230.4798003226651</v>
      </c>
    </row>
    <row r="99" spans="1:5" x14ac:dyDescent="0.25">
      <c r="A99" t="s">
        <v>5</v>
      </c>
      <c r="B99" t="s">
        <v>6</v>
      </c>
      <c r="C99">
        <v>2037</v>
      </c>
      <c r="D99" t="s">
        <v>13</v>
      </c>
      <c r="E99">
        <v>73716.882405397235</v>
      </c>
    </row>
    <row r="100" spans="1:5" x14ac:dyDescent="0.25">
      <c r="A100" t="s">
        <v>5</v>
      </c>
      <c r="B100" t="s">
        <v>6</v>
      </c>
      <c r="C100">
        <v>2037</v>
      </c>
      <c r="D100" t="s">
        <v>12</v>
      </c>
      <c r="E100">
        <v>5975.1221443033437</v>
      </c>
    </row>
    <row r="101" spans="1:5" x14ac:dyDescent="0.25">
      <c r="A101" t="s">
        <v>5</v>
      </c>
      <c r="B101" t="s">
        <v>6</v>
      </c>
      <c r="C101">
        <v>2037</v>
      </c>
      <c r="D101" t="s">
        <v>9</v>
      </c>
      <c r="E101">
        <v>177436.22424093171</v>
      </c>
    </row>
    <row r="102" spans="1:5" x14ac:dyDescent="0.25">
      <c r="A102" t="s">
        <v>5</v>
      </c>
      <c r="B102" t="s">
        <v>6</v>
      </c>
      <c r="C102">
        <v>2038</v>
      </c>
      <c r="D102" t="s">
        <v>7</v>
      </c>
      <c r="E102">
        <v>217957.7461959504</v>
      </c>
    </row>
    <row r="103" spans="1:5" x14ac:dyDescent="0.25">
      <c r="A103" t="s">
        <v>5</v>
      </c>
      <c r="B103" t="s">
        <v>6</v>
      </c>
      <c r="C103">
        <v>2038</v>
      </c>
      <c r="D103" t="s">
        <v>8</v>
      </c>
      <c r="E103">
        <v>1525342.03872534</v>
      </c>
    </row>
    <row r="104" spans="1:5" x14ac:dyDescent="0.25">
      <c r="A104" t="s">
        <v>5</v>
      </c>
      <c r="B104" t="s">
        <v>6</v>
      </c>
      <c r="C104">
        <v>2038</v>
      </c>
      <c r="D104" t="s">
        <v>14</v>
      </c>
      <c r="E104">
        <v>3217.8690369252022</v>
      </c>
    </row>
    <row r="105" spans="1:5" x14ac:dyDescent="0.25">
      <c r="A105" t="s">
        <v>5</v>
      </c>
      <c r="B105" t="s">
        <v>6</v>
      </c>
      <c r="C105">
        <v>2038</v>
      </c>
      <c r="D105" t="s">
        <v>13</v>
      </c>
      <c r="E105">
        <v>78705.260511419096</v>
      </c>
    </row>
    <row r="106" spans="1:5" x14ac:dyDescent="0.25">
      <c r="A106" t="s">
        <v>5</v>
      </c>
      <c r="B106" t="s">
        <v>6</v>
      </c>
      <c r="C106">
        <v>2038</v>
      </c>
      <c r="D106" t="s">
        <v>12</v>
      </c>
      <c r="E106">
        <v>6459.3329184039349</v>
      </c>
    </row>
    <row r="107" spans="1:5" x14ac:dyDescent="0.25">
      <c r="A107" t="s">
        <v>5</v>
      </c>
      <c r="B107" t="s">
        <v>6</v>
      </c>
      <c r="C107">
        <v>2038</v>
      </c>
      <c r="D107" t="s">
        <v>9</v>
      </c>
      <c r="E107">
        <v>187518.08361798589</v>
      </c>
    </row>
    <row r="108" spans="1:5" x14ac:dyDescent="0.25">
      <c r="A108" t="s">
        <v>5</v>
      </c>
      <c r="B108" t="s">
        <v>6</v>
      </c>
      <c r="C108">
        <v>2039</v>
      </c>
      <c r="D108" t="s">
        <v>7</v>
      </c>
      <c r="E108">
        <v>240082.77165293321</v>
      </c>
    </row>
    <row r="109" spans="1:5" x14ac:dyDescent="0.25">
      <c r="A109" t="s">
        <v>5</v>
      </c>
      <c r="B109" t="s">
        <v>6</v>
      </c>
      <c r="C109">
        <v>2039</v>
      </c>
      <c r="D109" t="s">
        <v>8</v>
      </c>
      <c r="E109">
        <v>1574369.961054781</v>
      </c>
    </row>
    <row r="110" spans="1:5" x14ac:dyDescent="0.25">
      <c r="A110" t="s">
        <v>5</v>
      </c>
      <c r="B110" t="s">
        <v>6</v>
      </c>
      <c r="C110">
        <v>2039</v>
      </c>
      <c r="D110" t="s">
        <v>14</v>
      </c>
      <c r="E110">
        <v>3142.2560928391108</v>
      </c>
    </row>
    <row r="111" spans="1:5" x14ac:dyDescent="0.25">
      <c r="A111" t="s">
        <v>5</v>
      </c>
      <c r="B111" t="s">
        <v>6</v>
      </c>
      <c r="C111">
        <v>2039</v>
      </c>
      <c r="D111" t="s">
        <v>13</v>
      </c>
      <c r="E111">
        <v>83112.060773278674</v>
      </c>
    </row>
    <row r="112" spans="1:5" x14ac:dyDescent="0.25">
      <c r="A112" t="s">
        <v>5</v>
      </c>
      <c r="B112" t="s">
        <v>6</v>
      </c>
      <c r="C112">
        <v>2039</v>
      </c>
      <c r="D112" t="s">
        <v>12</v>
      </c>
      <c r="E112">
        <v>6923.3275332631974</v>
      </c>
    </row>
    <row r="113" spans="1:5" x14ac:dyDescent="0.25">
      <c r="A113" t="s">
        <v>5</v>
      </c>
      <c r="B113" t="s">
        <v>6</v>
      </c>
      <c r="C113">
        <v>2039</v>
      </c>
      <c r="D113" t="s">
        <v>9</v>
      </c>
      <c r="E113">
        <v>196109.6797893378</v>
      </c>
    </row>
    <row r="114" spans="1:5" x14ac:dyDescent="0.25">
      <c r="A114" t="s">
        <v>5</v>
      </c>
      <c r="B114" t="s">
        <v>6</v>
      </c>
      <c r="C114">
        <v>2040</v>
      </c>
      <c r="D114" t="s">
        <v>7</v>
      </c>
      <c r="E114">
        <v>262254.85822449211</v>
      </c>
    </row>
    <row r="115" spans="1:5" x14ac:dyDescent="0.25">
      <c r="A115" t="s">
        <v>5</v>
      </c>
      <c r="B115" t="s">
        <v>6</v>
      </c>
      <c r="C115">
        <v>2040</v>
      </c>
      <c r="D115" t="s">
        <v>8</v>
      </c>
      <c r="E115">
        <v>1618702.5825368459</v>
      </c>
    </row>
    <row r="116" spans="1:5" x14ac:dyDescent="0.25">
      <c r="A116" t="s">
        <v>5</v>
      </c>
      <c r="B116" t="s">
        <v>6</v>
      </c>
      <c r="C116">
        <v>2040</v>
      </c>
      <c r="D116" t="s">
        <v>14</v>
      </c>
      <c r="E116">
        <v>3008.0333095996998</v>
      </c>
    </row>
    <row r="117" spans="1:5" x14ac:dyDescent="0.25">
      <c r="A117" t="s">
        <v>5</v>
      </c>
      <c r="B117" t="s">
        <v>6</v>
      </c>
      <c r="C117">
        <v>2040</v>
      </c>
      <c r="D117" t="s">
        <v>13</v>
      </c>
      <c r="E117">
        <v>86988.213251106645</v>
      </c>
    </row>
    <row r="118" spans="1:5" x14ac:dyDescent="0.25">
      <c r="A118" t="s">
        <v>5</v>
      </c>
      <c r="B118" t="s">
        <v>6</v>
      </c>
      <c r="C118">
        <v>2040</v>
      </c>
      <c r="D118" t="s">
        <v>12</v>
      </c>
      <c r="E118">
        <v>7369.5086049161637</v>
      </c>
    </row>
    <row r="119" spans="1:5" x14ac:dyDescent="0.25">
      <c r="A119" t="s">
        <v>5</v>
      </c>
      <c r="B119" t="s">
        <v>6</v>
      </c>
      <c r="C119">
        <v>2040</v>
      </c>
      <c r="D119" t="s">
        <v>9</v>
      </c>
      <c r="E119">
        <v>203217.24889181441</v>
      </c>
    </row>
    <row r="120" spans="1:5" x14ac:dyDescent="0.25">
      <c r="A120" t="s">
        <v>5</v>
      </c>
      <c r="B120" t="s">
        <v>6</v>
      </c>
      <c r="C120">
        <v>2041</v>
      </c>
      <c r="D120" t="s">
        <v>7</v>
      </c>
      <c r="E120">
        <v>274910.61224940617</v>
      </c>
    </row>
    <row r="121" spans="1:5" x14ac:dyDescent="0.25">
      <c r="A121" t="s">
        <v>5</v>
      </c>
      <c r="B121" t="s">
        <v>6</v>
      </c>
      <c r="C121">
        <v>2041</v>
      </c>
      <c r="D121" t="s">
        <v>8</v>
      </c>
      <c r="E121">
        <v>1675492.697906056</v>
      </c>
    </row>
    <row r="122" spans="1:5" x14ac:dyDescent="0.25">
      <c r="A122" t="s">
        <v>5</v>
      </c>
      <c r="B122" t="s">
        <v>6</v>
      </c>
      <c r="C122">
        <v>2041</v>
      </c>
      <c r="D122" t="s">
        <v>14</v>
      </c>
      <c r="E122">
        <v>3040.892047382843</v>
      </c>
    </row>
    <row r="123" spans="1:5" x14ac:dyDescent="0.25">
      <c r="A123" t="s">
        <v>5</v>
      </c>
      <c r="B123" t="s">
        <v>6</v>
      </c>
      <c r="C123">
        <v>2041</v>
      </c>
      <c r="D123" t="s">
        <v>13</v>
      </c>
      <c r="E123">
        <v>91812.567613215841</v>
      </c>
    </row>
    <row r="124" spans="1:5" x14ac:dyDescent="0.25">
      <c r="A124" t="s">
        <v>5</v>
      </c>
      <c r="B124" t="s">
        <v>6</v>
      </c>
      <c r="C124">
        <v>2041</v>
      </c>
      <c r="D124" t="s">
        <v>12</v>
      </c>
      <c r="E124">
        <v>7794.6601190636729</v>
      </c>
    </row>
    <row r="125" spans="1:5" x14ac:dyDescent="0.25">
      <c r="A125" t="s">
        <v>5</v>
      </c>
      <c r="B125" t="s">
        <v>6</v>
      </c>
      <c r="C125">
        <v>2041</v>
      </c>
      <c r="D125" t="s">
        <v>9</v>
      </c>
      <c r="E125">
        <v>214709.64949713179</v>
      </c>
    </row>
    <row r="126" spans="1:5" x14ac:dyDescent="0.25">
      <c r="A126" t="s">
        <v>5</v>
      </c>
      <c r="B126" t="s">
        <v>6</v>
      </c>
      <c r="C126">
        <v>2042</v>
      </c>
      <c r="D126" t="s">
        <v>7</v>
      </c>
      <c r="E126">
        <v>285778.07587872242</v>
      </c>
    </row>
    <row r="127" spans="1:5" x14ac:dyDescent="0.25">
      <c r="A127" t="s">
        <v>5</v>
      </c>
      <c r="B127" t="s">
        <v>6</v>
      </c>
      <c r="C127">
        <v>2042</v>
      </c>
      <c r="D127" t="s">
        <v>8</v>
      </c>
      <c r="E127">
        <v>1730062.751608996</v>
      </c>
    </row>
    <row r="128" spans="1:5" x14ac:dyDescent="0.25">
      <c r="A128" t="s">
        <v>5</v>
      </c>
      <c r="B128" t="s">
        <v>6</v>
      </c>
      <c r="C128">
        <v>2042</v>
      </c>
      <c r="D128" t="s">
        <v>14</v>
      </c>
      <c r="E128">
        <v>3040.3218920010499</v>
      </c>
    </row>
    <row r="129" spans="1:5" x14ac:dyDescent="0.25">
      <c r="A129" t="s">
        <v>5</v>
      </c>
      <c r="B129" t="s">
        <v>6</v>
      </c>
      <c r="C129">
        <v>2042</v>
      </c>
      <c r="D129" t="s">
        <v>13</v>
      </c>
      <c r="E129">
        <v>96099.128869976383</v>
      </c>
    </row>
    <row r="130" spans="1:5" x14ac:dyDescent="0.25">
      <c r="A130" t="s">
        <v>5</v>
      </c>
      <c r="B130" t="s">
        <v>6</v>
      </c>
      <c r="C130">
        <v>2042</v>
      </c>
      <c r="D130" t="s">
        <v>12</v>
      </c>
      <c r="E130">
        <v>8185.1894755034627</v>
      </c>
    </row>
    <row r="131" spans="1:5" x14ac:dyDescent="0.25">
      <c r="A131" t="s">
        <v>5</v>
      </c>
      <c r="B131" t="s">
        <v>6</v>
      </c>
      <c r="C131">
        <v>2042</v>
      </c>
      <c r="D131" t="s">
        <v>9</v>
      </c>
      <c r="E131">
        <v>225169.33503057039</v>
      </c>
    </row>
    <row r="132" spans="1:5" x14ac:dyDescent="0.25">
      <c r="A132" t="s">
        <v>5</v>
      </c>
      <c r="B132" t="s">
        <v>6</v>
      </c>
      <c r="C132">
        <v>2043</v>
      </c>
      <c r="D132" t="s">
        <v>7</v>
      </c>
      <c r="E132">
        <v>295362.58430913609</v>
      </c>
    </row>
    <row r="133" spans="1:5" x14ac:dyDescent="0.25">
      <c r="A133" t="s">
        <v>5</v>
      </c>
      <c r="B133" t="s">
        <v>6</v>
      </c>
      <c r="C133">
        <v>2043</v>
      </c>
      <c r="D133" t="s">
        <v>8</v>
      </c>
      <c r="E133">
        <v>1785328.8937092021</v>
      </c>
    </row>
    <row r="134" spans="1:5" x14ac:dyDescent="0.25">
      <c r="A134" t="s">
        <v>5</v>
      </c>
      <c r="B134" t="s">
        <v>6</v>
      </c>
      <c r="C134">
        <v>2043</v>
      </c>
      <c r="D134" t="s">
        <v>14</v>
      </c>
      <c r="E134">
        <v>3013.379217585235</v>
      </c>
    </row>
    <row r="135" spans="1:5" x14ac:dyDescent="0.25">
      <c r="A135" t="s">
        <v>5</v>
      </c>
      <c r="B135" t="s">
        <v>6</v>
      </c>
      <c r="C135">
        <v>2043</v>
      </c>
      <c r="D135" t="s">
        <v>13</v>
      </c>
      <c r="E135">
        <v>100014.9954227424</v>
      </c>
    </row>
    <row r="136" spans="1:5" x14ac:dyDescent="0.25">
      <c r="A136" t="s">
        <v>5</v>
      </c>
      <c r="B136" t="s">
        <v>6</v>
      </c>
      <c r="C136">
        <v>2043</v>
      </c>
      <c r="D136" t="s">
        <v>12</v>
      </c>
      <c r="E136">
        <v>8553.283101581761</v>
      </c>
    </row>
    <row r="137" spans="1:5" x14ac:dyDescent="0.25">
      <c r="A137" t="s">
        <v>5</v>
      </c>
      <c r="B137" t="s">
        <v>6</v>
      </c>
      <c r="C137">
        <v>2043</v>
      </c>
      <c r="D137" t="s">
        <v>9</v>
      </c>
      <c r="E137">
        <v>234870.69027514599</v>
      </c>
    </row>
    <row r="138" spans="1:5" x14ac:dyDescent="0.25">
      <c r="A138" t="s">
        <v>5</v>
      </c>
      <c r="B138" t="s">
        <v>6</v>
      </c>
      <c r="C138">
        <v>2044</v>
      </c>
      <c r="D138" t="s">
        <v>7</v>
      </c>
      <c r="E138">
        <v>303629.45105999452</v>
      </c>
    </row>
    <row r="139" spans="1:5" x14ac:dyDescent="0.25">
      <c r="A139" t="s">
        <v>5</v>
      </c>
      <c r="B139" t="s">
        <v>6</v>
      </c>
      <c r="C139">
        <v>2044</v>
      </c>
      <c r="D139" t="s">
        <v>8</v>
      </c>
      <c r="E139">
        <v>1840721.29940822</v>
      </c>
    </row>
    <row r="140" spans="1:5" x14ac:dyDescent="0.25">
      <c r="A140" t="s">
        <v>5</v>
      </c>
      <c r="B140" t="s">
        <v>6</v>
      </c>
      <c r="C140">
        <v>2044</v>
      </c>
      <c r="D140" t="s">
        <v>14</v>
      </c>
      <c r="E140">
        <v>2960.819207754133</v>
      </c>
    </row>
    <row r="141" spans="1:5" x14ac:dyDescent="0.25">
      <c r="A141" t="s">
        <v>5</v>
      </c>
      <c r="B141" t="s">
        <v>6</v>
      </c>
      <c r="C141">
        <v>2044</v>
      </c>
      <c r="D141" t="s">
        <v>13</v>
      </c>
      <c r="E141">
        <v>103540.3733055356</v>
      </c>
    </row>
    <row r="142" spans="1:5" x14ac:dyDescent="0.25">
      <c r="A142" t="s">
        <v>5</v>
      </c>
      <c r="B142" t="s">
        <v>6</v>
      </c>
      <c r="C142">
        <v>2044</v>
      </c>
      <c r="D142" t="s">
        <v>12</v>
      </c>
      <c r="E142">
        <v>8896.8147669628124</v>
      </c>
    </row>
    <row r="143" spans="1:5" x14ac:dyDescent="0.25">
      <c r="A143" t="s">
        <v>5</v>
      </c>
      <c r="B143" t="s">
        <v>6</v>
      </c>
      <c r="C143">
        <v>2044</v>
      </c>
      <c r="D143" t="s">
        <v>9</v>
      </c>
      <c r="E143">
        <v>243772.04784912561</v>
      </c>
    </row>
    <row r="144" spans="1:5" x14ac:dyDescent="0.25">
      <c r="A144" t="s">
        <v>5</v>
      </c>
      <c r="B144" t="s">
        <v>6</v>
      </c>
      <c r="C144">
        <v>2045</v>
      </c>
      <c r="D144" t="s">
        <v>7</v>
      </c>
      <c r="E144">
        <v>310882.39885569632</v>
      </c>
    </row>
    <row r="145" spans="1:5" x14ac:dyDescent="0.25">
      <c r="A145" t="s">
        <v>5</v>
      </c>
      <c r="B145" t="s">
        <v>6</v>
      </c>
      <c r="C145">
        <v>2045</v>
      </c>
      <c r="D145" t="s">
        <v>8</v>
      </c>
      <c r="E145">
        <v>1893667.422648693</v>
      </c>
    </row>
    <row r="146" spans="1:5" x14ac:dyDescent="0.25">
      <c r="A146" t="s">
        <v>5</v>
      </c>
      <c r="B146" t="s">
        <v>6</v>
      </c>
      <c r="C146">
        <v>2045</v>
      </c>
      <c r="D146" t="s">
        <v>14</v>
      </c>
      <c r="E146">
        <v>2886.787424557102</v>
      </c>
    </row>
    <row r="147" spans="1:5" x14ac:dyDescent="0.25">
      <c r="A147" t="s">
        <v>5</v>
      </c>
      <c r="B147" t="s">
        <v>6</v>
      </c>
      <c r="C147">
        <v>2045</v>
      </c>
      <c r="D147" t="s">
        <v>13</v>
      </c>
      <c r="E147">
        <v>106774.642299343</v>
      </c>
    </row>
    <row r="148" spans="1:5" x14ac:dyDescent="0.25">
      <c r="A148" t="s">
        <v>5</v>
      </c>
      <c r="B148" t="s">
        <v>6</v>
      </c>
      <c r="C148">
        <v>2045</v>
      </c>
      <c r="D148" t="s">
        <v>12</v>
      </c>
      <c r="E148">
        <v>9223.0541428686993</v>
      </c>
    </row>
    <row r="149" spans="1:5" x14ac:dyDescent="0.25">
      <c r="A149" t="s">
        <v>5</v>
      </c>
      <c r="B149" t="s">
        <v>6</v>
      </c>
      <c r="C149">
        <v>2045</v>
      </c>
      <c r="D149" t="s">
        <v>9</v>
      </c>
      <c r="E149">
        <v>252073.64333906179</v>
      </c>
    </row>
    <row r="150" spans="1:5" x14ac:dyDescent="0.25">
      <c r="A150" t="s">
        <v>5</v>
      </c>
      <c r="B150" t="s">
        <v>6</v>
      </c>
      <c r="C150">
        <v>2046</v>
      </c>
      <c r="D150" t="s">
        <v>7</v>
      </c>
      <c r="E150">
        <v>317127.25947095652</v>
      </c>
    </row>
    <row r="151" spans="1:5" x14ac:dyDescent="0.25">
      <c r="A151" t="s">
        <v>5</v>
      </c>
      <c r="B151" t="s">
        <v>6</v>
      </c>
      <c r="C151">
        <v>2046</v>
      </c>
      <c r="D151" t="s">
        <v>8</v>
      </c>
      <c r="E151">
        <v>1930094.8290658661</v>
      </c>
    </row>
    <row r="152" spans="1:5" x14ac:dyDescent="0.25">
      <c r="A152" t="s">
        <v>5</v>
      </c>
      <c r="B152" t="s">
        <v>6</v>
      </c>
      <c r="C152">
        <v>2046</v>
      </c>
      <c r="D152" t="s">
        <v>14</v>
      </c>
      <c r="E152">
        <v>2793.0952911338459</v>
      </c>
    </row>
    <row r="153" spans="1:5" x14ac:dyDescent="0.25">
      <c r="A153" t="s">
        <v>5</v>
      </c>
      <c r="B153" t="s">
        <v>6</v>
      </c>
      <c r="C153">
        <v>2046</v>
      </c>
      <c r="D153" t="s">
        <v>13</v>
      </c>
      <c r="E153">
        <v>109748.2801140962</v>
      </c>
    </row>
    <row r="154" spans="1:5" x14ac:dyDescent="0.25">
      <c r="A154" t="s">
        <v>5</v>
      </c>
      <c r="B154" t="s">
        <v>6</v>
      </c>
      <c r="C154">
        <v>2046</v>
      </c>
      <c r="D154" t="s">
        <v>12</v>
      </c>
      <c r="E154">
        <v>9533.9989645293372</v>
      </c>
    </row>
    <row r="155" spans="1:5" x14ac:dyDescent="0.25">
      <c r="A155" t="s">
        <v>5</v>
      </c>
      <c r="B155" t="s">
        <v>6</v>
      </c>
      <c r="C155">
        <v>2046</v>
      </c>
      <c r="D155" t="s">
        <v>9</v>
      </c>
      <c r="E155">
        <v>257848.60319379799</v>
      </c>
    </row>
    <row r="156" spans="1:5" x14ac:dyDescent="0.25">
      <c r="A156" t="s">
        <v>5</v>
      </c>
      <c r="B156" t="s">
        <v>6</v>
      </c>
      <c r="C156">
        <v>2047</v>
      </c>
      <c r="D156" t="s">
        <v>7</v>
      </c>
      <c r="E156">
        <v>322245.92607747408</v>
      </c>
    </row>
    <row r="157" spans="1:5" x14ac:dyDescent="0.25">
      <c r="A157" t="s">
        <v>5</v>
      </c>
      <c r="B157" t="s">
        <v>6</v>
      </c>
      <c r="C157">
        <v>2047</v>
      </c>
      <c r="D157" t="s">
        <v>8</v>
      </c>
      <c r="E157">
        <v>1968481.539693929</v>
      </c>
    </row>
    <row r="158" spans="1:5" x14ac:dyDescent="0.25">
      <c r="A158" t="s">
        <v>5</v>
      </c>
      <c r="B158" t="s">
        <v>6</v>
      </c>
      <c r="C158">
        <v>2047</v>
      </c>
      <c r="D158" t="s">
        <v>14</v>
      </c>
      <c r="E158">
        <v>2678.4870740824781</v>
      </c>
    </row>
    <row r="159" spans="1:5" x14ac:dyDescent="0.25">
      <c r="A159" t="s">
        <v>5</v>
      </c>
      <c r="B159" t="s">
        <v>6</v>
      </c>
      <c r="C159">
        <v>2047</v>
      </c>
      <c r="D159" t="s">
        <v>13</v>
      </c>
      <c r="E159">
        <v>112369.84009182249</v>
      </c>
    </row>
    <row r="160" spans="1:5" x14ac:dyDescent="0.25">
      <c r="A160" t="s">
        <v>5</v>
      </c>
      <c r="B160" t="s">
        <v>6</v>
      </c>
      <c r="C160">
        <v>2047</v>
      </c>
      <c r="D160" t="s">
        <v>12</v>
      </c>
      <c r="E160">
        <v>9821.8619436455028</v>
      </c>
    </row>
    <row r="161" spans="1:5" x14ac:dyDescent="0.25">
      <c r="A161" t="s">
        <v>5</v>
      </c>
      <c r="B161" t="s">
        <v>6</v>
      </c>
      <c r="C161">
        <v>2047</v>
      </c>
      <c r="D161" t="s">
        <v>9</v>
      </c>
      <c r="E161">
        <v>262981.59453416162</v>
      </c>
    </row>
    <row r="162" spans="1:5" x14ac:dyDescent="0.25">
      <c r="A162" t="s">
        <v>5</v>
      </c>
      <c r="B162" t="s">
        <v>6</v>
      </c>
      <c r="C162">
        <v>2048</v>
      </c>
      <c r="D162" t="s">
        <v>7</v>
      </c>
      <c r="E162">
        <v>326524.4866061802</v>
      </c>
    </row>
    <row r="163" spans="1:5" x14ac:dyDescent="0.25">
      <c r="A163" t="s">
        <v>5</v>
      </c>
      <c r="B163" t="s">
        <v>6</v>
      </c>
      <c r="C163">
        <v>2048</v>
      </c>
      <c r="D163" t="s">
        <v>8</v>
      </c>
      <c r="E163">
        <v>2004787.4362040949</v>
      </c>
    </row>
    <row r="164" spans="1:5" x14ac:dyDescent="0.25">
      <c r="A164" t="s">
        <v>5</v>
      </c>
      <c r="B164" t="s">
        <v>6</v>
      </c>
      <c r="C164">
        <v>2048</v>
      </c>
      <c r="D164" t="s">
        <v>14</v>
      </c>
      <c r="E164">
        <v>2546.7388840053382</v>
      </c>
    </row>
    <row r="165" spans="1:5" x14ac:dyDescent="0.25">
      <c r="A165" t="s">
        <v>5</v>
      </c>
      <c r="B165" t="s">
        <v>6</v>
      </c>
      <c r="C165">
        <v>2048</v>
      </c>
      <c r="D165" t="s">
        <v>13</v>
      </c>
      <c r="E165">
        <v>114746.0810716792</v>
      </c>
    </row>
    <row r="166" spans="1:5" x14ac:dyDescent="0.25">
      <c r="A166" t="s">
        <v>5</v>
      </c>
      <c r="B166" t="s">
        <v>6</v>
      </c>
      <c r="C166">
        <v>2048</v>
      </c>
      <c r="D166" t="s">
        <v>12</v>
      </c>
      <c r="E166">
        <v>10094.743120755091</v>
      </c>
    </row>
    <row r="167" spans="1:5" x14ac:dyDescent="0.25">
      <c r="A167" t="s">
        <v>5</v>
      </c>
      <c r="B167" t="s">
        <v>6</v>
      </c>
      <c r="C167">
        <v>2048</v>
      </c>
      <c r="D167" t="s">
        <v>9</v>
      </c>
      <c r="E167">
        <v>267581.6810588449</v>
      </c>
    </row>
    <row r="168" spans="1:5" x14ac:dyDescent="0.25">
      <c r="A168" t="s">
        <v>5</v>
      </c>
      <c r="B168" t="s">
        <v>6</v>
      </c>
      <c r="C168">
        <v>2049</v>
      </c>
      <c r="D168" t="s">
        <v>7</v>
      </c>
      <c r="E168">
        <v>329966.00870528689</v>
      </c>
    </row>
    <row r="169" spans="1:5" x14ac:dyDescent="0.25">
      <c r="A169" t="s">
        <v>5</v>
      </c>
      <c r="B169" t="s">
        <v>6</v>
      </c>
      <c r="C169">
        <v>2049</v>
      </c>
      <c r="D169" t="s">
        <v>8</v>
      </c>
      <c r="E169">
        <v>2039699.331557574</v>
      </c>
    </row>
    <row r="170" spans="1:5" x14ac:dyDescent="0.25">
      <c r="A170" t="s">
        <v>5</v>
      </c>
      <c r="B170" t="s">
        <v>6</v>
      </c>
      <c r="C170">
        <v>2049</v>
      </c>
      <c r="D170" t="s">
        <v>14</v>
      </c>
      <c r="E170">
        <v>2398.7091441171419</v>
      </c>
    </row>
    <row r="171" spans="1:5" x14ac:dyDescent="0.25">
      <c r="A171" t="s">
        <v>5</v>
      </c>
      <c r="B171" t="s">
        <v>6</v>
      </c>
      <c r="C171">
        <v>2049</v>
      </c>
      <c r="D171" t="s">
        <v>13</v>
      </c>
      <c r="E171">
        <v>116873.9519808302</v>
      </c>
    </row>
    <row r="172" spans="1:5" x14ac:dyDescent="0.25">
      <c r="A172" t="s">
        <v>5</v>
      </c>
      <c r="B172" t="s">
        <v>6</v>
      </c>
      <c r="C172">
        <v>2049</v>
      </c>
      <c r="D172" t="s">
        <v>12</v>
      </c>
      <c r="E172">
        <v>10351.996383675139</v>
      </c>
    </row>
    <row r="173" spans="1:5" x14ac:dyDescent="0.25">
      <c r="A173" t="s">
        <v>5</v>
      </c>
      <c r="B173" t="s">
        <v>6</v>
      </c>
      <c r="C173">
        <v>2049</v>
      </c>
      <c r="D173" t="s">
        <v>9</v>
      </c>
      <c r="E173">
        <v>271708.46172311419</v>
      </c>
    </row>
    <row r="174" spans="1:5" x14ac:dyDescent="0.25">
      <c r="A174" t="s">
        <v>5</v>
      </c>
      <c r="B174" t="s">
        <v>6</v>
      </c>
      <c r="C174">
        <v>2050</v>
      </c>
      <c r="D174" t="s">
        <v>7</v>
      </c>
      <c r="E174">
        <v>332581.79755647847</v>
      </c>
    </row>
    <row r="175" spans="1:5" x14ac:dyDescent="0.25">
      <c r="A175" t="s">
        <v>5</v>
      </c>
      <c r="B175" t="s">
        <v>6</v>
      </c>
      <c r="C175">
        <v>2050</v>
      </c>
      <c r="D175" t="s">
        <v>8</v>
      </c>
      <c r="E175">
        <v>2066176.0445699389</v>
      </c>
    </row>
    <row r="176" spans="1:5" x14ac:dyDescent="0.25">
      <c r="A176" t="s">
        <v>5</v>
      </c>
      <c r="B176" t="s">
        <v>6</v>
      </c>
      <c r="C176">
        <v>2050</v>
      </c>
      <c r="D176" t="s">
        <v>14</v>
      </c>
      <c r="E176">
        <v>2236.4518108545221</v>
      </c>
    </row>
    <row r="177" spans="1:5" x14ac:dyDescent="0.25">
      <c r="A177" t="s">
        <v>5</v>
      </c>
      <c r="B177" t="s">
        <v>6</v>
      </c>
      <c r="C177">
        <v>2050</v>
      </c>
      <c r="D177" t="s">
        <v>13</v>
      </c>
      <c r="E177">
        <v>118811.0756782083</v>
      </c>
    </row>
    <row r="178" spans="1:5" x14ac:dyDescent="0.25">
      <c r="A178" t="s">
        <v>5</v>
      </c>
      <c r="B178" t="s">
        <v>6</v>
      </c>
      <c r="C178">
        <v>2050</v>
      </c>
      <c r="D178" t="s">
        <v>12</v>
      </c>
      <c r="E178">
        <v>10597.98692934919</v>
      </c>
    </row>
    <row r="179" spans="1:5" x14ac:dyDescent="0.25">
      <c r="A179" t="s">
        <v>5</v>
      </c>
      <c r="B179" t="s">
        <v>6</v>
      </c>
      <c r="C179">
        <v>2050</v>
      </c>
      <c r="D179" t="s">
        <v>9</v>
      </c>
      <c r="E179">
        <v>275382.6160113216</v>
      </c>
    </row>
    <row r="180" spans="1:5" hidden="1" x14ac:dyDescent="0.25">
      <c r="A180" t="s">
        <v>10</v>
      </c>
      <c r="B180" t="s">
        <v>6</v>
      </c>
      <c r="C180">
        <v>2020</v>
      </c>
      <c r="D180" t="s">
        <v>7</v>
      </c>
      <c r="E180">
        <v>1558.92364599999</v>
      </c>
    </row>
    <row r="181" spans="1:5" hidden="1" x14ac:dyDescent="0.25">
      <c r="A181" t="s">
        <v>10</v>
      </c>
      <c r="B181" t="s">
        <v>6</v>
      </c>
      <c r="C181">
        <v>2020</v>
      </c>
      <c r="D181" t="s">
        <v>8</v>
      </c>
      <c r="E181">
        <v>741847.91328023549</v>
      </c>
    </row>
    <row r="182" spans="1:5" hidden="1" x14ac:dyDescent="0.25">
      <c r="A182" t="s">
        <v>10</v>
      </c>
      <c r="B182" t="s">
        <v>6</v>
      </c>
      <c r="C182">
        <v>2020</v>
      </c>
      <c r="D182" t="s">
        <v>9</v>
      </c>
      <c r="E182">
        <v>6804.7982930797689</v>
      </c>
    </row>
    <row r="183" spans="1:5" hidden="1" x14ac:dyDescent="0.25">
      <c r="A183" t="s">
        <v>10</v>
      </c>
      <c r="B183" t="s">
        <v>6</v>
      </c>
      <c r="C183">
        <v>2021</v>
      </c>
      <c r="D183" t="s">
        <v>7</v>
      </c>
      <c r="E183">
        <v>1559.10564599999</v>
      </c>
    </row>
    <row r="184" spans="1:5" hidden="1" x14ac:dyDescent="0.25">
      <c r="A184" t="s">
        <v>10</v>
      </c>
      <c r="B184" t="s">
        <v>6</v>
      </c>
      <c r="C184">
        <v>2021</v>
      </c>
      <c r="D184" t="s">
        <v>8</v>
      </c>
      <c r="E184">
        <v>744856.89303794899</v>
      </c>
    </row>
    <row r="185" spans="1:5" hidden="1" x14ac:dyDescent="0.25">
      <c r="A185" t="s">
        <v>10</v>
      </c>
      <c r="B185" t="s">
        <v>6</v>
      </c>
      <c r="C185">
        <v>2021</v>
      </c>
      <c r="D185" t="s">
        <v>9</v>
      </c>
      <c r="E185">
        <v>6899.1857973637916</v>
      </c>
    </row>
    <row r="186" spans="1:5" hidden="1" x14ac:dyDescent="0.25">
      <c r="A186" t="s">
        <v>10</v>
      </c>
      <c r="B186" t="s">
        <v>6</v>
      </c>
      <c r="C186">
        <v>2022</v>
      </c>
      <c r="D186" t="s">
        <v>7</v>
      </c>
      <c r="E186">
        <v>1560.0056459999901</v>
      </c>
    </row>
    <row r="187" spans="1:5" hidden="1" x14ac:dyDescent="0.25">
      <c r="A187" t="s">
        <v>10</v>
      </c>
      <c r="B187" t="s">
        <v>6</v>
      </c>
      <c r="C187">
        <v>2022</v>
      </c>
      <c r="D187" t="s">
        <v>8</v>
      </c>
      <c r="E187">
        <v>753646.34976977902</v>
      </c>
    </row>
    <row r="188" spans="1:5" hidden="1" x14ac:dyDescent="0.25">
      <c r="A188" t="s">
        <v>10</v>
      </c>
      <c r="B188" t="s">
        <v>6</v>
      </c>
      <c r="C188">
        <v>2022</v>
      </c>
      <c r="D188" t="s">
        <v>9</v>
      </c>
      <c r="E188">
        <v>7479.7605516478052</v>
      </c>
    </row>
    <row r="189" spans="1:5" hidden="1" x14ac:dyDescent="0.25">
      <c r="A189" t="s">
        <v>10</v>
      </c>
      <c r="B189" t="s">
        <v>6</v>
      </c>
      <c r="C189">
        <v>2023</v>
      </c>
      <c r="D189" t="s">
        <v>7</v>
      </c>
      <c r="E189">
        <v>1564.3796459999901</v>
      </c>
    </row>
    <row r="190" spans="1:5" hidden="1" x14ac:dyDescent="0.25">
      <c r="A190" t="s">
        <v>10</v>
      </c>
      <c r="B190" t="s">
        <v>6</v>
      </c>
      <c r="C190">
        <v>2023</v>
      </c>
      <c r="D190" t="s">
        <v>8</v>
      </c>
      <c r="E190">
        <v>757870.50240306254</v>
      </c>
    </row>
    <row r="191" spans="1:5" hidden="1" x14ac:dyDescent="0.25">
      <c r="A191" t="s">
        <v>10</v>
      </c>
      <c r="B191" t="s">
        <v>6</v>
      </c>
      <c r="C191">
        <v>2023</v>
      </c>
      <c r="D191" t="s">
        <v>9</v>
      </c>
      <c r="E191">
        <v>7558.559305931828</v>
      </c>
    </row>
    <row r="192" spans="1:5" hidden="1" x14ac:dyDescent="0.25">
      <c r="A192" t="s">
        <v>10</v>
      </c>
      <c r="B192" t="s">
        <v>6</v>
      </c>
      <c r="C192">
        <v>2024</v>
      </c>
      <c r="D192" t="s">
        <v>7</v>
      </c>
      <c r="E192">
        <v>6240.4311540720628</v>
      </c>
    </row>
    <row r="193" spans="1:5" hidden="1" x14ac:dyDescent="0.25">
      <c r="A193" t="s">
        <v>10</v>
      </c>
      <c r="B193" t="s">
        <v>6</v>
      </c>
      <c r="C193">
        <v>2024</v>
      </c>
      <c r="D193" t="s">
        <v>8</v>
      </c>
      <c r="E193">
        <v>776288.12470927753</v>
      </c>
    </row>
    <row r="194" spans="1:5" hidden="1" x14ac:dyDescent="0.25">
      <c r="A194" t="s">
        <v>10</v>
      </c>
      <c r="B194" t="s">
        <v>6</v>
      </c>
      <c r="C194">
        <v>2024</v>
      </c>
      <c r="D194" t="s">
        <v>14</v>
      </c>
      <c r="E194">
        <v>269.56540533104919</v>
      </c>
    </row>
    <row r="195" spans="1:5" hidden="1" x14ac:dyDescent="0.25">
      <c r="A195" t="s">
        <v>10</v>
      </c>
      <c r="B195" t="s">
        <v>6</v>
      </c>
      <c r="C195">
        <v>2024</v>
      </c>
      <c r="D195" t="s">
        <v>13</v>
      </c>
      <c r="E195">
        <v>4081.9920784693568</v>
      </c>
    </row>
    <row r="196" spans="1:5" hidden="1" x14ac:dyDescent="0.25">
      <c r="A196" t="s">
        <v>10</v>
      </c>
      <c r="B196" t="s">
        <v>6</v>
      </c>
      <c r="C196">
        <v>2024</v>
      </c>
      <c r="D196" t="s">
        <v>12</v>
      </c>
      <c r="E196">
        <v>204.86362628923879</v>
      </c>
    </row>
    <row r="197" spans="1:5" hidden="1" x14ac:dyDescent="0.25">
      <c r="A197" t="s">
        <v>10</v>
      </c>
      <c r="B197" t="s">
        <v>6</v>
      </c>
      <c r="C197">
        <v>2024</v>
      </c>
      <c r="D197" t="s">
        <v>9</v>
      </c>
      <c r="E197">
        <v>16702.614164298669</v>
      </c>
    </row>
    <row r="198" spans="1:5" hidden="1" x14ac:dyDescent="0.25">
      <c r="A198" t="s">
        <v>10</v>
      </c>
      <c r="B198" t="s">
        <v>6</v>
      </c>
      <c r="C198">
        <v>2025</v>
      </c>
      <c r="D198" t="s">
        <v>7</v>
      </c>
      <c r="E198">
        <v>8776.8728698047889</v>
      </c>
    </row>
    <row r="199" spans="1:5" hidden="1" x14ac:dyDescent="0.25">
      <c r="A199" t="s">
        <v>10</v>
      </c>
      <c r="B199" t="s">
        <v>6</v>
      </c>
      <c r="C199">
        <v>2025</v>
      </c>
      <c r="D199" t="s">
        <v>8</v>
      </c>
      <c r="E199">
        <v>825658.90499835368</v>
      </c>
    </row>
    <row r="200" spans="1:5" hidden="1" x14ac:dyDescent="0.25">
      <c r="A200" t="s">
        <v>10</v>
      </c>
      <c r="B200" t="s">
        <v>6</v>
      </c>
      <c r="C200">
        <v>2025</v>
      </c>
      <c r="D200" t="s">
        <v>14</v>
      </c>
      <c r="E200">
        <v>372.44306265009908</v>
      </c>
    </row>
    <row r="201" spans="1:5" hidden="1" x14ac:dyDescent="0.25">
      <c r="A201" t="s">
        <v>10</v>
      </c>
      <c r="B201" t="s">
        <v>6</v>
      </c>
      <c r="C201">
        <v>2025</v>
      </c>
      <c r="D201" t="s">
        <v>13</v>
      </c>
      <c r="E201">
        <v>5628.5612940196597</v>
      </c>
    </row>
    <row r="202" spans="1:5" hidden="1" x14ac:dyDescent="0.25">
      <c r="A202" t="s">
        <v>10</v>
      </c>
      <c r="B202" t="s">
        <v>6</v>
      </c>
      <c r="C202">
        <v>2025</v>
      </c>
      <c r="D202" t="s">
        <v>12</v>
      </c>
      <c r="E202">
        <v>293.15719353433781</v>
      </c>
    </row>
    <row r="203" spans="1:5" hidden="1" x14ac:dyDescent="0.25">
      <c r="A203" t="s">
        <v>10</v>
      </c>
      <c r="B203" t="s">
        <v>6</v>
      </c>
      <c r="C203">
        <v>2025</v>
      </c>
      <c r="D203" t="s">
        <v>9</v>
      </c>
      <c r="E203">
        <v>20352.370126600821</v>
      </c>
    </row>
    <row r="204" spans="1:5" hidden="1" x14ac:dyDescent="0.25">
      <c r="A204" t="s">
        <v>10</v>
      </c>
      <c r="B204" t="s">
        <v>6</v>
      </c>
      <c r="C204">
        <v>2026</v>
      </c>
      <c r="D204" t="s">
        <v>7</v>
      </c>
      <c r="E204">
        <v>11787.03907014753</v>
      </c>
    </row>
    <row r="205" spans="1:5" hidden="1" x14ac:dyDescent="0.25">
      <c r="A205" t="s">
        <v>10</v>
      </c>
      <c r="B205" t="s">
        <v>6</v>
      </c>
      <c r="C205">
        <v>2026</v>
      </c>
      <c r="D205" t="s">
        <v>8</v>
      </c>
      <c r="E205">
        <v>845257.87153819855</v>
      </c>
    </row>
    <row r="206" spans="1:5" hidden="1" x14ac:dyDescent="0.25">
      <c r="A206" t="s">
        <v>10</v>
      </c>
      <c r="B206" t="s">
        <v>6</v>
      </c>
      <c r="C206">
        <v>2026</v>
      </c>
      <c r="D206" t="s">
        <v>14</v>
      </c>
      <c r="E206">
        <v>466.18816950520568</v>
      </c>
    </row>
    <row r="207" spans="1:5" hidden="1" x14ac:dyDescent="0.25">
      <c r="A207" t="s">
        <v>10</v>
      </c>
      <c r="B207" t="s">
        <v>6</v>
      </c>
      <c r="C207">
        <v>2026</v>
      </c>
      <c r="D207" t="s">
        <v>13</v>
      </c>
      <c r="E207">
        <v>7256.2295972836719</v>
      </c>
    </row>
    <row r="208" spans="1:5" hidden="1" x14ac:dyDescent="0.25">
      <c r="A208" t="s">
        <v>10</v>
      </c>
      <c r="B208" t="s">
        <v>6</v>
      </c>
      <c r="C208">
        <v>2026</v>
      </c>
      <c r="D208" t="s">
        <v>12</v>
      </c>
      <c r="E208">
        <v>395.17239379038261</v>
      </c>
    </row>
    <row r="209" spans="1:5" hidden="1" x14ac:dyDescent="0.25">
      <c r="A209" t="s">
        <v>10</v>
      </c>
      <c r="B209" t="s">
        <v>6</v>
      </c>
      <c r="C209">
        <v>2026</v>
      </c>
      <c r="D209" t="s">
        <v>9</v>
      </c>
      <c r="E209">
        <v>24449.44165617535</v>
      </c>
    </row>
    <row r="210" spans="1:5" hidden="1" x14ac:dyDescent="0.25">
      <c r="A210" t="s">
        <v>10</v>
      </c>
      <c r="B210" t="s">
        <v>6</v>
      </c>
      <c r="C210">
        <v>2027</v>
      </c>
      <c r="D210" t="s">
        <v>7</v>
      </c>
      <c r="E210">
        <v>15414.951244320981</v>
      </c>
    </row>
    <row r="211" spans="1:5" hidden="1" x14ac:dyDescent="0.25">
      <c r="A211" t="s">
        <v>10</v>
      </c>
      <c r="B211" t="s">
        <v>6</v>
      </c>
      <c r="C211">
        <v>2027</v>
      </c>
      <c r="D211" t="s">
        <v>8</v>
      </c>
      <c r="E211">
        <v>866407.3331157451</v>
      </c>
    </row>
    <row r="212" spans="1:5" hidden="1" x14ac:dyDescent="0.25">
      <c r="A212" t="s">
        <v>10</v>
      </c>
      <c r="B212" t="s">
        <v>6</v>
      </c>
      <c r="C212">
        <v>2027</v>
      </c>
      <c r="D212" t="s">
        <v>14</v>
      </c>
      <c r="E212">
        <v>569.42699750073166</v>
      </c>
    </row>
    <row r="213" spans="1:5" hidden="1" x14ac:dyDescent="0.25">
      <c r="A213" t="s">
        <v>10</v>
      </c>
      <c r="B213" t="s">
        <v>6</v>
      </c>
      <c r="C213">
        <v>2027</v>
      </c>
      <c r="D213" t="s">
        <v>13</v>
      </c>
      <c r="E213">
        <v>8983.916446708683</v>
      </c>
    </row>
    <row r="214" spans="1:5" hidden="1" x14ac:dyDescent="0.25">
      <c r="A214" t="s">
        <v>10</v>
      </c>
      <c r="B214" t="s">
        <v>6</v>
      </c>
      <c r="C214">
        <v>2027</v>
      </c>
      <c r="D214" t="s">
        <v>12</v>
      </c>
      <c r="E214">
        <v>501.99193842105927</v>
      </c>
    </row>
    <row r="215" spans="1:5" hidden="1" x14ac:dyDescent="0.25">
      <c r="A215" t="s">
        <v>10</v>
      </c>
      <c r="B215" t="s">
        <v>6</v>
      </c>
      <c r="C215">
        <v>2027</v>
      </c>
      <c r="D215" t="s">
        <v>9</v>
      </c>
      <c r="E215">
        <v>28526.663384635151</v>
      </c>
    </row>
    <row r="216" spans="1:5" hidden="1" x14ac:dyDescent="0.25">
      <c r="A216" t="s">
        <v>10</v>
      </c>
      <c r="B216" t="s">
        <v>6</v>
      </c>
      <c r="C216">
        <v>2028</v>
      </c>
      <c r="D216" t="s">
        <v>7</v>
      </c>
      <c r="E216">
        <v>19651.719636773159</v>
      </c>
    </row>
    <row r="217" spans="1:5" hidden="1" x14ac:dyDescent="0.25">
      <c r="A217" t="s">
        <v>10</v>
      </c>
      <c r="B217" t="s">
        <v>6</v>
      </c>
      <c r="C217">
        <v>2028</v>
      </c>
      <c r="D217" t="s">
        <v>8</v>
      </c>
      <c r="E217">
        <v>893050.83707050979</v>
      </c>
    </row>
    <row r="218" spans="1:5" hidden="1" x14ac:dyDescent="0.25">
      <c r="A218" t="s">
        <v>10</v>
      </c>
      <c r="B218" t="s">
        <v>6</v>
      </c>
      <c r="C218">
        <v>2028</v>
      </c>
      <c r="D218" t="s">
        <v>14</v>
      </c>
      <c r="E218">
        <v>671.91452613806371</v>
      </c>
    </row>
    <row r="219" spans="1:5" hidden="1" x14ac:dyDescent="0.25">
      <c r="A219" t="s">
        <v>10</v>
      </c>
      <c r="B219" t="s">
        <v>6</v>
      </c>
      <c r="C219">
        <v>2028</v>
      </c>
      <c r="D219" t="s">
        <v>13</v>
      </c>
      <c r="E219">
        <v>10755.25906669006</v>
      </c>
    </row>
    <row r="220" spans="1:5" hidden="1" x14ac:dyDescent="0.25">
      <c r="A220" t="s">
        <v>10</v>
      </c>
      <c r="B220" t="s">
        <v>6</v>
      </c>
      <c r="C220">
        <v>2028</v>
      </c>
      <c r="D220" t="s">
        <v>12</v>
      </c>
      <c r="E220">
        <v>617.02318900867328</v>
      </c>
    </row>
    <row r="221" spans="1:5" hidden="1" x14ac:dyDescent="0.25">
      <c r="A221" t="s">
        <v>10</v>
      </c>
      <c r="B221" t="s">
        <v>6</v>
      </c>
      <c r="C221">
        <v>2028</v>
      </c>
      <c r="D221" t="s">
        <v>9</v>
      </c>
      <c r="E221">
        <v>32884.415205425117</v>
      </c>
    </row>
    <row r="222" spans="1:5" hidden="1" x14ac:dyDescent="0.25">
      <c r="A222" t="s">
        <v>10</v>
      </c>
      <c r="B222" t="s">
        <v>6</v>
      </c>
      <c r="C222">
        <v>2029</v>
      </c>
      <c r="D222" t="s">
        <v>7</v>
      </c>
      <c r="E222">
        <v>23796.365693498821</v>
      </c>
    </row>
    <row r="223" spans="1:5" hidden="1" x14ac:dyDescent="0.25">
      <c r="A223" t="s">
        <v>10</v>
      </c>
      <c r="B223" t="s">
        <v>6</v>
      </c>
      <c r="C223">
        <v>2029</v>
      </c>
      <c r="D223" t="s">
        <v>8</v>
      </c>
      <c r="E223">
        <v>914284.5211047167</v>
      </c>
    </row>
    <row r="224" spans="1:5" hidden="1" x14ac:dyDescent="0.25">
      <c r="A224" t="s">
        <v>10</v>
      </c>
      <c r="B224" t="s">
        <v>6</v>
      </c>
      <c r="C224">
        <v>2029</v>
      </c>
      <c r="D224" t="s">
        <v>14</v>
      </c>
      <c r="E224">
        <v>774.14440896765586</v>
      </c>
    </row>
    <row r="225" spans="1:5" hidden="1" x14ac:dyDescent="0.25">
      <c r="A225" t="s">
        <v>10</v>
      </c>
      <c r="B225" t="s">
        <v>6</v>
      </c>
      <c r="C225">
        <v>2029</v>
      </c>
      <c r="D225" t="s">
        <v>13</v>
      </c>
      <c r="E225">
        <v>12518.69573305871</v>
      </c>
    </row>
    <row r="226" spans="1:5" hidden="1" x14ac:dyDescent="0.25">
      <c r="A226" t="s">
        <v>10</v>
      </c>
      <c r="B226" t="s">
        <v>6</v>
      </c>
      <c r="C226">
        <v>2029</v>
      </c>
      <c r="D226" t="s">
        <v>12</v>
      </c>
      <c r="E226">
        <v>741.81027247215718</v>
      </c>
    </row>
    <row r="227" spans="1:5" hidden="1" x14ac:dyDescent="0.25">
      <c r="A227" t="s">
        <v>10</v>
      </c>
      <c r="B227" t="s">
        <v>6</v>
      </c>
      <c r="C227">
        <v>2029</v>
      </c>
      <c r="D227" t="s">
        <v>9</v>
      </c>
      <c r="E227">
        <v>37163.881136711549</v>
      </c>
    </row>
    <row r="228" spans="1:5" hidden="1" x14ac:dyDescent="0.25">
      <c r="A228" t="s">
        <v>10</v>
      </c>
      <c r="B228" t="s">
        <v>6</v>
      </c>
      <c r="C228">
        <v>2030</v>
      </c>
      <c r="D228" t="s">
        <v>7</v>
      </c>
      <c r="E228">
        <v>28359.41743748487</v>
      </c>
    </row>
    <row r="229" spans="1:5" hidden="1" x14ac:dyDescent="0.25">
      <c r="A229" t="s">
        <v>10</v>
      </c>
      <c r="B229" t="s">
        <v>6</v>
      </c>
      <c r="C229">
        <v>2030</v>
      </c>
      <c r="D229" t="s">
        <v>8</v>
      </c>
      <c r="E229">
        <v>938553.71310400078</v>
      </c>
    </row>
    <row r="230" spans="1:5" hidden="1" x14ac:dyDescent="0.25">
      <c r="A230" t="s">
        <v>10</v>
      </c>
      <c r="B230" t="s">
        <v>6</v>
      </c>
      <c r="C230">
        <v>2030</v>
      </c>
      <c r="D230" t="s">
        <v>14</v>
      </c>
      <c r="E230">
        <v>872.97124354802133</v>
      </c>
    </row>
    <row r="231" spans="1:5" hidden="1" x14ac:dyDescent="0.25">
      <c r="A231" t="s">
        <v>10</v>
      </c>
      <c r="B231" t="s">
        <v>6</v>
      </c>
      <c r="C231">
        <v>2030</v>
      </c>
      <c r="D231" t="s">
        <v>13</v>
      </c>
      <c r="E231">
        <v>14273.12457212076</v>
      </c>
    </row>
    <row r="232" spans="1:5" hidden="1" x14ac:dyDescent="0.25">
      <c r="A232" t="s">
        <v>10</v>
      </c>
      <c r="B232" t="s">
        <v>6</v>
      </c>
      <c r="C232">
        <v>2030</v>
      </c>
      <c r="D232" t="s">
        <v>12</v>
      </c>
      <c r="E232">
        <v>874.53250184739602</v>
      </c>
    </row>
    <row r="233" spans="1:5" hidden="1" x14ac:dyDescent="0.25">
      <c r="A233" t="s">
        <v>10</v>
      </c>
      <c r="B233" t="s">
        <v>6</v>
      </c>
      <c r="C233">
        <v>2030</v>
      </c>
      <c r="D233" t="s">
        <v>9</v>
      </c>
      <c r="E233">
        <v>41464.346616727722</v>
      </c>
    </row>
    <row r="234" spans="1:5" hidden="1" x14ac:dyDescent="0.25">
      <c r="A234" t="s">
        <v>10</v>
      </c>
      <c r="B234" t="s">
        <v>6</v>
      </c>
      <c r="C234">
        <v>2031</v>
      </c>
      <c r="D234" t="s">
        <v>7</v>
      </c>
      <c r="E234">
        <v>33266.833134093657</v>
      </c>
    </row>
    <row r="235" spans="1:5" hidden="1" x14ac:dyDescent="0.25">
      <c r="A235" t="s">
        <v>10</v>
      </c>
      <c r="B235" t="s">
        <v>6</v>
      </c>
      <c r="C235">
        <v>2031</v>
      </c>
      <c r="D235" t="s">
        <v>8</v>
      </c>
      <c r="E235">
        <v>961084.55032117816</v>
      </c>
    </row>
    <row r="236" spans="1:5" hidden="1" x14ac:dyDescent="0.25">
      <c r="A236" t="s">
        <v>10</v>
      </c>
      <c r="B236" t="s">
        <v>6</v>
      </c>
      <c r="C236">
        <v>2031</v>
      </c>
      <c r="D236" t="s">
        <v>14</v>
      </c>
      <c r="E236">
        <v>939.76655065013301</v>
      </c>
    </row>
    <row r="237" spans="1:5" hidden="1" x14ac:dyDescent="0.25">
      <c r="A237" t="s">
        <v>10</v>
      </c>
      <c r="B237" t="s">
        <v>6</v>
      </c>
      <c r="C237">
        <v>2031</v>
      </c>
      <c r="D237" t="s">
        <v>13</v>
      </c>
      <c r="E237">
        <v>15933.093445224329</v>
      </c>
    </row>
    <row r="238" spans="1:5" hidden="1" x14ac:dyDescent="0.25">
      <c r="A238" t="s">
        <v>10</v>
      </c>
      <c r="B238" t="s">
        <v>6</v>
      </c>
      <c r="C238">
        <v>2031</v>
      </c>
      <c r="D238" t="s">
        <v>12</v>
      </c>
      <c r="E238">
        <v>995.76153396036739</v>
      </c>
    </row>
    <row r="239" spans="1:5" hidden="1" x14ac:dyDescent="0.25">
      <c r="A239" t="s">
        <v>10</v>
      </c>
      <c r="B239" t="s">
        <v>6</v>
      </c>
      <c r="C239">
        <v>2031</v>
      </c>
      <c r="D239" t="s">
        <v>9</v>
      </c>
      <c r="E239">
        <v>45309.507358348303</v>
      </c>
    </row>
    <row r="240" spans="1:5" hidden="1" x14ac:dyDescent="0.25">
      <c r="A240" t="s">
        <v>10</v>
      </c>
      <c r="B240" t="s">
        <v>6</v>
      </c>
      <c r="C240">
        <v>2032</v>
      </c>
      <c r="D240" t="s">
        <v>7</v>
      </c>
      <c r="E240">
        <v>38753.635859275622</v>
      </c>
    </row>
    <row r="241" spans="1:5" hidden="1" x14ac:dyDescent="0.25">
      <c r="A241" t="s">
        <v>10</v>
      </c>
      <c r="B241" t="s">
        <v>6</v>
      </c>
      <c r="C241">
        <v>2032</v>
      </c>
      <c r="D241" t="s">
        <v>8</v>
      </c>
      <c r="E241">
        <v>989816.62019349821</v>
      </c>
    </row>
    <row r="242" spans="1:5" hidden="1" x14ac:dyDescent="0.25">
      <c r="A242" t="s">
        <v>10</v>
      </c>
      <c r="B242" t="s">
        <v>6</v>
      </c>
      <c r="C242">
        <v>2032</v>
      </c>
      <c r="D242" t="s">
        <v>14</v>
      </c>
      <c r="E242">
        <v>1004.026198286667</v>
      </c>
    </row>
    <row r="243" spans="1:5" hidden="1" x14ac:dyDescent="0.25">
      <c r="A243" t="s">
        <v>10</v>
      </c>
      <c r="B243" t="s">
        <v>6</v>
      </c>
      <c r="C243">
        <v>2032</v>
      </c>
      <c r="D243" t="s">
        <v>13</v>
      </c>
      <c r="E243">
        <v>17703.55183876073</v>
      </c>
    </row>
    <row r="244" spans="1:5" hidden="1" x14ac:dyDescent="0.25">
      <c r="A244" t="s">
        <v>10</v>
      </c>
      <c r="B244" t="s">
        <v>6</v>
      </c>
      <c r="C244">
        <v>2032</v>
      </c>
      <c r="D244" t="s">
        <v>12</v>
      </c>
      <c r="E244">
        <v>1128.9836988018969</v>
      </c>
    </row>
    <row r="245" spans="1:5" hidden="1" x14ac:dyDescent="0.25">
      <c r="A245" t="s">
        <v>10</v>
      </c>
      <c r="B245" t="s">
        <v>6</v>
      </c>
      <c r="C245">
        <v>2032</v>
      </c>
      <c r="D245" t="s">
        <v>9</v>
      </c>
      <c r="E245">
        <v>49277.628426306859</v>
      </c>
    </row>
    <row r="246" spans="1:5" hidden="1" x14ac:dyDescent="0.25">
      <c r="A246" t="s">
        <v>10</v>
      </c>
      <c r="B246" t="s">
        <v>6</v>
      </c>
      <c r="C246">
        <v>2033</v>
      </c>
      <c r="D246" t="s">
        <v>7</v>
      </c>
      <c r="E246">
        <v>44810.916790988493</v>
      </c>
    </row>
    <row r="247" spans="1:5" hidden="1" x14ac:dyDescent="0.25">
      <c r="A247" t="s">
        <v>10</v>
      </c>
      <c r="B247" t="s">
        <v>6</v>
      </c>
      <c r="C247">
        <v>2033</v>
      </c>
      <c r="D247" t="s">
        <v>8</v>
      </c>
      <c r="E247">
        <v>1017419.138443246</v>
      </c>
    </row>
    <row r="248" spans="1:5" hidden="1" x14ac:dyDescent="0.25">
      <c r="A248" t="s">
        <v>10</v>
      </c>
      <c r="B248" t="s">
        <v>6</v>
      </c>
      <c r="C248">
        <v>2033</v>
      </c>
      <c r="D248" t="s">
        <v>14</v>
      </c>
      <c r="E248">
        <v>1062.914972515613</v>
      </c>
    </row>
    <row r="249" spans="1:5" hidden="1" x14ac:dyDescent="0.25">
      <c r="A249" t="s">
        <v>10</v>
      </c>
      <c r="B249" t="s">
        <v>6</v>
      </c>
      <c r="C249">
        <v>2033</v>
      </c>
      <c r="D249" t="s">
        <v>13</v>
      </c>
      <c r="E249">
        <v>19556.866623754038</v>
      </c>
    </row>
    <row r="250" spans="1:5" hidden="1" x14ac:dyDescent="0.25">
      <c r="A250" t="s">
        <v>10</v>
      </c>
      <c r="B250" t="s">
        <v>6</v>
      </c>
      <c r="C250">
        <v>2033</v>
      </c>
      <c r="D250" t="s">
        <v>12</v>
      </c>
      <c r="E250">
        <v>1273.1494864569349</v>
      </c>
    </row>
    <row r="251" spans="1:5" hidden="1" x14ac:dyDescent="0.25">
      <c r="A251" t="s">
        <v>10</v>
      </c>
      <c r="B251" t="s">
        <v>6</v>
      </c>
      <c r="C251">
        <v>2033</v>
      </c>
      <c r="D251" t="s">
        <v>9</v>
      </c>
      <c r="E251">
        <v>53307.585959490927</v>
      </c>
    </row>
    <row r="252" spans="1:5" hidden="1" x14ac:dyDescent="0.25">
      <c r="A252" t="s">
        <v>10</v>
      </c>
      <c r="B252" t="s">
        <v>6</v>
      </c>
      <c r="C252">
        <v>2034</v>
      </c>
      <c r="D252" t="s">
        <v>7</v>
      </c>
      <c r="E252">
        <v>51454.423936662723</v>
      </c>
    </row>
    <row r="253" spans="1:5" hidden="1" x14ac:dyDescent="0.25">
      <c r="A253" t="s">
        <v>10</v>
      </c>
      <c r="B253" t="s">
        <v>6</v>
      </c>
      <c r="C253">
        <v>2034</v>
      </c>
      <c r="D253" t="s">
        <v>8</v>
      </c>
      <c r="E253">
        <v>1047087.032620052</v>
      </c>
    </row>
    <row r="254" spans="1:5" hidden="1" x14ac:dyDescent="0.25">
      <c r="A254" t="s">
        <v>10</v>
      </c>
      <c r="B254" t="s">
        <v>6</v>
      </c>
      <c r="C254">
        <v>2034</v>
      </c>
      <c r="D254" t="s">
        <v>14</v>
      </c>
      <c r="E254">
        <v>1114.482036875012</v>
      </c>
    </row>
    <row r="255" spans="1:5" hidden="1" x14ac:dyDescent="0.25">
      <c r="A255" t="s">
        <v>10</v>
      </c>
      <c r="B255" t="s">
        <v>6</v>
      </c>
      <c r="C255">
        <v>2034</v>
      </c>
      <c r="D255" t="s">
        <v>13</v>
      </c>
      <c r="E255">
        <v>21479.387094942951</v>
      </c>
    </row>
    <row r="256" spans="1:5" hidden="1" x14ac:dyDescent="0.25">
      <c r="A256" t="s">
        <v>10</v>
      </c>
      <c r="B256" t="s">
        <v>6</v>
      </c>
      <c r="C256">
        <v>2034</v>
      </c>
      <c r="D256" t="s">
        <v>12</v>
      </c>
      <c r="E256">
        <v>1428.0497040707919</v>
      </c>
    </row>
    <row r="257" spans="1:5" hidden="1" x14ac:dyDescent="0.25">
      <c r="A257" t="s">
        <v>10</v>
      </c>
      <c r="B257" t="s">
        <v>6</v>
      </c>
      <c r="C257">
        <v>2034</v>
      </c>
      <c r="D257" t="s">
        <v>9</v>
      </c>
      <c r="E257">
        <v>57371.149375960449</v>
      </c>
    </row>
    <row r="258" spans="1:5" hidden="1" x14ac:dyDescent="0.25">
      <c r="A258" t="s">
        <v>10</v>
      </c>
      <c r="B258" t="s">
        <v>6</v>
      </c>
      <c r="C258">
        <v>2035</v>
      </c>
      <c r="D258" t="s">
        <v>7</v>
      </c>
      <c r="E258">
        <v>58674.162846282037</v>
      </c>
    </row>
    <row r="259" spans="1:5" hidden="1" x14ac:dyDescent="0.25">
      <c r="A259" t="s">
        <v>10</v>
      </c>
      <c r="B259" t="s">
        <v>6</v>
      </c>
      <c r="C259">
        <v>2035</v>
      </c>
      <c r="D259" t="s">
        <v>8</v>
      </c>
      <c r="E259">
        <v>1076342.608390369</v>
      </c>
    </row>
    <row r="260" spans="1:5" hidden="1" x14ac:dyDescent="0.25">
      <c r="A260" t="s">
        <v>10</v>
      </c>
      <c r="B260" t="s">
        <v>6</v>
      </c>
      <c r="C260">
        <v>2035</v>
      </c>
      <c r="D260" t="s">
        <v>14</v>
      </c>
      <c r="E260">
        <v>1155.663795288184</v>
      </c>
    </row>
    <row r="261" spans="1:5" hidden="1" x14ac:dyDescent="0.25">
      <c r="A261" t="s">
        <v>10</v>
      </c>
      <c r="B261" t="s">
        <v>6</v>
      </c>
      <c r="C261">
        <v>2035</v>
      </c>
      <c r="D261" t="s">
        <v>13</v>
      </c>
      <c r="E261">
        <v>23434.242163494011</v>
      </c>
    </row>
    <row r="262" spans="1:5" hidden="1" x14ac:dyDescent="0.25">
      <c r="A262" t="s">
        <v>10</v>
      </c>
      <c r="B262" t="s">
        <v>6</v>
      </c>
      <c r="C262">
        <v>2035</v>
      </c>
      <c r="D262" t="s">
        <v>12</v>
      </c>
      <c r="E262">
        <v>1591.879620066579</v>
      </c>
    </row>
    <row r="263" spans="1:5" hidden="1" x14ac:dyDescent="0.25">
      <c r="A263" t="s">
        <v>10</v>
      </c>
      <c r="B263" t="s">
        <v>6</v>
      </c>
      <c r="C263">
        <v>2035</v>
      </c>
      <c r="D263" t="s">
        <v>9</v>
      </c>
      <c r="E263">
        <v>61354.521533229788</v>
      </c>
    </row>
    <row r="264" spans="1:5" hidden="1" x14ac:dyDescent="0.25">
      <c r="A264" t="s">
        <v>10</v>
      </c>
      <c r="B264" t="s">
        <v>6</v>
      </c>
      <c r="C264">
        <v>2036</v>
      </c>
      <c r="D264" t="s">
        <v>7</v>
      </c>
      <c r="E264">
        <v>65955.730277636801</v>
      </c>
    </row>
    <row r="265" spans="1:5" hidden="1" x14ac:dyDescent="0.25">
      <c r="A265" t="s">
        <v>10</v>
      </c>
      <c r="B265" t="s">
        <v>6</v>
      </c>
      <c r="C265">
        <v>2036</v>
      </c>
      <c r="D265" t="s">
        <v>8</v>
      </c>
      <c r="E265">
        <v>1101195.4808659849</v>
      </c>
    </row>
    <row r="266" spans="1:5" hidden="1" x14ac:dyDescent="0.25">
      <c r="A266" t="s">
        <v>10</v>
      </c>
      <c r="B266" t="s">
        <v>6</v>
      </c>
      <c r="C266">
        <v>2036</v>
      </c>
      <c r="D266" t="s">
        <v>14</v>
      </c>
      <c r="E266">
        <v>1181.081330457198</v>
      </c>
    </row>
    <row r="267" spans="1:5" hidden="1" x14ac:dyDescent="0.25">
      <c r="A267" t="s">
        <v>10</v>
      </c>
      <c r="B267" t="s">
        <v>6</v>
      </c>
      <c r="C267">
        <v>2036</v>
      </c>
      <c r="D267" t="s">
        <v>13</v>
      </c>
      <c r="E267">
        <v>25328.788125042582</v>
      </c>
    </row>
    <row r="268" spans="1:5" hidden="1" x14ac:dyDescent="0.25">
      <c r="A268" t="s">
        <v>10</v>
      </c>
      <c r="B268" t="s">
        <v>6</v>
      </c>
      <c r="C268">
        <v>2036</v>
      </c>
      <c r="D268" t="s">
        <v>12</v>
      </c>
      <c r="E268">
        <v>1758.8013355418279</v>
      </c>
    </row>
    <row r="269" spans="1:5" hidden="1" x14ac:dyDescent="0.25">
      <c r="A269" t="s">
        <v>10</v>
      </c>
      <c r="B269" t="s">
        <v>6</v>
      </c>
      <c r="C269">
        <v>2036</v>
      </c>
      <c r="D269" t="s">
        <v>9</v>
      </c>
      <c r="E269">
        <v>65540.179703389193</v>
      </c>
    </row>
    <row r="270" spans="1:5" hidden="1" x14ac:dyDescent="0.25">
      <c r="A270" t="s">
        <v>10</v>
      </c>
      <c r="B270" t="s">
        <v>6</v>
      </c>
      <c r="C270">
        <v>2037</v>
      </c>
      <c r="D270" t="s">
        <v>7</v>
      </c>
      <c r="E270">
        <v>73598.891657163113</v>
      </c>
    </row>
    <row r="271" spans="1:5" hidden="1" x14ac:dyDescent="0.25">
      <c r="A271" t="s">
        <v>10</v>
      </c>
      <c r="B271" t="s">
        <v>6</v>
      </c>
      <c r="C271">
        <v>2037</v>
      </c>
      <c r="D271" t="s">
        <v>8</v>
      </c>
      <c r="E271">
        <v>1130192.3701368021</v>
      </c>
    </row>
    <row r="272" spans="1:5" hidden="1" x14ac:dyDescent="0.25">
      <c r="A272" t="s">
        <v>10</v>
      </c>
      <c r="B272" t="s">
        <v>6</v>
      </c>
      <c r="C272">
        <v>2037</v>
      </c>
      <c r="D272" t="s">
        <v>14</v>
      </c>
      <c r="E272">
        <v>1189.986753633372</v>
      </c>
    </row>
    <row r="273" spans="1:5" hidden="1" x14ac:dyDescent="0.25">
      <c r="A273" t="s">
        <v>10</v>
      </c>
      <c r="B273" t="s">
        <v>6</v>
      </c>
      <c r="C273">
        <v>2037</v>
      </c>
      <c r="D273" t="s">
        <v>13</v>
      </c>
      <c r="E273">
        <v>27154.51542919709</v>
      </c>
    </row>
    <row r="274" spans="1:5" hidden="1" x14ac:dyDescent="0.25">
      <c r="A274" t="s">
        <v>10</v>
      </c>
      <c r="B274" t="s">
        <v>6</v>
      </c>
      <c r="C274">
        <v>2037</v>
      </c>
      <c r="D274" t="s">
        <v>12</v>
      </c>
      <c r="E274">
        <v>1928.421284278415</v>
      </c>
    </row>
    <row r="275" spans="1:5" hidden="1" x14ac:dyDescent="0.25">
      <c r="A275" t="s">
        <v>10</v>
      </c>
      <c r="B275" t="s">
        <v>6</v>
      </c>
      <c r="C275">
        <v>2037</v>
      </c>
      <c r="D275" t="s">
        <v>9</v>
      </c>
      <c r="E275">
        <v>69481.842507553956</v>
      </c>
    </row>
    <row r="276" spans="1:5" hidden="1" x14ac:dyDescent="0.25">
      <c r="A276" t="s">
        <v>10</v>
      </c>
      <c r="B276" t="s">
        <v>6</v>
      </c>
      <c r="C276">
        <v>2038</v>
      </c>
      <c r="D276" t="s">
        <v>7</v>
      </c>
      <c r="E276">
        <v>81581.249659793117</v>
      </c>
    </row>
    <row r="277" spans="1:5" hidden="1" x14ac:dyDescent="0.25">
      <c r="A277" t="s">
        <v>10</v>
      </c>
      <c r="B277" t="s">
        <v>6</v>
      </c>
      <c r="C277">
        <v>2038</v>
      </c>
      <c r="D277" t="s">
        <v>8</v>
      </c>
      <c r="E277">
        <v>1157581.233594937</v>
      </c>
    </row>
    <row r="278" spans="1:5" hidden="1" x14ac:dyDescent="0.25">
      <c r="A278" t="s">
        <v>10</v>
      </c>
      <c r="B278" t="s">
        <v>6</v>
      </c>
      <c r="C278">
        <v>2038</v>
      </c>
      <c r="D278" t="s">
        <v>14</v>
      </c>
      <c r="E278">
        <v>1181.563288191096</v>
      </c>
    </row>
    <row r="279" spans="1:5" hidden="1" x14ac:dyDescent="0.25">
      <c r="A279" t="s">
        <v>10</v>
      </c>
      <c r="B279" t="s">
        <v>6</v>
      </c>
      <c r="C279">
        <v>2038</v>
      </c>
      <c r="D279" t="s">
        <v>13</v>
      </c>
      <c r="E279">
        <v>28899.636790896191</v>
      </c>
    </row>
    <row r="280" spans="1:5" hidden="1" x14ac:dyDescent="0.25">
      <c r="A280" t="s">
        <v>10</v>
      </c>
      <c r="B280" t="s">
        <v>6</v>
      </c>
      <c r="C280">
        <v>2038</v>
      </c>
      <c r="D280" t="s">
        <v>12</v>
      </c>
      <c r="E280">
        <v>2100.0711128337948</v>
      </c>
    </row>
    <row r="281" spans="1:5" hidden="1" x14ac:dyDescent="0.25">
      <c r="A281" t="s">
        <v>10</v>
      </c>
      <c r="B281" t="s">
        <v>6</v>
      </c>
      <c r="C281">
        <v>2038</v>
      </c>
      <c r="D281" t="s">
        <v>9</v>
      </c>
      <c r="E281">
        <v>73173.599088158604</v>
      </c>
    </row>
    <row r="282" spans="1:5" hidden="1" x14ac:dyDescent="0.25">
      <c r="A282" t="s">
        <v>10</v>
      </c>
      <c r="B282" t="s">
        <v>6</v>
      </c>
      <c r="C282">
        <v>2039</v>
      </c>
      <c r="D282" t="s">
        <v>7</v>
      </c>
      <c r="E282">
        <v>89882.885025704978</v>
      </c>
    </row>
    <row r="283" spans="1:5" hidden="1" x14ac:dyDescent="0.25">
      <c r="A283" t="s">
        <v>10</v>
      </c>
      <c r="B283" t="s">
        <v>6</v>
      </c>
      <c r="C283">
        <v>2039</v>
      </c>
      <c r="D283" t="s">
        <v>8</v>
      </c>
      <c r="E283">
        <v>1183188.8670452209</v>
      </c>
    </row>
    <row r="284" spans="1:5" hidden="1" x14ac:dyDescent="0.25">
      <c r="A284" t="s">
        <v>10</v>
      </c>
      <c r="B284" t="s">
        <v>6</v>
      </c>
      <c r="C284">
        <v>2039</v>
      </c>
      <c r="D284" t="s">
        <v>14</v>
      </c>
      <c r="E284">
        <v>1154.9982759766251</v>
      </c>
    </row>
    <row r="285" spans="1:5" hidden="1" x14ac:dyDescent="0.25">
      <c r="A285" t="s">
        <v>10</v>
      </c>
      <c r="B285" t="s">
        <v>6</v>
      </c>
      <c r="C285">
        <v>2039</v>
      </c>
      <c r="D285" t="s">
        <v>13</v>
      </c>
      <c r="E285">
        <v>30549.47912258418</v>
      </c>
    </row>
    <row r="286" spans="1:5" hidden="1" x14ac:dyDescent="0.25">
      <c r="A286" t="s">
        <v>10</v>
      </c>
      <c r="B286" t="s">
        <v>6</v>
      </c>
      <c r="C286">
        <v>2039</v>
      </c>
      <c r="D286" t="s">
        <v>12</v>
      </c>
      <c r="E286">
        <v>2272.804134899478</v>
      </c>
    </row>
    <row r="287" spans="1:5" hidden="1" x14ac:dyDescent="0.25">
      <c r="A287" t="s">
        <v>10</v>
      </c>
      <c r="B287" t="s">
        <v>6</v>
      </c>
      <c r="C287">
        <v>2039</v>
      </c>
      <c r="D287" t="s">
        <v>9</v>
      </c>
      <c r="E287">
        <v>76434.087778382978</v>
      </c>
    </row>
    <row r="288" spans="1:5" hidden="1" x14ac:dyDescent="0.25">
      <c r="A288" t="s">
        <v>10</v>
      </c>
      <c r="B288" t="s">
        <v>6</v>
      </c>
      <c r="C288">
        <v>2040</v>
      </c>
      <c r="D288" t="s">
        <v>7</v>
      </c>
      <c r="E288">
        <v>98467.56791655843</v>
      </c>
    </row>
    <row r="289" spans="1:5" hidden="1" x14ac:dyDescent="0.25">
      <c r="A289" t="s">
        <v>10</v>
      </c>
      <c r="B289" t="s">
        <v>6</v>
      </c>
      <c r="C289">
        <v>2040</v>
      </c>
      <c r="D289" t="s">
        <v>8</v>
      </c>
      <c r="E289">
        <v>1207361.2871372779</v>
      </c>
    </row>
    <row r="290" spans="1:5" hidden="1" x14ac:dyDescent="0.25">
      <c r="A290" t="s">
        <v>10</v>
      </c>
      <c r="B290" t="s">
        <v>6</v>
      </c>
      <c r="C290">
        <v>2040</v>
      </c>
      <c r="D290" t="s">
        <v>14</v>
      </c>
      <c r="E290">
        <v>1109.6184755436821</v>
      </c>
    </row>
    <row r="291" spans="1:5" hidden="1" x14ac:dyDescent="0.25">
      <c r="A291" t="s">
        <v>10</v>
      </c>
      <c r="B291" t="s">
        <v>6</v>
      </c>
      <c r="C291">
        <v>2040</v>
      </c>
      <c r="D291" t="s">
        <v>13</v>
      </c>
      <c r="E291">
        <v>32088.650172163962</v>
      </c>
    </row>
    <row r="292" spans="1:5" hidden="1" x14ac:dyDescent="0.25">
      <c r="A292" t="s">
        <v>10</v>
      </c>
      <c r="B292" t="s">
        <v>6</v>
      </c>
      <c r="C292">
        <v>2040</v>
      </c>
      <c r="D292" t="s">
        <v>12</v>
      </c>
      <c r="E292">
        <v>2445.526520040336</v>
      </c>
    </row>
    <row r="293" spans="1:5" hidden="1" x14ac:dyDescent="0.25">
      <c r="A293" t="s">
        <v>10</v>
      </c>
      <c r="B293" t="s">
        <v>6</v>
      </c>
      <c r="C293">
        <v>2040</v>
      </c>
      <c r="D293" t="s">
        <v>9</v>
      </c>
      <c r="E293">
        <v>79345.878987390839</v>
      </c>
    </row>
    <row r="294" spans="1:5" hidden="1" x14ac:dyDescent="0.25">
      <c r="A294" t="s">
        <v>10</v>
      </c>
      <c r="B294" t="s">
        <v>6</v>
      </c>
      <c r="C294">
        <v>2041</v>
      </c>
      <c r="D294" t="s">
        <v>7</v>
      </c>
      <c r="E294">
        <v>103552.8477642919</v>
      </c>
    </row>
    <row r="295" spans="1:5" hidden="1" x14ac:dyDescent="0.25">
      <c r="A295" t="s">
        <v>10</v>
      </c>
      <c r="B295" t="s">
        <v>6</v>
      </c>
      <c r="C295">
        <v>2041</v>
      </c>
      <c r="D295" t="s">
        <v>8</v>
      </c>
      <c r="E295">
        <v>1240030.6057338279</v>
      </c>
    </row>
    <row r="296" spans="1:5" hidden="1" x14ac:dyDescent="0.25">
      <c r="A296" t="s">
        <v>10</v>
      </c>
      <c r="B296" t="s">
        <v>6</v>
      </c>
      <c r="C296">
        <v>2041</v>
      </c>
      <c r="D296" t="s">
        <v>14</v>
      </c>
      <c r="E296">
        <v>1123.7174847842441</v>
      </c>
    </row>
    <row r="297" spans="1:5" hidden="1" x14ac:dyDescent="0.25">
      <c r="A297" t="s">
        <v>10</v>
      </c>
      <c r="B297" t="s">
        <v>6</v>
      </c>
      <c r="C297">
        <v>2041</v>
      </c>
      <c r="D297" t="s">
        <v>13</v>
      </c>
      <c r="E297">
        <v>33928.000712389883</v>
      </c>
    </row>
    <row r="298" spans="1:5" hidden="1" x14ac:dyDescent="0.25">
      <c r="A298" t="s">
        <v>10</v>
      </c>
      <c r="B298" t="s">
        <v>6</v>
      </c>
      <c r="C298">
        <v>2041</v>
      </c>
      <c r="D298" t="s">
        <v>12</v>
      </c>
      <c r="E298">
        <v>2606.947172565599</v>
      </c>
    </row>
    <row r="299" spans="1:5" hidden="1" x14ac:dyDescent="0.25">
      <c r="A299" t="s">
        <v>10</v>
      </c>
      <c r="B299" t="s">
        <v>6</v>
      </c>
      <c r="C299">
        <v>2041</v>
      </c>
      <c r="D299" t="s">
        <v>9</v>
      </c>
      <c r="E299">
        <v>83505.789286475061</v>
      </c>
    </row>
    <row r="300" spans="1:5" hidden="1" x14ac:dyDescent="0.25">
      <c r="A300" t="s">
        <v>10</v>
      </c>
      <c r="B300" t="s">
        <v>6</v>
      </c>
      <c r="C300">
        <v>2042</v>
      </c>
      <c r="D300" t="s">
        <v>7</v>
      </c>
      <c r="E300">
        <v>108058.0160783328</v>
      </c>
    </row>
    <row r="301" spans="1:5" hidden="1" x14ac:dyDescent="0.25">
      <c r="A301" t="s">
        <v>10</v>
      </c>
      <c r="B301" t="s">
        <v>6</v>
      </c>
      <c r="C301">
        <v>2042</v>
      </c>
      <c r="D301" t="s">
        <v>8</v>
      </c>
      <c r="E301">
        <v>1269378.3824436499</v>
      </c>
    </row>
    <row r="302" spans="1:5" hidden="1" x14ac:dyDescent="0.25">
      <c r="A302" t="s">
        <v>10</v>
      </c>
      <c r="B302" t="s">
        <v>6</v>
      </c>
      <c r="C302">
        <v>2042</v>
      </c>
      <c r="D302" t="s">
        <v>14</v>
      </c>
      <c r="E302">
        <v>1126.1818914691471</v>
      </c>
    </row>
    <row r="303" spans="1:5" hidden="1" x14ac:dyDescent="0.25">
      <c r="A303" t="s">
        <v>10</v>
      </c>
      <c r="B303" t="s">
        <v>6</v>
      </c>
      <c r="C303">
        <v>2042</v>
      </c>
      <c r="D303" t="s">
        <v>13</v>
      </c>
      <c r="E303">
        <v>35596.592256912729</v>
      </c>
    </row>
    <row r="304" spans="1:5" hidden="1" x14ac:dyDescent="0.25">
      <c r="A304" t="s">
        <v>10</v>
      </c>
      <c r="B304" t="s">
        <v>6</v>
      </c>
      <c r="C304">
        <v>2042</v>
      </c>
      <c r="D304" t="s">
        <v>12</v>
      </c>
      <c r="E304">
        <v>2757.812450033085</v>
      </c>
    </row>
    <row r="305" spans="1:5" hidden="1" x14ac:dyDescent="0.25">
      <c r="A305" t="s">
        <v>10</v>
      </c>
      <c r="B305" t="s">
        <v>6</v>
      </c>
      <c r="C305">
        <v>2042</v>
      </c>
      <c r="D305" t="s">
        <v>9</v>
      </c>
      <c r="E305">
        <v>87346.057033143967</v>
      </c>
    </row>
    <row r="306" spans="1:5" hidden="1" x14ac:dyDescent="0.25">
      <c r="A306" t="s">
        <v>10</v>
      </c>
      <c r="B306" t="s">
        <v>6</v>
      </c>
      <c r="C306">
        <v>2043</v>
      </c>
      <c r="D306" t="s">
        <v>7</v>
      </c>
      <c r="E306">
        <v>112014.7082915763</v>
      </c>
    </row>
    <row r="307" spans="1:5" hidden="1" x14ac:dyDescent="0.25">
      <c r="A307" t="s">
        <v>10</v>
      </c>
      <c r="B307" t="s">
        <v>6</v>
      </c>
      <c r="C307">
        <v>2043</v>
      </c>
      <c r="D307" t="s">
        <v>8</v>
      </c>
      <c r="E307">
        <v>1302499.237772217</v>
      </c>
    </row>
    <row r="308" spans="1:5" hidden="1" x14ac:dyDescent="0.25">
      <c r="A308" t="s">
        <v>10</v>
      </c>
      <c r="B308" t="s">
        <v>6</v>
      </c>
      <c r="C308">
        <v>2043</v>
      </c>
      <c r="D308" t="s">
        <v>14</v>
      </c>
      <c r="E308">
        <v>1117.910600344411</v>
      </c>
    </row>
    <row r="309" spans="1:5" hidden="1" x14ac:dyDescent="0.25">
      <c r="A309" t="s">
        <v>10</v>
      </c>
      <c r="B309" t="s">
        <v>6</v>
      </c>
      <c r="C309">
        <v>2043</v>
      </c>
      <c r="D309" t="s">
        <v>13</v>
      </c>
      <c r="E309">
        <v>37103.801248778203</v>
      </c>
    </row>
    <row r="310" spans="1:5" hidden="1" x14ac:dyDescent="0.25">
      <c r="A310" t="s">
        <v>10</v>
      </c>
      <c r="B310" t="s">
        <v>6</v>
      </c>
      <c r="C310">
        <v>2043</v>
      </c>
      <c r="D310" t="s">
        <v>12</v>
      </c>
      <c r="E310">
        <v>2898.590377134647</v>
      </c>
    </row>
    <row r="311" spans="1:5" hidden="1" x14ac:dyDescent="0.25">
      <c r="A311" t="s">
        <v>10</v>
      </c>
      <c r="B311" t="s">
        <v>6</v>
      </c>
      <c r="C311">
        <v>2043</v>
      </c>
      <c r="D311" t="s">
        <v>9</v>
      </c>
      <c r="E311">
        <v>90898.862631815806</v>
      </c>
    </row>
    <row r="312" spans="1:5" hidden="1" x14ac:dyDescent="0.25">
      <c r="A312" t="s">
        <v>10</v>
      </c>
      <c r="B312" t="s">
        <v>6</v>
      </c>
      <c r="C312">
        <v>2044</v>
      </c>
      <c r="D312" t="s">
        <v>7</v>
      </c>
      <c r="E312">
        <v>115476.05783786569</v>
      </c>
    </row>
    <row r="313" spans="1:5" hidden="1" x14ac:dyDescent="0.25">
      <c r="A313" t="s">
        <v>10</v>
      </c>
      <c r="B313" t="s">
        <v>6</v>
      </c>
      <c r="C313">
        <v>2044</v>
      </c>
      <c r="D313" t="s">
        <v>8</v>
      </c>
      <c r="E313">
        <v>1330768.7576837931</v>
      </c>
    </row>
    <row r="314" spans="1:5" hidden="1" x14ac:dyDescent="0.25">
      <c r="A314" t="s">
        <v>10</v>
      </c>
      <c r="B314" t="s">
        <v>6</v>
      </c>
      <c r="C314">
        <v>2044</v>
      </c>
      <c r="D314" t="s">
        <v>14</v>
      </c>
      <c r="E314">
        <v>1099.9280008454321</v>
      </c>
    </row>
    <row r="315" spans="1:5" hidden="1" x14ac:dyDescent="0.25">
      <c r="A315" t="s">
        <v>10</v>
      </c>
      <c r="B315" t="s">
        <v>6</v>
      </c>
      <c r="C315">
        <v>2044</v>
      </c>
      <c r="D315" t="s">
        <v>13</v>
      </c>
      <c r="E315">
        <v>38464.677450918643</v>
      </c>
    </row>
    <row r="316" spans="1:5" hidden="1" x14ac:dyDescent="0.25">
      <c r="A316" t="s">
        <v>10</v>
      </c>
      <c r="B316" t="s">
        <v>6</v>
      </c>
      <c r="C316">
        <v>2044</v>
      </c>
      <c r="D316" t="s">
        <v>12</v>
      </c>
      <c r="E316">
        <v>3030.2116847915631</v>
      </c>
    </row>
    <row r="317" spans="1:5" hidden="1" x14ac:dyDescent="0.25">
      <c r="A317" t="s">
        <v>10</v>
      </c>
      <c r="B317" t="s">
        <v>6</v>
      </c>
      <c r="C317">
        <v>2044</v>
      </c>
      <c r="D317" t="s">
        <v>9</v>
      </c>
      <c r="E317">
        <v>94082.31886976173</v>
      </c>
    </row>
    <row r="318" spans="1:5" hidden="1" x14ac:dyDescent="0.25">
      <c r="A318" t="s">
        <v>10</v>
      </c>
      <c r="B318" t="s">
        <v>6</v>
      </c>
      <c r="C318">
        <v>2045</v>
      </c>
      <c r="D318" t="s">
        <v>7</v>
      </c>
      <c r="E318">
        <v>118500.4528656474</v>
      </c>
    </row>
    <row r="319" spans="1:5" hidden="1" x14ac:dyDescent="0.25">
      <c r="A319" t="s">
        <v>10</v>
      </c>
      <c r="B319" t="s">
        <v>6</v>
      </c>
      <c r="C319">
        <v>2045</v>
      </c>
      <c r="D319" t="s">
        <v>8</v>
      </c>
      <c r="E319">
        <v>1356790.7329331711</v>
      </c>
    </row>
    <row r="320" spans="1:5" hidden="1" x14ac:dyDescent="0.25">
      <c r="A320" t="s">
        <v>10</v>
      </c>
      <c r="B320" t="s">
        <v>6</v>
      </c>
      <c r="C320">
        <v>2045</v>
      </c>
      <c r="D320" t="s">
        <v>14</v>
      </c>
      <c r="E320">
        <v>1073.037677617644</v>
      </c>
    </row>
    <row r="321" spans="1:5" hidden="1" x14ac:dyDescent="0.25">
      <c r="A321" t="s">
        <v>10</v>
      </c>
      <c r="B321" t="s">
        <v>6</v>
      </c>
      <c r="C321">
        <v>2045</v>
      </c>
      <c r="D321" t="s">
        <v>13</v>
      </c>
      <c r="E321">
        <v>39688.829605775187</v>
      </c>
    </row>
    <row r="322" spans="1:5" hidden="1" x14ac:dyDescent="0.25">
      <c r="A322" t="s">
        <v>10</v>
      </c>
      <c r="B322" t="s">
        <v>6</v>
      </c>
      <c r="C322">
        <v>2045</v>
      </c>
      <c r="D322" t="s">
        <v>12</v>
      </c>
      <c r="E322">
        <v>3153.2064464237742</v>
      </c>
    </row>
    <row r="323" spans="1:5" hidden="1" x14ac:dyDescent="0.25">
      <c r="A323" t="s">
        <v>10</v>
      </c>
      <c r="B323" t="s">
        <v>6</v>
      </c>
      <c r="C323">
        <v>2045</v>
      </c>
      <c r="D323" t="s">
        <v>9</v>
      </c>
      <c r="E323">
        <v>96992.017802800619</v>
      </c>
    </row>
    <row r="324" spans="1:5" hidden="1" x14ac:dyDescent="0.25">
      <c r="A324" t="s">
        <v>10</v>
      </c>
      <c r="B324" t="s">
        <v>6</v>
      </c>
      <c r="C324">
        <v>2046</v>
      </c>
      <c r="D324" t="s">
        <v>7</v>
      </c>
      <c r="E324">
        <v>121329.6353739832</v>
      </c>
    </row>
    <row r="325" spans="1:5" hidden="1" x14ac:dyDescent="0.25">
      <c r="A325" t="s">
        <v>10</v>
      </c>
      <c r="B325" t="s">
        <v>6</v>
      </c>
      <c r="C325">
        <v>2046</v>
      </c>
      <c r="D325" t="s">
        <v>8</v>
      </c>
      <c r="E325">
        <v>1378023.092033844</v>
      </c>
    </row>
    <row r="326" spans="1:5" hidden="1" x14ac:dyDescent="0.25">
      <c r="A326" t="s">
        <v>10</v>
      </c>
      <c r="B326" t="s">
        <v>6</v>
      </c>
      <c r="C326">
        <v>2046</v>
      </c>
      <c r="D326" t="s">
        <v>14</v>
      </c>
      <c r="E326">
        <v>1038.225972495115</v>
      </c>
    </row>
    <row r="327" spans="1:5" hidden="1" x14ac:dyDescent="0.25">
      <c r="A327" t="s">
        <v>10</v>
      </c>
      <c r="B327" t="s">
        <v>6</v>
      </c>
      <c r="C327">
        <v>2046</v>
      </c>
      <c r="D327" t="s">
        <v>13</v>
      </c>
      <c r="E327">
        <v>40794.710876072022</v>
      </c>
    </row>
    <row r="328" spans="1:5" hidden="1" x14ac:dyDescent="0.25">
      <c r="A328" t="s">
        <v>10</v>
      </c>
      <c r="B328" t="s">
        <v>6</v>
      </c>
      <c r="C328">
        <v>2046</v>
      </c>
      <c r="D328" t="s">
        <v>12</v>
      </c>
      <c r="E328">
        <v>3268.831591980208</v>
      </c>
    </row>
    <row r="329" spans="1:5" hidden="1" x14ac:dyDescent="0.25">
      <c r="A329" t="s">
        <v>10</v>
      </c>
      <c r="B329" t="s">
        <v>6</v>
      </c>
      <c r="C329">
        <v>2046</v>
      </c>
      <c r="D329" t="s">
        <v>9</v>
      </c>
      <c r="E329">
        <v>99059.070442368931</v>
      </c>
    </row>
    <row r="330" spans="1:5" hidden="1" x14ac:dyDescent="0.25">
      <c r="A330" t="s">
        <v>10</v>
      </c>
      <c r="B330" t="s">
        <v>6</v>
      </c>
      <c r="C330">
        <v>2047</v>
      </c>
      <c r="D330" t="s">
        <v>7</v>
      </c>
      <c r="E330">
        <v>123789.1025788252</v>
      </c>
    </row>
    <row r="331" spans="1:5" hidden="1" x14ac:dyDescent="0.25">
      <c r="A331" t="s">
        <v>10</v>
      </c>
      <c r="B331" t="s">
        <v>6</v>
      </c>
      <c r="C331">
        <v>2047</v>
      </c>
      <c r="D331" t="s">
        <v>8</v>
      </c>
      <c r="E331">
        <v>1402657.4699325869</v>
      </c>
    </row>
    <row r="332" spans="1:5" hidden="1" x14ac:dyDescent="0.25">
      <c r="A332" t="s">
        <v>10</v>
      </c>
      <c r="B332" t="s">
        <v>6</v>
      </c>
      <c r="C332">
        <v>2047</v>
      </c>
      <c r="D332" t="s">
        <v>14</v>
      </c>
      <c r="E332">
        <v>996.13876965307077</v>
      </c>
    </row>
    <row r="333" spans="1:5" hidden="1" x14ac:dyDescent="0.25">
      <c r="A333" t="s">
        <v>10</v>
      </c>
      <c r="B333" t="s">
        <v>6</v>
      </c>
      <c r="C333">
        <v>2047</v>
      </c>
      <c r="D333" t="s">
        <v>13</v>
      </c>
      <c r="E333">
        <v>41790.739010201927</v>
      </c>
    </row>
    <row r="334" spans="1:5" hidden="1" x14ac:dyDescent="0.25">
      <c r="A334" t="s">
        <v>10</v>
      </c>
      <c r="B334" t="s">
        <v>6</v>
      </c>
      <c r="C334">
        <v>2047</v>
      </c>
      <c r="D334" t="s">
        <v>12</v>
      </c>
      <c r="E334">
        <v>3377.5764200023409</v>
      </c>
    </row>
    <row r="335" spans="1:5" hidden="1" x14ac:dyDescent="0.25">
      <c r="A335" t="s">
        <v>10</v>
      </c>
      <c r="B335" t="s">
        <v>6</v>
      </c>
      <c r="C335">
        <v>2047</v>
      </c>
      <c r="D335" t="s">
        <v>9</v>
      </c>
      <c r="E335">
        <v>100950.12916950681</v>
      </c>
    </row>
    <row r="336" spans="1:5" hidden="1" x14ac:dyDescent="0.25">
      <c r="A336" t="s">
        <v>10</v>
      </c>
      <c r="B336" t="s">
        <v>6</v>
      </c>
      <c r="C336">
        <v>2048</v>
      </c>
      <c r="D336" t="s">
        <v>7</v>
      </c>
      <c r="E336">
        <v>125911.3389349143</v>
      </c>
    </row>
    <row r="337" spans="1:5" hidden="1" x14ac:dyDescent="0.25">
      <c r="A337" t="s">
        <v>10</v>
      </c>
      <c r="B337" t="s">
        <v>6</v>
      </c>
      <c r="C337">
        <v>2048</v>
      </c>
      <c r="D337" t="s">
        <v>8</v>
      </c>
      <c r="E337">
        <v>1424817.038517321</v>
      </c>
    </row>
    <row r="338" spans="1:5" hidden="1" x14ac:dyDescent="0.25">
      <c r="A338" t="s">
        <v>10</v>
      </c>
      <c r="B338" t="s">
        <v>6</v>
      </c>
      <c r="C338">
        <v>2048</v>
      </c>
      <c r="D338" t="s">
        <v>14</v>
      </c>
      <c r="E338">
        <v>947.39540842859969</v>
      </c>
    </row>
    <row r="339" spans="1:5" hidden="1" x14ac:dyDescent="0.25">
      <c r="A339" t="s">
        <v>10</v>
      </c>
      <c r="B339" t="s">
        <v>6</v>
      </c>
      <c r="C339">
        <v>2048</v>
      </c>
      <c r="D339" t="s">
        <v>13</v>
      </c>
      <c r="E339">
        <v>42685.927098860273</v>
      </c>
    </row>
    <row r="340" spans="1:5" hidden="1" x14ac:dyDescent="0.25">
      <c r="A340" t="s">
        <v>10</v>
      </c>
      <c r="B340" t="s">
        <v>6</v>
      </c>
      <c r="C340">
        <v>2048</v>
      </c>
      <c r="D340" t="s">
        <v>12</v>
      </c>
      <c r="E340">
        <v>3479.995823401347</v>
      </c>
    </row>
    <row r="341" spans="1:5" hidden="1" x14ac:dyDescent="0.25">
      <c r="A341" t="s">
        <v>10</v>
      </c>
      <c r="B341" t="s">
        <v>6</v>
      </c>
      <c r="C341">
        <v>2048</v>
      </c>
      <c r="D341" t="s">
        <v>9</v>
      </c>
      <c r="E341">
        <v>102570.26348023021</v>
      </c>
    </row>
    <row r="342" spans="1:5" hidden="1" x14ac:dyDescent="0.25">
      <c r="A342" t="s">
        <v>10</v>
      </c>
      <c r="B342" t="s">
        <v>6</v>
      </c>
      <c r="C342">
        <v>2049</v>
      </c>
      <c r="D342" t="s">
        <v>7</v>
      </c>
      <c r="E342">
        <v>127715.4304756975</v>
      </c>
    </row>
    <row r="343" spans="1:5" hidden="1" x14ac:dyDescent="0.25">
      <c r="A343" t="s">
        <v>10</v>
      </c>
      <c r="B343" t="s">
        <v>6</v>
      </c>
      <c r="C343">
        <v>2049</v>
      </c>
      <c r="D343" t="s">
        <v>8</v>
      </c>
      <c r="E343">
        <v>1448781.8394643241</v>
      </c>
    </row>
    <row r="344" spans="1:5" hidden="1" x14ac:dyDescent="0.25">
      <c r="A344" t="s">
        <v>10</v>
      </c>
      <c r="B344" t="s">
        <v>6</v>
      </c>
      <c r="C344">
        <v>2049</v>
      </c>
      <c r="D344" t="s">
        <v>14</v>
      </c>
      <c r="E344">
        <v>892.52682580390535</v>
      </c>
    </row>
    <row r="345" spans="1:5" hidden="1" x14ac:dyDescent="0.25">
      <c r="A345" t="s">
        <v>10</v>
      </c>
      <c r="B345" t="s">
        <v>6</v>
      </c>
      <c r="C345">
        <v>2049</v>
      </c>
      <c r="D345" t="s">
        <v>13</v>
      </c>
      <c r="E345">
        <v>43487.197118682539</v>
      </c>
    </row>
    <row r="346" spans="1:5" hidden="1" x14ac:dyDescent="0.25">
      <c r="A346" t="s">
        <v>10</v>
      </c>
      <c r="B346" t="s">
        <v>6</v>
      </c>
      <c r="C346">
        <v>2049</v>
      </c>
      <c r="D346" t="s">
        <v>12</v>
      </c>
      <c r="E346">
        <v>3576.4922324993749</v>
      </c>
    </row>
    <row r="347" spans="1:5" hidden="1" x14ac:dyDescent="0.25">
      <c r="A347" t="s">
        <v>10</v>
      </c>
      <c r="B347" t="s">
        <v>6</v>
      </c>
      <c r="C347">
        <v>2049</v>
      </c>
      <c r="D347" t="s">
        <v>9</v>
      </c>
      <c r="E347">
        <v>104077.32401861111</v>
      </c>
    </row>
    <row r="348" spans="1:5" hidden="1" x14ac:dyDescent="0.25">
      <c r="A348" t="s">
        <v>10</v>
      </c>
      <c r="B348" t="s">
        <v>6</v>
      </c>
      <c r="C348">
        <v>2050</v>
      </c>
      <c r="D348" t="s">
        <v>7</v>
      </c>
      <c r="E348">
        <v>129208.1537423663</v>
      </c>
    </row>
    <row r="349" spans="1:5" hidden="1" x14ac:dyDescent="0.25">
      <c r="A349" t="s">
        <v>10</v>
      </c>
      <c r="B349" t="s">
        <v>6</v>
      </c>
      <c r="C349">
        <v>2050</v>
      </c>
      <c r="D349" t="s">
        <v>8</v>
      </c>
      <c r="E349">
        <v>1466466.2063380801</v>
      </c>
    </row>
    <row r="350" spans="1:5" hidden="1" x14ac:dyDescent="0.25">
      <c r="A350" t="s">
        <v>10</v>
      </c>
      <c r="B350" t="s">
        <v>6</v>
      </c>
      <c r="C350">
        <v>2050</v>
      </c>
      <c r="D350" t="s">
        <v>14</v>
      </c>
      <c r="E350">
        <v>832.00813416219592</v>
      </c>
    </row>
    <row r="351" spans="1:5" hidden="1" x14ac:dyDescent="0.25">
      <c r="A351" t="s">
        <v>10</v>
      </c>
      <c r="B351" t="s">
        <v>6</v>
      </c>
      <c r="C351">
        <v>2050</v>
      </c>
      <c r="D351" t="s">
        <v>13</v>
      </c>
      <c r="E351">
        <v>44200.273358476363</v>
      </c>
    </row>
    <row r="352" spans="1:5" hidden="1" x14ac:dyDescent="0.25">
      <c r="A352" t="s">
        <v>10</v>
      </c>
      <c r="B352" t="s">
        <v>6</v>
      </c>
      <c r="C352">
        <v>2050</v>
      </c>
      <c r="D352" t="s">
        <v>12</v>
      </c>
      <c r="E352">
        <v>3667.3829822200591</v>
      </c>
    </row>
    <row r="353" spans="1:5" hidden="1" x14ac:dyDescent="0.25">
      <c r="A353" t="s">
        <v>10</v>
      </c>
      <c r="B353" t="s">
        <v>6</v>
      </c>
      <c r="C353">
        <v>2050</v>
      </c>
      <c r="D353" t="s">
        <v>9</v>
      </c>
      <c r="E353">
        <v>105277.92304188271</v>
      </c>
    </row>
    <row r="354" spans="1:5" hidden="1" x14ac:dyDescent="0.25">
      <c r="A354" t="s">
        <v>11</v>
      </c>
      <c r="B354" t="s">
        <v>6</v>
      </c>
      <c r="C354">
        <v>2020</v>
      </c>
      <c r="D354" t="s">
        <v>7</v>
      </c>
      <c r="E354">
        <v>1093.0696459999999</v>
      </c>
    </row>
    <row r="355" spans="1:5" hidden="1" x14ac:dyDescent="0.25">
      <c r="A355" t="s">
        <v>11</v>
      </c>
      <c r="B355" t="s">
        <v>6</v>
      </c>
      <c r="C355">
        <v>2020</v>
      </c>
      <c r="D355" t="s">
        <v>8</v>
      </c>
      <c r="E355">
        <v>734456.94334690797</v>
      </c>
    </row>
    <row r="356" spans="1:5" hidden="1" x14ac:dyDescent="0.25">
      <c r="A356" t="s">
        <v>11</v>
      </c>
      <c r="B356" t="s">
        <v>6</v>
      </c>
      <c r="C356">
        <v>2020</v>
      </c>
      <c r="D356" t="s">
        <v>12</v>
      </c>
      <c r="E356">
        <v>0</v>
      </c>
    </row>
    <row r="357" spans="1:5" hidden="1" x14ac:dyDescent="0.25">
      <c r="A357" t="s">
        <v>11</v>
      </c>
      <c r="B357" t="s">
        <v>6</v>
      </c>
      <c r="C357">
        <v>2020</v>
      </c>
      <c r="D357" t="s">
        <v>9</v>
      </c>
      <c r="E357">
        <v>6803.3692930797688</v>
      </c>
    </row>
    <row r="358" spans="1:5" hidden="1" x14ac:dyDescent="0.25">
      <c r="A358" t="s">
        <v>11</v>
      </c>
      <c r="B358" t="s">
        <v>6</v>
      </c>
      <c r="C358">
        <v>2021</v>
      </c>
      <c r="D358" t="s">
        <v>7</v>
      </c>
      <c r="E358">
        <v>1169.535646</v>
      </c>
    </row>
    <row r="359" spans="1:5" hidden="1" x14ac:dyDescent="0.25">
      <c r="A359" t="s">
        <v>11</v>
      </c>
      <c r="B359" t="s">
        <v>6</v>
      </c>
      <c r="C359">
        <v>2021</v>
      </c>
      <c r="D359" t="s">
        <v>8</v>
      </c>
      <c r="E359">
        <v>739419.9893828372</v>
      </c>
    </row>
    <row r="360" spans="1:5" hidden="1" x14ac:dyDescent="0.25">
      <c r="A360" t="s">
        <v>11</v>
      </c>
      <c r="B360" t="s">
        <v>6</v>
      </c>
      <c r="C360">
        <v>2021</v>
      </c>
      <c r="D360" t="s">
        <v>12</v>
      </c>
      <c r="E360">
        <v>0</v>
      </c>
    </row>
    <row r="361" spans="1:5" hidden="1" x14ac:dyDescent="0.25">
      <c r="A361" t="s">
        <v>11</v>
      </c>
      <c r="B361" t="s">
        <v>6</v>
      </c>
      <c r="C361">
        <v>2021</v>
      </c>
      <c r="D361" t="s">
        <v>9</v>
      </c>
      <c r="E361">
        <v>6897.9909093748429</v>
      </c>
    </row>
    <row r="362" spans="1:5" hidden="1" x14ac:dyDescent="0.25">
      <c r="A362" t="s">
        <v>11</v>
      </c>
      <c r="B362" t="s">
        <v>6</v>
      </c>
      <c r="C362">
        <v>2022</v>
      </c>
      <c r="D362" t="s">
        <v>7</v>
      </c>
      <c r="E362">
        <v>1380.3796460000001</v>
      </c>
    </row>
    <row r="363" spans="1:5" hidden="1" x14ac:dyDescent="0.25">
      <c r="A363" t="s">
        <v>11</v>
      </c>
      <c r="B363" t="s">
        <v>6</v>
      </c>
      <c r="C363">
        <v>2022</v>
      </c>
      <c r="D363" t="s">
        <v>8</v>
      </c>
      <c r="E363">
        <v>750772.27466496895</v>
      </c>
    </row>
    <row r="364" spans="1:5" hidden="1" x14ac:dyDescent="0.25">
      <c r="A364" t="s">
        <v>11</v>
      </c>
      <c r="B364" t="s">
        <v>6</v>
      </c>
      <c r="C364">
        <v>2022</v>
      </c>
      <c r="D364" t="s">
        <v>12</v>
      </c>
      <c r="E364">
        <v>0</v>
      </c>
    </row>
    <row r="365" spans="1:5" hidden="1" x14ac:dyDescent="0.25">
      <c r="A365" t="s">
        <v>11</v>
      </c>
      <c r="B365" t="s">
        <v>6</v>
      </c>
      <c r="C365">
        <v>2022</v>
      </c>
      <c r="D365" t="s">
        <v>9</v>
      </c>
      <c r="E365">
        <v>7479.2097756699059</v>
      </c>
    </row>
    <row r="366" spans="1:5" hidden="1" x14ac:dyDescent="0.25">
      <c r="A366" t="s">
        <v>11</v>
      </c>
      <c r="B366" t="s">
        <v>6</v>
      </c>
      <c r="C366">
        <v>2023</v>
      </c>
      <c r="D366" t="s">
        <v>7</v>
      </c>
      <c r="E366">
        <v>1460.0596459999999</v>
      </c>
    </row>
    <row r="367" spans="1:5" hidden="1" x14ac:dyDescent="0.25">
      <c r="A367" t="s">
        <v>11</v>
      </c>
      <c r="B367" t="s">
        <v>6</v>
      </c>
      <c r="C367">
        <v>2023</v>
      </c>
      <c r="D367" t="s">
        <v>8</v>
      </c>
      <c r="E367">
        <v>760970.86997546419</v>
      </c>
    </row>
    <row r="368" spans="1:5" hidden="1" x14ac:dyDescent="0.25">
      <c r="A368" t="s">
        <v>11</v>
      </c>
      <c r="B368" t="s">
        <v>6</v>
      </c>
      <c r="C368">
        <v>2023</v>
      </c>
      <c r="D368" t="s">
        <v>12</v>
      </c>
      <c r="E368">
        <v>0</v>
      </c>
    </row>
    <row r="369" spans="1:5" hidden="1" x14ac:dyDescent="0.25">
      <c r="A369" t="s">
        <v>11</v>
      </c>
      <c r="B369" t="s">
        <v>6</v>
      </c>
      <c r="C369">
        <v>2023</v>
      </c>
      <c r="D369" t="s">
        <v>9</v>
      </c>
      <c r="E369">
        <v>7931.964641964988</v>
      </c>
    </row>
    <row r="370" spans="1:5" hidden="1" x14ac:dyDescent="0.25">
      <c r="A370" t="s">
        <v>11</v>
      </c>
      <c r="B370" t="s">
        <v>6</v>
      </c>
      <c r="C370">
        <v>2024</v>
      </c>
      <c r="D370" t="s">
        <v>7</v>
      </c>
      <c r="E370">
        <v>6136.1111540720722</v>
      </c>
    </row>
    <row r="371" spans="1:5" hidden="1" x14ac:dyDescent="0.25">
      <c r="A371" t="s">
        <v>11</v>
      </c>
      <c r="B371" t="s">
        <v>6</v>
      </c>
      <c r="C371">
        <v>2024</v>
      </c>
      <c r="D371" t="s">
        <v>8</v>
      </c>
      <c r="E371">
        <v>779608.36963413097</v>
      </c>
    </row>
    <row r="372" spans="1:5" hidden="1" x14ac:dyDescent="0.25">
      <c r="A372" t="s">
        <v>11</v>
      </c>
      <c r="B372" t="s">
        <v>6</v>
      </c>
      <c r="C372">
        <v>2024</v>
      </c>
      <c r="D372" t="s">
        <v>14</v>
      </c>
      <c r="E372">
        <v>269.56540533104919</v>
      </c>
    </row>
    <row r="373" spans="1:5" hidden="1" x14ac:dyDescent="0.25">
      <c r="A373" t="s">
        <v>11</v>
      </c>
      <c r="B373" t="s">
        <v>6</v>
      </c>
      <c r="C373">
        <v>2024</v>
      </c>
      <c r="D373" t="s">
        <v>13</v>
      </c>
      <c r="E373">
        <v>4081.9920784693568</v>
      </c>
    </row>
    <row r="374" spans="1:5" hidden="1" x14ac:dyDescent="0.25">
      <c r="A374" t="s">
        <v>11</v>
      </c>
      <c r="B374" t="s">
        <v>6</v>
      </c>
      <c r="C374">
        <v>2024</v>
      </c>
      <c r="D374" t="s">
        <v>12</v>
      </c>
      <c r="E374">
        <v>204.86362628923879</v>
      </c>
    </row>
    <row r="375" spans="1:5" hidden="1" x14ac:dyDescent="0.25">
      <c r="A375" t="s">
        <v>11</v>
      </c>
      <c r="B375" t="s">
        <v>6</v>
      </c>
      <c r="C375">
        <v>2024</v>
      </c>
      <c r="D375" t="s">
        <v>9</v>
      </c>
      <c r="E375">
        <v>17076.053898057198</v>
      </c>
    </row>
    <row r="376" spans="1:5" hidden="1" x14ac:dyDescent="0.25">
      <c r="A376" t="s">
        <v>11</v>
      </c>
      <c r="B376" t="s">
        <v>6</v>
      </c>
      <c r="C376">
        <v>2025</v>
      </c>
      <c r="D376" t="s">
        <v>7</v>
      </c>
      <c r="E376">
        <v>9422.7255621447621</v>
      </c>
    </row>
    <row r="377" spans="1:5" hidden="1" x14ac:dyDescent="0.25">
      <c r="A377" t="s">
        <v>11</v>
      </c>
      <c r="B377" t="s">
        <v>6</v>
      </c>
      <c r="C377">
        <v>2025</v>
      </c>
      <c r="D377" t="s">
        <v>8</v>
      </c>
      <c r="E377">
        <v>813205.98217637825</v>
      </c>
    </row>
    <row r="378" spans="1:5" hidden="1" x14ac:dyDescent="0.25">
      <c r="A378" t="s">
        <v>11</v>
      </c>
      <c r="B378" t="s">
        <v>6</v>
      </c>
      <c r="C378">
        <v>2025</v>
      </c>
      <c r="D378" t="s">
        <v>14</v>
      </c>
      <c r="E378">
        <v>411.8870482855956</v>
      </c>
    </row>
    <row r="379" spans="1:5" hidden="1" x14ac:dyDescent="0.25">
      <c r="A379" t="s">
        <v>11</v>
      </c>
      <c r="B379" t="s">
        <v>6</v>
      </c>
      <c r="C379">
        <v>2025</v>
      </c>
      <c r="D379" t="s">
        <v>13</v>
      </c>
      <c r="E379">
        <v>6224.6601695098034</v>
      </c>
    </row>
    <row r="380" spans="1:5" hidden="1" x14ac:dyDescent="0.25">
      <c r="A380" t="s">
        <v>11</v>
      </c>
      <c r="B380" t="s">
        <v>6</v>
      </c>
      <c r="C380">
        <v>2025</v>
      </c>
      <c r="D380" t="s">
        <v>12</v>
      </c>
      <c r="E380">
        <v>324.20432339207548</v>
      </c>
    </row>
    <row r="381" spans="1:5" hidden="1" x14ac:dyDescent="0.25">
      <c r="A381" t="s">
        <v>11</v>
      </c>
      <c r="B381" t="s">
        <v>6</v>
      </c>
      <c r="C381">
        <v>2025</v>
      </c>
      <c r="D381" t="s">
        <v>9</v>
      </c>
      <c r="E381">
        <v>21927.171834368899</v>
      </c>
    </row>
    <row r="382" spans="1:5" hidden="1" x14ac:dyDescent="0.25">
      <c r="A382" t="s">
        <v>11</v>
      </c>
      <c r="B382" t="s">
        <v>6</v>
      </c>
      <c r="C382">
        <v>2026</v>
      </c>
      <c r="D382" t="s">
        <v>7</v>
      </c>
      <c r="E382">
        <v>14369.556871268551</v>
      </c>
    </row>
    <row r="383" spans="1:5" hidden="1" x14ac:dyDescent="0.25">
      <c r="A383" t="s">
        <v>11</v>
      </c>
      <c r="B383" t="s">
        <v>6</v>
      </c>
      <c r="C383">
        <v>2026</v>
      </c>
      <c r="D383" t="s">
        <v>8</v>
      </c>
      <c r="E383">
        <v>837500.54212283459</v>
      </c>
    </row>
    <row r="384" spans="1:5" hidden="1" x14ac:dyDescent="0.25">
      <c r="A384" t="s">
        <v>11</v>
      </c>
      <c r="B384" t="s">
        <v>6</v>
      </c>
      <c r="C384">
        <v>2026</v>
      </c>
      <c r="D384" t="s">
        <v>14</v>
      </c>
      <c r="E384">
        <v>587.70528713969418</v>
      </c>
    </row>
    <row r="385" spans="1:5" hidden="1" x14ac:dyDescent="0.25">
      <c r="A385" t="s">
        <v>11</v>
      </c>
      <c r="B385" t="s">
        <v>6</v>
      </c>
      <c r="C385">
        <v>2026</v>
      </c>
      <c r="D385" t="s">
        <v>13</v>
      </c>
      <c r="E385">
        <v>9147.6463324870547</v>
      </c>
    </row>
    <row r="386" spans="1:5" hidden="1" x14ac:dyDescent="0.25">
      <c r="A386" t="s">
        <v>11</v>
      </c>
      <c r="B386" t="s">
        <v>6</v>
      </c>
      <c r="C386">
        <v>2026</v>
      </c>
      <c r="D386" t="s">
        <v>12</v>
      </c>
      <c r="E386">
        <v>557.3784617330648</v>
      </c>
    </row>
    <row r="387" spans="1:5" hidden="1" x14ac:dyDescent="0.25">
      <c r="A387" t="s">
        <v>11</v>
      </c>
      <c r="B387" t="s">
        <v>6</v>
      </c>
      <c r="C387">
        <v>2026</v>
      </c>
      <c r="D387" t="s">
        <v>9</v>
      </c>
      <c r="E387">
        <v>28983.298578402391</v>
      </c>
    </row>
    <row r="388" spans="1:5" hidden="1" x14ac:dyDescent="0.25">
      <c r="A388" t="s">
        <v>11</v>
      </c>
      <c r="B388" t="s">
        <v>6</v>
      </c>
      <c r="C388">
        <v>2027</v>
      </c>
      <c r="D388" t="s">
        <v>7</v>
      </c>
      <c r="E388">
        <v>22192.22621013633</v>
      </c>
    </row>
    <row r="389" spans="1:5" hidden="1" x14ac:dyDescent="0.25">
      <c r="A389" t="s">
        <v>11</v>
      </c>
      <c r="B389" t="s">
        <v>6</v>
      </c>
      <c r="C389">
        <v>2027</v>
      </c>
      <c r="D389" t="s">
        <v>8</v>
      </c>
      <c r="E389">
        <v>866145.78883753635</v>
      </c>
    </row>
    <row r="390" spans="1:5" hidden="1" x14ac:dyDescent="0.25">
      <c r="A390" t="s">
        <v>11</v>
      </c>
      <c r="B390" t="s">
        <v>6</v>
      </c>
      <c r="C390">
        <v>2027</v>
      </c>
      <c r="D390" t="s">
        <v>14</v>
      </c>
      <c r="E390">
        <v>850.41647256917656</v>
      </c>
    </row>
    <row r="391" spans="1:5" hidden="1" x14ac:dyDescent="0.25">
      <c r="A391" t="s">
        <v>11</v>
      </c>
      <c r="B391" t="s">
        <v>6</v>
      </c>
      <c r="C391">
        <v>2027</v>
      </c>
      <c r="D391" t="s">
        <v>13</v>
      </c>
      <c r="E391">
        <v>13417.12031217203</v>
      </c>
    </row>
    <row r="392" spans="1:5" hidden="1" x14ac:dyDescent="0.25">
      <c r="A392" t="s">
        <v>11</v>
      </c>
      <c r="B392" t="s">
        <v>6</v>
      </c>
      <c r="C392">
        <v>2027</v>
      </c>
      <c r="D392" t="s">
        <v>12</v>
      </c>
      <c r="E392">
        <v>868.10490581569559</v>
      </c>
    </row>
    <row r="393" spans="1:5" hidden="1" x14ac:dyDescent="0.25">
      <c r="A393" t="s">
        <v>11</v>
      </c>
      <c r="B393" t="s">
        <v>6</v>
      </c>
      <c r="C393">
        <v>2027</v>
      </c>
      <c r="D393" t="s">
        <v>9</v>
      </c>
      <c r="E393">
        <v>38588.959034560583</v>
      </c>
    </row>
    <row r="394" spans="1:5" hidden="1" x14ac:dyDescent="0.25">
      <c r="A394" t="s">
        <v>11</v>
      </c>
      <c r="B394" t="s">
        <v>6</v>
      </c>
      <c r="C394">
        <v>2028</v>
      </c>
      <c r="D394" t="s">
        <v>7</v>
      </c>
      <c r="E394">
        <v>32337.908183628981</v>
      </c>
    </row>
    <row r="395" spans="1:5" hidden="1" x14ac:dyDescent="0.25">
      <c r="A395" t="s">
        <v>11</v>
      </c>
      <c r="B395" t="s">
        <v>6</v>
      </c>
      <c r="C395">
        <v>2028</v>
      </c>
      <c r="D395" t="s">
        <v>8</v>
      </c>
      <c r="E395">
        <v>898034.66394728445</v>
      </c>
    </row>
    <row r="396" spans="1:5" hidden="1" x14ac:dyDescent="0.25">
      <c r="A396" t="s">
        <v>11</v>
      </c>
      <c r="B396" t="s">
        <v>6</v>
      </c>
      <c r="C396">
        <v>2028</v>
      </c>
      <c r="D396" t="s">
        <v>14</v>
      </c>
      <c r="E396">
        <v>1144.5393976176119</v>
      </c>
    </row>
    <row r="397" spans="1:5" hidden="1" x14ac:dyDescent="0.25">
      <c r="A397" t="s">
        <v>11</v>
      </c>
      <c r="B397" t="s">
        <v>6</v>
      </c>
      <c r="C397">
        <v>2028</v>
      </c>
      <c r="D397" t="s">
        <v>13</v>
      </c>
      <c r="E397">
        <v>18320.51139623878</v>
      </c>
    </row>
    <row r="398" spans="1:5" hidden="1" x14ac:dyDescent="0.25">
      <c r="A398" t="s">
        <v>11</v>
      </c>
      <c r="B398" t="s">
        <v>6</v>
      </c>
      <c r="C398">
        <v>2028</v>
      </c>
      <c r="D398" t="s">
        <v>12</v>
      </c>
      <c r="E398">
        <v>1228.637478119615</v>
      </c>
    </row>
    <row r="399" spans="1:5" hidden="1" x14ac:dyDescent="0.25">
      <c r="A399" t="s">
        <v>11</v>
      </c>
      <c r="B399" t="s">
        <v>6</v>
      </c>
      <c r="C399">
        <v>2028</v>
      </c>
      <c r="D399" t="s">
        <v>9</v>
      </c>
      <c r="E399">
        <v>49184.449113354851</v>
      </c>
    </row>
    <row r="400" spans="1:5" hidden="1" x14ac:dyDescent="0.25">
      <c r="A400" t="s">
        <v>11</v>
      </c>
      <c r="B400" t="s">
        <v>6</v>
      </c>
      <c r="C400">
        <v>2029</v>
      </c>
      <c r="D400" t="s">
        <v>7</v>
      </c>
      <c r="E400">
        <v>43478.079891306123</v>
      </c>
    </row>
    <row r="401" spans="1:5" hidden="1" x14ac:dyDescent="0.25">
      <c r="A401" t="s">
        <v>11</v>
      </c>
      <c r="B401" t="s">
        <v>6</v>
      </c>
      <c r="C401">
        <v>2029</v>
      </c>
      <c r="D401" t="s">
        <v>8</v>
      </c>
      <c r="E401">
        <v>930438.48177642538</v>
      </c>
    </row>
    <row r="402" spans="1:5" hidden="1" x14ac:dyDescent="0.25">
      <c r="A402" t="s">
        <v>11</v>
      </c>
      <c r="B402" t="s">
        <v>6</v>
      </c>
      <c r="C402">
        <v>2029</v>
      </c>
      <c r="D402" t="s">
        <v>14</v>
      </c>
      <c r="E402">
        <v>1460.140190208509</v>
      </c>
    </row>
    <row r="403" spans="1:5" hidden="1" x14ac:dyDescent="0.25">
      <c r="A403" t="s">
        <v>11</v>
      </c>
      <c r="B403" t="s">
        <v>6</v>
      </c>
      <c r="C403">
        <v>2029</v>
      </c>
      <c r="D403" t="s">
        <v>13</v>
      </c>
      <c r="E403">
        <v>23611.939267515339</v>
      </c>
    </row>
    <row r="404" spans="1:5" hidden="1" x14ac:dyDescent="0.25">
      <c r="A404" t="s">
        <v>11</v>
      </c>
      <c r="B404" t="s">
        <v>6</v>
      </c>
      <c r="C404">
        <v>2029</v>
      </c>
      <c r="D404" t="s">
        <v>12</v>
      </c>
      <c r="E404">
        <v>1635.953671845974</v>
      </c>
    </row>
    <row r="405" spans="1:5" hidden="1" x14ac:dyDescent="0.25">
      <c r="A405" t="s">
        <v>11</v>
      </c>
      <c r="B405" t="s">
        <v>6</v>
      </c>
      <c r="C405">
        <v>2029</v>
      </c>
      <c r="D405" t="s">
        <v>9</v>
      </c>
      <c r="E405">
        <v>61092.529648571137</v>
      </c>
    </row>
    <row r="406" spans="1:5" hidden="1" x14ac:dyDescent="0.25">
      <c r="A406" t="s">
        <v>11</v>
      </c>
      <c r="B406" t="s">
        <v>6</v>
      </c>
      <c r="C406">
        <v>2030</v>
      </c>
      <c r="D406" t="s">
        <v>7</v>
      </c>
      <c r="E406">
        <v>55644.976100679487</v>
      </c>
    </row>
    <row r="407" spans="1:5" hidden="1" x14ac:dyDescent="0.25">
      <c r="A407" t="s">
        <v>11</v>
      </c>
      <c r="B407" t="s">
        <v>6</v>
      </c>
      <c r="C407">
        <v>2030</v>
      </c>
      <c r="D407" t="s">
        <v>8</v>
      </c>
      <c r="E407">
        <v>970850.53343822004</v>
      </c>
    </row>
    <row r="408" spans="1:5" hidden="1" x14ac:dyDescent="0.25">
      <c r="A408" t="s">
        <v>11</v>
      </c>
      <c r="B408" t="s">
        <v>6</v>
      </c>
      <c r="C408">
        <v>2030</v>
      </c>
      <c r="D408" t="s">
        <v>14</v>
      </c>
      <c r="E408">
        <v>1761.827543456644</v>
      </c>
    </row>
    <row r="409" spans="1:5" hidden="1" x14ac:dyDescent="0.25">
      <c r="A409" t="s">
        <v>11</v>
      </c>
      <c r="B409" t="s">
        <v>6</v>
      </c>
      <c r="C409">
        <v>2030</v>
      </c>
      <c r="D409" t="s">
        <v>13</v>
      </c>
      <c r="E409">
        <v>28805.97062985264</v>
      </c>
    </row>
    <row r="410" spans="1:5" hidden="1" x14ac:dyDescent="0.25">
      <c r="A410" t="s">
        <v>11</v>
      </c>
      <c r="B410" t="s">
        <v>6</v>
      </c>
      <c r="C410">
        <v>2030</v>
      </c>
      <c r="D410" t="s">
        <v>12</v>
      </c>
      <c r="E410">
        <v>2060.9784695548619</v>
      </c>
    </row>
    <row r="411" spans="1:5" hidden="1" x14ac:dyDescent="0.25">
      <c r="A411" t="s">
        <v>11</v>
      </c>
      <c r="B411" t="s">
        <v>6</v>
      </c>
      <c r="C411">
        <v>2030</v>
      </c>
      <c r="D411" t="s">
        <v>9</v>
      </c>
      <c r="E411">
        <v>74062.238097093548</v>
      </c>
    </row>
    <row r="412" spans="1:5" hidden="1" x14ac:dyDescent="0.25">
      <c r="A412" t="s">
        <v>11</v>
      </c>
      <c r="B412" t="s">
        <v>6</v>
      </c>
      <c r="C412">
        <v>2031</v>
      </c>
      <c r="D412" t="s">
        <v>7</v>
      </c>
      <c r="E412">
        <v>70618.965487702415</v>
      </c>
    </row>
    <row r="413" spans="1:5" hidden="1" x14ac:dyDescent="0.25">
      <c r="A413" t="s">
        <v>11</v>
      </c>
      <c r="B413" t="s">
        <v>6</v>
      </c>
      <c r="C413">
        <v>2031</v>
      </c>
      <c r="D413" t="s">
        <v>8</v>
      </c>
      <c r="E413">
        <v>1040489.0683717401</v>
      </c>
    </row>
    <row r="414" spans="1:5" hidden="1" x14ac:dyDescent="0.25">
      <c r="A414" t="s">
        <v>11</v>
      </c>
      <c r="B414" t="s">
        <v>6</v>
      </c>
      <c r="C414">
        <v>2031</v>
      </c>
      <c r="D414" t="s">
        <v>14</v>
      </c>
      <c r="E414">
        <v>2047.251252746828</v>
      </c>
    </row>
    <row r="415" spans="1:5" hidden="1" x14ac:dyDescent="0.25">
      <c r="A415" t="s">
        <v>11</v>
      </c>
      <c r="B415" t="s">
        <v>6</v>
      </c>
      <c r="C415">
        <v>2031</v>
      </c>
      <c r="D415" t="s">
        <v>13</v>
      </c>
      <c r="E415">
        <v>34709.732425890121</v>
      </c>
    </row>
    <row r="416" spans="1:5" hidden="1" x14ac:dyDescent="0.25">
      <c r="A416" t="s">
        <v>11</v>
      </c>
      <c r="B416" t="s">
        <v>6</v>
      </c>
      <c r="C416">
        <v>2031</v>
      </c>
      <c r="D416" t="s">
        <v>12</v>
      </c>
      <c r="E416">
        <v>2554.0345257736349</v>
      </c>
    </row>
    <row r="417" spans="1:5" hidden="1" x14ac:dyDescent="0.25">
      <c r="A417" t="s">
        <v>11</v>
      </c>
      <c r="B417" t="s">
        <v>6</v>
      </c>
      <c r="C417">
        <v>2031</v>
      </c>
      <c r="D417" t="s">
        <v>9</v>
      </c>
      <c r="E417">
        <v>88691.707094776124</v>
      </c>
    </row>
    <row r="418" spans="1:5" hidden="1" x14ac:dyDescent="0.25">
      <c r="A418" t="s">
        <v>11</v>
      </c>
      <c r="B418" t="s">
        <v>6</v>
      </c>
      <c r="C418">
        <v>2032</v>
      </c>
      <c r="D418" t="s">
        <v>7</v>
      </c>
      <c r="E418">
        <v>87567.768233932453</v>
      </c>
    </row>
    <row r="419" spans="1:5" hidden="1" x14ac:dyDescent="0.25">
      <c r="A419" t="s">
        <v>11</v>
      </c>
      <c r="B419" t="s">
        <v>6</v>
      </c>
      <c r="C419">
        <v>2032</v>
      </c>
      <c r="D419" t="s">
        <v>8</v>
      </c>
      <c r="E419">
        <v>1117400.391829256</v>
      </c>
    </row>
    <row r="420" spans="1:5" hidden="1" x14ac:dyDescent="0.25">
      <c r="A420" t="s">
        <v>11</v>
      </c>
      <c r="B420" t="s">
        <v>6</v>
      </c>
      <c r="C420">
        <v>2032</v>
      </c>
      <c r="D420" t="s">
        <v>14</v>
      </c>
      <c r="E420">
        <v>2325.6357382728388</v>
      </c>
    </row>
    <row r="421" spans="1:5" hidden="1" x14ac:dyDescent="0.25">
      <c r="A421" t="s">
        <v>11</v>
      </c>
      <c r="B421" t="s">
        <v>6</v>
      </c>
      <c r="C421">
        <v>2032</v>
      </c>
      <c r="D421" t="s">
        <v>13</v>
      </c>
      <c r="E421">
        <v>41006.910896196001</v>
      </c>
    </row>
    <row r="422" spans="1:5" hidden="1" x14ac:dyDescent="0.25">
      <c r="A422" t="s">
        <v>11</v>
      </c>
      <c r="B422" t="s">
        <v>6</v>
      </c>
      <c r="C422">
        <v>2032</v>
      </c>
      <c r="D422" t="s">
        <v>12</v>
      </c>
      <c r="E422">
        <v>3088.6760232568031</v>
      </c>
    </row>
    <row r="423" spans="1:5" hidden="1" x14ac:dyDescent="0.25">
      <c r="A423" t="s">
        <v>11</v>
      </c>
      <c r="B423" t="s">
        <v>6</v>
      </c>
      <c r="C423">
        <v>2032</v>
      </c>
      <c r="D423" t="s">
        <v>9</v>
      </c>
      <c r="E423">
        <v>103780.1262842799</v>
      </c>
    </row>
    <row r="424" spans="1:5" hidden="1" x14ac:dyDescent="0.25">
      <c r="A424" t="s">
        <v>11</v>
      </c>
      <c r="B424" t="s">
        <v>6</v>
      </c>
      <c r="C424">
        <v>2033</v>
      </c>
      <c r="D424" t="s">
        <v>7</v>
      </c>
      <c r="E424">
        <v>106145.67716186729</v>
      </c>
    </row>
    <row r="425" spans="1:5" hidden="1" x14ac:dyDescent="0.25">
      <c r="A425" t="s">
        <v>11</v>
      </c>
      <c r="B425" t="s">
        <v>6</v>
      </c>
      <c r="C425">
        <v>2033</v>
      </c>
      <c r="D425" t="s">
        <v>8</v>
      </c>
      <c r="E425">
        <v>1193828.75003416</v>
      </c>
    </row>
    <row r="426" spans="1:5" hidden="1" x14ac:dyDescent="0.25">
      <c r="A426" t="s">
        <v>11</v>
      </c>
      <c r="B426" t="s">
        <v>6</v>
      </c>
      <c r="C426">
        <v>2033</v>
      </c>
      <c r="D426" t="s">
        <v>14</v>
      </c>
      <c r="E426">
        <v>2578.831941326835</v>
      </c>
    </row>
    <row r="427" spans="1:5" hidden="1" x14ac:dyDescent="0.25">
      <c r="A427" t="s">
        <v>11</v>
      </c>
      <c r="B427" t="s">
        <v>6</v>
      </c>
      <c r="C427">
        <v>2033</v>
      </c>
      <c r="D427" t="s">
        <v>13</v>
      </c>
      <c r="E427">
        <v>47448.642295670557</v>
      </c>
    </row>
    <row r="428" spans="1:5" hidden="1" x14ac:dyDescent="0.25">
      <c r="A428" t="s">
        <v>11</v>
      </c>
      <c r="B428" t="s">
        <v>6</v>
      </c>
      <c r="C428">
        <v>2033</v>
      </c>
      <c r="D428" t="s">
        <v>12</v>
      </c>
      <c r="E428">
        <v>3651.300473373256</v>
      </c>
    </row>
    <row r="429" spans="1:5" hidden="1" x14ac:dyDescent="0.25">
      <c r="A429" t="s">
        <v>11</v>
      </c>
      <c r="B429" t="s">
        <v>6</v>
      </c>
      <c r="C429">
        <v>2033</v>
      </c>
      <c r="D429" t="s">
        <v>9</v>
      </c>
      <c r="E429">
        <v>118786.33724341739</v>
      </c>
    </row>
    <row r="430" spans="1:5" hidden="1" x14ac:dyDescent="0.25">
      <c r="A430" t="s">
        <v>11</v>
      </c>
      <c r="B430" t="s">
        <v>6</v>
      </c>
      <c r="C430">
        <v>2034</v>
      </c>
      <c r="D430" t="s">
        <v>7</v>
      </c>
      <c r="E430">
        <v>125925.583305996</v>
      </c>
    </row>
    <row r="431" spans="1:5" hidden="1" x14ac:dyDescent="0.25">
      <c r="A431" t="s">
        <v>11</v>
      </c>
      <c r="B431" t="s">
        <v>6</v>
      </c>
      <c r="C431">
        <v>2034</v>
      </c>
      <c r="D431" t="s">
        <v>8</v>
      </c>
      <c r="E431">
        <v>1272164.6516711509</v>
      </c>
    </row>
    <row r="432" spans="1:5" hidden="1" x14ac:dyDescent="0.25">
      <c r="A432" t="s">
        <v>11</v>
      </c>
      <c r="B432" t="s">
        <v>6</v>
      </c>
      <c r="C432">
        <v>2034</v>
      </c>
      <c r="D432" t="s">
        <v>14</v>
      </c>
      <c r="E432">
        <v>2790.9424655241191</v>
      </c>
    </row>
    <row r="433" spans="1:5" hidden="1" x14ac:dyDescent="0.25">
      <c r="A433" t="s">
        <v>11</v>
      </c>
      <c r="B433" t="s">
        <v>6</v>
      </c>
      <c r="C433">
        <v>2034</v>
      </c>
      <c r="D433" t="s">
        <v>13</v>
      </c>
      <c r="E433">
        <v>53789.771026547613</v>
      </c>
    </row>
    <row r="434" spans="1:5" hidden="1" x14ac:dyDescent="0.25">
      <c r="A434" t="s">
        <v>11</v>
      </c>
      <c r="B434" t="s">
        <v>6</v>
      </c>
      <c r="C434">
        <v>2034</v>
      </c>
      <c r="D434" t="s">
        <v>12</v>
      </c>
      <c r="E434">
        <v>4227.3945281288607</v>
      </c>
    </row>
    <row r="435" spans="1:5" hidden="1" x14ac:dyDescent="0.25">
      <c r="A435" t="s">
        <v>11</v>
      </c>
      <c r="B435" t="s">
        <v>6</v>
      </c>
      <c r="C435">
        <v>2034</v>
      </c>
      <c r="D435" t="s">
        <v>9</v>
      </c>
      <c r="E435">
        <v>133155.21418504749</v>
      </c>
    </row>
    <row r="436" spans="1:5" hidden="1" x14ac:dyDescent="0.25">
      <c r="A436" t="s">
        <v>11</v>
      </c>
      <c r="B436" t="s">
        <v>6</v>
      </c>
      <c r="C436">
        <v>2035</v>
      </c>
      <c r="D436" t="s">
        <v>7</v>
      </c>
      <c r="E436">
        <v>144963.80013112261</v>
      </c>
    </row>
    <row r="437" spans="1:5" hidden="1" x14ac:dyDescent="0.25">
      <c r="A437" t="s">
        <v>11</v>
      </c>
      <c r="B437" t="s">
        <v>6</v>
      </c>
      <c r="C437">
        <v>2035</v>
      </c>
      <c r="D437" t="s">
        <v>8</v>
      </c>
      <c r="E437">
        <v>1323110.8219487551</v>
      </c>
    </row>
    <row r="438" spans="1:5" hidden="1" x14ac:dyDescent="0.25">
      <c r="A438" t="s">
        <v>11</v>
      </c>
      <c r="B438" t="s">
        <v>6</v>
      </c>
      <c r="C438">
        <v>2035</v>
      </c>
      <c r="D438" t="s">
        <v>14</v>
      </c>
      <c r="E438">
        <v>2917.7788379064118</v>
      </c>
    </row>
    <row r="439" spans="1:5" hidden="1" x14ac:dyDescent="0.25">
      <c r="A439" t="s">
        <v>11</v>
      </c>
      <c r="B439" t="s">
        <v>6</v>
      </c>
      <c r="C439">
        <v>2035</v>
      </c>
      <c r="D439" t="s">
        <v>13</v>
      </c>
      <c r="E439">
        <v>59165.940947355157</v>
      </c>
    </row>
    <row r="440" spans="1:5" hidden="1" x14ac:dyDescent="0.25">
      <c r="A440" t="s">
        <v>11</v>
      </c>
      <c r="B440" t="s">
        <v>6</v>
      </c>
      <c r="C440">
        <v>2035</v>
      </c>
      <c r="D440" t="s">
        <v>12</v>
      </c>
      <c r="E440">
        <v>4759.1210340430353</v>
      </c>
    </row>
    <row r="441" spans="1:5" hidden="1" x14ac:dyDescent="0.25">
      <c r="A441" t="s">
        <v>11</v>
      </c>
      <c r="B441" t="s">
        <v>6</v>
      </c>
      <c r="C441">
        <v>2035</v>
      </c>
      <c r="D441" t="s">
        <v>9</v>
      </c>
      <c r="E441">
        <v>147281.28047052419</v>
      </c>
    </row>
    <row r="442" spans="1:5" hidden="1" x14ac:dyDescent="0.25">
      <c r="A442" t="s">
        <v>11</v>
      </c>
      <c r="B442" t="s">
        <v>6</v>
      </c>
      <c r="C442">
        <v>2036</v>
      </c>
      <c r="D442" t="s">
        <v>7</v>
      </c>
      <c r="E442">
        <v>165496.51829818229</v>
      </c>
    </row>
    <row r="443" spans="1:5" hidden="1" x14ac:dyDescent="0.25">
      <c r="A443" t="s">
        <v>11</v>
      </c>
      <c r="B443" t="s">
        <v>6</v>
      </c>
      <c r="C443">
        <v>2036</v>
      </c>
      <c r="D443" t="s">
        <v>8</v>
      </c>
      <c r="E443">
        <v>1361946.7246063449</v>
      </c>
    </row>
    <row r="444" spans="1:5" hidden="1" x14ac:dyDescent="0.25">
      <c r="A444" t="s">
        <v>11</v>
      </c>
      <c r="B444" t="s">
        <v>6</v>
      </c>
      <c r="C444">
        <v>2036</v>
      </c>
      <c r="D444" t="s">
        <v>14</v>
      </c>
      <c r="E444">
        <v>3028.4346514382819</v>
      </c>
    </row>
    <row r="445" spans="1:5" hidden="1" x14ac:dyDescent="0.25">
      <c r="A445" t="s">
        <v>11</v>
      </c>
      <c r="B445" t="s">
        <v>6</v>
      </c>
      <c r="C445">
        <v>2036</v>
      </c>
      <c r="D445" t="s">
        <v>13</v>
      </c>
      <c r="E445">
        <v>64946.06057918453</v>
      </c>
    </row>
    <row r="446" spans="1:5" hidden="1" x14ac:dyDescent="0.25">
      <c r="A446" t="s">
        <v>11</v>
      </c>
      <c r="B446" t="s">
        <v>6</v>
      </c>
      <c r="C446">
        <v>2036</v>
      </c>
      <c r="D446" t="s">
        <v>12</v>
      </c>
      <c r="E446">
        <v>5249.778261831415</v>
      </c>
    </row>
    <row r="447" spans="1:5" hidden="1" x14ac:dyDescent="0.25">
      <c r="A447" t="s">
        <v>11</v>
      </c>
      <c r="B447" t="s">
        <v>6</v>
      </c>
      <c r="C447">
        <v>2036</v>
      </c>
      <c r="D447" t="s">
        <v>9</v>
      </c>
      <c r="E447">
        <v>159552.34537882611</v>
      </c>
    </row>
    <row r="448" spans="1:5" hidden="1" x14ac:dyDescent="0.25">
      <c r="A448" t="s">
        <v>11</v>
      </c>
      <c r="B448" t="s">
        <v>6</v>
      </c>
      <c r="C448">
        <v>2037</v>
      </c>
      <c r="D448" t="s">
        <v>7</v>
      </c>
      <c r="E448">
        <v>186507.43822649619</v>
      </c>
    </row>
    <row r="449" spans="1:5" hidden="1" x14ac:dyDescent="0.25">
      <c r="A449" t="s">
        <v>11</v>
      </c>
      <c r="B449" t="s">
        <v>6</v>
      </c>
      <c r="C449">
        <v>2037</v>
      </c>
      <c r="D449" t="s">
        <v>8</v>
      </c>
      <c r="E449">
        <v>1402619.85449987</v>
      </c>
    </row>
    <row r="450" spans="1:5" hidden="1" x14ac:dyDescent="0.25">
      <c r="A450" t="s">
        <v>11</v>
      </c>
      <c r="B450" t="s">
        <v>6</v>
      </c>
      <c r="C450">
        <v>2037</v>
      </c>
      <c r="D450" t="s">
        <v>14</v>
      </c>
      <c r="E450">
        <v>3080.4826094202749</v>
      </c>
    </row>
    <row r="451" spans="1:5" hidden="1" x14ac:dyDescent="0.25">
      <c r="A451" t="s">
        <v>11</v>
      </c>
      <c r="B451" t="s">
        <v>6</v>
      </c>
      <c r="C451">
        <v>2037</v>
      </c>
      <c r="D451" t="s">
        <v>13</v>
      </c>
      <c r="E451">
        <v>70294.070325969486</v>
      </c>
    </row>
    <row r="452" spans="1:5" hidden="1" x14ac:dyDescent="0.25">
      <c r="A452" t="s">
        <v>11</v>
      </c>
      <c r="B452" t="s">
        <v>6</v>
      </c>
      <c r="C452">
        <v>2037</v>
      </c>
      <c r="D452" t="s">
        <v>12</v>
      </c>
      <c r="E452">
        <v>5732.0456775822131</v>
      </c>
    </row>
    <row r="453" spans="1:5" hidden="1" x14ac:dyDescent="0.25">
      <c r="A453" t="s">
        <v>11</v>
      </c>
      <c r="B453" t="s">
        <v>6</v>
      </c>
      <c r="C453">
        <v>2037</v>
      </c>
      <c r="D453" t="s">
        <v>9</v>
      </c>
      <c r="E453">
        <v>170535.0212582692</v>
      </c>
    </row>
    <row r="454" spans="1:5" hidden="1" x14ac:dyDescent="0.25">
      <c r="A454" t="s">
        <v>11</v>
      </c>
      <c r="B454" t="s">
        <v>6</v>
      </c>
      <c r="C454">
        <v>2038</v>
      </c>
      <c r="D454" t="s">
        <v>7</v>
      </c>
      <c r="E454">
        <v>207519.60886178669</v>
      </c>
    </row>
    <row r="455" spans="1:5" hidden="1" x14ac:dyDescent="0.25">
      <c r="A455" t="s">
        <v>11</v>
      </c>
      <c r="B455" t="s">
        <v>6</v>
      </c>
      <c r="C455">
        <v>2038</v>
      </c>
      <c r="D455" t="s">
        <v>8</v>
      </c>
      <c r="E455">
        <v>1440730.5458499959</v>
      </c>
    </row>
    <row r="456" spans="1:5" hidden="1" x14ac:dyDescent="0.25">
      <c r="A456" t="s">
        <v>11</v>
      </c>
      <c r="B456" t="s">
        <v>6</v>
      </c>
      <c r="C456">
        <v>2038</v>
      </c>
      <c r="D456" t="s">
        <v>14</v>
      </c>
      <c r="E456">
        <v>3068.3631462626749</v>
      </c>
    </row>
    <row r="457" spans="1:5" hidden="1" x14ac:dyDescent="0.25">
      <c r="A457" t="s">
        <v>11</v>
      </c>
      <c r="B457" t="s">
        <v>6</v>
      </c>
      <c r="C457">
        <v>2038</v>
      </c>
      <c r="D457" t="s">
        <v>13</v>
      </c>
      <c r="E457">
        <v>75048.523727678054</v>
      </c>
    </row>
    <row r="458" spans="1:5" hidden="1" x14ac:dyDescent="0.25">
      <c r="A458" t="s">
        <v>11</v>
      </c>
      <c r="B458" t="s">
        <v>6</v>
      </c>
      <c r="C458">
        <v>2038</v>
      </c>
      <c r="D458" t="s">
        <v>12</v>
      </c>
      <c r="E458">
        <v>6193.6061432774541</v>
      </c>
    </row>
    <row r="459" spans="1:5" hidden="1" x14ac:dyDescent="0.25">
      <c r="A459" t="s">
        <v>11</v>
      </c>
      <c r="B459" t="s">
        <v>6</v>
      </c>
      <c r="C459">
        <v>2038</v>
      </c>
      <c r="D459" t="s">
        <v>9</v>
      </c>
      <c r="E459">
        <v>180012.93508836121</v>
      </c>
    </row>
    <row r="460" spans="1:5" hidden="1" x14ac:dyDescent="0.25">
      <c r="A460" t="s">
        <v>11</v>
      </c>
      <c r="B460" t="s">
        <v>6</v>
      </c>
      <c r="C460">
        <v>2039</v>
      </c>
      <c r="D460" t="s">
        <v>7</v>
      </c>
      <c r="E460">
        <v>228473.28301366579</v>
      </c>
    </row>
    <row r="461" spans="1:5" hidden="1" x14ac:dyDescent="0.25">
      <c r="A461" t="s">
        <v>11</v>
      </c>
      <c r="B461" t="s">
        <v>6</v>
      </c>
      <c r="C461">
        <v>2039</v>
      </c>
      <c r="D461" t="s">
        <v>8</v>
      </c>
      <c r="E461">
        <v>1479276.035916927</v>
      </c>
    </row>
    <row r="462" spans="1:5" hidden="1" x14ac:dyDescent="0.25">
      <c r="A462" t="s">
        <v>11</v>
      </c>
      <c r="B462" t="s">
        <v>6</v>
      </c>
      <c r="C462">
        <v>2039</v>
      </c>
      <c r="D462" t="s">
        <v>14</v>
      </c>
      <c r="E462">
        <v>2995.2738382071152</v>
      </c>
    </row>
    <row r="463" spans="1:5" hidden="1" x14ac:dyDescent="0.25">
      <c r="A463" t="s">
        <v>11</v>
      </c>
      <c r="B463" t="s">
        <v>6</v>
      </c>
      <c r="C463">
        <v>2039</v>
      </c>
      <c r="D463" t="s">
        <v>13</v>
      </c>
      <c r="E463">
        <v>79224.408806461855</v>
      </c>
    </row>
    <row r="464" spans="1:5" hidden="1" x14ac:dyDescent="0.25">
      <c r="A464" t="s">
        <v>11</v>
      </c>
      <c r="B464" t="s">
        <v>6</v>
      </c>
      <c r="C464">
        <v>2039</v>
      </c>
      <c r="D464" t="s">
        <v>12</v>
      </c>
      <c r="E464">
        <v>6634.0960399936675</v>
      </c>
    </row>
    <row r="465" spans="1:5" hidden="1" x14ac:dyDescent="0.25">
      <c r="A465" t="s">
        <v>11</v>
      </c>
      <c r="B465" t="s">
        <v>6</v>
      </c>
      <c r="C465">
        <v>2039</v>
      </c>
      <c r="D465" t="s">
        <v>9</v>
      </c>
      <c r="E465">
        <v>187945.44464517839</v>
      </c>
    </row>
    <row r="466" spans="1:5" hidden="1" x14ac:dyDescent="0.25">
      <c r="A466" t="s">
        <v>11</v>
      </c>
      <c r="B466" t="s">
        <v>6</v>
      </c>
      <c r="C466">
        <v>2040</v>
      </c>
      <c r="D466" t="s">
        <v>7</v>
      </c>
      <c r="E466">
        <v>249374.18781108601</v>
      </c>
    </row>
    <row r="467" spans="1:5" hidden="1" x14ac:dyDescent="0.25">
      <c r="A467" t="s">
        <v>11</v>
      </c>
      <c r="B467" t="s">
        <v>6</v>
      </c>
      <c r="C467">
        <v>2040</v>
      </c>
      <c r="D467" t="s">
        <v>8</v>
      </c>
      <c r="E467">
        <v>1514395.2601676511</v>
      </c>
    </row>
    <row r="468" spans="1:5" hidden="1" x14ac:dyDescent="0.25">
      <c r="A468" t="s">
        <v>11</v>
      </c>
      <c r="B468" t="s">
        <v>6</v>
      </c>
      <c r="C468">
        <v>2040</v>
      </c>
      <c r="D468" t="s">
        <v>14</v>
      </c>
      <c r="E468">
        <v>2865.2791135592711</v>
      </c>
    </row>
    <row r="469" spans="1:5" hidden="1" x14ac:dyDescent="0.25">
      <c r="A469" t="s">
        <v>11</v>
      </c>
      <c r="B469" t="s">
        <v>6</v>
      </c>
      <c r="C469">
        <v>2040</v>
      </c>
      <c r="D469" t="s">
        <v>13</v>
      </c>
      <c r="E469">
        <v>82859.956955531103</v>
      </c>
    </row>
    <row r="470" spans="1:5" hidden="1" x14ac:dyDescent="0.25">
      <c r="A470" t="s">
        <v>11</v>
      </c>
      <c r="B470" t="s">
        <v>6</v>
      </c>
      <c r="C470">
        <v>2040</v>
      </c>
      <c r="D470" t="s">
        <v>12</v>
      </c>
      <c r="E470">
        <v>7054.8876969569083</v>
      </c>
    </row>
    <row r="471" spans="1:5" hidden="1" x14ac:dyDescent="0.25">
      <c r="A471" t="s">
        <v>11</v>
      </c>
      <c r="B471" t="s">
        <v>6</v>
      </c>
      <c r="C471">
        <v>2040</v>
      </c>
      <c r="D471" t="s">
        <v>9</v>
      </c>
      <c r="E471">
        <v>194473.94809899441</v>
      </c>
    </row>
    <row r="472" spans="1:5" hidden="1" x14ac:dyDescent="0.25">
      <c r="A472" t="s">
        <v>11</v>
      </c>
      <c r="B472" t="s">
        <v>6</v>
      </c>
      <c r="C472">
        <v>2041</v>
      </c>
      <c r="D472" t="s">
        <v>7</v>
      </c>
      <c r="E472">
        <v>261240.11428582991</v>
      </c>
    </row>
    <row r="473" spans="1:5" hidden="1" x14ac:dyDescent="0.25">
      <c r="A473" t="s">
        <v>11</v>
      </c>
      <c r="B473" t="s">
        <v>6</v>
      </c>
      <c r="C473">
        <v>2041</v>
      </c>
      <c r="D473" t="s">
        <v>8</v>
      </c>
      <c r="E473">
        <v>1567767.6219469409</v>
      </c>
    </row>
    <row r="474" spans="1:5" hidden="1" x14ac:dyDescent="0.25">
      <c r="A474" t="s">
        <v>11</v>
      </c>
      <c r="B474" t="s">
        <v>6</v>
      </c>
      <c r="C474">
        <v>2041</v>
      </c>
      <c r="D474" t="s">
        <v>14</v>
      </c>
      <c r="E474">
        <v>2894.0175550372701</v>
      </c>
    </row>
    <row r="475" spans="1:5" hidden="1" x14ac:dyDescent="0.25">
      <c r="A475" t="s">
        <v>11</v>
      </c>
      <c r="B475" t="s">
        <v>6</v>
      </c>
      <c r="C475">
        <v>2041</v>
      </c>
      <c r="D475" t="s">
        <v>13</v>
      </c>
      <c r="E475">
        <v>87378.038518129746</v>
      </c>
    </row>
    <row r="476" spans="1:5" hidden="1" x14ac:dyDescent="0.25">
      <c r="A476" t="s">
        <v>11</v>
      </c>
      <c r="B476" t="s">
        <v>6</v>
      </c>
      <c r="C476">
        <v>2041</v>
      </c>
      <c r="D476" t="s">
        <v>12</v>
      </c>
      <c r="E476">
        <v>7453.9214122918156</v>
      </c>
    </row>
    <row r="477" spans="1:5" hidden="1" x14ac:dyDescent="0.25">
      <c r="A477" t="s">
        <v>11</v>
      </c>
      <c r="B477" t="s">
        <v>6</v>
      </c>
      <c r="C477">
        <v>2041</v>
      </c>
      <c r="D477" t="s">
        <v>9</v>
      </c>
      <c r="E477">
        <v>205772.6639694176</v>
      </c>
    </row>
    <row r="478" spans="1:5" hidden="1" x14ac:dyDescent="0.25">
      <c r="A478" t="s">
        <v>11</v>
      </c>
      <c r="B478" t="s">
        <v>6</v>
      </c>
      <c r="C478">
        <v>2042</v>
      </c>
      <c r="D478" t="s">
        <v>7</v>
      </c>
      <c r="E478">
        <v>271385.0771376107</v>
      </c>
    </row>
    <row r="479" spans="1:5" hidden="1" x14ac:dyDescent="0.25">
      <c r="A479" t="s">
        <v>11</v>
      </c>
      <c r="B479" t="s">
        <v>6</v>
      </c>
      <c r="C479">
        <v>2042</v>
      </c>
      <c r="D479" t="s">
        <v>8</v>
      </c>
      <c r="E479">
        <v>1618689.909020158</v>
      </c>
    </row>
    <row r="480" spans="1:5" hidden="1" x14ac:dyDescent="0.25">
      <c r="A480" t="s">
        <v>11</v>
      </c>
      <c r="B480" t="s">
        <v>6</v>
      </c>
      <c r="C480">
        <v>2042</v>
      </c>
      <c r="D480" t="s">
        <v>14</v>
      </c>
      <c r="E480">
        <v>2890.9037819496762</v>
      </c>
    </row>
    <row r="481" spans="1:5" hidden="1" x14ac:dyDescent="0.25">
      <c r="A481" t="s">
        <v>11</v>
      </c>
      <c r="B481" t="s">
        <v>6</v>
      </c>
      <c r="C481">
        <v>2042</v>
      </c>
      <c r="D481" t="s">
        <v>13</v>
      </c>
      <c r="E481">
        <v>91376.290064284825</v>
      </c>
    </row>
    <row r="482" spans="1:5" hidden="1" x14ac:dyDescent="0.25">
      <c r="A482" t="s">
        <v>11</v>
      </c>
      <c r="B482" t="s">
        <v>6</v>
      </c>
      <c r="C482">
        <v>2042</v>
      </c>
      <c r="D482" t="s">
        <v>12</v>
      </c>
      <c r="E482">
        <v>7819.291988355475</v>
      </c>
    </row>
    <row r="483" spans="1:5" hidden="1" x14ac:dyDescent="0.25">
      <c r="A483" t="s">
        <v>11</v>
      </c>
      <c r="B483" t="s">
        <v>6</v>
      </c>
      <c r="C483">
        <v>2042</v>
      </c>
      <c r="D483" t="s">
        <v>9</v>
      </c>
      <c r="E483">
        <v>216187.13672137441</v>
      </c>
    </row>
    <row r="484" spans="1:5" hidden="1" x14ac:dyDescent="0.25">
      <c r="A484" t="s">
        <v>11</v>
      </c>
      <c r="B484" t="s">
        <v>6</v>
      </c>
      <c r="C484">
        <v>2043</v>
      </c>
      <c r="D484" t="s">
        <v>7</v>
      </c>
      <c r="E484">
        <v>280249.092663783</v>
      </c>
    </row>
    <row r="485" spans="1:5" hidden="1" x14ac:dyDescent="0.25">
      <c r="A485" t="s">
        <v>11</v>
      </c>
      <c r="B485" t="s">
        <v>6</v>
      </c>
      <c r="C485">
        <v>2043</v>
      </c>
      <c r="D485" t="s">
        <v>8</v>
      </c>
      <c r="E485">
        <v>1670673.4023852269</v>
      </c>
    </row>
    <row r="486" spans="1:5" hidden="1" x14ac:dyDescent="0.25">
      <c r="A486" t="s">
        <v>11</v>
      </c>
      <c r="B486" t="s">
        <v>6</v>
      </c>
      <c r="C486">
        <v>2043</v>
      </c>
      <c r="D486" t="s">
        <v>14</v>
      </c>
      <c r="E486">
        <v>2862.27811762482</v>
      </c>
    </row>
    <row r="487" spans="1:5" hidden="1" x14ac:dyDescent="0.25">
      <c r="A487" t="s">
        <v>11</v>
      </c>
      <c r="B487" t="s">
        <v>6</v>
      </c>
      <c r="C487">
        <v>2043</v>
      </c>
      <c r="D487" t="s">
        <v>13</v>
      </c>
      <c r="E487">
        <v>94999.902820815434</v>
      </c>
    </row>
    <row r="488" spans="1:5" hidden="1" x14ac:dyDescent="0.25">
      <c r="A488" t="s">
        <v>11</v>
      </c>
      <c r="B488" t="s">
        <v>6</v>
      </c>
      <c r="C488">
        <v>2043</v>
      </c>
      <c r="D488" t="s">
        <v>12</v>
      </c>
      <c r="E488">
        <v>8161.4984685486816</v>
      </c>
    </row>
    <row r="489" spans="1:5" hidden="1" x14ac:dyDescent="0.25">
      <c r="A489" t="s">
        <v>11</v>
      </c>
      <c r="B489" t="s">
        <v>6</v>
      </c>
      <c r="C489">
        <v>2043</v>
      </c>
      <c r="D489" t="s">
        <v>9</v>
      </c>
      <c r="E489">
        <v>225753.8476525241</v>
      </c>
    </row>
    <row r="490" spans="1:5" hidden="1" x14ac:dyDescent="0.25">
      <c r="A490" t="s">
        <v>11</v>
      </c>
      <c r="B490" t="s">
        <v>6</v>
      </c>
      <c r="C490">
        <v>2044</v>
      </c>
      <c r="D490" t="s">
        <v>7</v>
      </c>
      <c r="E490">
        <v>287896.11000703461</v>
      </c>
    </row>
    <row r="491" spans="1:5" hidden="1" x14ac:dyDescent="0.25">
      <c r="A491" t="s">
        <v>11</v>
      </c>
      <c r="B491" t="s">
        <v>6</v>
      </c>
      <c r="C491">
        <v>2044</v>
      </c>
      <c r="D491" t="s">
        <v>8</v>
      </c>
      <c r="E491">
        <v>1723074.898682439</v>
      </c>
    </row>
    <row r="492" spans="1:5" hidden="1" x14ac:dyDescent="0.25">
      <c r="A492" t="s">
        <v>11</v>
      </c>
      <c r="B492" t="s">
        <v>6</v>
      </c>
      <c r="C492">
        <v>2044</v>
      </c>
      <c r="D492" t="s">
        <v>14</v>
      </c>
      <c r="E492">
        <v>2809.874973274691</v>
      </c>
    </row>
    <row r="493" spans="1:5" hidden="1" x14ac:dyDescent="0.25">
      <c r="A493" t="s">
        <v>11</v>
      </c>
      <c r="B493" t="s">
        <v>6</v>
      </c>
      <c r="C493">
        <v>2044</v>
      </c>
      <c r="D493" t="s">
        <v>13</v>
      </c>
      <c r="E493">
        <v>98261.826629875824</v>
      </c>
    </row>
    <row r="494" spans="1:5" hidden="1" x14ac:dyDescent="0.25">
      <c r="A494" t="s">
        <v>11</v>
      </c>
      <c r="B494" t="s">
        <v>6</v>
      </c>
      <c r="C494">
        <v>2044</v>
      </c>
      <c r="D494" t="s">
        <v>12</v>
      </c>
      <c r="E494">
        <v>8480.9757459360007</v>
      </c>
    </row>
    <row r="495" spans="1:5" hidden="1" x14ac:dyDescent="0.25">
      <c r="A495" t="s">
        <v>11</v>
      </c>
      <c r="B495" t="s">
        <v>6</v>
      </c>
      <c r="C495">
        <v>2044</v>
      </c>
      <c r="D495" t="s">
        <v>9</v>
      </c>
      <c r="E495">
        <v>234717.87047225531</v>
      </c>
    </row>
    <row r="496" spans="1:5" hidden="1" x14ac:dyDescent="0.25">
      <c r="A496" t="s">
        <v>11</v>
      </c>
      <c r="B496" t="s">
        <v>6</v>
      </c>
      <c r="C496">
        <v>2045</v>
      </c>
      <c r="D496" t="s">
        <v>7</v>
      </c>
      <c r="E496">
        <v>294169.31482644973</v>
      </c>
    </row>
    <row r="497" spans="1:5" hidden="1" x14ac:dyDescent="0.25">
      <c r="A497" t="s">
        <v>11</v>
      </c>
      <c r="B497" t="s">
        <v>6</v>
      </c>
      <c r="C497">
        <v>2045</v>
      </c>
      <c r="D497" t="s">
        <v>8</v>
      </c>
      <c r="E497">
        <v>1771351.8745422291</v>
      </c>
    </row>
    <row r="498" spans="1:5" hidden="1" x14ac:dyDescent="0.25">
      <c r="A498" t="s">
        <v>11</v>
      </c>
      <c r="B498" t="s">
        <v>6</v>
      </c>
      <c r="C498">
        <v>2045</v>
      </c>
      <c r="D498" t="s">
        <v>14</v>
      </c>
      <c r="E498">
        <v>2733.6026746399152</v>
      </c>
    </row>
    <row r="499" spans="1:5" hidden="1" x14ac:dyDescent="0.25">
      <c r="A499" t="s">
        <v>11</v>
      </c>
      <c r="B499" t="s">
        <v>6</v>
      </c>
      <c r="C499">
        <v>2045</v>
      </c>
      <c r="D499" t="s">
        <v>13</v>
      </c>
      <c r="E499">
        <v>101108.7429889249</v>
      </c>
    </row>
    <row r="500" spans="1:5" hidden="1" x14ac:dyDescent="0.25">
      <c r="A500" t="s">
        <v>11</v>
      </c>
      <c r="B500" t="s">
        <v>6</v>
      </c>
      <c r="C500">
        <v>2045</v>
      </c>
      <c r="D500" t="s">
        <v>12</v>
      </c>
      <c r="E500">
        <v>8772.9085878634942</v>
      </c>
    </row>
    <row r="501" spans="1:5" hidden="1" x14ac:dyDescent="0.25">
      <c r="A501" t="s">
        <v>11</v>
      </c>
      <c r="B501" t="s">
        <v>6</v>
      </c>
      <c r="C501">
        <v>2045</v>
      </c>
      <c r="D501" t="s">
        <v>9</v>
      </c>
      <c r="E501">
        <v>242703.85470925749</v>
      </c>
    </row>
    <row r="502" spans="1:5" hidden="1" x14ac:dyDescent="0.25">
      <c r="A502" t="s">
        <v>11</v>
      </c>
      <c r="B502" t="s">
        <v>6</v>
      </c>
      <c r="C502">
        <v>2046</v>
      </c>
      <c r="D502" t="s">
        <v>7</v>
      </c>
      <c r="E502">
        <v>299185.65248007391</v>
      </c>
    </row>
    <row r="503" spans="1:5" hidden="1" x14ac:dyDescent="0.25">
      <c r="A503" t="s">
        <v>11</v>
      </c>
      <c r="B503" t="s">
        <v>6</v>
      </c>
      <c r="C503">
        <v>2046</v>
      </c>
      <c r="D503" t="s">
        <v>8</v>
      </c>
      <c r="E503">
        <v>1805349.7266940761</v>
      </c>
    </row>
    <row r="504" spans="1:5" hidden="1" x14ac:dyDescent="0.25">
      <c r="A504" t="s">
        <v>11</v>
      </c>
      <c r="B504" t="s">
        <v>6</v>
      </c>
      <c r="C504">
        <v>2046</v>
      </c>
      <c r="D504" t="s">
        <v>14</v>
      </c>
      <c r="E504">
        <v>2638.7948547962201</v>
      </c>
    </row>
    <row r="505" spans="1:5" hidden="1" x14ac:dyDescent="0.25">
      <c r="A505" t="s">
        <v>11</v>
      </c>
      <c r="B505" t="s">
        <v>6</v>
      </c>
      <c r="C505">
        <v>2046</v>
      </c>
      <c r="D505" t="s">
        <v>13</v>
      </c>
      <c r="E505">
        <v>103685.3979909319</v>
      </c>
    </row>
    <row r="506" spans="1:5" hidden="1" x14ac:dyDescent="0.25">
      <c r="A506" t="s">
        <v>11</v>
      </c>
      <c r="B506" t="s">
        <v>6</v>
      </c>
      <c r="C506">
        <v>2046</v>
      </c>
      <c r="D506" t="s">
        <v>12</v>
      </c>
      <c r="E506">
        <v>9048.1874414900576</v>
      </c>
    </row>
    <row r="507" spans="1:5" hidden="1" x14ac:dyDescent="0.25">
      <c r="A507" t="s">
        <v>11</v>
      </c>
      <c r="B507" t="s">
        <v>6</v>
      </c>
      <c r="C507">
        <v>2046</v>
      </c>
      <c r="D507" t="s">
        <v>9</v>
      </c>
      <c r="E507">
        <v>248565.8647951083</v>
      </c>
    </row>
    <row r="508" spans="1:5" hidden="1" x14ac:dyDescent="0.25">
      <c r="A508" t="s">
        <v>11</v>
      </c>
      <c r="B508" t="s">
        <v>6</v>
      </c>
      <c r="C508">
        <v>2047</v>
      </c>
      <c r="D508" t="s">
        <v>7</v>
      </c>
      <c r="E508">
        <v>303595.53829265188</v>
      </c>
    </row>
    <row r="509" spans="1:5" hidden="1" x14ac:dyDescent="0.25">
      <c r="A509" t="s">
        <v>11</v>
      </c>
      <c r="B509" t="s">
        <v>6</v>
      </c>
      <c r="C509">
        <v>2047</v>
      </c>
      <c r="D509" t="s">
        <v>8</v>
      </c>
      <c r="E509">
        <v>1841523.586009409</v>
      </c>
    </row>
    <row r="510" spans="1:5" hidden="1" x14ac:dyDescent="0.25">
      <c r="A510" t="s">
        <v>11</v>
      </c>
      <c r="B510" t="s">
        <v>6</v>
      </c>
      <c r="C510">
        <v>2047</v>
      </c>
      <c r="D510" t="s">
        <v>14</v>
      </c>
      <c r="E510">
        <v>2529.0240966297129</v>
      </c>
    </row>
    <row r="511" spans="1:5" hidden="1" x14ac:dyDescent="0.25">
      <c r="A511" t="s">
        <v>11</v>
      </c>
      <c r="B511" t="s">
        <v>6</v>
      </c>
      <c r="C511">
        <v>2047</v>
      </c>
      <c r="D511" t="s">
        <v>13</v>
      </c>
      <c r="E511">
        <v>106099.4604291663</v>
      </c>
    </row>
    <row r="512" spans="1:5" hidden="1" x14ac:dyDescent="0.25">
      <c r="A512" t="s">
        <v>11</v>
      </c>
      <c r="B512" t="s">
        <v>6</v>
      </c>
      <c r="C512">
        <v>2047</v>
      </c>
      <c r="D512" t="s">
        <v>12</v>
      </c>
      <c r="E512">
        <v>9315.0825232605057</v>
      </c>
    </row>
    <row r="513" spans="1:5" hidden="1" x14ac:dyDescent="0.25">
      <c r="A513" t="s">
        <v>11</v>
      </c>
      <c r="B513" t="s">
        <v>6</v>
      </c>
      <c r="C513">
        <v>2047</v>
      </c>
      <c r="D513" t="s">
        <v>9</v>
      </c>
      <c r="E513">
        <v>254040.75377202689</v>
      </c>
    </row>
    <row r="514" spans="1:5" hidden="1" x14ac:dyDescent="0.25">
      <c r="A514" t="s">
        <v>11</v>
      </c>
      <c r="B514" t="s">
        <v>6</v>
      </c>
      <c r="C514">
        <v>2048</v>
      </c>
      <c r="D514" t="s">
        <v>7</v>
      </c>
      <c r="E514">
        <v>307350.78765564441</v>
      </c>
    </row>
    <row r="515" spans="1:5" hidden="1" x14ac:dyDescent="0.25">
      <c r="A515" t="s">
        <v>11</v>
      </c>
      <c r="B515" t="s">
        <v>6</v>
      </c>
      <c r="C515">
        <v>2048</v>
      </c>
      <c r="D515" t="s">
        <v>8</v>
      </c>
      <c r="E515">
        <v>1874301.5078261979</v>
      </c>
    </row>
    <row r="516" spans="1:5" hidden="1" x14ac:dyDescent="0.25">
      <c r="A516" t="s">
        <v>11</v>
      </c>
      <c r="B516" t="s">
        <v>6</v>
      </c>
      <c r="C516">
        <v>2048</v>
      </c>
      <c r="D516" t="s">
        <v>14</v>
      </c>
      <c r="E516">
        <v>2404.397284927114</v>
      </c>
    </row>
    <row r="517" spans="1:5" hidden="1" x14ac:dyDescent="0.25">
      <c r="A517" t="s">
        <v>11</v>
      </c>
      <c r="B517" t="s">
        <v>6</v>
      </c>
      <c r="C517">
        <v>2048</v>
      </c>
      <c r="D517" t="s">
        <v>13</v>
      </c>
      <c r="E517">
        <v>108332.7260275945</v>
      </c>
    </row>
    <row r="518" spans="1:5" hidden="1" x14ac:dyDescent="0.25">
      <c r="A518" t="s">
        <v>11</v>
      </c>
      <c r="B518" t="s">
        <v>6</v>
      </c>
      <c r="C518">
        <v>2048</v>
      </c>
      <c r="D518" t="s">
        <v>12</v>
      </c>
      <c r="E518">
        <v>9571.8905020052352</v>
      </c>
    </row>
    <row r="519" spans="1:5" hidden="1" x14ac:dyDescent="0.25">
      <c r="A519" t="s">
        <v>11</v>
      </c>
      <c r="B519" t="s">
        <v>6</v>
      </c>
      <c r="C519">
        <v>2048</v>
      </c>
      <c r="D519" t="s">
        <v>9</v>
      </c>
      <c r="E519">
        <v>258986.27409537949</v>
      </c>
    </row>
    <row r="520" spans="1:5" hidden="1" x14ac:dyDescent="0.25">
      <c r="A520" t="s">
        <v>11</v>
      </c>
      <c r="B520" t="s">
        <v>6</v>
      </c>
      <c r="C520">
        <v>2049</v>
      </c>
      <c r="D520" t="s">
        <v>7</v>
      </c>
      <c r="E520">
        <v>310458.59121765557</v>
      </c>
    </row>
    <row r="521" spans="1:5" hidden="1" x14ac:dyDescent="0.25">
      <c r="A521" t="s">
        <v>11</v>
      </c>
      <c r="B521" t="s">
        <v>6</v>
      </c>
      <c r="C521">
        <v>2049</v>
      </c>
      <c r="D521" t="s">
        <v>8</v>
      </c>
      <c r="E521">
        <v>1909962.4565747799</v>
      </c>
    </row>
    <row r="522" spans="1:5" hidden="1" x14ac:dyDescent="0.25">
      <c r="A522" t="s">
        <v>11</v>
      </c>
      <c r="B522" t="s">
        <v>6</v>
      </c>
      <c r="C522">
        <v>2049</v>
      </c>
      <c r="D522" t="s">
        <v>14</v>
      </c>
      <c r="E522">
        <v>2265.5210593688689</v>
      </c>
    </row>
    <row r="523" spans="1:5" hidden="1" x14ac:dyDescent="0.25">
      <c r="A523" t="s">
        <v>11</v>
      </c>
      <c r="B523" t="s">
        <v>6</v>
      </c>
      <c r="C523">
        <v>2049</v>
      </c>
      <c r="D523" t="s">
        <v>13</v>
      </c>
      <c r="E523">
        <v>110384.53751410999</v>
      </c>
    </row>
    <row r="524" spans="1:5" hidden="1" x14ac:dyDescent="0.25">
      <c r="A524" t="s">
        <v>11</v>
      </c>
      <c r="B524" t="s">
        <v>6</v>
      </c>
      <c r="C524">
        <v>2049</v>
      </c>
      <c r="D524" t="s">
        <v>12</v>
      </c>
      <c r="E524">
        <v>9818.2912481072563</v>
      </c>
    </row>
    <row r="525" spans="1:5" hidden="1" x14ac:dyDescent="0.25">
      <c r="A525" t="s">
        <v>11</v>
      </c>
      <c r="B525" t="s">
        <v>6</v>
      </c>
      <c r="C525">
        <v>2049</v>
      </c>
      <c r="D525" t="s">
        <v>9</v>
      </c>
      <c r="E525">
        <v>263750.92123161658</v>
      </c>
    </row>
    <row r="526" spans="1:5" hidden="1" x14ac:dyDescent="0.25">
      <c r="A526" t="s">
        <v>11</v>
      </c>
      <c r="B526" t="s">
        <v>6</v>
      </c>
      <c r="C526">
        <v>2050</v>
      </c>
      <c r="D526" t="s">
        <v>7</v>
      </c>
      <c r="E526">
        <v>312938.57834508852</v>
      </c>
    </row>
    <row r="527" spans="1:5" hidden="1" x14ac:dyDescent="0.25">
      <c r="A527" t="s">
        <v>11</v>
      </c>
      <c r="B527" t="s">
        <v>6</v>
      </c>
      <c r="C527">
        <v>2050</v>
      </c>
      <c r="D527" t="s">
        <v>8</v>
      </c>
      <c r="E527">
        <v>1929875.1107977049</v>
      </c>
    </row>
    <row r="528" spans="1:5" hidden="1" x14ac:dyDescent="0.25">
      <c r="A528" t="s">
        <v>11</v>
      </c>
      <c r="B528" t="s">
        <v>6</v>
      </c>
      <c r="C528">
        <v>2050</v>
      </c>
      <c r="D528" t="s">
        <v>14</v>
      </c>
      <c r="E528">
        <v>2113.3460093977769</v>
      </c>
    </row>
    <row r="529" spans="1:5" hidden="1" x14ac:dyDescent="0.25">
      <c r="A529" t="s">
        <v>11</v>
      </c>
      <c r="B529" t="s">
        <v>6</v>
      </c>
      <c r="C529">
        <v>2050</v>
      </c>
      <c r="D529" t="s">
        <v>13</v>
      </c>
      <c r="E529">
        <v>112271.1034676221</v>
      </c>
    </row>
    <row r="530" spans="1:5" hidden="1" x14ac:dyDescent="0.25">
      <c r="A530" t="s">
        <v>11</v>
      </c>
      <c r="B530" t="s">
        <v>6</v>
      </c>
      <c r="C530">
        <v>2050</v>
      </c>
      <c r="D530" t="s">
        <v>12</v>
      </c>
      <c r="E530">
        <v>10055.35266564736</v>
      </c>
    </row>
    <row r="531" spans="1:5" hidden="1" x14ac:dyDescent="0.25">
      <c r="A531" t="s">
        <v>11</v>
      </c>
      <c r="B531" t="s">
        <v>6</v>
      </c>
      <c r="C531">
        <v>2050</v>
      </c>
      <c r="D531" t="s">
        <v>9</v>
      </c>
      <c r="E531">
        <v>267966.23531563772</v>
      </c>
    </row>
  </sheetData>
  <autoFilter ref="A1:E531" xr:uid="{00000000-0001-0000-0000-000000000000}">
    <filterColumn colId="0">
      <filters>
        <filter val="Canada Net-zero"/>
      </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98D3D-BB27-4896-BD05-AB96D548E28E}">
  <dimension ref="A1:G277"/>
  <sheetViews>
    <sheetView workbookViewId="0">
      <selection activeCell="G2" sqref="G2"/>
    </sheetView>
  </sheetViews>
  <sheetFormatPr baseColWidth="10" defaultRowHeight="15" x14ac:dyDescent="0.25"/>
  <cols>
    <col min="1" max="1" width="12" bestFit="1" customWidth="1"/>
    <col min="2" max="2" width="7.28515625" bestFit="1" customWidth="1"/>
    <col min="3" max="3" width="19.42578125" bestFit="1" customWidth="1"/>
    <col min="4" max="4" width="12" bestFit="1" customWidth="1"/>
    <col min="5" max="5" width="10.42578125" bestFit="1" customWidth="1"/>
    <col min="6" max="6" width="17.28515625" bestFit="1" customWidth="1"/>
    <col min="7" max="7" width="18.140625" bestFit="1" customWidth="1"/>
  </cols>
  <sheetData>
    <row r="1" spans="1:7" s="1" customFormat="1" x14ac:dyDescent="0.25">
      <c r="A1" s="1" t="s">
        <v>3</v>
      </c>
      <c r="B1" s="1" t="s">
        <v>2</v>
      </c>
      <c r="C1" s="1" t="s">
        <v>0</v>
      </c>
      <c r="D1" s="1" t="s">
        <v>15</v>
      </c>
      <c r="E1" s="1" t="s">
        <v>16</v>
      </c>
      <c r="F1" s="1" t="s">
        <v>17</v>
      </c>
      <c r="G1" s="1" t="s">
        <v>18</v>
      </c>
    </row>
    <row r="2" spans="1:7" x14ac:dyDescent="0.25">
      <c r="A2" t="s">
        <v>7</v>
      </c>
      <c r="B2">
        <v>2018</v>
      </c>
      <c r="C2" t="s">
        <v>19</v>
      </c>
      <c r="D2">
        <v>4.1361000000000008</v>
      </c>
      <c r="E2" t="s">
        <v>20</v>
      </c>
      <c r="F2">
        <v>4136.1000000000004</v>
      </c>
      <c r="G2">
        <v>1817.1813303379115</v>
      </c>
    </row>
    <row r="3" spans="1:7" x14ac:dyDescent="0.25">
      <c r="A3" t="s">
        <v>7</v>
      </c>
      <c r="B3">
        <v>2019</v>
      </c>
      <c r="C3" t="s">
        <v>19</v>
      </c>
      <c r="D3">
        <v>3.4330000000000003</v>
      </c>
      <c r="E3" t="s">
        <v>20</v>
      </c>
      <c r="F3">
        <v>3433.0000000000005</v>
      </c>
      <c r="G3">
        <v>1508.2767600033969</v>
      </c>
    </row>
    <row r="4" spans="1:7" x14ac:dyDescent="0.25">
      <c r="A4" t="s">
        <v>7</v>
      </c>
      <c r="B4">
        <v>2020</v>
      </c>
      <c r="C4" t="s">
        <v>19</v>
      </c>
      <c r="D4">
        <v>3.2363240000000002</v>
      </c>
      <c r="E4" t="s">
        <v>20</v>
      </c>
      <c r="F4">
        <v>3236.3240000000001</v>
      </c>
      <c r="G4">
        <v>1421.8678348503447</v>
      </c>
    </row>
    <row r="5" spans="1:7" x14ac:dyDescent="0.25">
      <c r="A5" t="s">
        <v>7</v>
      </c>
      <c r="B5">
        <v>2021</v>
      </c>
      <c r="C5" t="s">
        <v>19</v>
      </c>
      <c r="D5">
        <v>3.8086570000000002</v>
      </c>
      <c r="E5" t="s">
        <v>20</v>
      </c>
      <c r="F5">
        <v>3808.6570000000002</v>
      </c>
      <c r="G5">
        <v>1673.3203728296701</v>
      </c>
    </row>
    <row r="6" spans="1:7" x14ac:dyDescent="0.25">
      <c r="A6" t="s">
        <v>7</v>
      </c>
      <c r="B6">
        <v>2022</v>
      </c>
      <c r="C6" t="s">
        <v>19</v>
      </c>
      <c r="D6">
        <v>2.536143</v>
      </c>
      <c r="E6" t="s">
        <v>20</v>
      </c>
      <c r="F6">
        <v>2536.143</v>
      </c>
      <c r="G6">
        <v>1114.2457171410704</v>
      </c>
    </row>
    <row r="7" spans="1:7" x14ac:dyDescent="0.25">
      <c r="A7" t="s">
        <v>7</v>
      </c>
      <c r="B7">
        <v>2023</v>
      </c>
      <c r="C7" t="s">
        <v>19</v>
      </c>
      <c r="D7">
        <v>4.7960000000000003</v>
      </c>
      <c r="E7" t="s">
        <v>20</v>
      </c>
      <c r="F7">
        <v>4796</v>
      </c>
      <c r="G7">
        <v>2107.1061290347484</v>
      </c>
    </row>
    <row r="8" spans="1:7" x14ac:dyDescent="0.25">
      <c r="A8" t="s">
        <v>7</v>
      </c>
      <c r="B8">
        <v>2024</v>
      </c>
      <c r="C8" t="s">
        <v>19</v>
      </c>
      <c r="D8">
        <v>3.3809999999999998</v>
      </c>
      <c r="E8" t="s">
        <v>20</v>
      </c>
      <c r="F8">
        <v>3381</v>
      </c>
      <c r="G8">
        <v>1485.4307385876739</v>
      </c>
    </row>
    <row r="9" spans="1:7" x14ac:dyDescent="0.25">
      <c r="A9" t="s">
        <v>7</v>
      </c>
      <c r="B9">
        <v>2025</v>
      </c>
      <c r="C9" t="s">
        <v>19</v>
      </c>
      <c r="D9">
        <v>3.4940000000000002</v>
      </c>
      <c r="E9" t="s">
        <v>20</v>
      </c>
      <c r="F9">
        <v>3494</v>
      </c>
      <c r="G9">
        <v>1535.0769005103025</v>
      </c>
    </row>
    <row r="10" spans="1:7" x14ac:dyDescent="0.25">
      <c r="A10" t="s">
        <v>7</v>
      </c>
      <c r="B10">
        <v>2026</v>
      </c>
      <c r="C10" t="s">
        <v>19</v>
      </c>
      <c r="D10">
        <v>3.4940000000000002</v>
      </c>
      <c r="E10" t="s">
        <v>20</v>
      </c>
      <c r="F10">
        <v>3494</v>
      </c>
      <c r="G10">
        <v>1535.0769005103025</v>
      </c>
    </row>
    <row r="11" spans="1:7" x14ac:dyDescent="0.25">
      <c r="A11" t="s">
        <v>7</v>
      </c>
      <c r="B11">
        <v>2027</v>
      </c>
      <c r="C11" t="s">
        <v>19</v>
      </c>
      <c r="D11">
        <v>4.1760000000000002</v>
      </c>
      <c r="E11" t="s">
        <v>20</v>
      </c>
      <c r="F11">
        <v>4176</v>
      </c>
      <c r="G11">
        <v>1834.7112583088217</v>
      </c>
    </row>
    <row r="12" spans="1:7" x14ac:dyDescent="0.25">
      <c r="A12" t="s">
        <v>7</v>
      </c>
      <c r="B12">
        <v>2028</v>
      </c>
      <c r="C12" t="s">
        <v>19</v>
      </c>
      <c r="D12">
        <v>4.1760000000000002</v>
      </c>
      <c r="E12" t="s">
        <v>20</v>
      </c>
      <c r="F12">
        <v>4176</v>
      </c>
      <c r="G12">
        <v>1834.7112583088217</v>
      </c>
    </row>
    <row r="13" spans="1:7" x14ac:dyDescent="0.25">
      <c r="A13" t="s">
        <v>7</v>
      </c>
      <c r="B13">
        <v>2029</v>
      </c>
      <c r="C13" t="s">
        <v>19</v>
      </c>
      <c r="D13">
        <v>3.8610000000000002</v>
      </c>
      <c r="E13" t="s">
        <v>20</v>
      </c>
      <c r="F13">
        <v>3861</v>
      </c>
      <c r="G13">
        <v>1696.3170901174235</v>
      </c>
    </row>
    <row r="14" spans="1:7" x14ac:dyDescent="0.25">
      <c r="A14" t="s">
        <v>7</v>
      </c>
      <c r="B14">
        <v>2030</v>
      </c>
      <c r="C14" t="s">
        <v>19</v>
      </c>
      <c r="D14">
        <v>3.8610000000000002</v>
      </c>
      <c r="E14" t="s">
        <v>20</v>
      </c>
      <c r="F14">
        <v>3861</v>
      </c>
      <c r="G14">
        <v>1696.3170901174235</v>
      </c>
    </row>
    <row r="15" spans="1:7" x14ac:dyDescent="0.25">
      <c r="A15" t="s">
        <v>7</v>
      </c>
      <c r="B15">
        <v>2031</v>
      </c>
      <c r="C15" t="s">
        <v>19</v>
      </c>
      <c r="D15">
        <v>3.7069999999999999</v>
      </c>
      <c r="E15" t="s">
        <v>20</v>
      </c>
      <c r="F15">
        <v>3707</v>
      </c>
      <c r="G15">
        <v>1628.6577190016289</v>
      </c>
    </row>
    <row r="16" spans="1:7" x14ac:dyDescent="0.25">
      <c r="A16" t="s">
        <v>7</v>
      </c>
      <c r="B16">
        <v>2032</v>
      </c>
      <c r="C16" t="s">
        <v>19</v>
      </c>
      <c r="D16">
        <v>3.3919999999999999</v>
      </c>
      <c r="E16" t="s">
        <v>20</v>
      </c>
      <c r="F16">
        <v>3392</v>
      </c>
      <c r="G16">
        <v>1490.2635508102308</v>
      </c>
    </row>
    <row r="17" spans="1:7" x14ac:dyDescent="0.25">
      <c r="A17" t="s">
        <v>7</v>
      </c>
      <c r="B17">
        <v>2033</v>
      </c>
      <c r="C17" t="s">
        <v>19</v>
      </c>
      <c r="D17">
        <v>3.0790000000000002</v>
      </c>
      <c r="E17" t="s">
        <v>20</v>
      </c>
      <c r="F17">
        <v>3079</v>
      </c>
      <c r="G17">
        <v>1352.7480757502065</v>
      </c>
    </row>
    <row r="18" spans="1:7" x14ac:dyDescent="0.25">
      <c r="A18" t="s">
        <v>7</v>
      </c>
      <c r="B18">
        <v>2034</v>
      </c>
      <c r="C18" t="s">
        <v>19</v>
      </c>
      <c r="D18">
        <v>3.0790000000000002</v>
      </c>
      <c r="E18" t="s">
        <v>20</v>
      </c>
      <c r="F18">
        <v>3079</v>
      </c>
      <c r="G18">
        <v>1352.7480757502065</v>
      </c>
    </row>
    <row r="19" spans="1:7" x14ac:dyDescent="0.25">
      <c r="A19" t="s">
        <v>7</v>
      </c>
      <c r="B19">
        <v>2035</v>
      </c>
      <c r="C19" t="s">
        <v>19</v>
      </c>
      <c r="D19">
        <v>3.0790000000000002</v>
      </c>
      <c r="E19" t="s">
        <v>20</v>
      </c>
      <c r="F19">
        <v>3079</v>
      </c>
      <c r="G19">
        <v>1352.7480757502065</v>
      </c>
    </row>
    <row r="20" spans="1:7" x14ac:dyDescent="0.25">
      <c r="A20" t="s">
        <v>7</v>
      </c>
      <c r="B20">
        <v>2036</v>
      </c>
      <c r="C20" t="s">
        <v>19</v>
      </c>
      <c r="D20">
        <v>2.8370000000000002</v>
      </c>
      <c r="E20" t="s">
        <v>20</v>
      </c>
      <c r="F20">
        <v>2837</v>
      </c>
      <c r="G20">
        <v>1246.4262068539576</v>
      </c>
    </row>
    <row r="21" spans="1:7" x14ac:dyDescent="0.25">
      <c r="A21" t="s">
        <v>7</v>
      </c>
      <c r="B21">
        <v>2037</v>
      </c>
      <c r="C21" t="s">
        <v>19</v>
      </c>
      <c r="D21">
        <v>0.94699999999999995</v>
      </c>
      <c r="E21" t="s">
        <v>20</v>
      </c>
      <c r="F21">
        <v>947</v>
      </c>
      <c r="G21">
        <v>416.06119770556853</v>
      </c>
    </row>
    <row r="22" spans="1:7" x14ac:dyDescent="0.25">
      <c r="A22" t="s">
        <v>7</v>
      </c>
      <c r="B22">
        <v>2038</v>
      </c>
      <c r="C22" t="s">
        <v>19</v>
      </c>
      <c r="D22">
        <v>0.26100000000000001</v>
      </c>
      <c r="E22" t="s">
        <v>20</v>
      </c>
      <c r="F22">
        <v>261</v>
      </c>
      <c r="G22">
        <v>114.66945364430136</v>
      </c>
    </row>
    <row r="23" spans="1:7" x14ac:dyDescent="0.25">
      <c r="A23" t="s">
        <v>7</v>
      </c>
      <c r="B23">
        <v>2039</v>
      </c>
      <c r="C23" t="s">
        <v>19</v>
      </c>
      <c r="D23">
        <v>0.26100000000000001</v>
      </c>
      <c r="E23" t="s">
        <v>20</v>
      </c>
      <c r="F23">
        <v>261</v>
      </c>
      <c r="G23">
        <v>114.66945364430136</v>
      </c>
    </row>
    <row r="24" spans="1:7" x14ac:dyDescent="0.25">
      <c r="A24" t="s">
        <v>7</v>
      </c>
      <c r="B24">
        <v>2040</v>
      </c>
      <c r="C24" t="s">
        <v>19</v>
      </c>
      <c r="D24">
        <v>0.26100000000000001</v>
      </c>
      <c r="E24" t="s">
        <v>20</v>
      </c>
      <c r="F24">
        <v>261</v>
      </c>
      <c r="G24">
        <v>114.66945364430136</v>
      </c>
    </row>
    <row r="25" spans="1:7" x14ac:dyDescent="0.25">
      <c r="A25" t="s">
        <v>7</v>
      </c>
      <c r="B25">
        <v>2018</v>
      </c>
      <c r="C25" t="s">
        <v>21</v>
      </c>
      <c r="D25">
        <v>4.1361000000000008</v>
      </c>
      <c r="E25" t="s">
        <v>20</v>
      </c>
      <c r="F25">
        <v>4136.1000000000004</v>
      </c>
      <c r="G25">
        <v>1817.1813303379115</v>
      </c>
    </row>
    <row r="26" spans="1:7" x14ac:dyDescent="0.25">
      <c r="A26" t="s">
        <v>7</v>
      </c>
      <c r="B26">
        <v>2019</v>
      </c>
      <c r="C26" t="s">
        <v>21</v>
      </c>
      <c r="D26">
        <v>3.4330000000000003</v>
      </c>
      <c r="E26" t="s">
        <v>20</v>
      </c>
      <c r="F26">
        <v>3433.0000000000005</v>
      </c>
      <c r="G26">
        <v>1508.2767600033969</v>
      </c>
    </row>
    <row r="27" spans="1:7" x14ac:dyDescent="0.25">
      <c r="A27" t="s">
        <v>7</v>
      </c>
      <c r="B27">
        <v>2020</v>
      </c>
      <c r="C27" t="s">
        <v>21</v>
      </c>
      <c r="D27">
        <v>3.2363240000000002</v>
      </c>
      <c r="E27" t="s">
        <v>20</v>
      </c>
      <c r="F27">
        <v>3236.3240000000001</v>
      </c>
      <c r="G27">
        <v>1421.8678348503447</v>
      </c>
    </row>
    <row r="28" spans="1:7" x14ac:dyDescent="0.25">
      <c r="A28" t="s">
        <v>7</v>
      </c>
      <c r="B28">
        <v>2021</v>
      </c>
      <c r="C28" t="s">
        <v>21</v>
      </c>
      <c r="D28">
        <v>3.8086570000000002</v>
      </c>
      <c r="E28" t="s">
        <v>20</v>
      </c>
      <c r="F28">
        <v>3808.6570000000002</v>
      </c>
      <c r="G28">
        <v>1673.3203728296701</v>
      </c>
    </row>
    <row r="29" spans="1:7" x14ac:dyDescent="0.25">
      <c r="A29" t="s">
        <v>7</v>
      </c>
      <c r="B29">
        <v>2022</v>
      </c>
      <c r="C29" t="s">
        <v>21</v>
      </c>
      <c r="D29">
        <v>2.536143</v>
      </c>
      <c r="E29" t="s">
        <v>20</v>
      </c>
      <c r="F29">
        <v>2536.143</v>
      </c>
      <c r="G29">
        <v>1114.2457171410704</v>
      </c>
    </row>
    <row r="30" spans="1:7" x14ac:dyDescent="0.25">
      <c r="A30" t="s">
        <v>7</v>
      </c>
      <c r="B30">
        <v>2023</v>
      </c>
      <c r="C30" t="s">
        <v>21</v>
      </c>
      <c r="D30">
        <v>4.7960000000000003</v>
      </c>
      <c r="E30" t="s">
        <v>20</v>
      </c>
      <c r="F30">
        <v>4796</v>
      </c>
      <c r="G30">
        <v>2107.1061290347484</v>
      </c>
    </row>
    <row r="31" spans="1:7" x14ac:dyDescent="0.25">
      <c r="A31" t="s">
        <v>7</v>
      </c>
      <c r="B31">
        <v>2024</v>
      </c>
      <c r="C31" t="s">
        <v>21</v>
      </c>
      <c r="D31">
        <v>3.3809999999999998</v>
      </c>
      <c r="E31" t="s">
        <v>20</v>
      </c>
      <c r="F31">
        <v>3381</v>
      </c>
      <c r="G31">
        <v>1485.4307385876739</v>
      </c>
    </row>
    <row r="32" spans="1:7" x14ac:dyDescent="0.25">
      <c r="A32" t="s">
        <v>7</v>
      </c>
      <c r="B32">
        <v>2025</v>
      </c>
      <c r="C32" t="s">
        <v>21</v>
      </c>
      <c r="D32">
        <v>3.8504060559825399</v>
      </c>
      <c r="E32" t="s">
        <v>20</v>
      </c>
      <c r="F32">
        <v>3850.4060559825398</v>
      </c>
      <c r="G32">
        <v>1691.6626771962724</v>
      </c>
    </row>
    <row r="33" spans="1:7" x14ac:dyDescent="0.25">
      <c r="A33" t="s">
        <v>7</v>
      </c>
      <c r="B33">
        <v>2026</v>
      </c>
      <c r="C33" t="s">
        <v>21</v>
      </c>
      <c r="D33">
        <v>4.4939999999999998</v>
      </c>
      <c r="E33" t="s">
        <v>20</v>
      </c>
      <c r="F33">
        <v>4494</v>
      </c>
      <c r="G33">
        <v>1974.423466197281</v>
      </c>
    </row>
    <row r="34" spans="1:7" x14ac:dyDescent="0.25">
      <c r="A34" t="s">
        <v>7</v>
      </c>
      <c r="B34">
        <v>2027</v>
      </c>
      <c r="C34" t="s">
        <v>21</v>
      </c>
      <c r="D34">
        <v>5.3070000000000004</v>
      </c>
      <c r="E34" t="s">
        <v>20</v>
      </c>
      <c r="F34">
        <v>5307</v>
      </c>
      <c r="G34">
        <v>2331.6122241007943</v>
      </c>
    </row>
    <row r="35" spans="1:7" x14ac:dyDescent="0.25">
      <c r="A35" t="s">
        <v>7</v>
      </c>
      <c r="B35">
        <v>2028</v>
      </c>
      <c r="C35" t="s">
        <v>21</v>
      </c>
      <c r="D35">
        <v>7.25</v>
      </c>
      <c r="E35" t="s">
        <v>20</v>
      </c>
      <c r="F35">
        <v>7250</v>
      </c>
      <c r="G35">
        <v>3185.2626012305932</v>
      </c>
    </row>
    <row r="36" spans="1:7" x14ac:dyDescent="0.25">
      <c r="A36" t="s">
        <v>7</v>
      </c>
      <c r="B36">
        <v>2029</v>
      </c>
      <c r="C36" t="s">
        <v>21</v>
      </c>
      <c r="D36">
        <v>6.7191794773198641</v>
      </c>
      <c r="E36" t="s">
        <v>20</v>
      </c>
      <c r="F36">
        <v>6719.1794773198644</v>
      </c>
      <c r="G36">
        <v>2952.0484275949088</v>
      </c>
    </row>
    <row r="37" spans="1:7" x14ac:dyDescent="0.25">
      <c r="A37" t="s">
        <v>7</v>
      </c>
      <c r="B37">
        <v>2030</v>
      </c>
      <c r="C37" t="s">
        <v>21</v>
      </c>
      <c r="D37">
        <v>7.7226911967684702</v>
      </c>
      <c r="E37" t="s">
        <v>20</v>
      </c>
      <c r="F37">
        <v>7722.69119676847</v>
      </c>
      <c r="G37">
        <v>3392.9378551612886</v>
      </c>
    </row>
    <row r="38" spans="1:7" x14ac:dyDescent="0.25">
      <c r="A38" t="s">
        <v>7</v>
      </c>
      <c r="B38">
        <v>2031</v>
      </c>
      <c r="C38" t="s">
        <v>21</v>
      </c>
      <c r="D38">
        <v>8.8760777297221907</v>
      </c>
      <c r="E38" t="s">
        <v>20</v>
      </c>
      <c r="F38">
        <v>8876.0777297221903</v>
      </c>
      <c r="G38">
        <v>3899.674267324116</v>
      </c>
    </row>
    <row r="39" spans="1:7" x14ac:dyDescent="0.25">
      <c r="A39" t="s">
        <v>7</v>
      </c>
      <c r="B39">
        <v>2032</v>
      </c>
      <c r="C39" t="s">
        <v>21</v>
      </c>
      <c r="D39">
        <v>10.201722930089112</v>
      </c>
      <c r="E39" t="s">
        <v>20</v>
      </c>
      <c r="F39">
        <v>10201.722930089112</v>
      </c>
      <c r="G39">
        <v>4482.0919334247501</v>
      </c>
    </row>
    <row r="40" spans="1:7" x14ac:dyDescent="0.25">
      <c r="A40" t="s">
        <v>7</v>
      </c>
      <c r="B40">
        <v>2033</v>
      </c>
      <c r="C40" t="s">
        <v>21</v>
      </c>
      <c r="D40">
        <v>11.725353687902352</v>
      </c>
      <c r="E40" t="s">
        <v>20</v>
      </c>
      <c r="F40">
        <v>11725.353687902352</v>
      </c>
      <c r="G40">
        <v>5151.4938742450449</v>
      </c>
    </row>
    <row r="41" spans="1:7" x14ac:dyDescent="0.25">
      <c r="A41" t="s">
        <v>7</v>
      </c>
      <c r="B41">
        <v>2034</v>
      </c>
      <c r="C41" t="s">
        <v>21</v>
      </c>
      <c r="D41">
        <v>13.476539212891987</v>
      </c>
      <c r="E41" t="s">
        <v>20</v>
      </c>
      <c r="F41">
        <v>13476.539212891987</v>
      </c>
      <c r="G41">
        <v>5920.8712205299889</v>
      </c>
    </row>
    <row r="42" spans="1:7" x14ac:dyDescent="0.25">
      <c r="A42" t="s">
        <v>7</v>
      </c>
      <c r="B42">
        <v>2035</v>
      </c>
      <c r="C42" t="s">
        <v>21</v>
      </c>
      <c r="D42">
        <v>15.489264886226762</v>
      </c>
      <c r="E42" t="s">
        <v>20</v>
      </c>
      <c r="F42">
        <v>15489.264886226762</v>
      </c>
      <c r="G42">
        <v>6805.1553327796337</v>
      </c>
    </row>
    <row r="43" spans="1:7" x14ac:dyDescent="0.25">
      <c r="A43" t="s">
        <v>7</v>
      </c>
      <c r="B43">
        <v>2036</v>
      </c>
      <c r="C43" t="s">
        <v>21</v>
      </c>
      <c r="D43">
        <v>17.802591817206793</v>
      </c>
      <c r="E43" t="s">
        <v>20</v>
      </c>
      <c r="F43">
        <v>17802.591817206794</v>
      </c>
      <c r="G43">
        <v>7821.5075752169087</v>
      </c>
    </row>
    <row r="44" spans="1:7" x14ac:dyDescent="0.25">
      <c r="A44" t="s">
        <v>7</v>
      </c>
      <c r="B44">
        <v>2037</v>
      </c>
      <c r="C44" t="s">
        <v>21</v>
      </c>
      <c r="D44">
        <v>20.461414904970614</v>
      </c>
      <c r="E44" t="s">
        <v>20</v>
      </c>
      <c r="F44">
        <v>20461.414904970614</v>
      </c>
      <c r="G44">
        <v>8989.6523675951903</v>
      </c>
    </row>
    <row r="45" spans="1:7" x14ac:dyDescent="0.25">
      <c r="A45" t="s">
        <v>7</v>
      </c>
      <c r="B45">
        <v>2038</v>
      </c>
      <c r="C45" t="s">
        <v>21</v>
      </c>
      <c r="D45">
        <v>23.517334116973664</v>
      </c>
      <c r="E45" t="s">
        <v>20</v>
      </c>
      <c r="F45">
        <v>23517.334116973663</v>
      </c>
      <c r="G45">
        <v>10332.259978405587</v>
      </c>
    </row>
    <row r="46" spans="1:7" x14ac:dyDescent="0.25">
      <c r="A46" t="s">
        <v>7</v>
      </c>
      <c r="B46">
        <v>2039</v>
      </c>
      <c r="C46" t="s">
        <v>21</v>
      </c>
      <c r="D46">
        <v>27.029655893201195</v>
      </c>
      <c r="E46" t="s">
        <v>20</v>
      </c>
      <c r="F46">
        <v>27029.655893201194</v>
      </c>
      <c r="G46">
        <v>11875.386488378741</v>
      </c>
    </row>
    <row r="47" spans="1:7" x14ac:dyDescent="0.25">
      <c r="A47" t="s">
        <v>7</v>
      </c>
      <c r="B47">
        <v>2040</v>
      </c>
      <c r="C47" t="s">
        <v>21</v>
      </c>
      <c r="D47">
        <v>31.066544110437789</v>
      </c>
      <c r="E47" t="s">
        <v>20</v>
      </c>
      <c r="F47">
        <v>31066.54411043779</v>
      </c>
      <c r="G47">
        <v>13648.979462683868</v>
      </c>
    </row>
    <row r="48" spans="1:7" x14ac:dyDescent="0.25">
      <c r="A48" t="s">
        <v>8</v>
      </c>
      <c r="B48">
        <v>2018</v>
      </c>
      <c r="C48" t="s">
        <v>19</v>
      </c>
      <c r="D48">
        <v>535.50900000000001</v>
      </c>
      <c r="E48" t="s">
        <v>20</v>
      </c>
      <c r="F48">
        <v>535509</v>
      </c>
      <c r="G48">
        <v>447013.86864406778</v>
      </c>
    </row>
    <row r="49" spans="1:7" x14ac:dyDescent="0.25">
      <c r="A49" t="s">
        <v>8</v>
      </c>
      <c r="B49">
        <v>2019</v>
      </c>
      <c r="C49" t="s">
        <v>19</v>
      </c>
      <c r="D49">
        <v>557.84900000000005</v>
      </c>
      <c r="E49" t="s">
        <v>20</v>
      </c>
      <c r="F49">
        <v>557849</v>
      </c>
      <c r="G49">
        <v>465662.08898305084</v>
      </c>
    </row>
    <row r="50" spans="1:7" x14ac:dyDescent="0.25">
      <c r="A50" t="s">
        <v>8</v>
      </c>
      <c r="B50">
        <v>2020</v>
      </c>
      <c r="C50" t="s">
        <v>19</v>
      </c>
      <c r="D50">
        <v>530.92100000000005</v>
      </c>
      <c r="E50" t="s">
        <v>20</v>
      </c>
      <c r="F50">
        <v>530921</v>
      </c>
      <c r="G50">
        <v>443184.05508474575</v>
      </c>
    </row>
    <row r="51" spans="1:7" x14ac:dyDescent="0.25">
      <c r="A51" t="s">
        <v>8</v>
      </c>
      <c r="B51">
        <v>2021</v>
      </c>
      <c r="C51" t="s">
        <v>19</v>
      </c>
      <c r="D51">
        <v>488.52199999999999</v>
      </c>
      <c r="E51" t="s">
        <v>20</v>
      </c>
      <c r="F51">
        <v>488522</v>
      </c>
      <c r="G51">
        <v>407791.66949152545</v>
      </c>
    </row>
    <row r="52" spans="1:7" x14ac:dyDescent="0.25">
      <c r="A52" t="s">
        <v>8</v>
      </c>
      <c r="B52">
        <v>2022</v>
      </c>
      <c r="C52" t="s">
        <v>19</v>
      </c>
      <c r="D52">
        <v>460.41500000000002</v>
      </c>
      <c r="E52" t="s">
        <v>20</v>
      </c>
      <c r="F52">
        <v>460415</v>
      </c>
      <c r="G52">
        <v>384329.47033898305</v>
      </c>
    </row>
    <row r="53" spans="1:7" x14ac:dyDescent="0.25">
      <c r="A53" t="s">
        <v>8</v>
      </c>
      <c r="B53">
        <v>2023</v>
      </c>
      <c r="C53" t="s">
        <v>19</v>
      </c>
      <c r="D53">
        <v>404.04599999999999</v>
      </c>
      <c r="E53" t="s">
        <v>20</v>
      </c>
      <c r="F53">
        <v>404046</v>
      </c>
      <c r="G53">
        <v>337275.68644067796</v>
      </c>
    </row>
    <row r="54" spans="1:7" x14ac:dyDescent="0.25">
      <c r="A54" t="s">
        <v>8</v>
      </c>
      <c r="B54">
        <v>2024</v>
      </c>
      <c r="C54" t="s">
        <v>19</v>
      </c>
      <c r="D54">
        <v>478.89299999999997</v>
      </c>
      <c r="E54" t="s">
        <v>20</v>
      </c>
      <c r="F54">
        <v>478893</v>
      </c>
      <c r="G54">
        <v>399753.90254237287</v>
      </c>
    </row>
    <row r="55" spans="1:7" x14ac:dyDescent="0.25">
      <c r="A55" t="s">
        <v>8</v>
      </c>
      <c r="B55">
        <v>2025</v>
      </c>
      <c r="C55" t="s">
        <v>19</v>
      </c>
      <c r="D55">
        <v>483.88799999999998</v>
      </c>
      <c r="E55" t="s">
        <v>20</v>
      </c>
      <c r="F55">
        <v>483888</v>
      </c>
      <c r="G55">
        <v>403923.45762711862</v>
      </c>
    </row>
    <row r="56" spans="1:7" x14ac:dyDescent="0.25">
      <c r="A56" t="s">
        <v>8</v>
      </c>
      <c r="B56">
        <v>2026</v>
      </c>
      <c r="C56" t="s">
        <v>19</v>
      </c>
      <c r="D56">
        <v>475.56599999999997</v>
      </c>
      <c r="E56" t="s">
        <v>20</v>
      </c>
      <c r="F56">
        <v>475566</v>
      </c>
      <c r="G56">
        <v>396976.70338983048</v>
      </c>
    </row>
    <row r="57" spans="1:7" x14ac:dyDescent="0.25">
      <c r="A57" t="s">
        <v>8</v>
      </c>
      <c r="B57">
        <v>2027</v>
      </c>
      <c r="C57" t="s">
        <v>19</v>
      </c>
      <c r="D57">
        <v>494.964</v>
      </c>
      <c r="E57" t="s">
        <v>20</v>
      </c>
      <c r="F57">
        <v>494964</v>
      </c>
      <c r="G57">
        <v>413169.10169491527</v>
      </c>
    </row>
    <row r="58" spans="1:7" x14ac:dyDescent="0.25">
      <c r="A58" t="s">
        <v>8</v>
      </c>
      <c r="B58">
        <v>2028</v>
      </c>
      <c r="C58" t="s">
        <v>19</v>
      </c>
      <c r="D58">
        <v>461.12</v>
      </c>
      <c r="E58" t="s">
        <v>20</v>
      </c>
      <c r="F58">
        <v>461120</v>
      </c>
      <c r="G58">
        <v>384917.96610169491</v>
      </c>
    </row>
    <row r="59" spans="1:7" x14ac:dyDescent="0.25">
      <c r="A59" t="s">
        <v>8</v>
      </c>
      <c r="B59">
        <v>2029</v>
      </c>
      <c r="C59" t="s">
        <v>19</v>
      </c>
      <c r="D59">
        <v>348.255</v>
      </c>
      <c r="E59" t="s">
        <v>20</v>
      </c>
      <c r="F59">
        <v>348255</v>
      </c>
      <c r="G59">
        <v>290704.38559322036</v>
      </c>
    </row>
    <row r="60" spans="1:7" x14ac:dyDescent="0.25">
      <c r="A60" t="s">
        <v>8</v>
      </c>
      <c r="B60">
        <v>2030</v>
      </c>
      <c r="C60" t="s">
        <v>19</v>
      </c>
      <c r="D60">
        <v>331.738</v>
      </c>
      <c r="E60" t="s">
        <v>20</v>
      </c>
      <c r="F60">
        <v>331738</v>
      </c>
      <c r="G60">
        <v>276916.8898305085</v>
      </c>
    </row>
    <row r="61" spans="1:7" x14ac:dyDescent="0.25">
      <c r="A61" t="s">
        <v>8</v>
      </c>
      <c r="B61">
        <v>2031</v>
      </c>
      <c r="C61" t="s">
        <v>19</v>
      </c>
      <c r="D61">
        <v>311.14499999999998</v>
      </c>
      <c r="E61" t="s">
        <v>20</v>
      </c>
      <c r="F61">
        <v>311145</v>
      </c>
      <c r="G61">
        <v>259726.97033898305</v>
      </c>
    </row>
    <row r="62" spans="1:7" x14ac:dyDescent="0.25">
      <c r="A62" t="s">
        <v>8</v>
      </c>
      <c r="B62">
        <v>2032</v>
      </c>
      <c r="C62" t="s">
        <v>19</v>
      </c>
      <c r="D62">
        <v>309.45299999999997</v>
      </c>
      <c r="E62" t="s">
        <v>20</v>
      </c>
      <c r="F62">
        <v>309453</v>
      </c>
      <c r="G62">
        <v>258314.58050847458</v>
      </c>
    </row>
    <row r="63" spans="1:7" x14ac:dyDescent="0.25">
      <c r="A63" t="s">
        <v>8</v>
      </c>
      <c r="B63">
        <v>2033</v>
      </c>
      <c r="C63" t="s">
        <v>19</v>
      </c>
      <c r="D63">
        <v>276.87799999999999</v>
      </c>
      <c r="E63" t="s">
        <v>20</v>
      </c>
      <c r="F63">
        <v>276878</v>
      </c>
      <c r="G63">
        <v>231122.7372881356</v>
      </c>
    </row>
    <row r="64" spans="1:7" x14ac:dyDescent="0.25">
      <c r="A64" t="s">
        <v>8</v>
      </c>
      <c r="B64">
        <v>2034</v>
      </c>
      <c r="C64" t="s">
        <v>19</v>
      </c>
      <c r="D64">
        <v>265.77800000000002</v>
      </c>
      <c r="E64" t="s">
        <v>20</v>
      </c>
      <c r="F64">
        <v>265778</v>
      </c>
      <c r="G64">
        <v>221857.05932203389</v>
      </c>
    </row>
    <row r="65" spans="1:7" x14ac:dyDescent="0.25">
      <c r="A65" t="s">
        <v>8</v>
      </c>
      <c r="B65">
        <v>2035</v>
      </c>
      <c r="C65" t="s">
        <v>19</v>
      </c>
      <c r="D65">
        <v>268.899</v>
      </c>
      <c r="E65" t="s">
        <v>20</v>
      </c>
      <c r="F65">
        <v>268899</v>
      </c>
      <c r="G65">
        <v>224462.30084745763</v>
      </c>
    </row>
    <row r="66" spans="1:7" x14ac:dyDescent="0.25">
      <c r="A66" t="s">
        <v>8</v>
      </c>
      <c r="B66">
        <v>2036</v>
      </c>
      <c r="C66" t="s">
        <v>19</v>
      </c>
      <c r="D66">
        <v>260.85899999999998</v>
      </c>
      <c r="E66" t="s">
        <v>20</v>
      </c>
      <c r="F66">
        <v>260858.99999999997</v>
      </c>
      <c r="G66">
        <v>217750.94491525422</v>
      </c>
    </row>
    <row r="67" spans="1:7" x14ac:dyDescent="0.25">
      <c r="A67" t="s">
        <v>8</v>
      </c>
      <c r="B67">
        <v>2037</v>
      </c>
      <c r="C67" t="s">
        <v>19</v>
      </c>
      <c r="D67">
        <v>216.67500000000001</v>
      </c>
      <c r="E67" t="s">
        <v>20</v>
      </c>
      <c r="F67">
        <v>216675</v>
      </c>
      <c r="G67">
        <v>180868.53813559323</v>
      </c>
    </row>
    <row r="68" spans="1:7" x14ac:dyDescent="0.25">
      <c r="A68" t="s">
        <v>8</v>
      </c>
      <c r="B68">
        <v>2038</v>
      </c>
      <c r="C68" t="s">
        <v>19</v>
      </c>
      <c r="D68">
        <v>149.63300000000001</v>
      </c>
      <c r="E68" t="s">
        <v>20</v>
      </c>
      <c r="F68">
        <v>149633</v>
      </c>
      <c r="G68">
        <v>124905.5127118644</v>
      </c>
    </row>
    <row r="69" spans="1:7" x14ac:dyDescent="0.25">
      <c r="A69" t="s">
        <v>8</v>
      </c>
      <c r="B69">
        <v>2039</v>
      </c>
      <c r="C69" t="s">
        <v>19</v>
      </c>
      <c r="D69">
        <v>174.13</v>
      </c>
      <c r="E69" t="s">
        <v>20</v>
      </c>
      <c r="F69">
        <v>174130</v>
      </c>
      <c r="G69">
        <v>145354.27966101695</v>
      </c>
    </row>
    <row r="70" spans="1:7" x14ac:dyDescent="0.25">
      <c r="A70" t="s">
        <v>8</v>
      </c>
      <c r="B70">
        <v>2040</v>
      </c>
      <c r="C70" t="s">
        <v>19</v>
      </c>
      <c r="D70">
        <v>183.01900000000001</v>
      </c>
      <c r="E70" t="s">
        <v>20</v>
      </c>
      <c r="F70">
        <v>183019</v>
      </c>
      <c r="G70">
        <v>152774.33474576272</v>
      </c>
    </row>
    <row r="71" spans="1:7" x14ac:dyDescent="0.25">
      <c r="A71" t="s">
        <v>8</v>
      </c>
      <c r="B71">
        <v>2018</v>
      </c>
      <c r="C71" t="s">
        <v>21</v>
      </c>
      <c r="D71">
        <v>535.50900000000001</v>
      </c>
      <c r="E71" t="s">
        <v>20</v>
      </c>
      <c r="F71">
        <v>535509</v>
      </c>
      <c r="G71">
        <v>447013.86864406778</v>
      </c>
    </row>
    <row r="72" spans="1:7" x14ac:dyDescent="0.25">
      <c r="A72" t="s">
        <v>8</v>
      </c>
      <c r="B72">
        <v>2019</v>
      </c>
      <c r="C72" t="s">
        <v>21</v>
      </c>
      <c r="D72">
        <v>557.84900000000005</v>
      </c>
      <c r="E72" t="s">
        <v>20</v>
      </c>
      <c r="F72">
        <v>557849</v>
      </c>
      <c r="G72">
        <v>465662.08898305084</v>
      </c>
    </row>
    <row r="73" spans="1:7" x14ac:dyDescent="0.25">
      <c r="A73" t="s">
        <v>8</v>
      </c>
      <c r="B73">
        <v>2020</v>
      </c>
      <c r="C73" t="s">
        <v>21</v>
      </c>
      <c r="D73">
        <v>530.92100000000005</v>
      </c>
      <c r="E73" t="s">
        <v>20</v>
      </c>
      <c r="F73">
        <v>530921</v>
      </c>
      <c r="G73">
        <v>443184.05508474575</v>
      </c>
    </row>
    <row r="74" spans="1:7" x14ac:dyDescent="0.25">
      <c r="A74" t="s">
        <v>8</v>
      </c>
      <c r="B74">
        <v>2021</v>
      </c>
      <c r="C74" t="s">
        <v>21</v>
      </c>
      <c r="D74">
        <v>488.52199999999999</v>
      </c>
      <c r="E74" t="s">
        <v>20</v>
      </c>
      <c r="F74">
        <v>488522</v>
      </c>
      <c r="G74">
        <v>407791.66949152545</v>
      </c>
    </row>
    <row r="75" spans="1:7" x14ac:dyDescent="0.25">
      <c r="A75" t="s">
        <v>8</v>
      </c>
      <c r="B75">
        <v>2022</v>
      </c>
      <c r="C75" t="s">
        <v>21</v>
      </c>
      <c r="D75">
        <v>460.41500000000002</v>
      </c>
      <c r="E75" t="s">
        <v>20</v>
      </c>
      <c r="F75">
        <v>460415</v>
      </c>
      <c r="G75">
        <v>384329.47033898305</v>
      </c>
    </row>
    <row r="76" spans="1:7" x14ac:dyDescent="0.25">
      <c r="A76" t="s">
        <v>8</v>
      </c>
      <c r="B76">
        <v>2023</v>
      </c>
      <c r="C76" t="s">
        <v>21</v>
      </c>
      <c r="D76">
        <v>483.96799647683338</v>
      </c>
      <c r="E76" t="s">
        <v>20</v>
      </c>
      <c r="F76">
        <v>483967.99647683336</v>
      </c>
      <c r="G76">
        <v>403990.23434718716</v>
      </c>
    </row>
    <row r="77" spans="1:7" x14ac:dyDescent="0.25">
      <c r="A77" t="s">
        <v>8</v>
      </c>
      <c r="B77">
        <v>2024</v>
      </c>
      <c r="C77" t="s">
        <v>21</v>
      </c>
      <c r="D77">
        <v>508.7258703860652</v>
      </c>
      <c r="E77" t="s">
        <v>20</v>
      </c>
      <c r="F77">
        <v>508725.87038606522</v>
      </c>
      <c r="G77">
        <v>424656.76468667306</v>
      </c>
    </row>
    <row r="78" spans="1:7" x14ac:dyDescent="0.25">
      <c r="A78" t="s">
        <v>8</v>
      </c>
      <c r="B78">
        <v>2025</v>
      </c>
      <c r="C78" t="s">
        <v>21</v>
      </c>
      <c r="D78">
        <v>534.75025845525715</v>
      </c>
      <c r="E78" t="s">
        <v>20</v>
      </c>
      <c r="F78">
        <v>534750.25845525716</v>
      </c>
      <c r="G78">
        <v>446380.51235460024</v>
      </c>
    </row>
    <row r="79" spans="1:7" x14ac:dyDescent="0.25">
      <c r="A79" t="s">
        <v>8</v>
      </c>
      <c r="B79">
        <v>2026</v>
      </c>
      <c r="C79" t="s">
        <v>21</v>
      </c>
      <c r="D79">
        <v>562.10595050130769</v>
      </c>
      <c r="E79" t="s">
        <v>20</v>
      </c>
      <c r="F79">
        <v>562105.95050130773</v>
      </c>
      <c r="G79">
        <v>469215.56037609163</v>
      </c>
    </row>
    <row r="80" spans="1:7" x14ac:dyDescent="0.25">
      <c r="A80" t="s">
        <v>8</v>
      </c>
      <c r="B80">
        <v>2027</v>
      </c>
      <c r="C80" t="s">
        <v>21</v>
      </c>
      <c r="D80">
        <v>590.86105072993712</v>
      </c>
      <c r="E80" t="s">
        <v>20</v>
      </c>
      <c r="F80">
        <v>590861.05072993715</v>
      </c>
      <c r="G80">
        <v>493218.758448295</v>
      </c>
    </row>
    <row r="81" spans="1:7" x14ac:dyDescent="0.25">
      <c r="A81" t="s">
        <v>8</v>
      </c>
      <c r="B81">
        <v>2028</v>
      </c>
      <c r="C81" t="s">
        <v>21</v>
      </c>
      <c r="D81">
        <v>621.08714728660948</v>
      </c>
      <c r="E81" t="s">
        <v>20</v>
      </c>
      <c r="F81">
        <v>621087.14728660951</v>
      </c>
      <c r="G81">
        <v>518449.8644722969</v>
      </c>
    </row>
    <row r="82" spans="1:7" x14ac:dyDescent="0.25">
      <c r="A82" t="s">
        <v>8</v>
      </c>
      <c r="B82">
        <v>2029</v>
      </c>
      <c r="C82" t="s">
        <v>21</v>
      </c>
      <c r="D82">
        <v>652.85949048100599</v>
      </c>
      <c r="E82" t="s">
        <v>20</v>
      </c>
      <c r="F82">
        <v>652859.49048100598</v>
      </c>
      <c r="G82">
        <v>544971.69332524657</v>
      </c>
    </row>
    <row r="83" spans="1:7" x14ac:dyDescent="0.25">
      <c r="A83" t="s">
        <v>8</v>
      </c>
      <c r="B83">
        <v>2030</v>
      </c>
      <c r="C83" t="s">
        <v>21</v>
      </c>
      <c r="D83">
        <v>686.25718012875052</v>
      </c>
      <c r="E83" t="s">
        <v>20</v>
      </c>
      <c r="F83">
        <v>686257.18012875051</v>
      </c>
      <c r="G83">
        <v>572850.2732430672</v>
      </c>
    </row>
    <row r="84" spans="1:7" x14ac:dyDescent="0.25">
      <c r="A84" t="s">
        <v>8</v>
      </c>
      <c r="B84">
        <v>2031</v>
      </c>
      <c r="C84" t="s">
        <v>21</v>
      </c>
      <c r="D84">
        <v>721.3633624767931</v>
      </c>
      <c r="E84" t="s">
        <v>20</v>
      </c>
      <c r="F84">
        <v>721363.36247679312</v>
      </c>
      <c r="G84">
        <v>602155.01020308572</v>
      </c>
    </row>
    <row r="85" spans="1:7" x14ac:dyDescent="0.25">
      <c r="A85" t="s">
        <v>8</v>
      </c>
      <c r="B85">
        <v>2032</v>
      </c>
      <c r="C85" t="s">
        <v>21</v>
      </c>
      <c r="D85">
        <v>758.26543720270911</v>
      </c>
      <c r="E85" t="s">
        <v>20</v>
      </c>
      <c r="F85">
        <v>758265.43720270914</v>
      </c>
      <c r="G85">
        <v>632958.8607158208</v>
      </c>
    </row>
    <row r="86" spans="1:7" x14ac:dyDescent="0.25">
      <c r="A86" t="s">
        <v>8</v>
      </c>
      <c r="B86">
        <v>2033</v>
      </c>
      <c r="C86" t="s">
        <v>21</v>
      </c>
      <c r="D86">
        <v>797.05527500325866</v>
      </c>
      <c r="E86" t="s">
        <v>20</v>
      </c>
      <c r="F86">
        <v>797055.2750032586</v>
      </c>
      <c r="G86">
        <v>665338.51345610991</v>
      </c>
    </row>
    <row r="87" spans="1:7" x14ac:dyDescent="0.25">
      <c r="A87" t="s">
        <v>8</v>
      </c>
      <c r="B87">
        <v>2034</v>
      </c>
      <c r="C87" t="s">
        <v>21</v>
      </c>
      <c r="D87">
        <v>837.8294463139091</v>
      </c>
      <c r="E87" t="s">
        <v>20</v>
      </c>
      <c r="F87">
        <v>837829.44631390914</v>
      </c>
      <c r="G87">
        <v>699374.58018576319</v>
      </c>
    </row>
    <row r="88" spans="1:7" x14ac:dyDescent="0.25">
      <c r="A88" t="s">
        <v>8</v>
      </c>
      <c r="B88">
        <v>2035</v>
      </c>
      <c r="C88" t="s">
        <v>21</v>
      </c>
      <c r="D88">
        <v>880.68946172873859</v>
      </c>
      <c r="E88" t="s">
        <v>20</v>
      </c>
      <c r="F88">
        <v>880689.46172873862</v>
      </c>
      <c r="G88">
        <v>735151.79644305725</v>
      </c>
    </row>
    <row r="89" spans="1:7" x14ac:dyDescent="0.25">
      <c r="A89" t="s">
        <v>8</v>
      </c>
      <c r="B89">
        <v>2036</v>
      </c>
      <c r="C89" t="s">
        <v>21</v>
      </c>
      <c r="D89">
        <v>925.74202471926105</v>
      </c>
      <c r="E89" t="s">
        <v>20</v>
      </c>
      <c r="F89">
        <v>925742.0247192611</v>
      </c>
      <c r="G89">
        <v>772759.23249870527</v>
      </c>
    </row>
    <row r="90" spans="1:7" x14ac:dyDescent="0.25">
      <c r="A90" t="s">
        <v>8</v>
      </c>
      <c r="B90">
        <v>2037</v>
      </c>
      <c r="C90" t="s">
        <v>21</v>
      </c>
      <c r="D90">
        <v>973.09929728133943</v>
      </c>
      <c r="E90" t="s">
        <v>20</v>
      </c>
      <c r="F90">
        <v>973099.29728133942</v>
      </c>
      <c r="G90">
        <v>812290.51510349091</v>
      </c>
    </row>
    <row r="91" spans="1:7" x14ac:dyDescent="0.25">
      <c r="A91" t="s">
        <v>8</v>
      </c>
      <c r="B91">
        <v>2038</v>
      </c>
      <c r="C91" t="s">
        <v>21</v>
      </c>
      <c r="D91">
        <v>1022.8791791715392</v>
      </c>
      <c r="E91" t="s">
        <v>20</v>
      </c>
      <c r="F91">
        <v>1022879.1791715393</v>
      </c>
      <c r="G91">
        <v>853844.06057963229</v>
      </c>
    </row>
    <row r="92" spans="1:7" x14ac:dyDescent="0.25">
      <c r="A92" t="s">
        <v>8</v>
      </c>
      <c r="B92">
        <v>2039</v>
      </c>
      <c r="C92" t="s">
        <v>21</v>
      </c>
      <c r="D92">
        <v>1075.2056014280979</v>
      </c>
      <c r="E92" t="s">
        <v>20</v>
      </c>
      <c r="F92">
        <v>1075205.6014280978</v>
      </c>
      <c r="G92">
        <v>897523.31983616634</v>
      </c>
    </row>
    <row r="93" spans="1:7" x14ac:dyDescent="0.25">
      <c r="A93" t="s">
        <v>8</v>
      </c>
      <c r="B93">
        <v>2040</v>
      </c>
      <c r="C93" t="s">
        <v>21</v>
      </c>
      <c r="D93">
        <v>1130.2088349072583</v>
      </c>
      <c r="E93" t="s">
        <v>20</v>
      </c>
      <c r="F93">
        <v>1130208.8349072584</v>
      </c>
      <c r="G93">
        <v>943437.03591834707</v>
      </c>
    </row>
    <row r="94" spans="1:7" x14ac:dyDescent="0.25">
      <c r="A94" t="s">
        <v>13</v>
      </c>
      <c r="B94">
        <v>2018</v>
      </c>
      <c r="C94" t="s">
        <v>19</v>
      </c>
      <c r="D94">
        <v>0</v>
      </c>
      <c r="E94" t="s">
        <v>20</v>
      </c>
      <c r="F94">
        <v>0</v>
      </c>
      <c r="G94">
        <v>0</v>
      </c>
    </row>
    <row r="95" spans="1:7" x14ac:dyDescent="0.25">
      <c r="A95" t="s">
        <v>13</v>
      </c>
      <c r="B95">
        <v>2019</v>
      </c>
      <c r="C95" t="s">
        <v>19</v>
      </c>
      <c r="D95">
        <v>0</v>
      </c>
      <c r="E95" t="s">
        <v>20</v>
      </c>
      <c r="F95">
        <v>0</v>
      </c>
      <c r="G95">
        <v>0</v>
      </c>
    </row>
    <row r="96" spans="1:7" x14ac:dyDescent="0.25">
      <c r="A96" t="s">
        <v>13</v>
      </c>
      <c r="B96">
        <v>2020</v>
      </c>
      <c r="C96" t="s">
        <v>19</v>
      </c>
      <c r="D96">
        <v>0</v>
      </c>
      <c r="E96" t="s">
        <v>20</v>
      </c>
      <c r="F96">
        <v>0</v>
      </c>
      <c r="G96">
        <v>0</v>
      </c>
    </row>
    <row r="97" spans="1:7" x14ac:dyDescent="0.25">
      <c r="A97" t="s">
        <v>13</v>
      </c>
      <c r="B97">
        <v>2021</v>
      </c>
      <c r="C97" t="s">
        <v>19</v>
      </c>
      <c r="D97">
        <v>0.188</v>
      </c>
      <c r="E97" t="s">
        <v>20</v>
      </c>
      <c r="F97">
        <v>188</v>
      </c>
      <c r="G97">
        <v>131.44404853212131</v>
      </c>
    </row>
    <row r="98" spans="1:7" x14ac:dyDescent="0.25">
      <c r="A98" t="s">
        <v>13</v>
      </c>
      <c r="B98">
        <v>2022</v>
      </c>
      <c r="C98" t="s">
        <v>19</v>
      </c>
      <c r="D98">
        <v>3.4750000000000001</v>
      </c>
      <c r="E98" t="s">
        <v>20</v>
      </c>
      <c r="F98">
        <v>3475</v>
      </c>
      <c r="G98">
        <v>2429.6173864314978</v>
      </c>
    </row>
    <row r="99" spans="1:7" x14ac:dyDescent="0.25">
      <c r="A99" t="s">
        <v>13</v>
      </c>
      <c r="B99">
        <v>2023</v>
      </c>
      <c r="C99" t="s">
        <v>19</v>
      </c>
      <c r="D99">
        <v>16.725999999999999</v>
      </c>
      <c r="E99" t="s">
        <v>20</v>
      </c>
      <c r="F99">
        <v>16726</v>
      </c>
      <c r="G99">
        <v>11694.325296533305</v>
      </c>
    </row>
    <row r="100" spans="1:7" x14ac:dyDescent="0.25">
      <c r="A100" t="s">
        <v>13</v>
      </c>
      <c r="B100">
        <v>2024</v>
      </c>
      <c r="C100" t="s">
        <v>19</v>
      </c>
      <c r="D100">
        <v>39.863999999999997</v>
      </c>
      <c r="E100" t="s">
        <v>20</v>
      </c>
      <c r="F100">
        <v>39864</v>
      </c>
      <c r="G100">
        <v>27871.731652577044</v>
      </c>
    </row>
    <row r="101" spans="1:7" x14ac:dyDescent="0.25">
      <c r="A101" t="s">
        <v>13</v>
      </c>
      <c r="B101">
        <v>2025</v>
      </c>
      <c r="C101" t="s">
        <v>19</v>
      </c>
      <c r="D101">
        <v>37.578000000000003</v>
      </c>
      <c r="E101" t="s">
        <v>20</v>
      </c>
      <c r="F101">
        <v>37578</v>
      </c>
      <c r="G101">
        <v>26273.427956064123</v>
      </c>
    </row>
    <row r="102" spans="1:7" x14ac:dyDescent="0.25">
      <c r="A102" t="s">
        <v>13</v>
      </c>
      <c r="B102">
        <v>2026</v>
      </c>
      <c r="C102" t="s">
        <v>19</v>
      </c>
      <c r="D102">
        <v>39.969000000000001</v>
      </c>
      <c r="E102" t="s">
        <v>20</v>
      </c>
      <c r="F102">
        <v>39969</v>
      </c>
      <c r="G102">
        <v>27945.144552023175</v>
      </c>
    </row>
    <row r="103" spans="1:7" x14ac:dyDescent="0.25">
      <c r="A103" t="s">
        <v>13</v>
      </c>
      <c r="B103">
        <v>2027</v>
      </c>
      <c r="C103" t="s">
        <v>19</v>
      </c>
      <c r="D103">
        <v>41.682000000000002</v>
      </c>
      <c r="E103" t="s">
        <v>20</v>
      </c>
      <c r="F103">
        <v>41682</v>
      </c>
      <c r="G103">
        <v>29142.823568701497</v>
      </c>
    </row>
    <row r="104" spans="1:7" x14ac:dyDescent="0.25">
      <c r="A104" t="s">
        <v>13</v>
      </c>
      <c r="B104">
        <v>2028</v>
      </c>
      <c r="C104" t="s">
        <v>19</v>
      </c>
      <c r="D104">
        <v>40.292000000000002</v>
      </c>
      <c r="E104" t="s">
        <v>20</v>
      </c>
      <c r="F104">
        <v>40292</v>
      </c>
      <c r="G104">
        <v>28170.976614128896</v>
      </c>
    </row>
    <row r="105" spans="1:7" x14ac:dyDescent="0.25">
      <c r="A105" t="s">
        <v>13</v>
      </c>
      <c r="B105">
        <v>2029</v>
      </c>
      <c r="C105" t="s">
        <v>19</v>
      </c>
      <c r="D105">
        <v>37.906999999999996</v>
      </c>
      <c r="E105" t="s">
        <v>20</v>
      </c>
      <c r="F105">
        <v>37907</v>
      </c>
      <c r="G105">
        <v>26503.455040995337</v>
      </c>
    </row>
    <row r="106" spans="1:7" x14ac:dyDescent="0.25">
      <c r="A106" t="s">
        <v>13</v>
      </c>
      <c r="B106">
        <v>2030</v>
      </c>
      <c r="C106" t="s">
        <v>19</v>
      </c>
      <c r="D106">
        <v>38.978999999999999</v>
      </c>
      <c r="E106" t="s">
        <v>20</v>
      </c>
      <c r="F106">
        <v>38979</v>
      </c>
      <c r="G106">
        <v>27252.965785816792</v>
      </c>
    </row>
    <row r="107" spans="1:7" x14ac:dyDescent="0.25">
      <c r="A107" t="s">
        <v>13</v>
      </c>
      <c r="B107">
        <v>2031</v>
      </c>
      <c r="C107" t="s">
        <v>19</v>
      </c>
      <c r="D107">
        <v>38.165999999999997</v>
      </c>
      <c r="E107" t="s">
        <v>20</v>
      </c>
      <c r="F107">
        <v>38166</v>
      </c>
      <c r="G107">
        <v>26684.54019296246</v>
      </c>
    </row>
    <row r="108" spans="1:7" x14ac:dyDescent="0.25">
      <c r="A108" t="s">
        <v>13</v>
      </c>
      <c r="B108">
        <v>2032</v>
      </c>
      <c r="C108" t="s">
        <v>19</v>
      </c>
      <c r="D108">
        <v>40.61</v>
      </c>
      <c r="E108" t="s">
        <v>20</v>
      </c>
      <c r="F108">
        <v>40610</v>
      </c>
      <c r="G108">
        <v>28393.312823880038</v>
      </c>
    </row>
    <row r="109" spans="1:7" x14ac:dyDescent="0.25">
      <c r="A109" t="s">
        <v>13</v>
      </c>
      <c r="B109">
        <v>2033</v>
      </c>
      <c r="C109" t="s">
        <v>19</v>
      </c>
      <c r="D109">
        <v>37.831000000000003</v>
      </c>
      <c r="E109" t="s">
        <v>20</v>
      </c>
      <c r="F109">
        <v>37831</v>
      </c>
      <c r="G109">
        <v>26450.318085205756</v>
      </c>
    </row>
    <row r="110" spans="1:7" x14ac:dyDescent="0.25">
      <c r="A110" t="s">
        <v>13</v>
      </c>
      <c r="B110">
        <v>2034</v>
      </c>
      <c r="C110" t="s">
        <v>19</v>
      </c>
      <c r="D110">
        <v>39.773000000000003</v>
      </c>
      <c r="E110" t="s">
        <v>20</v>
      </c>
      <c r="F110">
        <v>39773</v>
      </c>
      <c r="G110">
        <v>27808.107139723732</v>
      </c>
    </row>
    <row r="111" spans="1:7" x14ac:dyDescent="0.25">
      <c r="A111" t="s">
        <v>13</v>
      </c>
      <c r="B111">
        <v>2035</v>
      </c>
      <c r="C111" t="s">
        <v>19</v>
      </c>
      <c r="D111">
        <v>40.453000000000003</v>
      </c>
      <c r="E111" t="s">
        <v>20</v>
      </c>
      <c r="F111">
        <v>40453</v>
      </c>
      <c r="G111">
        <v>28283.543059946296</v>
      </c>
    </row>
    <row r="112" spans="1:7" x14ac:dyDescent="0.25">
      <c r="A112" t="s">
        <v>13</v>
      </c>
      <c r="B112">
        <v>2036</v>
      </c>
      <c r="C112" t="s">
        <v>19</v>
      </c>
      <c r="D112">
        <v>37.189</v>
      </c>
      <c r="E112" t="s">
        <v>20</v>
      </c>
      <c r="F112">
        <v>37189</v>
      </c>
      <c r="G112">
        <v>26001.450642877979</v>
      </c>
    </row>
    <row r="113" spans="1:7" x14ac:dyDescent="0.25">
      <c r="A113" t="s">
        <v>13</v>
      </c>
      <c r="B113">
        <v>2037</v>
      </c>
      <c r="C113" t="s">
        <v>19</v>
      </c>
      <c r="D113">
        <v>39.270000000000003</v>
      </c>
      <c r="E113" t="s">
        <v>20</v>
      </c>
      <c r="F113">
        <v>39270</v>
      </c>
      <c r="G113">
        <v>27456.424392853216</v>
      </c>
    </row>
    <row r="114" spans="1:7" x14ac:dyDescent="0.25">
      <c r="A114" t="s">
        <v>13</v>
      </c>
      <c r="B114">
        <v>2038</v>
      </c>
      <c r="C114" t="s">
        <v>19</v>
      </c>
      <c r="D114">
        <v>42.575000000000003</v>
      </c>
      <c r="E114" t="s">
        <v>20</v>
      </c>
      <c r="F114">
        <v>42575</v>
      </c>
      <c r="G114">
        <v>29767.182799229071</v>
      </c>
    </row>
    <row r="115" spans="1:7" x14ac:dyDescent="0.25">
      <c r="A115" t="s">
        <v>13</v>
      </c>
      <c r="B115">
        <v>2039</v>
      </c>
      <c r="C115" t="s">
        <v>19</v>
      </c>
      <c r="D115">
        <v>40.970999999999997</v>
      </c>
      <c r="E115" t="s">
        <v>20</v>
      </c>
      <c r="F115">
        <v>40971</v>
      </c>
      <c r="G115">
        <v>28645.713363880546</v>
      </c>
    </row>
    <row r="116" spans="1:7" x14ac:dyDescent="0.25">
      <c r="A116" t="s">
        <v>13</v>
      </c>
      <c r="B116">
        <v>2040</v>
      </c>
      <c r="C116" t="s">
        <v>19</v>
      </c>
      <c r="D116">
        <v>42.826999999999998</v>
      </c>
      <c r="E116" t="s">
        <v>20</v>
      </c>
      <c r="F116">
        <v>42827</v>
      </c>
      <c r="G116">
        <v>29943.373757899786</v>
      </c>
    </row>
    <row r="117" spans="1:7" x14ac:dyDescent="0.25">
      <c r="A117" t="s">
        <v>13</v>
      </c>
      <c r="B117">
        <v>2018</v>
      </c>
      <c r="C117" t="s">
        <v>21</v>
      </c>
      <c r="D117">
        <v>0</v>
      </c>
      <c r="E117" t="s">
        <v>20</v>
      </c>
      <c r="F117">
        <v>0</v>
      </c>
      <c r="G117">
        <v>0</v>
      </c>
    </row>
    <row r="118" spans="1:7" x14ac:dyDescent="0.25">
      <c r="A118" t="s">
        <v>13</v>
      </c>
      <c r="B118">
        <v>2019</v>
      </c>
      <c r="C118" t="s">
        <v>21</v>
      </c>
      <c r="D118">
        <v>0</v>
      </c>
      <c r="E118" t="s">
        <v>20</v>
      </c>
      <c r="F118">
        <v>0</v>
      </c>
      <c r="G118">
        <v>0</v>
      </c>
    </row>
    <row r="119" spans="1:7" x14ac:dyDescent="0.25">
      <c r="A119" t="s">
        <v>13</v>
      </c>
      <c r="B119">
        <v>2020</v>
      </c>
      <c r="C119" t="s">
        <v>21</v>
      </c>
      <c r="D119">
        <v>0</v>
      </c>
      <c r="E119" t="s">
        <v>20</v>
      </c>
      <c r="F119">
        <v>0</v>
      </c>
      <c r="G119">
        <v>0</v>
      </c>
    </row>
    <row r="120" spans="1:7" x14ac:dyDescent="0.25">
      <c r="A120" t="s">
        <v>13</v>
      </c>
      <c r="B120">
        <v>2021</v>
      </c>
      <c r="C120" t="s">
        <v>21</v>
      </c>
      <c r="D120">
        <v>0.188</v>
      </c>
      <c r="E120" t="s">
        <v>20</v>
      </c>
      <c r="F120">
        <v>188</v>
      </c>
      <c r="G120">
        <v>131.44404853212131</v>
      </c>
    </row>
    <row r="121" spans="1:7" x14ac:dyDescent="0.25">
      <c r="A121" t="s">
        <v>13</v>
      </c>
      <c r="B121">
        <v>2022</v>
      </c>
      <c r="C121" t="s">
        <v>21</v>
      </c>
      <c r="D121">
        <v>3.4750000000000001</v>
      </c>
      <c r="E121" t="s">
        <v>20</v>
      </c>
      <c r="F121">
        <v>3475</v>
      </c>
      <c r="G121">
        <v>2429.6173864314978</v>
      </c>
    </row>
    <row r="122" spans="1:7" x14ac:dyDescent="0.25">
      <c r="A122" t="s">
        <v>13</v>
      </c>
      <c r="B122">
        <v>2023</v>
      </c>
      <c r="C122" t="s">
        <v>21</v>
      </c>
      <c r="D122">
        <v>16.725999999999999</v>
      </c>
      <c r="E122" t="s">
        <v>20</v>
      </c>
      <c r="F122">
        <v>16726</v>
      </c>
      <c r="G122">
        <v>11694.325296533305</v>
      </c>
    </row>
    <row r="123" spans="1:7" x14ac:dyDescent="0.25">
      <c r="A123" t="s">
        <v>13</v>
      </c>
      <c r="B123">
        <v>2024</v>
      </c>
      <c r="C123" t="s">
        <v>21</v>
      </c>
      <c r="D123">
        <v>40.863999999999997</v>
      </c>
      <c r="E123" t="s">
        <v>20</v>
      </c>
      <c r="F123">
        <v>40864</v>
      </c>
      <c r="G123">
        <v>28570.902123492586</v>
      </c>
    </row>
    <row r="124" spans="1:7" x14ac:dyDescent="0.25">
      <c r="A124" t="s">
        <v>13</v>
      </c>
      <c r="B124">
        <v>2025</v>
      </c>
      <c r="C124" t="s">
        <v>21</v>
      </c>
      <c r="D124">
        <v>84.85</v>
      </c>
      <c r="E124" t="s">
        <v>20</v>
      </c>
      <c r="F124">
        <v>84850</v>
      </c>
      <c r="G124">
        <v>59324.614457183481</v>
      </c>
    </row>
    <row r="125" spans="1:7" x14ac:dyDescent="0.25">
      <c r="A125" t="s">
        <v>13</v>
      </c>
      <c r="B125">
        <v>2026</v>
      </c>
      <c r="C125" t="s">
        <v>21</v>
      </c>
      <c r="D125">
        <v>144.32900000000001</v>
      </c>
      <c r="E125" t="s">
        <v>20</v>
      </c>
      <c r="F125">
        <v>144329</v>
      </c>
      <c r="G125">
        <v>100910.57489676883</v>
      </c>
    </row>
    <row r="126" spans="1:7" x14ac:dyDescent="0.25">
      <c r="A126" t="s">
        <v>13</v>
      </c>
      <c r="B126">
        <v>2027</v>
      </c>
      <c r="C126" t="s">
        <v>21</v>
      </c>
      <c r="D126">
        <v>154.74599999999998</v>
      </c>
      <c r="E126" t="s">
        <v>20</v>
      </c>
      <c r="F126">
        <v>154745.99999999997</v>
      </c>
      <c r="G126">
        <v>108193.83369229597</v>
      </c>
    </row>
    <row r="127" spans="1:7" x14ac:dyDescent="0.25">
      <c r="A127" t="s">
        <v>13</v>
      </c>
      <c r="B127">
        <v>2028</v>
      </c>
      <c r="C127" t="s">
        <v>21</v>
      </c>
      <c r="D127">
        <v>162.58100000000002</v>
      </c>
      <c r="E127" t="s">
        <v>20</v>
      </c>
      <c r="F127">
        <v>162581.00000000003</v>
      </c>
      <c r="G127">
        <v>113671.83433191926</v>
      </c>
    </row>
    <row r="128" spans="1:7" x14ac:dyDescent="0.25">
      <c r="A128" t="s">
        <v>13</v>
      </c>
      <c r="B128">
        <v>2029</v>
      </c>
      <c r="C128" t="s">
        <v>21</v>
      </c>
      <c r="D128">
        <v>152.81399999999999</v>
      </c>
      <c r="E128" t="s">
        <v>20</v>
      </c>
      <c r="F128">
        <v>152814</v>
      </c>
      <c r="G128">
        <v>106843.03634248718</v>
      </c>
    </row>
    <row r="129" spans="1:7" x14ac:dyDescent="0.25">
      <c r="A129" t="s">
        <v>13</v>
      </c>
      <c r="B129">
        <v>2030</v>
      </c>
      <c r="C129" t="s">
        <v>21</v>
      </c>
      <c r="D129">
        <v>146.529</v>
      </c>
      <c r="E129" t="s">
        <v>20</v>
      </c>
      <c r="F129">
        <v>146529</v>
      </c>
      <c r="G129">
        <v>102448.74993278302</v>
      </c>
    </row>
    <row r="130" spans="1:7" x14ac:dyDescent="0.25">
      <c r="A130" t="s">
        <v>13</v>
      </c>
      <c r="B130">
        <v>2031</v>
      </c>
      <c r="C130" t="s">
        <v>21</v>
      </c>
      <c r="D130">
        <v>144.92399999999998</v>
      </c>
      <c r="E130" t="s">
        <v>20</v>
      </c>
      <c r="F130">
        <v>144923.99999999997</v>
      </c>
      <c r="G130">
        <v>101326.58132696355</v>
      </c>
    </row>
    <row r="131" spans="1:7" x14ac:dyDescent="0.25">
      <c r="A131" t="s">
        <v>13</v>
      </c>
      <c r="B131">
        <v>2032</v>
      </c>
      <c r="C131" t="s">
        <v>21</v>
      </c>
      <c r="D131">
        <v>147.25700000000001</v>
      </c>
      <c r="E131" t="s">
        <v>20</v>
      </c>
      <c r="F131">
        <v>147257</v>
      </c>
      <c r="G131">
        <v>102957.74603560953</v>
      </c>
    </row>
    <row r="132" spans="1:7" x14ac:dyDescent="0.25">
      <c r="A132" t="s">
        <v>13</v>
      </c>
      <c r="B132">
        <v>2033</v>
      </c>
      <c r="C132" t="s">
        <v>21</v>
      </c>
      <c r="D132">
        <v>137.096</v>
      </c>
      <c r="E132" t="s">
        <v>20</v>
      </c>
      <c r="F132">
        <v>137096</v>
      </c>
      <c r="G132">
        <v>95853.474880636728</v>
      </c>
    </row>
    <row r="133" spans="1:7" x14ac:dyDescent="0.25">
      <c r="A133" t="s">
        <v>13</v>
      </c>
      <c r="B133">
        <v>2034</v>
      </c>
      <c r="C133" t="s">
        <v>21</v>
      </c>
      <c r="D133">
        <v>142.85900000000001</v>
      </c>
      <c r="E133" t="s">
        <v>20</v>
      </c>
      <c r="F133">
        <v>142859</v>
      </c>
      <c r="G133">
        <v>99882.794304522977</v>
      </c>
    </row>
    <row r="134" spans="1:7" x14ac:dyDescent="0.25">
      <c r="A134" t="s">
        <v>13</v>
      </c>
      <c r="B134">
        <v>2035</v>
      </c>
      <c r="C134" t="s">
        <v>21</v>
      </c>
      <c r="D134">
        <v>146.1213507094937</v>
      </c>
      <c r="E134" t="s">
        <v>20</v>
      </c>
      <c r="F134">
        <v>146121.35070949371</v>
      </c>
      <c r="G134">
        <v>102163.73358637134</v>
      </c>
    </row>
    <row r="135" spans="1:7" x14ac:dyDescent="0.25">
      <c r="A135" t="s">
        <v>13</v>
      </c>
      <c r="B135">
        <v>2036</v>
      </c>
      <c r="C135" t="s">
        <v>21</v>
      </c>
      <c r="D135">
        <v>194.81312210065016</v>
      </c>
      <c r="E135" t="s">
        <v>20</v>
      </c>
      <c r="F135">
        <v>194813.12210065016</v>
      </c>
      <c r="G135">
        <v>136207.58231963796</v>
      </c>
    </row>
    <row r="136" spans="1:7" x14ac:dyDescent="0.25">
      <c r="A136" t="s">
        <v>13</v>
      </c>
      <c r="B136">
        <v>2037</v>
      </c>
      <c r="C136" t="s">
        <v>21</v>
      </c>
      <c r="D136">
        <v>259.73037039642571</v>
      </c>
      <c r="E136" t="s">
        <v>20</v>
      </c>
      <c r="F136">
        <v>259730.37039642571</v>
      </c>
      <c r="G136">
        <v>181595.80538113634</v>
      </c>
    </row>
    <row r="137" spans="1:7" x14ac:dyDescent="0.25">
      <c r="A137" t="s">
        <v>13</v>
      </c>
      <c r="B137">
        <v>2038</v>
      </c>
      <c r="C137" t="s">
        <v>21</v>
      </c>
      <c r="D137">
        <v>346.27988391568084</v>
      </c>
      <c r="E137" t="s">
        <v>20</v>
      </c>
      <c r="F137">
        <v>346279.88391568087</v>
      </c>
      <c r="G137">
        <v>242108.66950590475</v>
      </c>
    </row>
    <row r="138" spans="1:7" x14ac:dyDescent="0.25">
      <c r="A138" t="s">
        <v>13</v>
      </c>
      <c r="B138">
        <v>2039</v>
      </c>
      <c r="C138" t="s">
        <v>21</v>
      </c>
      <c r="D138">
        <v>461.67014593495367</v>
      </c>
      <c r="E138" t="s">
        <v>20</v>
      </c>
      <c r="F138">
        <v>461670.14593495365</v>
      </c>
      <c r="G138">
        <v>322786.13334098714</v>
      </c>
    </row>
    <row r="139" spans="1:7" x14ac:dyDescent="0.25">
      <c r="A139" t="s">
        <v>13</v>
      </c>
      <c r="B139">
        <v>2040</v>
      </c>
      <c r="C139" t="s">
        <v>21</v>
      </c>
      <c r="D139">
        <v>615.51171046222476</v>
      </c>
      <c r="E139" t="s">
        <v>20</v>
      </c>
      <c r="F139">
        <v>615511.71046222479</v>
      </c>
      <c r="G139">
        <v>430347.61245790258</v>
      </c>
    </row>
    <row r="140" spans="1:7" x14ac:dyDescent="0.25">
      <c r="A140" t="s">
        <v>9</v>
      </c>
      <c r="B140">
        <v>2018</v>
      </c>
      <c r="C140" t="s">
        <v>19</v>
      </c>
      <c r="D140">
        <v>179.99</v>
      </c>
      <c r="E140" t="s">
        <v>20</v>
      </c>
      <c r="F140">
        <v>179990</v>
      </c>
      <c r="G140">
        <v>141752.02388434947</v>
      </c>
    </row>
    <row r="141" spans="1:7" x14ac:dyDescent="0.25">
      <c r="A141" t="s">
        <v>9</v>
      </c>
      <c r="B141">
        <v>2019</v>
      </c>
      <c r="C141" t="s">
        <v>19</v>
      </c>
      <c r="D141">
        <v>187.73</v>
      </c>
      <c r="E141" t="s">
        <v>20</v>
      </c>
      <c r="F141">
        <v>187730</v>
      </c>
      <c r="G141">
        <v>147847.69956002515</v>
      </c>
    </row>
    <row r="142" spans="1:7" x14ac:dyDescent="0.25">
      <c r="A142" t="s">
        <v>9</v>
      </c>
      <c r="B142">
        <v>2020</v>
      </c>
      <c r="C142" t="s">
        <v>19</v>
      </c>
      <c r="D142">
        <v>154.41399999999999</v>
      </c>
      <c r="E142" t="s">
        <v>20</v>
      </c>
      <c r="F142">
        <v>154414</v>
      </c>
      <c r="G142">
        <v>121609.51728472659</v>
      </c>
    </row>
    <row r="143" spans="1:7" x14ac:dyDescent="0.25">
      <c r="A143" t="s">
        <v>9</v>
      </c>
      <c r="B143">
        <v>2021</v>
      </c>
      <c r="C143" t="s">
        <v>19</v>
      </c>
      <c r="D143">
        <v>138.86600000000001</v>
      </c>
      <c r="E143" t="s">
        <v>20</v>
      </c>
      <c r="F143">
        <v>138866</v>
      </c>
      <c r="G143">
        <v>109364.61219358894</v>
      </c>
    </row>
    <row r="144" spans="1:7" x14ac:dyDescent="0.25">
      <c r="A144" t="s">
        <v>9</v>
      </c>
      <c r="B144">
        <v>2022</v>
      </c>
      <c r="C144" t="s">
        <v>19</v>
      </c>
      <c r="D144">
        <v>126.58199999999999</v>
      </c>
      <c r="E144" t="s">
        <v>20</v>
      </c>
      <c r="F144">
        <v>126582</v>
      </c>
      <c r="G144">
        <v>99690.286612193595</v>
      </c>
    </row>
    <row r="145" spans="1:7" x14ac:dyDescent="0.25">
      <c r="A145" t="s">
        <v>9</v>
      </c>
      <c r="B145">
        <v>2023</v>
      </c>
      <c r="C145" t="s">
        <v>19</v>
      </c>
      <c r="D145">
        <v>186.81299999999999</v>
      </c>
      <c r="E145" t="s">
        <v>20</v>
      </c>
      <c r="F145">
        <v>186813</v>
      </c>
      <c r="G145">
        <v>147125.51162790699</v>
      </c>
    </row>
    <row r="146" spans="1:7" x14ac:dyDescent="0.25">
      <c r="A146" t="s">
        <v>9</v>
      </c>
      <c r="B146">
        <v>2024</v>
      </c>
      <c r="C146" t="s">
        <v>19</v>
      </c>
      <c r="D146">
        <v>134.57900000000001</v>
      </c>
      <c r="E146" t="s">
        <v>20</v>
      </c>
      <c r="F146">
        <v>134579</v>
      </c>
      <c r="G146">
        <v>105988.3639220616</v>
      </c>
    </row>
    <row r="147" spans="1:7" x14ac:dyDescent="0.25">
      <c r="A147" t="s">
        <v>9</v>
      </c>
      <c r="B147">
        <v>2025</v>
      </c>
      <c r="C147" t="s">
        <v>19</v>
      </c>
      <c r="D147">
        <v>154.58600000000001</v>
      </c>
      <c r="E147" t="s">
        <v>20</v>
      </c>
      <c r="F147">
        <v>154586</v>
      </c>
      <c r="G147">
        <v>121744.97674418605</v>
      </c>
    </row>
    <row r="148" spans="1:7" x14ac:dyDescent="0.25">
      <c r="A148" t="s">
        <v>9</v>
      </c>
      <c r="B148">
        <v>2026</v>
      </c>
      <c r="C148" t="s">
        <v>19</v>
      </c>
      <c r="D148">
        <v>158.54400000000001</v>
      </c>
      <c r="E148" t="s">
        <v>20</v>
      </c>
      <c r="F148">
        <v>158544</v>
      </c>
      <c r="G148">
        <v>124862.11942174732</v>
      </c>
    </row>
    <row r="149" spans="1:7" x14ac:dyDescent="0.25">
      <c r="A149" t="s">
        <v>9</v>
      </c>
      <c r="B149">
        <v>2027</v>
      </c>
      <c r="C149" t="s">
        <v>19</v>
      </c>
      <c r="D149">
        <v>158.54400000000001</v>
      </c>
      <c r="E149" t="s">
        <v>20</v>
      </c>
      <c r="F149">
        <v>158544</v>
      </c>
      <c r="G149">
        <v>124862.11942174732</v>
      </c>
    </row>
    <row r="150" spans="1:7" x14ac:dyDescent="0.25">
      <c r="A150" t="s">
        <v>9</v>
      </c>
      <c r="B150">
        <v>2028</v>
      </c>
      <c r="C150" t="s">
        <v>19</v>
      </c>
      <c r="D150">
        <v>154.76400000000001</v>
      </c>
      <c r="E150" t="s">
        <v>20</v>
      </c>
      <c r="F150">
        <v>154764</v>
      </c>
      <c r="G150">
        <v>121885.16153362666</v>
      </c>
    </row>
    <row r="151" spans="1:7" x14ac:dyDescent="0.25">
      <c r="A151" t="s">
        <v>9</v>
      </c>
      <c r="B151">
        <v>2029</v>
      </c>
      <c r="C151" t="s">
        <v>19</v>
      </c>
      <c r="D151">
        <v>152.07400000000001</v>
      </c>
      <c r="E151" t="s">
        <v>20</v>
      </c>
      <c r="F151">
        <v>152074</v>
      </c>
      <c r="G151">
        <v>119766.63859208045</v>
      </c>
    </row>
    <row r="152" spans="1:7" x14ac:dyDescent="0.25">
      <c r="A152" t="s">
        <v>9</v>
      </c>
      <c r="B152">
        <v>2030</v>
      </c>
      <c r="C152" t="s">
        <v>19</v>
      </c>
      <c r="D152">
        <v>150.184</v>
      </c>
      <c r="E152" t="s">
        <v>20</v>
      </c>
      <c r="F152">
        <v>150184</v>
      </c>
      <c r="G152">
        <v>118278.15964802011</v>
      </c>
    </row>
    <row r="153" spans="1:7" x14ac:dyDescent="0.25">
      <c r="A153" t="s">
        <v>9</v>
      </c>
      <c r="B153">
        <v>2031</v>
      </c>
      <c r="C153" t="s">
        <v>19</v>
      </c>
      <c r="D153">
        <v>139.27799999999999</v>
      </c>
      <c r="E153" t="s">
        <v>20</v>
      </c>
      <c r="F153">
        <v>139278</v>
      </c>
      <c r="G153">
        <v>109689.08485229415</v>
      </c>
    </row>
    <row r="154" spans="1:7" x14ac:dyDescent="0.25">
      <c r="A154" t="s">
        <v>9</v>
      </c>
      <c r="B154">
        <v>2032</v>
      </c>
      <c r="C154" t="s">
        <v>19</v>
      </c>
      <c r="D154">
        <v>139.27799999999999</v>
      </c>
      <c r="E154" t="s">
        <v>20</v>
      </c>
      <c r="F154">
        <v>139278</v>
      </c>
      <c r="G154">
        <v>109689.08485229415</v>
      </c>
    </row>
    <row r="155" spans="1:7" x14ac:dyDescent="0.25">
      <c r="A155" t="s">
        <v>9</v>
      </c>
      <c r="B155">
        <v>2033</v>
      </c>
      <c r="C155" t="s">
        <v>19</v>
      </c>
      <c r="D155">
        <v>120.288</v>
      </c>
      <c r="E155" t="s">
        <v>20</v>
      </c>
      <c r="F155">
        <v>120288</v>
      </c>
      <c r="G155">
        <v>94733.415461973607</v>
      </c>
    </row>
    <row r="156" spans="1:7" x14ac:dyDescent="0.25">
      <c r="A156" t="s">
        <v>9</v>
      </c>
      <c r="B156">
        <v>2034</v>
      </c>
      <c r="C156" t="s">
        <v>19</v>
      </c>
      <c r="D156">
        <v>118</v>
      </c>
      <c r="E156" t="s">
        <v>20</v>
      </c>
      <c r="F156">
        <v>118000</v>
      </c>
      <c r="G156">
        <v>92931.489629164047</v>
      </c>
    </row>
    <row r="157" spans="1:7" x14ac:dyDescent="0.25">
      <c r="A157" t="s">
        <v>9</v>
      </c>
      <c r="B157">
        <v>2035</v>
      </c>
      <c r="C157" t="s">
        <v>19</v>
      </c>
      <c r="D157">
        <v>118</v>
      </c>
      <c r="E157" t="s">
        <v>20</v>
      </c>
      <c r="F157">
        <v>118000</v>
      </c>
      <c r="G157">
        <v>92931.489629164047</v>
      </c>
    </row>
    <row r="158" spans="1:7" x14ac:dyDescent="0.25">
      <c r="A158" t="s">
        <v>9</v>
      </c>
      <c r="B158">
        <v>2036</v>
      </c>
      <c r="C158" t="s">
        <v>19</v>
      </c>
      <c r="D158">
        <v>116.68</v>
      </c>
      <c r="E158" t="s">
        <v>20</v>
      </c>
      <c r="F158">
        <v>116680</v>
      </c>
      <c r="G158">
        <v>91891.917033312377</v>
      </c>
    </row>
    <row r="159" spans="1:7" x14ac:dyDescent="0.25">
      <c r="A159" t="s">
        <v>9</v>
      </c>
      <c r="B159">
        <v>2037</v>
      </c>
      <c r="C159" t="s">
        <v>19</v>
      </c>
      <c r="D159">
        <v>82.66</v>
      </c>
      <c r="E159" t="s">
        <v>20</v>
      </c>
      <c r="F159">
        <v>82660</v>
      </c>
      <c r="G159">
        <v>65099.296040226276</v>
      </c>
    </row>
    <row r="160" spans="1:7" x14ac:dyDescent="0.25">
      <c r="A160" t="s">
        <v>9</v>
      </c>
      <c r="B160">
        <v>2038</v>
      </c>
      <c r="C160" t="s">
        <v>19</v>
      </c>
      <c r="D160">
        <v>40.840000000000003</v>
      </c>
      <c r="E160" t="s">
        <v>20</v>
      </c>
      <c r="F160">
        <v>40840</v>
      </c>
      <c r="G160">
        <v>32163.746071653048</v>
      </c>
    </row>
    <row r="161" spans="1:7" x14ac:dyDescent="0.25">
      <c r="A161" t="s">
        <v>9</v>
      </c>
      <c r="B161">
        <v>2039</v>
      </c>
      <c r="C161" t="s">
        <v>19</v>
      </c>
      <c r="D161">
        <v>37</v>
      </c>
      <c r="E161" t="s">
        <v>20</v>
      </c>
      <c r="F161">
        <v>37000</v>
      </c>
      <c r="G161">
        <v>29139.534883720931</v>
      </c>
    </row>
    <row r="162" spans="1:7" x14ac:dyDescent="0.25">
      <c r="A162" t="s">
        <v>9</v>
      </c>
      <c r="B162">
        <v>2040</v>
      </c>
      <c r="C162" t="s">
        <v>19</v>
      </c>
      <c r="D162">
        <v>37</v>
      </c>
      <c r="E162" t="s">
        <v>20</v>
      </c>
      <c r="F162">
        <v>37000</v>
      </c>
      <c r="G162">
        <v>29139.534883720931</v>
      </c>
    </row>
    <row r="163" spans="1:7" x14ac:dyDescent="0.25">
      <c r="A163" t="s">
        <v>9</v>
      </c>
      <c r="B163">
        <v>2018</v>
      </c>
      <c r="C163" t="s">
        <v>21</v>
      </c>
      <c r="D163">
        <v>179.99</v>
      </c>
      <c r="E163" t="s">
        <v>20</v>
      </c>
      <c r="F163">
        <v>179990</v>
      </c>
      <c r="G163">
        <v>141752.02388434947</v>
      </c>
    </row>
    <row r="164" spans="1:7" x14ac:dyDescent="0.25">
      <c r="A164" t="s">
        <v>9</v>
      </c>
      <c r="B164">
        <v>2019</v>
      </c>
      <c r="C164" t="s">
        <v>21</v>
      </c>
      <c r="D164">
        <v>187.73</v>
      </c>
      <c r="E164" t="s">
        <v>20</v>
      </c>
      <c r="F164">
        <v>187730</v>
      </c>
      <c r="G164">
        <v>147847.69956002515</v>
      </c>
    </row>
    <row r="165" spans="1:7" x14ac:dyDescent="0.25">
      <c r="A165" t="s">
        <v>9</v>
      </c>
      <c r="B165">
        <v>2020</v>
      </c>
      <c r="C165" t="s">
        <v>21</v>
      </c>
      <c r="D165">
        <v>154.41399999999999</v>
      </c>
      <c r="E165" t="s">
        <v>20</v>
      </c>
      <c r="F165">
        <v>154414</v>
      </c>
      <c r="G165">
        <v>121609.51728472659</v>
      </c>
    </row>
    <row r="166" spans="1:7" x14ac:dyDescent="0.25">
      <c r="A166" t="s">
        <v>9</v>
      </c>
      <c r="B166">
        <v>2021</v>
      </c>
      <c r="C166" t="s">
        <v>21</v>
      </c>
      <c r="D166">
        <v>138.86600000000001</v>
      </c>
      <c r="E166" t="s">
        <v>20</v>
      </c>
      <c r="F166">
        <v>138866</v>
      </c>
      <c r="G166">
        <v>109364.61219358894</v>
      </c>
    </row>
    <row r="167" spans="1:7" x14ac:dyDescent="0.25">
      <c r="A167" t="s">
        <v>9</v>
      </c>
      <c r="B167">
        <v>2022</v>
      </c>
      <c r="C167" t="s">
        <v>21</v>
      </c>
      <c r="D167">
        <v>126.58199999999999</v>
      </c>
      <c r="E167" t="s">
        <v>20</v>
      </c>
      <c r="F167">
        <v>126582</v>
      </c>
      <c r="G167">
        <v>99690.286612193595</v>
      </c>
    </row>
    <row r="168" spans="1:7" x14ac:dyDescent="0.25">
      <c r="A168" t="s">
        <v>9</v>
      </c>
      <c r="B168">
        <v>2023</v>
      </c>
      <c r="C168" t="s">
        <v>21</v>
      </c>
      <c r="D168">
        <v>186.81299999999999</v>
      </c>
      <c r="E168" t="s">
        <v>20</v>
      </c>
      <c r="F168">
        <v>186813</v>
      </c>
      <c r="G168">
        <v>147125.51162790699</v>
      </c>
    </row>
    <row r="169" spans="1:7" x14ac:dyDescent="0.25">
      <c r="A169" t="s">
        <v>9</v>
      </c>
      <c r="B169">
        <v>2024</v>
      </c>
      <c r="C169" t="s">
        <v>21</v>
      </c>
      <c r="D169">
        <v>138.37165055414135</v>
      </c>
      <c r="E169" t="s">
        <v>20</v>
      </c>
      <c r="F169">
        <v>138371.65055414135</v>
      </c>
      <c r="G169">
        <v>108975.28481730931</v>
      </c>
    </row>
    <row r="170" spans="1:7" x14ac:dyDescent="0.25">
      <c r="A170" t="s">
        <v>9</v>
      </c>
      <c r="B170">
        <v>2025</v>
      </c>
      <c r="C170" t="s">
        <v>21</v>
      </c>
      <c r="D170">
        <v>154.58600000000001</v>
      </c>
      <c r="E170" t="s">
        <v>20</v>
      </c>
      <c r="F170">
        <v>154586</v>
      </c>
      <c r="G170">
        <v>121744.97674418605</v>
      </c>
    </row>
    <row r="171" spans="1:7" x14ac:dyDescent="0.25">
      <c r="A171" t="s">
        <v>9</v>
      </c>
      <c r="B171">
        <v>2026</v>
      </c>
      <c r="C171" t="s">
        <v>21</v>
      </c>
      <c r="D171">
        <v>208.96100000000001</v>
      </c>
      <c r="E171" t="s">
        <v>20</v>
      </c>
      <c r="F171">
        <v>208961</v>
      </c>
      <c r="G171">
        <v>164568.27969830297</v>
      </c>
    </row>
    <row r="172" spans="1:7" x14ac:dyDescent="0.25">
      <c r="A172" t="s">
        <v>9</v>
      </c>
      <c r="B172">
        <v>2027</v>
      </c>
      <c r="C172" t="s">
        <v>21</v>
      </c>
      <c r="D172">
        <v>215.85400000000001</v>
      </c>
      <c r="E172" t="s">
        <v>20</v>
      </c>
      <c r="F172">
        <v>215854</v>
      </c>
      <c r="G172">
        <v>169996.89629164047</v>
      </c>
    </row>
    <row r="173" spans="1:7" x14ac:dyDescent="0.25">
      <c r="A173" t="s">
        <v>9</v>
      </c>
      <c r="B173">
        <v>2028</v>
      </c>
      <c r="C173" t="s">
        <v>21</v>
      </c>
      <c r="D173">
        <v>210.04700000000003</v>
      </c>
      <c r="E173" t="s">
        <v>20</v>
      </c>
      <c r="F173">
        <v>210047.00000000003</v>
      </c>
      <c r="G173">
        <v>165423.56442489004</v>
      </c>
    </row>
    <row r="174" spans="1:7" x14ac:dyDescent="0.25">
      <c r="A174" t="s">
        <v>9</v>
      </c>
      <c r="B174">
        <v>2029</v>
      </c>
      <c r="C174" t="s">
        <v>21</v>
      </c>
      <c r="D174">
        <v>190.72400000000002</v>
      </c>
      <c r="E174" t="s">
        <v>20</v>
      </c>
      <c r="F174">
        <v>190724.00000000003</v>
      </c>
      <c r="G174">
        <v>150205.63922061599</v>
      </c>
    </row>
    <row r="175" spans="1:7" x14ac:dyDescent="0.25">
      <c r="A175" t="s">
        <v>9</v>
      </c>
      <c r="B175">
        <v>2030</v>
      </c>
      <c r="C175" t="s">
        <v>21</v>
      </c>
      <c r="D175">
        <v>193.08099999999999</v>
      </c>
      <c r="E175" t="s">
        <v>20</v>
      </c>
      <c r="F175">
        <v>193081</v>
      </c>
      <c r="G175">
        <v>152061.90634820866</v>
      </c>
    </row>
    <row r="176" spans="1:7" x14ac:dyDescent="0.25">
      <c r="A176" t="s">
        <v>9</v>
      </c>
      <c r="B176">
        <v>2031</v>
      </c>
      <c r="C176" t="s">
        <v>21</v>
      </c>
      <c r="D176">
        <v>192.804</v>
      </c>
      <c r="E176" t="s">
        <v>20</v>
      </c>
      <c r="F176">
        <v>192804</v>
      </c>
      <c r="G176">
        <v>151843.75361407921</v>
      </c>
    </row>
    <row r="177" spans="1:7" x14ac:dyDescent="0.25">
      <c r="A177" t="s">
        <v>9</v>
      </c>
      <c r="B177">
        <v>2032</v>
      </c>
      <c r="C177" t="s">
        <v>21</v>
      </c>
      <c r="D177">
        <v>197.58218962964116</v>
      </c>
      <c r="E177" t="s">
        <v>20</v>
      </c>
      <c r="F177">
        <v>197582.18962964116</v>
      </c>
      <c r="G177">
        <v>155606.84073283494</v>
      </c>
    </row>
    <row r="178" spans="1:7" x14ac:dyDescent="0.25">
      <c r="A178" t="s">
        <v>9</v>
      </c>
      <c r="B178">
        <v>2033</v>
      </c>
      <c r="C178" t="s">
        <v>21</v>
      </c>
      <c r="D178">
        <v>206.5786229524189</v>
      </c>
      <c r="E178" t="s">
        <v>20</v>
      </c>
      <c r="F178">
        <v>206578.6229524189</v>
      </c>
      <c r="G178">
        <v>162692.02675008227</v>
      </c>
    </row>
    <row r="179" spans="1:7" x14ac:dyDescent="0.25">
      <c r="A179" t="s">
        <v>9</v>
      </c>
      <c r="B179">
        <v>2034</v>
      </c>
      <c r="C179" t="s">
        <v>21</v>
      </c>
      <c r="D179">
        <v>215.98468738963513</v>
      </c>
      <c r="E179" t="s">
        <v>20</v>
      </c>
      <c r="F179">
        <v>215984.68738963513</v>
      </c>
      <c r="G179">
        <v>170099.81979837388</v>
      </c>
    </row>
    <row r="180" spans="1:7" x14ac:dyDescent="0.25">
      <c r="A180" t="s">
        <v>9</v>
      </c>
      <c r="B180">
        <v>2035</v>
      </c>
      <c r="C180" t="s">
        <v>21</v>
      </c>
      <c r="D180">
        <v>225.81903451618578</v>
      </c>
      <c r="E180" t="s">
        <v>20</v>
      </c>
      <c r="F180">
        <v>225819.03451618578</v>
      </c>
      <c r="G180">
        <v>177844.90901871829</v>
      </c>
    </row>
    <row r="181" spans="1:7" x14ac:dyDescent="0.25">
      <c r="A181" t="s">
        <v>9</v>
      </c>
      <c r="B181">
        <v>2036</v>
      </c>
      <c r="C181" t="s">
        <v>21</v>
      </c>
      <c r="D181">
        <v>236.1011651619034</v>
      </c>
      <c r="E181" t="s">
        <v>20</v>
      </c>
      <c r="F181">
        <v>236101.16516190339</v>
      </c>
      <c r="G181">
        <v>185942.652387093</v>
      </c>
    </row>
    <row r="182" spans="1:7" x14ac:dyDescent="0.25">
      <c r="A182" t="s">
        <v>9</v>
      </c>
      <c r="B182">
        <v>2037</v>
      </c>
      <c r="C182" t="s">
        <v>21</v>
      </c>
      <c r="D182">
        <v>246.85146808035299</v>
      </c>
      <c r="E182" t="s">
        <v>20</v>
      </c>
      <c r="F182">
        <v>246851.46808035299</v>
      </c>
      <c r="G182">
        <v>194409.10716824784</v>
      </c>
    </row>
    <row r="183" spans="1:7" x14ac:dyDescent="0.25">
      <c r="A183" t="s">
        <v>9</v>
      </c>
      <c r="B183">
        <v>2038</v>
      </c>
      <c r="C183" t="s">
        <v>21</v>
      </c>
      <c r="D183">
        <v>258.09126037831999</v>
      </c>
      <c r="E183" t="s">
        <v>20</v>
      </c>
      <c r="F183">
        <v>258091.26037831997</v>
      </c>
      <c r="G183">
        <v>203261.06175615019</v>
      </c>
    </row>
    <row r="184" spans="1:7" x14ac:dyDescent="0.25">
      <c r="A184" t="s">
        <v>9</v>
      </c>
      <c r="B184">
        <v>2039</v>
      </c>
      <c r="C184" t="s">
        <v>21</v>
      </c>
      <c r="D184">
        <v>269.84282978615749</v>
      </c>
      <c r="E184" t="s">
        <v>20</v>
      </c>
      <c r="F184">
        <v>269842.82978615747</v>
      </c>
      <c r="G184">
        <v>212516.06896420824</v>
      </c>
    </row>
    <row r="185" spans="1:7" x14ac:dyDescent="0.25">
      <c r="A185" t="s">
        <v>9</v>
      </c>
      <c r="B185">
        <v>2040</v>
      </c>
      <c r="C185" t="s">
        <v>21</v>
      </c>
      <c r="D185">
        <v>282.12947885281312</v>
      </c>
      <c r="E185" t="s">
        <v>20</v>
      </c>
      <c r="F185">
        <v>282129.47885281313</v>
      </c>
      <c r="G185">
        <v>222192.48083128527</v>
      </c>
    </row>
    <row r="186" spans="1:7" x14ac:dyDescent="0.25">
      <c r="A186" t="s">
        <v>14</v>
      </c>
      <c r="B186">
        <v>2018</v>
      </c>
      <c r="C186" t="s">
        <v>19</v>
      </c>
      <c r="D186">
        <v>13.493</v>
      </c>
      <c r="E186" t="s">
        <v>20</v>
      </c>
      <c r="F186">
        <v>13493</v>
      </c>
      <c r="G186">
        <v>4452.6900000000005</v>
      </c>
    </row>
    <row r="187" spans="1:7" x14ac:dyDescent="0.25">
      <c r="A187" t="s">
        <v>14</v>
      </c>
      <c r="B187">
        <v>2019</v>
      </c>
      <c r="C187" t="s">
        <v>19</v>
      </c>
      <c r="D187">
        <v>13.91</v>
      </c>
      <c r="E187" t="s">
        <v>20</v>
      </c>
      <c r="F187">
        <v>13910</v>
      </c>
      <c r="G187">
        <v>4590.3</v>
      </c>
    </row>
    <row r="188" spans="1:7" x14ac:dyDescent="0.25">
      <c r="A188" t="s">
        <v>14</v>
      </c>
      <c r="B188">
        <v>2020</v>
      </c>
      <c r="C188" t="s">
        <v>19</v>
      </c>
      <c r="D188">
        <v>8.1709999999999994</v>
      </c>
      <c r="E188" t="s">
        <v>20</v>
      </c>
      <c r="F188">
        <v>8170.9999999999991</v>
      </c>
      <c r="G188">
        <v>2696.43</v>
      </c>
    </row>
    <row r="189" spans="1:7" x14ac:dyDescent="0.25">
      <c r="A189" t="s">
        <v>14</v>
      </c>
      <c r="B189">
        <v>2021</v>
      </c>
      <c r="C189" t="s">
        <v>19</v>
      </c>
      <c r="D189">
        <v>4.18</v>
      </c>
      <c r="E189" t="s">
        <v>20</v>
      </c>
      <c r="F189">
        <v>4180</v>
      </c>
      <c r="G189">
        <v>1379.4</v>
      </c>
    </row>
    <row r="190" spans="1:7" x14ac:dyDescent="0.25">
      <c r="A190" t="s">
        <v>14</v>
      </c>
      <c r="B190">
        <v>2022</v>
      </c>
      <c r="C190" t="s">
        <v>19</v>
      </c>
      <c r="D190">
        <v>13.563000000000001</v>
      </c>
      <c r="E190" t="s">
        <v>20</v>
      </c>
      <c r="F190">
        <v>13563</v>
      </c>
      <c r="G190">
        <v>4475.79</v>
      </c>
    </row>
    <row r="191" spans="1:7" x14ac:dyDescent="0.25">
      <c r="A191" t="s">
        <v>14</v>
      </c>
      <c r="B191">
        <v>2023</v>
      </c>
      <c r="C191" t="s">
        <v>19</v>
      </c>
      <c r="D191">
        <v>4.194</v>
      </c>
      <c r="E191" t="s">
        <v>20</v>
      </c>
      <c r="F191">
        <v>4194</v>
      </c>
      <c r="G191">
        <v>1384.02</v>
      </c>
    </row>
    <row r="192" spans="1:7" x14ac:dyDescent="0.25">
      <c r="A192" t="s">
        <v>14</v>
      </c>
      <c r="B192">
        <v>2024</v>
      </c>
      <c r="C192" t="s">
        <v>19</v>
      </c>
      <c r="D192">
        <v>6.3</v>
      </c>
      <c r="E192" t="s">
        <v>20</v>
      </c>
      <c r="F192">
        <v>6300</v>
      </c>
      <c r="G192">
        <v>2079</v>
      </c>
    </row>
    <row r="193" spans="1:7" x14ac:dyDescent="0.25">
      <c r="A193" t="s">
        <v>14</v>
      </c>
      <c r="B193">
        <v>2025</v>
      </c>
      <c r="C193" t="s">
        <v>19</v>
      </c>
      <c r="D193">
        <v>0</v>
      </c>
      <c r="E193" t="s">
        <v>20</v>
      </c>
      <c r="F193">
        <v>0</v>
      </c>
      <c r="G193">
        <v>0</v>
      </c>
    </row>
    <row r="194" spans="1:7" x14ac:dyDescent="0.25">
      <c r="A194" t="s">
        <v>14</v>
      </c>
      <c r="B194">
        <v>2026</v>
      </c>
      <c r="C194" t="s">
        <v>19</v>
      </c>
      <c r="D194">
        <v>0</v>
      </c>
      <c r="E194" t="s">
        <v>20</v>
      </c>
      <c r="F194">
        <v>0</v>
      </c>
      <c r="G194">
        <v>0</v>
      </c>
    </row>
    <row r="195" spans="1:7" x14ac:dyDescent="0.25">
      <c r="A195" t="s">
        <v>14</v>
      </c>
      <c r="B195">
        <v>2027</v>
      </c>
      <c r="C195" t="s">
        <v>19</v>
      </c>
      <c r="D195">
        <v>0</v>
      </c>
      <c r="E195" t="s">
        <v>20</v>
      </c>
      <c r="F195">
        <v>0</v>
      </c>
      <c r="G195">
        <v>0</v>
      </c>
    </row>
    <row r="196" spans="1:7" x14ac:dyDescent="0.25">
      <c r="A196" t="s">
        <v>14</v>
      </c>
      <c r="B196">
        <v>2028</v>
      </c>
      <c r="C196" t="s">
        <v>19</v>
      </c>
      <c r="D196">
        <v>0</v>
      </c>
      <c r="E196" t="s">
        <v>20</v>
      </c>
      <c r="F196">
        <v>0</v>
      </c>
      <c r="G196">
        <v>0</v>
      </c>
    </row>
    <row r="197" spans="1:7" x14ac:dyDescent="0.25">
      <c r="A197" t="s">
        <v>14</v>
      </c>
      <c r="B197">
        <v>2029</v>
      </c>
      <c r="C197" t="s">
        <v>19</v>
      </c>
      <c r="D197">
        <v>0</v>
      </c>
      <c r="E197" t="s">
        <v>20</v>
      </c>
      <c r="F197">
        <v>0</v>
      </c>
      <c r="G197">
        <v>0</v>
      </c>
    </row>
    <row r="198" spans="1:7" x14ac:dyDescent="0.25">
      <c r="A198" t="s">
        <v>14</v>
      </c>
      <c r="B198">
        <v>2030</v>
      </c>
      <c r="C198" t="s">
        <v>19</v>
      </c>
      <c r="D198">
        <v>0</v>
      </c>
      <c r="E198" t="s">
        <v>20</v>
      </c>
      <c r="F198">
        <v>0</v>
      </c>
      <c r="G198">
        <v>0</v>
      </c>
    </row>
    <row r="199" spans="1:7" x14ac:dyDescent="0.25">
      <c r="A199" t="s">
        <v>14</v>
      </c>
      <c r="B199">
        <v>2031</v>
      </c>
      <c r="C199" t="s">
        <v>19</v>
      </c>
      <c r="D199">
        <v>0</v>
      </c>
      <c r="E199" t="s">
        <v>20</v>
      </c>
      <c r="F199">
        <v>0</v>
      </c>
      <c r="G199">
        <v>0</v>
      </c>
    </row>
    <row r="200" spans="1:7" x14ac:dyDescent="0.25">
      <c r="A200" t="s">
        <v>14</v>
      </c>
      <c r="B200">
        <v>2032</v>
      </c>
      <c r="C200" t="s">
        <v>19</v>
      </c>
      <c r="D200">
        <v>0</v>
      </c>
      <c r="E200" t="s">
        <v>20</v>
      </c>
      <c r="F200">
        <v>0</v>
      </c>
      <c r="G200">
        <v>0</v>
      </c>
    </row>
    <row r="201" spans="1:7" x14ac:dyDescent="0.25">
      <c r="A201" t="s">
        <v>14</v>
      </c>
      <c r="B201">
        <v>2033</v>
      </c>
      <c r="C201" t="s">
        <v>19</v>
      </c>
      <c r="D201">
        <v>0</v>
      </c>
      <c r="E201" t="s">
        <v>20</v>
      </c>
      <c r="F201">
        <v>0</v>
      </c>
      <c r="G201">
        <v>0</v>
      </c>
    </row>
    <row r="202" spans="1:7" x14ac:dyDescent="0.25">
      <c r="A202" t="s">
        <v>14</v>
      </c>
      <c r="B202">
        <v>2034</v>
      </c>
      <c r="C202" t="s">
        <v>19</v>
      </c>
      <c r="D202">
        <v>0</v>
      </c>
      <c r="E202" t="s">
        <v>20</v>
      </c>
      <c r="F202">
        <v>0</v>
      </c>
      <c r="G202">
        <v>0</v>
      </c>
    </row>
    <row r="203" spans="1:7" x14ac:dyDescent="0.25">
      <c r="A203" t="s">
        <v>14</v>
      </c>
      <c r="B203">
        <v>2035</v>
      </c>
      <c r="C203" t="s">
        <v>19</v>
      </c>
      <c r="D203">
        <v>0</v>
      </c>
      <c r="E203" t="s">
        <v>20</v>
      </c>
      <c r="F203">
        <v>0</v>
      </c>
      <c r="G203">
        <v>0</v>
      </c>
    </row>
    <row r="204" spans="1:7" x14ac:dyDescent="0.25">
      <c r="A204" t="s">
        <v>14</v>
      </c>
      <c r="B204">
        <v>2036</v>
      </c>
      <c r="C204" t="s">
        <v>19</v>
      </c>
      <c r="D204">
        <v>0</v>
      </c>
      <c r="E204" t="s">
        <v>20</v>
      </c>
      <c r="F204">
        <v>0</v>
      </c>
      <c r="G204">
        <v>0</v>
      </c>
    </row>
    <row r="205" spans="1:7" x14ac:dyDescent="0.25">
      <c r="A205" t="s">
        <v>14</v>
      </c>
      <c r="B205">
        <v>2037</v>
      </c>
      <c r="C205" t="s">
        <v>19</v>
      </c>
      <c r="D205">
        <v>0</v>
      </c>
      <c r="E205" t="s">
        <v>20</v>
      </c>
      <c r="F205">
        <v>0</v>
      </c>
      <c r="G205">
        <v>0</v>
      </c>
    </row>
    <row r="206" spans="1:7" x14ac:dyDescent="0.25">
      <c r="A206" t="s">
        <v>14</v>
      </c>
      <c r="B206">
        <v>2038</v>
      </c>
      <c r="C206" t="s">
        <v>19</v>
      </c>
      <c r="D206">
        <v>0</v>
      </c>
      <c r="E206" t="s">
        <v>20</v>
      </c>
      <c r="F206">
        <v>0</v>
      </c>
      <c r="G206">
        <v>0</v>
      </c>
    </row>
    <row r="207" spans="1:7" x14ac:dyDescent="0.25">
      <c r="A207" t="s">
        <v>14</v>
      </c>
      <c r="B207">
        <v>2039</v>
      </c>
      <c r="C207" t="s">
        <v>19</v>
      </c>
      <c r="D207">
        <v>0</v>
      </c>
      <c r="E207" t="s">
        <v>20</v>
      </c>
      <c r="F207">
        <v>0</v>
      </c>
      <c r="G207">
        <v>0</v>
      </c>
    </row>
    <row r="208" spans="1:7" x14ac:dyDescent="0.25">
      <c r="A208" t="s">
        <v>14</v>
      </c>
      <c r="B208">
        <v>2040</v>
      </c>
      <c r="C208" t="s">
        <v>19</v>
      </c>
      <c r="D208">
        <v>0</v>
      </c>
      <c r="E208" t="s">
        <v>20</v>
      </c>
      <c r="F208">
        <v>0</v>
      </c>
      <c r="G208">
        <v>0</v>
      </c>
    </row>
    <row r="209" spans="1:7" x14ac:dyDescent="0.25">
      <c r="A209" t="s">
        <v>14</v>
      </c>
      <c r="B209">
        <v>2018</v>
      </c>
      <c r="C209" t="s">
        <v>21</v>
      </c>
      <c r="D209">
        <v>13.493</v>
      </c>
      <c r="E209" t="s">
        <v>20</v>
      </c>
      <c r="F209">
        <v>13493</v>
      </c>
      <c r="G209">
        <v>4452.6900000000005</v>
      </c>
    </row>
    <row r="210" spans="1:7" x14ac:dyDescent="0.25">
      <c r="A210" t="s">
        <v>14</v>
      </c>
      <c r="B210">
        <v>2019</v>
      </c>
      <c r="C210" t="s">
        <v>21</v>
      </c>
      <c r="D210">
        <v>13.91</v>
      </c>
      <c r="E210" t="s">
        <v>20</v>
      </c>
      <c r="F210">
        <v>13910</v>
      </c>
      <c r="G210">
        <v>4590.3</v>
      </c>
    </row>
    <row r="211" spans="1:7" x14ac:dyDescent="0.25">
      <c r="A211" t="s">
        <v>14</v>
      </c>
      <c r="B211">
        <v>2020</v>
      </c>
      <c r="C211" t="s">
        <v>21</v>
      </c>
      <c r="D211">
        <v>8.1709999999999994</v>
      </c>
      <c r="E211" t="s">
        <v>20</v>
      </c>
      <c r="F211">
        <v>8170.9999999999991</v>
      </c>
      <c r="G211">
        <v>2696.43</v>
      </c>
    </row>
    <row r="212" spans="1:7" x14ac:dyDescent="0.25">
      <c r="A212" t="s">
        <v>14</v>
      </c>
      <c r="B212">
        <v>2021</v>
      </c>
      <c r="C212" t="s">
        <v>21</v>
      </c>
      <c r="D212">
        <v>4.18</v>
      </c>
      <c r="E212" t="s">
        <v>20</v>
      </c>
      <c r="F212">
        <v>4180</v>
      </c>
      <c r="G212">
        <v>1379.4</v>
      </c>
    </row>
    <row r="213" spans="1:7" x14ac:dyDescent="0.25">
      <c r="A213" t="s">
        <v>14</v>
      </c>
      <c r="B213">
        <v>2022</v>
      </c>
      <c r="C213" t="s">
        <v>21</v>
      </c>
      <c r="D213">
        <v>13.563000000000001</v>
      </c>
      <c r="E213" t="s">
        <v>20</v>
      </c>
      <c r="F213">
        <v>13563</v>
      </c>
      <c r="G213">
        <v>4475.79</v>
      </c>
    </row>
    <row r="214" spans="1:7" x14ac:dyDescent="0.25">
      <c r="A214" t="s">
        <v>14</v>
      </c>
      <c r="B214">
        <v>2023</v>
      </c>
      <c r="C214" t="s">
        <v>21</v>
      </c>
      <c r="D214">
        <v>103.93600000000001</v>
      </c>
      <c r="E214" t="s">
        <v>20</v>
      </c>
      <c r="F214">
        <v>103936</v>
      </c>
      <c r="G214">
        <v>34298.880000000005</v>
      </c>
    </row>
    <row r="215" spans="1:7" x14ac:dyDescent="0.25">
      <c r="A215" t="s">
        <v>14</v>
      </c>
      <c r="B215">
        <v>2024</v>
      </c>
      <c r="C215" t="s">
        <v>21</v>
      </c>
      <c r="D215">
        <v>106.03099999999999</v>
      </c>
      <c r="E215" t="s">
        <v>20</v>
      </c>
      <c r="F215">
        <v>106030.99999999999</v>
      </c>
      <c r="G215">
        <v>34990.229999999996</v>
      </c>
    </row>
    <row r="216" spans="1:7" x14ac:dyDescent="0.25">
      <c r="A216" t="s">
        <v>14</v>
      </c>
      <c r="B216">
        <v>2025</v>
      </c>
      <c r="C216" t="s">
        <v>21</v>
      </c>
      <c r="D216">
        <v>99.546999999999997</v>
      </c>
      <c r="E216" t="s">
        <v>20</v>
      </c>
      <c r="F216">
        <v>99547</v>
      </c>
      <c r="G216">
        <v>32850.51</v>
      </c>
    </row>
    <row r="217" spans="1:7" x14ac:dyDescent="0.25">
      <c r="A217" t="s">
        <v>14</v>
      </c>
      <c r="B217">
        <v>2026</v>
      </c>
      <c r="C217" t="s">
        <v>21</v>
      </c>
      <c r="D217">
        <v>99.67</v>
      </c>
      <c r="E217" t="s">
        <v>20</v>
      </c>
      <c r="F217">
        <v>99670</v>
      </c>
      <c r="G217">
        <v>32891.1</v>
      </c>
    </row>
    <row r="218" spans="1:7" x14ac:dyDescent="0.25">
      <c r="A218" t="s">
        <v>14</v>
      </c>
      <c r="B218">
        <v>2027</v>
      </c>
      <c r="C218" t="s">
        <v>21</v>
      </c>
      <c r="D218">
        <v>99.778000000000006</v>
      </c>
      <c r="E218" t="s">
        <v>20</v>
      </c>
      <c r="F218">
        <v>99778</v>
      </c>
      <c r="G218">
        <v>32926.74</v>
      </c>
    </row>
    <row r="219" spans="1:7" x14ac:dyDescent="0.25">
      <c r="A219" t="s">
        <v>14</v>
      </c>
      <c r="B219">
        <v>2028</v>
      </c>
      <c r="C219" t="s">
        <v>21</v>
      </c>
      <c r="D219">
        <v>99.734999999999999</v>
      </c>
      <c r="E219" t="s">
        <v>20</v>
      </c>
      <c r="F219">
        <v>99735</v>
      </c>
      <c r="G219">
        <v>32912.550000000003</v>
      </c>
    </row>
    <row r="220" spans="1:7" x14ac:dyDescent="0.25">
      <c r="A220" t="s">
        <v>14</v>
      </c>
      <c r="B220">
        <v>2029</v>
      </c>
      <c r="C220" t="s">
        <v>21</v>
      </c>
      <c r="D220">
        <v>99.513999999999996</v>
      </c>
      <c r="E220" t="s">
        <v>20</v>
      </c>
      <c r="F220">
        <v>99514</v>
      </c>
      <c r="G220">
        <v>32839.620000000003</v>
      </c>
    </row>
    <row r="221" spans="1:7" x14ac:dyDescent="0.25">
      <c r="A221" t="s">
        <v>14</v>
      </c>
      <c r="B221">
        <v>2030</v>
      </c>
      <c r="C221" t="s">
        <v>21</v>
      </c>
      <c r="D221">
        <v>99.712000000000003</v>
      </c>
      <c r="E221" t="s">
        <v>20</v>
      </c>
      <c r="F221">
        <v>99712</v>
      </c>
      <c r="G221">
        <v>32904.959999999999</v>
      </c>
    </row>
    <row r="222" spans="1:7" x14ac:dyDescent="0.25">
      <c r="A222" t="s">
        <v>14</v>
      </c>
      <c r="B222">
        <v>2031</v>
      </c>
      <c r="C222" t="s">
        <v>21</v>
      </c>
      <c r="D222">
        <v>99.847999999999999</v>
      </c>
      <c r="E222" t="s">
        <v>20</v>
      </c>
      <c r="F222">
        <v>99848</v>
      </c>
      <c r="G222">
        <v>32949.840000000004</v>
      </c>
    </row>
    <row r="223" spans="1:7" x14ac:dyDescent="0.25">
      <c r="A223" t="s">
        <v>14</v>
      </c>
      <c r="B223">
        <v>2032</v>
      </c>
      <c r="C223" t="s">
        <v>21</v>
      </c>
      <c r="D223">
        <v>88.9360447423349</v>
      </c>
      <c r="E223" t="s">
        <v>20</v>
      </c>
      <c r="F223">
        <v>88936.044742334896</v>
      </c>
      <c r="G223">
        <v>29348.894764970519</v>
      </c>
    </row>
    <row r="224" spans="1:7" x14ac:dyDescent="0.25">
      <c r="A224" t="s">
        <v>14</v>
      </c>
      <c r="B224">
        <v>2033</v>
      </c>
      <c r="C224" t="s">
        <v>21</v>
      </c>
      <c r="D224">
        <v>107.33713919856019</v>
      </c>
      <c r="E224" t="s">
        <v>20</v>
      </c>
      <c r="F224">
        <v>107337.13919856019</v>
      </c>
      <c r="G224">
        <v>35421.255935524867</v>
      </c>
    </row>
    <row r="225" spans="1:7" x14ac:dyDescent="0.25">
      <c r="A225" t="s">
        <v>14</v>
      </c>
      <c r="B225">
        <v>2034</v>
      </c>
      <c r="C225" t="s">
        <v>21</v>
      </c>
      <c r="D225">
        <v>129.54546702307746</v>
      </c>
      <c r="E225" t="s">
        <v>20</v>
      </c>
      <c r="F225">
        <v>129545.46702307746</v>
      </c>
      <c r="G225">
        <v>42750.004117615565</v>
      </c>
    </row>
    <row r="226" spans="1:7" x14ac:dyDescent="0.25">
      <c r="A226" t="s">
        <v>14</v>
      </c>
      <c r="B226">
        <v>2035</v>
      </c>
      <c r="C226" t="s">
        <v>21</v>
      </c>
      <c r="D226">
        <v>156.34875450875035</v>
      </c>
      <c r="E226" t="s">
        <v>20</v>
      </c>
      <c r="F226">
        <v>156348.75450875034</v>
      </c>
      <c r="G226">
        <v>51595.088987887611</v>
      </c>
    </row>
    <row r="227" spans="1:7" x14ac:dyDescent="0.25">
      <c r="A227" t="s">
        <v>14</v>
      </c>
      <c r="B227">
        <v>2036</v>
      </c>
      <c r="C227" t="s">
        <v>21</v>
      </c>
      <c r="D227">
        <v>188.69771052724536</v>
      </c>
      <c r="E227" t="s">
        <v>20</v>
      </c>
      <c r="F227">
        <v>188697.71052724536</v>
      </c>
      <c r="G227">
        <v>62270.24447399097</v>
      </c>
    </row>
    <row r="228" spans="1:7" x14ac:dyDescent="0.25">
      <c r="A228" t="s">
        <v>14</v>
      </c>
      <c r="B228">
        <v>2037</v>
      </c>
      <c r="C228" t="s">
        <v>21</v>
      </c>
      <c r="D228">
        <v>227.73974804021404</v>
      </c>
      <c r="E228" t="s">
        <v>20</v>
      </c>
      <c r="F228">
        <v>227739.74804021404</v>
      </c>
      <c r="G228">
        <v>75154.116853270636</v>
      </c>
    </row>
    <row r="229" spans="1:7" x14ac:dyDescent="0.25">
      <c r="A229" t="s">
        <v>14</v>
      </c>
      <c r="B229">
        <v>2038</v>
      </c>
      <c r="C229" t="s">
        <v>21</v>
      </c>
      <c r="D229">
        <v>274.85968267713315</v>
      </c>
      <c r="E229" t="s">
        <v>20</v>
      </c>
      <c r="F229">
        <v>274859.68267713313</v>
      </c>
      <c r="G229">
        <v>90703.695283453941</v>
      </c>
    </row>
    <row r="230" spans="1:7" x14ac:dyDescent="0.25">
      <c r="A230" t="s">
        <v>14</v>
      </c>
      <c r="B230">
        <v>2039</v>
      </c>
      <c r="C230" t="s">
        <v>21</v>
      </c>
      <c r="D230">
        <v>331.72885195268657</v>
      </c>
      <c r="E230" t="s">
        <v>20</v>
      </c>
      <c r="F230">
        <v>331728.85195268656</v>
      </c>
      <c r="G230">
        <v>109470.52114438657</v>
      </c>
    </row>
    <row r="231" spans="1:7" x14ac:dyDescent="0.25">
      <c r="A231" t="s">
        <v>14</v>
      </c>
      <c r="B231">
        <v>2040</v>
      </c>
      <c r="C231" t="s">
        <v>21</v>
      </c>
      <c r="D231">
        <v>400.36439737548505</v>
      </c>
      <c r="E231" t="s">
        <v>20</v>
      </c>
      <c r="F231">
        <v>400364.39737548504</v>
      </c>
      <c r="G231">
        <v>132120.25113391006</v>
      </c>
    </row>
    <row r="232" spans="1:7" x14ac:dyDescent="0.25">
      <c r="A232" t="s">
        <v>12</v>
      </c>
      <c r="B232">
        <v>2018</v>
      </c>
      <c r="C232" t="s">
        <v>19</v>
      </c>
      <c r="D232">
        <v>0</v>
      </c>
      <c r="E232" t="s">
        <v>20</v>
      </c>
      <c r="F232">
        <v>0</v>
      </c>
      <c r="G232">
        <v>0</v>
      </c>
    </row>
    <row r="233" spans="1:7" x14ac:dyDescent="0.25">
      <c r="A233" t="s">
        <v>12</v>
      </c>
      <c r="B233">
        <v>2019</v>
      </c>
      <c r="C233" t="s">
        <v>19</v>
      </c>
      <c r="D233">
        <v>0</v>
      </c>
      <c r="E233" t="s">
        <v>20</v>
      </c>
      <c r="F233">
        <v>0</v>
      </c>
      <c r="G233">
        <v>0</v>
      </c>
    </row>
    <row r="234" spans="1:7" x14ac:dyDescent="0.25">
      <c r="A234" t="s">
        <v>12</v>
      </c>
      <c r="B234">
        <v>2020</v>
      </c>
      <c r="C234" t="s">
        <v>19</v>
      </c>
      <c r="D234">
        <v>0</v>
      </c>
      <c r="E234" t="s">
        <v>20</v>
      </c>
      <c r="F234">
        <v>0</v>
      </c>
      <c r="G234">
        <v>0</v>
      </c>
    </row>
    <row r="235" spans="1:7" x14ac:dyDescent="0.25">
      <c r="A235" t="s">
        <v>12</v>
      </c>
      <c r="B235">
        <v>2021</v>
      </c>
      <c r="C235" t="s">
        <v>19</v>
      </c>
      <c r="D235">
        <v>0</v>
      </c>
      <c r="E235" t="s">
        <v>20</v>
      </c>
      <c r="F235">
        <v>0</v>
      </c>
      <c r="G235">
        <v>0</v>
      </c>
    </row>
    <row r="236" spans="1:7" x14ac:dyDescent="0.25">
      <c r="A236" t="s">
        <v>12</v>
      </c>
      <c r="B236">
        <v>2022</v>
      </c>
      <c r="C236" t="s">
        <v>19</v>
      </c>
      <c r="D236">
        <v>0</v>
      </c>
      <c r="E236" t="s">
        <v>20</v>
      </c>
      <c r="F236">
        <v>0</v>
      </c>
      <c r="G236">
        <v>0</v>
      </c>
    </row>
    <row r="237" spans="1:7" x14ac:dyDescent="0.25">
      <c r="A237" t="s">
        <v>12</v>
      </c>
      <c r="B237">
        <v>2023</v>
      </c>
      <c r="C237" t="s">
        <v>19</v>
      </c>
      <c r="D237">
        <v>0</v>
      </c>
      <c r="E237" t="s">
        <v>20</v>
      </c>
      <c r="F237">
        <v>0</v>
      </c>
      <c r="G237">
        <v>0</v>
      </c>
    </row>
    <row r="238" spans="1:7" x14ac:dyDescent="0.25">
      <c r="A238" t="s">
        <v>12</v>
      </c>
      <c r="B238">
        <v>2024</v>
      </c>
      <c r="C238" t="s">
        <v>19</v>
      </c>
      <c r="D238">
        <v>0</v>
      </c>
      <c r="E238" t="s">
        <v>20</v>
      </c>
      <c r="F238">
        <v>0</v>
      </c>
      <c r="G238">
        <v>0</v>
      </c>
    </row>
    <row r="239" spans="1:7" x14ac:dyDescent="0.25">
      <c r="A239" t="s">
        <v>12</v>
      </c>
      <c r="B239">
        <v>2025</v>
      </c>
      <c r="C239" t="s">
        <v>19</v>
      </c>
      <c r="D239">
        <v>0</v>
      </c>
      <c r="E239" t="s">
        <v>20</v>
      </c>
      <c r="F239">
        <v>0</v>
      </c>
      <c r="G239">
        <v>0</v>
      </c>
    </row>
    <row r="240" spans="1:7" x14ac:dyDescent="0.25">
      <c r="A240" t="s">
        <v>12</v>
      </c>
      <c r="B240">
        <v>2026</v>
      </c>
      <c r="C240" t="s">
        <v>19</v>
      </c>
      <c r="D240">
        <v>0</v>
      </c>
      <c r="E240" t="s">
        <v>20</v>
      </c>
      <c r="F240">
        <v>0</v>
      </c>
      <c r="G240">
        <v>0</v>
      </c>
    </row>
    <row r="241" spans="1:7" x14ac:dyDescent="0.25">
      <c r="A241" t="s">
        <v>12</v>
      </c>
      <c r="B241">
        <v>2027</v>
      </c>
      <c r="C241" t="s">
        <v>19</v>
      </c>
      <c r="D241">
        <v>0</v>
      </c>
      <c r="E241" t="s">
        <v>20</v>
      </c>
      <c r="F241">
        <v>0</v>
      </c>
      <c r="G241">
        <v>0</v>
      </c>
    </row>
    <row r="242" spans="1:7" x14ac:dyDescent="0.25">
      <c r="A242" t="s">
        <v>12</v>
      </c>
      <c r="B242">
        <v>2028</v>
      </c>
      <c r="C242" t="s">
        <v>19</v>
      </c>
      <c r="D242">
        <v>0</v>
      </c>
      <c r="E242" t="s">
        <v>20</v>
      </c>
      <c r="F242">
        <v>0</v>
      </c>
      <c r="G242">
        <v>0</v>
      </c>
    </row>
    <row r="243" spans="1:7" x14ac:dyDescent="0.25">
      <c r="A243" t="s">
        <v>12</v>
      </c>
      <c r="B243">
        <v>2029</v>
      </c>
      <c r="C243" t="s">
        <v>19</v>
      </c>
      <c r="D243">
        <v>0</v>
      </c>
      <c r="E243" t="s">
        <v>20</v>
      </c>
      <c r="F243">
        <v>0</v>
      </c>
      <c r="G243">
        <v>0</v>
      </c>
    </row>
    <row r="244" spans="1:7" x14ac:dyDescent="0.25">
      <c r="A244" t="s">
        <v>12</v>
      </c>
      <c r="B244">
        <v>2030</v>
      </c>
      <c r="C244" t="s">
        <v>19</v>
      </c>
      <c r="D244">
        <v>0</v>
      </c>
      <c r="E244" t="s">
        <v>20</v>
      </c>
      <c r="F244">
        <v>0</v>
      </c>
      <c r="G244">
        <v>0</v>
      </c>
    </row>
    <row r="245" spans="1:7" x14ac:dyDescent="0.25">
      <c r="A245" t="s">
        <v>12</v>
      </c>
      <c r="B245">
        <v>2031</v>
      </c>
      <c r="C245" t="s">
        <v>19</v>
      </c>
      <c r="D245">
        <v>0</v>
      </c>
      <c r="E245" t="s">
        <v>20</v>
      </c>
      <c r="F245">
        <v>0</v>
      </c>
      <c r="G245">
        <v>0</v>
      </c>
    </row>
    <row r="246" spans="1:7" x14ac:dyDescent="0.25">
      <c r="A246" t="s">
        <v>12</v>
      </c>
      <c r="B246">
        <v>2032</v>
      </c>
      <c r="C246" t="s">
        <v>19</v>
      </c>
      <c r="D246">
        <v>0</v>
      </c>
      <c r="E246" t="s">
        <v>20</v>
      </c>
      <c r="F246">
        <v>0</v>
      </c>
      <c r="G246">
        <v>0</v>
      </c>
    </row>
    <row r="247" spans="1:7" x14ac:dyDescent="0.25">
      <c r="A247" t="s">
        <v>12</v>
      </c>
      <c r="B247">
        <v>2033</v>
      </c>
      <c r="C247" t="s">
        <v>19</v>
      </c>
      <c r="D247">
        <v>0</v>
      </c>
      <c r="E247" t="s">
        <v>20</v>
      </c>
      <c r="F247">
        <v>0</v>
      </c>
      <c r="G247">
        <v>0</v>
      </c>
    </row>
    <row r="248" spans="1:7" x14ac:dyDescent="0.25">
      <c r="A248" t="s">
        <v>12</v>
      </c>
      <c r="B248">
        <v>2034</v>
      </c>
      <c r="C248" t="s">
        <v>19</v>
      </c>
      <c r="D248">
        <v>0</v>
      </c>
      <c r="E248" t="s">
        <v>20</v>
      </c>
      <c r="F248">
        <v>0</v>
      </c>
      <c r="G248">
        <v>0</v>
      </c>
    </row>
    <row r="249" spans="1:7" x14ac:dyDescent="0.25">
      <c r="A249" t="s">
        <v>12</v>
      </c>
      <c r="B249">
        <v>2035</v>
      </c>
      <c r="C249" t="s">
        <v>19</v>
      </c>
      <c r="D249">
        <v>0</v>
      </c>
      <c r="E249" t="s">
        <v>20</v>
      </c>
      <c r="F249">
        <v>0</v>
      </c>
      <c r="G249">
        <v>0</v>
      </c>
    </row>
    <row r="250" spans="1:7" x14ac:dyDescent="0.25">
      <c r="A250" t="s">
        <v>12</v>
      </c>
      <c r="B250">
        <v>2036</v>
      </c>
      <c r="C250" t="s">
        <v>19</v>
      </c>
      <c r="D250">
        <v>0</v>
      </c>
      <c r="E250" t="s">
        <v>20</v>
      </c>
      <c r="F250">
        <v>0</v>
      </c>
      <c r="G250">
        <v>0</v>
      </c>
    </row>
    <row r="251" spans="1:7" x14ac:dyDescent="0.25">
      <c r="A251" t="s">
        <v>12</v>
      </c>
      <c r="B251">
        <v>2037</v>
      </c>
      <c r="C251" t="s">
        <v>19</v>
      </c>
      <c r="D251">
        <v>0</v>
      </c>
      <c r="E251" t="s">
        <v>20</v>
      </c>
      <c r="F251">
        <v>0</v>
      </c>
      <c r="G251">
        <v>0</v>
      </c>
    </row>
    <row r="252" spans="1:7" x14ac:dyDescent="0.25">
      <c r="A252" t="s">
        <v>12</v>
      </c>
      <c r="B252">
        <v>2038</v>
      </c>
      <c r="C252" t="s">
        <v>19</v>
      </c>
      <c r="D252">
        <v>0</v>
      </c>
      <c r="E252" t="s">
        <v>20</v>
      </c>
      <c r="F252">
        <v>0</v>
      </c>
      <c r="G252">
        <v>0</v>
      </c>
    </row>
    <row r="253" spans="1:7" x14ac:dyDescent="0.25">
      <c r="A253" t="s">
        <v>12</v>
      </c>
      <c r="B253">
        <v>2039</v>
      </c>
      <c r="C253" t="s">
        <v>19</v>
      </c>
      <c r="D253">
        <v>0</v>
      </c>
      <c r="E253" t="s">
        <v>20</v>
      </c>
      <c r="F253">
        <v>0</v>
      </c>
      <c r="G253">
        <v>0</v>
      </c>
    </row>
    <row r="254" spans="1:7" x14ac:dyDescent="0.25">
      <c r="A254" t="s">
        <v>12</v>
      </c>
      <c r="B254">
        <v>2040</v>
      </c>
      <c r="C254" t="s">
        <v>19</v>
      </c>
      <c r="D254">
        <v>0</v>
      </c>
      <c r="E254" t="s">
        <v>20</v>
      </c>
      <c r="F254">
        <v>0</v>
      </c>
      <c r="G254">
        <v>0</v>
      </c>
    </row>
    <row r="255" spans="1:7" x14ac:dyDescent="0.25">
      <c r="A255" t="s">
        <v>12</v>
      </c>
      <c r="B255">
        <v>2018</v>
      </c>
      <c r="C255" t="s">
        <v>21</v>
      </c>
      <c r="D255">
        <v>0</v>
      </c>
      <c r="E255" t="s">
        <v>20</v>
      </c>
      <c r="F255">
        <v>0</v>
      </c>
      <c r="G255">
        <v>0</v>
      </c>
    </row>
    <row r="256" spans="1:7" x14ac:dyDescent="0.25">
      <c r="A256" t="s">
        <v>12</v>
      </c>
      <c r="B256">
        <v>2019</v>
      </c>
      <c r="C256" t="s">
        <v>21</v>
      </c>
      <c r="D256">
        <v>0</v>
      </c>
      <c r="E256" t="s">
        <v>20</v>
      </c>
      <c r="F256">
        <v>0</v>
      </c>
      <c r="G256">
        <v>0</v>
      </c>
    </row>
    <row r="257" spans="1:7" x14ac:dyDescent="0.25">
      <c r="A257" t="s">
        <v>12</v>
      </c>
      <c r="B257">
        <v>2020</v>
      </c>
      <c r="C257" t="s">
        <v>21</v>
      </c>
      <c r="D257">
        <v>0</v>
      </c>
      <c r="E257" t="s">
        <v>20</v>
      </c>
      <c r="F257">
        <v>0</v>
      </c>
      <c r="G257">
        <v>0</v>
      </c>
    </row>
    <row r="258" spans="1:7" x14ac:dyDescent="0.25">
      <c r="A258" t="s">
        <v>12</v>
      </c>
      <c r="B258">
        <v>2021</v>
      </c>
      <c r="C258" t="s">
        <v>21</v>
      </c>
      <c r="D258">
        <v>0</v>
      </c>
      <c r="E258" t="s">
        <v>20</v>
      </c>
      <c r="F258">
        <v>0</v>
      </c>
      <c r="G258">
        <v>0</v>
      </c>
    </row>
    <row r="259" spans="1:7" x14ac:dyDescent="0.25">
      <c r="A259" t="s">
        <v>12</v>
      </c>
      <c r="B259">
        <v>2022</v>
      </c>
      <c r="C259" t="s">
        <v>21</v>
      </c>
      <c r="D259">
        <v>0</v>
      </c>
      <c r="E259" t="s">
        <v>20</v>
      </c>
      <c r="F259">
        <v>0</v>
      </c>
      <c r="G259">
        <v>0</v>
      </c>
    </row>
    <row r="260" spans="1:7" x14ac:dyDescent="0.25">
      <c r="A260" t="s">
        <v>12</v>
      </c>
      <c r="B260">
        <v>2023</v>
      </c>
      <c r="C260" t="s">
        <v>21</v>
      </c>
      <c r="D260">
        <v>1.4008889791940259E-3</v>
      </c>
      <c r="E260" t="s">
        <v>20</v>
      </c>
      <c r="F260">
        <v>1.4008889791940258</v>
      </c>
      <c r="G260">
        <v>0.8384935726722027</v>
      </c>
    </row>
    <row r="261" spans="1:7" x14ac:dyDescent="0.25">
      <c r="A261" t="s">
        <v>12</v>
      </c>
      <c r="B261">
        <v>2024</v>
      </c>
      <c r="C261" t="s">
        <v>21</v>
      </c>
      <c r="D261">
        <v>1.9624899320272796E-3</v>
      </c>
      <c r="E261" t="s">
        <v>20</v>
      </c>
      <c r="F261">
        <v>1.9624899320272795</v>
      </c>
      <c r="G261">
        <v>1.1746364050815137</v>
      </c>
    </row>
    <row r="262" spans="1:7" x14ac:dyDescent="0.25">
      <c r="A262" t="s">
        <v>12</v>
      </c>
      <c r="B262">
        <v>2025</v>
      </c>
      <c r="C262" t="s">
        <v>21</v>
      </c>
      <c r="D262">
        <v>2.7492305175562488E-3</v>
      </c>
      <c r="E262" t="s">
        <v>20</v>
      </c>
      <c r="F262">
        <v>2.7492305175562488</v>
      </c>
      <c r="G262">
        <v>1.6455351944387819</v>
      </c>
    </row>
    <row r="263" spans="1:7" x14ac:dyDescent="0.25">
      <c r="A263" t="s">
        <v>12</v>
      </c>
      <c r="B263">
        <v>2026</v>
      </c>
      <c r="C263" t="s">
        <v>21</v>
      </c>
      <c r="D263">
        <v>3.8513667333084363E-3</v>
      </c>
      <c r="E263" t="s">
        <v>20</v>
      </c>
      <c r="F263">
        <v>3.8513667333084363</v>
      </c>
      <c r="G263">
        <v>2.3052121187651879</v>
      </c>
    </row>
    <row r="264" spans="1:7" x14ac:dyDescent="0.25">
      <c r="A264" t="s">
        <v>12</v>
      </c>
      <c r="B264">
        <v>2027</v>
      </c>
      <c r="C264" t="s">
        <v>21</v>
      </c>
      <c r="D264">
        <v>5.3953372115262853E-3</v>
      </c>
      <c r="E264" t="s">
        <v>20</v>
      </c>
      <c r="F264">
        <v>5.395337211526285</v>
      </c>
      <c r="G264">
        <v>3.229346251882661</v>
      </c>
    </row>
    <row r="265" spans="1:7" x14ac:dyDescent="0.25">
      <c r="A265" t="s">
        <v>12</v>
      </c>
      <c r="B265">
        <v>2028</v>
      </c>
      <c r="C265" t="s">
        <v>21</v>
      </c>
      <c r="D265">
        <v>7.5582684386625984E-3</v>
      </c>
      <c r="E265" t="s">
        <v>20</v>
      </c>
      <c r="F265">
        <v>7.5582684386625987</v>
      </c>
      <c r="G265">
        <v>4.5239555742639546</v>
      </c>
    </row>
    <row r="266" spans="1:7" x14ac:dyDescent="0.25">
      <c r="A266" t="s">
        <v>12</v>
      </c>
      <c r="B266">
        <v>2029</v>
      </c>
      <c r="C266" t="s">
        <v>21</v>
      </c>
      <c r="D266">
        <v>1.0588294957512472E-2</v>
      </c>
      <c r="E266" t="s">
        <v>20</v>
      </c>
      <c r="F266">
        <v>10.588294957512472</v>
      </c>
      <c r="G266">
        <v>6.3375595063497547</v>
      </c>
    </row>
    <row r="267" spans="1:7" x14ac:dyDescent="0.25">
      <c r="A267" t="s">
        <v>12</v>
      </c>
      <c r="B267">
        <v>2030</v>
      </c>
      <c r="C267" t="s">
        <v>21</v>
      </c>
      <c r="D267">
        <v>1.4833025714434896E-2</v>
      </c>
      <c r="E267" t="s">
        <v>20</v>
      </c>
      <c r="F267">
        <v>14.833025714434896</v>
      </c>
      <c r="G267">
        <v>8.878217267431701</v>
      </c>
    </row>
    <row r="268" spans="1:7" x14ac:dyDescent="0.25">
      <c r="A268" t="s">
        <v>12</v>
      </c>
      <c r="B268">
        <v>2031</v>
      </c>
      <c r="C268" t="s">
        <v>21</v>
      </c>
      <c r="D268">
        <v>2.0779422251453437E-2</v>
      </c>
      <c r="E268" t="s">
        <v>20</v>
      </c>
      <c r="F268">
        <v>20.779422251453436</v>
      </c>
      <c r="G268">
        <v>12.437396724835168</v>
      </c>
    </row>
    <row r="269" spans="1:7" x14ac:dyDescent="0.25">
      <c r="A269" t="s">
        <v>12</v>
      </c>
      <c r="B269">
        <v>2032</v>
      </c>
      <c r="C269" t="s">
        <v>21</v>
      </c>
      <c r="D269">
        <v>2.9109663626080227E-2</v>
      </c>
      <c r="E269" t="s">
        <v>20</v>
      </c>
      <c r="F269">
        <v>29.109663626080227</v>
      </c>
      <c r="G269">
        <v>17.423412001685456</v>
      </c>
    </row>
    <row r="270" spans="1:7" x14ac:dyDescent="0.25">
      <c r="A270" t="s">
        <v>12</v>
      </c>
      <c r="B270">
        <v>2033</v>
      </c>
      <c r="C270" t="s">
        <v>21</v>
      </c>
      <c r="D270">
        <v>4.0779406961820995E-2</v>
      </c>
      <c r="E270" t="s">
        <v>20</v>
      </c>
      <c r="F270">
        <v>40.779406961820996</v>
      </c>
      <c r="G270">
        <v>24.408265853118078</v>
      </c>
    </row>
    <row r="271" spans="1:7" x14ac:dyDescent="0.25">
      <c r="A271" t="s">
        <v>12</v>
      </c>
      <c r="B271">
        <v>2034</v>
      </c>
      <c r="C271" t="s">
        <v>21</v>
      </c>
      <c r="D271">
        <v>5.7127421790883162E-2</v>
      </c>
      <c r="E271" t="s">
        <v>20</v>
      </c>
      <c r="F271">
        <v>57.127421790883162</v>
      </c>
      <c r="G271">
        <v>34.193270634870984</v>
      </c>
    </row>
    <row r="272" spans="1:7" x14ac:dyDescent="0.25">
      <c r="A272" t="s">
        <v>12</v>
      </c>
      <c r="B272">
        <v>2035</v>
      </c>
      <c r="C272" t="s">
        <v>21</v>
      </c>
      <c r="D272">
        <v>8.0029175596616847E-2</v>
      </c>
      <c r="E272" t="s">
        <v>20</v>
      </c>
      <c r="F272">
        <v>80.029175596616852</v>
      </c>
      <c r="G272">
        <v>47.900975994989466</v>
      </c>
    </row>
    <row r="273" spans="1:7" x14ac:dyDescent="0.25">
      <c r="A273" t="s">
        <v>12</v>
      </c>
      <c r="B273">
        <v>2036</v>
      </c>
      <c r="C273" t="s">
        <v>21</v>
      </c>
      <c r="D273">
        <v>0.11211199010728401</v>
      </c>
      <c r="E273" t="s">
        <v>20</v>
      </c>
      <c r="F273">
        <v>112.11199010728402</v>
      </c>
      <c r="G273">
        <v>67.10394936401832</v>
      </c>
    </row>
    <row r="274" spans="1:7" x14ac:dyDescent="0.25">
      <c r="A274" t="s">
        <v>12</v>
      </c>
      <c r="B274">
        <v>2037</v>
      </c>
      <c r="C274" t="s">
        <v>21</v>
      </c>
      <c r="D274">
        <v>0.15705645137680382</v>
      </c>
      <c r="E274" t="s">
        <v>20</v>
      </c>
      <c r="F274">
        <v>157.05645137680384</v>
      </c>
      <c r="G274">
        <v>94.005183124447228</v>
      </c>
    </row>
    <row r="275" spans="1:7" x14ac:dyDescent="0.25">
      <c r="A275" t="s">
        <v>12</v>
      </c>
      <c r="B275">
        <v>2038</v>
      </c>
      <c r="C275" t="s">
        <v>21</v>
      </c>
      <c r="D275">
        <v>0.22001865184508684</v>
      </c>
      <c r="E275" t="s">
        <v>20</v>
      </c>
      <c r="F275">
        <v>220.01865184508685</v>
      </c>
      <c r="G275">
        <v>131.69082502615433</v>
      </c>
    </row>
    <row r="276" spans="1:7" x14ac:dyDescent="0.25">
      <c r="A276" t="s">
        <v>12</v>
      </c>
      <c r="B276">
        <v>2039</v>
      </c>
      <c r="C276" t="s">
        <v>21</v>
      </c>
      <c r="D276">
        <v>0.30822170458690951</v>
      </c>
      <c r="E276" t="s">
        <v>20</v>
      </c>
      <c r="F276">
        <v>308.22170458690948</v>
      </c>
      <c r="G276">
        <v>184.48422544010839</v>
      </c>
    </row>
    <row r="277" spans="1:7" x14ac:dyDescent="0.25">
      <c r="A277" t="s">
        <v>12</v>
      </c>
      <c r="B277">
        <v>2040</v>
      </c>
      <c r="C277" t="s">
        <v>21</v>
      </c>
      <c r="D277">
        <v>0.4317843891041982</v>
      </c>
      <c r="E277" t="s">
        <v>20</v>
      </c>
      <c r="F277">
        <v>431.78438910419817</v>
      </c>
      <c r="G277">
        <v>258.44191825419398</v>
      </c>
    </row>
  </sheetData>
  <autoFilter ref="A1:G1" xr:uid="{A7D98D3D-BB27-4896-BD05-AB96D548E28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README</vt:lpstr>
      <vt:lpstr>Scenarios</vt:lpstr>
      <vt:lpstr>Associated_LCIs</vt:lpstr>
      <vt:lpstr>EQ_LCA_results</vt:lpstr>
      <vt:lpstr>HH_LCA_results</vt:lpstr>
      <vt:lpstr>GWP_LCA_results</vt:lpstr>
      <vt:lpstr>DEMAND</vt:lpstr>
      <vt:lpstr>PRODUCTION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 Pellan</dc:creator>
  <cp:lastModifiedBy>Marin Pellan</cp:lastModifiedBy>
  <dcterms:created xsi:type="dcterms:W3CDTF">2015-06-05T18:19:34Z</dcterms:created>
  <dcterms:modified xsi:type="dcterms:W3CDTF">2026-01-28T16:11:36Z</dcterms:modified>
</cp:coreProperties>
</file>