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polymtlca-my.sharepoint.com/personal/marin_pellan_polymtl_ca/Documents/POST_DOC/CODE/fasc_metal_sustainability/results/"/>
    </mc:Choice>
  </mc:AlternateContent>
  <xr:revisionPtr revIDLastSave="0" documentId="13_ncr:1_{9C4B3C34-78F5-4DD0-8729-0221BA87F6E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1" l="1"/>
</calcChain>
</file>

<file path=xl/sharedStrings.xml><?xml version="1.0" encoding="utf-8"?>
<sst xmlns="http://schemas.openxmlformats.org/spreadsheetml/2006/main" count="45" uniqueCount="18">
  <si>
    <t>Canada refining / Canada supply</t>
  </si>
  <si>
    <t>Canada refining / RoW supply</t>
  </si>
  <si>
    <t>RoW refining / Canada supply</t>
  </si>
  <si>
    <t>RoW refining / RoW supply</t>
  </si>
  <si>
    <t>Copper</t>
  </si>
  <si>
    <t>IO multiplier (only Canada's economy)</t>
  </si>
  <si>
    <t>IO multiplier (Global economy)</t>
  </si>
  <si>
    <t>Nickel</t>
  </si>
  <si>
    <t>Cobalt</t>
  </si>
  <si>
    <t>Refining</t>
  </si>
  <si>
    <t>Mining</t>
  </si>
  <si>
    <t>Graphite</t>
  </si>
  <si>
    <t>Lithium</t>
  </si>
  <si>
    <t>Neodymium</t>
  </si>
  <si>
    <t>Canada</t>
  </si>
  <si>
    <t>RoW</t>
  </si>
  <si>
    <t>Employment (Canada) (full time job equivalent/CAD)</t>
  </si>
  <si>
    <t>Employment (global) (full time job equivalent/CAD)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</si>
</sst>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11" fontId="0" fillId="0" borderId="1" xfId="0" applyNumberFormat="1" applyBorder="1"/>
    <xf numFmtId="0" fontId="0" fillId="0" borderId="1" xfId="0" applyBorder="1" applyAlignment="1">
      <alignment horizontal="center" vertical="center"/>
    </xf>
    <xf numFmtId="0" fontId="0" fillId="0" borderId="8" xfId="0" applyBorder="1"/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IO multiplier (for Canada's economy)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Sheet1!$A$7</c:f>
              <c:strCache>
                <c:ptCount val="1"/>
                <c:pt idx="0">
                  <c:v>IO multiplier (only Canada's economy)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Sheet1!$B$2:$U$3</c:f>
              <c:multiLvlStrCache>
                <c:ptCount val="20"/>
                <c:lvl>
                  <c:pt idx="0">
                    <c:v>Canada refining / Canada supply</c:v>
                  </c:pt>
                  <c:pt idx="1">
                    <c:v>Canada refining / RoW supply</c:v>
                  </c:pt>
                  <c:pt idx="2">
                    <c:v>RoW refining / Canada supply</c:v>
                  </c:pt>
                  <c:pt idx="3">
                    <c:v>RoW refining / RoW supply</c:v>
                  </c:pt>
                  <c:pt idx="4">
                    <c:v>Canada refining / Canada supply</c:v>
                  </c:pt>
                  <c:pt idx="5">
                    <c:v>Canada refining / RoW supply</c:v>
                  </c:pt>
                  <c:pt idx="6">
                    <c:v>RoW refining / Canada supply</c:v>
                  </c:pt>
                  <c:pt idx="7">
                    <c:v>RoW refining / RoW supply</c:v>
                  </c:pt>
                  <c:pt idx="8">
                    <c:v>Canada refining / Canada supply</c:v>
                  </c:pt>
                  <c:pt idx="9">
                    <c:v>Canada refining / RoW supply</c:v>
                  </c:pt>
                  <c:pt idx="10">
                    <c:v>RoW refining / Canada supply</c:v>
                  </c:pt>
                  <c:pt idx="11">
                    <c:v>RoW refining / RoW supply</c:v>
                  </c:pt>
                  <c:pt idx="12">
                    <c:v>Canada refining / Canada supply</c:v>
                  </c:pt>
                  <c:pt idx="13">
                    <c:v>Canada refining / RoW supply</c:v>
                  </c:pt>
                  <c:pt idx="14">
                    <c:v>RoW refining / Canada supply</c:v>
                  </c:pt>
                  <c:pt idx="15">
                    <c:v>RoW refining / RoW supply</c:v>
                  </c:pt>
                  <c:pt idx="16">
                    <c:v>Canada refining / Canada supply</c:v>
                  </c:pt>
                  <c:pt idx="17">
                    <c:v>Canada refining / RoW supply</c:v>
                  </c:pt>
                  <c:pt idx="18">
                    <c:v>RoW refining / Canada supply</c:v>
                  </c:pt>
                  <c:pt idx="19">
                    <c:v>RoW refining / RoW supply</c:v>
                  </c:pt>
                </c:lvl>
                <c:lvl>
                  <c:pt idx="0">
                    <c:v>Copper</c:v>
                  </c:pt>
                  <c:pt idx="4">
                    <c:v>Nickel</c:v>
                  </c:pt>
                  <c:pt idx="8">
                    <c:v>Cobalt</c:v>
                  </c:pt>
                  <c:pt idx="12">
                    <c:v>Lithium</c:v>
                  </c:pt>
                  <c:pt idx="16">
                    <c:v>Graphite</c:v>
                  </c:pt>
                </c:lvl>
              </c:multiLvlStrCache>
            </c:multiLvlStrRef>
          </c:cat>
          <c:val>
            <c:numRef>
              <c:f>Sheet1!$B$7:$U$7</c:f>
              <c:numCache>
                <c:formatCode>General</c:formatCode>
                <c:ptCount val="20"/>
                <c:pt idx="0">
                  <c:v>1.3629900564990174</c:v>
                </c:pt>
                <c:pt idx="1">
                  <c:v>0.81781525553941314</c:v>
                </c:pt>
                <c:pt idx="2">
                  <c:v>0.29248730970776887</c:v>
                </c:pt>
                <c:pt idx="3">
                  <c:v>7.0146666379646656E-3</c:v>
                </c:pt>
                <c:pt idx="4">
                  <c:v>1.2158000573701373</c:v>
                </c:pt>
                <c:pt idx="5">
                  <c:v>1.0540727823795193</c:v>
                </c:pt>
                <c:pt idx="6">
                  <c:v>0.2274228253633154</c:v>
                </c:pt>
                <c:pt idx="7">
                  <c:v>3.0695254364466684E-2</c:v>
                </c:pt>
                <c:pt idx="8">
                  <c:v>1.2158000573701373</c:v>
                </c:pt>
                <c:pt idx="9">
                  <c:v>1.0540727823795193</c:v>
                </c:pt>
                <c:pt idx="10">
                  <c:v>0.1853923466731707</c:v>
                </c:pt>
                <c:pt idx="11">
                  <c:v>1.0369869338094428E-2</c:v>
                </c:pt>
                <c:pt idx="12">
                  <c:v>1.2158000573701373</c:v>
                </c:pt>
                <c:pt idx="13">
                  <c:v>1.0540727823795193</c:v>
                </c:pt>
                <c:pt idx="14">
                  <c:v>0.41268469176921319</c:v>
                </c:pt>
                <c:pt idx="15">
                  <c:v>3.3025171209388683E-3</c:v>
                </c:pt>
                <c:pt idx="16">
                  <c:v>1.1164665136647396</c:v>
                </c:pt>
                <c:pt idx="17">
                  <c:v>1.1157349556876364</c:v>
                </c:pt>
                <c:pt idx="18">
                  <c:v>8.8722923826790277E-3</c:v>
                </c:pt>
                <c:pt idx="19">
                  <c:v>2.4647683831277496E-3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FE-49B7-A598-4ABAAE1081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5719936"/>
        <c:axId val="75718496"/>
      </c:barChart>
      <c:catAx>
        <c:axId val="75719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8496"/>
        <c:crosses val="autoZero"/>
        <c:auto val="1"/>
        <c:lblAlgn val="ctr"/>
        <c:lblOffset val="100"/>
        <c:noMultiLvlLbl val="0"/>
      </c:catAx>
      <c:valAx>
        <c:axId val="75718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9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Employment (in Canada) (full</a:t>
            </a:r>
            <a:r>
              <a:rPr lang="en-CA" baseline="0"/>
              <a:t> time job equivalent</a:t>
            </a:r>
            <a:r>
              <a:rPr lang="en-CA"/>
              <a:t>/CAD)</a:t>
            </a:r>
          </a:p>
        </c:rich>
      </c:tx>
      <c:layout>
        <c:manualLayout>
          <c:xMode val="edge"/>
          <c:yMode val="edge"/>
          <c:x val="0.33875532603879055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Sheet1!$A$6</c:f>
              <c:strCache>
                <c:ptCount val="1"/>
                <c:pt idx="0">
                  <c:v>Employment (Canada) (full time job equivalent/CAD)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Sheet1!$B$2:$U$3</c:f>
              <c:multiLvlStrCache>
                <c:ptCount val="20"/>
                <c:lvl>
                  <c:pt idx="0">
                    <c:v>Canada refining / Canada supply</c:v>
                  </c:pt>
                  <c:pt idx="1">
                    <c:v>Canada refining / RoW supply</c:v>
                  </c:pt>
                  <c:pt idx="2">
                    <c:v>RoW refining / Canada supply</c:v>
                  </c:pt>
                  <c:pt idx="3">
                    <c:v>RoW refining / RoW supply</c:v>
                  </c:pt>
                  <c:pt idx="4">
                    <c:v>Canada refining / Canada supply</c:v>
                  </c:pt>
                  <c:pt idx="5">
                    <c:v>Canada refining / RoW supply</c:v>
                  </c:pt>
                  <c:pt idx="6">
                    <c:v>RoW refining / Canada supply</c:v>
                  </c:pt>
                  <c:pt idx="7">
                    <c:v>RoW refining / RoW supply</c:v>
                  </c:pt>
                  <c:pt idx="8">
                    <c:v>Canada refining / Canada supply</c:v>
                  </c:pt>
                  <c:pt idx="9">
                    <c:v>Canada refining / RoW supply</c:v>
                  </c:pt>
                  <c:pt idx="10">
                    <c:v>RoW refining / Canada supply</c:v>
                  </c:pt>
                  <c:pt idx="11">
                    <c:v>RoW refining / RoW supply</c:v>
                  </c:pt>
                  <c:pt idx="12">
                    <c:v>Canada refining / Canada supply</c:v>
                  </c:pt>
                  <c:pt idx="13">
                    <c:v>Canada refining / RoW supply</c:v>
                  </c:pt>
                  <c:pt idx="14">
                    <c:v>RoW refining / Canada supply</c:v>
                  </c:pt>
                  <c:pt idx="15">
                    <c:v>RoW refining / RoW supply</c:v>
                  </c:pt>
                  <c:pt idx="16">
                    <c:v>Canada refining / Canada supply</c:v>
                  </c:pt>
                  <c:pt idx="17">
                    <c:v>Canada refining / RoW supply</c:v>
                  </c:pt>
                  <c:pt idx="18">
                    <c:v>RoW refining / Canada supply</c:v>
                  </c:pt>
                  <c:pt idx="19">
                    <c:v>RoW refining / RoW supply</c:v>
                  </c:pt>
                </c:lvl>
                <c:lvl>
                  <c:pt idx="0">
                    <c:v>Copper</c:v>
                  </c:pt>
                  <c:pt idx="4">
                    <c:v>Nickel</c:v>
                  </c:pt>
                  <c:pt idx="8">
                    <c:v>Cobalt</c:v>
                  </c:pt>
                  <c:pt idx="12">
                    <c:v>Lithium</c:v>
                  </c:pt>
                  <c:pt idx="16">
                    <c:v>Graphite</c:v>
                  </c:pt>
                </c:lvl>
              </c:multiLvlStrCache>
            </c:multiLvlStrRef>
          </c:cat>
          <c:val>
            <c:numRef>
              <c:f>Sheet1!$B$6:$U$6</c:f>
              <c:numCache>
                <c:formatCode>0.00E+00</c:formatCode>
                <c:ptCount val="20"/>
                <c:pt idx="0">
                  <c:v>1.8374348809241351E-6</c:v>
                </c:pt>
                <c:pt idx="1">
                  <c:v>5.4341291227057948E-7</c:v>
                </c:pt>
                <c:pt idx="2">
                  <c:v>6.9370476848117502E-7</c:v>
                </c:pt>
                <c:pt idx="3">
                  <c:v>1.4305304054229977E-8</c:v>
                </c:pt>
                <c:pt idx="4">
                  <c:v>3.0624394707051756E-6</c:v>
                </c:pt>
                <c:pt idx="5">
                  <c:v>2.7086178559224933E-6</c:v>
                </c:pt>
                <c:pt idx="6" formatCode="General">
                  <c:v>4.8438912959921125E-7</c:v>
                </c:pt>
                <c:pt idx="7" formatCode="General">
                  <c:v>8.1973418520191146E-8</c:v>
                </c:pt>
                <c:pt idx="8">
                  <c:v>3.0624394707051756E-6</c:v>
                </c:pt>
                <c:pt idx="9">
                  <c:v>2.7086178559224933E-6</c:v>
                </c:pt>
                <c:pt idx="10">
                  <c:v>3.9303631967844932E-7</c:v>
                </c:pt>
                <c:pt idx="11">
                  <c:v>3.1321665500297486E-8</c:v>
                </c:pt>
                <c:pt idx="12">
                  <c:v>3.0624394707051756E-6</c:v>
                </c:pt>
                <c:pt idx="13">
                  <c:v>2.7086178559224933E-6</c:v>
                </c:pt>
                <c:pt idx="14">
                  <c:v>8.7820736193798622E-7</c:v>
                </c:pt>
                <c:pt idx="15">
                  <c:v>1.0511577438542806E-8</c:v>
                </c:pt>
                <c:pt idx="16" formatCode="General">
                  <c:v>5.8246109500146793E-6</c:v>
                </c:pt>
                <c:pt idx="17">
                  <c:v>5.8221418335770015E-6</c:v>
                </c:pt>
                <c:pt idx="18">
                  <c:v>2.9032345755208976E-8</c:v>
                </c:pt>
                <c:pt idx="19">
                  <c:v>1.2016996256754744E-8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68-4EDF-986F-44270288D0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1704608"/>
        <c:axId val="92725440"/>
      </c:barChart>
      <c:catAx>
        <c:axId val="81704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725440"/>
        <c:crosses val="autoZero"/>
        <c:auto val="1"/>
        <c:lblAlgn val="ctr"/>
        <c:lblOffset val="100"/>
        <c:noMultiLvlLbl val="0"/>
      </c:catAx>
      <c:valAx>
        <c:axId val="92725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704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Sheet1!$A$5</c:f>
              <c:strCache>
                <c:ptCount val="1"/>
                <c:pt idx="0">
                  <c:v>IO multiplier (Global economy)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Sheet1!$B$2:$U$3</c:f>
              <c:multiLvlStrCache>
                <c:ptCount val="20"/>
                <c:lvl>
                  <c:pt idx="0">
                    <c:v>Canada refining / Canada supply</c:v>
                  </c:pt>
                  <c:pt idx="1">
                    <c:v>Canada refining / RoW supply</c:v>
                  </c:pt>
                  <c:pt idx="2">
                    <c:v>RoW refining / Canada supply</c:v>
                  </c:pt>
                  <c:pt idx="3">
                    <c:v>RoW refining / RoW supply</c:v>
                  </c:pt>
                  <c:pt idx="4">
                    <c:v>Canada refining / Canada supply</c:v>
                  </c:pt>
                  <c:pt idx="5">
                    <c:v>Canada refining / RoW supply</c:v>
                  </c:pt>
                  <c:pt idx="6">
                    <c:v>RoW refining / Canada supply</c:v>
                  </c:pt>
                  <c:pt idx="7">
                    <c:v>RoW refining / RoW supply</c:v>
                  </c:pt>
                  <c:pt idx="8">
                    <c:v>Canada refining / Canada supply</c:v>
                  </c:pt>
                  <c:pt idx="9">
                    <c:v>Canada refining / RoW supply</c:v>
                  </c:pt>
                  <c:pt idx="10">
                    <c:v>RoW refining / Canada supply</c:v>
                  </c:pt>
                  <c:pt idx="11">
                    <c:v>RoW refining / RoW supply</c:v>
                  </c:pt>
                  <c:pt idx="12">
                    <c:v>Canada refining / Canada supply</c:v>
                  </c:pt>
                  <c:pt idx="13">
                    <c:v>Canada refining / RoW supply</c:v>
                  </c:pt>
                  <c:pt idx="14">
                    <c:v>RoW refining / Canada supply</c:v>
                  </c:pt>
                  <c:pt idx="15">
                    <c:v>RoW refining / RoW supply</c:v>
                  </c:pt>
                  <c:pt idx="16">
                    <c:v>Canada refining / Canada supply</c:v>
                  </c:pt>
                  <c:pt idx="17">
                    <c:v>Canada refining / RoW supply</c:v>
                  </c:pt>
                  <c:pt idx="18">
                    <c:v>RoW refining / Canada supply</c:v>
                  </c:pt>
                  <c:pt idx="19">
                    <c:v>RoW refining / RoW supply</c:v>
                  </c:pt>
                </c:lvl>
                <c:lvl>
                  <c:pt idx="0">
                    <c:v>Copper</c:v>
                  </c:pt>
                  <c:pt idx="4">
                    <c:v>Nickel</c:v>
                  </c:pt>
                  <c:pt idx="8">
                    <c:v>Cobalt</c:v>
                  </c:pt>
                  <c:pt idx="12">
                    <c:v>Lithium</c:v>
                  </c:pt>
                  <c:pt idx="16">
                    <c:v>Graphite</c:v>
                  </c:pt>
                </c:lvl>
              </c:multiLvlStrCache>
            </c:multiLvlStrRef>
          </c:cat>
          <c:val>
            <c:numRef>
              <c:f>Sheet1!$B$5:$U$5</c:f>
              <c:numCache>
                <c:formatCode>General</c:formatCode>
                <c:ptCount val="20"/>
                <c:pt idx="0">
                  <c:v>1.8755279124456925</c:v>
                </c:pt>
                <c:pt idx="1">
                  <c:v>1.9328186495819895</c:v>
                </c:pt>
                <c:pt idx="2">
                  <c:v>1.8284451789559766</c:v>
                </c:pt>
                <c:pt idx="3">
                  <c:v>1.962721874010809</c:v>
                </c:pt>
                <c:pt idx="4">
                  <c:v>1.5635118336898304</c:v>
                </c:pt>
                <c:pt idx="5">
                  <c:v>1.5875501710077939</c:v>
                </c:pt>
                <c:pt idx="6">
                  <c:v>1.7415752731333021</c:v>
                </c:pt>
                <c:pt idx="7">
                  <c:v>1.7843526289011105</c:v>
                </c:pt>
                <c:pt idx="8">
                  <c:v>1.5635118336898304</c:v>
                </c:pt>
                <c:pt idx="9">
                  <c:v>1.5875501710077939</c:v>
                </c:pt>
                <c:pt idx="10">
                  <c:v>2.0677002881963387</c:v>
                </c:pt>
                <c:pt idx="11">
                  <c:v>1.9978897529081707</c:v>
                </c:pt>
                <c:pt idx="12">
                  <c:v>1.5635118336898304</c:v>
                </c:pt>
                <c:pt idx="13">
                  <c:v>1.5875501710077939</c:v>
                </c:pt>
                <c:pt idx="14">
                  <c:v>1.7443292546665365</c:v>
                </c:pt>
                <c:pt idx="15">
                  <c:v>1.8149122595034324</c:v>
                </c:pt>
                <c:pt idx="16">
                  <c:v>1.4893735100622627</c:v>
                </c:pt>
                <c:pt idx="17">
                  <c:v>1.4893489136768541</c:v>
                </c:pt>
                <c:pt idx="18">
                  <c:v>1.9665150987538766</c:v>
                </c:pt>
                <c:pt idx="19">
                  <c:v>1.9672168698300443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9B-4B29-9DBC-C4DB8F0D68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91556815"/>
        <c:axId val="1191557295"/>
      </c:barChart>
      <c:catAx>
        <c:axId val="1191556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1557295"/>
        <c:crosses val="autoZero"/>
        <c:auto val="1"/>
        <c:lblAlgn val="ctr"/>
        <c:lblOffset val="100"/>
        <c:noMultiLvlLbl val="0"/>
      </c:catAx>
      <c:valAx>
        <c:axId val="1191557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15568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Employment (globally) (full time job equivalent/CAD)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Sheet1!$A$4</c:f>
              <c:strCache>
                <c:ptCount val="1"/>
                <c:pt idx="0">
                  <c:v>Employment (global) (full time job equivalent/CAD)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Sheet1!$B$2:$U$3</c:f>
              <c:multiLvlStrCache>
                <c:ptCount val="20"/>
                <c:lvl>
                  <c:pt idx="0">
                    <c:v>Canada refining / Canada supply</c:v>
                  </c:pt>
                  <c:pt idx="1">
                    <c:v>Canada refining / RoW supply</c:v>
                  </c:pt>
                  <c:pt idx="2">
                    <c:v>RoW refining / Canada supply</c:v>
                  </c:pt>
                  <c:pt idx="3">
                    <c:v>RoW refining / RoW supply</c:v>
                  </c:pt>
                  <c:pt idx="4">
                    <c:v>Canada refining / Canada supply</c:v>
                  </c:pt>
                  <c:pt idx="5">
                    <c:v>Canada refining / RoW supply</c:v>
                  </c:pt>
                  <c:pt idx="6">
                    <c:v>RoW refining / Canada supply</c:v>
                  </c:pt>
                  <c:pt idx="7">
                    <c:v>RoW refining / RoW supply</c:v>
                  </c:pt>
                  <c:pt idx="8">
                    <c:v>Canada refining / Canada supply</c:v>
                  </c:pt>
                  <c:pt idx="9">
                    <c:v>Canada refining / RoW supply</c:v>
                  </c:pt>
                  <c:pt idx="10">
                    <c:v>RoW refining / Canada supply</c:v>
                  </c:pt>
                  <c:pt idx="11">
                    <c:v>RoW refining / RoW supply</c:v>
                  </c:pt>
                  <c:pt idx="12">
                    <c:v>Canada refining / Canada supply</c:v>
                  </c:pt>
                  <c:pt idx="13">
                    <c:v>Canada refining / RoW supply</c:v>
                  </c:pt>
                  <c:pt idx="14">
                    <c:v>RoW refining / Canada supply</c:v>
                  </c:pt>
                  <c:pt idx="15">
                    <c:v>RoW refining / RoW supply</c:v>
                  </c:pt>
                  <c:pt idx="16">
                    <c:v>Canada refining / Canada supply</c:v>
                  </c:pt>
                  <c:pt idx="17">
                    <c:v>Canada refining / RoW supply</c:v>
                  </c:pt>
                  <c:pt idx="18">
                    <c:v>RoW refining / Canada supply</c:v>
                  </c:pt>
                  <c:pt idx="19">
                    <c:v>RoW refining / RoW supply</c:v>
                  </c:pt>
                </c:lvl>
                <c:lvl>
                  <c:pt idx="0">
                    <c:v>Copper</c:v>
                  </c:pt>
                  <c:pt idx="4">
                    <c:v>Nickel</c:v>
                  </c:pt>
                  <c:pt idx="8">
                    <c:v>Cobalt</c:v>
                  </c:pt>
                  <c:pt idx="12">
                    <c:v>Lithium</c:v>
                  </c:pt>
                  <c:pt idx="16">
                    <c:v>Graphite</c:v>
                  </c:pt>
                </c:lvl>
              </c:multiLvlStrCache>
            </c:multiLvlStrRef>
          </c:cat>
          <c:val>
            <c:numRef>
              <c:f>Sheet1!$B$4:$U$4</c:f>
              <c:numCache>
                <c:formatCode>General</c:formatCode>
                <c:ptCount val="20"/>
                <c:pt idx="0" formatCode="0.00E+00">
                  <c:v>1.2922633507586619E-5</c:v>
                </c:pt>
                <c:pt idx="1">
                  <c:v>1.4562857801452754E-4</c:v>
                </c:pt>
                <c:pt idx="2" formatCode="0.00E+00">
                  <c:v>3.4524795372827567E-5</c:v>
                </c:pt>
                <c:pt idx="3">
                  <c:v>1.2268936406942992E-4</c:v>
                </c:pt>
                <c:pt idx="4" formatCode="0.00E+00">
                  <c:v>1.0514637007840087E-5</c:v>
                </c:pt>
                <c:pt idx="5" formatCode="0.00E+00">
                  <c:v>1.9757132593790281E-5</c:v>
                </c:pt>
                <c:pt idx="6" formatCode="0.00E+00">
                  <c:v>3.1626942811789609E-5</c:v>
                </c:pt>
                <c:pt idx="7" formatCode="0.00E+00">
                  <c:v>9.0193041905214035E-5</c:v>
                </c:pt>
                <c:pt idx="8" formatCode="0.00E+00">
                  <c:v>1.0514637007840087E-5</c:v>
                </c:pt>
                <c:pt idx="9" formatCode="0.00E+00">
                  <c:v>1.9757132593790281E-5</c:v>
                </c:pt>
                <c:pt idx="10" formatCode="0.00E+00">
                  <c:v>4.8369755231531831E-5</c:v>
                </c:pt>
                <c:pt idx="11">
                  <c:v>1.4266467955182058E-4</c:v>
                </c:pt>
                <c:pt idx="12" formatCode="0.00E+00">
                  <c:v>1.0514637007840087E-5</c:v>
                </c:pt>
                <c:pt idx="13" formatCode="0.00E+00">
                  <c:v>1.9757132593790281E-5</c:v>
                </c:pt>
                <c:pt idx="14">
                  <c:v>2.1544650162253871E-5</c:v>
                </c:pt>
                <c:pt idx="15">
                  <c:v>4.2404259046341028E-5</c:v>
                </c:pt>
                <c:pt idx="16">
                  <c:v>1.2635303130269687E-5</c:v>
                </c:pt>
                <c:pt idx="17">
                  <c:v>1.266413849619296E-5</c:v>
                </c:pt>
                <c:pt idx="18">
                  <c:v>7.3532886266461831E-5</c:v>
                </c:pt>
                <c:pt idx="19">
                  <c:v>7.5629895300937544E-5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B8-407E-AE32-6B187080A2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91601455"/>
        <c:axId val="1191601935"/>
      </c:barChart>
      <c:catAx>
        <c:axId val="1191601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1601935"/>
        <c:crosses val="autoZero"/>
        <c:auto val="1"/>
        <c:lblAlgn val="ctr"/>
        <c:lblOffset val="100"/>
        <c:noMultiLvlLbl val="0"/>
      </c:catAx>
      <c:valAx>
        <c:axId val="1191601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1601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137160</xdr:colOff>
      <xdr:row>8</xdr:row>
      <xdr:rowOff>118110</xdr:rowOff>
    </xdr:from>
    <xdr:to>
      <xdr:col>9</xdr:col>
      <xdr:colOff>914400</xdr:colOff>
      <xdr:row>30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D2BB1A9-5FA3-AFD3-347F-0343F75D53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198120</xdr:colOff>
      <xdr:row>8</xdr:row>
      <xdr:rowOff>102870</xdr:rowOff>
    </xdr:from>
    <xdr:to>
      <xdr:col>22</xdr:col>
      <xdr:colOff>281940</xdr:colOff>
      <xdr:row>30</xdr:row>
      <xdr:rowOff>175260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6CC345A-EC02-7E34-C153-1537AD0EB5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121920</xdr:colOff>
      <xdr:row>31</xdr:row>
      <xdr:rowOff>22860</xdr:rowOff>
    </xdr:from>
    <xdr:to>
      <xdr:col>9</xdr:col>
      <xdr:colOff>899160</xdr:colOff>
      <xdr:row>53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456D67-5185-51B8-5D23-DBA1753D49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190500</xdr:colOff>
      <xdr:row>31</xdr:row>
      <xdr:rowOff>53340</xdr:rowOff>
    </xdr:from>
    <xdr:to>
      <xdr:col>22</xdr:col>
      <xdr:colOff>312420</xdr:colOff>
      <xdr:row>53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6DA9941-57B8-C64D-5316-6C5E1D2A03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eme_Ciraig">
  <a:themeElements>
    <a:clrScheme name="CIRAIG 2022">
      <a:dk1>
        <a:srgbClr val="000000"/>
      </a:dk1>
      <a:lt1>
        <a:srgbClr val="FFFFFF"/>
      </a:lt1>
      <a:dk2>
        <a:srgbClr val="000000"/>
      </a:dk2>
      <a:lt2>
        <a:srgbClr val="D9D9D9"/>
      </a:lt2>
      <a:accent1>
        <a:srgbClr val="00A1C0"/>
      </a:accent1>
      <a:accent2>
        <a:srgbClr val="0BAC43"/>
      </a:accent2>
      <a:accent3>
        <a:srgbClr val="FA961E"/>
      </a:accent3>
      <a:accent4>
        <a:srgbClr val="B91E32"/>
      </a:accent4>
      <a:accent5>
        <a:srgbClr val="005379"/>
      </a:accent5>
      <a:accent6>
        <a:srgbClr val="FDDA64"/>
      </a:accent6>
      <a:hlink>
        <a:srgbClr val="00A1C0"/>
      </a:hlink>
      <a:folHlink>
        <a:srgbClr val="09AB41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txDef>
      <a:spPr/>
      <a:bodyPr anchor="ctr"/>
      <a:lstStyle>
        <a:defPPr algn="l">
          <a:defRPr b="1" dirty="0">
            <a:solidFill>
              <a:schemeClr val="bg1"/>
            </a:solidFill>
          </a:defRPr>
        </a:defPPr>
      </a:lstStyle>
    </a:txDef>
  </a:objectDefaults>
  <a:extraClrSchemeLst/>
  <a:extLst>
    <a:ext uri="{05A4C25C-085E-4340-85A3-A5531E510DB2}">
      <thm15:themeFamily xmlns:thm15="http://schemas.microsoft.com/office/thememl/2012/main" name="Theme_Ciraig" id="{4A190B7C-04AA-8147-B518-35305C73CC5B}" vid="{3BDFB1DD-30E8-6647-BA69-0AC60E124183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7"/>
  <sheetViews>
    <sheetView tabSelected="1" topLeftCell="A5" workbookViewId="0">
      <selection activeCell="C5" sqref="C5"/>
    </sheetView>
  </sheetViews>
  <sheetFormatPr baseColWidth="10" defaultColWidth="9.140625" defaultRowHeight="15" x14ac:dyDescent="0.25"/>
  <cols>
    <col min="1" max="1" width="32.28515625" bestFit="1" customWidth="1"/>
    <col min="2" max="2" width="15.85546875" customWidth="1"/>
    <col min="3" max="3" width="17.28515625" customWidth="1"/>
    <col min="4" max="4" width="14.42578125" customWidth="1"/>
    <col min="5" max="5" width="14.28515625" customWidth="1"/>
    <col min="6" max="6" width="15" bestFit="1" customWidth="1"/>
    <col min="7" max="7" width="13.42578125" customWidth="1"/>
    <col min="8" max="8" width="14.7109375" customWidth="1"/>
    <col min="9" max="9" width="12" bestFit="1" customWidth="1"/>
    <col min="10" max="10" width="13.7109375" customWidth="1"/>
    <col min="11" max="12" width="13.42578125" customWidth="1"/>
    <col min="13" max="21" width="13.7109375" customWidth="1"/>
    <col min="27" max="27" width="10.28515625" customWidth="1"/>
    <col min="33" max="33" width="10.42578125" customWidth="1"/>
  </cols>
  <sheetData>
    <row r="1" spans="1:33" x14ac:dyDescent="0.25">
      <c r="A1">
        <v>1.4858</v>
      </c>
      <c r="B1" s="10" t="s">
        <v>9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6"/>
      <c r="V1" s="10" t="s">
        <v>10</v>
      </c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</row>
    <row r="2" spans="1:33" x14ac:dyDescent="0.25">
      <c r="A2" s="3"/>
      <c r="B2" s="12" t="s">
        <v>4</v>
      </c>
      <c r="C2" s="12"/>
      <c r="D2" s="12"/>
      <c r="E2" s="12"/>
      <c r="F2" s="12" t="s">
        <v>7</v>
      </c>
      <c r="G2" s="12"/>
      <c r="H2" s="12"/>
      <c r="I2" s="12"/>
      <c r="J2" s="12" t="s">
        <v>8</v>
      </c>
      <c r="K2" s="12"/>
      <c r="L2" s="12"/>
      <c r="M2" s="13"/>
      <c r="N2" s="13" t="s">
        <v>12</v>
      </c>
      <c r="O2" s="14"/>
      <c r="P2" s="14"/>
      <c r="Q2" s="15"/>
      <c r="R2" s="13" t="s">
        <v>11</v>
      </c>
      <c r="S2" s="14"/>
      <c r="T2" s="14"/>
      <c r="U2" s="15"/>
      <c r="V2" s="12" t="s">
        <v>14</v>
      </c>
      <c r="W2" s="12"/>
      <c r="X2" s="12"/>
      <c r="Y2" s="12"/>
      <c r="Z2" s="12"/>
      <c r="AA2" s="12"/>
      <c r="AB2" s="7" t="s">
        <v>15</v>
      </c>
      <c r="AC2" s="8"/>
      <c r="AD2" s="8"/>
      <c r="AE2" s="8"/>
      <c r="AF2" s="8"/>
      <c r="AG2" s="9"/>
    </row>
    <row r="3" spans="1:33" s="1" customFormat="1" ht="45" x14ac:dyDescent="0.25">
      <c r="A3" s="2"/>
      <c r="B3" s="2" t="s">
        <v>0</v>
      </c>
      <c r="C3" s="2" t="s">
        <v>1</v>
      </c>
      <c r="D3" s="2" t="s">
        <v>2</v>
      </c>
      <c r="E3" s="2" t="s">
        <v>3</v>
      </c>
      <c r="F3" s="2" t="s">
        <v>0</v>
      </c>
      <c r="G3" s="2" t="s">
        <v>1</v>
      </c>
      <c r="H3" s="2" t="s">
        <v>2</v>
      </c>
      <c r="I3" s="2" t="s">
        <v>3</v>
      </c>
      <c r="J3" s="2" t="s">
        <v>0</v>
      </c>
      <c r="K3" s="2" t="s">
        <v>1</v>
      </c>
      <c r="L3" s="2" t="s">
        <v>2</v>
      </c>
      <c r="M3" s="2" t="s">
        <v>3</v>
      </c>
      <c r="N3" s="2" t="s">
        <v>0</v>
      </c>
      <c r="O3" s="2" t="s">
        <v>1</v>
      </c>
      <c r="P3" s="2" t="s">
        <v>2</v>
      </c>
      <c r="Q3" s="2" t="s">
        <v>3</v>
      </c>
      <c r="R3" s="2" t="s">
        <v>0</v>
      </c>
      <c r="S3" s="2" t="s">
        <v>1</v>
      </c>
      <c r="T3" s="2" t="s">
        <v>2</v>
      </c>
      <c r="U3" s="2" t="s">
        <v>3</v>
      </c>
      <c r="V3" s="5" t="s">
        <v>4</v>
      </c>
      <c r="W3" s="5" t="s">
        <v>7</v>
      </c>
      <c r="X3" s="5" t="s">
        <v>8</v>
      </c>
      <c r="Y3" s="5" t="s">
        <v>11</v>
      </c>
      <c r="Z3" s="5" t="s">
        <v>12</v>
      </c>
      <c r="AA3" s="5" t="s">
        <v>13</v>
      </c>
      <c r="AB3" s="5" t="s">
        <v>4</v>
      </c>
      <c r="AC3" s="5" t="s">
        <v>7</v>
      </c>
      <c r="AD3" s="5" t="s">
        <v>8</v>
      </c>
      <c r="AE3" s="5" t="s">
        <v>11</v>
      </c>
      <c r="AF3" s="5" t="s">
        <v>12</v>
      </c>
      <c r="AG3" s="5" t="s">
        <v>13</v>
      </c>
    </row>
    <row r="4" spans="1:33" x14ac:dyDescent="0.25">
      <c r="A4" s="3" t="s">
        <v>17</v>
      </c>
      <c r="B4" s="4">
        <v>1.2922633507586619E-5</v>
      </c>
      <c r="C4" s="3">
        <v>1.4562857801452754E-4</v>
      </c>
      <c r="D4" s="4">
        <v>3.4524795372827567E-5</v>
      </c>
      <c r="E4" s="3">
        <v>1.2268936406942992E-4</v>
      </c>
      <c r="F4" s="4">
        <v>1.0514637007840087E-5</v>
      </c>
      <c r="G4" s="4">
        <v>1.9757132593790281E-5</v>
      </c>
      <c r="H4" s="4">
        <v>3.1626942811789609E-5</v>
      </c>
      <c r="I4" s="4">
        <v>9.0193041905214035E-5</v>
      </c>
      <c r="J4" s="4">
        <v>1.0514637007840087E-5</v>
      </c>
      <c r="K4" s="4">
        <v>1.9757132593790281E-5</v>
      </c>
      <c r="L4" s="4">
        <v>4.8369755231531831E-5</v>
      </c>
      <c r="M4" s="3">
        <v>1.4266467955182058E-4</v>
      </c>
      <c r="N4" s="4">
        <v>1.0514637007840087E-5</v>
      </c>
      <c r="O4" s="4">
        <v>1.9757132593790281E-5</v>
      </c>
      <c r="P4" s="3">
        <v>2.1544650162253871E-5</v>
      </c>
      <c r="Q4" s="3">
        <v>4.2404259046341028E-5</v>
      </c>
      <c r="R4" s="3">
        <v>1.2635303130269687E-5</v>
      </c>
      <c r="S4" s="3">
        <v>1.266413849619296E-5</v>
      </c>
      <c r="T4" s="3">
        <v>7.3532886266461831E-5</v>
      </c>
      <c r="U4" s="3">
        <v>7.5629895300937544E-5</v>
      </c>
      <c r="V4" s="4">
        <v>3.3245511167049868E-6</v>
      </c>
      <c r="W4" s="4">
        <v>3.6285543701414322E-6</v>
      </c>
      <c r="X4" s="4">
        <v>3.4499690081881682E-6</v>
      </c>
      <c r="Y4" s="4">
        <v>3.7830018169704607E-6</v>
      </c>
      <c r="Z4" s="4">
        <v>3.4499690081881682E-6</v>
      </c>
      <c r="AA4" s="4">
        <v>3.4499690081881682E-6</v>
      </c>
      <c r="AB4" s="4">
        <v>2.9606735369407859E-4</v>
      </c>
      <c r="AC4" s="4">
        <v>5.3068516301042464E-4</v>
      </c>
      <c r="AD4" s="4">
        <v>1.0564478353011643E-4</v>
      </c>
      <c r="AE4" s="4">
        <v>6.7561796068988424E-5</v>
      </c>
      <c r="AF4" s="4">
        <v>1.0564478353011643E-4</v>
      </c>
      <c r="AG4" s="4">
        <v>1.0564478353011643E-4</v>
      </c>
    </row>
    <row r="5" spans="1:33" x14ac:dyDescent="0.25">
      <c r="A5" s="3" t="s">
        <v>6</v>
      </c>
      <c r="B5" s="3">
        <v>1.8755279124456925</v>
      </c>
      <c r="C5" s="3">
        <v>1.9328186495819895</v>
      </c>
      <c r="D5" s="3">
        <v>1.8284451789559766</v>
      </c>
      <c r="E5" s="3">
        <v>1.962721874010809</v>
      </c>
      <c r="F5" s="3">
        <v>1.5635118336898304</v>
      </c>
      <c r="G5" s="3">
        <v>1.5875501710077939</v>
      </c>
      <c r="H5" s="3">
        <v>1.7415752731333021</v>
      </c>
      <c r="I5" s="3">
        <f>2.65119113602127/A1</f>
        <v>1.7843526289011105</v>
      </c>
      <c r="J5" s="3">
        <v>1.5635118336898304</v>
      </c>
      <c r="K5" s="3">
        <v>1.5875501710077939</v>
      </c>
      <c r="L5" s="3">
        <v>2.0677002881963387</v>
      </c>
      <c r="M5" s="3">
        <v>1.9978897529081707</v>
      </c>
      <c r="N5" s="3">
        <v>1.5635118336898304</v>
      </c>
      <c r="O5" s="3">
        <v>1.5875501710077939</v>
      </c>
      <c r="P5" s="3">
        <v>1.7443292546665365</v>
      </c>
      <c r="Q5" s="3">
        <v>1.8149122595034324</v>
      </c>
      <c r="R5">
        <v>1.4893735100622627</v>
      </c>
      <c r="S5" s="6">
        <v>1.4893489136768541</v>
      </c>
      <c r="T5" s="3">
        <v>1.9665150987538766</v>
      </c>
      <c r="U5" s="3">
        <v>1.9672168698300443</v>
      </c>
      <c r="V5" s="3">
        <v>0.97561674875201909</v>
      </c>
      <c r="W5" s="3">
        <v>0.99368443375280646</v>
      </c>
      <c r="X5" s="3">
        <v>1.013338493626484</v>
      </c>
      <c r="Y5" s="3">
        <v>1.0003481405483778</v>
      </c>
      <c r="Z5" s="3">
        <v>1.013338493626484</v>
      </c>
      <c r="AA5" s="3">
        <v>1.013338493626484</v>
      </c>
      <c r="AB5" s="3">
        <v>1.0996169401140599</v>
      </c>
      <c r="AC5" s="3">
        <v>1.1047626988693364</v>
      </c>
      <c r="AD5" s="3">
        <v>1.5912133744701642</v>
      </c>
      <c r="AE5" s="3">
        <v>1.5220434506885583</v>
      </c>
      <c r="AF5" s="3">
        <v>1.5912133744701642</v>
      </c>
      <c r="AG5" s="3">
        <v>1.5912133744701642</v>
      </c>
    </row>
    <row r="6" spans="1:33" x14ac:dyDescent="0.25">
      <c r="A6" s="3" t="s">
        <v>16</v>
      </c>
      <c r="B6" s="4">
        <v>1.8374348809241351E-6</v>
      </c>
      <c r="C6" s="4">
        <v>5.4341291227057948E-7</v>
      </c>
      <c r="D6" s="4">
        <v>6.9370476848117502E-7</v>
      </c>
      <c r="E6" s="4">
        <v>1.4305304054229977E-8</v>
      </c>
      <c r="F6" s="4">
        <v>3.0624394707051756E-6</v>
      </c>
      <c r="G6" s="4">
        <v>2.7086178559224933E-6</v>
      </c>
      <c r="H6">
        <v>4.8438912959921125E-7</v>
      </c>
      <c r="I6">
        <v>8.1973418520191146E-8</v>
      </c>
      <c r="J6" s="4">
        <v>3.0624394707051756E-6</v>
      </c>
      <c r="K6" s="4">
        <v>2.7086178559224933E-6</v>
      </c>
      <c r="L6" s="4">
        <v>3.9303631967844932E-7</v>
      </c>
      <c r="M6" s="4">
        <v>3.1321665500297486E-8</v>
      </c>
      <c r="N6" s="4">
        <v>3.0624394707051756E-6</v>
      </c>
      <c r="O6" s="4">
        <v>2.7086178559224933E-6</v>
      </c>
      <c r="P6" s="4">
        <v>8.7820736193798622E-7</v>
      </c>
      <c r="Q6" s="4">
        <v>1.0511577438542806E-8</v>
      </c>
      <c r="R6" s="3">
        <v>5.8246109500146793E-6</v>
      </c>
      <c r="S6" s="4">
        <v>5.8221418335770015E-6</v>
      </c>
      <c r="T6" s="4">
        <v>2.9032345755208976E-8</v>
      </c>
      <c r="U6" s="4">
        <v>1.2016996256754744E-8</v>
      </c>
      <c r="V6" s="4">
        <v>2.1496009303899921E-6</v>
      </c>
      <c r="W6" s="4">
        <v>2.1271373045824674E-6</v>
      </c>
      <c r="X6" s="4">
        <v>1.5992306424136761E-6</v>
      </c>
      <c r="Y6" s="4">
        <v>2.4601233241476242E-6</v>
      </c>
      <c r="Z6" s="4">
        <v>1.5992306424136761E-6</v>
      </c>
      <c r="AA6" s="4">
        <v>1.5992306424136761E-6</v>
      </c>
      <c r="AB6" s="4">
        <v>3.6282275096992056E-9</v>
      </c>
      <c r="AC6" s="4">
        <v>5.0469722203574574E-9</v>
      </c>
      <c r="AD6" s="4">
        <v>8.523995013159106E-9</v>
      </c>
      <c r="AE6" s="4">
        <v>6.5881631016440966E-9</v>
      </c>
      <c r="AF6" s="4">
        <v>8.523995013159106E-9</v>
      </c>
      <c r="AG6" s="4">
        <v>8.523995013159106E-9</v>
      </c>
    </row>
    <row r="7" spans="1:33" x14ac:dyDescent="0.25">
      <c r="A7" s="3" t="s">
        <v>5</v>
      </c>
      <c r="B7" s="3">
        <v>1.3629900564990174</v>
      </c>
      <c r="C7" s="3">
        <v>0.81781525553941314</v>
      </c>
      <c r="D7" s="3">
        <v>0.29248730970776887</v>
      </c>
      <c r="E7" s="3">
        <v>7.0146666379646656E-3</v>
      </c>
      <c r="F7" s="3">
        <v>1.2158000573701373</v>
      </c>
      <c r="G7" s="3">
        <v>1.0540727823795193</v>
      </c>
      <c r="H7" s="3">
        <v>0.2274228253633154</v>
      </c>
      <c r="I7" s="3">
        <v>3.0695254364466684E-2</v>
      </c>
      <c r="J7" s="3">
        <v>1.2158000573701373</v>
      </c>
      <c r="K7" s="3">
        <v>1.0540727823795193</v>
      </c>
      <c r="L7" s="3">
        <v>0.1853923466731707</v>
      </c>
      <c r="M7" s="3">
        <v>1.0369869338094428E-2</v>
      </c>
      <c r="N7" s="3">
        <v>1.2158000573701373</v>
      </c>
      <c r="O7" s="3">
        <v>1.0540727823795193</v>
      </c>
      <c r="P7" s="3">
        <v>0.41268469176921319</v>
      </c>
      <c r="Q7" s="3">
        <v>3.3025171209388683E-3</v>
      </c>
      <c r="R7" s="3">
        <v>1.1164665136647396</v>
      </c>
      <c r="S7" s="3">
        <v>1.1157349556876364</v>
      </c>
      <c r="T7" s="3">
        <v>8.8722923826790277E-3</v>
      </c>
      <c r="U7" s="3">
        <v>2.4647683831277496E-3</v>
      </c>
      <c r="V7" s="3">
        <v>0.90463288599509351</v>
      </c>
      <c r="W7" s="3">
        <v>0.90666823174119671</v>
      </c>
      <c r="X7" s="3">
        <v>0.92765833153549593</v>
      </c>
      <c r="Y7" s="3">
        <v>0.92724571120023558</v>
      </c>
      <c r="Z7" s="3">
        <v>0.92765833153549593</v>
      </c>
      <c r="AA7" s="3">
        <v>0.92765833153549593</v>
      </c>
      <c r="AB7" s="3">
        <v>7.7698964555098936E-4</v>
      </c>
      <c r="AC7" s="3">
        <v>8.341000264724997E-4</v>
      </c>
      <c r="AD7" s="3">
        <v>1.6865611841903219E-3</v>
      </c>
      <c r="AE7" s="3">
        <v>1.3248749985225467E-3</v>
      </c>
      <c r="AF7" s="3">
        <v>1.6865611841903219E-3</v>
      </c>
      <c r="AG7" s="3">
        <v>1.6865611841903219E-3</v>
      </c>
    </row>
  </sheetData>
  <mergeCells count="9">
    <mergeCell ref="AB2:AG2"/>
    <mergeCell ref="V1:AG1"/>
    <mergeCell ref="B2:E2"/>
    <mergeCell ref="F2:I2"/>
    <mergeCell ref="J2:M2"/>
    <mergeCell ref="V2:AA2"/>
    <mergeCell ref="N2:Q2"/>
    <mergeCell ref="R2:U2"/>
    <mergeCell ref="B1:U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Maxime AGEZ</dc:creator>
  <cp:lastModifiedBy>Marin Pellan</cp:lastModifiedBy>
  <dcterms:created xsi:type="dcterms:W3CDTF">2015-06-05T18:17:20Z</dcterms:created>
  <dcterms:modified xsi:type="dcterms:W3CDTF">2026-01-28T09:32:01Z</dcterms:modified>
</cp:coreProperties>
</file>